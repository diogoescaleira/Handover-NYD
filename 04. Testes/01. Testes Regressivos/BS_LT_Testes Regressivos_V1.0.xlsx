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4. Testes/01. Testes Regressivos/"/>
    </mc:Choice>
  </mc:AlternateContent>
  <xr:revisionPtr revIDLastSave="0" documentId="8_{6054FFA5-42C3-4FB4-864B-822B05E993B6}" xr6:coauthVersionLast="47" xr6:coauthVersionMax="47" xr10:uidLastSave="{00000000-0000-0000-0000-000000000000}"/>
  <bookViews>
    <workbookView xWindow="-132" yWindow="-132" windowWidth="23304" windowHeight="12624" tabRatio="809" firstSheet="1" activeTab="1" xr2:uid="{030652E1-5520-46EF-ACE6-B8D622DA9F10}"/>
  </bookViews>
  <sheets>
    <sheet name="Instruções" sheetId="3" r:id="rId1"/>
    <sheet name="Testes regressivos" sheetId="1" r:id="rId2"/>
    <sheet name="Instruções (1)" sheetId="16" state="hidden" r:id="rId3"/>
    <sheet name="Teste regressivo (1)" sheetId="17" state="hidden" r:id="rId4"/>
    <sheet name="DT_DFLT_STTS" sheetId="13" state="hidden" r:id="rId5"/>
    <sheet name="Sheet5" sheetId="11" state="hidden" r:id="rId6"/>
    <sheet name="Sheet3" sheetId="5" state="hidden" r:id="rId7"/>
  </sheets>
  <definedNames>
    <definedName name="_xlnm._FilterDatabase" localSheetId="6" hidden="1">Sheet3!$F$7:$G$7</definedName>
    <definedName name="_xlnm._FilterDatabase" localSheetId="5" hidden="1">Sheet5!$B$2:$D$381</definedName>
    <definedName name="_xlnm._FilterDatabase" localSheetId="3" hidden="1">'Teste regressivo (1)'!$B$3:$P$343</definedName>
    <definedName name="_xlnm._FilterDatabase" localSheetId="1" hidden="1">'Testes regressivos'!$B$8:$P$369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9" i="1" l="1"/>
  <c r="J369" i="1"/>
  <c r="K368" i="1"/>
  <c r="J368" i="1"/>
  <c r="K367" i="1"/>
  <c r="J367" i="1"/>
  <c r="K366" i="1"/>
  <c r="J366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J9" i="1"/>
  <c r="K9" i="1"/>
  <c r="D21" i="3" l="1"/>
  <c r="D20" i="3"/>
  <c r="P366" i="1"/>
  <c r="P367" i="1" s="1"/>
  <c r="P368" i="1" s="1"/>
  <c r="P369" i="1" s="1"/>
  <c r="P315" i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264" i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213" i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162" i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111" i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60" i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" i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D111" i="1"/>
  <c r="I111" i="1" s="1"/>
  <c r="C111" i="1"/>
  <c r="H111" i="1" s="1"/>
  <c r="F111" i="1"/>
  <c r="G111" i="1"/>
  <c r="D102" i="1"/>
  <c r="I102" i="1" s="1"/>
  <c r="C102" i="1"/>
  <c r="H102" i="1" s="1"/>
  <c r="F102" i="1"/>
  <c r="G102" i="1"/>
  <c r="D99" i="1"/>
  <c r="I99" i="1" s="1"/>
  <c r="C99" i="1"/>
  <c r="H99" i="1" s="1"/>
  <c r="D98" i="1"/>
  <c r="I98" i="1" s="1"/>
  <c r="C98" i="1"/>
  <c r="H98" i="1" s="1"/>
  <c r="F98" i="1"/>
  <c r="G98" i="1"/>
  <c r="F99" i="1"/>
  <c r="G99" i="1"/>
  <c r="D73" i="1"/>
  <c r="I73" i="1" s="1"/>
  <c r="C73" i="1"/>
  <c r="H73" i="1" s="1"/>
  <c r="D72" i="1"/>
  <c r="I72" i="1" s="1"/>
  <c r="C72" i="1"/>
  <c r="H72" i="1" s="1"/>
  <c r="F72" i="1"/>
  <c r="G72" i="1"/>
  <c r="F73" i="1"/>
  <c r="G73" i="1"/>
  <c r="D60" i="1"/>
  <c r="I60" i="1" s="1"/>
  <c r="C60" i="1"/>
  <c r="H60" i="1" s="1"/>
  <c r="D58" i="1"/>
  <c r="I58" i="1" s="1"/>
  <c r="C58" i="1"/>
  <c r="H58" i="1" s="1"/>
  <c r="F58" i="1"/>
  <c r="G58" i="1"/>
  <c r="F60" i="1"/>
  <c r="G60" i="1"/>
  <c r="D328" i="1"/>
  <c r="I328" i="1" s="1"/>
  <c r="C328" i="1"/>
  <c r="H328" i="1" s="1"/>
  <c r="F328" i="1"/>
  <c r="G328" i="1"/>
  <c r="D327" i="1"/>
  <c r="I327" i="1" s="1"/>
  <c r="C327" i="1"/>
  <c r="H327" i="1" s="1"/>
  <c r="F327" i="1"/>
  <c r="G327" i="1"/>
  <c r="D322" i="1"/>
  <c r="I322" i="1" s="1"/>
  <c r="C322" i="1"/>
  <c r="H322" i="1" s="1"/>
  <c r="F322" i="1"/>
  <c r="G322" i="1"/>
  <c r="D321" i="1"/>
  <c r="I321" i="1" s="1"/>
  <c r="C321" i="1"/>
  <c r="H321" i="1" s="1"/>
  <c r="F321" i="1"/>
  <c r="G321" i="1"/>
  <c r="D318" i="1"/>
  <c r="I318" i="1" s="1"/>
  <c r="C318" i="1"/>
  <c r="H318" i="1" s="1"/>
  <c r="F318" i="1"/>
  <c r="G318" i="1"/>
  <c r="D316" i="1"/>
  <c r="I316" i="1" s="1"/>
  <c r="C316" i="1"/>
  <c r="H316" i="1" s="1"/>
  <c r="F316" i="1"/>
  <c r="G316" i="1"/>
  <c r="D298" i="1"/>
  <c r="I298" i="1" s="1"/>
  <c r="C298" i="1"/>
  <c r="H298" i="1" s="1"/>
  <c r="D296" i="1"/>
  <c r="I296" i="1" s="1"/>
  <c r="C296" i="1"/>
  <c r="H296" i="1" s="1"/>
  <c r="F296" i="1"/>
  <c r="G296" i="1"/>
  <c r="F298" i="1"/>
  <c r="G298" i="1"/>
  <c r="D290" i="1"/>
  <c r="I290" i="1" s="1"/>
  <c r="C290" i="1"/>
  <c r="H290" i="1" s="1"/>
  <c r="D289" i="1"/>
  <c r="I289" i="1" s="1"/>
  <c r="C289" i="1"/>
  <c r="H289" i="1" s="1"/>
  <c r="F289" i="1"/>
  <c r="G289" i="1"/>
  <c r="F290" i="1"/>
  <c r="G290" i="1"/>
  <c r="D193" i="1"/>
  <c r="I193" i="1" s="1"/>
  <c r="C193" i="1"/>
  <c r="H193" i="1" s="1"/>
  <c r="L193" i="1" s="1"/>
  <c r="N193" i="1" s="1"/>
  <c r="F193" i="1"/>
  <c r="G193" i="1"/>
  <c r="D163" i="1"/>
  <c r="I163" i="1" s="1"/>
  <c r="C163" i="1"/>
  <c r="H163" i="1" s="1"/>
  <c r="L163" i="1" s="1"/>
  <c r="N163" i="1" s="1"/>
  <c r="F163" i="1"/>
  <c r="G163" i="1"/>
  <c r="C3" i="1"/>
  <c r="C3" i="3"/>
  <c r="L289" i="1" l="1"/>
  <c r="N289" i="1" s="1"/>
  <c r="L296" i="1"/>
  <c r="N296" i="1" s="1"/>
  <c r="L58" i="1"/>
  <c r="N58" i="1" s="1"/>
  <c r="L72" i="1"/>
  <c r="N72" i="1" s="1"/>
  <c r="L98" i="1"/>
  <c r="N98" i="1" s="1"/>
  <c r="L290" i="1"/>
  <c r="N290" i="1" s="1"/>
  <c r="L298" i="1"/>
  <c r="N298" i="1" s="1"/>
  <c r="L316" i="1"/>
  <c r="N316" i="1" s="1"/>
  <c r="L318" i="1"/>
  <c r="N318" i="1" s="1"/>
  <c r="L321" i="1"/>
  <c r="N321" i="1" s="1"/>
  <c r="L322" i="1"/>
  <c r="N322" i="1" s="1"/>
  <c r="L327" i="1"/>
  <c r="N327" i="1" s="1"/>
  <c r="L328" i="1"/>
  <c r="N328" i="1" s="1"/>
  <c r="L60" i="1"/>
  <c r="N60" i="1" s="1"/>
  <c r="L73" i="1"/>
  <c r="N73" i="1" s="1"/>
  <c r="L99" i="1"/>
  <c r="N99" i="1" s="1"/>
  <c r="L102" i="1"/>
  <c r="N102" i="1" s="1"/>
  <c r="L111" i="1"/>
  <c r="N111" i="1" s="1"/>
  <c r="P251" i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O58" i="1" l="1"/>
  <c r="J343" i="17" l="1"/>
  <c r="G343" i="17"/>
  <c r="F343" i="17"/>
  <c r="K343" i="17" s="1"/>
  <c r="D343" i="17"/>
  <c r="C343" i="17"/>
  <c r="J342" i="17"/>
  <c r="G342" i="17"/>
  <c r="F342" i="17"/>
  <c r="K342" i="17" s="1"/>
  <c r="D342" i="17"/>
  <c r="C342" i="17"/>
  <c r="J341" i="17"/>
  <c r="G341" i="17"/>
  <c r="F341" i="17"/>
  <c r="K341" i="17" s="1"/>
  <c r="D341" i="17"/>
  <c r="C341" i="17"/>
  <c r="J340" i="17"/>
  <c r="G340" i="17"/>
  <c r="F340" i="17"/>
  <c r="K340" i="17" s="1"/>
  <c r="D340" i="17"/>
  <c r="C340" i="17"/>
  <c r="J339" i="17"/>
  <c r="G339" i="17"/>
  <c r="F339" i="17"/>
  <c r="K339" i="17" s="1"/>
  <c r="D339" i="17"/>
  <c r="C339" i="17"/>
  <c r="J338" i="17"/>
  <c r="G338" i="17"/>
  <c r="F338" i="17"/>
  <c r="K338" i="17" s="1"/>
  <c r="D338" i="17"/>
  <c r="C338" i="17"/>
  <c r="J337" i="17"/>
  <c r="G337" i="17"/>
  <c r="F337" i="17"/>
  <c r="K337" i="17" s="1"/>
  <c r="D337" i="17"/>
  <c r="C337" i="17"/>
  <c r="J336" i="17"/>
  <c r="G336" i="17"/>
  <c r="F336" i="17"/>
  <c r="K336" i="17" s="1"/>
  <c r="D336" i="17"/>
  <c r="C336" i="17"/>
  <c r="J335" i="17"/>
  <c r="G335" i="17"/>
  <c r="F335" i="17"/>
  <c r="K335" i="17" s="1"/>
  <c r="D335" i="17"/>
  <c r="C335" i="17"/>
  <c r="J334" i="17"/>
  <c r="G334" i="17"/>
  <c r="F334" i="17"/>
  <c r="K334" i="17" s="1"/>
  <c r="D334" i="17"/>
  <c r="C334" i="17"/>
  <c r="J333" i="17"/>
  <c r="G333" i="17"/>
  <c r="F333" i="17"/>
  <c r="K333" i="17" s="1"/>
  <c r="D333" i="17"/>
  <c r="C333" i="17"/>
  <c r="J332" i="17"/>
  <c r="G332" i="17"/>
  <c r="F332" i="17"/>
  <c r="K332" i="17" s="1"/>
  <c r="D332" i="17"/>
  <c r="C332" i="17"/>
  <c r="J331" i="17"/>
  <c r="G331" i="17"/>
  <c r="F331" i="17"/>
  <c r="K331" i="17" s="1"/>
  <c r="D331" i="17"/>
  <c r="C331" i="17"/>
  <c r="J330" i="17"/>
  <c r="G330" i="17"/>
  <c r="F330" i="17"/>
  <c r="K330" i="17" s="1"/>
  <c r="D330" i="17"/>
  <c r="C330" i="17"/>
  <c r="J329" i="17"/>
  <c r="G329" i="17"/>
  <c r="F329" i="17"/>
  <c r="K329" i="17" s="1"/>
  <c r="D329" i="17"/>
  <c r="C329" i="17"/>
  <c r="J328" i="17"/>
  <c r="G328" i="17"/>
  <c r="F328" i="17"/>
  <c r="K328" i="17" s="1"/>
  <c r="D328" i="17"/>
  <c r="C328" i="17"/>
  <c r="J327" i="17"/>
  <c r="G327" i="17"/>
  <c r="F327" i="17"/>
  <c r="K327" i="17" s="1"/>
  <c r="D327" i="17"/>
  <c r="C327" i="17"/>
  <c r="J326" i="17"/>
  <c r="G326" i="17"/>
  <c r="F326" i="17"/>
  <c r="K326" i="17" s="1"/>
  <c r="D326" i="17"/>
  <c r="C326" i="17"/>
  <c r="J325" i="17"/>
  <c r="G325" i="17"/>
  <c r="F325" i="17"/>
  <c r="K325" i="17" s="1"/>
  <c r="D325" i="17"/>
  <c r="C325" i="17"/>
  <c r="J324" i="17"/>
  <c r="G324" i="17"/>
  <c r="F324" i="17"/>
  <c r="D324" i="17"/>
  <c r="C324" i="17"/>
  <c r="J323" i="17"/>
  <c r="G323" i="17"/>
  <c r="F323" i="17"/>
  <c r="K323" i="17" s="1"/>
  <c r="D323" i="17"/>
  <c r="C323" i="17"/>
  <c r="J322" i="17"/>
  <c r="G322" i="17"/>
  <c r="F322" i="17"/>
  <c r="D322" i="17"/>
  <c r="C322" i="17"/>
  <c r="J321" i="17"/>
  <c r="G321" i="17"/>
  <c r="F321" i="17"/>
  <c r="K321" i="17" s="1"/>
  <c r="D321" i="17"/>
  <c r="C321" i="17"/>
  <c r="J320" i="17"/>
  <c r="G320" i="17"/>
  <c r="F320" i="17"/>
  <c r="D320" i="17"/>
  <c r="C320" i="17"/>
  <c r="J319" i="17"/>
  <c r="G319" i="17"/>
  <c r="F319" i="17"/>
  <c r="K319" i="17" s="1"/>
  <c r="D319" i="17"/>
  <c r="C319" i="17"/>
  <c r="J318" i="17"/>
  <c r="G318" i="17"/>
  <c r="F318" i="17"/>
  <c r="D318" i="17"/>
  <c r="C318" i="17"/>
  <c r="J317" i="17"/>
  <c r="G317" i="17"/>
  <c r="F317" i="17"/>
  <c r="K317" i="17" s="1"/>
  <c r="D317" i="17"/>
  <c r="C317" i="17"/>
  <c r="J316" i="17"/>
  <c r="G316" i="17"/>
  <c r="F316" i="17"/>
  <c r="D316" i="17"/>
  <c r="C316" i="17"/>
  <c r="J315" i="17"/>
  <c r="G315" i="17"/>
  <c r="F315" i="17"/>
  <c r="K315" i="17" s="1"/>
  <c r="D315" i="17"/>
  <c r="C315" i="17"/>
  <c r="J314" i="17"/>
  <c r="G314" i="17"/>
  <c r="F314" i="17"/>
  <c r="D314" i="17"/>
  <c r="C314" i="17"/>
  <c r="J313" i="17"/>
  <c r="G313" i="17"/>
  <c r="F313" i="17"/>
  <c r="K313" i="17" s="1"/>
  <c r="D313" i="17"/>
  <c r="C313" i="17"/>
  <c r="J312" i="17"/>
  <c r="G312" i="17"/>
  <c r="F312" i="17"/>
  <c r="D312" i="17"/>
  <c r="C312" i="17"/>
  <c r="J311" i="17"/>
  <c r="G311" i="17"/>
  <c r="F311" i="17"/>
  <c r="K311" i="17" s="1"/>
  <c r="D311" i="17"/>
  <c r="C311" i="17"/>
  <c r="J310" i="17"/>
  <c r="G310" i="17"/>
  <c r="F310" i="17"/>
  <c r="D310" i="17"/>
  <c r="C310" i="17"/>
  <c r="J309" i="17"/>
  <c r="G309" i="17"/>
  <c r="F309" i="17"/>
  <c r="K309" i="17" s="1"/>
  <c r="D309" i="17"/>
  <c r="C309" i="17"/>
  <c r="P308" i="17"/>
  <c r="P309" i="17" s="1"/>
  <c r="P310" i="17" s="1"/>
  <c r="P311" i="17" s="1"/>
  <c r="P312" i="17" s="1"/>
  <c r="P313" i="17" s="1"/>
  <c r="P314" i="17" s="1"/>
  <c r="P315" i="17" s="1"/>
  <c r="P316" i="17" s="1"/>
  <c r="P317" i="17" s="1"/>
  <c r="P318" i="17" s="1"/>
  <c r="P319" i="17" s="1"/>
  <c r="P320" i="17" s="1"/>
  <c r="P321" i="17" s="1"/>
  <c r="P322" i="17" s="1"/>
  <c r="P323" i="17" s="1"/>
  <c r="P324" i="17" s="1"/>
  <c r="P325" i="17" s="1"/>
  <c r="P326" i="17" s="1"/>
  <c r="P327" i="17" s="1"/>
  <c r="P328" i="17" s="1"/>
  <c r="P329" i="17" s="1"/>
  <c r="P330" i="17" s="1"/>
  <c r="P331" i="17" s="1"/>
  <c r="P332" i="17" s="1"/>
  <c r="P333" i="17" s="1"/>
  <c r="P334" i="17" s="1"/>
  <c r="P335" i="17" s="1"/>
  <c r="P336" i="17" s="1"/>
  <c r="P337" i="17" s="1"/>
  <c r="P338" i="17" s="1"/>
  <c r="P339" i="17" s="1"/>
  <c r="P340" i="17" s="1"/>
  <c r="P341" i="17" s="1"/>
  <c r="P342" i="17" s="1"/>
  <c r="P343" i="17" s="1"/>
  <c r="J308" i="17"/>
  <c r="G308" i="17"/>
  <c r="F308" i="17"/>
  <c r="D308" i="17"/>
  <c r="C308" i="17"/>
  <c r="J306" i="17"/>
  <c r="G306" i="17"/>
  <c r="F306" i="17"/>
  <c r="K306" i="17" s="1"/>
  <c r="D306" i="17"/>
  <c r="C306" i="17"/>
  <c r="J305" i="17"/>
  <c r="G305" i="17"/>
  <c r="F305" i="17"/>
  <c r="D305" i="17"/>
  <c r="C305" i="17"/>
  <c r="J304" i="17"/>
  <c r="G304" i="17"/>
  <c r="F304" i="17"/>
  <c r="K304" i="17" s="1"/>
  <c r="D304" i="17"/>
  <c r="C304" i="17"/>
  <c r="J303" i="17"/>
  <c r="G303" i="17"/>
  <c r="F303" i="17"/>
  <c r="D303" i="17"/>
  <c r="C303" i="17"/>
  <c r="J302" i="17"/>
  <c r="G302" i="17"/>
  <c r="F302" i="17"/>
  <c r="K302" i="17" s="1"/>
  <c r="D302" i="17"/>
  <c r="C302" i="17"/>
  <c r="J301" i="17"/>
  <c r="G301" i="17"/>
  <c r="F301" i="17"/>
  <c r="D301" i="17"/>
  <c r="C301" i="17"/>
  <c r="J300" i="17"/>
  <c r="G300" i="17"/>
  <c r="F300" i="17"/>
  <c r="K300" i="17" s="1"/>
  <c r="D300" i="17"/>
  <c r="C300" i="17"/>
  <c r="J299" i="17"/>
  <c r="G299" i="17"/>
  <c r="F299" i="17"/>
  <c r="K299" i="17" s="1"/>
  <c r="D299" i="17"/>
  <c r="C299" i="17"/>
  <c r="J298" i="17"/>
  <c r="G298" i="17"/>
  <c r="F298" i="17"/>
  <c r="K298" i="17" s="1"/>
  <c r="D298" i="17"/>
  <c r="C298" i="17"/>
  <c r="J297" i="17"/>
  <c r="G297" i="17"/>
  <c r="F297" i="17"/>
  <c r="K297" i="17" s="1"/>
  <c r="D297" i="17"/>
  <c r="C297" i="17"/>
  <c r="J296" i="17"/>
  <c r="G296" i="17"/>
  <c r="F296" i="17"/>
  <c r="K296" i="17" s="1"/>
  <c r="D296" i="17"/>
  <c r="C296" i="17"/>
  <c r="J295" i="17"/>
  <c r="G295" i="17"/>
  <c r="F295" i="17"/>
  <c r="K295" i="17" s="1"/>
  <c r="D295" i="17"/>
  <c r="C295" i="17"/>
  <c r="J294" i="17"/>
  <c r="G294" i="17"/>
  <c r="F294" i="17"/>
  <c r="K294" i="17" s="1"/>
  <c r="D294" i="17"/>
  <c r="C294" i="17"/>
  <c r="J293" i="17"/>
  <c r="G293" i="17"/>
  <c r="F293" i="17"/>
  <c r="K293" i="17" s="1"/>
  <c r="D293" i="17"/>
  <c r="C293" i="17"/>
  <c r="J292" i="17"/>
  <c r="G292" i="17"/>
  <c r="F292" i="17"/>
  <c r="K292" i="17" s="1"/>
  <c r="D292" i="17"/>
  <c r="C292" i="17"/>
  <c r="J291" i="17"/>
  <c r="G291" i="17"/>
  <c r="F291" i="17"/>
  <c r="K291" i="17" s="1"/>
  <c r="D291" i="17"/>
  <c r="C291" i="17"/>
  <c r="J290" i="17"/>
  <c r="G290" i="17"/>
  <c r="F290" i="17"/>
  <c r="K290" i="17" s="1"/>
  <c r="D290" i="17"/>
  <c r="C290" i="17"/>
  <c r="J289" i="17"/>
  <c r="G289" i="17"/>
  <c r="F289" i="17"/>
  <c r="K289" i="17" s="1"/>
  <c r="D289" i="17"/>
  <c r="C289" i="17"/>
  <c r="J288" i="17"/>
  <c r="G288" i="17"/>
  <c r="F288" i="17"/>
  <c r="K288" i="17" s="1"/>
  <c r="D288" i="17"/>
  <c r="C288" i="17"/>
  <c r="J287" i="17"/>
  <c r="G287" i="17"/>
  <c r="F287" i="17"/>
  <c r="K287" i="17" s="1"/>
  <c r="D287" i="17"/>
  <c r="C287" i="17"/>
  <c r="J286" i="17"/>
  <c r="G286" i="17"/>
  <c r="F286" i="17"/>
  <c r="K286" i="17" s="1"/>
  <c r="D286" i="17"/>
  <c r="C286" i="17"/>
  <c r="J285" i="17"/>
  <c r="G285" i="17"/>
  <c r="F285" i="17"/>
  <c r="K285" i="17" s="1"/>
  <c r="D285" i="17"/>
  <c r="C285" i="17"/>
  <c r="J284" i="17"/>
  <c r="G284" i="17"/>
  <c r="F284" i="17"/>
  <c r="K284" i="17" s="1"/>
  <c r="D284" i="17"/>
  <c r="C284" i="17"/>
  <c r="J283" i="17"/>
  <c r="G283" i="17"/>
  <c r="F283" i="17"/>
  <c r="K283" i="17" s="1"/>
  <c r="D283" i="17"/>
  <c r="C283" i="17"/>
  <c r="J282" i="17"/>
  <c r="G282" i="17"/>
  <c r="F282" i="17"/>
  <c r="K282" i="17" s="1"/>
  <c r="D282" i="17"/>
  <c r="C282" i="17"/>
  <c r="J281" i="17"/>
  <c r="G281" i="17"/>
  <c r="F281" i="17"/>
  <c r="K281" i="17" s="1"/>
  <c r="D281" i="17"/>
  <c r="C281" i="17"/>
  <c r="J280" i="17"/>
  <c r="G280" i="17"/>
  <c r="F280" i="17"/>
  <c r="K280" i="17" s="1"/>
  <c r="D280" i="17"/>
  <c r="C280" i="17"/>
  <c r="J279" i="17"/>
  <c r="G279" i="17"/>
  <c r="F279" i="17"/>
  <c r="K279" i="17" s="1"/>
  <c r="D279" i="17"/>
  <c r="C279" i="17"/>
  <c r="J278" i="17"/>
  <c r="G278" i="17"/>
  <c r="F278" i="17"/>
  <c r="K278" i="17" s="1"/>
  <c r="D278" i="17"/>
  <c r="C278" i="17"/>
  <c r="J277" i="17"/>
  <c r="G277" i="17"/>
  <c r="F277" i="17"/>
  <c r="K277" i="17" s="1"/>
  <c r="D277" i="17"/>
  <c r="C277" i="17"/>
  <c r="J276" i="17"/>
  <c r="G276" i="17"/>
  <c r="F276" i="17"/>
  <c r="K276" i="17" s="1"/>
  <c r="D276" i="17"/>
  <c r="C276" i="17"/>
  <c r="J275" i="17"/>
  <c r="G275" i="17"/>
  <c r="F275" i="17"/>
  <c r="K275" i="17" s="1"/>
  <c r="D275" i="17"/>
  <c r="C275" i="17"/>
  <c r="J274" i="17"/>
  <c r="G274" i="17"/>
  <c r="F274" i="17"/>
  <c r="K274" i="17" s="1"/>
  <c r="D274" i="17"/>
  <c r="C274" i="17"/>
  <c r="J273" i="17"/>
  <c r="G273" i="17"/>
  <c r="F273" i="17"/>
  <c r="K273" i="17" s="1"/>
  <c r="D273" i="17"/>
  <c r="C273" i="17"/>
  <c r="J272" i="17"/>
  <c r="G272" i="17"/>
  <c r="F272" i="17"/>
  <c r="K272" i="17" s="1"/>
  <c r="D272" i="17"/>
  <c r="C272" i="17"/>
  <c r="J271" i="17"/>
  <c r="G271" i="17"/>
  <c r="F271" i="17"/>
  <c r="K271" i="17" s="1"/>
  <c r="D271" i="17"/>
  <c r="C271" i="17"/>
  <c r="J270" i="17"/>
  <c r="G270" i="17"/>
  <c r="F270" i="17"/>
  <c r="K270" i="17" s="1"/>
  <c r="D270" i="17"/>
  <c r="C270" i="17"/>
  <c r="J269" i="17"/>
  <c r="G269" i="17"/>
  <c r="F269" i="17"/>
  <c r="K269" i="17" s="1"/>
  <c r="D269" i="17"/>
  <c r="C269" i="17"/>
  <c r="J268" i="17"/>
  <c r="G268" i="17"/>
  <c r="F268" i="17"/>
  <c r="K268" i="17" s="1"/>
  <c r="D268" i="17"/>
  <c r="C268" i="17"/>
  <c r="J267" i="17"/>
  <c r="G267" i="17"/>
  <c r="F267" i="17"/>
  <c r="D267" i="17"/>
  <c r="C267" i="17"/>
  <c r="J266" i="17"/>
  <c r="G266" i="17"/>
  <c r="F266" i="17"/>
  <c r="K266" i="17" s="1"/>
  <c r="D266" i="17"/>
  <c r="C266" i="17"/>
  <c r="J265" i="17"/>
  <c r="G265" i="17"/>
  <c r="F265" i="17"/>
  <c r="D265" i="17"/>
  <c r="C265" i="17"/>
  <c r="J264" i="17"/>
  <c r="G264" i="17"/>
  <c r="F264" i="17"/>
  <c r="K264" i="17" s="1"/>
  <c r="D264" i="17"/>
  <c r="C264" i="17"/>
  <c r="J263" i="17"/>
  <c r="G263" i="17"/>
  <c r="F263" i="17"/>
  <c r="D263" i="17"/>
  <c r="C263" i="17"/>
  <c r="J262" i="17"/>
  <c r="G262" i="17"/>
  <c r="F262" i="17"/>
  <c r="K262" i="17" s="1"/>
  <c r="D262" i="17"/>
  <c r="C262" i="17"/>
  <c r="J261" i="17"/>
  <c r="G261" i="17"/>
  <c r="F261" i="17"/>
  <c r="D261" i="17"/>
  <c r="C261" i="17"/>
  <c r="J260" i="17"/>
  <c r="G260" i="17"/>
  <c r="F260" i="17"/>
  <c r="K260" i="17" s="1"/>
  <c r="D260" i="17"/>
  <c r="C260" i="17"/>
  <c r="J259" i="17"/>
  <c r="G259" i="17"/>
  <c r="F259" i="17"/>
  <c r="D259" i="17"/>
  <c r="C259" i="17"/>
  <c r="J258" i="17"/>
  <c r="G258" i="17"/>
  <c r="F258" i="17"/>
  <c r="K258" i="17" s="1"/>
  <c r="D258" i="17"/>
  <c r="C258" i="17"/>
  <c r="P257" i="17"/>
  <c r="P258" i="17" s="1"/>
  <c r="P259" i="17" s="1"/>
  <c r="P260" i="17" s="1"/>
  <c r="P261" i="17" s="1"/>
  <c r="P262" i="17" s="1"/>
  <c r="P263" i="17" s="1"/>
  <c r="P264" i="17" s="1"/>
  <c r="P265" i="17" s="1"/>
  <c r="P266" i="17" s="1"/>
  <c r="P267" i="17" s="1"/>
  <c r="P268" i="17" s="1"/>
  <c r="P269" i="17" s="1"/>
  <c r="P270" i="17" s="1"/>
  <c r="P271" i="17" s="1"/>
  <c r="P272" i="17" s="1"/>
  <c r="P273" i="17" s="1"/>
  <c r="P274" i="17" s="1"/>
  <c r="P275" i="17" s="1"/>
  <c r="P276" i="17" s="1"/>
  <c r="P277" i="17" s="1"/>
  <c r="P278" i="17" s="1"/>
  <c r="P279" i="17" s="1"/>
  <c r="P280" i="17" s="1"/>
  <c r="P281" i="17" s="1"/>
  <c r="P282" i="17" s="1"/>
  <c r="P283" i="17" s="1"/>
  <c r="P284" i="17" s="1"/>
  <c r="P285" i="17" s="1"/>
  <c r="P286" i="17" s="1"/>
  <c r="P287" i="17" s="1"/>
  <c r="P288" i="17" s="1"/>
  <c r="P289" i="17" s="1"/>
  <c r="P290" i="17" s="1"/>
  <c r="P291" i="17" s="1"/>
  <c r="P292" i="17" s="1"/>
  <c r="P293" i="17" s="1"/>
  <c r="P294" i="17" s="1"/>
  <c r="P295" i="17" s="1"/>
  <c r="P296" i="17" s="1"/>
  <c r="P297" i="17" s="1"/>
  <c r="P298" i="17" s="1"/>
  <c r="P299" i="17" s="1"/>
  <c r="P300" i="17" s="1"/>
  <c r="P301" i="17" s="1"/>
  <c r="P302" i="17" s="1"/>
  <c r="P303" i="17" s="1"/>
  <c r="P304" i="17" s="1"/>
  <c r="P305" i="17" s="1"/>
  <c r="P306" i="17" s="1"/>
  <c r="J257" i="17"/>
  <c r="G257" i="17"/>
  <c r="F257" i="17"/>
  <c r="K257" i="17" s="1"/>
  <c r="D257" i="17"/>
  <c r="C257" i="17"/>
  <c r="J255" i="17"/>
  <c r="G255" i="17"/>
  <c r="F255" i="17"/>
  <c r="D255" i="17"/>
  <c r="C255" i="17"/>
  <c r="J254" i="17"/>
  <c r="G254" i="17"/>
  <c r="F254" i="17"/>
  <c r="K254" i="17" s="1"/>
  <c r="D254" i="17"/>
  <c r="C254" i="17"/>
  <c r="J253" i="17"/>
  <c r="G253" i="17"/>
  <c r="F253" i="17"/>
  <c r="D253" i="17"/>
  <c r="C253" i="17"/>
  <c r="J252" i="17"/>
  <c r="G252" i="17"/>
  <c r="F252" i="17"/>
  <c r="K252" i="17" s="1"/>
  <c r="D252" i="17"/>
  <c r="C252" i="17"/>
  <c r="J251" i="17"/>
  <c r="G251" i="17"/>
  <c r="F251" i="17"/>
  <c r="D251" i="17"/>
  <c r="C251" i="17"/>
  <c r="J250" i="17"/>
  <c r="G250" i="17"/>
  <c r="F250" i="17"/>
  <c r="K250" i="17" s="1"/>
  <c r="D250" i="17"/>
  <c r="C250" i="17"/>
  <c r="J249" i="17"/>
  <c r="G249" i="17"/>
  <c r="F249" i="17"/>
  <c r="D249" i="17"/>
  <c r="C249" i="17"/>
  <c r="J248" i="17"/>
  <c r="G248" i="17"/>
  <c r="F248" i="17"/>
  <c r="K248" i="17" s="1"/>
  <c r="D248" i="17"/>
  <c r="C248" i="17"/>
  <c r="J247" i="17"/>
  <c r="G247" i="17"/>
  <c r="F247" i="17"/>
  <c r="D247" i="17"/>
  <c r="C247" i="17"/>
  <c r="J246" i="17"/>
  <c r="G246" i="17"/>
  <c r="F246" i="17"/>
  <c r="K246" i="17" s="1"/>
  <c r="D246" i="17"/>
  <c r="C246" i="17"/>
  <c r="J245" i="17"/>
  <c r="G245" i="17"/>
  <c r="F245" i="17"/>
  <c r="D245" i="17"/>
  <c r="C245" i="17"/>
  <c r="J244" i="17"/>
  <c r="G244" i="17"/>
  <c r="F244" i="17"/>
  <c r="K244" i="17" s="1"/>
  <c r="D244" i="17"/>
  <c r="C244" i="17"/>
  <c r="J243" i="17"/>
  <c r="G243" i="17"/>
  <c r="F243" i="17"/>
  <c r="D243" i="17"/>
  <c r="C243" i="17"/>
  <c r="J242" i="17"/>
  <c r="G242" i="17"/>
  <c r="F242" i="17"/>
  <c r="K242" i="17" s="1"/>
  <c r="D242" i="17"/>
  <c r="C242" i="17"/>
  <c r="J241" i="17"/>
  <c r="G241" i="17"/>
  <c r="F241" i="17"/>
  <c r="D241" i="17"/>
  <c r="C241" i="17"/>
  <c r="J240" i="17"/>
  <c r="G240" i="17"/>
  <c r="F240" i="17"/>
  <c r="K240" i="17" s="1"/>
  <c r="D240" i="17"/>
  <c r="C240" i="17"/>
  <c r="J239" i="17"/>
  <c r="G239" i="17"/>
  <c r="F239" i="17"/>
  <c r="D239" i="17"/>
  <c r="C239" i="17"/>
  <c r="J238" i="17"/>
  <c r="G238" i="17"/>
  <c r="F238" i="17"/>
  <c r="K238" i="17" s="1"/>
  <c r="D238" i="17"/>
  <c r="C238" i="17"/>
  <c r="K237" i="17"/>
  <c r="J237" i="17"/>
  <c r="G237" i="17"/>
  <c r="F237" i="17"/>
  <c r="D237" i="17"/>
  <c r="C237" i="17"/>
  <c r="K236" i="17"/>
  <c r="J236" i="17"/>
  <c r="G236" i="17"/>
  <c r="F236" i="17"/>
  <c r="D236" i="17"/>
  <c r="C236" i="17"/>
  <c r="K235" i="17"/>
  <c r="J235" i="17"/>
  <c r="G235" i="17"/>
  <c r="F235" i="17"/>
  <c r="D235" i="17"/>
  <c r="C235" i="17"/>
  <c r="K234" i="17"/>
  <c r="J234" i="17"/>
  <c r="G234" i="17"/>
  <c r="F234" i="17"/>
  <c r="D234" i="17"/>
  <c r="C234" i="17"/>
  <c r="K233" i="17"/>
  <c r="J233" i="17"/>
  <c r="G233" i="17"/>
  <c r="F233" i="17"/>
  <c r="D233" i="17"/>
  <c r="C233" i="17"/>
  <c r="K232" i="17"/>
  <c r="J232" i="17"/>
  <c r="G232" i="17"/>
  <c r="F232" i="17"/>
  <c r="D232" i="17"/>
  <c r="C232" i="17"/>
  <c r="K231" i="17"/>
  <c r="J231" i="17"/>
  <c r="G231" i="17"/>
  <c r="F231" i="17"/>
  <c r="D231" i="17"/>
  <c r="C231" i="17"/>
  <c r="K230" i="17"/>
  <c r="J230" i="17"/>
  <c r="G230" i="17"/>
  <c r="F230" i="17"/>
  <c r="D230" i="17"/>
  <c r="C230" i="17"/>
  <c r="K229" i="17"/>
  <c r="J229" i="17"/>
  <c r="G229" i="17"/>
  <c r="F229" i="17"/>
  <c r="D229" i="17"/>
  <c r="C229" i="17"/>
  <c r="K228" i="17"/>
  <c r="J228" i="17"/>
  <c r="G228" i="17"/>
  <c r="F228" i="17"/>
  <c r="D228" i="17"/>
  <c r="C228" i="17"/>
  <c r="K227" i="17"/>
  <c r="J227" i="17"/>
  <c r="G227" i="17"/>
  <c r="F227" i="17"/>
  <c r="D227" i="17"/>
  <c r="C227" i="17"/>
  <c r="K226" i="17"/>
  <c r="J226" i="17"/>
  <c r="G226" i="17"/>
  <c r="F226" i="17"/>
  <c r="D226" i="17"/>
  <c r="C226" i="17"/>
  <c r="K225" i="17"/>
  <c r="J225" i="17"/>
  <c r="G225" i="17"/>
  <c r="F225" i="17"/>
  <c r="D225" i="17"/>
  <c r="C225" i="17"/>
  <c r="K224" i="17"/>
  <c r="J224" i="17"/>
  <c r="G224" i="17"/>
  <c r="F224" i="17"/>
  <c r="D224" i="17"/>
  <c r="C224" i="17"/>
  <c r="K223" i="17"/>
  <c r="J223" i="17"/>
  <c r="G223" i="17"/>
  <c r="F223" i="17"/>
  <c r="D223" i="17"/>
  <c r="C223" i="17"/>
  <c r="K222" i="17"/>
  <c r="J222" i="17"/>
  <c r="G222" i="17"/>
  <c r="F222" i="17"/>
  <c r="D222" i="17"/>
  <c r="C222" i="17"/>
  <c r="K221" i="17"/>
  <c r="J221" i="17"/>
  <c r="G221" i="17"/>
  <c r="F221" i="17"/>
  <c r="D221" i="17"/>
  <c r="C221" i="17"/>
  <c r="K220" i="17"/>
  <c r="J220" i="17"/>
  <c r="G220" i="17"/>
  <c r="F220" i="17"/>
  <c r="D220" i="17"/>
  <c r="C220" i="17"/>
  <c r="J219" i="17"/>
  <c r="G219" i="17"/>
  <c r="F219" i="17"/>
  <c r="D219" i="17"/>
  <c r="C219" i="17"/>
  <c r="K218" i="17"/>
  <c r="J218" i="17"/>
  <c r="G218" i="17"/>
  <c r="F218" i="17"/>
  <c r="D218" i="17"/>
  <c r="C218" i="17"/>
  <c r="K217" i="17"/>
  <c r="J217" i="17"/>
  <c r="G217" i="17"/>
  <c r="F217" i="17"/>
  <c r="D217" i="17"/>
  <c r="C217" i="17"/>
  <c r="J216" i="17"/>
  <c r="G216" i="17"/>
  <c r="F216" i="17"/>
  <c r="D216" i="17"/>
  <c r="C216" i="17"/>
  <c r="J215" i="17"/>
  <c r="G215" i="17"/>
  <c r="F215" i="17"/>
  <c r="D215" i="17"/>
  <c r="C215" i="17"/>
  <c r="K214" i="17"/>
  <c r="J214" i="17"/>
  <c r="G214" i="17"/>
  <c r="F214" i="17"/>
  <c r="D214" i="17"/>
  <c r="C214" i="17"/>
  <c r="K213" i="17"/>
  <c r="J213" i="17"/>
  <c r="G213" i="17"/>
  <c r="F213" i="17"/>
  <c r="D213" i="17"/>
  <c r="C213" i="17"/>
  <c r="J212" i="17"/>
  <c r="G212" i="17"/>
  <c r="F212" i="17"/>
  <c r="D212" i="17"/>
  <c r="C212" i="17"/>
  <c r="J211" i="17"/>
  <c r="G211" i="17"/>
  <c r="F211" i="17"/>
  <c r="D211" i="17"/>
  <c r="C211" i="17"/>
  <c r="K210" i="17"/>
  <c r="J210" i="17"/>
  <c r="G210" i="17"/>
  <c r="F210" i="17"/>
  <c r="D210" i="17"/>
  <c r="C210" i="17"/>
  <c r="K209" i="17"/>
  <c r="J209" i="17"/>
  <c r="G209" i="17"/>
  <c r="F209" i="17"/>
  <c r="D209" i="17"/>
  <c r="C209" i="17"/>
  <c r="J208" i="17"/>
  <c r="G208" i="17"/>
  <c r="F208" i="17"/>
  <c r="D208" i="17"/>
  <c r="C208" i="17"/>
  <c r="P207" i="17"/>
  <c r="P208" i="17" s="1"/>
  <c r="P209" i="17" s="1"/>
  <c r="P210" i="17" s="1"/>
  <c r="P211" i="17" s="1"/>
  <c r="P212" i="17" s="1"/>
  <c r="P213" i="17" s="1"/>
  <c r="P214" i="17" s="1"/>
  <c r="P215" i="17" s="1"/>
  <c r="P216" i="17" s="1"/>
  <c r="P217" i="17" s="1"/>
  <c r="P218" i="17" s="1"/>
  <c r="P219" i="17" s="1"/>
  <c r="P220" i="17" s="1"/>
  <c r="P221" i="17" s="1"/>
  <c r="P222" i="17" s="1"/>
  <c r="P223" i="17" s="1"/>
  <c r="P224" i="17" s="1"/>
  <c r="P225" i="17" s="1"/>
  <c r="P226" i="17" s="1"/>
  <c r="P227" i="17" s="1"/>
  <c r="P228" i="17" s="1"/>
  <c r="P229" i="17" s="1"/>
  <c r="P230" i="17" s="1"/>
  <c r="P231" i="17" s="1"/>
  <c r="P232" i="17" s="1"/>
  <c r="P233" i="17" s="1"/>
  <c r="P234" i="17" s="1"/>
  <c r="P235" i="17" s="1"/>
  <c r="P236" i="17" s="1"/>
  <c r="P237" i="17" s="1"/>
  <c r="P238" i="17" s="1"/>
  <c r="P239" i="17" s="1"/>
  <c r="P240" i="17" s="1"/>
  <c r="P241" i="17" s="1"/>
  <c r="P242" i="17" s="1"/>
  <c r="P243" i="17" s="1"/>
  <c r="P244" i="17" s="1"/>
  <c r="P245" i="17" s="1"/>
  <c r="P246" i="17" s="1"/>
  <c r="P247" i="17" s="1"/>
  <c r="P248" i="17" s="1"/>
  <c r="P249" i="17" s="1"/>
  <c r="P250" i="17" s="1"/>
  <c r="P251" i="17" s="1"/>
  <c r="P252" i="17" s="1"/>
  <c r="P253" i="17" s="1"/>
  <c r="P254" i="17" s="1"/>
  <c r="P255" i="17" s="1"/>
  <c r="J207" i="17"/>
  <c r="G207" i="17"/>
  <c r="F207" i="17"/>
  <c r="D207" i="17"/>
  <c r="C207" i="17"/>
  <c r="P206" i="17"/>
  <c r="K206" i="17"/>
  <c r="J206" i="17"/>
  <c r="G206" i="17"/>
  <c r="F206" i="17"/>
  <c r="D206" i="17"/>
  <c r="C206" i="17"/>
  <c r="K204" i="17"/>
  <c r="J204" i="17"/>
  <c r="G204" i="17"/>
  <c r="F204" i="17"/>
  <c r="D204" i="17"/>
  <c r="C204" i="17"/>
  <c r="J203" i="17"/>
  <c r="G203" i="17"/>
  <c r="F203" i="17"/>
  <c r="K203" i="17" s="1"/>
  <c r="D203" i="17"/>
  <c r="C203" i="17"/>
  <c r="J202" i="17"/>
  <c r="G202" i="17"/>
  <c r="F202" i="17"/>
  <c r="D202" i="17"/>
  <c r="C202" i="17"/>
  <c r="J201" i="17"/>
  <c r="G201" i="17"/>
  <c r="F201" i="17"/>
  <c r="D201" i="17"/>
  <c r="C201" i="17"/>
  <c r="J200" i="17"/>
  <c r="G200" i="17"/>
  <c r="F200" i="17"/>
  <c r="D200" i="17"/>
  <c r="C200" i="17"/>
  <c r="J199" i="17"/>
  <c r="G199" i="17"/>
  <c r="F199" i="17"/>
  <c r="K199" i="17" s="1"/>
  <c r="D199" i="17"/>
  <c r="C199" i="17"/>
  <c r="K198" i="17"/>
  <c r="J198" i="17"/>
  <c r="G198" i="17"/>
  <c r="F198" i="17"/>
  <c r="D198" i="17"/>
  <c r="C198" i="17"/>
  <c r="J197" i="17"/>
  <c r="G197" i="17"/>
  <c r="F197" i="17"/>
  <c r="K197" i="17" s="1"/>
  <c r="D197" i="17"/>
  <c r="C197" i="17"/>
  <c r="J196" i="17"/>
  <c r="G196" i="17"/>
  <c r="F196" i="17"/>
  <c r="D196" i="17"/>
  <c r="C196" i="17"/>
  <c r="J195" i="17"/>
  <c r="G195" i="17"/>
  <c r="F195" i="17"/>
  <c r="K195" i="17" s="1"/>
  <c r="D195" i="17"/>
  <c r="C195" i="17"/>
  <c r="K194" i="17"/>
  <c r="J194" i="17"/>
  <c r="G194" i="17"/>
  <c r="F194" i="17"/>
  <c r="D194" i="17"/>
  <c r="C194" i="17"/>
  <c r="J193" i="17"/>
  <c r="G193" i="17"/>
  <c r="F193" i="17"/>
  <c r="K193" i="17" s="1"/>
  <c r="D193" i="17"/>
  <c r="C193" i="17"/>
  <c r="K192" i="17"/>
  <c r="J192" i="17"/>
  <c r="G192" i="17"/>
  <c r="F192" i="17"/>
  <c r="D192" i="17"/>
  <c r="C192" i="17"/>
  <c r="J191" i="17"/>
  <c r="G191" i="17"/>
  <c r="F191" i="17"/>
  <c r="K191" i="17" s="1"/>
  <c r="D191" i="17"/>
  <c r="C191" i="17"/>
  <c r="J190" i="17"/>
  <c r="G190" i="17"/>
  <c r="F190" i="17"/>
  <c r="D190" i="17"/>
  <c r="C190" i="17"/>
  <c r="J189" i="17"/>
  <c r="G189" i="17"/>
  <c r="F189" i="17"/>
  <c r="K189" i="17" s="1"/>
  <c r="D189" i="17"/>
  <c r="C189" i="17"/>
  <c r="J188" i="17"/>
  <c r="G188" i="17"/>
  <c r="F188" i="17"/>
  <c r="D188" i="17"/>
  <c r="C188" i="17"/>
  <c r="J187" i="17"/>
  <c r="G187" i="17"/>
  <c r="F187" i="17"/>
  <c r="K187" i="17" s="1"/>
  <c r="D187" i="17"/>
  <c r="C187" i="17"/>
  <c r="K186" i="17"/>
  <c r="J186" i="17"/>
  <c r="G186" i="17"/>
  <c r="F186" i="17"/>
  <c r="D186" i="17"/>
  <c r="C186" i="17"/>
  <c r="J185" i="17"/>
  <c r="G185" i="17"/>
  <c r="F185" i="17"/>
  <c r="K185" i="17" s="1"/>
  <c r="D185" i="17"/>
  <c r="C185" i="17"/>
  <c r="K184" i="17"/>
  <c r="J184" i="17"/>
  <c r="G184" i="17"/>
  <c r="F184" i="17"/>
  <c r="D184" i="17"/>
  <c r="C184" i="17"/>
  <c r="J183" i="17"/>
  <c r="G183" i="17"/>
  <c r="F183" i="17"/>
  <c r="K183" i="17" s="1"/>
  <c r="D183" i="17"/>
  <c r="C183" i="17"/>
  <c r="J182" i="17"/>
  <c r="G182" i="17"/>
  <c r="F182" i="17"/>
  <c r="D182" i="17"/>
  <c r="C182" i="17"/>
  <c r="J181" i="17"/>
  <c r="G181" i="17"/>
  <c r="F181" i="17"/>
  <c r="K181" i="17" s="1"/>
  <c r="D181" i="17"/>
  <c r="C181" i="17"/>
  <c r="J180" i="17"/>
  <c r="G180" i="17"/>
  <c r="F180" i="17"/>
  <c r="D180" i="17"/>
  <c r="C180" i="17"/>
  <c r="J179" i="17"/>
  <c r="G179" i="17"/>
  <c r="F179" i="17"/>
  <c r="K179" i="17" s="1"/>
  <c r="D179" i="17"/>
  <c r="C179" i="17"/>
  <c r="K178" i="17"/>
  <c r="J178" i="17"/>
  <c r="G178" i="17"/>
  <c r="F178" i="17"/>
  <c r="D178" i="17"/>
  <c r="C178" i="17"/>
  <c r="J177" i="17"/>
  <c r="G177" i="17"/>
  <c r="F177" i="17"/>
  <c r="K177" i="17" s="1"/>
  <c r="D177" i="17"/>
  <c r="C177" i="17"/>
  <c r="K176" i="17"/>
  <c r="J176" i="17"/>
  <c r="G176" i="17"/>
  <c r="F176" i="17"/>
  <c r="D176" i="17"/>
  <c r="C176" i="17"/>
  <c r="J175" i="17"/>
  <c r="G175" i="17"/>
  <c r="F175" i="17"/>
  <c r="D175" i="17"/>
  <c r="C175" i="17"/>
  <c r="J174" i="17"/>
  <c r="G174" i="17"/>
  <c r="F174" i="17"/>
  <c r="D174" i="17"/>
  <c r="C174" i="17"/>
  <c r="J173" i="17"/>
  <c r="G173" i="17"/>
  <c r="F173" i="17"/>
  <c r="D173" i="17"/>
  <c r="C173" i="17"/>
  <c r="J172" i="17"/>
  <c r="G172" i="17"/>
  <c r="F172" i="17"/>
  <c r="D172" i="17"/>
  <c r="C172" i="17"/>
  <c r="J171" i="17"/>
  <c r="G171" i="17"/>
  <c r="F171" i="17"/>
  <c r="D171" i="17"/>
  <c r="C171" i="17"/>
  <c r="J170" i="17"/>
  <c r="G170" i="17"/>
  <c r="F170" i="17"/>
  <c r="D170" i="17"/>
  <c r="C170" i="17"/>
  <c r="J169" i="17"/>
  <c r="G169" i="17"/>
  <c r="F169" i="17"/>
  <c r="D169" i="17"/>
  <c r="C169" i="17"/>
  <c r="J168" i="17"/>
  <c r="G168" i="17"/>
  <c r="F168" i="17"/>
  <c r="D168" i="17"/>
  <c r="C168" i="17"/>
  <c r="J167" i="17"/>
  <c r="G167" i="17"/>
  <c r="F167" i="17"/>
  <c r="D167" i="17"/>
  <c r="C167" i="17"/>
  <c r="J166" i="17"/>
  <c r="G166" i="17"/>
  <c r="F166" i="17"/>
  <c r="D166" i="17"/>
  <c r="C166" i="17"/>
  <c r="J165" i="17"/>
  <c r="G165" i="17"/>
  <c r="F165" i="17"/>
  <c r="D165" i="17"/>
  <c r="C165" i="17"/>
  <c r="J164" i="17"/>
  <c r="G164" i="17"/>
  <c r="F164" i="17"/>
  <c r="D164" i="17"/>
  <c r="C164" i="17"/>
  <c r="J163" i="17"/>
  <c r="G163" i="17"/>
  <c r="F163" i="17"/>
  <c r="D163" i="17"/>
  <c r="C163" i="17"/>
  <c r="J162" i="17"/>
  <c r="G162" i="17"/>
  <c r="F162" i="17"/>
  <c r="D162" i="17"/>
  <c r="C162" i="17"/>
  <c r="J161" i="17"/>
  <c r="G161" i="17"/>
  <c r="F161" i="17"/>
  <c r="D161" i="17"/>
  <c r="C161" i="17"/>
  <c r="J160" i="17"/>
  <c r="G160" i="17"/>
  <c r="F160" i="17"/>
  <c r="D160" i="17"/>
  <c r="C160" i="17"/>
  <c r="J159" i="17"/>
  <c r="G159" i="17"/>
  <c r="F159" i="17"/>
  <c r="D159" i="17"/>
  <c r="C159" i="17"/>
  <c r="J158" i="17"/>
  <c r="G158" i="17"/>
  <c r="F158" i="17"/>
  <c r="D158" i="17"/>
  <c r="C158" i="17"/>
  <c r="J157" i="17"/>
  <c r="G157" i="17"/>
  <c r="F157" i="17"/>
  <c r="D157" i="17"/>
  <c r="C157" i="17"/>
  <c r="J156" i="17"/>
  <c r="G156" i="17"/>
  <c r="F156" i="17"/>
  <c r="D156" i="17"/>
  <c r="C156" i="17"/>
  <c r="P155" i="17"/>
  <c r="P156" i="17" s="1"/>
  <c r="P157" i="17" s="1"/>
  <c r="P158" i="17" s="1"/>
  <c r="P159" i="17" s="1"/>
  <c r="P160" i="17" s="1"/>
  <c r="P161" i="17" s="1"/>
  <c r="P162" i="17" s="1"/>
  <c r="P163" i="17" s="1"/>
  <c r="P164" i="17" s="1"/>
  <c r="P165" i="17" s="1"/>
  <c r="P166" i="17" s="1"/>
  <c r="P167" i="17" s="1"/>
  <c r="P168" i="17" s="1"/>
  <c r="P169" i="17" s="1"/>
  <c r="P170" i="17" s="1"/>
  <c r="P171" i="17" s="1"/>
  <c r="P172" i="17" s="1"/>
  <c r="P173" i="17" s="1"/>
  <c r="P174" i="17" s="1"/>
  <c r="P175" i="17" s="1"/>
  <c r="P176" i="17" s="1"/>
  <c r="P177" i="17" s="1"/>
  <c r="P178" i="17" s="1"/>
  <c r="P179" i="17" s="1"/>
  <c r="P180" i="17" s="1"/>
  <c r="P181" i="17" s="1"/>
  <c r="P182" i="17" s="1"/>
  <c r="P183" i="17" s="1"/>
  <c r="P184" i="17" s="1"/>
  <c r="P185" i="17" s="1"/>
  <c r="P186" i="17" s="1"/>
  <c r="P187" i="17" s="1"/>
  <c r="P188" i="17" s="1"/>
  <c r="P189" i="17" s="1"/>
  <c r="P190" i="17" s="1"/>
  <c r="P191" i="17" s="1"/>
  <c r="P192" i="17" s="1"/>
  <c r="P193" i="17" s="1"/>
  <c r="P194" i="17" s="1"/>
  <c r="P195" i="17" s="1"/>
  <c r="P196" i="17" s="1"/>
  <c r="P197" i="17" s="1"/>
  <c r="P198" i="17" s="1"/>
  <c r="P199" i="17" s="1"/>
  <c r="P200" i="17" s="1"/>
  <c r="P201" i="17" s="1"/>
  <c r="P202" i="17" s="1"/>
  <c r="P203" i="17" s="1"/>
  <c r="P204" i="17" s="1"/>
  <c r="J155" i="17"/>
  <c r="G155" i="17"/>
  <c r="F155" i="17"/>
  <c r="D155" i="17"/>
  <c r="C155" i="17"/>
  <c r="J153" i="17"/>
  <c r="G153" i="17"/>
  <c r="F153" i="17"/>
  <c r="D153" i="17"/>
  <c r="C153" i="17"/>
  <c r="J152" i="17"/>
  <c r="G152" i="17"/>
  <c r="F152" i="17"/>
  <c r="D152" i="17"/>
  <c r="C152" i="17"/>
  <c r="J151" i="17"/>
  <c r="G151" i="17"/>
  <c r="F151" i="17"/>
  <c r="D151" i="17"/>
  <c r="C151" i="17"/>
  <c r="J150" i="17"/>
  <c r="G150" i="17"/>
  <c r="F150" i="17"/>
  <c r="D150" i="17"/>
  <c r="C150" i="17"/>
  <c r="J149" i="17"/>
  <c r="G149" i="17"/>
  <c r="F149" i="17"/>
  <c r="D149" i="17"/>
  <c r="C149" i="17"/>
  <c r="J148" i="17"/>
  <c r="G148" i="17"/>
  <c r="F148" i="17"/>
  <c r="D148" i="17"/>
  <c r="C148" i="17"/>
  <c r="J147" i="17"/>
  <c r="G147" i="17"/>
  <c r="F147" i="17"/>
  <c r="D147" i="17"/>
  <c r="C147" i="17"/>
  <c r="J146" i="17"/>
  <c r="G146" i="17"/>
  <c r="F146" i="17"/>
  <c r="D146" i="17"/>
  <c r="C146" i="17"/>
  <c r="J145" i="17"/>
  <c r="G145" i="17"/>
  <c r="F145" i="17"/>
  <c r="D145" i="17"/>
  <c r="C145" i="17"/>
  <c r="J144" i="17"/>
  <c r="G144" i="17"/>
  <c r="F144" i="17"/>
  <c r="D144" i="17"/>
  <c r="C144" i="17"/>
  <c r="J143" i="17"/>
  <c r="G143" i="17"/>
  <c r="F143" i="17"/>
  <c r="D143" i="17"/>
  <c r="C143" i="17"/>
  <c r="J142" i="17"/>
  <c r="G142" i="17"/>
  <c r="F142" i="17"/>
  <c r="D142" i="17"/>
  <c r="C142" i="17"/>
  <c r="J141" i="17"/>
  <c r="G141" i="17"/>
  <c r="F141" i="17"/>
  <c r="D141" i="17"/>
  <c r="C141" i="17"/>
  <c r="J140" i="17"/>
  <c r="G140" i="17"/>
  <c r="F140" i="17"/>
  <c r="D140" i="17"/>
  <c r="C140" i="17"/>
  <c r="J139" i="17"/>
  <c r="G139" i="17"/>
  <c r="F139" i="17"/>
  <c r="D139" i="17"/>
  <c r="C139" i="17"/>
  <c r="J138" i="17"/>
  <c r="G138" i="17"/>
  <c r="F138" i="17"/>
  <c r="D138" i="17"/>
  <c r="C138" i="17"/>
  <c r="J137" i="17"/>
  <c r="G137" i="17"/>
  <c r="F137" i="17"/>
  <c r="D137" i="17"/>
  <c r="C137" i="17"/>
  <c r="J136" i="17"/>
  <c r="G136" i="17"/>
  <c r="F136" i="17"/>
  <c r="D136" i="17"/>
  <c r="C136" i="17"/>
  <c r="J135" i="17"/>
  <c r="G135" i="17"/>
  <c r="F135" i="17"/>
  <c r="D135" i="17"/>
  <c r="C135" i="17"/>
  <c r="J134" i="17"/>
  <c r="G134" i="17"/>
  <c r="F134" i="17"/>
  <c r="D134" i="17"/>
  <c r="C134" i="17"/>
  <c r="J133" i="17"/>
  <c r="G133" i="17"/>
  <c r="F133" i="17"/>
  <c r="D133" i="17"/>
  <c r="C133" i="17"/>
  <c r="J132" i="17"/>
  <c r="G132" i="17"/>
  <c r="F132" i="17"/>
  <c r="D132" i="17"/>
  <c r="C132" i="17"/>
  <c r="J131" i="17"/>
  <c r="G131" i="17"/>
  <c r="F131" i="17"/>
  <c r="D131" i="17"/>
  <c r="C131" i="17"/>
  <c r="J130" i="17"/>
  <c r="G130" i="17"/>
  <c r="F130" i="17"/>
  <c r="D130" i="17"/>
  <c r="C130" i="17"/>
  <c r="J129" i="17"/>
  <c r="G129" i="17"/>
  <c r="F129" i="17"/>
  <c r="D129" i="17"/>
  <c r="C129" i="17"/>
  <c r="J128" i="17"/>
  <c r="G128" i="17"/>
  <c r="F128" i="17"/>
  <c r="D128" i="17"/>
  <c r="C128" i="17"/>
  <c r="J127" i="17"/>
  <c r="G127" i="17"/>
  <c r="F127" i="17"/>
  <c r="D127" i="17"/>
  <c r="C127" i="17"/>
  <c r="J126" i="17"/>
  <c r="G126" i="17"/>
  <c r="F126" i="17"/>
  <c r="D126" i="17"/>
  <c r="C126" i="17"/>
  <c r="J125" i="17"/>
  <c r="G125" i="17"/>
  <c r="F125" i="17"/>
  <c r="D125" i="17"/>
  <c r="C125" i="17"/>
  <c r="J124" i="17"/>
  <c r="G124" i="17"/>
  <c r="F124" i="17"/>
  <c r="D124" i="17"/>
  <c r="C124" i="17"/>
  <c r="J123" i="17"/>
  <c r="G123" i="17"/>
  <c r="F123" i="17"/>
  <c r="D123" i="17"/>
  <c r="C123" i="17"/>
  <c r="J122" i="17"/>
  <c r="G122" i="17"/>
  <c r="F122" i="17"/>
  <c r="D122" i="17"/>
  <c r="C122" i="17"/>
  <c r="J121" i="17"/>
  <c r="G121" i="17"/>
  <c r="F121" i="17"/>
  <c r="D121" i="17"/>
  <c r="C121" i="17"/>
  <c r="J120" i="17"/>
  <c r="G120" i="17"/>
  <c r="F120" i="17"/>
  <c r="D120" i="17"/>
  <c r="C120" i="17"/>
  <c r="J119" i="17"/>
  <c r="G119" i="17"/>
  <c r="F119" i="17"/>
  <c r="D119" i="17"/>
  <c r="C119" i="17"/>
  <c r="J118" i="17"/>
  <c r="G118" i="17"/>
  <c r="F118" i="17"/>
  <c r="D118" i="17"/>
  <c r="C118" i="17"/>
  <c r="J117" i="17"/>
  <c r="G117" i="17"/>
  <c r="F117" i="17"/>
  <c r="D117" i="17"/>
  <c r="C117" i="17"/>
  <c r="J116" i="17"/>
  <c r="G116" i="17"/>
  <c r="F116" i="17"/>
  <c r="D116" i="17"/>
  <c r="C116" i="17"/>
  <c r="J115" i="17"/>
  <c r="G115" i="17"/>
  <c r="F115" i="17"/>
  <c r="D115" i="17"/>
  <c r="C115" i="17"/>
  <c r="J114" i="17"/>
  <c r="G114" i="17"/>
  <c r="F114" i="17"/>
  <c r="D114" i="17"/>
  <c r="C114" i="17"/>
  <c r="J113" i="17"/>
  <c r="G113" i="17"/>
  <c r="F113" i="17"/>
  <c r="D113" i="17"/>
  <c r="C113" i="17"/>
  <c r="J112" i="17"/>
  <c r="G112" i="17"/>
  <c r="F112" i="17"/>
  <c r="D112" i="17"/>
  <c r="C112" i="17"/>
  <c r="J111" i="17"/>
  <c r="G111" i="17"/>
  <c r="F111" i="17"/>
  <c r="D111" i="17"/>
  <c r="C111" i="17"/>
  <c r="J110" i="17"/>
  <c r="G110" i="17"/>
  <c r="F110" i="17"/>
  <c r="D110" i="17"/>
  <c r="C110" i="17"/>
  <c r="J109" i="17"/>
  <c r="G109" i="17"/>
  <c r="F109" i="17"/>
  <c r="D109" i="17"/>
  <c r="C109" i="17"/>
  <c r="J108" i="17"/>
  <c r="G108" i="17"/>
  <c r="F108" i="17"/>
  <c r="D108" i="17"/>
  <c r="C108" i="17"/>
  <c r="J107" i="17"/>
  <c r="G107" i="17"/>
  <c r="F107" i="17"/>
  <c r="D107" i="17"/>
  <c r="C107" i="17"/>
  <c r="J106" i="17"/>
  <c r="G106" i="17"/>
  <c r="F106" i="17"/>
  <c r="D106" i="17"/>
  <c r="C106" i="17"/>
  <c r="P105" i="17"/>
  <c r="P106" i="17" s="1"/>
  <c r="P107" i="17" s="1"/>
  <c r="P108" i="17" s="1"/>
  <c r="P109" i="17" s="1"/>
  <c r="P110" i="17" s="1"/>
  <c r="P111" i="17" s="1"/>
  <c r="P112" i="17" s="1"/>
  <c r="P113" i="17" s="1"/>
  <c r="P114" i="17" s="1"/>
  <c r="P115" i="17" s="1"/>
  <c r="P116" i="17" s="1"/>
  <c r="P117" i="17" s="1"/>
  <c r="P118" i="17" s="1"/>
  <c r="P119" i="17" s="1"/>
  <c r="P120" i="17" s="1"/>
  <c r="P121" i="17" s="1"/>
  <c r="P122" i="17" s="1"/>
  <c r="P123" i="17" s="1"/>
  <c r="P124" i="17" s="1"/>
  <c r="P125" i="17" s="1"/>
  <c r="P126" i="17" s="1"/>
  <c r="P127" i="17" s="1"/>
  <c r="P128" i="17" s="1"/>
  <c r="P129" i="17" s="1"/>
  <c r="P130" i="17" s="1"/>
  <c r="P131" i="17" s="1"/>
  <c r="P132" i="17" s="1"/>
  <c r="P133" i="17" s="1"/>
  <c r="P134" i="17" s="1"/>
  <c r="P135" i="17" s="1"/>
  <c r="P136" i="17" s="1"/>
  <c r="P137" i="17" s="1"/>
  <c r="P138" i="17" s="1"/>
  <c r="P139" i="17" s="1"/>
  <c r="P140" i="17" s="1"/>
  <c r="P141" i="17" s="1"/>
  <c r="P142" i="17" s="1"/>
  <c r="P143" i="17" s="1"/>
  <c r="P144" i="17" s="1"/>
  <c r="P145" i="17" s="1"/>
  <c r="P146" i="17" s="1"/>
  <c r="P147" i="17" s="1"/>
  <c r="P148" i="17" s="1"/>
  <c r="P149" i="17" s="1"/>
  <c r="P150" i="17" s="1"/>
  <c r="P151" i="17" s="1"/>
  <c r="P152" i="17" s="1"/>
  <c r="P153" i="17" s="1"/>
  <c r="J105" i="17"/>
  <c r="G105" i="17"/>
  <c r="F105" i="17"/>
  <c r="D105" i="17"/>
  <c r="C105" i="17"/>
  <c r="J103" i="17"/>
  <c r="G103" i="17"/>
  <c r="F103" i="17"/>
  <c r="D103" i="17"/>
  <c r="C103" i="17"/>
  <c r="J102" i="17"/>
  <c r="G102" i="17"/>
  <c r="F102" i="17"/>
  <c r="D102" i="17"/>
  <c r="C102" i="17"/>
  <c r="J101" i="17"/>
  <c r="G101" i="17"/>
  <c r="F101" i="17"/>
  <c r="D101" i="17"/>
  <c r="C101" i="17"/>
  <c r="J100" i="17"/>
  <c r="G100" i="17"/>
  <c r="F100" i="17"/>
  <c r="D100" i="17"/>
  <c r="C100" i="17"/>
  <c r="J99" i="17"/>
  <c r="G99" i="17"/>
  <c r="F99" i="17"/>
  <c r="D99" i="17"/>
  <c r="C99" i="17"/>
  <c r="J98" i="17"/>
  <c r="G98" i="17"/>
  <c r="F98" i="17"/>
  <c r="D98" i="17"/>
  <c r="C98" i="17"/>
  <c r="J97" i="17"/>
  <c r="G97" i="17"/>
  <c r="F97" i="17"/>
  <c r="D97" i="17"/>
  <c r="C97" i="17"/>
  <c r="J96" i="17"/>
  <c r="G96" i="17"/>
  <c r="F96" i="17"/>
  <c r="D96" i="17"/>
  <c r="C96" i="17"/>
  <c r="J95" i="17"/>
  <c r="G95" i="17"/>
  <c r="F95" i="17"/>
  <c r="D95" i="17"/>
  <c r="C95" i="17"/>
  <c r="J94" i="17"/>
  <c r="G94" i="17"/>
  <c r="F94" i="17"/>
  <c r="D94" i="17"/>
  <c r="C94" i="17"/>
  <c r="J93" i="17"/>
  <c r="G93" i="17"/>
  <c r="F93" i="17"/>
  <c r="D93" i="17"/>
  <c r="C93" i="17"/>
  <c r="J92" i="17"/>
  <c r="G92" i="17"/>
  <c r="F92" i="17"/>
  <c r="D92" i="17"/>
  <c r="C92" i="17"/>
  <c r="J91" i="17"/>
  <c r="G91" i="17"/>
  <c r="F91" i="17"/>
  <c r="D91" i="17"/>
  <c r="C91" i="17"/>
  <c r="J90" i="17"/>
  <c r="G90" i="17"/>
  <c r="F90" i="17"/>
  <c r="D90" i="17"/>
  <c r="C90" i="17"/>
  <c r="J89" i="17"/>
  <c r="G89" i="17"/>
  <c r="F89" i="17"/>
  <c r="D89" i="17"/>
  <c r="C89" i="17"/>
  <c r="J88" i="17"/>
  <c r="G88" i="17"/>
  <c r="F88" i="17"/>
  <c r="D88" i="17"/>
  <c r="C88" i="17"/>
  <c r="J87" i="17"/>
  <c r="G87" i="17"/>
  <c r="F87" i="17"/>
  <c r="D87" i="17"/>
  <c r="C87" i="17"/>
  <c r="J86" i="17"/>
  <c r="G86" i="17"/>
  <c r="F86" i="17"/>
  <c r="D86" i="17"/>
  <c r="C86" i="17"/>
  <c r="J85" i="17"/>
  <c r="G85" i="17"/>
  <c r="F85" i="17"/>
  <c r="D85" i="17"/>
  <c r="C85" i="17"/>
  <c r="J84" i="17"/>
  <c r="G84" i="17"/>
  <c r="F84" i="17"/>
  <c r="D84" i="17"/>
  <c r="C84" i="17"/>
  <c r="J83" i="17"/>
  <c r="G83" i="17"/>
  <c r="F83" i="17"/>
  <c r="D83" i="17"/>
  <c r="C83" i="17"/>
  <c r="J82" i="17"/>
  <c r="G82" i="17"/>
  <c r="F82" i="17"/>
  <c r="D82" i="17"/>
  <c r="C82" i="17"/>
  <c r="J81" i="17"/>
  <c r="G81" i="17"/>
  <c r="F81" i="17"/>
  <c r="D81" i="17"/>
  <c r="C81" i="17"/>
  <c r="J80" i="17"/>
  <c r="G80" i="17"/>
  <c r="F80" i="17"/>
  <c r="D80" i="17"/>
  <c r="C80" i="17"/>
  <c r="J79" i="17"/>
  <c r="G79" i="17"/>
  <c r="F79" i="17"/>
  <c r="D79" i="17"/>
  <c r="C79" i="17"/>
  <c r="J78" i="17"/>
  <c r="G78" i="17"/>
  <c r="F78" i="17"/>
  <c r="D78" i="17"/>
  <c r="C78" i="17"/>
  <c r="J77" i="17"/>
  <c r="G77" i="17"/>
  <c r="F77" i="17"/>
  <c r="D77" i="17"/>
  <c r="C77" i="17"/>
  <c r="J76" i="17"/>
  <c r="G76" i="17"/>
  <c r="F76" i="17"/>
  <c r="D76" i="17"/>
  <c r="C76" i="17"/>
  <c r="J75" i="17"/>
  <c r="G75" i="17"/>
  <c r="F75" i="17"/>
  <c r="D75" i="17"/>
  <c r="C75" i="17"/>
  <c r="J74" i="17"/>
  <c r="G74" i="17"/>
  <c r="F74" i="17"/>
  <c r="D74" i="17"/>
  <c r="C74" i="17"/>
  <c r="J73" i="17"/>
  <c r="G73" i="17"/>
  <c r="F73" i="17"/>
  <c r="D73" i="17"/>
  <c r="C73" i="17"/>
  <c r="J72" i="17"/>
  <c r="G72" i="17"/>
  <c r="F72" i="17"/>
  <c r="D72" i="17"/>
  <c r="C72" i="17"/>
  <c r="J71" i="17"/>
  <c r="G71" i="17"/>
  <c r="F71" i="17"/>
  <c r="D71" i="17"/>
  <c r="C71" i="17"/>
  <c r="J70" i="17"/>
  <c r="G70" i="17"/>
  <c r="F70" i="17"/>
  <c r="D70" i="17"/>
  <c r="C70" i="17"/>
  <c r="J69" i="17"/>
  <c r="G69" i="17"/>
  <c r="F69" i="17"/>
  <c r="D69" i="17"/>
  <c r="C69" i="17"/>
  <c r="J68" i="17"/>
  <c r="G68" i="17"/>
  <c r="F68" i="17"/>
  <c r="D68" i="17"/>
  <c r="C68" i="17"/>
  <c r="J67" i="17"/>
  <c r="G67" i="17"/>
  <c r="F67" i="17"/>
  <c r="D67" i="17"/>
  <c r="C67" i="17"/>
  <c r="J66" i="17"/>
  <c r="G66" i="17"/>
  <c r="F66" i="17"/>
  <c r="D66" i="17"/>
  <c r="C66" i="17"/>
  <c r="J65" i="17"/>
  <c r="G65" i="17"/>
  <c r="F65" i="17"/>
  <c r="D65" i="17"/>
  <c r="C65" i="17"/>
  <c r="J64" i="17"/>
  <c r="G64" i="17"/>
  <c r="F64" i="17"/>
  <c r="D64" i="17"/>
  <c r="C64" i="17"/>
  <c r="J63" i="17"/>
  <c r="G63" i="17"/>
  <c r="F63" i="17"/>
  <c r="D63" i="17"/>
  <c r="C63" i="17"/>
  <c r="J62" i="17"/>
  <c r="G62" i="17"/>
  <c r="F62" i="17"/>
  <c r="D62" i="17"/>
  <c r="C62" i="17"/>
  <c r="J61" i="17"/>
  <c r="G61" i="17"/>
  <c r="F61" i="17"/>
  <c r="D61" i="17"/>
  <c r="C61" i="17"/>
  <c r="J60" i="17"/>
  <c r="G60" i="17"/>
  <c r="F60" i="17"/>
  <c r="K60" i="17" s="1"/>
  <c r="D60" i="17"/>
  <c r="C60" i="17"/>
  <c r="J59" i="17"/>
  <c r="G59" i="17"/>
  <c r="F59" i="17"/>
  <c r="K59" i="17" s="1"/>
  <c r="D59" i="17"/>
  <c r="C59" i="17"/>
  <c r="J58" i="17"/>
  <c r="G58" i="17"/>
  <c r="F58" i="17"/>
  <c r="K58" i="17" s="1"/>
  <c r="D58" i="17"/>
  <c r="C58" i="17"/>
  <c r="J57" i="17"/>
  <c r="G57" i="17"/>
  <c r="F57" i="17"/>
  <c r="K57" i="17" s="1"/>
  <c r="D57" i="17"/>
  <c r="C57" i="17"/>
  <c r="P56" i="17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P70" i="17" s="1"/>
  <c r="P71" i="17" s="1"/>
  <c r="P72" i="17" s="1"/>
  <c r="P73" i="17" s="1"/>
  <c r="P74" i="17" s="1"/>
  <c r="P75" i="17" s="1"/>
  <c r="P76" i="17" s="1"/>
  <c r="P77" i="17" s="1"/>
  <c r="P78" i="17" s="1"/>
  <c r="P79" i="17" s="1"/>
  <c r="P80" i="17" s="1"/>
  <c r="P81" i="17" s="1"/>
  <c r="P82" i="17" s="1"/>
  <c r="P83" i="17" s="1"/>
  <c r="P84" i="17" s="1"/>
  <c r="P85" i="17" s="1"/>
  <c r="P86" i="17" s="1"/>
  <c r="P87" i="17" s="1"/>
  <c r="P88" i="17" s="1"/>
  <c r="P89" i="17" s="1"/>
  <c r="P90" i="17" s="1"/>
  <c r="P91" i="17" s="1"/>
  <c r="P92" i="17" s="1"/>
  <c r="P93" i="17" s="1"/>
  <c r="P94" i="17" s="1"/>
  <c r="P95" i="17" s="1"/>
  <c r="P96" i="17" s="1"/>
  <c r="P97" i="17" s="1"/>
  <c r="P98" i="17" s="1"/>
  <c r="P99" i="17" s="1"/>
  <c r="P100" i="17" s="1"/>
  <c r="P101" i="17" s="1"/>
  <c r="P102" i="17" s="1"/>
  <c r="P103" i="17" s="1"/>
  <c r="J56" i="17"/>
  <c r="G56" i="17"/>
  <c r="F56" i="17"/>
  <c r="K56" i="17" s="1"/>
  <c r="D56" i="17"/>
  <c r="C56" i="17"/>
  <c r="P55" i="17"/>
  <c r="J55" i="17"/>
  <c r="G55" i="17"/>
  <c r="F55" i="17"/>
  <c r="K55" i="17" s="1"/>
  <c r="D55" i="17"/>
  <c r="C55" i="17"/>
  <c r="J53" i="17"/>
  <c r="G53" i="17"/>
  <c r="F53" i="17"/>
  <c r="K53" i="17" s="1"/>
  <c r="D53" i="17"/>
  <c r="C53" i="17"/>
  <c r="J52" i="17"/>
  <c r="G52" i="17"/>
  <c r="F52" i="17"/>
  <c r="K52" i="17" s="1"/>
  <c r="D52" i="17"/>
  <c r="C52" i="17"/>
  <c r="J51" i="17"/>
  <c r="G51" i="17"/>
  <c r="F51" i="17"/>
  <c r="K51" i="17" s="1"/>
  <c r="D51" i="17"/>
  <c r="C51" i="17"/>
  <c r="J50" i="17"/>
  <c r="G50" i="17"/>
  <c r="F50" i="17"/>
  <c r="K50" i="17" s="1"/>
  <c r="D50" i="17"/>
  <c r="C50" i="17"/>
  <c r="J49" i="17"/>
  <c r="G49" i="17"/>
  <c r="F49" i="17"/>
  <c r="K49" i="17" s="1"/>
  <c r="D49" i="17"/>
  <c r="C49" i="17"/>
  <c r="J48" i="17"/>
  <c r="G48" i="17"/>
  <c r="F48" i="17"/>
  <c r="K48" i="17" s="1"/>
  <c r="D48" i="17"/>
  <c r="C48" i="17"/>
  <c r="J47" i="17"/>
  <c r="G47" i="17"/>
  <c r="F47" i="17"/>
  <c r="K47" i="17" s="1"/>
  <c r="D47" i="17"/>
  <c r="C47" i="17"/>
  <c r="J46" i="17"/>
  <c r="G46" i="17"/>
  <c r="F46" i="17"/>
  <c r="K46" i="17" s="1"/>
  <c r="D46" i="17"/>
  <c r="C46" i="17"/>
  <c r="J45" i="17"/>
  <c r="G45" i="17"/>
  <c r="F45" i="17"/>
  <c r="K45" i="17" s="1"/>
  <c r="D45" i="17"/>
  <c r="C45" i="17"/>
  <c r="J44" i="17"/>
  <c r="G44" i="17"/>
  <c r="F44" i="17"/>
  <c r="K44" i="17" s="1"/>
  <c r="D44" i="17"/>
  <c r="C44" i="17"/>
  <c r="J43" i="17"/>
  <c r="G43" i="17"/>
  <c r="F43" i="17"/>
  <c r="K43" i="17" s="1"/>
  <c r="D43" i="17"/>
  <c r="C43" i="17"/>
  <c r="J42" i="17"/>
  <c r="G42" i="17"/>
  <c r="F42" i="17"/>
  <c r="K42" i="17" s="1"/>
  <c r="D42" i="17"/>
  <c r="C42" i="17"/>
  <c r="J41" i="17"/>
  <c r="G41" i="17"/>
  <c r="F41" i="17"/>
  <c r="K41" i="17" s="1"/>
  <c r="D41" i="17"/>
  <c r="C41" i="17"/>
  <c r="J40" i="17"/>
  <c r="G40" i="17"/>
  <c r="F40" i="17"/>
  <c r="K40" i="17" s="1"/>
  <c r="D40" i="17"/>
  <c r="C40" i="17"/>
  <c r="J39" i="17"/>
  <c r="G39" i="17"/>
  <c r="F39" i="17"/>
  <c r="K39" i="17" s="1"/>
  <c r="D39" i="17"/>
  <c r="C39" i="17"/>
  <c r="J38" i="17"/>
  <c r="G38" i="17"/>
  <c r="F38" i="17"/>
  <c r="K38" i="17" s="1"/>
  <c r="D38" i="17"/>
  <c r="C38" i="17"/>
  <c r="J37" i="17"/>
  <c r="G37" i="17"/>
  <c r="F37" i="17"/>
  <c r="D37" i="17"/>
  <c r="C37" i="17"/>
  <c r="J36" i="17"/>
  <c r="G36" i="17"/>
  <c r="F36" i="17"/>
  <c r="D36" i="17"/>
  <c r="C36" i="17"/>
  <c r="J35" i="17"/>
  <c r="G35" i="17"/>
  <c r="F35" i="17"/>
  <c r="D35" i="17"/>
  <c r="C35" i="17"/>
  <c r="J34" i="17"/>
  <c r="G34" i="17"/>
  <c r="F34" i="17"/>
  <c r="D34" i="17"/>
  <c r="C34" i="17"/>
  <c r="J33" i="17"/>
  <c r="G33" i="17"/>
  <c r="F33" i="17"/>
  <c r="D33" i="17"/>
  <c r="C33" i="17"/>
  <c r="K32" i="17"/>
  <c r="J32" i="17"/>
  <c r="G32" i="17"/>
  <c r="F32" i="17"/>
  <c r="D32" i="17"/>
  <c r="C32" i="17"/>
  <c r="J31" i="17"/>
  <c r="G31" i="17"/>
  <c r="F31" i="17"/>
  <c r="D31" i="17"/>
  <c r="C31" i="17"/>
  <c r="J30" i="17"/>
  <c r="G30" i="17"/>
  <c r="F30" i="17"/>
  <c r="D30" i="17"/>
  <c r="C30" i="17"/>
  <c r="K29" i="17"/>
  <c r="J29" i="17"/>
  <c r="G29" i="17"/>
  <c r="F29" i="17"/>
  <c r="D29" i="17"/>
  <c r="C29" i="17"/>
  <c r="K28" i="17"/>
  <c r="J28" i="17"/>
  <c r="G28" i="17"/>
  <c r="F28" i="17"/>
  <c r="D28" i="17"/>
  <c r="C28" i="17"/>
  <c r="J27" i="17"/>
  <c r="G27" i="17"/>
  <c r="F27" i="17"/>
  <c r="D27" i="17"/>
  <c r="C27" i="17"/>
  <c r="J26" i="17"/>
  <c r="G26" i="17"/>
  <c r="F26" i="17"/>
  <c r="D26" i="17"/>
  <c r="C26" i="17"/>
  <c r="K25" i="17"/>
  <c r="J25" i="17"/>
  <c r="G25" i="17"/>
  <c r="F25" i="17"/>
  <c r="D25" i="17"/>
  <c r="C25" i="17"/>
  <c r="K24" i="17"/>
  <c r="J24" i="17"/>
  <c r="G24" i="17"/>
  <c r="F24" i="17"/>
  <c r="D24" i="17"/>
  <c r="C24" i="17"/>
  <c r="J23" i="17"/>
  <c r="G23" i="17"/>
  <c r="F23" i="17"/>
  <c r="D23" i="17"/>
  <c r="C23" i="17"/>
  <c r="J22" i="17"/>
  <c r="G22" i="17"/>
  <c r="F22" i="17"/>
  <c r="D22" i="17"/>
  <c r="C22" i="17"/>
  <c r="K21" i="17"/>
  <c r="J21" i="17"/>
  <c r="G21" i="17"/>
  <c r="F21" i="17"/>
  <c r="D21" i="17"/>
  <c r="C21" i="17"/>
  <c r="K20" i="17"/>
  <c r="J20" i="17"/>
  <c r="G20" i="17"/>
  <c r="F20" i="17"/>
  <c r="D20" i="17"/>
  <c r="C20" i="17"/>
  <c r="J19" i="17"/>
  <c r="G19" i="17"/>
  <c r="F19" i="17"/>
  <c r="D19" i="17"/>
  <c r="C19" i="17"/>
  <c r="J18" i="17"/>
  <c r="G18" i="17"/>
  <c r="F18" i="17"/>
  <c r="D18" i="17"/>
  <c r="C18" i="17"/>
  <c r="K17" i="17"/>
  <c r="J17" i="17"/>
  <c r="G17" i="17"/>
  <c r="F17" i="17"/>
  <c r="D17" i="17"/>
  <c r="C17" i="17"/>
  <c r="K16" i="17"/>
  <c r="J16" i="17"/>
  <c r="G16" i="17"/>
  <c r="F16" i="17"/>
  <c r="D16" i="17"/>
  <c r="C16" i="17"/>
  <c r="J15" i="17"/>
  <c r="G15" i="17"/>
  <c r="F15" i="17"/>
  <c r="D15" i="17"/>
  <c r="C15" i="17"/>
  <c r="J14" i="17"/>
  <c r="G14" i="17"/>
  <c r="F14" i="17"/>
  <c r="D14" i="17"/>
  <c r="C14" i="17"/>
  <c r="K13" i="17"/>
  <c r="J13" i="17"/>
  <c r="G13" i="17"/>
  <c r="F13" i="17"/>
  <c r="D13" i="17"/>
  <c r="C13" i="17"/>
  <c r="K12" i="17"/>
  <c r="J12" i="17"/>
  <c r="G12" i="17"/>
  <c r="F12" i="17"/>
  <c r="D12" i="17"/>
  <c r="C12" i="17"/>
  <c r="J11" i="17"/>
  <c r="G11" i="17"/>
  <c r="F11" i="17"/>
  <c r="D11" i="17"/>
  <c r="C11" i="17"/>
  <c r="J10" i="17"/>
  <c r="G10" i="17"/>
  <c r="F10" i="17"/>
  <c r="D10" i="17"/>
  <c r="C10" i="17"/>
  <c r="K9" i="17"/>
  <c r="J9" i="17"/>
  <c r="G9" i="17"/>
  <c r="F9" i="17"/>
  <c r="D9" i="17"/>
  <c r="C9" i="17"/>
  <c r="K8" i="17"/>
  <c r="J8" i="17"/>
  <c r="G8" i="17"/>
  <c r="F8" i="17"/>
  <c r="D8" i="17"/>
  <c r="C8" i="17"/>
  <c r="J7" i="17"/>
  <c r="G7" i="17"/>
  <c r="F7" i="17"/>
  <c r="D7" i="17"/>
  <c r="C7" i="17"/>
  <c r="J6" i="17"/>
  <c r="G6" i="17"/>
  <c r="F6" i="17"/>
  <c r="D6" i="17"/>
  <c r="C6" i="17"/>
  <c r="P5" i="17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P30" i="17" s="1"/>
  <c r="P31" i="17" s="1"/>
  <c r="P32" i="17" s="1"/>
  <c r="P33" i="17" s="1"/>
  <c r="P34" i="17" s="1"/>
  <c r="P35" i="17" s="1"/>
  <c r="P36" i="17" s="1"/>
  <c r="P37" i="17" s="1"/>
  <c r="P38" i="17" s="1"/>
  <c r="P39" i="17" s="1"/>
  <c r="P40" i="17" s="1"/>
  <c r="P41" i="17" s="1"/>
  <c r="P42" i="17" s="1"/>
  <c r="P43" i="17" s="1"/>
  <c r="P44" i="17" s="1"/>
  <c r="P45" i="17" s="1"/>
  <c r="P46" i="17" s="1"/>
  <c r="P47" i="17" s="1"/>
  <c r="P48" i="17" s="1"/>
  <c r="P49" i="17" s="1"/>
  <c r="P50" i="17" s="1"/>
  <c r="P51" i="17" s="1"/>
  <c r="P52" i="17" s="1"/>
  <c r="P53" i="17" s="1"/>
  <c r="K5" i="17"/>
  <c r="J5" i="17"/>
  <c r="G5" i="17"/>
  <c r="F5" i="17"/>
  <c r="D5" i="17"/>
  <c r="C5" i="17"/>
  <c r="P4" i="17"/>
  <c r="K4" i="17"/>
  <c r="J4" i="17"/>
  <c r="G4" i="17"/>
  <c r="F4" i="17"/>
  <c r="D4" i="17"/>
  <c r="C4" i="17"/>
  <c r="D13" i="16"/>
  <c r="D12" i="16"/>
  <c r="G369" i="1"/>
  <c r="F369" i="1"/>
  <c r="G368" i="1"/>
  <c r="F368" i="1"/>
  <c r="G367" i="1"/>
  <c r="F367" i="1"/>
  <c r="G348" i="1"/>
  <c r="F348" i="1"/>
  <c r="G344" i="1"/>
  <c r="F344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7" i="1"/>
  <c r="F347" i="1"/>
  <c r="G346" i="1"/>
  <c r="F346" i="1"/>
  <c r="G345" i="1"/>
  <c r="F345" i="1"/>
  <c r="G343" i="1"/>
  <c r="F343" i="1"/>
  <c r="G342" i="1"/>
  <c r="F342" i="1"/>
  <c r="G341" i="1"/>
  <c r="F341" i="1"/>
  <c r="G366" i="1"/>
  <c r="F366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6" i="1"/>
  <c r="F326" i="1"/>
  <c r="G324" i="1"/>
  <c r="F324" i="1"/>
  <c r="G323" i="1"/>
  <c r="F323" i="1"/>
  <c r="G320" i="1"/>
  <c r="F320" i="1"/>
  <c r="G319" i="1"/>
  <c r="F319" i="1"/>
  <c r="G317" i="1"/>
  <c r="F317" i="1"/>
  <c r="G315" i="1"/>
  <c r="F315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180" i="1"/>
  <c r="F180" i="1"/>
  <c r="G299" i="1"/>
  <c r="F299" i="1"/>
  <c r="G179" i="1"/>
  <c r="F179" i="1"/>
  <c r="G295" i="1"/>
  <c r="F295" i="1"/>
  <c r="G294" i="1"/>
  <c r="F294" i="1"/>
  <c r="G293" i="1"/>
  <c r="F293" i="1"/>
  <c r="G292" i="1"/>
  <c r="F292" i="1"/>
  <c r="G291" i="1"/>
  <c r="F291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97" i="1"/>
  <c r="F297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1" i="1"/>
  <c r="F211" i="1"/>
  <c r="G210" i="1"/>
  <c r="F210" i="1"/>
  <c r="G209" i="1"/>
  <c r="F209" i="1"/>
  <c r="G208" i="1"/>
  <c r="F208" i="1"/>
  <c r="G207" i="1"/>
  <c r="F207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325" i="1"/>
  <c r="F325" i="1"/>
  <c r="G183" i="1"/>
  <c r="F183" i="1"/>
  <c r="G182" i="1"/>
  <c r="F182" i="1"/>
  <c r="G181" i="1"/>
  <c r="F181" i="1"/>
  <c r="G300" i="1"/>
  <c r="F300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206" i="1"/>
  <c r="F206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2" i="1"/>
  <c r="F162" i="1"/>
  <c r="G160" i="1"/>
  <c r="F160" i="1"/>
  <c r="G159" i="1"/>
  <c r="F159" i="1"/>
  <c r="G157" i="1"/>
  <c r="F157" i="1"/>
  <c r="G156" i="1"/>
  <c r="F156" i="1"/>
  <c r="G155" i="1"/>
  <c r="F155" i="1"/>
  <c r="G154" i="1"/>
  <c r="F154" i="1"/>
  <c r="G153" i="1"/>
  <c r="F153" i="1"/>
  <c r="G158" i="1"/>
  <c r="F158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7" i="1"/>
  <c r="F127" i="1"/>
  <c r="G128" i="1"/>
  <c r="F128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1" i="1"/>
  <c r="F101" i="1"/>
  <c r="G100" i="1"/>
  <c r="F100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49" i="1"/>
  <c r="F49" i="1"/>
  <c r="G74" i="1"/>
  <c r="F74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8" i="1"/>
  <c r="F48" i="1"/>
  <c r="G47" i="1"/>
  <c r="F47" i="1"/>
  <c r="G30" i="1"/>
  <c r="F30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I5" i="17" l="1"/>
  <c r="I7" i="17"/>
  <c r="H6" i="17"/>
  <c r="H9" i="17"/>
  <c r="I11" i="17"/>
  <c r="H12" i="17"/>
  <c r="H14" i="17"/>
  <c r="H17" i="17"/>
  <c r="I19" i="17"/>
  <c r="H20" i="17"/>
  <c r="H5" i="17"/>
  <c r="I6" i="17"/>
  <c r="H7" i="17"/>
  <c r="I9" i="17"/>
  <c r="I12" i="17"/>
  <c r="I14" i="17"/>
  <c r="H15" i="17"/>
  <c r="I17" i="17"/>
  <c r="I20" i="17"/>
  <c r="I22" i="17"/>
  <c r="H23" i="17"/>
  <c r="I25" i="17"/>
  <c r="I28" i="17"/>
  <c r="I30" i="17"/>
  <c r="H31" i="17"/>
  <c r="I33" i="17"/>
  <c r="H34" i="17"/>
  <c r="I37" i="17"/>
  <c r="I41" i="17"/>
  <c r="I45" i="17"/>
  <c r="I49" i="17"/>
  <c r="I53" i="17"/>
  <c r="H56" i="17"/>
  <c r="I60" i="17"/>
  <c r="H61" i="17"/>
  <c r="I64" i="17"/>
  <c r="H65" i="17"/>
  <c r="I68" i="17"/>
  <c r="H69" i="17"/>
  <c r="I72" i="17"/>
  <c r="H73" i="17"/>
  <c r="I76" i="17"/>
  <c r="H77" i="17"/>
  <c r="I80" i="17"/>
  <c r="H81" i="17"/>
  <c r="I84" i="17"/>
  <c r="H85" i="17"/>
  <c r="I88" i="17"/>
  <c r="H89" i="17"/>
  <c r="I92" i="17"/>
  <c r="H93" i="17"/>
  <c r="I96" i="17"/>
  <c r="H97" i="17"/>
  <c r="I100" i="17"/>
  <c r="H101" i="17"/>
  <c r="H191" i="17"/>
  <c r="H4" i="17"/>
  <c r="H8" i="17"/>
  <c r="H10" i="17"/>
  <c r="H13" i="17"/>
  <c r="I15" i="17"/>
  <c r="H16" i="17"/>
  <c r="H18" i="17"/>
  <c r="H21" i="17"/>
  <c r="I23" i="17"/>
  <c r="H24" i="17"/>
  <c r="H26" i="17"/>
  <c r="H29" i="17"/>
  <c r="I31" i="17"/>
  <c r="H32" i="17"/>
  <c r="I34" i="17"/>
  <c r="H35" i="17"/>
  <c r="I38" i="17"/>
  <c r="H41" i="17"/>
  <c r="I42" i="17"/>
  <c r="H45" i="17"/>
  <c r="I46" i="17"/>
  <c r="H49" i="17"/>
  <c r="I50" i="17"/>
  <c r="H53" i="17"/>
  <c r="L53" i="17" s="1"/>
  <c r="N53" i="17" s="1"/>
  <c r="O53" i="17" s="1"/>
  <c r="I55" i="17"/>
  <c r="I57" i="17"/>
  <c r="H60" i="17"/>
  <c r="I61" i="17"/>
  <c r="H62" i="17"/>
  <c r="I65" i="17"/>
  <c r="H66" i="17"/>
  <c r="I69" i="17"/>
  <c r="H70" i="17"/>
  <c r="I73" i="17"/>
  <c r="H74" i="17"/>
  <c r="I77" i="17"/>
  <c r="H78" i="17"/>
  <c r="I81" i="17"/>
  <c r="H82" i="17"/>
  <c r="I85" i="17"/>
  <c r="H86" i="17"/>
  <c r="I89" i="17"/>
  <c r="H90" i="17"/>
  <c r="I93" i="17"/>
  <c r="H94" i="17"/>
  <c r="I97" i="17"/>
  <c r="I253" i="17"/>
  <c r="I268" i="17"/>
  <c r="I241" i="17"/>
  <c r="I306" i="17"/>
  <c r="I288" i="17"/>
  <c r="I285" i="17"/>
  <c r="I276" i="17"/>
  <c r="I245" i="17"/>
  <c r="I331" i="17"/>
  <c r="I272" i="17"/>
  <c r="I269" i="17"/>
  <c r="I322" i="17"/>
  <c r="I251" i="17"/>
  <c r="I249" i="17"/>
  <c r="I243" i="17"/>
  <c r="I105" i="17"/>
  <c r="I108" i="17"/>
  <c r="H109" i="17"/>
  <c r="I112" i="17"/>
  <c r="H113" i="17"/>
  <c r="I116" i="17"/>
  <c r="H117" i="17"/>
  <c r="I120" i="17"/>
  <c r="H121" i="17"/>
  <c r="I124" i="17"/>
  <c r="H125" i="17"/>
  <c r="I128" i="17"/>
  <c r="H129" i="17"/>
  <c r="I132" i="17"/>
  <c r="H133" i="17"/>
  <c r="I136" i="17"/>
  <c r="H137" i="17"/>
  <c r="I140" i="17"/>
  <c r="H141" i="17"/>
  <c r="I144" i="17"/>
  <c r="H145" i="17"/>
  <c r="I148" i="17"/>
  <c r="H149" i="17"/>
  <c r="I152" i="17"/>
  <c r="H153" i="17"/>
  <c r="I156" i="17"/>
  <c r="H157" i="17"/>
  <c r="I160" i="17"/>
  <c r="I164" i="17"/>
  <c r="I168" i="17"/>
  <c r="I172" i="17"/>
  <c r="I176" i="17"/>
  <c r="H181" i="17"/>
  <c r="I182" i="17"/>
  <c r="I185" i="17"/>
  <c r="H186" i="17"/>
  <c r="H187" i="17"/>
  <c r="I188" i="17"/>
  <c r="H192" i="17"/>
  <c r="H193" i="17"/>
  <c r="I194" i="17"/>
  <c r="I197" i="17"/>
  <c r="H198" i="17"/>
  <c r="H199" i="17"/>
  <c r="H203" i="17"/>
  <c r="H204" i="17"/>
  <c r="H209" i="17"/>
  <c r="H211" i="17"/>
  <c r="H214" i="17"/>
  <c r="H217" i="17"/>
  <c r="H219" i="17"/>
  <c r="I221" i="17"/>
  <c r="I223" i="17"/>
  <c r="I225" i="17"/>
  <c r="I227" i="17"/>
  <c r="I229" i="17"/>
  <c r="I231" i="17"/>
  <c r="I233" i="17"/>
  <c r="I235" i="17"/>
  <c r="I237" i="17"/>
  <c r="I238" i="17"/>
  <c r="I242" i="17"/>
  <c r="I248" i="17"/>
  <c r="I257" i="17"/>
  <c r="I259" i="17"/>
  <c r="I277" i="17"/>
  <c r="H278" i="17"/>
  <c r="I289" i="17"/>
  <c r="H290" i="17"/>
  <c r="I293" i="17"/>
  <c r="H294" i="17"/>
  <c r="I297" i="17"/>
  <c r="I317" i="17"/>
  <c r="I321" i="17"/>
  <c r="I324" i="17"/>
  <c r="I335" i="17"/>
  <c r="I339" i="17"/>
  <c r="H340" i="17"/>
  <c r="I343" i="17"/>
  <c r="H98" i="17"/>
  <c r="I101" i="17"/>
  <c r="H102" i="17"/>
  <c r="H106" i="17"/>
  <c r="I109" i="17"/>
  <c r="H110" i="17"/>
  <c r="I113" i="17"/>
  <c r="H114" i="17"/>
  <c r="I117" i="17"/>
  <c r="H118" i="17"/>
  <c r="I121" i="17"/>
  <c r="L121" i="17" s="1"/>
  <c r="N121" i="17" s="1"/>
  <c r="H122" i="17"/>
  <c r="I125" i="17"/>
  <c r="H126" i="17"/>
  <c r="I129" i="17"/>
  <c r="H130" i="17"/>
  <c r="I133" i="17"/>
  <c r="H134" i="17"/>
  <c r="I137" i="17"/>
  <c r="L137" i="17" s="1"/>
  <c r="N137" i="17" s="1"/>
  <c r="H138" i="17"/>
  <c r="I141" i="17"/>
  <c r="H142" i="17"/>
  <c r="I145" i="17"/>
  <c r="L145" i="17" s="1"/>
  <c r="N145" i="17" s="1"/>
  <c r="H146" i="17"/>
  <c r="I149" i="17"/>
  <c r="H150" i="17"/>
  <c r="I153" i="17"/>
  <c r="L153" i="17" s="1"/>
  <c r="N153" i="17" s="1"/>
  <c r="H155" i="17"/>
  <c r="I157" i="17"/>
  <c r="H158" i="17"/>
  <c r="I161" i="17"/>
  <c r="I165" i="17"/>
  <c r="I169" i="17"/>
  <c r="I173" i="17"/>
  <c r="I179" i="17"/>
  <c r="H180" i="17"/>
  <c r="I183" i="17"/>
  <c r="H184" i="17"/>
  <c r="H185" i="17"/>
  <c r="I186" i="17"/>
  <c r="I189" i="17"/>
  <c r="H190" i="17"/>
  <c r="I192" i="17"/>
  <c r="H197" i="17"/>
  <c r="L197" i="17" s="1"/>
  <c r="N197" i="17" s="1"/>
  <c r="I198" i="17"/>
  <c r="I201" i="17"/>
  <c r="I204" i="17"/>
  <c r="H207" i="17"/>
  <c r="I209" i="17"/>
  <c r="I211" i="17"/>
  <c r="H212" i="17"/>
  <c r="I214" i="17"/>
  <c r="L214" i="17" s="1"/>
  <c r="N214" i="17" s="1"/>
  <c r="I217" i="17"/>
  <c r="I219" i="17"/>
  <c r="H220" i="17"/>
  <c r="H222" i="17"/>
  <c r="H224" i="17"/>
  <c r="H226" i="17"/>
  <c r="H228" i="17"/>
  <c r="H230" i="17"/>
  <c r="H232" i="17"/>
  <c r="H234" i="17"/>
  <c r="H236" i="17"/>
  <c r="I239" i="17"/>
  <c r="H240" i="17"/>
  <c r="H269" i="17"/>
  <c r="L269" i="17" s="1"/>
  <c r="N269" i="17" s="1"/>
  <c r="I271" i="17"/>
  <c r="H272" i="17"/>
  <c r="L272" i="17" s="1"/>
  <c r="N272" i="17" s="1"/>
  <c r="I274" i="17"/>
  <c r="H275" i="17"/>
  <c r="I286" i="17"/>
  <c r="H287" i="17"/>
  <c r="I314" i="17"/>
  <c r="H315" i="17"/>
  <c r="I336" i="17"/>
  <c r="H337" i="17"/>
  <c r="I4" i="17"/>
  <c r="I8" i="17"/>
  <c r="I10" i="17"/>
  <c r="H11" i="17"/>
  <c r="I13" i="17"/>
  <c r="I16" i="17"/>
  <c r="I18" i="17"/>
  <c r="L18" i="17" s="1"/>
  <c r="N18" i="17" s="1"/>
  <c r="H19" i="17"/>
  <c r="I21" i="17"/>
  <c r="I24" i="17"/>
  <c r="I26" i="17"/>
  <c r="L26" i="17" s="1"/>
  <c r="N26" i="17" s="1"/>
  <c r="H27" i="17"/>
  <c r="I29" i="17"/>
  <c r="I32" i="17"/>
  <c r="I35" i="17"/>
  <c r="H36" i="17"/>
  <c r="I39" i="17"/>
  <c r="I43" i="17"/>
  <c r="I47" i="17"/>
  <c r="I51" i="17"/>
  <c r="I58" i="17"/>
  <c r="I62" i="17"/>
  <c r="H63" i="17"/>
  <c r="I66" i="17"/>
  <c r="L66" i="17" s="1"/>
  <c r="N66" i="17" s="1"/>
  <c r="H67" i="17"/>
  <c r="I70" i="17"/>
  <c r="H71" i="17"/>
  <c r="I74" i="17"/>
  <c r="L74" i="17" s="1"/>
  <c r="N74" i="17" s="1"/>
  <c r="H75" i="17"/>
  <c r="I78" i="17"/>
  <c r="H79" i="17"/>
  <c r="I82" i="17"/>
  <c r="L82" i="17" s="1"/>
  <c r="N82" i="17" s="1"/>
  <c r="H83" i="17"/>
  <c r="I86" i="17"/>
  <c r="H87" i="17"/>
  <c r="I90" i="17"/>
  <c r="L90" i="17" s="1"/>
  <c r="N90" i="17" s="1"/>
  <c r="H91" i="17"/>
  <c r="I94" i="17"/>
  <c r="H95" i="17"/>
  <c r="I98" i="17"/>
  <c r="H99" i="17"/>
  <c r="I102" i="17"/>
  <c r="H103" i="17"/>
  <c r="I106" i="17"/>
  <c r="H107" i="17"/>
  <c r="I110" i="17"/>
  <c r="H111" i="17"/>
  <c r="I114" i="17"/>
  <c r="H115" i="17"/>
  <c r="I118" i="17"/>
  <c r="H119" i="17"/>
  <c r="I122" i="17"/>
  <c r="H123" i="17"/>
  <c r="I126" i="17"/>
  <c r="H127" i="17"/>
  <c r="I130" i="17"/>
  <c r="H131" i="17"/>
  <c r="I134" i="17"/>
  <c r="H135" i="17"/>
  <c r="I138" i="17"/>
  <c r="H139" i="17"/>
  <c r="I142" i="17"/>
  <c r="H143" i="17"/>
  <c r="I146" i="17"/>
  <c r="H147" i="17"/>
  <c r="I150" i="17"/>
  <c r="H151" i="17"/>
  <c r="I308" i="17"/>
  <c r="I311" i="17"/>
  <c r="I330" i="17"/>
  <c r="H331" i="17"/>
  <c r="L331" i="17" s="1"/>
  <c r="N331" i="17" s="1"/>
  <c r="I333" i="17"/>
  <c r="H334" i="17"/>
  <c r="H22" i="17"/>
  <c r="H25" i="17"/>
  <c r="L25" i="17" s="1"/>
  <c r="N25" i="17" s="1"/>
  <c r="I27" i="17"/>
  <c r="H28" i="17"/>
  <c r="H30" i="17"/>
  <c r="H33" i="17"/>
  <c r="I36" i="17"/>
  <c r="H37" i="17"/>
  <c r="H39" i="17"/>
  <c r="I40" i="17"/>
  <c r="H43" i="17"/>
  <c r="L43" i="17" s="1"/>
  <c r="N43" i="17" s="1"/>
  <c r="I44" i="17"/>
  <c r="H47" i="17"/>
  <c r="I48" i="17"/>
  <c r="H51" i="17"/>
  <c r="L51" i="17" s="1"/>
  <c r="N51" i="17" s="1"/>
  <c r="I52" i="17"/>
  <c r="I56" i="17"/>
  <c r="H58" i="17"/>
  <c r="I59" i="17"/>
  <c r="I63" i="17"/>
  <c r="H64" i="17"/>
  <c r="I67" i="17"/>
  <c r="H68" i="17"/>
  <c r="L68" i="17" s="1"/>
  <c r="N68" i="17" s="1"/>
  <c r="I71" i="17"/>
  <c r="H72" i="17"/>
  <c r="I75" i="17"/>
  <c r="H76" i="17"/>
  <c r="L76" i="17" s="1"/>
  <c r="N76" i="17" s="1"/>
  <c r="I79" i="17"/>
  <c r="H80" i="17"/>
  <c r="I83" i="17"/>
  <c r="H84" i="17"/>
  <c r="L84" i="17" s="1"/>
  <c r="N84" i="17" s="1"/>
  <c r="I87" i="17"/>
  <c r="H88" i="17"/>
  <c r="I91" i="17"/>
  <c r="H92" i="17"/>
  <c r="L92" i="17" s="1"/>
  <c r="N92" i="17" s="1"/>
  <c r="I95" i="17"/>
  <c r="H96" i="17"/>
  <c r="I99" i="17"/>
  <c r="L99" i="17" s="1"/>
  <c r="N99" i="17" s="1"/>
  <c r="H100" i="17"/>
  <c r="L100" i="17" s="1"/>
  <c r="N100" i="17" s="1"/>
  <c r="I103" i="17"/>
  <c r="H105" i="17"/>
  <c r="I107" i="17"/>
  <c r="H108" i="17"/>
  <c r="L108" i="17" s="1"/>
  <c r="N108" i="17" s="1"/>
  <c r="I111" i="17"/>
  <c r="H112" i="17"/>
  <c r="I115" i="17"/>
  <c r="H116" i="17"/>
  <c r="L116" i="17" s="1"/>
  <c r="N116" i="17" s="1"/>
  <c r="I119" i="17"/>
  <c r="H120" i="17"/>
  <c r="I123" i="17"/>
  <c r="H124" i="17"/>
  <c r="L124" i="17" s="1"/>
  <c r="N124" i="17" s="1"/>
  <c r="I127" i="17"/>
  <c r="H128" i="17"/>
  <c r="I131" i="17"/>
  <c r="H132" i="17"/>
  <c r="L132" i="17" s="1"/>
  <c r="N132" i="17" s="1"/>
  <c r="I135" i="17"/>
  <c r="H136" i="17"/>
  <c r="I139" i="17"/>
  <c r="H140" i="17"/>
  <c r="L140" i="17" s="1"/>
  <c r="N140" i="17" s="1"/>
  <c r="I143" i="17"/>
  <c r="H144" i="17"/>
  <c r="I147" i="17"/>
  <c r="H148" i="17"/>
  <c r="L148" i="17" s="1"/>
  <c r="N148" i="17" s="1"/>
  <c r="I151" i="17"/>
  <c r="H242" i="17"/>
  <c r="I244" i="17"/>
  <c r="I247" i="17"/>
  <c r="H248" i="17"/>
  <c r="I250" i="17"/>
  <c r="I252" i="17"/>
  <c r="I255" i="17"/>
  <c r="H257" i="17"/>
  <c r="L257" i="17" s="1"/>
  <c r="N257" i="17" s="1"/>
  <c r="I258" i="17"/>
  <c r="I262" i="17"/>
  <c r="I266" i="17"/>
  <c r="I280" i="17"/>
  <c r="H281" i="17"/>
  <c r="I284" i="17"/>
  <c r="H297" i="17"/>
  <c r="L297" i="17" s="1"/>
  <c r="N297" i="17" s="1"/>
  <c r="I300" i="17"/>
  <c r="I304" i="17"/>
  <c r="I316" i="17"/>
  <c r="I327" i="17"/>
  <c r="H260" i="17"/>
  <c r="I263" i="17"/>
  <c r="H264" i="17"/>
  <c r="I275" i="17"/>
  <c r="H276" i="17"/>
  <c r="L276" i="17" s="1"/>
  <c r="N276" i="17" s="1"/>
  <c r="I278" i="17"/>
  <c r="H279" i="17"/>
  <c r="I281" i="17"/>
  <c r="L281" i="17" s="1"/>
  <c r="N281" i="17" s="1"/>
  <c r="H282" i="17"/>
  <c r="H285" i="17"/>
  <c r="I287" i="17"/>
  <c r="H288" i="17"/>
  <c r="L288" i="17" s="1"/>
  <c r="N288" i="17" s="1"/>
  <c r="I290" i="17"/>
  <c r="H291" i="17"/>
  <c r="I294" i="17"/>
  <c r="H295" i="17"/>
  <c r="H298" i="17"/>
  <c r="I301" i="17"/>
  <c r="H302" i="17"/>
  <c r="I305" i="17"/>
  <c r="H306" i="17"/>
  <c r="L306" i="17" s="1"/>
  <c r="N306" i="17" s="1"/>
  <c r="H309" i="17"/>
  <c r="I312" i="17"/>
  <c r="H313" i="17"/>
  <c r="I315" i="17"/>
  <c r="I318" i="17"/>
  <c r="H319" i="17"/>
  <c r="H325" i="17"/>
  <c r="H328" i="17"/>
  <c r="I334" i="17"/>
  <c r="H335" i="17"/>
  <c r="I337" i="17"/>
  <c r="H338" i="17"/>
  <c r="I340" i="17"/>
  <c r="H341" i="17"/>
  <c r="I155" i="17"/>
  <c r="I158" i="17"/>
  <c r="L158" i="17" s="1"/>
  <c r="N158" i="17" s="1"/>
  <c r="I162" i="17"/>
  <c r="I166" i="17"/>
  <c r="I170" i="17"/>
  <c r="I174" i="17"/>
  <c r="I177" i="17"/>
  <c r="H178" i="17"/>
  <c r="H179" i="17"/>
  <c r="L179" i="17" s="1"/>
  <c r="N179" i="17" s="1"/>
  <c r="I180" i="17"/>
  <c r="H183" i="17"/>
  <c r="L183" i="17" s="1"/>
  <c r="N183" i="17" s="1"/>
  <c r="I184" i="17"/>
  <c r="L184" i="17" s="1"/>
  <c r="N184" i="17" s="1"/>
  <c r="H189" i="17"/>
  <c r="L189" i="17" s="1"/>
  <c r="N189" i="17" s="1"/>
  <c r="I190" i="17"/>
  <c r="I195" i="17"/>
  <c r="H196" i="17"/>
  <c r="H201" i="17"/>
  <c r="I202" i="17"/>
  <c r="H206" i="17"/>
  <c r="I207" i="17"/>
  <c r="H210" i="17"/>
  <c r="H213" i="17"/>
  <c r="H215" i="17"/>
  <c r="H218" i="17"/>
  <c r="I220" i="17"/>
  <c r="L220" i="17" s="1"/>
  <c r="N220" i="17" s="1"/>
  <c r="I222" i="17"/>
  <c r="I224" i="17"/>
  <c r="I226" i="17"/>
  <c r="I228" i="17"/>
  <c r="L228" i="17" s="1"/>
  <c r="N228" i="17" s="1"/>
  <c r="I230" i="17"/>
  <c r="I232" i="17"/>
  <c r="I234" i="17"/>
  <c r="L234" i="17" s="1"/>
  <c r="N234" i="17" s="1"/>
  <c r="I236" i="17"/>
  <c r="L236" i="17" s="1"/>
  <c r="N236" i="17" s="1"/>
  <c r="I240" i="17"/>
  <c r="H246" i="17"/>
  <c r="H254" i="17"/>
  <c r="I260" i="17"/>
  <c r="I264" i="17"/>
  <c r="I267" i="17"/>
  <c r="H268" i="17"/>
  <c r="H270" i="17"/>
  <c r="H273" i="17"/>
  <c r="I279" i="17"/>
  <c r="H280" i="17"/>
  <c r="I282" i="17"/>
  <c r="H283" i="17"/>
  <c r="I291" i="17"/>
  <c r="H292" i="17"/>
  <c r="I295" i="17"/>
  <c r="H296" i="17"/>
  <c r="I298" i="17"/>
  <c r="H299" i="17"/>
  <c r="I302" i="17"/>
  <c r="L302" i="17" s="1"/>
  <c r="N302" i="17" s="1"/>
  <c r="I309" i="17"/>
  <c r="I313" i="17"/>
  <c r="I319" i="17"/>
  <c r="H323" i="17"/>
  <c r="I325" i="17"/>
  <c r="H326" i="17"/>
  <c r="I328" i="17"/>
  <c r="H329" i="17"/>
  <c r="H332" i="17"/>
  <c r="I338" i="17"/>
  <c r="H339" i="17"/>
  <c r="I341" i="17"/>
  <c r="H342" i="17"/>
  <c r="H152" i="17"/>
  <c r="H156" i="17"/>
  <c r="I159" i="17"/>
  <c r="I163" i="17"/>
  <c r="I167" i="17"/>
  <c r="I171" i="17"/>
  <c r="I175" i="17"/>
  <c r="H176" i="17"/>
  <c r="L176" i="17" s="1"/>
  <c r="N176" i="17" s="1"/>
  <c r="H177" i="17"/>
  <c r="L177" i="17" s="1"/>
  <c r="N177" i="17" s="1"/>
  <c r="I178" i="17"/>
  <c r="I181" i="17"/>
  <c r="H182" i="17"/>
  <c r="I187" i="17"/>
  <c r="H188" i="17"/>
  <c r="I191" i="17"/>
  <c r="I193" i="17"/>
  <c r="H194" i="17"/>
  <c r="H195" i="17"/>
  <c r="I196" i="17"/>
  <c r="L196" i="17" s="1"/>
  <c r="N196" i="17" s="1"/>
  <c r="I199" i="17"/>
  <c r="H200" i="17"/>
  <c r="I203" i="17"/>
  <c r="I206" i="17"/>
  <c r="L206" i="17" s="1"/>
  <c r="N206" i="17" s="1"/>
  <c r="H208" i="17"/>
  <c r="I210" i="17"/>
  <c r="I213" i="17"/>
  <c r="I215" i="17"/>
  <c r="L215" i="17" s="1"/>
  <c r="N215" i="17" s="1"/>
  <c r="H216" i="17"/>
  <c r="I218" i="17"/>
  <c r="H221" i="17"/>
  <c r="H223" i="17"/>
  <c r="L223" i="17" s="1"/>
  <c r="N223" i="17" s="1"/>
  <c r="H225" i="17"/>
  <c r="H227" i="17"/>
  <c r="H229" i="17"/>
  <c r="L229" i="17" s="1"/>
  <c r="N229" i="17" s="1"/>
  <c r="H231" i="17"/>
  <c r="L231" i="17" s="1"/>
  <c r="N231" i="17" s="1"/>
  <c r="H233" i="17"/>
  <c r="H235" i="17"/>
  <c r="H237" i="17"/>
  <c r="L237" i="17" s="1"/>
  <c r="N237" i="17" s="1"/>
  <c r="H238" i="17"/>
  <c r="L238" i="17" s="1"/>
  <c r="N238" i="17" s="1"/>
  <c r="H244" i="17"/>
  <c r="I246" i="17"/>
  <c r="H250" i="17"/>
  <c r="L250" i="17" s="1"/>
  <c r="N250" i="17" s="1"/>
  <c r="H252" i="17"/>
  <c r="L252" i="17" s="1"/>
  <c r="N252" i="17" s="1"/>
  <c r="I254" i="17"/>
  <c r="H258" i="17"/>
  <c r="I261" i="17"/>
  <c r="H262" i="17"/>
  <c r="L262" i="17" s="1"/>
  <c r="N262" i="17" s="1"/>
  <c r="I265" i="17"/>
  <c r="H266" i="17"/>
  <c r="I270" i="17"/>
  <c r="H271" i="17"/>
  <c r="L271" i="17" s="1"/>
  <c r="N271" i="17" s="1"/>
  <c r="I273" i="17"/>
  <c r="H274" i="17"/>
  <c r="L274" i="17" s="1"/>
  <c r="N274" i="17" s="1"/>
  <c r="H277" i="17"/>
  <c r="L277" i="17" s="1"/>
  <c r="N277" i="17" s="1"/>
  <c r="I283" i="17"/>
  <c r="H284" i="17"/>
  <c r="H286" i="17"/>
  <c r="H289" i="17"/>
  <c r="L289" i="17" s="1"/>
  <c r="N289" i="17" s="1"/>
  <c r="I292" i="17"/>
  <c r="L292" i="17" s="1"/>
  <c r="N292" i="17" s="1"/>
  <c r="H293" i="17"/>
  <c r="I296" i="17"/>
  <c r="I299" i="17"/>
  <c r="H300" i="17"/>
  <c r="I303" i="17"/>
  <c r="H304" i="17"/>
  <c r="L304" i="17" s="1"/>
  <c r="N304" i="17" s="1"/>
  <c r="I310" i="17"/>
  <c r="H311" i="17"/>
  <c r="H317" i="17"/>
  <c r="L317" i="17" s="1"/>
  <c r="N317" i="17" s="1"/>
  <c r="I320" i="17"/>
  <c r="H321" i="17"/>
  <c r="L321" i="17" s="1"/>
  <c r="N321" i="17" s="1"/>
  <c r="I323" i="17"/>
  <c r="I326" i="17"/>
  <c r="H327" i="17"/>
  <c r="I329" i="17"/>
  <c r="H330" i="17"/>
  <c r="I332" i="17"/>
  <c r="H333" i="17"/>
  <c r="H336" i="17"/>
  <c r="L336" i="17" s="1"/>
  <c r="N336" i="17" s="1"/>
  <c r="I342" i="17"/>
  <c r="H343" i="17"/>
  <c r="L8" i="17"/>
  <c r="N8" i="17" s="1"/>
  <c r="K11" i="17"/>
  <c r="L12" i="17"/>
  <c r="N12" i="17" s="1"/>
  <c r="K15" i="17"/>
  <c r="L16" i="17"/>
  <c r="N16" i="17" s="1"/>
  <c r="K19" i="17"/>
  <c r="L20" i="17"/>
  <c r="N20" i="17" s="1"/>
  <c r="K23" i="17"/>
  <c r="L24" i="17"/>
  <c r="N24" i="17" s="1"/>
  <c r="K27" i="17"/>
  <c r="L28" i="17"/>
  <c r="N28" i="17" s="1"/>
  <c r="K31" i="17"/>
  <c r="L32" i="17"/>
  <c r="N32" i="17" s="1"/>
  <c r="L41" i="17"/>
  <c r="N41" i="17" s="1"/>
  <c r="L49" i="17"/>
  <c r="N49" i="17" s="1"/>
  <c r="K7" i="17"/>
  <c r="K6" i="17"/>
  <c r="K10" i="17"/>
  <c r="K14" i="17"/>
  <c r="K18" i="17"/>
  <c r="K22" i="17"/>
  <c r="K26" i="17"/>
  <c r="K30" i="17"/>
  <c r="K34" i="17"/>
  <c r="H42" i="17"/>
  <c r="H44" i="17"/>
  <c r="H50" i="17"/>
  <c r="H59" i="17"/>
  <c r="H160" i="17"/>
  <c r="L160" i="17" s="1"/>
  <c r="N160" i="17" s="1"/>
  <c r="K160" i="17"/>
  <c r="H162" i="17"/>
  <c r="K162" i="17"/>
  <c r="H164" i="17"/>
  <c r="L164" i="17" s="1"/>
  <c r="N164" i="17" s="1"/>
  <c r="K164" i="17"/>
  <c r="H166" i="17"/>
  <c r="K166" i="17"/>
  <c r="H168" i="17"/>
  <c r="K168" i="17"/>
  <c r="H170" i="17"/>
  <c r="K170" i="17"/>
  <c r="H172" i="17"/>
  <c r="K172" i="17"/>
  <c r="H174" i="17"/>
  <c r="K174" i="17"/>
  <c r="I216" i="17"/>
  <c r="K216" i="17"/>
  <c r="K247" i="17"/>
  <c r="H247" i="17"/>
  <c r="K33" i="17"/>
  <c r="L33" i="17" s="1"/>
  <c r="N33" i="17" s="1"/>
  <c r="K35" i="17"/>
  <c r="K36" i="17"/>
  <c r="K37" i="17"/>
  <c r="I200" i="17"/>
  <c r="K200" i="17"/>
  <c r="K322" i="17"/>
  <c r="H322" i="17"/>
  <c r="L322" i="17" s="1"/>
  <c r="N322" i="17" s="1"/>
  <c r="H38" i="17"/>
  <c r="L38" i="17" s="1"/>
  <c r="N38" i="17" s="1"/>
  <c r="H40" i="17"/>
  <c r="H46" i="17"/>
  <c r="L46" i="17" s="1"/>
  <c r="N46" i="17" s="1"/>
  <c r="H48" i="17"/>
  <c r="H52" i="17"/>
  <c r="L52" i="17" s="1"/>
  <c r="N52" i="17" s="1"/>
  <c r="H55" i="17"/>
  <c r="L55" i="17" s="1"/>
  <c r="N55" i="17" s="1"/>
  <c r="H57" i="17"/>
  <c r="L57" i="17" s="1"/>
  <c r="N57" i="17" s="1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5" i="17"/>
  <c r="K106" i="17"/>
  <c r="K107" i="17"/>
  <c r="K108" i="17"/>
  <c r="K109" i="17"/>
  <c r="K110" i="17"/>
  <c r="L110" i="17" s="1"/>
  <c r="N110" i="17" s="1"/>
  <c r="K111" i="17"/>
  <c r="K112" i="17"/>
  <c r="K113" i="17"/>
  <c r="K114" i="17"/>
  <c r="K115" i="17"/>
  <c r="K116" i="17"/>
  <c r="K117" i="17"/>
  <c r="K118" i="17"/>
  <c r="L118" i="17" s="1"/>
  <c r="N118" i="17" s="1"/>
  <c r="K119" i="17"/>
  <c r="K120" i="17"/>
  <c r="K121" i="17"/>
  <c r="K122" i="17"/>
  <c r="K123" i="17"/>
  <c r="K124" i="17"/>
  <c r="K125" i="17"/>
  <c r="K126" i="17"/>
  <c r="L126" i="17" s="1"/>
  <c r="N126" i="17" s="1"/>
  <c r="K127" i="17"/>
  <c r="K128" i="17"/>
  <c r="K129" i="17"/>
  <c r="K130" i="17"/>
  <c r="K131" i="17"/>
  <c r="K132" i="17"/>
  <c r="K133" i="17"/>
  <c r="K134" i="17"/>
  <c r="L134" i="17" s="1"/>
  <c r="N134" i="17" s="1"/>
  <c r="K135" i="17"/>
  <c r="K136" i="17"/>
  <c r="K137" i="17"/>
  <c r="K138" i="17"/>
  <c r="K139" i="17"/>
  <c r="K140" i="17"/>
  <c r="K141" i="17"/>
  <c r="K142" i="17"/>
  <c r="L142" i="17" s="1"/>
  <c r="N142" i="17" s="1"/>
  <c r="K143" i="17"/>
  <c r="K144" i="17"/>
  <c r="K145" i="17"/>
  <c r="K146" i="17"/>
  <c r="K147" i="17"/>
  <c r="K148" i="17"/>
  <c r="K149" i="17"/>
  <c r="K150" i="17"/>
  <c r="L150" i="17" s="1"/>
  <c r="N150" i="17" s="1"/>
  <c r="K151" i="17"/>
  <c r="K152" i="17"/>
  <c r="K153" i="17"/>
  <c r="K155" i="17"/>
  <c r="K156" i="17"/>
  <c r="K157" i="17"/>
  <c r="K158" i="17"/>
  <c r="K180" i="17"/>
  <c r="K188" i="17"/>
  <c r="L194" i="17"/>
  <c r="N194" i="17" s="1"/>
  <c r="K196" i="17"/>
  <c r="I212" i="17"/>
  <c r="K212" i="17"/>
  <c r="L70" i="17"/>
  <c r="N70" i="17" s="1"/>
  <c r="L86" i="17"/>
  <c r="N86" i="17" s="1"/>
  <c r="L95" i="17"/>
  <c r="N95" i="17" s="1"/>
  <c r="L105" i="17"/>
  <c r="N105" i="17" s="1"/>
  <c r="L112" i="17"/>
  <c r="N112" i="17" s="1"/>
  <c r="L113" i="17"/>
  <c r="N113" i="17" s="1"/>
  <c r="L120" i="17"/>
  <c r="N120" i="17" s="1"/>
  <c r="L128" i="17"/>
  <c r="N128" i="17" s="1"/>
  <c r="L129" i="17"/>
  <c r="N129" i="17" s="1"/>
  <c r="L136" i="17"/>
  <c r="N136" i="17" s="1"/>
  <c r="L144" i="17"/>
  <c r="N144" i="17" s="1"/>
  <c r="L152" i="17"/>
  <c r="N152" i="17" s="1"/>
  <c r="L156" i="17"/>
  <c r="N156" i="17" s="1"/>
  <c r="H159" i="17"/>
  <c r="K159" i="17"/>
  <c r="H161" i="17"/>
  <c r="K161" i="17"/>
  <c r="H163" i="17"/>
  <c r="K163" i="17"/>
  <c r="H165" i="17"/>
  <c r="K165" i="17"/>
  <c r="H167" i="17"/>
  <c r="K167" i="17"/>
  <c r="H169" i="17"/>
  <c r="L169" i="17" s="1"/>
  <c r="N169" i="17" s="1"/>
  <c r="K169" i="17"/>
  <c r="H171" i="17"/>
  <c r="K171" i="17"/>
  <c r="H173" i="17"/>
  <c r="L173" i="17" s="1"/>
  <c r="N173" i="17" s="1"/>
  <c r="K173" i="17"/>
  <c r="H175" i="17"/>
  <c r="K175" i="17"/>
  <c r="K182" i="17"/>
  <c r="L188" i="17"/>
  <c r="N188" i="17" s="1"/>
  <c r="K190" i="17"/>
  <c r="H202" i="17"/>
  <c r="L202" i="17" s="1"/>
  <c r="N202" i="17" s="1"/>
  <c r="K202" i="17"/>
  <c r="I208" i="17"/>
  <c r="K208" i="17"/>
  <c r="K239" i="17"/>
  <c r="H239" i="17"/>
  <c r="K249" i="17"/>
  <c r="H249" i="17"/>
  <c r="K263" i="17"/>
  <c r="H263" i="17"/>
  <c r="K320" i="17"/>
  <c r="H320" i="17"/>
  <c r="K241" i="17"/>
  <c r="H241" i="17"/>
  <c r="K305" i="17"/>
  <c r="H305" i="17"/>
  <c r="K201" i="17"/>
  <c r="K207" i="17"/>
  <c r="K211" i="17"/>
  <c r="K215" i="17"/>
  <c r="K219" i="17"/>
  <c r="K255" i="17"/>
  <c r="H255" i="17"/>
  <c r="L258" i="17"/>
  <c r="N258" i="17" s="1"/>
  <c r="K261" i="17"/>
  <c r="H261" i="17"/>
  <c r="K312" i="17"/>
  <c r="H312" i="17"/>
  <c r="L218" i="17"/>
  <c r="N218" i="17" s="1"/>
  <c r="L221" i="17"/>
  <c r="N221" i="17" s="1"/>
  <c r="L226" i="17"/>
  <c r="N226" i="17" s="1"/>
  <c r="L232" i="17"/>
  <c r="N232" i="17" s="1"/>
  <c r="K245" i="17"/>
  <c r="H245" i="17"/>
  <c r="K253" i="17"/>
  <c r="H253" i="17"/>
  <c r="K259" i="17"/>
  <c r="H259" i="17"/>
  <c r="K267" i="17"/>
  <c r="H267" i="17"/>
  <c r="K303" i="17"/>
  <c r="H303" i="17"/>
  <c r="K314" i="17"/>
  <c r="H314" i="17"/>
  <c r="K243" i="17"/>
  <c r="H243" i="17"/>
  <c r="K251" i="17"/>
  <c r="H251" i="17"/>
  <c r="K265" i="17"/>
  <c r="H265" i="17"/>
  <c r="K301" i="17"/>
  <c r="H301" i="17"/>
  <c r="K310" i="17"/>
  <c r="H310" i="17"/>
  <c r="K318" i="17"/>
  <c r="H318" i="17"/>
  <c r="L335" i="17"/>
  <c r="N335" i="17" s="1"/>
  <c r="L339" i="17"/>
  <c r="N339" i="17" s="1"/>
  <c r="K308" i="17"/>
  <c r="H308" i="17"/>
  <c r="K316" i="17"/>
  <c r="H316" i="17"/>
  <c r="K324" i="17"/>
  <c r="H324" i="17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9" i="5"/>
  <c r="AH195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915" i="5"/>
  <c r="AA916" i="5"/>
  <c r="AA917" i="5"/>
  <c r="AA918" i="5"/>
  <c r="AA919" i="5"/>
  <c r="AA920" i="5"/>
  <c r="AA921" i="5"/>
  <c r="AA922" i="5"/>
  <c r="AA923" i="5"/>
  <c r="AA924" i="5"/>
  <c r="AA925" i="5"/>
  <c r="AA926" i="5"/>
  <c r="AA927" i="5"/>
  <c r="AA928" i="5"/>
  <c r="AA929" i="5"/>
  <c r="AA930" i="5"/>
  <c r="AA931" i="5"/>
  <c r="AA932" i="5"/>
  <c r="AA933" i="5"/>
  <c r="AA934" i="5"/>
  <c r="AA935" i="5"/>
  <c r="AA936" i="5"/>
  <c r="AA937" i="5"/>
  <c r="AA938" i="5"/>
  <c r="AA939" i="5"/>
  <c r="AA940" i="5"/>
  <c r="AA941" i="5"/>
  <c r="AA942" i="5"/>
  <c r="AA943" i="5"/>
  <c r="AA944" i="5"/>
  <c r="AA945" i="5"/>
  <c r="AA946" i="5"/>
  <c r="AA947" i="5"/>
  <c r="AA948" i="5"/>
  <c r="AA949" i="5"/>
  <c r="AA950" i="5"/>
  <c r="AA951" i="5"/>
  <c r="AA952" i="5"/>
  <c r="AA953" i="5"/>
  <c r="AA954" i="5"/>
  <c r="AA955" i="5"/>
  <c r="AA956" i="5"/>
  <c r="AA957" i="5"/>
  <c r="AA958" i="5"/>
  <c r="AA959" i="5"/>
  <c r="AA960" i="5"/>
  <c r="AA961" i="5"/>
  <c r="AA962" i="5"/>
  <c r="AA963" i="5"/>
  <c r="AA964" i="5"/>
  <c r="AA965" i="5"/>
  <c r="AA966" i="5"/>
  <c r="AA967" i="5"/>
  <c r="AA968" i="5"/>
  <c r="AA969" i="5"/>
  <c r="AA970" i="5"/>
  <c r="AA971" i="5"/>
  <c r="AA972" i="5"/>
  <c r="AA973" i="5"/>
  <c r="AA974" i="5"/>
  <c r="AA975" i="5"/>
  <c r="AA976" i="5"/>
  <c r="AA977" i="5"/>
  <c r="AA978" i="5"/>
  <c r="AA979" i="5"/>
  <c r="AA980" i="5"/>
  <c r="AA981" i="5"/>
  <c r="AA982" i="5"/>
  <c r="AA983" i="5"/>
  <c r="AA984" i="5"/>
  <c r="AA985" i="5"/>
  <c r="AA986" i="5"/>
  <c r="AA987" i="5"/>
  <c r="AA988" i="5"/>
  <c r="AA989" i="5"/>
  <c r="AA990" i="5"/>
  <c r="AA991" i="5"/>
  <c r="AA992" i="5"/>
  <c r="AA993" i="5"/>
  <c r="AA994" i="5"/>
  <c r="AA995" i="5"/>
  <c r="AA996" i="5"/>
  <c r="AA997" i="5"/>
  <c r="AA998" i="5"/>
  <c r="AA999" i="5"/>
  <c r="AA1000" i="5"/>
  <c r="AA1001" i="5"/>
  <c r="AA1002" i="5"/>
  <c r="AA1003" i="5"/>
  <c r="AA1004" i="5"/>
  <c r="AA1005" i="5"/>
  <c r="AA1006" i="5"/>
  <c r="AA1007" i="5"/>
  <c r="AA1008" i="5"/>
  <c r="AA1009" i="5"/>
  <c r="AA1010" i="5"/>
  <c r="AA1011" i="5"/>
  <c r="AA1012" i="5"/>
  <c r="AA1013" i="5"/>
  <c r="AA1014" i="5"/>
  <c r="AA1015" i="5"/>
  <c r="AA1016" i="5"/>
  <c r="AA1017" i="5"/>
  <c r="AA1018" i="5"/>
  <c r="AA1019" i="5"/>
  <c r="AA1020" i="5"/>
  <c r="AA1021" i="5"/>
  <c r="AA1022" i="5"/>
  <c r="AA1023" i="5"/>
  <c r="AA1024" i="5"/>
  <c r="AA1025" i="5"/>
  <c r="AA1026" i="5"/>
  <c r="AA1027" i="5"/>
  <c r="AA1028" i="5"/>
  <c r="AA1029" i="5"/>
  <c r="AA1030" i="5"/>
  <c r="AA1031" i="5"/>
  <c r="AA1032" i="5"/>
  <c r="AA1033" i="5"/>
  <c r="AA1034" i="5"/>
  <c r="AA1035" i="5"/>
  <c r="AA1036" i="5"/>
  <c r="AA1037" i="5"/>
  <c r="AA1038" i="5"/>
  <c r="AA1039" i="5"/>
  <c r="AA1040" i="5"/>
  <c r="AA1041" i="5"/>
  <c r="AA1042" i="5"/>
  <c r="AA1043" i="5"/>
  <c r="AA1044" i="5"/>
  <c r="AA1045" i="5"/>
  <c r="AA1046" i="5"/>
  <c r="AA1047" i="5"/>
  <c r="AA1048" i="5"/>
  <c r="AA1049" i="5"/>
  <c r="AA1050" i="5"/>
  <c r="AA1051" i="5"/>
  <c r="AA1052" i="5"/>
  <c r="AA1053" i="5"/>
  <c r="AA1054" i="5"/>
  <c r="AA1055" i="5"/>
  <c r="AA1056" i="5"/>
  <c r="AA1057" i="5"/>
  <c r="AA1058" i="5"/>
  <c r="AA1059" i="5"/>
  <c r="AA1060" i="5"/>
  <c r="AA1061" i="5"/>
  <c r="AA1062" i="5"/>
  <c r="AA1063" i="5"/>
  <c r="AA1064" i="5"/>
  <c r="AA1065" i="5"/>
  <c r="AA1066" i="5"/>
  <c r="AA1067" i="5"/>
  <c r="AA1068" i="5"/>
  <c r="AA1069" i="5"/>
  <c r="AA1070" i="5"/>
  <c r="AA1071" i="5"/>
  <c r="AA1072" i="5"/>
  <c r="AA1073" i="5"/>
  <c r="AA1074" i="5"/>
  <c r="AA1075" i="5"/>
  <c r="AA1076" i="5"/>
  <c r="AA1077" i="5"/>
  <c r="AA1078" i="5"/>
  <c r="AA1079" i="5"/>
  <c r="AA1080" i="5"/>
  <c r="AA1081" i="5"/>
  <c r="AA1082" i="5"/>
  <c r="AA1083" i="5"/>
  <c r="AA1084" i="5"/>
  <c r="AA1085" i="5"/>
  <c r="AA1086" i="5"/>
  <c r="AA1087" i="5"/>
  <c r="AA1088" i="5"/>
  <c r="AA1089" i="5"/>
  <c r="AA1090" i="5"/>
  <c r="AA1091" i="5"/>
  <c r="AA1092" i="5"/>
  <c r="AA1093" i="5"/>
  <c r="AA1094" i="5"/>
  <c r="AA1095" i="5"/>
  <c r="AA1096" i="5"/>
  <c r="AA1097" i="5"/>
  <c r="AA1098" i="5"/>
  <c r="AA1099" i="5"/>
  <c r="AA1100" i="5"/>
  <c r="AA1101" i="5"/>
  <c r="AA1102" i="5"/>
  <c r="AA1103" i="5"/>
  <c r="AA1104" i="5"/>
  <c r="AA1105" i="5"/>
  <c r="AA1106" i="5"/>
  <c r="AA1107" i="5"/>
  <c r="AA1108" i="5"/>
  <c r="AA1109" i="5"/>
  <c r="AA1110" i="5"/>
  <c r="AA1111" i="5"/>
  <c r="AA1112" i="5"/>
  <c r="AA1113" i="5"/>
  <c r="AA1114" i="5"/>
  <c r="AA1115" i="5"/>
  <c r="AA1116" i="5"/>
  <c r="AA1117" i="5"/>
  <c r="AA1118" i="5"/>
  <c r="AA1119" i="5"/>
  <c r="AA1120" i="5"/>
  <c r="AA1121" i="5"/>
  <c r="AA1122" i="5"/>
  <c r="AA1123" i="5"/>
  <c r="AA1124" i="5"/>
  <c r="AA1125" i="5"/>
  <c r="AA1126" i="5"/>
  <c r="AA1127" i="5"/>
  <c r="AA1128" i="5"/>
  <c r="AA1129" i="5"/>
  <c r="AA1130" i="5"/>
  <c r="AA1131" i="5"/>
  <c r="AA1132" i="5"/>
  <c r="AA1133" i="5"/>
  <c r="AA1134" i="5"/>
  <c r="AA1135" i="5"/>
  <c r="AA1136" i="5"/>
  <c r="AA1137" i="5"/>
  <c r="AA8" i="5"/>
  <c r="L168" i="17" l="1"/>
  <c r="N168" i="17" s="1"/>
  <c r="L42" i="17"/>
  <c r="N42" i="17" s="1"/>
  <c r="L48" i="17"/>
  <c r="N48" i="17" s="1"/>
  <c r="L261" i="17"/>
  <c r="N261" i="17" s="1"/>
  <c r="L161" i="17"/>
  <c r="N161" i="17" s="1"/>
  <c r="L40" i="17"/>
  <c r="N40" i="17" s="1"/>
  <c r="L50" i="17"/>
  <c r="N50" i="17" s="1"/>
  <c r="L286" i="17"/>
  <c r="N286" i="17" s="1"/>
  <c r="L242" i="17"/>
  <c r="N242" i="17" s="1"/>
  <c r="L293" i="17"/>
  <c r="N293" i="17" s="1"/>
  <c r="L284" i="17"/>
  <c r="N284" i="17" s="1"/>
  <c r="L244" i="17"/>
  <c r="N244" i="17" s="1"/>
  <c r="L233" i="17"/>
  <c r="N233" i="17" s="1"/>
  <c r="L225" i="17"/>
  <c r="N225" i="17" s="1"/>
  <c r="L178" i="17"/>
  <c r="N178" i="17" s="1"/>
  <c r="L63" i="17"/>
  <c r="N63" i="17" s="1"/>
  <c r="L102" i="17"/>
  <c r="N102" i="17" s="1"/>
  <c r="L217" i="17"/>
  <c r="N217" i="17" s="1"/>
  <c r="L60" i="17"/>
  <c r="N60" i="17" s="1"/>
  <c r="L10" i="17"/>
  <c r="N10" i="17" s="1"/>
  <c r="L101" i="17"/>
  <c r="N101" i="17" s="1"/>
  <c r="L34" i="17"/>
  <c r="N34" i="17" s="1"/>
  <c r="L47" i="17"/>
  <c r="N47" i="17" s="1"/>
  <c r="L151" i="17"/>
  <c r="N151" i="17" s="1"/>
  <c r="L143" i="17"/>
  <c r="N143" i="17" s="1"/>
  <c r="L135" i="17"/>
  <c r="N135" i="17" s="1"/>
  <c r="L127" i="17"/>
  <c r="N127" i="17" s="1"/>
  <c r="L119" i="17"/>
  <c r="N119" i="17" s="1"/>
  <c r="L111" i="17"/>
  <c r="N111" i="17" s="1"/>
  <c r="L103" i="17"/>
  <c r="N103" i="17" s="1"/>
  <c r="O103" i="17" s="1"/>
  <c r="L87" i="17"/>
  <c r="N87" i="17" s="1"/>
  <c r="L79" i="17"/>
  <c r="N79" i="17" s="1"/>
  <c r="L71" i="17"/>
  <c r="N71" i="17" s="1"/>
  <c r="L200" i="17"/>
  <c r="N200" i="17" s="1"/>
  <c r="L7" i="17"/>
  <c r="N7" i="17" s="1"/>
  <c r="L19" i="17"/>
  <c r="N19" i="17" s="1"/>
  <c r="L11" i="17"/>
  <c r="N11" i="17" s="1"/>
  <c r="L39" i="17"/>
  <c r="N39" i="17" s="1"/>
  <c r="L213" i="17"/>
  <c r="N213" i="17" s="1"/>
  <c r="L91" i="17"/>
  <c r="N91" i="17" s="1"/>
  <c r="L83" i="17"/>
  <c r="N83" i="17" s="1"/>
  <c r="L75" i="17"/>
  <c r="N75" i="17" s="1"/>
  <c r="L67" i="17"/>
  <c r="N67" i="17" s="1"/>
  <c r="L27" i="17"/>
  <c r="N27" i="17" s="1"/>
  <c r="L58" i="17"/>
  <c r="N58" i="17" s="1"/>
  <c r="L224" i="17"/>
  <c r="N224" i="17" s="1"/>
  <c r="L94" i="17"/>
  <c r="N94" i="17" s="1"/>
  <c r="L78" i="17"/>
  <c r="N78" i="17" s="1"/>
  <c r="L62" i="17"/>
  <c r="N62" i="17" s="1"/>
  <c r="L4" i="17"/>
  <c r="N4" i="17" s="1"/>
  <c r="L31" i="17"/>
  <c r="N31" i="17" s="1"/>
  <c r="L23" i="17"/>
  <c r="N23" i="17" s="1"/>
  <c r="L15" i="17"/>
  <c r="N15" i="17" s="1"/>
  <c r="L211" i="17"/>
  <c r="N211" i="17" s="1"/>
  <c r="L98" i="17"/>
  <c r="N98" i="17" s="1"/>
  <c r="L186" i="17"/>
  <c r="N186" i="17" s="1"/>
  <c r="L97" i="17"/>
  <c r="N97" i="17" s="1"/>
  <c r="L89" i="17"/>
  <c r="N89" i="17" s="1"/>
  <c r="L81" i="17"/>
  <c r="N81" i="17" s="1"/>
  <c r="L73" i="17"/>
  <c r="N73" i="17" s="1"/>
  <c r="L65" i="17"/>
  <c r="N65" i="17" s="1"/>
  <c r="L296" i="17"/>
  <c r="N296" i="17" s="1"/>
  <c r="L298" i="17"/>
  <c r="N298" i="17" s="1"/>
  <c r="L280" i="17"/>
  <c r="N280" i="17" s="1"/>
  <c r="L147" i="17"/>
  <c r="N147" i="17" s="1"/>
  <c r="L139" i="17"/>
  <c r="N139" i="17" s="1"/>
  <c r="L131" i="17"/>
  <c r="N131" i="17" s="1"/>
  <c r="L123" i="17"/>
  <c r="N123" i="17" s="1"/>
  <c r="O123" i="17" s="1"/>
  <c r="L115" i="17"/>
  <c r="N115" i="17" s="1"/>
  <c r="L107" i="17"/>
  <c r="N107" i="17" s="1"/>
  <c r="L190" i="17"/>
  <c r="N190" i="17" s="1"/>
  <c r="L44" i="17"/>
  <c r="N44" i="17" s="1"/>
  <c r="L311" i="17"/>
  <c r="N311" i="17" s="1"/>
  <c r="L300" i="17"/>
  <c r="N300" i="17" s="1"/>
  <c r="L260" i="17"/>
  <c r="N260" i="17" s="1"/>
  <c r="L182" i="17"/>
  <c r="N182" i="17" s="1"/>
  <c r="L334" i="17"/>
  <c r="N334" i="17" s="1"/>
  <c r="L210" i="17"/>
  <c r="N210" i="17" s="1"/>
  <c r="L45" i="17"/>
  <c r="N45" i="17" s="1"/>
  <c r="L195" i="17"/>
  <c r="N195" i="17" s="1"/>
  <c r="L227" i="17"/>
  <c r="N227" i="17" s="1"/>
  <c r="L88" i="17"/>
  <c r="N88" i="17" s="1"/>
  <c r="L327" i="17"/>
  <c r="N327" i="17" s="1"/>
  <c r="L230" i="17"/>
  <c r="N230" i="17" s="1"/>
  <c r="L222" i="17"/>
  <c r="N222" i="17" s="1"/>
  <c r="L207" i="17"/>
  <c r="N207" i="17" s="1"/>
  <c r="L180" i="17"/>
  <c r="N180" i="17" s="1"/>
  <c r="L343" i="17"/>
  <c r="N343" i="17" s="1"/>
  <c r="O343" i="17" s="1"/>
  <c r="L235" i="17"/>
  <c r="N235" i="17" s="1"/>
  <c r="L219" i="17"/>
  <c r="N219" i="17" s="1"/>
  <c r="L209" i="17"/>
  <c r="N209" i="17" s="1"/>
  <c r="L198" i="17"/>
  <c r="N198" i="17" s="1"/>
  <c r="L192" i="17"/>
  <c r="N192" i="17" s="1"/>
  <c r="L157" i="17"/>
  <c r="N157" i="17" s="1"/>
  <c r="L149" i="17"/>
  <c r="N149" i="17" s="1"/>
  <c r="L141" i="17"/>
  <c r="N141" i="17" s="1"/>
  <c r="L133" i="17"/>
  <c r="N133" i="17" s="1"/>
  <c r="L125" i="17"/>
  <c r="N125" i="17" s="1"/>
  <c r="L117" i="17"/>
  <c r="N117" i="17" s="1"/>
  <c r="L109" i="17"/>
  <c r="N109" i="17" s="1"/>
  <c r="L268" i="17"/>
  <c r="N268" i="17" s="1"/>
  <c r="L96" i="17"/>
  <c r="N96" i="17" s="1"/>
  <c r="L80" i="17"/>
  <c r="N80" i="17" s="1"/>
  <c r="L72" i="17"/>
  <c r="N72" i="17" s="1"/>
  <c r="L64" i="17"/>
  <c r="N64" i="17" s="1"/>
  <c r="L30" i="17"/>
  <c r="N30" i="17" s="1"/>
  <c r="L14" i="17"/>
  <c r="N14" i="17" s="1"/>
  <c r="L36" i="17"/>
  <c r="N36" i="17" s="1"/>
  <c r="L22" i="17"/>
  <c r="N22" i="17" s="1"/>
  <c r="L324" i="17"/>
  <c r="N324" i="17" s="1"/>
  <c r="L308" i="17"/>
  <c r="N308" i="17" s="1"/>
  <c r="L255" i="17"/>
  <c r="N255" i="17" s="1"/>
  <c r="O255" i="17" s="1"/>
  <c r="L35" i="17"/>
  <c r="N35" i="17" s="1"/>
  <c r="L172" i="17"/>
  <c r="N172" i="17" s="1"/>
  <c r="L185" i="17"/>
  <c r="N185" i="17" s="1"/>
  <c r="L165" i="17"/>
  <c r="N165" i="17" s="1"/>
  <c r="L59" i="17"/>
  <c r="N59" i="17" s="1"/>
  <c r="L6" i="17"/>
  <c r="N6" i="17" s="1"/>
  <c r="L333" i="17"/>
  <c r="N333" i="17" s="1"/>
  <c r="L266" i="17"/>
  <c r="N266" i="17" s="1"/>
  <c r="L285" i="17"/>
  <c r="N285" i="17" s="1"/>
  <c r="L201" i="17"/>
  <c r="N201" i="17" s="1"/>
  <c r="L212" i="17"/>
  <c r="N212" i="17" s="1"/>
  <c r="L155" i="17"/>
  <c r="N155" i="17" s="1"/>
  <c r="L146" i="17"/>
  <c r="N146" i="17" s="1"/>
  <c r="L138" i="17"/>
  <c r="N138" i="17" s="1"/>
  <c r="L130" i="17"/>
  <c r="N130" i="17" s="1"/>
  <c r="L122" i="17"/>
  <c r="N122" i="17" s="1"/>
  <c r="O122" i="17" s="1"/>
  <c r="O121" i="17" s="1"/>
  <c r="O120" i="17" s="1"/>
  <c r="O119" i="17" s="1"/>
  <c r="O118" i="17" s="1"/>
  <c r="L114" i="17"/>
  <c r="N114" i="17" s="1"/>
  <c r="L106" i="17"/>
  <c r="N106" i="17" s="1"/>
  <c r="L93" i="17"/>
  <c r="N93" i="17" s="1"/>
  <c r="L85" i="17"/>
  <c r="N85" i="17" s="1"/>
  <c r="L77" i="17"/>
  <c r="N77" i="17" s="1"/>
  <c r="L69" i="17"/>
  <c r="N69" i="17" s="1"/>
  <c r="L61" i="17"/>
  <c r="N61" i="17" s="1"/>
  <c r="L37" i="17"/>
  <c r="N37" i="17" s="1"/>
  <c r="L248" i="17"/>
  <c r="N248" i="17" s="1"/>
  <c r="L283" i="17"/>
  <c r="N283" i="17" s="1"/>
  <c r="L17" i="17"/>
  <c r="N17" i="17" s="1"/>
  <c r="L9" i="17"/>
  <c r="N9" i="17" s="1"/>
  <c r="L216" i="17"/>
  <c r="N216" i="17" s="1"/>
  <c r="O52" i="17"/>
  <c r="O51" i="17" s="1"/>
  <c r="L264" i="17"/>
  <c r="N264" i="17" s="1"/>
  <c r="L5" i="17"/>
  <c r="N5" i="17" s="1"/>
  <c r="L326" i="17"/>
  <c r="N326" i="17" s="1"/>
  <c r="L246" i="17"/>
  <c r="N246" i="17" s="1"/>
  <c r="L309" i="17"/>
  <c r="N309" i="17" s="1"/>
  <c r="L291" i="17"/>
  <c r="N291" i="17" s="1"/>
  <c r="L330" i="17"/>
  <c r="N330" i="17" s="1"/>
  <c r="L315" i="17"/>
  <c r="N315" i="17" s="1"/>
  <c r="L275" i="17"/>
  <c r="N275" i="17" s="1"/>
  <c r="L290" i="17"/>
  <c r="N290" i="17" s="1"/>
  <c r="L203" i="17"/>
  <c r="N203" i="17" s="1"/>
  <c r="L187" i="17"/>
  <c r="N187" i="17" s="1"/>
  <c r="L181" i="17"/>
  <c r="N181" i="17" s="1"/>
  <c r="L254" i="17"/>
  <c r="N254" i="17" s="1"/>
  <c r="O254" i="17" s="1"/>
  <c r="L342" i="17"/>
  <c r="N342" i="17" s="1"/>
  <c r="L332" i="17"/>
  <c r="N332" i="17" s="1"/>
  <c r="L273" i="17"/>
  <c r="N273" i="17" s="1"/>
  <c r="L338" i="17"/>
  <c r="N338" i="17" s="1"/>
  <c r="L328" i="17"/>
  <c r="N328" i="17" s="1"/>
  <c r="L282" i="17"/>
  <c r="N282" i="17" s="1"/>
  <c r="L240" i="17"/>
  <c r="N240" i="17" s="1"/>
  <c r="L199" i="17"/>
  <c r="N199" i="17" s="1"/>
  <c r="L193" i="17"/>
  <c r="N193" i="17" s="1"/>
  <c r="L56" i="17"/>
  <c r="N56" i="17" s="1"/>
  <c r="L208" i="17"/>
  <c r="N208" i="17" s="1"/>
  <c r="L329" i="17"/>
  <c r="N329" i="17" s="1"/>
  <c r="L323" i="17"/>
  <c r="N323" i="17" s="1"/>
  <c r="L270" i="17"/>
  <c r="N270" i="17" s="1"/>
  <c r="L325" i="17"/>
  <c r="N325" i="17" s="1"/>
  <c r="L313" i="17"/>
  <c r="N313" i="17" s="1"/>
  <c r="L295" i="17"/>
  <c r="N295" i="17" s="1"/>
  <c r="L337" i="17"/>
  <c r="N337" i="17" s="1"/>
  <c r="L287" i="17"/>
  <c r="N287" i="17" s="1"/>
  <c r="L294" i="17"/>
  <c r="N294" i="17" s="1"/>
  <c r="L278" i="17"/>
  <c r="N278" i="17" s="1"/>
  <c r="L29" i="17"/>
  <c r="N29" i="17" s="1"/>
  <c r="L21" i="17"/>
  <c r="N21" i="17" s="1"/>
  <c r="L13" i="17"/>
  <c r="N13" i="17" s="1"/>
  <c r="L191" i="17"/>
  <c r="N191" i="17" s="1"/>
  <c r="L299" i="17"/>
  <c r="N299" i="17" s="1"/>
  <c r="L341" i="17"/>
  <c r="N341" i="17" s="1"/>
  <c r="L319" i="17"/>
  <c r="N319" i="17" s="1"/>
  <c r="L279" i="17"/>
  <c r="N279" i="17" s="1"/>
  <c r="L340" i="17"/>
  <c r="N340" i="17" s="1"/>
  <c r="L204" i="17"/>
  <c r="N204" i="17" s="1"/>
  <c r="O204" i="17" s="1"/>
  <c r="L310" i="17"/>
  <c r="N310" i="17" s="1"/>
  <c r="L265" i="17"/>
  <c r="N265" i="17" s="1"/>
  <c r="L243" i="17"/>
  <c r="N243" i="17" s="1"/>
  <c r="L303" i="17"/>
  <c r="N303" i="17" s="1"/>
  <c r="L267" i="17"/>
  <c r="N267" i="17" s="1"/>
  <c r="L253" i="17"/>
  <c r="N253" i="17" s="1"/>
  <c r="L241" i="17"/>
  <c r="N241" i="17" s="1"/>
  <c r="L263" i="17"/>
  <c r="N263" i="17" s="1"/>
  <c r="L239" i="17"/>
  <c r="N239" i="17" s="1"/>
  <c r="L175" i="17"/>
  <c r="N175" i="17" s="1"/>
  <c r="L171" i="17"/>
  <c r="N171" i="17" s="1"/>
  <c r="L167" i="17"/>
  <c r="N167" i="17" s="1"/>
  <c r="L163" i="17"/>
  <c r="N163" i="17" s="1"/>
  <c r="L159" i="17"/>
  <c r="N159" i="17" s="1"/>
  <c r="L316" i="17"/>
  <c r="N316" i="17" s="1"/>
  <c r="L312" i="17"/>
  <c r="N312" i="17" s="1"/>
  <c r="L247" i="17"/>
  <c r="N247" i="17" s="1"/>
  <c r="L174" i="17"/>
  <c r="N174" i="17" s="1"/>
  <c r="L170" i="17"/>
  <c r="N170" i="17" s="1"/>
  <c r="L166" i="17"/>
  <c r="N166" i="17" s="1"/>
  <c r="L162" i="17"/>
  <c r="N162" i="17" s="1"/>
  <c r="L318" i="17"/>
  <c r="N318" i="17" s="1"/>
  <c r="L301" i="17"/>
  <c r="N301" i="17" s="1"/>
  <c r="L251" i="17"/>
  <c r="N251" i="17" s="1"/>
  <c r="L314" i="17"/>
  <c r="N314" i="17" s="1"/>
  <c r="L259" i="17"/>
  <c r="N259" i="17" s="1"/>
  <c r="L245" i="17"/>
  <c r="N245" i="17" s="1"/>
  <c r="L305" i="17"/>
  <c r="N305" i="17" s="1"/>
  <c r="L320" i="17"/>
  <c r="N320" i="17" s="1"/>
  <c r="L249" i="17"/>
  <c r="N249" i="17" s="1"/>
  <c r="O102" i="17"/>
  <c r="O101" i="17" s="1"/>
  <c r="O100" i="17" s="1"/>
  <c r="O99" i="17" s="1"/>
  <c r="D11" i="11"/>
  <c r="O50" i="17" l="1"/>
  <c r="O49" i="17" s="1"/>
  <c r="O48" i="17" s="1"/>
  <c r="O47" i="17" s="1"/>
  <c r="O46" i="17" s="1"/>
  <c r="O45" i="17" s="1"/>
  <c r="O44" i="17" s="1"/>
  <c r="O43" i="17" s="1"/>
  <c r="O42" i="17" s="1"/>
  <c r="O41" i="17" s="1"/>
  <c r="O40" i="17" s="1"/>
  <c r="O39" i="17" s="1"/>
  <c r="O38" i="17" s="1"/>
  <c r="O37" i="17" s="1"/>
  <c r="O36" i="17" s="1"/>
  <c r="O35" i="17" s="1"/>
  <c r="O34" i="17" s="1"/>
  <c r="O33" i="17" s="1"/>
  <c r="O32" i="17" s="1"/>
  <c r="O31" i="17" s="1"/>
  <c r="O30" i="17" s="1"/>
  <c r="O29" i="17" s="1"/>
  <c r="O28" i="17" s="1"/>
  <c r="O27" i="17" s="1"/>
  <c r="O26" i="17" s="1"/>
  <c r="O25" i="17" s="1"/>
  <c r="O24" i="17" s="1"/>
  <c r="O23" i="17" s="1"/>
  <c r="O22" i="17" s="1"/>
  <c r="O21" i="17" s="1"/>
  <c r="O20" i="17" s="1"/>
  <c r="O19" i="17" s="1"/>
  <c r="O18" i="17" s="1"/>
  <c r="O17" i="17" s="1"/>
  <c r="O16" i="17" s="1"/>
  <c r="O15" i="17" s="1"/>
  <c r="O14" i="17" s="1"/>
  <c r="O13" i="17" s="1"/>
  <c r="O12" i="17" s="1"/>
  <c r="O11" i="17" s="1"/>
  <c r="O10" i="17" s="1"/>
  <c r="O9" i="17" s="1"/>
  <c r="O8" i="17" s="1"/>
  <c r="O7" i="17" s="1"/>
  <c r="O6" i="17" s="1"/>
  <c r="O5" i="17" s="1"/>
  <c r="O4" i="17" s="1"/>
  <c r="O342" i="17"/>
  <c r="O341" i="17" s="1"/>
  <c r="O340" i="17" s="1"/>
  <c r="O339" i="17" s="1"/>
  <c r="O338" i="17" s="1"/>
  <c r="O337" i="17" s="1"/>
  <c r="O336" i="17" s="1"/>
  <c r="O335" i="17" s="1"/>
  <c r="O334" i="17" s="1"/>
  <c r="O333" i="17" s="1"/>
  <c r="O332" i="17" s="1"/>
  <c r="O331" i="17" s="1"/>
  <c r="O330" i="17" s="1"/>
  <c r="O329" i="17" s="1"/>
  <c r="O328" i="17" s="1"/>
  <c r="O327" i="17" s="1"/>
  <c r="O326" i="17" s="1"/>
  <c r="O325" i="17" s="1"/>
  <c r="O324" i="17" s="1"/>
  <c r="O323" i="17" s="1"/>
  <c r="O322" i="17" s="1"/>
  <c r="O321" i="17" s="1"/>
  <c r="O320" i="17" s="1"/>
  <c r="O319" i="17" s="1"/>
  <c r="O318" i="17" s="1"/>
  <c r="O317" i="17" s="1"/>
  <c r="O316" i="17" s="1"/>
  <c r="O315" i="17" s="1"/>
  <c r="O314" i="17" s="1"/>
  <c r="O313" i="17" s="1"/>
  <c r="O312" i="17" s="1"/>
  <c r="O311" i="17" s="1"/>
  <c r="O310" i="17" s="1"/>
  <c r="O309" i="17" s="1"/>
  <c r="O98" i="17"/>
  <c r="O97" i="17" s="1"/>
  <c r="O96" i="17" s="1"/>
  <c r="O95" i="17" s="1"/>
  <c r="O94" i="17" s="1"/>
  <c r="O93" i="17" s="1"/>
  <c r="O92" i="17" s="1"/>
  <c r="O91" i="17" s="1"/>
  <c r="O90" i="17" s="1"/>
  <c r="O89" i="17" s="1"/>
  <c r="O88" i="17" s="1"/>
  <c r="O87" i="17" s="1"/>
  <c r="O86" i="17" s="1"/>
  <c r="O85" i="17" s="1"/>
  <c r="O84" i="17" s="1"/>
  <c r="O83" i="17" s="1"/>
  <c r="O82" i="17" s="1"/>
  <c r="O81" i="17" s="1"/>
  <c r="O80" i="17" s="1"/>
  <c r="O79" i="17" s="1"/>
  <c r="O78" i="17" s="1"/>
  <c r="O77" i="17" s="1"/>
  <c r="O76" i="17" s="1"/>
  <c r="O75" i="17" s="1"/>
  <c r="O74" i="17" s="1"/>
  <c r="O73" i="17" s="1"/>
  <c r="O72" i="17" s="1"/>
  <c r="O71" i="17" s="1"/>
  <c r="O70" i="17" s="1"/>
  <c r="O69" i="17" s="1"/>
  <c r="O68" i="17" s="1"/>
  <c r="O67" i="17" s="1"/>
  <c r="O66" i="17" s="1"/>
  <c r="O65" i="17" s="1"/>
  <c r="O64" i="17" s="1"/>
  <c r="O63" i="17" s="1"/>
  <c r="O62" i="17" s="1"/>
  <c r="O61" i="17" s="1"/>
  <c r="O60" i="17" s="1"/>
  <c r="O59" i="17" s="1"/>
  <c r="O58" i="17" s="1"/>
  <c r="O57" i="17" s="1"/>
  <c r="O56" i="17" s="1"/>
  <c r="O55" i="17" s="1"/>
  <c r="O117" i="17"/>
  <c r="O116" i="17" s="1"/>
  <c r="O115" i="17" s="1"/>
  <c r="O114" i="17" s="1"/>
  <c r="O113" i="17" s="1"/>
  <c r="O112" i="17" s="1"/>
  <c r="O111" i="17" s="1"/>
  <c r="O110" i="17" s="1"/>
  <c r="O109" i="17" s="1"/>
  <c r="O108" i="17" s="1"/>
  <c r="O107" i="17" s="1"/>
  <c r="O106" i="17" s="1"/>
  <c r="O105" i="17" s="1"/>
  <c r="O203" i="17"/>
  <c r="O202" i="17" s="1"/>
  <c r="O201" i="17" s="1"/>
  <c r="O200" i="17" s="1"/>
  <c r="O199" i="17" s="1"/>
  <c r="O198" i="17" s="1"/>
  <c r="O197" i="17" s="1"/>
  <c r="O196" i="17" s="1"/>
  <c r="O195" i="17" s="1"/>
  <c r="O194" i="17" s="1"/>
  <c r="O193" i="17" s="1"/>
  <c r="O192" i="17" s="1"/>
  <c r="O191" i="17" s="1"/>
  <c r="O190" i="17" s="1"/>
  <c r="O189" i="17" s="1"/>
  <c r="O188" i="17" s="1"/>
  <c r="O187" i="17" s="1"/>
  <c r="O186" i="17" s="1"/>
  <c r="O185" i="17" s="1"/>
  <c r="O184" i="17" s="1"/>
  <c r="O183" i="17" s="1"/>
  <c r="O182" i="17" s="1"/>
  <c r="O181" i="17" s="1"/>
  <c r="O180" i="17" s="1"/>
  <c r="O179" i="17" s="1"/>
  <c r="O178" i="17" s="1"/>
  <c r="O177" i="17" s="1"/>
  <c r="O176" i="17" s="1"/>
  <c r="O175" i="17" s="1"/>
  <c r="O174" i="17" s="1"/>
  <c r="O173" i="17" s="1"/>
  <c r="O172" i="17" s="1"/>
  <c r="O171" i="17" s="1"/>
  <c r="O170" i="17" s="1"/>
  <c r="O169" i="17" s="1"/>
  <c r="O168" i="17" s="1"/>
  <c r="O167" i="17" s="1"/>
  <c r="O166" i="17" s="1"/>
  <c r="O165" i="17" s="1"/>
  <c r="O164" i="17" s="1"/>
  <c r="O163" i="17" s="1"/>
  <c r="O162" i="17" s="1"/>
  <c r="O161" i="17" s="1"/>
  <c r="O160" i="17" s="1"/>
  <c r="O159" i="17" s="1"/>
  <c r="O158" i="17" s="1"/>
  <c r="O157" i="17" s="1"/>
  <c r="O156" i="17" s="1"/>
  <c r="O155" i="17" s="1"/>
  <c r="O153" i="17" s="1"/>
  <c r="O152" i="17" s="1"/>
  <c r="O151" i="17" s="1"/>
  <c r="O150" i="17" s="1"/>
  <c r="O149" i="17" s="1"/>
  <c r="O148" i="17" s="1"/>
  <c r="O147" i="17" s="1"/>
  <c r="O146" i="17" s="1"/>
  <c r="O145" i="17" s="1"/>
  <c r="O144" i="17" s="1"/>
  <c r="O143" i="17" s="1"/>
  <c r="O142" i="17" s="1"/>
  <c r="O141" i="17" s="1"/>
  <c r="O140" i="17" s="1"/>
  <c r="O139" i="17" s="1"/>
  <c r="O138" i="17" s="1"/>
  <c r="O137" i="17" s="1"/>
  <c r="O136" i="17" s="1"/>
  <c r="O135" i="17" s="1"/>
  <c r="O134" i="17" s="1"/>
  <c r="O133" i="17" s="1"/>
  <c r="O132" i="17" s="1"/>
  <c r="O131" i="17" s="1"/>
  <c r="O130" i="17" s="1"/>
  <c r="O129" i="17" s="1"/>
  <c r="O128" i="17" s="1"/>
  <c r="O127" i="17" s="1"/>
  <c r="O126" i="17" s="1"/>
  <c r="O125" i="17" s="1"/>
  <c r="O124" i="17" s="1"/>
  <c r="O253" i="17"/>
  <c r="O252" i="17" s="1"/>
  <c r="O251" i="17" s="1"/>
  <c r="O250" i="17" s="1"/>
  <c r="O249" i="17" s="1"/>
  <c r="O248" i="17" s="1"/>
  <c r="O247" i="17" s="1"/>
  <c r="O246" i="17" s="1"/>
  <c r="O245" i="17" s="1"/>
  <c r="O244" i="17" s="1"/>
  <c r="O243" i="17" s="1"/>
  <c r="O242" i="17" s="1"/>
  <c r="O241" i="17" s="1"/>
  <c r="O240" i="17" s="1"/>
  <c r="O239" i="17" s="1"/>
  <c r="O238" i="17" s="1"/>
  <c r="O237" i="17" s="1"/>
  <c r="O236" i="17" s="1"/>
  <c r="O235" i="17" s="1"/>
  <c r="O234" i="17" s="1"/>
  <c r="O233" i="17" s="1"/>
  <c r="O232" i="17" s="1"/>
  <c r="O231" i="17" s="1"/>
  <c r="O230" i="17" s="1"/>
  <c r="O229" i="17" s="1"/>
  <c r="O228" i="17" s="1"/>
  <c r="O227" i="17" s="1"/>
  <c r="O226" i="17" s="1"/>
  <c r="O225" i="17" s="1"/>
  <c r="O224" i="17" s="1"/>
  <c r="O223" i="17" s="1"/>
  <c r="O222" i="17" s="1"/>
  <c r="O221" i="17" s="1"/>
  <c r="O220" i="17" s="1"/>
  <c r="O219" i="17" s="1"/>
  <c r="O218" i="17" s="1"/>
  <c r="O217" i="17" s="1"/>
  <c r="O216" i="17" s="1"/>
  <c r="O215" i="17" s="1"/>
  <c r="O214" i="17" s="1"/>
  <c r="O213" i="17" s="1"/>
  <c r="O212" i="17" s="1"/>
  <c r="O211" i="17" s="1"/>
  <c r="O210" i="17" s="1"/>
  <c r="O209" i="17" s="1"/>
  <c r="O208" i="17" s="1"/>
  <c r="O207" i="17" s="1"/>
  <c r="O206" i="17" s="1"/>
  <c r="D376" i="11"/>
  <c r="D377" i="11"/>
  <c r="D378" i="11"/>
  <c r="D379" i="11"/>
  <c r="D380" i="11"/>
  <c r="D381" i="11"/>
  <c r="O308" i="17" l="1"/>
  <c r="O306" i="17"/>
  <c r="O305" i="17" s="1"/>
  <c r="O304" i="17" s="1"/>
  <c r="O303" i="17" s="1"/>
  <c r="O302" i="17" s="1"/>
  <c r="O301" i="17" s="1"/>
  <c r="O300" i="17" s="1"/>
  <c r="O299" i="17" s="1"/>
  <c r="O298" i="17" s="1"/>
  <c r="O297" i="17" s="1"/>
  <c r="O296" i="17" s="1"/>
  <c r="O295" i="17" s="1"/>
  <c r="O294" i="17" s="1"/>
  <c r="O293" i="17" s="1"/>
  <c r="O292" i="17" s="1"/>
  <c r="O291" i="17" s="1"/>
  <c r="O290" i="17" s="1"/>
  <c r="O289" i="17" s="1"/>
  <c r="O288" i="17" s="1"/>
  <c r="O287" i="17" s="1"/>
  <c r="O286" i="17" s="1"/>
  <c r="O285" i="17" s="1"/>
  <c r="O284" i="17" s="1"/>
  <c r="O283" i="17" s="1"/>
  <c r="O282" i="17" s="1"/>
  <c r="O281" i="17" s="1"/>
  <c r="O280" i="17" s="1"/>
  <c r="O279" i="17" s="1"/>
  <c r="O278" i="17" s="1"/>
  <c r="O277" i="17" s="1"/>
  <c r="O276" i="17" s="1"/>
  <c r="O275" i="17" s="1"/>
  <c r="O274" i="17" s="1"/>
  <c r="O273" i="17" s="1"/>
  <c r="O272" i="17" s="1"/>
  <c r="O271" i="17" s="1"/>
  <c r="O270" i="17" s="1"/>
  <c r="O269" i="17" s="1"/>
  <c r="O268" i="17" s="1"/>
  <c r="O267" i="17" s="1"/>
  <c r="O266" i="17" s="1"/>
  <c r="O265" i="17" s="1"/>
  <c r="O264" i="17" s="1"/>
  <c r="O263" i="17" s="1"/>
  <c r="O262" i="17" s="1"/>
  <c r="O261" i="17" s="1"/>
  <c r="O260" i="17" s="1"/>
  <c r="O259" i="17" s="1"/>
  <c r="D4" i="11"/>
  <c r="D375" i="11"/>
  <c r="D5" i="11"/>
  <c r="D6" i="11"/>
  <c r="D7" i="11"/>
  <c r="D8" i="11"/>
  <c r="D9" i="11"/>
  <c r="D10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" i="11"/>
  <c r="O257" i="17" l="1"/>
  <c r="O258" i="17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8" i="5"/>
  <c r="D369" i="1" l="1"/>
  <c r="I369" i="1" s="1"/>
  <c r="D368" i="1"/>
  <c r="I368" i="1" s="1"/>
  <c r="D367" i="1"/>
  <c r="I367" i="1" s="1"/>
  <c r="D348" i="1"/>
  <c r="I348" i="1" s="1"/>
  <c r="D344" i="1"/>
  <c r="I344" i="1" s="1"/>
  <c r="D364" i="1"/>
  <c r="I364" i="1" s="1"/>
  <c r="D363" i="1"/>
  <c r="I363" i="1" s="1"/>
  <c r="D362" i="1"/>
  <c r="I362" i="1" s="1"/>
  <c r="D361" i="1"/>
  <c r="I361" i="1" s="1"/>
  <c r="D360" i="1"/>
  <c r="I360" i="1" s="1"/>
  <c r="D359" i="1"/>
  <c r="I359" i="1" s="1"/>
  <c r="D358" i="1"/>
  <c r="I358" i="1" s="1"/>
  <c r="D357" i="1"/>
  <c r="I357" i="1" s="1"/>
  <c r="D356" i="1"/>
  <c r="I356" i="1" s="1"/>
  <c r="D355" i="1"/>
  <c r="I355" i="1" s="1"/>
  <c r="D354" i="1"/>
  <c r="I354" i="1" s="1"/>
  <c r="D353" i="1"/>
  <c r="I353" i="1" s="1"/>
  <c r="D352" i="1"/>
  <c r="I352" i="1" s="1"/>
  <c r="D351" i="1"/>
  <c r="I351" i="1" s="1"/>
  <c r="D350" i="1"/>
  <c r="I350" i="1" s="1"/>
  <c r="D349" i="1"/>
  <c r="I349" i="1" s="1"/>
  <c r="D347" i="1"/>
  <c r="I347" i="1" s="1"/>
  <c r="D346" i="1"/>
  <c r="I346" i="1" s="1"/>
  <c r="D345" i="1"/>
  <c r="I345" i="1" s="1"/>
  <c r="D343" i="1"/>
  <c r="I343" i="1" s="1"/>
  <c r="D342" i="1"/>
  <c r="I342" i="1" s="1"/>
  <c r="D341" i="1"/>
  <c r="I341" i="1" s="1"/>
  <c r="D366" i="1"/>
  <c r="I366" i="1" s="1"/>
  <c r="D340" i="1"/>
  <c r="I340" i="1" s="1"/>
  <c r="D339" i="1"/>
  <c r="I339" i="1" s="1"/>
  <c r="D338" i="1"/>
  <c r="I338" i="1" s="1"/>
  <c r="D337" i="1"/>
  <c r="I337" i="1" s="1"/>
  <c r="D336" i="1"/>
  <c r="I336" i="1" s="1"/>
  <c r="D335" i="1"/>
  <c r="I335" i="1" s="1"/>
  <c r="D334" i="1"/>
  <c r="I334" i="1" s="1"/>
  <c r="D333" i="1"/>
  <c r="I333" i="1" s="1"/>
  <c r="D332" i="1"/>
  <c r="I332" i="1" s="1"/>
  <c r="D331" i="1"/>
  <c r="I331" i="1" s="1"/>
  <c r="D330" i="1"/>
  <c r="I330" i="1" s="1"/>
  <c r="D329" i="1"/>
  <c r="I329" i="1" s="1"/>
  <c r="D326" i="1"/>
  <c r="I326" i="1" s="1"/>
  <c r="D324" i="1"/>
  <c r="I324" i="1" s="1"/>
  <c r="D323" i="1"/>
  <c r="I323" i="1" s="1"/>
  <c r="D320" i="1"/>
  <c r="I320" i="1" s="1"/>
  <c r="D319" i="1"/>
  <c r="I319" i="1" s="1"/>
  <c r="D317" i="1"/>
  <c r="I317" i="1" s="1"/>
  <c r="D315" i="1"/>
  <c r="I315" i="1" s="1"/>
  <c r="D313" i="1"/>
  <c r="I313" i="1" s="1"/>
  <c r="D312" i="1"/>
  <c r="I312" i="1" s="1"/>
  <c r="D311" i="1"/>
  <c r="I311" i="1" s="1"/>
  <c r="D310" i="1"/>
  <c r="I310" i="1" s="1"/>
  <c r="D309" i="1"/>
  <c r="I309" i="1" s="1"/>
  <c r="D308" i="1"/>
  <c r="I308" i="1" s="1"/>
  <c r="D307" i="1"/>
  <c r="I307" i="1" s="1"/>
  <c r="D306" i="1"/>
  <c r="I306" i="1" s="1"/>
  <c r="D305" i="1"/>
  <c r="I305" i="1" s="1"/>
  <c r="D304" i="1"/>
  <c r="I304" i="1" s="1"/>
  <c r="D303" i="1"/>
  <c r="I303" i="1" s="1"/>
  <c r="D302" i="1"/>
  <c r="I302" i="1" s="1"/>
  <c r="D301" i="1"/>
  <c r="I301" i="1" s="1"/>
  <c r="D180" i="1"/>
  <c r="I180" i="1" s="1"/>
  <c r="D299" i="1"/>
  <c r="I299" i="1" s="1"/>
  <c r="D179" i="1"/>
  <c r="I179" i="1" s="1"/>
  <c r="D295" i="1"/>
  <c r="I295" i="1" s="1"/>
  <c r="D294" i="1"/>
  <c r="I294" i="1" s="1"/>
  <c r="D293" i="1"/>
  <c r="I293" i="1" s="1"/>
  <c r="D292" i="1"/>
  <c r="I292" i="1" s="1"/>
  <c r="D291" i="1"/>
  <c r="I291" i="1" s="1"/>
  <c r="D288" i="1"/>
  <c r="I288" i="1" s="1"/>
  <c r="D287" i="1"/>
  <c r="I287" i="1" s="1"/>
  <c r="D286" i="1"/>
  <c r="I286" i="1" s="1"/>
  <c r="D285" i="1"/>
  <c r="I285" i="1" s="1"/>
  <c r="D284" i="1"/>
  <c r="I284" i="1" s="1"/>
  <c r="D283" i="1"/>
  <c r="I283" i="1" s="1"/>
  <c r="D282" i="1"/>
  <c r="I282" i="1" s="1"/>
  <c r="D281" i="1"/>
  <c r="I281" i="1" s="1"/>
  <c r="D280" i="1"/>
  <c r="I280" i="1" s="1"/>
  <c r="D279" i="1"/>
  <c r="I279" i="1" s="1"/>
  <c r="D278" i="1"/>
  <c r="I278" i="1" s="1"/>
  <c r="D277" i="1"/>
  <c r="I277" i="1" s="1"/>
  <c r="D276" i="1"/>
  <c r="I276" i="1" s="1"/>
  <c r="D275" i="1"/>
  <c r="I275" i="1" s="1"/>
  <c r="D274" i="1"/>
  <c r="I274" i="1" s="1"/>
  <c r="D273" i="1"/>
  <c r="I273" i="1" s="1"/>
  <c r="D272" i="1"/>
  <c r="I272" i="1" s="1"/>
  <c r="D271" i="1"/>
  <c r="I271" i="1" s="1"/>
  <c r="D270" i="1"/>
  <c r="I270" i="1" s="1"/>
  <c r="D269" i="1"/>
  <c r="I269" i="1" s="1"/>
  <c r="D268" i="1"/>
  <c r="I268" i="1" s="1"/>
  <c r="D267" i="1"/>
  <c r="I267" i="1" s="1"/>
  <c r="D266" i="1"/>
  <c r="I266" i="1" s="1"/>
  <c r="D265" i="1"/>
  <c r="I265" i="1" s="1"/>
  <c r="D264" i="1"/>
  <c r="I264" i="1" s="1"/>
  <c r="D262" i="1"/>
  <c r="I262" i="1" s="1"/>
  <c r="D261" i="1"/>
  <c r="I261" i="1" s="1"/>
  <c r="D260" i="1"/>
  <c r="I260" i="1" s="1"/>
  <c r="D259" i="1"/>
  <c r="I259" i="1" s="1"/>
  <c r="D258" i="1"/>
  <c r="I258" i="1" s="1"/>
  <c r="D257" i="1"/>
  <c r="I257" i="1" s="1"/>
  <c r="D256" i="1"/>
  <c r="I256" i="1" s="1"/>
  <c r="D255" i="1"/>
  <c r="I255" i="1" s="1"/>
  <c r="D254" i="1"/>
  <c r="I254" i="1" s="1"/>
  <c r="D253" i="1"/>
  <c r="I253" i="1" s="1"/>
  <c r="D252" i="1"/>
  <c r="I252" i="1" s="1"/>
  <c r="D251" i="1"/>
  <c r="I251" i="1" s="1"/>
  <c r="D297" i="1"/>
  <c r="I297" i="1" s="1"/>
  <c r="D250" i="1"/>
  <c r="I250" i="1" s="1"/>
  <c r="D249" i="1"/>
  <c r="I249" i="1" s="1"/>
  <c r="D248" i="1"/>
  <c r="I248" i="1" s="1"/>
  <c r="D247" i="1"/>
  <c r="I247" i="1" s="1"/>
  <c r="D246" i="1"/>
  <c r="I246" i="1" s="1"/>
  <c r="D245" i="1"/>
  <c r="I245" i="1" s="1"/>
  <c r="D244" i="1"/>
  <c r="I244" i="1" s="1"/>
  <c r="D243" i="1"/>
  <c r="I243" i="1" s="1"/>
  <c r="D242" i="1"/>
  <c r="I242" i="1" s="1"/>
  <c r="D241" i="1"/>
  <c r="I241" i="1" s="1"/>
  <c r="D240" i="1"/>
  <c r="I240" i="1" s="1"/>
  <c r="D239" i="1"/>
  <c r="I239" i="1" s="1"/>
  <c r="D238" i="1"/>
  <c r="I238" i="1" s="1"/>
  <c r="D237" i="1"/>
  <c r="I237" i="1" s="1"/>
  <c r="D236" i="1"/>
  <c r="I236" i="1" s="1"/>
  <c r="D235" i="1"/>
  <c r="I235" i="1" s="1"/>
  <c r="D234" i="1"/>
  <c r="I234" i="1" s="1"/>
  <c r="D233" i="1"/>
  <c r="I233" i="1" s="1"/>
  <c r="D232" i="1"/>
  <c r="I232" i="1" s="1"/>
  <c r="D231" i="1"/>
  <c r="I231" i="1" s="1"/>
  <c r="D230" i="1"/>
  <c r="I230" i="1" s="1"/>
  <c r="D229" i="1"/>
  <c r="I229" i="1" s="1"/>
  <c r="D228" i="1"/>
  <c r="I228" i="1" s="1"/>
  <c r="D227" i="1"/>
  <c r="I227" i="1" s="1"/>
  <c r="D226" i="1"/>
  <c r="I226" i="1" s="1"/>
  <c r="D225" i="1"/>
  <c r="I225" i="1" s="1"/>
  <c r="D224" i="1"/>
  <c r="I224" i="1" s="1"/>
  <c r="D223" i="1"/>
  <c r="I223" i="1" s="1"/>
  <c r="D222" i="1"/>
  <c r="I222" i="1" s="1"/>
  <c r="D221" i="1"/>
  <c r="I221" i="1" s="1"/>
  <c r="D220" i="1"/>
  <c r="I220" i="1" s="1"/>
  <c r="D219" i="1"/>
  <c r="I219" i="1" s="1"/>
  <c r="D218" i="1"/>
  <c r="I218" i="1" s="1"/>
  <c r="D217" i="1"/>
  <c r="I217" i="1" s="1"/>
  <c r="D216" i="1"/>
  <c r="I216" i="1" s="1"/>
  <c r="D215" i="1"/>
  <c r="I215" i="1" s="1"/>
  <c r="D214" i="1"/>
  <c r="I214" i="1" s="1"/>
  <c r="D213" i="1"/>
  <c r="I213" i="1" s="1"/>
  <c r="D211" i="1"/>
  <c r="I211" i="1" s="1"/>
  <c r="D210" i="1"/>
  <c r="I210" i="1" s="1"/>
  <c r="D209" i="1"/>
  <c r="I209" i="1" s="1"/>
  <c r="D208" i="1"/>
  <c r="I208" i="1" s="1"/>
  <c r="D207" i="1"/>
  <c r="I207" i="1" s="1"/>
  <c r="D205" i="1"/>
  <c r="I205" i="1" s="1"/>
  <c r="D204" i="1"/>
  <c r="I204" i="1" s="1"/>
  <c r="D203" i="1"/>
  <c r="I203" i="1" s="1"/>
  <c r="D202" i="1"/>
  <c r="I202" i="1" s="1"/>
  <c r="D201" i="1"/>
  <c r="I201" i="1" s="1"/>
  <c r="D200" i="1"/>
  <c r="I200" i="1" s="1"/>
  <c r="D199" i="1"/>
  <c r="I199" i="1" s="1"/>
  <c r="D198" i="1"/>
  <c r="I198" i="1" s="1"/>
  <c r="D197" i="1"/>
  <c r="I197" i="1" s="1"/>
  <c r="D196" i="1"/>
  <c r="I196" i="1" s="1"/>
  <c r="D195" i="1"/>
  <c r="I195" i="1" s="1"/>
  <c r="D194" i="1"/>
  <c r="I194" i="1" s="1"/>
  <c r="D192" i="1"/>
  <c r="I192" i="1" s="1"/>
  <c r="D191" i="1"/>
  <c r="I191" i="1" s="1"/>
  <c r="D190" i="1"/>
  <c r="I190" i="1" s="1"/>
  <c r="D189" i="1"/>
  <c r="I189" i="1" s="1"/>
  <c r="D188" i="1"/>
  <c r="I188" i="1" s="1"/>
  <c r="D187" i="1"/>
  <c r="I187" i="1" s="1"/>
  <c r="D186" i="1"/>
  <c r="I186" i="1" s="1"/>
  <c r="D185" i="1"/>
  <c r="I185" i="1" s="1"/>
  <c r="D184" i="1"/>
  <c r="I184" i="1" s="1"/>
  <c r="D325" i="1"/>
  <c r="I325" i="1" s="1"/>
  <c r="D183" i="1"/>
  <c r="I183" i="1" s="1"/>
  <c r="D182" i="1"/>
  <c r="I182" i="1" s="1"/>
  <c r="D181" i="1"/>
  <c r="I181" i="1" s="1"/>
  <c r="D300" i="1"/>
  <c r="I300" i="1" s="1"/>
  <c r="D178" i="1"/>
  <c r="I178" i="1" s="1"/>
  <c r="D177" i="1"/>
  <c r="I177" i="1" s="1"/>
  <c r="D176" i="1"/>
  <c r="I176" i="1" s="1"/>
  <c r="D175" i="1"/>
  <c r="I175" i="1" s="1"/>
  <c r="D174" i="1"/>
  <c r="I174" i="1" s="1"/>
  <c r="D173" i="1"/>
  <c r="I173" i="1" s="1"/>
  <c r="D172" i="1"/>
  <c r="I172" i="1" s="1"/>
  <c r="D171" i="1"/>
  <c r="I171" i="1" s="1"/>
  <c r="D206" i="1"/>
  <c r="I206" i="1" s="1"/>
  <c r="D170" i="1"/>
  <c r="I170" i="1" s="1"/>
  <c r="D169" i="1"/>
  <c r="I169" i="1" s="1"/>
  <c r="D168" i="1"/>
  <c r="I168" i="1" s="1"/>
  <c r="D167" i="1"/>
  <c r="I167" i="1" s="1"/>
  <c r="D166" i="1"/>
  <c r="I166" i="1" s="1"/>
  <c r="D165" i="1"/>
  <c r="I165" i="1" s="1"/>
  <c r="D164" i="1"/>
  <c r="I164" i="1" s="1"/>
  <c r="D162" i="1"/>
  <c r="I162" i="1" s="1"/>
  <c r="D160" i="1"/>
  <c r="I160" i="1" s="1"/>
  <c r="D159" i="1"/>
  <c r="I159" i="1" s="1"/>
  <c r="D157" i="1"/>
  <c r="I157" i="1" s="1"/>
  <c r="D156" i="1"/>
  <c r="I156" i="1" s="1"/>
  <c r="D155" i="1"/>
  <c r="I155" i="1" s="1"/>
  <c r="D154" i="1"/>
  <c r="I154" i="1" s="1"/>
  <c r="D153" i="1"/>
  <c r="I153" i="1" s="1"/>
  <c r="D158" i="1"/>
  <c r="I158" i="1" s="1"/>
  <c r="D152" i="1"/>
  <c r="I152" i="1" s="1"/>
  <c r="D151" i="1"/>
  <c r="I151" i="1" s="1"/>
  <c r="D150" i="1"/>
  <c r="I150" i="1" s="1"/>
  <c r="D149" i="1"/>
  <c r="I149" i="1" s="1"/>
  <c r="D148" i="1"/>
  <c r="I148" i="1" s="1"/>
  <c r="D147" i="1"/>
  <c r="I147" i="1" s="1"/>
  <c r="D146" i="1"/>
  <c r="I146" i="1" s="1"/>
  <c r="D145" i="1"/>
  <c r="I145" i="1" s="1"/>
  <c r="D144" i="1"/>
  <c r="I144" i="1" s="1"/>
  <c r="D143" i="1"/>
  <c r="I143" i="1" s="1"/>
  <c r="D142" i="1"/>
  <c r="I142" i="1" s="1"/>
  <c r="D141" i="1"/>
  <c r="I141" i="1" s="1"/>
  <c r="D140" i="1"/>
  <c r="I140" i="1" s="1"/>
  <c r="D139" i="1"/>
  <c r="I139" i="1" s="1"/>
  <c r="D138" i="1"/>
  <c r="I138" i="1" s="1"/>
  <c r="D137" i="1"/>
  <c r="I137" i="1" s="1"/>
  <c r="D136" i="1"/>
  <c r="I136" i="1" s="1"/>
  <c r="D135" i="1"/>
  <c r="I135" i="1" s="1"/>
  <c r="D134" i="1"/>
  <c r="I134" i="1" s="1"/>
  <c r="D133" i="1"/>
  <c r="I133" i="1" s="1"/>
  <c r="D132" i="1"/>
  <c r="I132" i="1" s="1"/>
  <c r="D131" i="1"/>
  <c r="I131" i="1" s="1"/>
  <c r="D130" i="1"/>
  <c r="I130" i="1" s="1"/>
  <c r="D129" i="1"/>
  <c r="I129" i="1" s="1"/>
  <c r="D127" i="1"/>
  <c r="I127" i="1" s="1"/>
  <c r="D128" i="1"/>
  <c r="I128" i="1" s="1"/>
  <c r="D126" i="1"/>
  <c r="I126" i="1" s="1"/>
  <c r="D125" i="1"/>
  <c r="I125" i="1" s="1"/>
  <c r="D124" i="1"/>
  <c r="I124" i="1" s="1"/>
  <c r="D123" i="1"/>
  <c r="I123" i="1" s="1"/>
  <c r="D122" i="1"/>
  <c r="I122" i="1" s="1"/>
  <c r="D121" i="1"/>
  <c r="I121" i="1" s="1"/>
  <c r="D120" i="1"/>
  <c r="I120" i="1" s="1"/>
  <c r="D119" i="1"/>
  <c r="I119" i="1" s="1"/>
  <c r="D118" i="1"/>
  <c r="I118" i="1" s="1"/>
  <c r="D117" i="1"/>
  <c r="I117" i="1" s="1"/>
  <c r="D116" i="1"/>
  <c r="I116" i="1" s="1"/>
  <c r="D115" i="1"/>
  <c r="I115" i="1" s="1"/>
  <c r="D114" i="1"/>
  <c r="I114" i="1" s="1"/>
  <c r="D113" i="1"/>
  <c r="I113" i="1" s="1"/>
  <c r="D112" i="1"/>
  <c r="I112" i="1" s="1"/>
  <c r="D109" i="1"/>
  <c r="I109" i="1" s="1"/>
  <c r="D108" i="1"/>
  <c r="I108" i="1" s="1"/>
  <c r="D107" i="1"/>
  <c r="I107" i="1" s="1"/>
  <c r="D106" i="1"/>
  <c r="I106" i="1" s="1"/>
  <c r="D105" i="1"/>
  <c r="I105" i="1" s="1"/>
  <c r="D104" i="1"/>
  <c r="I104" i="1" s="1"/>
  <c r="D103" i="1"/>
  <c r="I103" i="1" s="1"/>
  <c r="D101" i="1"/>
  <c r="I101" i="1" s="1"/>
  <c r="D100" i="1"/>
  <c r="I100" i="1" s="1"/>
  <c r="D97" i="1"/>
  <c r="I97" i="1" s="1"/>
  <c r="D96" i="1"/>
  <c r="I96" i="1" s="1"/>
  <c r="D95" i="1"/>
  <c r="I95" i="1" s="1"/>
  <c r="D94" i="1"/>
  <c r="I94" i="1" s="1"/>
  <c r="D93" i="1"/>
  <c r="I93" i="1" s="1"/>
  <c r="D92" i="1"/>
  <c r="I92" i="1" s="1"/>
  <c r="D91" i="1"/>
  <c r="I91" i="1" s="1"/>
  <c r="D90" i="1"/>
  <c r="I90" i="1" s="1"/>
  <c r="D89" i="1"/>
  <c r="I89" i="1" s="1"/>
  <c r="D88" i="1"/>
  <c r="I88" i="1" s="1"/>
  <c r="D87" i="1"/>
  <c r="I87" i="1" s="1"/>
  <c r="D86" i="1"/>
  <c r="I86" i="1" s="1"/>
  <c r="D85" i="1"/>
  <c r="I85" i="1" s="1"/>
  <c r="D84" i="1"/>
  <c r="I84" i="1" s="1"/>
  <c r="D83" i="1"/>
  <c r="I83" i="1" s="1"/>
  <c r="D82" i="1"/>
  <c r="I82" i="1" s="1"/>
  <c r="D81" i="1"/>
  <c r="I81" i="1" s="1"/>
  <c r="D80" i="1"/>
  <c r="I80" i="1" s="1"/>
  <c r="D79" i="1"/>
  <c r="I79" i="1" s="1"/>
  <c r="D78" i="1"/>
  <c r="I78" i="1" s="1"/>
  <c r="D77" i="1"/>
  <c r="I77" i="1" s="1"/>
  <c r="D76" i="1"/>
  <c r="I76" i="1" s="1"/>
  <c r="D75" i="1"/>
  <c r="I75" i="1" s="1"/>
  <c r="D49" i="1"/>
  <c r="I49" i="1" s="1"/>
  <c r="D74" i="1"/>
  <c r="I74" i="1" s="1"/>
  <c r="D71" i="1"/>
  <c r="I71" i="1" s="1"/>
  <c r="D70" i="1"/>
  <c r="I70" i="1" s="1"/>
  <c r="D69" i="1"/>
  <c r="I69" i="1" s="1"/>
  <c r="D68" i="1"/>
  <c r="I68" i="1" s="1"/>
  <c r="D67" i="1"/>
  <c r="I67" i="1" s="1"/>
  <c r="D66" i="1"/>
  <c r="I66" i="1" s="1"/>
  <c r="D65" i="1"/>
  <c r="I65" i="1" s="1"/>
  <c r="D64" i="1"/>
  <c r="I64" i="1" s="1"/>
  <c r="D63" i="1"/>
  <c r="I63" i="1" s="1"/>
  <c r="D62" i="1"/>
  <c r="I62" i="1" s="1"/>
  <c r="D61" i="1"/>
  <c r="I61" i="1" s="1"/>
  <c r="D57" i="1"/>
  <c r="I57" i="1" s="1"/>
  <c r="D56" i="1"/>
  <c r="I56" i="1" s="1"/>
  <c r="D55" i="1"/>
  <c r="I55" i="1" s="1"/>
  <c r="D54" i="1"/>
  <c r="I54" i="1" s="1"/>
  <c r="D53" i="1"/>
  <c r="I53" i="1" s="1"/>
  <c r="D52" i="1"/>
  <c r="I52" i="1" s="1"/>
  <c r="D51" i="1"/>
  <c r="I51" i="1" s="1"/>
  <c r="D50" i="1"/>
  <c r="I50" i="1" s="1"/>
  <c r="D48" i="1"/>
  <c r="I48" i="1" s="1"/>
  <c r="D47" i="1"/>
  <c r="I47" i="1" s="1"/>
  <c r="D30" i="1"/>
  <c r="I30" i="1" s="1"/>
  <c r="D46" i="1"/>
  <c r="I46" i="1" s="1"/>
  <c r="D45" i="1"/>
  <c r="I45" i="1" s="1"/>
  <c r="D44" i="1"/>
  <c r="I44" i="1" s="1"/>
  <c r="D43" i="1"/>
  <c r="I43" i="1" s="1"/>
  <c r="D42" i="1"/>
  <c r="I42" i="1" s="1"/>
  <c r="D41" i="1"/>
  <c r="I41" i="1" s="1"/>
  <c r="D40" i="1"/>
  <c r="I40" i="1" s="1"/>
  <c r="D39" i="1"/>
  <c r="I39" i="1" s="1"/>
  <c r="D38" i="1"/>
  <c r="I38" i="1" s="1"/>
  <c r="D37" i="1"/>
  <c r="I37" i="1" s="1"/>
  <c r="D36" i="1"/>
  <c r="I36" i="1" s="1"/>
  <c r="D35" i="1"/>
  <c r="I35" i="1" s="1"/>
  <c r="D34" i="1"/>
  <c r="I34" i="1" s="1"/>
  <c r="D33" i="1"/>
  <c r="I33" i="1" s="1"/>
  <c r="D32" i="1"/>
  <c r="I32" i="1" s="1"/>
  <c r="D31" i="1"/>
  <c r="I31" i="1" s="1"/>
  <c r="D29" i="1"/>
  <c r="I29" i="1" s="1"/>
  <c r="D28" i="1"/>
  <c r="I28" i="1" s="1"/>
  <c r="D27" i="1"/>
  <c r="I27" i="1" s="1"/>
  <c r="D26" i="1"/>
  <c r="I26" i="1" s="1"/>
  <c r="D25" i="1"/>
  <c r="I25" i="1" s="1"/>
  <c r="D24" i="1"/>
  <c r="I24" i="1" s="1"/>
  <c r="D23" i="1"/>
  <c r="I23" i="1" s="1"/>
  <c r="D22" i="1"/>
  <c r="I22" i="1" s="1"/>
  <c r="D21" i="1"/>
  <c r="I21" i="1" s="1"/>
  <c r="D20" i="1"/>
  <c r="I20" i="1" s="1"/>
  <c r="D19" i="1"/>
  <c r="I19" i="1" s="1"/>
  <c r="D18" i="1"/>
  <c r="I18" i="1" s="1"/>
  <c r="D17" i="1"/>
  <c r="I17" i="1" s="1"/>
  <c r="D16" i="1"/>
  <c r="I16" i="1" s="1"/>
  <c r="D15" i="1"/>
  <c r="I15" i="1" s="1"/>
  <c r="D14" i="1"/>
  <c r="I14" i="1" s="1"/>
  <c r="D13" i="1"/>
  <c r="I13" i="1" s="1"/>
  <c r="D12" i="1"/>
  <c r="I12" i="1" s="1"/>
  <c r="D11" i="1"/>
  <c r="I11" i="1" s="1"/>
  <c r="D10" i="1"/>
  <c r="I10" i="1" s="1"/>
  <c r="D9" i="1"/>
  <c r="I9" i="1" s="1"/>
  <c r="C369" i="1"/>
  <c r="H369" i="1" s="1"/>
  <c r="L369" i="1" s="1"/>
  <c r="N369" i="1" s="1"/>
  <c r="C368" i="1"/>
  <c r="H368" i="1" s="1"/>
  <c r="L368" i="1" s="1"/>
  <c r="N368" i="1" s="1"/>
  <c r="C367" i="1"/>
  <c r="H367" i="1" s="1"/>
  <c r="L367" i="1" s="1"/>
  <c r="N367" i="1" s="1"/>
  <c r="C348" i="1"/>
  <c r="H348" i="1" s="1"/>
  <c r="C344" i="1"/>
  <c r="H344" i="1" s="1"/>
  <c r="L344" i="1" s="1"/>
  <c r="N344" i="1" s="1"/>
  <c r="C364" i="1"/>
  <c r="H364" i="1" s="1"/>
  <c r="L364" i="1" s="1"/>
  <c r="N364" i="1" s="1"/>
  <c r="C363" i="1"/>
  <c r="H363" i="1" s="1"/>
  <c r="L363" i="1" s="1"/>
  <c r="N363" i="1" s="1"/>
  <c r="C362" i="1"/>
  <c r="H362" i="1" s="1"/>
  <c r="C361" i="1"/>
  <c r="H361" i="1" s="1"/>
  <c r="L361" i="1" s="1"/>
  <c r="N361" i="1" s="1"/>
  <c r="C360" i="1"/>
  <c r="H360" i="1" s="1"/>
  <c r="L360" i="1" s="1"/>
  <c r="N360" i="1" s="1"/>
  <c r="C359" i="1"/>
  <c r="H359" i="1" s="1"/>
  <c r="L359" i="1" s="1"/>
  <c r="N359" i="1" s="1"/>
  <c r="C358" i="1"/>
  <c r="H358" i="1" s="1"/>
  <c r="C357" i="1"/>
  <c r="H357" i="1" s="1"/>
  <c r="L357" i="1" s="1"/>
  <c r="N357" i="1" s="1"/>
  <c r="C356" i="1"/>
  <c r="H356" i="1" s="1"/>
  <c r="L356" i="1" s="1"/>
  <c r="N356" i="1" s="1"/>
  <c r="C355" i="1"/>
  <c r="H355" i="1" s="1"/>
  <c r="L355" i="1" s="1"/>
  <c r="N355" i="1" s="1"/>
  <c r="C354" i="1"/>
  <c r="H354" i="1" s="1"/>
  <c r="C353" i="1"/>
  <c r="H353" i="1" s="1"/>
  <c r="L353" i="1" s="1"/>
  <c r="N353" i="1" s="1"/>
  <c r="C352" i="1"/>
  <c r="H352" i="1" s="1"/>
  <c r="L352" i="1" s="1"/>
  <c r="N352" i="1" s="1"/>
  <c r="C351" i="1"/>
  <c r="H351" i="1" s="1"/>
  <c r="L351" i="1" s="1"/>
  <c r="N351" i="1" s="1"/>
  <c r="C350" i="1"/>
  <c r="H350" i="1" s="1"/>
  <c r="C349" i="1"/>
  <c r="H349" i="1" s="1"/>
  <c r="L349" i="1" s="1"/>
  <c r="N349" i="1" s="1"/>
  <c r="C347" i="1"/>
  <c r="H347" i="1" s="1"/>
  <c r="L347" i="1" s="1"/>
  <c r="N347" i="1" s="1"/>
  <c r="C346" i="1"/>
  <c r="H346" i="1" s="1"/>
  <c r="L346" i="1" s="1"/>
  <c r="N346" i="1" s="1"/>
  <c r="C345" i="1"/>
  <c r="H345" i="1" s="1"/>
  <c r="C343" i="1"/>
  <c r="H343" i="1" s="1"/>
  <c r="L343" i="1" s="1"/>
  <c r="N343" i="1" s="1"/>
  <c r="C342" i="1"/>
  <c r="H342" i="1" s="1"/>
  <c r="L342" i="1" s="1"/>
  <c r="N342" i="1" s="1"/>
  <c r="C341" i="1"/>
  <c r="H341" i="1" s="1"/>
  <c r="L341" i="1" s="1"/>
  <c r="N341" i="1" s="1"/>
  <c r="C366" i="1"/>
  <c r="H366" i="1" s="1"/>
  <c r="C340" i="1"/>
  <c r="H340" i="1" s="1"/>
  <c r="L340" i="1" s="1"/>
  <c r="N340" i="1" s="1"/>
  <c r="C339" i="1"/>
  <c r="H339" i="1" s="1"/>
  <c r="L339" i="1" s="1"/>
  <c r="N339" i="1" s="1"/>
  <c r="C338" i="1"/>
  <c r="H338" i="1" s="1"/>
  <c r="L338" i="1" s="1"/>
  <c r="N338" i="1" s="1"/>
  <c r="C337" i="1"/>
  <c r="H337" i="1" s="1"/>
  <c r="C336" i="1"/>
  <c r="H336" i="1" s="1"/>
  <c r="L336" i="1" s="1"/>
  <c r="N336" i="1" s="1"/>
  <c r="C335" i="1"/>
  <c r="H335" i="1" s="1"/>
  <c r="L335" i="1" s="1"/>
  <c r="N335" i="1" s="1"/>
  <c r="C334" i="1"/>
  <c r="H334" i="1" s="1"/>
  <c r="L334" i="1" s="1"/>
  <c r="N334" i="1" s="1"/>
  <c r="C333" i="1"/>
  <c r="H333" i="1" s="1"/>
  <c r="C332" i="1"/>
  <c r="H332" i="1" s="1"/>
  <c r="L332" i="1" s="1"/>
  <c r="N332" i="1" s="1"/>
  <c r="C331" i="1"/>
  <c r="H331" i="1" s="1"/>
  <c r="L331" i="1" s="1"/>
  <c r="N331" i="1" s="1"/>
  <c r="C330" i="1"/>
  <c r="H330" i="1" s="1"/>
  <c r="L330" i="1" s="1"/>
  <c r="N330" i="1" s="1"/>
  <c r="C329" i="1"/>
  <c r="H329" i="1" s="1"/>
  <c r="C326" i="1"/>
  <c r="H326" i="1" s="1"/>
  <c r="L326" i="1" s="1"/>
  <c r="N326" i="1" s="1"/>
  <c r="C324" i="1"/>
  <c r="H324" i="1" s="1"/>
  <c r="L324" i="1" s="1"/>
  <c r="N324" i="1" s="1"/>
  <c r="C323" i="1"/>
  <c r="H323" i="1" s="1"/>
  <c r="L323" i="1" s="1"/>
  <c r="N323" i="1" s="1"/>
  <c r="C320" i="1"/>
  <c r="H320" i="1" s="1"/>
  <c r="C319" i="1"/>
  <c r="H319" i="1" s="1"/>
  <c r="L319" i="1" s="1"/>
  <c r="N319" i="1" s="1"/>
  <c r="C317" i="1"/>
  <c r="H317" i="1" s="1"/>
  <c r="L317" i="1" s="1"/>
  <c r="N317" i="1" s="1"/>
  <c r="C315" i="1"/>
  <c r="H315" i="1" s="1"/>
  <c r="L315" i="1" s="1"/>
  <c r="N315" i="1" s="1"/>
  <c r="C313" i="1"/>
  <c r="H313" i="1" s="1"/>
  <c r="C312" i="1"/>
  <c r="H312" i="1" s="1"/>
  <c r="L312" i="1" s="1"/>
  <c r="N312" i="1" s="1"/>
  <c r="C311" i="1"/>
  <c r="H311" i="1" s="1"/>
  <c r="L311" i="1" s="1"/>
  <c r="N311" i="1" s="1"/>
  <c r="C310" i="1"/>
  <c r="H310" i="1" s="1"/>
  <c r="L310" i="1" s="1"/>
  <c r="N310" i="1" s="1"/>
  <c r="C309" i="1"/>
  <c r="H309" i="1" s="1"/>
  <c r="C308" i="1"/>
  <c r="H308" i="1" s="1"/>
  <c r="L308" i="1" s="1"/>
  <c r="N308" i="1" s="1"/>
  <c r="C307" i="1"/>
  <c r="H307" i="1" s="1"/>
  <c r="L307" i="1" s="1"/>
  <c r="N307" i="1" s="1"/>
  <c r="C306" i="1"/>
  <c r="H306" i="1" s="1"/>
  <c r="L306" i="1" s="1"/>
  <c r="N306" i="1" s="1"/>
  <c r="C305" i="1"/>
  <c r="H305" i="1" s="1"/>
  <c r="C304" i="1"/>
  <c r="H304" i="1" s="1"/>
  <c r="L304" i="1" s="1"/>
  <c r="N304" i="1" s="1"/>
  <c r="C303" i="1"/>
  <c r="H303" i="1" s="1"/>
  <c r="L303" i="1" s="1"/>
  <c r="N303" i="1" s="1"/>
  <c r="C302" i="1"/>
  <c r="H302" i="1" s="1"/>
  <c r="L302" i="1" s="1"/>
  <c r="N302" i="1" s="1"/>
  <c r="C301" i="1"/>
  <c r="H301" i="1" s="1"/>
  <c r="C180" i="1"/>
  <c r="H180" i="1" s="1"/>
  <c r="L180" i="1" s="1"/>
  <c r="N180" i="1" s="1"/>
  <c r="C299" i="1"/>
  <c r="H299" i="1" s="1"/>
  <c r="L299" i="1" s="1"/>
  <c r="N299" i="1" s="1"/>
  <c r="C179" i="1"/>
  <c r="H179" i="1" s="1"/>
  <c r="L179" i="1" s="1"/>
  <c r="N179" i="1" s="1"/>
  <c r="C295" i="1"/>
  <c r="H295" i="1" s="1"/>
  <c r="C294" i="1"/>
  <c r="H294" i="1" s="1"/>
  <c r="L294" i="1" s="1"/>
  <c r="N294" i="1" s="1"/>
  <c r="C293" i="1"/>
  <c r="H293" i="1" s="1"/>
  <c r="L293" i="1" s="1"/>
  <c r="N293" i="1" s="1"/>
  <c r="C292" i="1"/>
  <c r="H292" i="1" s="1"/>
  <c r="L292" i="1" s="1"/>
  <c r="N292" i="1" s="1"/>
  <c r="C291" i="1"/>
  <c r="H291" i="1" s="1"/>
  <c r="C288" i="1"/>
  <c r="H288" i="1" s="1"/>
  <c r="L288" i="1" s="1"/>
  <c r="N288" i="1" s="1"/>
  <c r="C287" i="1"/>
  <c r="H287" i="1" s="1"/>
  <c r="L287" i="1" s="1"/>
  <c r="N287" i="1" s="1"/>
  <c r="C286" i="1"/>
  <c r="H286" i="1" s="1"/>
  <c r="L286" i="1" s="1"/>
  <c r="N286" i="1" s="1"/>
  <c r="C285" i="1"/>
  <c r="H285" i="1" s="1"/>
  <c r="C284" i="1"/>
  <c r="H284" i="1" s="1"/>
  <c r="L284" i="1" s="1"/>
  <c r="N284" i="1" s="1"/>
  <c r="C283" i="1"/>
  <c r="H283" i="1" s="1"/>
  <c r="L283" i="1" s="1"/>
  <c r="N283" i="1" s="1"/>
  <c r="C282" i="1"/>
  <c r="H282" i="1" s="1"/>
  <c r="L282" i="1" s="1"/>
  <c r="N282" i="1" s="1"/>
  <c r="C281" i="1"/>
  <c r="H281" i="1" s="1"/>
  <c r="C280" i="1"/>
  <c r="H280" i="1" s="1"/>
  <c r="L280" i="1" s="1"/>
  <c r="N280" i="1" s="1"/>
  <c r="C279" i="1"/>
  <c r="H279" i="1" s="1"/>
  <c r="L279" i="1" s="1"/>
  <c r="N279" i="1" s="1"/>
  <c r="C278" i="1"/>
  <c r="H278" i="1" s="1"/>
  <c r="L278" i="1" s="1"/>
  <c r="N278" i="1" s="1"/>
  <c r="C277" i="1"/>
  <c r="H277" i="1" s="1"/>
  <c r="C276" i="1"/>
  <c r="H276" i="1" s="1"/>
  <c r="L276" i="1" s="1"/>
  <c r="N276" i="1" s="1"/>
  <c r="C275" i="1"/>
  <c r="H275" i="1" s="1"/>
  <c r="L275" i="1" s="1"/>
  <c r="N275" i="1" s="1"/>
  <c r="C274" i="1"/>
  <c r="H274" i="1" s="1"/>
  <c r="L274" i="1" s="1"/>
  <c r="N274" i="1" s="1"/>
  <c r="C273" i="1"/>
  <c r="H273" i="1" s="1"/>
  <c r="C272" i="1"/>
  <c r="H272" i="1" s="1"/>
  <c r="L272" i="1" s="1"/>
  <c r="N272" i="1" s="1"/>
  <c r="C271" i="1"/>
  <c r="H271" i="1" s="1"/>
  <c r="L271" i="1" s="1"/>
  <c r="N271" i="1" s="1"/>
  <c r="C270" i="1"/>
  <c r="H270" i="1" s="1"/>
  <c r="L270" i="1" s="1"/>
  <c r="N270" i="1" s="1"/>
  <c r="C269" i="1"/>
  <c r="H269" i="1" s="1"/>
  <c r="C268" i="1"/>
  <c r="H268" i="1" s="1"/>
  <c r="L268" i="1" s="1"/>
  <c r="N268" i="1" s="1"/>
  <c r="C267" i="1"/>
  <c r="H267" i="1" s="1"/>
  <c r="L267" i="1" s="1"/>
  <c r="N267" i="1" s="1"/>
  <c r="C266" i="1"/>
  <c r="H266" i="1" s="1"/>
  <c r="L266" i="1" s="1"/>
  <c r="N266" i="1" s="1"/>
  <c r="C265" i="1"/>
  <c r="H265" i="1" s="1"/>
  <c r="C264" i="1"/>
  <c r="H264" i="1" s="1"/>
  <c r="L264" i="1" s="1"/>
  <c r="N264" i="1" s="1"/>
  <c r="C262" i="1"/>
  <c r="H262" i="1" s="1"/>
  <c r="L262" i="1" s="1"/>
  <c r="N262" i="1" s="1"/>
  <c r="C261" i="1"/>
  <c r="H261" i="1" s="1"/>
  <c r="L261" i="1" s="1"/>
  <c r="N261" i="1" s="1"/>
  <c r="C260" i="1"/>
  <c r="H260" i="1" s="1"/>
  <c r="C259" i="1"/>
  <c r="H259" i="1" s="1"/>
  <c r="L259" i="1" s="1"/>
  <c r="N259" i="1" s="1"/>
  <c r="C258" i="1"/>
  <c r="H258" i="1" s="1"/>
  <c r="L258" i="1" s="1"/>
  <c r="N258" i="1" s="1"/>
  <c r="C257" i="1"/>
  <c r="H257" i="1" s="1"/>
  <c r="L257" i="1" s="1"/>
  <c r="N257" i="1" s="1"/>
  <c r="C256" i="1"/>
  <c r="H256" i="1" s="1"/>
  <c r="C255" i="1"/>
  <c r="H255" i="1" s="1"/>
  <c r="L255" i="1" s="1"/>
  <c r="N255" i="1" s="1"/>
  <c r="C254" i="1"/>
  <c r="H254" i="1" s="1"/>
  <c r="L254" i="1" s="1"/>
  <c r="N254" i="1" s="1"/>
  <c r="C253" i="1"/>
  <c r="H253" i="1" s="1"/>
  <c r="L253" i="1" s="1"/>
  <c r="N253" i="1" s="1"/>
  <c r="C252" i="1"/>
  <c r="H252" i="1" s="1"/>
  <c r="C251" i="1"/>
  <c r="H251" i="1" s="1"/>
  <c r="L251" i="1" s="1"/>
  <c r="N251" i="1" s="1"/>
  <c r="C297" i="1"/>
  <c r="H297" i="1" s="1"/>
  <c r="L297" i="1" s="1"/>
  <c r="N297" i="1" s="1"/>
  <c r="C250" i="1"/>
  <c r="H250" i="1" s="1"/>
  <c r="L250" i="1" s="1"/>
  <c r="N250" i="1" s="1"/>
  <c r="C249" i="1"/>
  <c r="H249" i="1" s="1"/>
  <c r="C248" i="1"/>
  <c r="H248" i="1" s="1"/>
  <c r="L248" i="1" s="1"/>
  <c r="N248" i="1" s="1"/>
  <c r="C247" i="1"/>
  <c r="H247" i="1" s="1"/>
  <c r="L247" i="1" s="1"/>
  <c r="N247" i="1" s="1"/>
  <c r="C246" i="1"/>
  <c r="H246" i="1" s="1"/>
  <c r="L246" i="1" s="1"/>
  <c r="N246" i="1" s="1"/>
  <c r="C245" i="1"/>
  <c r="H245" i="1" s="1"/>
  <c r="C244" i="1"/>
  <c r="H244" i="1" s="1"/>
  <c r="L244" i="1" s="1"/>
  <c r="N244" i="1" s="1"/>
  <c r="C243" i="1"/>
  <c r="H243" i="1" s="1"/>
  <c r="L243" i="1" s="1"/>
  <c r="N243" i="1" s="1"/>
  <c r="C242" i="1"/>
  <c r="H242" i="1" s="1"/>
  <c r="L242" i="1" s="1"/>
  <c r="N242" i="1" s="1"/>
  <c r="C241" i="1"/>
  <c r="H241" i="1" s="1"/>
  <c r="C240" i="1"/>
  <c r="H240" i="1" s="1"/>
  <c r="L240" i="1" s="1"/>
  <c r="N240" i="1" s="1"/>
  <c r="C239" i="1"/>
  <c r="H239" i="1" s="1"/>
  <c r="L239" i="1" s="1"/>
  <c r="N239" i="1" s="1"/>
  <c r="C238" i="1"/>
  <c r="H238" i="1" s="1"/>
  <c r="L238" i="1" s="1"/>
  <c r="N238" i="1" s="1"/>
  <c r="C237" i="1"/>
  <c r="H237" i="1" s="1"/>
  <c r="C236" i="1"/>
  <c r="H236" i="1" s="1"/>
  <c r="L236" i="1" s="1"/>
  <c r="N236" i="1" s="1"/>
  <c r="C235" i="1"/>
  <c r="H235" i="1" s="1"/>
  <c r="L235" i="1" s="1"/>
  <c r="N235" i="1" s="1"/>
  <c r="C234" i="1"/>
  <c r="H234" i="1" s="1"/>
  <c r="L234" i="1" s="1"/>
  <c r="N234" i="1" s="1"/>
  <c r="C233" i="1"/>
  <c r="H233" i="1" s="1"/>
  <c r="C232" i="1"/>
  <c r="H232" i="1" s="1"/>
  <c r="L232" i="1" s="1"/>
  <c r="N232" i="1" s="1"/>
  <c r="C231" i="1"/>
  <c r="H231" i="1" s="1"/>
  <c r="L231" i="1" s="1"/>
  <c r="N231" i="1" s="1"/>
  <c r="C230" i="1"/>
  <c r="H230" i="1" s="1"/>
  <c r="L230" i="1" s="1"/>
  <c r="N230" i="1" s="1"/>
  <c r="C229" i="1"/>
  <c r="H229" i="1" s="1"/>
  <c r="C228" i="1"/>
  <c r="H228" i="1" s="1"/>
  <c r="L228" i="1" s="1"/>
  <c r="N228" i="1" s="1"/>
  <c r="C227" i="1"/>
  <c r="H227" i="1" s="1"/>
  <c r="L227" i="1" s="1"/>
  <c r="N227" i="1" s="1"/>
  <c r="C226" i="1"/>
  <c r="H226" i="1" s="1"/>
  <c r="L226" i="1" s="1"/>
  <c r="N226" i="1" s="1"/>
  <c r="C225" i="1"/>
  <c r="H225" i="1" s="1"/>
  <c r="C224" i="1"/>
  <c r="H224" i="1" s="1"/>
  <c r="L224" i="1" s="1"/>
  <c r="N224" i="1" s="1"/>
  <c r="C223" i="1"/>
  <c r="H223" i="1" s="1"/>
  <c r="L223" i="1" s="1"/>
  <c r="N223" i="1" s="1"/>
  <c r="C222" i="1"/>
  <c r="H222" i="1" s="1"/>
  <c r="L222" i="1" s="1"/>
  <c r="N222" i="1" s="1"/>
  <c r="C221" i="1"/>
  <c r="H221" i="1" s="1"/>
  <c r="C220" i="1"/>
  <c r="H220" i="1" s="1"/>
  <c r="L220" i="1" s="1"/>
  <c r="N220" i="1" s="1"/>
  <c r="C219" i="1"/>
  <c r="H219" i="1" s="1"/>
  <c r="L219" i="1" s="1"/>
  <c r="N219" i="1" s="1"/>
  <c r="C218" i="1"/>
  <c r="H218" i="1" s="1"/>
  <c r="L218" i="1" s="1"/>
  <c r="N218" i="1" s="1"/>
  <c r="C217" i="1"/>
  <c r="H217" i="1" s="1"/>
  <c r="C216" i="1"/>
  <c r="H216" i="1" s="1"/>
  <c r="L216" i="1" s="1"/>
  <c r="N216" i="1" s="1"/>
  <c r="C215" i="1"/>
  <c r="H215" i="1" s="1"/>
  <c r="L215" i="1" s="1"/>
  <c r="N215" i="1" s="1"/>
  <c r="C214" i="1"/>
  <c r="H214" i="1" s="1"/>
  <c r="L214" i="1" s="1"/>
  <c r="N214" i="1" s="1"/>
  <c r="C213" i="1"/>
  <c r="H213" i="1" s="1"/>
  <c r="C211" i="1"/>
  <c r="H211" i="1" s="1"/>
  <c r="L211" i="1" s="1"/>
  <c r="N211" i="1" s="1"/>
  <c r="C210" i="1"/>
  <c r="H210" i="1" s="1"/>
  <c r="L210" i="1" s="1"/>
  <c r="N210" i="1" s="1"/>
  <c r="C209" i="1"/>
  <c r="H209" i="1" s="1"/>
  <c r="L209" i="1" s="1"/>
  <c r="N209" i="1" s="1"/>
  <c r="C208" i="1"/>
  <c r="H208" i="1" s="1"/>
  <c r="C207" i="1"/>
  <c r="H207" i="1" s="1"/>
  <c r="L207" i="1" s="1"/>
  <c r="N207" i="1" s="1"/>
  <c r="C205" i="1"/>
  <c r="H205" i="1" s="1"/>
  <c r="L205" i="1" s="1"/>
  <c r="N205" i="1" s="1"/>
  <c r="C204" i="1"/>
  <c r="H204" i="1" s="1"/>
  <c r="L204" i="1" s="1"/>
  <c r="N204" i="1" s="1"/>
  <c r="C203" i="1"/>
  <c r="H203" i="1" s="1"/>
  <c r="C202" i="1"/>
  <c r="H202" i="1" s="1"/>
  <c r="L202" i="1" s="1"/>
  <c r="N202" i="1" s="1"/>
  <c r="C201" i="1"/>
  <c r="H201" i="1" s="1"/>
  <c r="L201" i="1" s="1"/>
  <c r="N201" i="1" s="1"/>
  <c r="C200" i="1"/>
  <c r="H200" i="1" s="1"/>
  <c r="L200" i="1" s="1"/>
  <c r="N200" i="1" s="1"/>
  <c r="C199" i="1"/>
  <c r="H199" i="1" s="1"/>
  <c r="C198" i="1"/>
  <c r="H198" i="1" s="1"/>
  <c r="L198" i="1" s="1"/>
  <c r="N198" i="1" s="1"/>
  <c r="C197" i="1"/>
  <c r="H197" i="1" s="1"/>
  <c r="L197" i="1" s="1"/>
  <c r="N197" i="1" s="1"/>
  <c r="C196" i="1"/>
  <c r="H196" i="1" s="1"/>
  <c r="L196" i="1" s="1"/>
  <c r="N196" i="1" s="1"/>
  <c r="C195" i="1"/>
  <c r="H195" i="1" s="1"/>
  <c r="C194" i="1"/>
  <c r="H194" i="1" s="1"/>
  <c r="L194" i="1" s="1"/>
  <c r="N194" i="1" s="1"/>
  <c r="C192" i="1"/>
  <c r="H192" i="1" s="1"/>
  <c r="L192" i="1" s="1"/>
  <c r="N192" i="1" s="1"/>
  <c r="C191" i="1"/>
  <c r="H191" i="1" s="1"/>
  <c r="L191" i="1" s="1"/>
  <c r="N191" i="1" s="1"/>
  <c r="C190" i="1"/>
  <c r="H190" i="1" s="1"/>
  <c r="C189" i="1"/>
  <c r="H189" i="1" s="1"/>
  <c r="L189" i="1" s="1"/>
  <c r="N189" i="1" s="1"/>
  <c r="C188" i="1"/>
  <c r="H188" i="1" s="1"/>
  <c r="L188" i="1" s="1"/>
  <c r="N188" i="1" s="1"/>
  <c r="C187" i="1"/>
  <c r="H187" i="1" s="1"/>
  <c r="L187" i="1" s="1"/>
  <c r="N187" i="1" s="1"/>
  <c r="C186" i="1"/>
  <c r="H186" i="1" s="1"/>
  <c r="C185" i="1"/>
  <c r="H185" i="1" s="1"/>
  <c r="L185" i="1" s="1"/>
  <c r="N185" i="1" s="1"/>
  <c r="C184" i="1"/>
  <c r="H184" i="1" s="1"/>
  <c r="L184" i="1" s="1"/>
  <c r="N184" i="1" s="1"/>
  <c r="C325" i="1"/>
  <c r="H325" i="1" s="1"/>
  <c r="L325" i="1" s="1"/>
  <c r="N325" i="1" s="1"/>
  <c r="C183" i="1"/>
  <c r="H183" i="1" s="1"/>
  <c r="C182" i="1"/>
  <c r="H182" i="1" s="1"/>
  <c r="L182" i="1" s="1"/>
  <c r="N182" i="1" s="1"/>
  <c r="C181" i="1"/>
  <c r="H181" i="1" s="1"/>
  <c r="L181" i="1" s="1"/>
  <c r="N181" i="1" s="1"/>
  <c r="C300" i="1"/>
  <c r="H300" i="1" s="1"/>
  <c r="L300" i="1" s="1"/>
  <c r="N300" i="1" s="1"/>
  <c r="C178" i="1"/>
  <c r="H178" i="1" s="1"/>
  <c r="C177" i="1"/>
  <c r="H177" i="1" s="1"/>
  <c r="L177" i="1" s="1"/>
  <c r="N177" i="1" s="1"/>
  <c r="C176" i="1"/>
  <c r="H176" i="1" s="1"/>
  <c r="L176" i="1" s="1"/>
  <c r="N176" i="1" s="1"/>
  <c r="C175" i="1"/>
  <c r="H175" i="1" s="1"/>
  <c r="L175" i="1" s="1"/>
  <c r="N175" i="1" s="1"/>
  <c r="C174" i="1"/>
  <c r="H174" i="1" s="1"/>
  <c r="C173" i="1"/>
  <c r="H173" i="1" s="1"/>
  <c r="L173" i="1" s="1"/>
  <c r="N173" i="1" s="1"/>
  <c r="C172" i="1"/>
  <c r="H172" i="1" s="1"/>
  <c r="L172" i="1" s="1"/>
  <c r="N172" i="1" s="1"/>
  <c r="C171" i="1"/>
  <c r="H171" i="1" s="1"/>
  <c r="L171" i="1" s="1"/>
  <c r="N171" i="1" s="1"/>
  <c r="C206" i="1"/>
  <c r="H206" i="1" s="1"/>
  <c r="C170" i="1"/>
  <c r="H170" i="1" s="1"/>
  <c r="L170" i="1" s="1"/>
  <c r="N170" i="1" s="1"/>
  <c r="C169" i="1"/>
  <c r="H169" i="1" s="1"/>
  <c r="L169" i="1" s="1"/>
  <c r="N169" i="1" s="1"/>
  <c r="C168" i="1"/>
  <c r="H168" i="1" s="1"/>
  <c r="L168" i="1" s="1"/>
  <c r="N168" i="1" s="1"/>
  <c r="C167" i="1"/>
  <c r="H167" i="1" s="1"/>
  <c r="C166" i="1"/>
  <c r="H166" i="1" s="1"/>
  <c r="L166" i="1" s="1"/>
  <c r="N166" i="1" s="1"/>
  <c r="C165" i="1"/>
  <c r="H165" i="1" s="1"/>
  <c r="L165" i="1" s="1"/>
  <c r="N165" i="1" s="1"/>
  <c r="C164" i="1"/>
  <c r="H164" i="1" s="1"/>
  <c r="L164" i="1" s="1"/>
  <c r="N164" i="1" s="1"/>
  <c r="C162" i="1"/>
  <c r="H162" i="1" s="1"/>
  <c r="C160" i="1"/>
  <c r="H160" i="1" s="1"/>
  <c r="L160" i="1" s="1"/>
  <c r="N160" i="1" s="1"/>
  <c r="C159" i="1"/>
  <c r="H159" i="1" s="1"/>
  <c r="L159" i="1" s="1"/>
  <c r="N159" i="1" s="1"/>
  <c r="C157" i="1"/>
  <c r="H157" i="1" s="1"/>
  <c r="L157" i="1" s="1"/>
  <c r="N157" i="1" s="1"/>
  <c r="C156" i="1"/>
  <c r="H156" i="1" s="1"/>
  <c r="C155" i="1"/>
  <c r="H155" i="1" s="1"/>
  <c r="L155" i="1" s="1"/>
  <c r="N155" i="1" s="1"/>
  <c r="C154" i="1"/>
  <c r="H154" i="1" s="1"/>
  <c r="L154" i="1" s="1"/>
  <c r="N154" i="1" s="1"/>
  <c r="C153" i="1"/>
  <c r="H153" i="1" s="1"/>
  <c r="L153" i="1" s="1"/>
  <c r="N153" i="1" s="1"/>
  <c r="C158" i="1"/>
  <c r="H158" i="1" s="1"/>
  <c r="C152" i="1"/>
  <c r="H152" i="1" s="1"/>
  <c r="L152" i="1" s="1"/>
  <c r="N152" i="1" s="1"/>
  <c r="C151" i="1"/>
  <c r="H151" i="1" s="1"/>
  <c r="L151" i="1" s="1"/>
  <c r="N151" i="1" s="1"/>
  <c r="C150" i="1"/>
  <c r="H150" i="1" s="1"/>
  <c r="L150" i="1" s="1"/>
  <c r="N150" i="1" s="1"/>
  <c r="C149" i="1"/>
  <c r="H149" i="1" s="1"/>
  <c r="C148" i="1"/>
  <c r="H148" i="1" s="1"/>
  <c r="L148" i="1" s="1"/>
  <c r="N148" i="1" s="1"/>
  <c r="C147" i="1"/>
  <c r="H147" i="1" s="1"/>
  <c r="L147" i="1" s="1"/>
  <c r="N147" i="1" s="1"/>
  <c r="C146" i="1"/>
  <c r="H146" i="1" s="1"/>
  <c r="L146" i="1" s="1"/>
  <c r="N146" i="1" s="1"/>
  <c r="C145" i="1"/>
  <c r="H145" i="1" s="1"/>
  <c r="C144" i="1"/>
  <c r="H144" i="1" s="1"/>
  <c r="L144" i="1" s="1"/>
  <c r="N144" i="1" s="1"/>
  <c r="C143" i="1"/>
  <c r="H143" i="1" s="1"/>
  <c r="L143" i="1" s="1"/>
  <c r="N143" i="1" s="1"/>
  <c r="C142" i="1"/>
  <c r="H142" i="1" s="1"/>
  <c r="L142" i="1" s="1"/>
  <c r="N142" i="1" s="1"/>
  <c r="C141" i="1"/>
  <c r="H141" i="1" s="1"/>
  <c r="C140" i="1"/>
  <c r="H140" i="1" s="1"/>
  <c r="L140" i="1" s="1"/>
  <c r="N140" i="1" s="1"/>
  <c r="C139" i="1"/>
  <c r="H139" i="1" s="1"/>
  <c r="L139" i="1" s="1"/>
  <c r="N139" i="1" s="1"/>
  <c r="C138" i="1"/>
  <c r="H138" i="1" s="1"/>
  <c r="L138" i="1" s="1"/>
  <c r="N138" i="1" s="1"/>
  <c r="C137" i="1"/>
  <c r="H137" i="1" s="1"/>
  <c r="C136" i="1"/>
  <c r="H136" i="1" s="1"/>
  <c r="L136" i="1" s="1"/>
  <c r="N136" i="1" s="1"/>
  <c r="C135" i="1"/>
  <c r="H135" i="1" s="1"/>
  <c r="L135" i="1" s="1"/>
  <c r="N135" i="1" s="1"/>
  <c r="C134" i="1"/>
  <c r="H134" i="1" s="1"/>
  <c r="L134" i="1" s="1"/>
  <c r="N134" i="1" s="1"/>
  <c r="C133" i="1"/>
  <c r="H133" i="1" s="1"/>
  <c r="C132" i="1"/>
  <c r="H132" i="1" s="1"/>
  <c r="L132" i="1" s="1"/>
  <c r="N132" i="1" s="1"/>
  <c r="C131" i="1"/>
  <c r="H131" i="1" s="1"/>
  <c r="L131" i="1" s="1"/>
  <c r="N131" i="1" s="1"/>
  <c r="C130" i="1"/>
  <c r="H130" i="1" s="1"/>
  <c r="L130" i="1" s="1"/>
  <c r="N130" i="1" s="1"/>
  <c r="C129" i="1"/>
  <c r="H129" i="1" s="1"/>
  <c r="C127" i="1"/>
  <c r="H127" i="1" s="1"/>
  <c r="L127" i="1" s="1"/>
  <c r="N127" i="1" s="1"/>
  <c r="C128" i="1"/>
  <c r="H128" i="1" s="1"/>
  <c r="L128" i="1" s="1"/>
  <c r="N128" i="1" s="1"/>
  <c r="C126" i="1"/>
  <c r="H126" i="1" s="1"/>
  <c r="L126" i="1" s="1"/>
  <c r="N126" i="1" s="1"/>
  <c r="C125" i="1"/>
  <c r="H125" i="1" s="1"/>
  <c r="C124" i="1"/>
  <c r="H124" i="1" s="1"/>
  <c r="L124" i="1" s="1"/>
  <c r="N124" i="1" s="1"/>
  <c r="C123" i="1"/>
  <c r="H123" i="1" s="1"/>
  <c r="L123" i="1" s="1"/>
  <c r="N123" i="1" s="1"/>
  <c r="C122" i="1"/>
  <c r="H122" i="1" s="1"/>
  <c r="L122" i="1" s="1"/>
  <c r="N122" i="1" s="1"/>
  <c r="C121" i="1"/>
  <c r="H121" i="1" s="1"/>
  <c r="C120" i="1"/>
  <c r="H120" i="1" s="1"/>
  <c r="L120" i="1" s="1"/>
  <c r="N120" i="1" s="1"/>
  <c r="C119" i="1"/>
  <c r="H119" i="1" s="1"/>
  <c r="L119" i="1" s="1"/>
  <c r="N119" i="1" s="1"/>
  <c r="C118" i="1"/>
  <c r="H118" i="1" s="1"/>
  <c r="L118" i="1" s="1"/>
  <c r="N118" i="1" s="1"/>
  <c r="C117" i="1"/>
  <c r="H117" i="1" s="1"/>
  <c r="C116" i="1"/>
  <c r="H116" i="1" s="1"/>
  <c r="L116" i="1" s="1"/>
  <c r="N116" i="1" s="1"/>
  <c r="C115" i="1"/>
  <c r="H115" i="1" s="1"/>
  <c r="L115" i="1" s="1"/>
  <c r="N115" i="1" s="1"/>
  <c r="C114" i="1"/>
  <c r="H114" i="1" s="1"/>
  <c r="L114" i="1" s="1"/>
  <c r="N114" i="1" s="1"/>
  <c r="C113" i="1"/>
  <c r="H113" i="1" s="1"/>
  <c r="C112" i="1"/>
  <c r="H112" i="1" s="1"/>
  <c r="L112" i="1" s="1"/>
  <c r="N112" i="1" s="1"/>
  <c r="C109" i="1"/>
  <c r="H109" i="1" s="1"/>
  <c r="L109" i="1" s="1"/>
  <c r="N109" i="1" s="1"/>
  <c r="C108" i="1"/>
  <c r="H108" i="1" s="1"/>
  <c r="L108" i="1" s="1"/>
  <c r="N108" i="1" s="1"/>
  <c r="C107" i="1"/>
  <c r="H107" i="1" s="1"/>
  <c r="C106" i="1"/>
  <c r="H106" i="1" s="1"/>
  <c r="L106" i="1" s="1"/>
  <c r="N106" i="1" s="1"/>
  <c r="C105" i="1"/>
  <c r="H105" i="1" s="1"/>
  <c r="L105" i="1" s="1"/>
  <c r="N105" i="1" s="1"/>
  <c r="C104" i="1"/>
  <c r="H104" i="1" s="1"/>
  <c r="L104" i="1" s="1"/>
  <c r="N104" i="1" s="1"/>
  <c r="C103" i="1"/>
  <c r="H103" i="1" s="1"/>
  <c r="C101" i="1"/>
  <c r="H101" i="1" s="1"/>
  <c r="L101" i="1" s="1"/>
  <c r="N101" i="1" s="1"/>
  <c r="C100" i="1"/>
  <c r="H100" i="1" s="1"/>
  <c r="L100" i="1" s="1"/>
  <c r="N100" i="1" s="1"/>
  <c r="C97" i="1"/>
  <c r="H97" i="1" s="1"/>
  <c r="L97" i="1" s="1"/>
  <c r="N97" i="1" s="1"/>
  <c r="C96" i="1"/>
  <c r="H96" i="1" s="1"/>
  <c r="C95" i="1"/>
  <c r="H95" i="1" s="1"/>
  <c r="L95" i="1" s="1"/>
  <c r="N95" i="1" s="1"/>
  <c r="C94" i="1"/>
  <c r="H94" i="1" s="1"/>
  <c r="L94" i="1" s="1"/>
  <c r="N94" i="1" s="1"/>
  <c r="C93" i="1"/>
  <c r="H93" i="1" s="1"/>
  <c r="L93" i="1" s="1"/>
  <c r="N93" i="1" s="1"/>
  <c r="C92" i="1"/>
  <c r="H92" i="1" s="1"/>
  <c r="C91" i="1"/>
  <c r="H91" i="1" s="1"/>
  <c r="L91" i="1" s="1"/>
  <c r="N91" i="1" s="1"/>
  <c r="C90" i="1"/>
  <c r="H90" i="1" s="1"/>
  <c r="L90" i="1" s="1"/>
  <c r="N90" i="1" s="1"/>
  <c r="C89" i="1"/>
  <c r="H89" i="1" s="1"/>
  <c r="L89" i="1" s="1"/>
  <c r="N89" i="1" s="1"/>
  <c r="C88" i="1"/>
  <c r="H88" i="1" s="1"/>
  <c r="C87" i="1"/>
  <c r="H87" i="1" s="1"/>
  <c r="L87" i="1" s="1"/>
  <c r="N87" i="1" s="1"/>
  <c r="C86" i="1"/>
  <c r="H86" i="1" s="1"/>
  <c r="L86" i="1" s="1"/>
  <c r="N86" i="1" s="1"/>
  <c r="C85" i="1"/>
  <c r="H85" i="1" s="1"/>
  <c r="L85" i="1" s="1"/>
  <c r="N85" i="1" s="1"/>
  <c r="C84" i="1"/>
  <c r="H84" i="1" s="1"/>
  <c r="C83" i="1"/>
  <c r="H83" i="1" s="1"/>
  <c r="L83" i="1" s="1"/>
  <c r="N83" i="1" s="1"/>
  <c r="C82" i="1"/>
  <c r="H82" i="1" s="1"/>
  <c r="L82" i="1" s="1"/>
  <c r="N82" i="1" s="1"/>
  <c r="C81" i="1"/>
  <c r="H81" i="1" s="1"/>
  <c r="L81" i="1" s="1"/>
  <c r="N81" i="1" s="1"/>
  <c r="C80" i="1"/>
  <c r="H80" i="1" s="1"/>
  <c r="C79" i="1"/>
  <c r="H79" i="1" s="1"/>
  <c r="L79" i="1" s="1"/>
  <c r="N79" i="1" s="1"/>
  <c r="C78" i="1"/>
  <c r="H78" i="1" s="1"/>
  <c r="L78" i="1" s="1"/>
  <c r="N78" i="1" s="1"/>
  <c r="C77" i="1"/>
  <c r="H77" i="1" s="1"/>
  <c r="L77" i="1" s="1"/>
  <c r="N77" i="1" s="1"/>
  <c r="C76" i="1"/>
  <c r="H76" i="1" s="1"/>
  <c r="C75" i="1"/>
  <c r="H75" i="1" s="1"/>
  <c r="L75" i="1" s="1"/>
  <c r="N75" i="1" s="1"/>
  <c r="C49" i="1"/>
  <c r="H49" i="1" s="1"/>
  <c r="L49" i="1" s="1"/>
  <c r="N49" i="1" s="1"/>
  <c r="C74" i="1"/>
  <c r="H74" i="1" s="1"/>
  <c r="L74" i="1" s="1"/>
  <c r="N74" i="1" s="1"/>
  <c r="C71" i="1"/>
  <c r="H71" i="1" s="1"/>
  <c r="C70" i="1"/>
  <c r="H70" i="1" s="1"/>
  <c r="L70" i="1" s="1"/>
  <c r="N70" i="1" s="1"/>
  <c r="C69" i="1"/>
  <c r="H69" i="1" s="1"/>
  <c r="L69" i="1" s="1"/>
  <c r="N69" i="1" s="1"/>
  <c r="C68" i="1"/>
  <c r="H68" i="1" s="1"/>
  <c r="L68" i="1" s="1"/>
  <c r="N68" i="1" s="1"/>
  <c r="C67" i="1"/>
  <c r="H67" i="1" s="1"/>
  <c r="C66" i="1"/>
  <c r="H66" i="1" s="1"/>
  <c r="L66" i="1" s="1"/>
  <c r="N66" i="1" s="1"/>
  <c r="C65" i="1"/>
  <c r="H65" i="1" s="1"/>
  <c r="L65" i="1" s="1"/>
  <c r="N65" i="1" s="1"/>
  <c r="C64" i="1"/>
  <c r="H64" i="1" s="1"/>
  <c r="L64" i="1" s="1"/>
  <c r="N64" i="1" s="1"/>
  <c r="C63" i="1"/>
  <c r="H63" i="1" s="1"/>
  <c r="C62" i="1"/>
  <c r="H62" i="1" s="1"/>
  <c r="L62" i="1" s="1"/>
  <c r="N62" i="1" s="1"/>
  <c r="C61" i="1"/>
  <c r="H61" i="1" s="1"/>
  <c r="L61" i="1" s="1"/>
  <c r="N61" i="1" s="1"/>
  <c r="C57" i="1"/>
  <c r="H57" i="1" s="1"/>
  <c r="L57" i="1" s="1"/>
  <c r="N57" i="1" s="1"/>
  <c r="C56" i="1"/>
  <c r="H56" i="1" s="1"/>
  <c r="C55" i="1"/>
  <c r="H55" i="1" s="1"/>
  <c r="L55" i="1" s="1"/>
  <c r="N55" i="1" s="1"/>
  <c r="C54" i="1"/>
  <c r="H54" i="1" s="1"/>
  <c r="L54" i="1" s="1"/>
  <c r="N54" i="1" s="1"/>
  <c r="C53" i="1"/>
  <c r="H53" i="1" s="1"/>
  <c r="L53" i="1" s="1"/>
  <c r="N53" i="1" s="1"/>
  <c r="C52" i="1"/>
  <c r="H52" i="1" s="1"/>
  <c r="C51" i="1"/>
  <c r="H51" i="1" s="1"/>
  <c r="L51" i="1" s="1"/>
  <c r="N51" i="1" s="1"/>
  <c r="C50" i="1"/>
  <c r="H50" i="1" s="1"/>
  <c r="L50" i="1" s="1"/>
  <c r="N50" i="1" s="1"/>
  <c r="C48" i="1"/>
  <c r="H48" i="1" s="1"/>
  <c r="L48" i="1" s="1"/>
  <c r="N48" i="1" s="1"/>
  <c r="C47" i="1"/>
  <c r="H47" i="1" s="1"/>
  <c r="C30" i="1"/>
  <c r="H30" i="1" s="1"/>
  <c r="L30" i="1" s="1"/>
  <c r="N30" i="1" s="1"/>
  <c r="C46" i="1"/>
  <c r="H46" i="1" s="1"/>
  <c r="L46" i="1" s="1"/>
  <c r="N46" i="1" s="1"/>
  <c r="C45" i="1"/>
  <c r="H45" i="1" s="1"/>
  <c r="L45" i="1" s="1"/>
  <c r="N45" i="1" s="1"/>
  <c r="C44" i="1"/>
  <c r="H44" i="1" s="1"/>
  <c r="C43" i="1"/>
  <c r="H43" i="1" s="1"/>
  <c r="L43" i="1" s="1"/>
  <c r="N43" i="1" s="1"/>
  <c r="C42" i="1"/>
  <c r="H42" i="1" s="1"/>
  <c r="L42" i="1" s="1"/>
  <c r="N42" i="1" s="1"/>
  <c r="C41" i="1"/>
  <c r="H41" i="1" s="1"/>
  <c r="L41" i="1" s="1"/>
  <c r="N41" i="1" s="1"/>
  <c r="C40" i="1"/>
  <c r="H40" i="1" s="1"/>
  <c r="C39" i="1"/>
  <c r="H39" i="1" s="1"/>
  <c r="L39" i="1" s="1"/>
  <c r="N39" i="1" s="1"/>
  <c r="C38" i="1"/>
  <c r="H38" i="1" s="1"/>
  <c r="L38" i="1" s="1"/>
  <c r="N38" i="1" s="1"/>
  <c r="C37" i="1"/>
  <c r="H37" i="1" s="1"/>
  <c r="L37" i="1" s="1"/>
  <c r="N37" i="1" s="1"/>
  <c r="C36" i="1"/>
  <c r="H36" i="1" s="1"/>
  <c r="C35" i="1"/>
  <c r="H35" i="1" s="1"/>
  <c r="L35" i="1" s="1"/>
  <c r="N35" i="1" s="1"/>
  <c r="C34" i="1"/>
  <c r="H34" i="1" s="1"/>
  <c r="L34" i="1" s="1"/>
  <c r="N34" i="1" s="1"/>
  <c r="C33" i="1"/>
  <c r="H33" i="1" s="1"/>
  <c r="L33" i="1" s="1"/>
  <c r="N33" i="1" s="1"/>
  <c r="C32" i="1"/>
  <c r="H32" i="1" s="1"/>
  <c r="C31" i="1"/>
  <c r="H31" i="1" s="1"/>
  <c r="L31" i="1" s="1"/>
  <c r="N31" i="1" s="1"/>
  <c r="C29" i="1"/>
  <c r="H29" i="1" s="1"/>
  <c r="L29" i="1" s="1"/>
  <c r="N29" i="1" s="1"/>
  <c r="C28" i="1"/>
  <c r="H28" i="1" s="1"/>
  <c r="L28" i="1" s="1"/>
  <c r="N28" i="1" s="1"/>
  <c r="C27" i="1"/>
  <c r="H27" i="1" s="1"/>
  <c r="C26" i="1"/>
  <c r="H26" i="1" s="1"/>
  <c r="L26" i="1" s="1"/>
  <c r="N26" i="1" s="1"/>
  <c r="C25" i="1"/>
  <c r="H25" i="1" s="1"/>
  <c r="L25" i="1" s="1"/>
  <c r="N25" i="1" s="1"/>
  <c r="C24" i="1"/>
  <c r="H24" i="1" s="1"/>
  <c r="L24" i="1" s="1"/>
  <c r="N24" i="1" s="1"/>
  <c r="C23" i="1"/>
  <c r="H23" i="1" s="1"/>
  <c r="C22" i="1"/>
  <c r="H22" i="1" s="1"/>
  <c r="L22" i="1" s="1"/>
  <c r="N22" i="1" s="1"/>
  <c r="C21" i="1"/>
  <c r="H21" i="1" s="1"/>
  <c r="L21" i="1" s="1"/>
  <c r="N21" i="1" s="1"/>
  <c r="C20" i="1"/>
  <c r="H20" i="1" s="1"/>
  <c r="L20" i="1" s="1"/>
  <c r="N20" i="1" s="1"/>
  <c r="C19" i="1"/>
  <c r="H19" i="1" s="1"/>
  <c r="C18" i="1"/>
  <c r="H18" i="1" s="1"/>
  <c r="L18" i="1" s="1"/>
  <c r="N18" i="1" s="1"/>
  <c r="C17" i="1"/>
  <c r="H17" i="1" s="1"/>
  <c r="L17" i="1" s="1"/>
  <c r="N17" i="1" s="1"/>
  <c r="C16" i="1"/>
  <c r="H16" i="1" s="1"/>
  <c r="L16" i="1" s="1"/>
  <c r="N16" i="1" s="1"/>
  <c r="C15" i="1"/>
  <c r="H15" i="1" s="1"/>
  <c r="C14" i="1"/>
  <c r="H14" i="1" s="1"/>
  <c r="L14" i="1" s="1"/>
  <c r="N14" i="1" s="1"/>
  <c r="C13" i="1"/>
  <c r="H13" i="1" s="1"/>
  <c r="L13" i="1" s="1"/>
  <c r="N13" i="1" s="1"/>
  <c r="C12" i="1"/>
  <c r="H12" i="1" s="1"/>
  <c r="L12" i="1" s="1"/>
  <c r="N12" i="1" s="1"/>
  <c r="C11" i="1"/>
  <c r="H11" i="1" s="1"/>
  <c r="C10" i="1"/>
  <c r="H10" i="1" s="1"/>
  <c r="L10" i="1" s="1"/>
  <c r="N10" i="1" s="1"/>
  <c r="C9" i="1"/>
  <c r="H9" i="1" s="1"/>
  <c r="L9" i="1" s="1"/>
  <c r="N9" i="1" s="1"/>
  <c r="L11" i="1" l="1"/>
  <c r="N11" i="1" s="1"/>
  <c r="L15" i="1"/>
  <c r="N15" i="1" s="1"/>
  <c r="L19" i="1"/>
  <c r="N19" i="1" s="1"/>
  <c r="L23" i="1"/>
  <c r="N23" i="1" s="1"/>
  <c r="L27" i="1"/>
  <c r="N27" i="1" s="1"/>
  <c r="L32" i="1"/>
  <c r="N32" i="1" s="1"/>
  <c r="L36" i="1"/>
  <c r="N36" i="1" s="1"/>
  <c r="L40" i="1"/>
  <c r="N40" i="1" s="1"/>
  <c r="L44" i="1"/>
  <c r="N44" i="1" s="1"/>
  <c r="L47" i="1"/>
  <c r="N47" i="1" s="1"/>
  <c r="L52" i="1"/>
  <c r="N52" i="1" s="1"/>
  <c r="L56" i="1"/>
  <c r="N56" i="1" s="1"/>
  <c r="L63" i="1"/>
  <c r="N63" i="1" s="1"/>
  <c r="L67" i="1"/>
  <c r="N67" i="1" s="1"/>
  <c r="L71" i="1"/>
  <c r="N71" i="1" s="1"/>
  <c r="L76" i="1"/>
  <c r="N76" i="1" s="1"/>
  <c r="L80" i="1"/>
  <c r="N80" i="1" s="1"/>
  <c r="L84" i="1"/>
  <c r="N84" i="1" s="1"/>
  <c r="L88" i="1"/>
  <c r="N88" i="1" s="1"/>
  <c r="L92" i="1"/>
  <c r="N92" i="1" s="1"/>
  <c r="L96" i="1"/>
  <c r="N96" i="1" s="1"/>
  <c r="L103" i="1"/>
  <c r="N103" i="1" s="1"/>
  <c r="L107" i="1"/>
  <c r="N107" i="1" s="1"/>
  <c r="L113" i="1"/>
  <c r="N113" i="1" s="1"/>
  <c r="L117" i="1"/>
  <c r="N117" i="1" s="1"/>
  <c r="L121" i="1"/>
  <c r="N121" i="1" s="1"/>
  <c r="L125" i="1"/>
  <c r="N125" i="1" s="1"/>
  <c r="L129" i="1"/>
  <c r="N129" i="1" s="1"/>
  <c r="L133" i="1"/>
  <c r="N133" i="1" s="1"/>
  <c r="L137" i="1"/>
  <c r="N137" i="1" s="1"/>
  <c r="L141" i="1"/>
  <c r="N141" i="1" s="1"/>
  <c r="L145" i="1"/>
  <c r="N145" i="1" s="1"/>
  <c r="L149" i="1"/>
  <c r="N149" i="1" s="1"/>
  <c r="L158" i="1"/>
  <c r="N158" i="1" s="1"/>
  <c r="L156" i="1"/>
  <c r="N156" i="1" s="1"/>
  <c r="L162" i="1"/>
  <c r="N162" i="1" s="1"/>
  <c r="L167" i="1"/>
  <c r="N167" i="1" s="1"/>
  <c r="L206" i="1"/>
  <c r="N206" i="1" s="1"/>
  <c r="L174" i="1"/>
  <c r="N174" i="1" s="1"/>
  <c r="L178" i="1"/>
  <c r="N178" i="1" s="1"/>
  <c r="L183" i="1"/>
  <c r="N183" i="1" s="1"/>
  <c r="L186" i="1"/>
  <c r="N186" i="1" s="1"/>
  <c r="L190" i="1"/>
  <c r="N190" i="1" s="1"/>
  <c r="L195" i="1"/>
  <c r="N195" i="1" s="1"/>
  <c r="L199" i="1"/>
  <c r="N199" i="1" s="1"/>
  <c r="L203" i="1"/>
  <c r="N203" i="1" s="1"/>
  <c r="L208" i="1"/>
  <c r="N208" i="1" s="1"/>
  <c r="L213" i="1"/>
  <c r="N213" i="1" s="1"/>
  <c r="L217" i="1"/>
  <c r="N217" i="1" s="1"/>
  <c r="L221" i="1"/>
  <c r="N221" i="1" s="1"/>
  <c r="L225" i="1"/>
  <c r="N225" i="1" s="1"/>
  <c r="L229" i="1"/>
  <c r="N229" i="1" s="1"/>
  <c r="L233" i="1"/>
  <c r="N233" i="1" s="1"/>
  <c r="L237" i="1"/>
  <c r="N237" i="1" s="1"/>
  <c r="L241" i="1"/>
  <c r="N241" i="1" s="1"/>
  <c r="L245" i="1"/>
  <c r="N245" i="1" s="1"/>
  <c r="L249" i="1"/>
  <c r="N249" i="1" s="1"/>
  <c r="L252" i="1"/>
  <c r="N252" i="1" s="1"/>
  <c r="L256" i="1"/>
  <c r="N256" i="1" s="1"/>
  <c r="L260" i="1"/>
  <c r="N260" i="1" s="1"/>
  <c r="L265" i="1"/>
  <c r="N265" i="1" s="1"/>
  <c r="L269" i="1"/>
  <c r="N269" i="1" s="1"/>
  <c r="L273" i="1"/>
  <c r="N273" i="1" s="1"/>
  <c r="L277" i="1"/>
  <c r="N277" i="1" s="1"/>
  <c r="L281" i="1"/>
  <c r="N281" i="1" s="1"/>
  <c r="L285" i="1"/>
  <c r="N285" i="1" s="1"/>
  <c r="L291" i="1"/>
  <c r="N291" i="1" s="1"/>
  <c r="L295" i="1"/>
  <c r="N295" i="1" s="1"/>
  <c r="L301" i="1"/>
  <c r="N301" i="1" s="1"/>
  <c r="L305" i="1"/>
  <c r="N305" i="1" s="1"/>
  <c r="L309" i="1"/>
  <c r="N309" i="1" s="1"/>
  <c r="L313" i="1"/>
  <c r="N313" i="1" s="1"/>
  <c r="L320" i="1"/>
  <c r="N320" i="1" s="1"/>
  <c r="L329" i="1"/>
  <c r="N329" i="1" s="1"/>
  <c r="L333" i="1"/>
  <c r="N333" i="1" s="1"/>
  <c r="L337" i="1"/>
  <c r="N337" i="1" s="1"/>
  <c r="L366" i="1"/>
  <c r="N366" i="1" s="1"/>
  <c r="L345" i="1"/>
  <c r="N345" i="1" s="1"/>
  <c r="L350" i="1"/>
  <c r="N350" i="1" s="1"/>
  <c r="L354" i="1"/>
  <c r="N354" i="1" s="1"/>
  <c r="L358" i="1"/>
  <c r="N358" i="1" s="1"/>
  <c r="L362" i="1"/>
  <c r="N362" i="1" s="1"/>
  <c r="L348" i="1"/>
  <c r="N348" i="1" s="1"/>
  <c r="O313" i="1"/>
  <c r="O109" i="1"/>
  <c r="O108" i="1" s="1"/>
  <c r="O107" i="1" s="1"/>
  <c r="O262" i="1"/>
  <c r="O364" i="1"/>
  <c r="O160" i="1"/>
  <c r="O57" i="1"/>
  <c r="O211" i="1"/>
  <c r="O210" i="1" s="1"/>
  <c r="O209" i="1" s="1"/>
  <c r="O208" i="1" s="1"/>
  <c r="O207" i="1" s="1"/>
  <c r="O206" i="1" s="1"/>
  <c r="O205" i="1" s="1"/>
  <c r="O204" i="1" s="1"/>
  <c r="O203" i="1" s="1"/>
  <c r="O369" i="1"/>
  <c r="O368" i="1" s="1"/>
  <c r="O367" i="1" s="1"/>
  <c r="O366" i="1" l="1"/>
  <c r="O202" i="1"/>
  <c r="O201" i="1" s="1"/>
  <c r="O200" i="1" s="1"/>
  <c r="O199" i="1" s="1"/>
  <c r="O198" i="1" s="1"/>
  <c r="O197" i="1" s="1"/>
  <c r="O196" i="1" s="1"/>
  <c r="O195" i="1" s="1"/>
  <c r="O194" i="1" s="1"/>
  <c r="O193" i="1" s="1"/>
  <c r="O192" i="1" s="1"/>
  <c r="O191" i="1" s="1"/>
  <c r="O190" i="1" s="1"/>
  <c r="O189" i="1" s="1"/>
  <c r="O188" i="1" s="1"/>
  <c r="O187" i="1" s="1"/>
  <c r="O186" i="1" s="1"/>
  <c r="O185" i="1" s="1"/>
  <c r="O184" i="1" s="1"/>
  <c r="O183" i="1" s="1"/>
  <c r="O182" i="1" s="1"/>
  <c r="O181" i="1" s="1"/>
  <c r="O180" i="1" s="1"/>
  <c r="O179" i="1" s="1"/>
  <c r="O178" i="1" s="1"/>
  <c r="O177" i="1" s="1"/>
  <c r="O176" i="1" s="1"/>
  <c r="O175" i="1" s="1"/>
  <c r="O174" i="1" s="1"/>
  <c r="O173" i="1" s="1"/>
  <c r="O172" i="1" s="1"/>
  <c r="O171" i="1" s="1"/>
  <c r="O170" i="1" s="1"/>
  <c r="O169" i="1" s="1"/>
  <c r="O168" i="1" s="1"/>
  <c r="O167" i="1" s="1"/>
  <c r="O166" i="1" s="1"/>
  <c r="O165" i="1" s="1"/>
  <c r="O164" i="1" s="1"/>
  <c r="O163" i="1" s="1"/>
  <c r="O162" i="1" s="1"/>
  <c r="O363" i="1"/>
  <c r="O362" i="1" s="1"/>
  <c r="O361" i="1" s="1"/>
  <c r="O360" i="1" s="1"/>
  <c r="O359" i="1" s="1"/>
  <c r="O358" i="1" s="1"/>
  <c r="O357" i="1" s="1"/>
  <c r="O356" i="1" s="1"/>
  <c r="O355" i="1" s="1"/>
  <c r="O354" i="1" s="1"/>
  <c r="O353" i="1" s="1"/>
  <c r="O352" i="1" s="1"/>
  <c r="O351" i="1" s="1"/>
  <c r="O350" i="1" s="1"/>
  <c r="O349" i="1" s="1"/>
  <c r="O348" i="1" s="1"/>
  <c r="O347" i="1" s="1"/>
  <c r="O346" i="1" s="1"/>
  <c r="O345" i="1" s="1"/>
  <c r="O344" i="1" s="1"/>
  <c r="O343" i="1" s="1"/>
  <c r="O342" i="1" s="1"/>
  <c r="O341" i="1" s="1"/>
  <c r="O340" i="1" s="1"/>
  <c r="O339" i="1" s="1"/>
  <c r="O338" i="1" s="1"/>
  <c r="O337" i="1" s="1"/>
  <c r="O336" i="1" s="1"/>
  <c r="O335" i="1" s="1"/>
  <c r="O334" i="1" s="1"/>
  <c r="O333" i="1" s="1"/>
  <c r="O332" i="1" s="1"/>
  <c r="O331" i="1" s="1"/>
  <c r="O330" i="1" s="1"/>
  <c r="O329" i="1" s="1"/>
  <c r="O328" i="1" s="1"/>
  <c r="O327" i="1" s="1"/>
  <c r="O326" i="1" s="1"/>
  <c r="O325" i="1" s="1"/>
  <c r="O324" i="1" s="1"/>
  <c r="O323" i="1" s="1"/>
  <c r="O322" i="1" s="1"/>
  <c r="O321" i="1" s="1"/>
  <c r="O320" i="1" s="1"/>
  <c r="O319" i="1" s="1"/>
  <c r="O318" i="1" s="1"/>
  <c r="O317" i="1" s="1"/>
  <c r="O316" i="1" s="1"/>
  <c r="O315" i="1" s="1"/>
  <c r="O159" i="1"/>
  <c r="O158" i="1" s="1"/>
  <c r="O157" i="1" s="1"/>
  <c r="O156" i="1" s="1"/>
  <c r="O155" i="1" s="1"/>
  <c r="O154" i="1" s="1"/>
  <c r="O153" i="1" s="1"/>
  <c r="O152" i="1" s="1"/>
  <c r="O151" i="1" s="1"/>
  <c r="O150" i="1" s="1"/>
  <c r="O149" i="1" s="1"/>
  <c r="O148" i="1" s="1"/>
  <c r="O147" i="1" s="1"/>
  <c r="O146" i="1" s="1"/>
  <c r="O145" i="1" s="1"/>
  <c r="O144" i="1" s="1"/>
  <c r="O143" i="1" s="1"/>
  <c r="O142" i="1" s="1"/>
  <c r="O141" i="1" s="1"/>
  <c r="O140" i="1" s="1"/>
  <c r="O139" i="1" s="1"/>
  <c r="O138" i="1" s="1"/>
  <c r="O137" i="1" s="1"/>
  <c r="O136" i="1" s="1"/>
  <c r="O135" i="1" s="1"/>
  <c r="O134" i="1" s="1"/>
  <c r="O133" i="1" s="1"/>
  <c r="O132" i="1" s="1"/>
  <c r="O131" i="1" s="1"/>
  <c r="O130" i="1" s="1"/>
  <c r="O129" i="1" s="1"/>
  <c r="O128" i="1" s="1"/>
  <c r="O127" i="1" s="1"/>
  <c r="O126" i="1" s="1"/>
  <c r="O125" i="1" s="1"/>
  <c r="O124" i="1" s="1"/>
  <c r="O123" i="1" s="1"/>
  <c r="O122" i="1" s="1"/>
  <c r="O121" i="1" s="1"/>
  <c r="O120" i="1" s="1"/>
  <c r="O119" i="1" s="1"/>
  <c r="O118" i="1" s="1"/>
  <c r="O117" i="1" s="1"/>
  <c r="O116" i="1" s="1"/>
  <c r="O115" i="1" s="1"/>
  <c r="O114" i="1" s="1"/>
  <c r="O113" i="1" s="1"/>
  <c r="O112" i="1" s="1"/>
  <c r="O111" i="1" s="1"/>
  <c r="O261" i="1"/>
  <c r="O260" i="1" s="1"/>
  <c r="O259" i="1" s="1"/>
  <c r="O258" i="1" s="1"/>
  <c r="O257" i="1" s="1"/>
  <c r="O256" i="1" s="1"/>
  <c r="O255" i="1" s="1"/>
  <c r="O254" i="1" s="1"/>
  <c r="O253" i="1" s="1"/>
  <c r="O252" i="1" s="1"/>
  <c r="O251" i="1" s="1"/>
  <c r="O250" i="1" s="1"/>
  <c r="O249" i="1" s="1"/>
  <c r="O248" i="1" s="1"/>
  <c r="O247" i="1" s="1"/>
  <c r="O246" i="1" s="1"/>
  <c r="O245" i="1" s="1"/>
  <c r="O244" i="1" s="1"/>
  <c r="O243" i="1" s="1"/>
  <c r="O242" i="1" s="1"/>
  <c r="O241" i="1" s="1"/>
  <c r="O240" i="1" s="1"/>
  <c r="O239" i="1" s="1"/>
  <c r="O238" i="1" s="1"/>
  <c r="O237" i="1" s="1"/>
  <c r="O236" i="1" s="1"/>
  <c r="O235" i="1" s="1"/>
  <c r="O234" i="1" s="1"/>
  <c r="O233" i="1" s="1"/>
  <c r="O232" i="1" s="1"/>
  <c r="O231" i="1" s="1"/>
  <c r="O230" i="1" s="1"/>
  <c r="O229" i="1" s="1"/>
  <c r="O228" i="1" s="1"/>
  <c r="O227" i="1" s="1"/>
  <c r="O226" i="1" s="1"/>
  <c r="O225" i="1" s="1"/>
  <c r="O224" i="1" s="1"/>
  <c r="O223" i="1" s="1"/>
  <c r="O222" i="1" s="1"/>
  <c r="O221" i="1" s="1"/>
  <c r="O220" i="1" s="1"/>
  <c r="O219" i="1" s="1"/>
  <c r="O218" i="1" s="1"/>
  <c r="O217" i="1" s="1"/>
  <c r="O216" i="1" s="1"/>
  <c r="O215" i="1" s="1"/>
  <c r="O214" i="1" s="1"/>
  <c r="O213" i="1" s="1"/>
  <c r="O106" i="1"/>
  <c r="O105" i="1" s="1"/>
  <c r="O104" i="1" s="1"/>
  <c r="O103" i="1" s="1"/>
  <c r="O102" i="1" s="1"/>
  <c r="O101" i="1" s="1"/>
  <c r="O100" i="1" s="1"/>
  <c r="O99" i="1" s="1"/>
  <c r="O98" i="1" s="1"/>
  <c r="O97" i="1" s="1"/>
  <c r="O96" i="1" s="1"/>
  <c r="O95" i="1" s="1"/>
  <c r="O94" i="1" s="1"/>
  <c r="O93" i="1" s="1"/>
  <c r="O92" i="1" s="1"/>
  <c r="O91" i="1" s="1"/>
  <c r="O90" i="1" s="1"/>
  <c r="O89" i="1" s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312" i="1"/>
  <c r="O311" i="1" s="1"/>
  <c r="O310" i="1" s="1"/>
  <c r="O309" i="1" s="1"/>
  <c r="O308" i="1" s="1"/>
  <c r="O307" i="1" s="1"/>
  <c r="O306" i="1" s="1"/>
  <c r="O305" i="1" s="1"/>
  <c r="O304" i="1" s="1"/>
  <c r="O303" i="1" s="1"/>
  <c r="O302" i="1" s="1"/>
  <c r="O301" i="1" s="1"/>
  <c r="O300" i="1" s="1"/>
  <c r="O299" i="1" s="1"/>
  <c r="O298" i="1" s="1"/>
  <c r="O297" i="1" s="1"/>
  <c r="O296" i="1" s="1"/>
  <c r="O295" i="1" s="1"/>
  <c r="O294" i="1" s="1"/>
  <c r="O293" i="1" s="1"/>
  <c r="O292" i="1" s="1"/>
  <c r="O291" i="1" s="1"/>
  <c r="O290" i="1" s="1"/>
  <c r="O289" i="1" s="1"/>
  <c r="O288" i="1" s="1"/>
  <c r="O287" i="1" s="1"/>
  <c r="O286" i="1" s="1"/>
  <c r="O285" i="1" s="1"/>
  <c r="O284" i="1" s="1"/>
  <c r="O283" i="1" s="1"/>
  <c r="O282" i="1" s="1"/>
  <c r="O281" i="1" s="1"/>
  <c r="O280" i="1" s="1"/>
  <c r="O279" i="1" s="1"/>
  <c r="O278" i="1" s="1"/>
  <c r="O277" i="1" s="1"/>
  <c r="O276" i="1" s="1"/>
  <c r="O275" i="1" s="1"/>
  <c r="O274" i="1" s="1"/>
  <c r="O273" i="1" s="1"/>
  <c r="O272" i="1" s="1"/>
  <c r="O271" i="1" s="1"/>
  <c r="O270" i="1" s="1"/>
  <c r="O269" i="1" s="1"/>
  <c r="O268" i="1" s="1"/>
  <c r="O267" i="1" s="1"/>
  <c r="O266" i="1" s="1"/>
  <c r="O265" i="1" s="1"/>
  <c r="O264" i="1" s="1"/>
  <c r="O56" i="1"/>
  <c r="O55" i="1" s="1"/>
  <c r="O54" i="1" s="1"/>
  <c r="O53" i="1" s="1"/>
  <c r="O52" i="1" s="1"/>
  <c r="O51" i="1" s="1"/>
  <c r="O50" i="1" s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O15" i="1" s="1"/>
  <c r="O14" i="1" s="1"/>
  <c r="O13" i="1" s="1"/>
  <c r="O12" i="1" s="1"/>
  <c r="O11" i="1" s="1"/>
  <c r="O10" i="1" s="1"/>
  <c r="O9" i="1" l="1"/>
  <c r="P109" i="1" l="1"/>
  <c r="P262" i="1" l="1"/>
  <c r="P141" i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Margarida Ferraz João</author>
  </authors>
  <commentList>
    <comment ref="B7" authorId="0" shapeId="0" xr:uid="{497CDBCD-9C73-422E-9737-F9954530D3DD}">
      <text>
        <r>
          <rPr>
            <b/>
            <sz val="9"/>
            <color indexed="81"/>
            <rFont val="Tahoma"/>
            <family val="2"/>
          </rPr>
          <t>Margarida Ferraz João:</t>
        </r>
        <r>
          <rPr>
            <sz val="9"/>
            <color indexed="81"/>
            <rFont val="Tahoma"/>
            <family val="2"/>
          </rPr>
          <t xml:space="preserve">
Atualizar.</t>
        </r>
      </text>
    </comment>
  </commentList>
</comments>
</file>

<file path=xl/sharedStrings.xml><?xml version="1.0" encoding="utf-8"?>
<sst xmlns="http://schemas.openxmlformats.org/spreadsheetml/2006/main" count="5480" uniqueCount="2460">
  <si>
    <t>1. Instruções</t>
  </si>
  <si>
    <t xml:space="preserve">1. Alterar apenas o que está assinalado a amarelo. </t>
  </si>
  <si>
    <t>Nota: No campo ref_date, colocar plica no início da data, de modo a manter o formato texto.</t>
  </si>
  <si>
    <t>Info</t>
  </si>
  <si>
    <t>Table_name</t>
  </si>
  <si>
    <t>Table as-is</t>
  </si>
  <si>
    <t>Table to-be</t>
  </si>
  <si>
    <t>Chave1</t>
  </si>
  <si>
    <t>Chave2</t>
  </si>
  <si>
    <r>
      <rPr>
        <i/>
        <sz val="10"/>
        <color theme="1"/>
        <rFont val="Santander Text"/>
        <family val="2"/>
      </rPr>
      <t>schema</t>
    </r>
    <r>
      <rPr>
        <sz val="10"/>
        <color theme="1"/>
        <rFont val="Santander Text"/>
        <family val="2"/>
      </rPr>
      <t xml:space="preserve"> </t>
    </r>
    <r>
      <rPr>
        <i/>
        <sz val="10"/>
        <color theme="1"/>
        <rFont val="Santander Text"/>
        <family val="2"/>
      </rPr>
      <t>as-is</t>
    </r>
    <r>
      <rPr>
        <sz val="10"/>
        <color theme="1"/>
        <rFont val="Santander Text"/>
        <family val="2"/>
      </rPr>
      <t xml:space="preserve"> (prod.)</t>
    </r>
  </si>
  <si>
    <t>cd_loan_tapes_bce</t>
  </si>
  <si>
    <t>ENTTY</t>
  </si>
  <si>
    <t>lt003_entity</t>
  </si>
  <si>
    <t>entty_id</t>
  </si>
  <si>
    <r>
      <rPr>
        <i/>
        <sz val="10"/>
        <color theme="1"/>
        <rFont val="Santander Text"/>
        <family val="2"/>
      </rPr>
      <t>schema</t>
    </r>
    <r>
      <rPr>
        <sz val="10"/>
        <color theme="1"/>
        <rFont val="Santander Text"/>
        <family val="2"/>
      </rPr>
      <t xml:space="preserve"> </t>
    </r>
    <r>
      <rPr>
        <i/>
        <sz val="10"/>
        <color theme="1"/>
        <rFont val="Santander Text"/>
        <family val="2"/>
      </rPr>
      <t>to-be</t>
    </r>
    <r>
      <rPr>
        <sz val="10"/>
        <color theme="1"/>
        <rFont val="Santander Text"/>
        <family val="2"/>
      </rPr>
      <t xml:space="preserve"> (testes)</t>
    </r>
  </si>
  <si>
    <t>bu_loantape_work</t>
  </si>
  <si>
    <t>INSTR_ENTTY</t>
  </si>
  <si>
    <t>lt005_instr_ent</t>
  </si>
  <si>
    <t>instrmnt_id</t>
  </si>
  <si>
    <t>ref_date</t>
  </si>
  <si>
    <t>2024-09-30</t>
  </si>
  <si>
    <t>INSTR_PRTCTN</t>
  </si>
  <si>
    <t>lt006_instr_prot</t>
  </si>
  <si>
    <t>prtctn_id</t>
  </si>
  <si>
    <t>nome_perimetro</t>
  </si>
  <si>
    <t>Individual Corporativo</t>
  </si>
  <si>
    <t>INSTRMNT</t>
  </si>
  <si>
    <t>lt002_instrument</t>
  </si>
  <si>
    <t>segmento</t>
  </si>
  <si>
    <t>ESTR</t>
  </si>
  <si>
    <t>PRTCTN</t>
  </si>
  <si>
    <t>lt004_protection</t>
  </si>
  <si>
    <t>ambito_1</t>
  </si>
  <si>
    <t>PM</t>
  </si>
  <si>
    <t>ambito_2</t>
  </si>
  <si>
    <t>Tipologia testes</t>
  </si>
  <si>
    <t>filtro_f_1</t>
  </si>
  <si>
    <t>Validação campos</t>
  </si>
  <si>
    <t>filtro_f_2</t>
  </si>
  <si>
    <t>Validação universo</t>
  </si>
  <si>
    <r>
      <t xml:space="preserve">2. Executar, no HUE, as linhas da coluna </t>
    </r>
    <r>
      <rPr>
        <b/>
        <i/>
        <sz val="11"/>
        <color rgb="FFFF0000"/>
        <rFont val="Santander Text"/>
        <family val="2"/>
      </rPr>
      <t>Union all</t>
    </r>
    <r>
      <rPr>
        <sz val="11"/>
        <color theme="1"/>
        <rFont val="Santander Text"/>
        <family val="2"/>
      </rPr>
      <t xml:space="preserve"> por blocos &gt; correr cada bloco de 30 em 30.</t>
    </r>
  </si>
  <si>
    <t>as_is</t>
  </si>
  <si>
    <t>to_be</t>
  </si>
  <si>
    <t>Column_name</t>
  </si>
  <si>
    <t>Column_name_1</t>
  </si>
  <si>
    <t>Column_name_2</t>
  </si>
  <si>
    <t>Universo_1</t>
  </si>
  <si>
    <t>Universo_2</t>
  </si>
  <si>
    <t>Metodologia de cruzamento</t>
  </si>
  <si>
    <t>Condição</t>
  </si>
  <si>
    <r>
      <t xml:space="preserve">Query </t>
    </r>
    <r>
      <rPr>
        <b/>
        <sz val="11"/>
        <color theme="0"/>
        <rFont val="Santander Text"/>
        <family val="2"/>
      </rPr>
      <t>1</t>
    </r>
  </si>
  <si>
    <r>
      <t xml:space="preserve">Query </t>
    </r>
    <r>
      <rPr>
        <b/>
        <sz val="11"/>
        <color theme="0"/>
        <rFont val="Santander Text"/>
        <family val="2"/>
      </rPr>
      <t>2</t>
    </r>
  </si>
  <si>
    <t>Union all</t>
  </si>
  <si>
    <t>Contagem</t>
  </si>
  <si>
    <t>accntng_frmwrk_sl</t>
  </si>
  <si>
    <t>Validação de campos</t>
  </si>
  <si>
    <t>annl_trnvr_le</t>
  </si>
  <si>
    <t>annl_trnvr_le_bdr</t>
  </si>
  <si>
    <t>annl_trnvr_prvs</t>
  </si>
  <si>
    <t>annl_trnvr_prvs_bdr</t>
  </si>
  <si>
    <t>capex</t>
  </si>
  <si>
    <t>capex_prvs</t>
  </si>
  <si>
    <t>cllctn_md</t>
  </si>
  <si>
    <t>cntry</t>
  </si>
  <si>
    <t>cod_soc</t>
  </si>
  <si>
    <t>cr_flg</t>
  </si>
  <si>
    <t>csh</t>
  </si>
  <si>
    <t>csh_prvs</t>
  </si>
  <si>
    <t>dbt_rpymnt_cpcty_snr_dbt</t>
  </si>
  <si>
    <t>dbt_rpymnt_cpcty_ttl</t>
  </si>
  <si>
    <t>dbt_srvc_rt</t>
  </si>
  <si>
    <t>dbt_srvc_rt_12m</t>
  </si>
  <si>
    <t>dcsd</t>
  </si>
  <si>
    <t>dflt_stts</t>
  </si>
  <si>
    <t>dt_brth</t>
  </si>
  <si>
    <t>dt_dflt_stts</t>
  </si>
  <si>
    <t>dt_extrnl_rtng</t>
  </si>
  <si>
    <t>dt_fnncl_sttmts</t>
  </si>
  <si>
    <t>dt_fnncl_sttmts_prvs</t>
  </si>
  <si>
    <t>dt_intrnl_rtng</t>
  </si>
  <si>
    <t>dt_inttn_lgl_prcdngs_le</t>
  </si>
  <si>
    <t>dt_prfrmng_stts_le</t>
  </si>
  <si>
    <t>ebitda</t>
  </si>
  <si>
    <t>ebitda_prvs</t>
  </si>
  <si>
    <t>ec_grp_id</t>
  </si>
  <si>
    <t>ec_grp_nm</t>
  </si>
  <si>
    <t>ecnmc_actvty</t>
  </si>
  <si>
    <t>emplymnt_stts</t>
  </si>
  <si>
    <t>emplymnt_stts_intrnl</t>
  </si>
  <si>
    <t>entrprs_sz_le</t>
  </si>
  <si>
    <t>entty_nm</t>
  </si>
  <si>
    <t>eqty</t>
  </si>
  <si>
    <t>eqty_prvs</t>
  </si>
  <si>
    <t>extrnl_rtng</t>
  </si>
  <si>
    <t>extrnl_rtng_nm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</si>
  <si>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</si>
  <si>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</si>
  <si>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</si>
  <si>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</si>
  <si>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</si>
  <si>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</si>
  <si>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</si>
  <si>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</si>
  <si>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</si>
  <si>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flln_ang_extndd_dfntn</t>
  </si>
  <si>
    <t>flln_ang_nrrw_dfntn</t>
  </si>
  <si>
    <t>fr_csh_flw</t>
  </si>
  <si>
    <t>fr_csh_flw_t1</t>
  </si>
  <si>
    <t>fr_csh_flw_t2</t>
  </si>
  <si>
    <t>fr_csh_flw_t3</t>
  </si>
  <si>
    <t>gcc_prnt_id</t>
  </si>
  <si>
    <t>gcc_prnt_nm</t>
  </si>
  <si>
    <t>gdwill</t>
  </si>
  <si>
    <t>gdwill_prvs</t>
  </si>
  <si>
    <t>grp_ebitda</t>
  </si>
  <si>
    <t>grp_eqty</t>
  </si>
  <si>
    <t>grp_nt_dbt</t>
  </si>
  <si>
    <t>grp_rorac</t>
  </si>
  <si>
    <t>grp_rorwa</t>
  </si>
  <si>
    <t>grp_ttl_dbt</t>
  </si>
  <si>
    <t>incm_sc</t>
  </si>
  <si>
    <t>intrnl_rtng</t>
  </si>
  <si>
    <t>intrnl_rtng_prvs</t>
  </si>
  <si>
    <t>intrnl_sgmnt</t>
  </si>
  <si>
    <t>intrnl_unt</t>
  </si>
  <si>
    <t>lei</t>
  </si>
  <si>
    <t>lgl_prcdng_stts_le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</si>
  <si>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</si>
  <si>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</si>
  <si>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</si>
  <si>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</si>
  <si>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</si>
  <si>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</si>
  <si>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</si>
  <si>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</si>
  <si>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osi_id</t>
  </si>
  <si>
    <t>ownd_by_spnsr</t>
  </si>
  <si>
    <t>pd_crr_rd</t>
  </si>
  <si>
    <t>pd_crr_rd_t1</t>
  </si>
  <si>
    <t>pd_ifrs9_12m_rd</t>
  </si>
  <si>
    <t>pd_ifrs9_12m_rd_t1</t>
  </si>
  <si>
    <t>prfrmng_stts_le</t>
  </si>
  <si>
    <t>prsn_typ</t>
  </si>
  <si>
    <t>rorac</t>
  </si>
  <si>
    <t>rorwa</t>
  </si>
  <si>
    <t>rtng_mthd</t>
  </si>
  <si>
    <t>rtng_scl</t>
  </si>
  <si>
    <t>scan</t>
  </si>
  <si>
    <t>sngl_prps_vhcl</t>
  </si>
  <si>
    <t>tax_id</t>
  </si>
  <si>
    <t>ttl_dbt</t>
  </si>
  <si>
    <t>ttl_dbt_prvs</t>
  </si>
  <si>
    <t>ttl_intrst_pd</t>
  </si>
  <si>
    <t>ttl_lvrg_rt</t>
  </si>
  <si>
    <t>ttl_lvrg_rt_prvs</t>
  </si>
  <si>
    <t>ttl_prmssbl_dbt_blnc</t>
  </si>
  <si>
    <t>wtch_lst</t>
  </si>
  <si>
    <t>jnt_lblty_amnt</t>
  </si>
  <si>
    <t>mn_entty_id</t>
  </si>
  <si>
    <t>prtctn_allctd_vl</t>
  </si>
  <si>
    <t>thrd_prty_prrty_clms</t>
  </si>
  <si>
    <t>accmltd_chngs_fv_cr_instrmnt</t>
  </si>
  <si>
    <t>accmltd_imprmnt_instrmnt</t>
  </si>
  <si>
    <t>accmltd_imprmnt_instrmnt_prvs</t>
  </si>
  <si>
    <t>accmltd_wrtffs_instrmnt</t>
  </si>
  <si>
    <t>accntng_clssfctn</t>
  </si>
  <si>
    <t>accrd_intrst_instrmnt</t>
  </si>
  <si>
    <t>amnt_d_at_mtrty</t>
  </si>
  <si>
    <t>annlsd_agrd_rt</t>
  </si>
  <si>
    <t>arrrs_instrmnt_12m</t>
  </si>
  <si>
    <t>arrrs_instrmnt</t>
  </si>
  <si>
    <t>asst_scrt_clss</t>
  </si>
  <si>
    <t>brchd_cvnnts</t>
  </si>
  <si>
    <t>ccf</t>
  </si>
  <si>
    <t>chnnl_orgntn</t>
  </si>
  <si>
    <t>cmltv_rcvrs_snc_dflt_instrmnt</t>
  </si>
  <si>
    <t>cmmtmnt_incptn_instrmnt</t>
  </si>
  <si>
    <t>cmmtmnt_instrmnt</t>
  </si>
  <si>
    <t>cmplnt_mrtr_c19_nm</t>
  </si>
  <si>
    <t>cnsmptn_fnrp18</t>
  </si>
  <si>
    <t>cntrct_id</t>
  </si>
  <si>
    <t>cntrct_id_bdr</t>
  </si>
  <si>
    <t>cod_soc_intrgrp</t>
  </si>
  <si>
    <t>cpn_crrncy</t>
  </si>
  <si>
    <t>cpn_rt</t>
  </si>
  <si>
    <t>cre_fnrp18</t>
  </si>
  <si>
    <t>crrltn_cffcnt</t>
  </si>
  <si>
    <t>crrncy_dnmntn</t>
  </si>
  <si>
    <t>crryng_amnt_instrmnt</t>
  </si>
  <si>
    <t>csh_swp_trp</t>
  </si>
  <si>
    <t>cvnnt_stts</t>
  </si>
  <si>
    <t>cvnnt_typ</t>
  </si>
  <si>
    <t>dbt_yld</t>
  </si>
  <si>
    <t>dflt_stts_instrmnt</t>
  </si>
  <si>
    <t>dpd_12m</t>
  </si>
  <si>
    <t>dpd_12m_frbrnc_stts</t>
  </si>
  <si>
    <t>dpd_12m_prfrmng_stts</t>
  </si>
  <si>
    <t>dpd_24m_frbrnc_stts</t>
  </si>
  <si>
    <t>dpd_24m_prfrmng_stts</t>
  </si>
  <si>
    <t>dpd</t>
  </si>
  <si>
    <t>dpd_frbrnc_stts</t>
  </si>
  <si>
    <t>dpd_prfrmng_stts</t>
  </si>
  <si>
    <t>dsti</t>
  </si>
  <si>
    <t>dstntn_fnds</t>
  </si>
  <si>
    <t>dt_cmplnt_mrtr_stts_c19</t>
  </si>
  <si>
    <t>dt_cmplnt_mrtr_stts_prvs_c19</t>
  </si>
  <si>
    <t>dt_dflt_stts_instrmnt</t>
  </si>
  <si>
    <t>dt_end_gp_ppal</t>
  </si>
  <si>
    <t>dt_end_gp_ppal_c19</t>
  </si>
  <si>
    <t>dt_end_intrst_only</t>
  </si>
  <si>
    <t>dt_end_intrst_only_c19</t>
  </si>
  <si>
    <t>dt_frbrnc_stts</t>
  </si>
  <si>
    <t>dt_frbrnc_stts_c19</t>
  </si>
  <si>
    <t>dt_frbrnc_stts_prvs</t>
  </si>
  <si>
    <t>dt_frbrnc_stts_prvs_c19</t>
  </si>
  <si>
    <t>dt_imprmnt_stts</t>
  </si>
  <si>
    <t>dt_imprmnt_stts_prvs</t>
  </si>
  <si>
    <t>dt_incptn</t>
  </si>
  <si>
    <t>dt_lgl_fnl_mtrty</t>
  </si>
  <si>
    <t>dt_nxt_intrst_rt_rst</t>
  </si>
  <si>
    <t>dt_orgnl_mtrty</t>
  </si>
  <si>
    <t>dt_prfrmng_stts</t>
  </si>
  <si>
    <t>dt_prfrmng_stts_prvs</t>
  </si>
  <si>
    <t>dt_pst_d</t>
  </si>
  <si>
    <t>dt_strt_gp_ppal</t>
  </si>
  <si>
    <t>dt_strt_intrst_only</t>
  </si>
  <si>
    <t>dt_vltn</t>
  </si>
  <si>
    <t>ead</t>
  </si>
  <si>
    <t>eba_cmplnt_mrtr_st_c19</t>
  </si>
  <si>
    <t>eir</t>
  </si>
  <si>
    <t>eir_incptn</t>
  </si>
  <si>
    <t>elgblty_ecb</t>
  </si>
  <si>
    <t>excldd_lf</t>
  </si>
  <si>
    <t>expctd_lss_crr</t>
  </si>
  <si>
    <t>expsr_in_scp</t>
  </si>
  <si>
    <t>fld_syndctn</t>
  </si>
  <si>
    <t>flg_lbo</t>
  </si>
  <si>
    <t>frbrnc_stts_c19</t>
  </si>
  <si>
    <t>frbrnc_stts_instrmnt</t>
  </si>
  <si>
    <t>grc_prd_cptl_intrst_c19</t>
  </si>
  <si>
    <t>grntr_id</t>
  </si>
  <si>
    <t>grntr_id_typ</t>
  </si>
  <si>
    <t>grss_crryng_amnt_instrmnt</t>
  </si>
  <si>
    <t>hedge_id</t>
  </si>
  <si>
    <t>idcmb</t>
  </si>
  <si>
    <t>ifrs9_bhvrl_mtrty</t>
  </si>
  <si>
    <t>ifrs9_ccf</t>
  </si>
  <si>
    <t>ifrs9_ead</t>
  </si>
  <si>
    <t>ifrs9_lgd</t>
  </si>
  <si>
    <t>imprmnt_assssmnt_mthd</t>
  </si>
  <si>
    <t>imprmnt_clcltn_mthd</t>
  </si>
  <si>
    <t>imprmnt_stts</t>
  </si>
  <si>
    <t>imprmnt_stts_prvs</t>
  </si>
  <si>
    <t>instlmnt_pay</t>
  </si>
  <si>
    <t>instr_snrty_clss</t>
  </si>
  <si>
    <t>instrmnt_clss</t>
  </si>
  <si>
    <t>intrnl_rtng_incptn</t>
  </si>
  <si>
    <t>intrnl_sgmnt_cat_msta</t>
  </si>
  <si>
    <t>intrnl_sgmnt_catgsub</t>
  </si>
  <si>
    <t>intrnl_sgmnt_ifrs9</t>
  </si>
  <si>
    <t>intrst_rt_rst_frqncy</t>
  </si>
  <si>
    <t>isin</t>
  </si>
  <si>
    <t>isin_scrtstn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</si>
  <si>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</si>
  <si>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</si>
  <si>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</si>
  <si>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</si>
  <si>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</si>
  <si>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</si>
  <si>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</si>
  <si>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</si>
  <si>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lcl_instmrnt_id</t>
  </si>
  <si>
    <t>lcr_bffr_ctgry</t>
  </si>
  <si>
    <t>lcre</t>
  </si>
  <si>
    <t>lgd</t>
  </si>
  <si>
    <t>lgl_prcdng_stts</t>
  </si>
  <si>
    <t>lnd_drgtn</t>
  </si>
  <si>
    <t>lsti</t>
  </si>
  <si>
    <t>lti_instrmnt</t>
  </si>
  <si>
    <t>ltv</t>
  </si>
  <si>
    <t>ltv_incptn</t>
  </si>
  <si>
    <t>ltv_npe</t>
  </si>
  <si>
    <t>lvrg_fnnc_flg</t>
  </si>
  <si>
    <t>mtrty_ltst_frbrnc_msr_c19</t>
  </si>
  <si>
    <t>mtrty_ltst_mrtr_c19</t>
  </si>
  <si>
    <t>nmbr_frbrnc_msrs</t>
  </si>
  <si>
    <t>obsrvd_agnt_id</t>
  </si>
  <si>
    <t>obsrvd_agnt_nm</t>
  </si>
  <si>
    <t>off_blnc_sht_amnt_instrmnt</t>
  </si>
  <si>
    <t>off_blnc_sht_amnt_instrmnt_prvs</t>
  </si>
  <si>
    <t>otstndng_nmnl_amnt_instrmnt</t>
  </si>
  <si>
    <t>otstndng_nmnl_amnt_instrmnt_prvs</t>
  </si>
  <si>
    <t>pblc_grnt_schm_c19_nm</t>
  </si>
  <si>
    <t>pd_crr_incptn</t>
  </si>
  <si>
    <t>pd_ifrs9_12m_incptn</t>
  </si>
  <si>
    <t>pd_ifrs9_lftm_incptn</t>
  </si>
  <si>
    <t>pd_ifrs9_rmnng_lftm_incptn</t>
  </si>
  <si>
    <t>pd_ifrs9_rmnng_lftm_rd</t>
  </si>
  <si>
    <t>pmnt_pblc_grnt_schm_c19</t>
  </si>
  <si>
    <t>poci</t>
  </si>
  <si>
    <t>prch_undr_rsl_agr</t>
  </si>
  <si>
    <t>prdct</t>
  </si>
  <si>
    <t>prdntl_prtfl</t>
  </si>
  <si>
    <t>prfrmng_stts</t>
  </si>
  <si>
    <t>prfrmng_stts_prvs</t>
  </si>
  <si>
    <t>prjct_fnnc_ln</t>
  </si>
  <si>
    <t>prmry_asst_clssf</t>
  </si>
  <si>
    <t>prps</t>
  </si>
  <si>
    <t>prt_lcr_bffr</t>
  </si>
  <si>
    <t>prvsns_off_blnc_sht</t>
  </si>
  <si>
    <t>pymnt_frqncy</t>
  </si>
  <si>
    <t>pymnt_intrst_only</t>
  </si>
  <si>
    <t>rcrs</t>
  </si>
  <si>
    <t>rcvd_amrtstn_12m</t>
  </si>
  <si>
    <t>rcvd_amrtstn_24m</t>
  </si>
  <si>
    <t>rcvd_intrst_12m</t>
  </si>
  <si>
    <t>rcvd_intrst_24m</t>
  </si>
  <si>
    <t>rfnnc_prps</t>
  </si>
  <si>
    <t>rfrnc_rt</t>
  </si>
  <si>
    <t>rre_fnrp18</t>
  </si>
  <si>
    <t>rtntn_shr</t>
  </si>
  <si>
    <t>rwa</t>
  </si>
  <si>
    <t>rwa_mtgtn</t>
  </si>
  <si>
    <t>rwa_mthd</t>
  </si>
  <si>
    <t>rwa_prmtgtn</t>
  </si>
  <si>
    <t>sbjct_pblc_grnt_schm_c19</t>
  </si>
  <si>
    <t>sicr_assssmnt_mthd</t>
  </si>
  <si>
    <t>sme_fnrp18</t>
  </si>
  <si>
    <t>spcltv_lndng</t>
  </si>
  <si>
    <t>spnsr_nm</t>
  </si>
  <si>
    <t>sprd</t>
  </si>
  <si>
    <t>srcs_encmbrnc</t>
  </si>
  <si>
    <t>stts_undrwrttn_trnsctn</t>
  </si>
  <si>
    <t>subportfolio_id</t>
  </si>
  <si>
    <t>syndct_rl</t>
  </si>
  <si>
    <t>syndctd_agnt</t>
  </si>
  <si>
    <t>syndctd_cntrct_id</t>
  </si>
  <si>
    <t>syndctd_lndrs</t>
  </si>
  <si>
    <t>syndctd_shr</t>
  </si>
  <si>
    <t>syndctn_typ</t>
  </si>
  <si>
    <t>trnch</t>
  </si>
  <si>
    <t>ttl_lvrg_rt_incptn</t>
  </si>
  <si>
    <t>typ_amrtstn</t>
  </si>
  <si>
    <t>typ_cl</t>
  </si>
  <si>
    <t>typ_cmplnt_mrtr_c19</t>
  </si>
  <si>
    <t>typ_cre_oprtn</t>
  </si>
  <si>
    <t>typ_dl</t>
  </si>
  <si>
    <t>typ_fclty</t>
  </si>
  <si>
    <t>typ_instrmnt</t>
  </si>
  <si>
    <t>typ_intrst_rt</t>
  </si>
  <si>
    <t>typ_mrtgg</t>
  </si>
  <si>
    <t>type_of_plcmnt</t>
  </si>
  <si>
    <t>type_off_blnc_prdct</t>
  </si>
  <si>
    <t>us_prcds</t>
  </si>
  <si>
    <t>vltn_crrncy</t>
  </si>
  <si>
    <t>vltn_typ</t>
  </si>
  <si>
    <t>apprsl_crrncy</t>
  </si>
  <si>
    <t>apprsr</t>
  </si>
  <si>
    <t>cnstrctn_stts</t>
  </si>
  <si>
    <t>cre_incm_crrncy</t>
  </si>
  <si>
    <t>cre_yrly_expnss</t>
  </si>
  <si>
    <t>cre_yrly_incm</t>
  </si>
  <si>
    <t>dt_apprsl_prvs</t>
  </si>
  <si>
    <t>dt_cnstrctn_stts</t>
  </si>
  <si>
    <t>dt_frst_usg</t>
  </si>
  <si>
    <t>dt_lst_fll_apprsl</t>
  </si>
  <si>
    <t>dt_mtrty_prtctn</t>
  </si>
  <si>
    <t>dt_orgnl_prtctn_vl</t>
  </si>
  <si>
    <t>dt_prtctn_vl</t>
  </si>
  <si>
    <t>dvlpmnt_stts</t>
  </si>
  <si>
    <t>hrct_mv</t>
  </si>
  <si>
    <t>mn_prps</t>
  </si>
  <si>
    <t>ntnl_id</t>
  </si>
  <si>
    <t>orgnl_prtctn_vl</t>
  </si>
  <si>
    <t>prm_lctn</t>
  </si>
  <si>
    <t>prtctn_clld</t>
  </si>
  <si>
    <t>prtctn_frcd_sl_vl</t>
  </si>
  <si>
    <t>prtctn_prvdr_id</t>
  </si>
  <si>
    <t>prtctn_typ_pblc_grnt_schm_c19</t>
  </si>
  <si>
    <t>prtctn_vl</t>
  </si>
  <si>
    <t>prtctn_vl_npe</t>
  </si>
  <si>
    <t>prtctn_vl_prvs</t>
  </si>
  <si>
    <t>prtctn_vltn_apprch</t>
  </si>
  <si>
    <t>rl_estt_addrss</t>
  </si>
  <si>
    <t>rl_estt_clltrl_lctn</t>
  </si>
  <si>
    <t>rl_estt_clltrl_lctn_int</t>
  </si>
  <si>
    <t>rl_estt_cty</t>
  </si>
  <si>
    <t>rl_estt_pst_cd</t>
  </si>
  <si>
    <t>typ_prtctn</t>
  </si>
  <si>
    <t>typ_prtctn_intrnl</t>
  </si>
  <si>
    <t>typ_prtctn_vl</t>
  </si>
  <si>
    <t>yr_cnstrctn</t>
  </si>
  <si>
    <t>Instruções:</t>
  </si>
  <si>
    <r>
      <t>1. Alterar apenas o que está a amarelo (</t>
    </r>
    <r>
      <rPr>
        <u/>
        <sz val="11"/>
        <color theme="1"/>
        <rFont val="Arial"/>
        <family val="2"/>
        <scheme val="minor"/>
      </rPr>
      <t>nota</t>
    </r>
    <r>
      <rPr>
        <sz val="11"/>
        <color theme="1"/>
        <rFont val="Arial"/>
        <family val="2"/>
        <scheme val="minor"/>
      </rPr>
      <t>: no campo ref_date, colocar a plica no  início da data para manter como texto)</t>
    </r>
  </si>
  <si>
    <t>Schema AS IS (prod)</t>
  </si>
  <si>
    <t>TABLE_NAME</t>
  </si>
  <si>
    <t>Tabela LT_AS_IS</t>
  </si>
  <si>
    <t>Tabela LT_TO_BE</t>
  </si>
  <si>
    <t>Schema TO BE (testes)</t>
  </si>
  <si>
    <t>filtro final_1</t>
  </si>
  <si>
    <t>filtro final_2</t>
  </si>
  <si>
    <t>2. Executar no HUE as linhas da coluna UNION ALL por blocos na sheet testes resgressivos &gt; correr cada bloco de cada (de 30 em 30)</t>
  </si>
  <si>
    <t>Falta testes ao universo</t>
  </si>
  <si>
    <t>Falta adicionar resto de campos</t>
  </si>
  <si>
    <t>TABELA_LT_AS_IS</t>
  </si>
  <si>
    <t>TABELA_LT_AS_TO_BE</t>
  </si>
  <si>
    <t>COLUMN_NAME</t>
  </si>
  <si>
    <t>COLUMN_NAME_1</t>
  </si>
  <si>
    <t>COLUMN_NAME_2</t>
  </si>
  <si>
    <t>UNIVERSO_1</t>
  </si>
  <si>
    <t>UNIVERSO_2</t>
  </si>
  <si>
    <t>CRUZAMENTO</t>
  </si>
  <si>
    <t>CONDIÇÃO</t>
  </si>
  <si>
    <t>QUERY 1</t>
  </si>
  <si>
    <t>QUERY 2</t>
  </si>
  <si>
    <t>UNION ALL</t>
  </si>
  <si>
    <t>contagem</t>
  </si>
  <si>
    <t>1) 3 entidades com diferenças cada uma com 2 contratos associados</t>
  </si>
  <si>
    <t>Query</t>
  </si>
  <si>
    <t>SELECT *
FROM
     (SELECT entty_id AS entty_id_as_is,
             dt_dflt_stts AS dt_dflt_stts_as_is
      FROM cd_loan_tapes_bce.lt003_entity
      WHERE ref_date='2024-06-30'
        AND nome_perimetro= 'Individual Corporativo'
        AND segmento= 'ESTR'
        AND ambito= 'PM'
        AND entidade='00100' ) A
   INNER JOIN
     (SELECT entty_id AS entty_id_to_be,
             dt_dflt_stts AS dt_dflt_stts_to_be
      FROM bu_loantape_work.lt003_entity
      WHERE ref_date='2024-06-30'
        AND nome_perimetro= 'Individual Corporativo'
        AND segmento= 'ESTR'
        AND ambito= 'PM'
        AND entidade='00100' ) B 
ON entty_id_as_is = entty_id_to_be
LEFT JOIN
(SELECT entty_id,
       instrmnt_id
FROM cd_loan_tapes_bce.lt005_instr_ent
WHERE ref_date='${date}'
  AND nome_perimetro= 'Individual Corporativo'
  AND segmento= 'ESTR'
  AND ambito= 'PM'
  AND entidade IN ('00100',
                   '00280')) lt005
ON lt005.entty_id = A.entty_id_as_is
WHERE coalesce(cast(dt_dflt_stts_as_is AS string), '') &lt;&gt; coalesce(cast(dt_dflt_stts_to_be AS string), '')
   And entty_id_as_is IN ('8017388534',
                   '2101801806',
                   '8023649885')
;</t>
  </si>
  <si>
    <t xml:space="preserve"> </t>
  </si>
  <si>
    <t>entty_id_as_is</t>
  </si>
  <si>
    <t>dt_dflt_stts_as_is</t>
  </si>
  <si>
    <t>entty_id_to_be</t>
  </si>
  <si>
    <t>dt_dflt_stts_to_be</t>
  </si>
  <si>
    <t>8023649885</t>
  </si>
  <si>
    <t>2021-05-31</t>
  </si>
  <si>
    <t>9999-12-31</t>
  </si>
  <si>
    <t>31000311125057024000000000000000</t>
  </si>
  <si>
    <t>31003185654790011524735500000001</t>
  </si>
  <si>
    <t>8017388534</t>
  </si>
  <si>
    <t>2021-04-30</t>
  </si>
  <si>
    <t>1111-11-11</t>
  </si>
  <si>
    <t>31000005878391001000000000000000</t>
  </si>
  <si>
    <t>31000311367824024000000000000000</t>
  </si>
  <si>
    <t>2101801806</t>
  </si>
  <si>
    <t>31000312440284096000000000000000</t>
  </si>
  <si>
    <t>31000311562325024000000000000000</t>
  </si>
  <si>
    <t>2) Na LT702 os contratos apenas têm 1 status</t>
  </si>
  <si>
    <t>SELECT *
   FROM
     (SELECT dflt_stts_instrmnt,
             dt_dflt_stts_instrmnt,
             CONCAT_WS('', cempresa, cbalcao, cnumecta, zdeposit) AS instrmnt_id,
             row_number() over (PARTITION BY cempresa, cbalcao, cnumecta, zdeposit
                                ORDER BY REF_DATE DESC) AS row_n
      FROM cd_loan_tapes_bce.lt702_bce_lt_sprt_dflt
      WHERE ref_date &lt;= '2024-06-30' ) AS lt702
   WHERE 1=1 
   --AND lt702.row_n = 1
     AND instrmnt_id in(  
     '31000312440284096000000000000000',
    '31003185654790011524735500000001',
    '31000311367824024000000000000000',
    '31000311125057024000000000000000',
    '31000005878391001000000000000000',
    '31000311562325024000000000000000')</t>
  </si>
  <si>
    <t>row_n</t>
  </si>
  <si>
    <t>14</t>
  </si>
  <si>
    <t>1</t>
  </si>
  <si>
    <t>3) Analisando os contratos no universo cd e bu temos os seguintes:</t>
  </si>
  <si>
    <t>SELECT entty_id,
       instrmnt_id, csequencia_rel
FROM cd_loan_tapes_bce.lt005_instr_ent
WHERE ref_date='${date}'
  AND nome_perimetro= 'Individual Corporativo'
  AND segmento= 'ESTR'
  AND ambito= 'PM'
  AND entidade IN ('00100',
                   '00280')
  AND entty_id in('8023649885','8017388534','2101801806')</t>
  </si>
  <si>
    <t>Contratos na CD</t>
  </si>
  <si>
    <t>csequencia_rel</t>
  </si>
  <si>
    <t>dt_dflt_stts_instrmnt_LT702</t>
  </si>
  <si>
    <t>dt_dflt_stts_cd</t>
  </si>
  <si>
    <t>dt_dflt_stts_bu</t>
  </si>
  <si>
    <t>00001</t>
  </si>
  <si>
    <t>00002</t>
  </si>
  <si>
    <t>N/A</t>
  </si>
  <si>
    <t>SELECT entty_id,
       instrmnt_id, csequencia_rel
FROM bu_loantape_work.lt005_instr_ent
WHERE ref_date='${date}'
  AND nome_perimetro= 'Individual Corporativo'
  AND segmento= 'ESTR'
  AND ambito= 'PM'
  AND entidade IN ('00100',
                   '00280')
  AND entty_id in('8023649885','8017388534','2101801806')</t>
  </si>
  <si>
    <t>Contratos na BU</t>
  </si>
  <si>
    <t>Casuistica - São universos de contratos diferentes</t>
  </si>
  <si>
    <t>Teste</t>
  </si>
  <si>
    <t>Ficheiro</t>
  </si>
  <si>
    <t>Resultado</t>
  </si>
  <si>
    <t>COD_SOC</t>
  </si>
  <si>
    <t>CNTRY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</si>
  <si>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</si>
  <si>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</si>
  <si>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</si>
  <si>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</si>
  <si>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</si>
  <si>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</si>
  <si>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DT_RFRNC</t>
  </si>
  <si>
    <t>ENTTY_ID</t>
  </si>
  <si>
    <t>GCC_PRNT_ID</t>
  </si>
  <si>
    <t>GCC_PRNT_NM</t>
  </si>
  <si>
    <t>INTRNL_SGMNT</t>
  </si>
  <si>
    <t>INTRNL_UNT</t>
  </si>
  <si>
    <t>LEI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</si>
  <si>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</si>
  <si>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</si>
  <si>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</si>
  <si>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</si>
  <si>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</si>
  <si>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</si>
  <si>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</si>
  <si>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</si>
  <si>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ECNMC_ACTVTY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</si>
  <si>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</si>
  <si>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</si>
  <si>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</si>
  <si>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</si>
  <si>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</si>
  <si>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</si>
  <si>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</si>
  <si>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</si>
  <si>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</si>
  <si>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</si>
  <si>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</si>
  <si>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</si>
  <si>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</si>
  <si>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</si>
  <si>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</si>
  <si>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</si>
  <si>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</si>
  <si>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</si>
  <si>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</si>
  <si>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</si>
  <si>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</si>
  <si>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</si>
  <si>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</si>
  <si>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</si>
  <si>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GRP_EQTY</t>
  </si>
  <si>
    <t>GRP_NT_DBT</t>
  </si>
  <si>
    <t>ANNL_TRNVR_LE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</si>
  <si>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</si>
  <si>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</si>
  <si>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</si>
  <si>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</si>
  <si>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</si>
  <si>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</si>
  <si>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</si>
  <si>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</si>
  <si>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</t>
  </si>
  <si>
    <t>EQTY_PRVS</t>
  </si>
  <si>
    <t>GRP_TTL_DBT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</si>
  <si>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</si>
  <si>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</si>
  <si>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</si>
  <si>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</si>
  <si>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</si>
  <si>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</si>
  <si>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</si>
  <si>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</si>
  <si>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</si>
  <si>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</si>
  <si>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</si>
  <si>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</si>
  <si>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</si>
  <si>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</si>
  <si>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</si>
  <si>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</si>
  <si>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</si>
  <si>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</si>
  <si>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</si>
  <si>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</si>
  <si>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</si>
  <si>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</si>
  <si>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</si>
  <si>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</si>
  <si>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</si>
  <si>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</si>
  <si>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</si>
  <si>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</si>
  <si>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</si>
  <si>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</si>
  <si>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</si>
  <si>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</si>
  <si>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</si>
  <si>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</si>
  <si>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ADDRSS_CTY</t>
  </si>
  <si>
    <t>ADDRSS_STRT</t>
  </si>
  <si>
    <t>DT_ENTRPRS_SZ</t>
  </si>
  <si>
    <t>NMBR_EMPLYS</t>
  </si>
  <si>
    <t>LGL_FRM</t>
  </si>
  <si>
    <t>HD_OFFC_UNDRTKNG_ID</t>
  </si>
  <si>
    <t>tipologia_teste</t>
  </si>
  <si>
    <t>tabela</t>
  </si>
  <si>
    <t>campo</t>
  </si>
  <si>
    <t>num_reg_dif</t>
  </si>
  <si>
    <t>Casuística</t>
  </si>
  <si>
    <t>Análise</t>
  </si>
  <si>
    <t>IMMDT_PRNT_UNDRTKNG_ID</t>
  </si>
  <si>
    <t>Tema das partições</t>
  </si>
  <si>
    <t>Na cd tem valores e na bu está como '99999999999'. As partições na fonte perderam valores.</t>
  </si>
  <si>
    <t>ULTMT_PRNT_UNDRTKNG_ID</t>
  </si>
  <si>
    <t>TTL_ASSTS</t>
  </si>
  <si>
    <t>FLLN_ANGL_NRRW_DFNTN</t>
  </si>
  <si>
    <t>Arredondamentos/ Diferenças</t>
  </si>
  <si>
    <t>A CD apresenta valores com 6 casas decimais , porém na BU os valores não são arredondados</t>
  </si>
  <si>
    <t>FLLN_ANGL_EXTNDD_DFNTN</t>
  </si>
  <si>
    <t>A CD apresenta valores com 2 casas decimais, porém na BU os valores não são arredondados</t>
  </si>
  <si>
    <t>ENTTY_ID_BDR</t>
  </si>
  <si>
    <t>Há relação com a Instrument mas são muitos casos, provavelmente há outras casuisticas (Na CD está como NULL e na BU está 11111111111)</t>
  </si>
  <si>
    <t>Análise por IT</t>
  </si>
  <si>
    <t>Está correto na BU</t>
  </si>
  <si>
    <t>Há relação com a Instrument mas são muitos casos, provavelmente há outras casuisticas</t>
  </si>
  <si>
    <t>Valores na cd que na bu está tudo a 0</t>
  </si>
  <si>
    <t>INSTRMNT_ID</t>
  </si>
  <si>
    <t>Valores diferentes</t>
  </si>
  <si>
    <t>JNT_LBLTY_AMNT</t>
  </si>
  <si>
    <t>MN_ENTTY_ID</t>
  </si>
  <si>
    <t>ACCMLTD_CHNGS_FV_CR_INSTRMNT</t>
  </si>
  <si>
    <t>ACCMLTD_IMPRMNT_INSTRMNT</t>
  </si>
  <si>
    <t>CRE_FNRP18</t>
  </si>
  <si>
    <t>SME_FNRP18</t>
  </si>
  <si>
    <t>cnclld_instrmnt_stts</t>
  </si>
  <si>
    <t>RRE_FNRP18</t>
  </si>
  <si>
    <t>CNSMPTN_FNRP18</t>
  </si>
  <si>
    <t>ACCNTNG_CLSSFCTN</t>
  </si>
  <si>
    <t>CNTRCT_ID</t>
  </si>
  <si>
    <t>CRRNCY_DNMNTN</t>
  </si>
  <si>
    <t>DT_INCPTN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</si>
  <si>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</si>
  <si>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</si>
  <si>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</si>
  <si>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</si>
  <si>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</si>
  <si>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</si>
  <si>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</si>
  <si>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</si>
  <si>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</si>
  <si>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</si>
  <si>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</si>
  <si>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</si>
  <si>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</si>
  <si>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DT_PRFRMNG_STTS</t>
  </si>
  <si>
    <t>DT_PRFRMNG_STTS_PRVS</t>
  </si>
  <si>
    <t>DT_STRT_INTRST_ONLY</t>
  </si>
  <si>
    <t>EXPSR_IN_SCP</t>
  </si>
  <si>
    <t>FLD_SYNDCTN</t>
  </si>
  <si>
    <t>FLG_LBO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</si>
  <si>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</si>
  <si>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</si>
  <si>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</si>
  <si>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</si>
  <si>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</si>
  <si>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</si>
  <si>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</si>
  <si>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</si>
  <si>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PRJCT_FNNC_LN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</si>
  <si>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</si>
  <si>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</si>
  <si>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</si>
  <si>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</si>
  <si>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</si>
  <si>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</si>
  <si>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</si>
  <si>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</si>
  <si>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</si>
  <si>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</si>
  <si>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</si>
  <si>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</si>
  <si>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CCF</t>
  </si>
  <si>
    <t>ACCRD_INTRST_INSTRMNT</t>
  </si>
  <si>
    <t>AMNT_D_AT_MTRTY</t>
  </si>
  <si>
    <t>CMMTMNT_INCPTN_INSTRMNT</t>
  </si>
  <si>
    <t>CMMTMNT_INSTRMNT</t>
  </si>
  <si>
    <t>CRRYNG_AMNT_INSTRMNT</t>
  </si>
  <si>
    <t>DBT_YLD</t>
  </si>
  <si>
    <t>DT_LGL_FNL_MTRTY</t>
  </si>
  <si>
    <t>DT_NXT_INTRST_RT_RST</t>
  </si>
  <si>
    <t>DT_ORGNL_MTRTY</t>
  </si>
  <si>
    <t>IFRS9_BHVRL_MTRTY</t>
  </si>
  <si>
    <t>COD_SOC_INTRGRP</t>
  </si>
  <si>
    <t>IFRS9_CCF</t>
  </si>
  <si>
    <t>IFRS9_EAD</t>
  </si>
  <si>
    <t>INSTLMNT_PAY</t>
  </si>
  <si>
    <t>DFLT_STTS_INSTRMNT</t>
  </si>
  <si>
    <t>OFF_BLNC_SHT_AMNT_INSTRMNT_PRVS</t>
  </si>
  <si>
    <t>OTSTNDNG_NMNL_AMNT_INSTRMNT</t>
  </si>
  <si>
    <t>OTSTNDNG_NMNL_AMNT_INSTRMNT_PRVS</t>
  </si>
  <si>
    <t>PYMNT_FRQNCY</t>
  </si>
  <si>
    <t>RTNTN_SHR</t>
  </si>
  <si>
    <t>EAD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</si>
  <si>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</si>
  <si>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</si>
  <si>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</si>
  <si>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</si>
  <si>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</si>
  <si>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</si>
  <si>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</si>
  <si>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</si>
  <si>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</si>
  <si>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</si>
  <si>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</si>
  <si>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</si>
  <si>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</si>
  <si>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</si>
  <si>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</si>
  <si>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DT_IMPRMNT_STTS</t>
  </si>
  <si>
    <t>DT_IMPRMNT_STTS_PRVS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</si>
  <si>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</si>
  <si>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</si>
  <si>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</si>
  <si>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</si>
  <si>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</si>
  <si>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</si>
  <si>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</si>
  <si>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</si>
  <si>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</si>
  <si>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</si>
  <si>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</si>
  <si>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</si>
  <si>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</si>
  <si>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</si>
  <si>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</si>
  <si>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</si>
  <si>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</si>
  <si>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</si>
  <si>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</si>
  <si>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</si>
  <si>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</si>
  <si>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</si>
  <si>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</si>
  <si>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</si>
  <si>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</si>
  <si>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</si>
  <si>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</si>
  <si>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</si>
  <si>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</si>
  <si>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</si>
  <si>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</si>
  <si>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</si>
  <si>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</si>
  <si>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</si>
  <si>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</si>
  <si>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</si>
  <si>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</si>
  <si>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</si>
  <si>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</si>
  <si>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</si>
  <si>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</si>
  <si>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</si>
  <si>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</si>
  <si>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</si>
  <si>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</si>
  <si>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</si>
  <si>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</si>
  <si>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CPN_RT_FXD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</si>
  <si>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</si>
  <si>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</si>
  <si>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</si>
  <si>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</si>
  <si>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</si>
  <si>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</si>
  <si>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</si>
  <si>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ISIN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</si>
  <si>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</si>
  <si>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</si>
  <si>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</si>
  <si>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</si>
  <si>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</si>
  <si>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</si>
  <si>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</si>
  <si>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</si>
  <si>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LCR_BFFR_CTGRY</t>
  </si>
  <si>
    <t>PRCH_UNDR_RSL_AGR</t>
  </si>
  <si>
    <t>PRDNTL_PRTFL</t>
  </si>
  <si>
    <t>PRMRY_ASST_CLSSF</t>
  </si>
  <si>
    <t>PRT_LCR_BFFR</t>
  </si>
  <si>
    <t>CPN_RT_FLTNG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</si>
  <si>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</si>
  <si>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</si>
  <si>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</si>
  <si>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</si>
  <si>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</si>
  <si>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</si>
  <si>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</si>
  <si>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</si>
  <si>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</si>
  <si>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</si>
  <si>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</si>
  <si>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</si>
  <si>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GRSS_CRRYNG_AMNT_INSTRMNT</t>
  </si>
  <si>
    <t>IDCMB</t>
  </si>
  <si>
    <t>IMPRMNT_STTS</t>
  </si>
  <si>
    <t>LCL_INSTMRNT_ID</t>
  </si>
  <si>
    <t>OFF_BLNC_SHT_AMNT_INSTRMNT</t>
  </si>
  <si>
    <t>PRFRMNG_STTS</t>
  </si>
  <si>
    <t>PRVSNS_OFF_BLNC_SHT</t>
  </si>
  <si>
    <t>RWA</t>
  </si>
  <si>
    <t>SUBPORTFOLIO_ID</t>
  </si>
  <si>
    <t>TYP_INSTRMNT</t>
  </si>
  <si>
    <t>EXPCTD_LSS_CRR</t>
  </si>
  <si>
    <t>LSTI</t>
  </si>
  <si>
    <t>DSTI</t>
  </si>
  <si>
    <t>LTI_INSTRMNT</t>
  </si>
  <si>
    <t>INTRST_RT_CP</t>
  </si>
  <si>
    <t>INTRST_RT_FLR</t>
  </si>
  <si>
    <t>NMNL_INTRST_RT_FEE</t>
  </si>
  <si>
    <t>RFRNC_RT</t>
  </si>
  <si>
    <t>DT_STTLMNT</t>
  </si>
  <si>
    <t>TRNSFRRD_AMNT</t>
  </si>
  <si>
    <t>TYP_SCRTZTN</t>
  </si>
  <si>
    <t>TYP_OFF_BLNC_PRDCT</t>
  </si>
  <si>
    <t>BLNC_SHT_RCGNTN</t>
  </si>
  <si>
    <t>FLG_DFLT</t>
  </si>
  <si>
    <t>FLG_HGH_RSK</t>
  </si>
  <si>
    <t>EXCLDD_LF</t>
  </si>
  <si>
    <t>RWA_MTGTN</t>
  </si>
  <si>
    <t>RWA_PRMTGTN</t>
  </si>
  <si>
    <t>US_PRCDS</t>
  </si>
  <si>
    <t>TTL_LVRG_RT_INCPTN</t>
  </si>
  <si>
    <t>TYP_FCLTY</t>
  </si>
  <si>
    <t>TYP_CL</t>
  </si>
  <si>
    <t>PRTCTN_ID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</si>
  <si>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</si>
  <si>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</si>
  <si>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</si>
  <si>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</si>
  <si>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</si>
  <si>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</si>
  <si>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</t>
  </si>
  <si>
    <t>RL_ESTT_CLLTRL_LCTN_INT</t>
  </si>
  <si>
    <t>RL_ESTT_CTY</t>
  </si>
  <si>
    <t>RL_ESTT_PST_CD</t>
  </si>
  <si>
    <t>HRCT_MV</t>
  </si>
  <si>
    <t>PRTCTN_CLLD</t>
  </si>
  <si>
    <t>TYP_PRTCTN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</si>
  <si>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</si>
  <si>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</si>
  <si>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</si>
  <si>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</si>
  <si>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</si>
  <si>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</si>
  <si>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</si>
  <si>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ORGNL_PRTCTN_VL</t>
  </si>
  <si>
    <t>PRTCTN_FRCD_SL_VL</t>
  </si>
  <si>
    <t>PRTCTN_VL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</si>
  <si>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</si>
  <si>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</si>
  <si>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</si>
  <si>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</si>
  <si>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</si>
  <si>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</si>
  <si>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</si>
  <si>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</si>
  <si>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</si>
  <si>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</si>
  <si>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</si>
  <si>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</si>
  <si>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</si>
  <si>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</si>
  <si>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</si>
  <si>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BLDNG_AR</t>
  </si>
  <si>
    <t>LND_AR</t>
  </si>
  <si>
    <t>LN_PSTN</t>
  </si>
  <si>
    <t>1) Controlo de universos</t>
  </si>
  <si>
    <t>SELECT instrmnt_id_cd,SUM(soma_cd) as soma_cd2
FROM (SELECT Concat(cempresa, cbalcao, cnumecta, zdeposit) as instrmnt_id_cd, ABS(valor_bruto_on) + ABS(valor_bruto_off) + ABS(provisao_on) + ABS(provisao_off) as soma_cd
FROM cd_loan_tapes_bce.lt001_univ_oper
WHERE ref_date='${date}'
AND nome_perimetro= 'Individual Corporativo'
AND segmento= 'ESTR' 
AND ambito= 'PM'
And entidade ='00100')A
Group by 1
Having soma_cd2&lt;0.01</t>
  </si>
  <si>
    <t>Select*
FROM 
(Select entty_id as entty_id_cd
FROM cd_loan_tapes_bce.lt003_entity
WHERE ref_date ='${date}'
AND nome_perimetro = 'Individual Corporativo'
AND segmento = 'ESTR' 
AND ambito = 'PM'
And entidade ='00100') LT003cd
FULL JOIN
(Select entty_id as entty_id_bu
FROM bu_loantape_work.lt003_entity
WHERE ref_date='${date}'
AND nome_perimetro= 'Individual Corporativo'
AND segmento= 'ESTR' 
AND ambito= 'PM'
And entidade ='00100') LT003bu
ON  entty_id_bu=entty_id_cd
Where entty_id_bu IS NULL
OR entty_id_cd IS NULL</t>
  </si>
  <si>
    <t>Select*
FROM 
(Select instrmnt_id as instrmnt_cd
FROM cd_loan_tapes_bce.lt002_instrument
WHERE ref_date='${date}'
AND nome_perimetro = 'Individual Corporativo'
AND segmento = 'ESTR' 
AND ambito = 'PM'
And entidade ='00100') LT002cd
FULL JOIN
(Select instrmnt_id as instrmnt_bu
FROM bu_loantape_work.lt002_instrument
WHERE ref_date='${date}'
AND nome_perimetro= 'Individual Corporativo'
AND segmento= 'ESTR' 
AND ambito= 'PM'
And entidade ='00100') LT002bu
ON  instrmnt_bu=instrmnt_cd
Where instrmnt_cd IS NULL
OR instrmnt_bu IS NULL</t>
  </si>
  <si>
    <t>entty_id_cd</t>
  </si>
  <si>
    <t>entty_id_bu</t>
  </si>
  <si>
    <t>instrmnt_cd</t>
  </si>
  <si>
    <t>instrmnt_bu</t>
  </si>
  <si>
    <t>instrmnt_id_cd</t>
  </si>
  <si>
    <t>soma_cd</t>
  </si>
  <si>
    <t>instrmnt_id_bu</t>
  </si>
  <si>
    <t>soma_bu</t>
  </si>
  <si>
    <t>2101306972</t>
  </si>
  <si>
    <t>NULL</t>
  </si>
  <si>
    <t>31000311574643024000000000000000</t>
  </si>
  <si>
    <t>soma</t>
  </si>
  <si>
    <t>31641600005800043ES0000012M85000</t>
  </si>
  <si>
    <t>0.000000</t>
  </si>
  <si>
    <t>502332758.950000</t>
  </si>
  <si>
    <t>31CMAH0000000000R962304820441600</t>
  </si>
  <si>
    <t>0000000000</t>
  </si>
  <si>
    <t>31000323464944020000000000000000</t>
  </si>
  <si>
    <t>2101479528</t>
  </si>
  <si>
    <t>8009323121</t>
  </si>
  <si>
    <t>31000800026380024000000000000000</t>
  </si>
  <si>
    <t>31000311571797024000000000000000</t>
  </si>
  <si>
    <t>0.009341</t>
  </si>
  <si>
    <t>31000800298229024000000000000000</t>
  </si>
  <si>
    <t>1.620000</t>
  </si>
  <si>
    <t>31CMAH5130889802R000000000000000</t>
  </si>
  <si>
    <t>31000348037154020000000000000000</t>
  </si>
  <si>
    <t>7402393278</t>
  </si>
  <si>
    <t>31000316092768096000000000000000</t>
  </si>
  <si>
    <t>2101522416</t>
  </si>
  <si>
    <t>31000800099833024000000000000000</t>
  </si>
  <si>
    <t>31000311164346024000000000000000</t>
  </si>
  <si>
    <t>31000800224431024000000000000000</t>
  </si>
  <si>
    <t>6.109295</t>
  </si>
  <si>
    <t>31CMAH0000000000R962304820435700</t>
  </si>
  <si>
    <t>31000352701281020000000000000000</t>
  </si>
  <si>
    <t>7401637075</t>
  </si>
  <si>
    <t>31000356273543020000000000000000</t>
  </si>
  <si>
    <t>2100862804</t>
  </si>
  <si>
    <t>31000800147905024000000000000000</t>
  </si>
  <si>
    <t>31000310925762024000000000000000</t>
  </si>
  <si>
    <t>2760273.970000</t>
  </si>
  <si>
    <t>31CMAH0000000000R962304820440220</t>
  </si>
  <si>
    <t>31003198725950011557241000000001</t>
  </si>
  <si>
    <t>7401996089</t>
  </si>
  <si>
    <t>31000331251028020000000000000000</t>
  </si>
  <si>
    <t>2101522412</t>
  </si>
  <si>
    <t>31000800330113024000000000000000</t>
  </si>
  <si>
    <t>31000311570310024000000000000000</t>
  </si>
  <si>
    <t>31000800075353024000000000000000</t>
  </si>
  <si>
    <t>0.050000</t>
  </si>
  <si>
    <t>31CMAH0000000000R962304820434090</t>
  </si>
  <si>
    <t>31000350488782020000000000000000</t>
  </si>
  <si>
    <t>7401701350</t>
  </si>
  <si>
    <t>31000352232170020000000000000000</t>
  </si>
  <si>
    <t>8006876858</t>
  </si>
  <si>
    <t>31000310948095024000000000000000</t>
  </si>
  <si>
    <t>31000311595630024000000000000000</t>
  </si>
  <si>
    <t>31641600005800043ES0000012L78000</t>
  </si>
  <si>
    <t>256614548.800000</t>
  </si>
  <si>
    <t>31CMAH5365698902R000000000000000</t>
  </si>
  <si>
    <t>31000351942118020000000000000000</t>
  </si>
  <si>
    <t>9001625449</t>
  </si>
  <si>
    <t>31000346984126020000000000000000</t>
  </si>
  <si>
    <t>2101826303</t>
  </si>
  <si>
    <t>31000800097233024000000000000000</t>
  </si>
  <si>
    <t>31000800166681024000000000000000</t>
  </si>
  <si>
    <t>31000800156112024000000000000000</t>
  </si>
  <si>
    <t>1.158337</t>
  </si>
  <si>
    <t>89CMAH2020000010RV00500C31731I19</t>
  </si>
  <si>
    <t>31000351914497020000000000000000</t>
  </si>
  <si>
    <t>7402339530</t>
  </si>
  <si>
    <t>31000011704763541000000000000000</t>
  </si>
  <si>
    <t>2100457954</t>
  </si>
  <si>
    <t>31000800287404024000000000000000</t>
  </si>
  <si>
    <t>31641600005800040PTTGUEOM0001000</t>
  </si>
  <si>
    <t>5.550000</t>
  </si>
  <si>
    <t>31CMAH0000000000R962304820433880</t>
  </si>
  <si>
    <t>31000304297205096000000000000000</t>
  </si>
  <si>
    <t>8012375719</t>
  </si>
  <si>
    <t>31000360875135020000000000000000</t>
  </si>
  <si>
    <t>2100628906</t>
  </si>
  <si>
    <t>31000800344775024000000000000000</t>
  </si>
  <si>
    <t>31000800080288024000000000000000</t>
  </si>
  <si>
    <t>0.950000</t>
  </si>
  <si>
    <t>31CMAHCARG00000000100C1222151SC0</t>
  </si>
  <si>
    <t>31000351216562020000000000000000</t>
  </si>
  <si>
    <t>7401744590</t>
  </si>
  <si>
    <t>31000007076095001000000000000000</t>
  </si>
  <si>
    <t>2100393970</t>
  </si>
  <si>
    <t>31000311450828024000000000000000</t>
  </si>
  <si>
    <t>31000311585607024000000000000000</t>
  </si>
  <si>
    <t>0.775339</t>
  </si>
  <si>
    <t>89CMAHPCIA0100I153104532P5122191</t>
  </si>
  <si>
    <t>31000339413042020000000000000000</t>
  </si>
  <si>
    <t>2100902743</t>
  </si>
  <si>
    <t>31000317696427096000000000000000</t>
  </si>
  <si>
    <t>2100441745</t>
  </si>
  <si>
    <t>31000311566060024000000000000000</t>
  </si>
  <si>
    <t>5.502102</t>
  </si>
  <si>
    <t>31CMAH0000000000R962304820434100</t>
  </si>
  <si>
    <t>31000324308736020000000000000000</t>
  </si>
  <si>
    <t>2100266938</t>
  </si>
  <si>
    <t>31000315132805096000000000000000</t>
  </si>
  <si>
    <t>2100472179</t>
  </si>
  <si>
    <t>31000311569221024000000000000000</t>
  </si>
  <si>
    <t>31000311656148029000000000000000</t>
  </si>
  <si>
    <t>54515000.000000</t>
  </si>
  <si>
    <t>31CMAH0000000000RAPL474910940000</t>
  </si>
  <si>
    <t>31000337746179020000000000000000</t>
  </si>
  <si>
    <t>7402132156</t>
  </si>
  <si>
    <t>31000803407755020000000000000000</t>
  </si>
  <si>
    <t>2100378985</t>
  </si>
  <si>
    <t>31000311342967024000000000000000</t>
  </si>
  <si>
    <t>31000035231464001000000000000000</t>
  </si>
  <si>
    <t>1.810000</t>
  </si>
  <si>
    <t>31CMAH0000000000R962304820435210</t>
  </si>
  <si>
    <t>31000351184422020000000000000000</t>
  </si>
  <si>
    <t>7401466520</t>
  </si>
  <si>
    <t>31000353543039020000000000000000</t>
  </si>
  <si>
    <t>2101274698</t>
  </si>
  <si>
    <t>31000311579253024000000000000000</t>
  </si>
  <si>
    <t>31000311534548024000000000000000</t>
  </si>
  <si>
    <t>0.003077</t>
  </si>
  <si>
    <t>0.160000</t>
  </si>
  <si>
    <t>31CMAHPCIA00100I153104730P231190</t>
  </si>
  <si>
    <t>31000317058181020000000000000000</t>
  </si>
  <si>
    <t>9001302249</t>
  </si>
  <si>
    <t>31000312974472096000000000000000</t>
  </si>
  <si>
    <t>2100468419</t>
  </si>
  <si>
    <t>31000311125628024000000000000000</t>
  </si>
  <si>
    <t>31000311561814024000000000000000</t>
  </si>
  <si>
    <t>31000310897912024000000000000000</t>
  </si>
  <si>
    <t>0.060000</t>
  </si>
  <si>
    <t>31CMAH0000000000R962304820438090</t>
  </si>
  <si>
    <t>31000316648262096000000000000000</t>
  </si>
  <si>
    <t>5100323772</t>
  </si>
  <si>
    <t>31000352172152020000000000000000</t>
  </si>
  <si>
    <t>2100448603</t>
  </si>
  <si>
    <t>31000311560131030000000000000000</t>
  </si>
  <si>
    <t>31641600005800043ES0000011868000</t>
  </si>
  <si>
    <t>892452638.370000</t>
  </si>
  <si>
    <t>31CMAH0000000000R962304820435080</t>
  </si>
  <si>
    <t>31000008039719001000000000000000</t>
  </si>
  <si>
    <t>8042933858</t>
  </si>
  <si>
    <t>31216202873810020000000000000000</t>
  </si>
  <si>
    <t>8044571745</t>
  </si>
  <si>
    <t>31000050568304024000000000000000</t>
  </si>
  <si>
    <t>0.650000</t>
  </si>
  <si>
    <t>31CMAH0000000000R962304820436060</t>
  </si>
  <si>
    <t>31000040177713001000000000000000</t>
  </si>
  <si>
    <t>7402105645</t>
  </si>
  <si>
    <t>31000318065250020000000000000000</t>
  </si>
  <si>
    <t>8024443804</t>
  </si>
  <si>
    <t>31000311576895024000000000000000</t>
  </si>
  <si>
    <t>3.185427</t>
  </si>
  <si>
    <t>31CMAH5130889802A000000000000000</t>
  </si>
  <si>
    <t>8046077493</t>
  </si>
  <si>
    <t>31000100201374996000000000000000</t>
  </si>
  <si>
    <t>7401453858</t>
  </si>
  <si>
    <t>31000353282836020000000000000000</t>
  </si>
  <si>
    <t>7400396612</t>
  </si>
  <si>
    <t>31000311568371024000000000000000</t>
  </si>
  <si>
    <t>0.350000</t>
  </si>
  <si>
    <t>31CMAH1159456702A000000000000000</t>
  </si>
  <si>
    <t>31000338100087020000000000000000</t>
  </si>
  <si>
    <t>9002072123</t>
  </si>
  <si>
    <t>31000310637493096000000000000000</t>
  </si>
  <si>
    <t>2101117444</t>
  </si>
  <si>
    <t>31000800298211024000000000000000</t>
  </si>
  <si>
    <t>31CMAH5365698902A000000000000000</t>
  </si>
  <si>
    <t>31000312055090096000000000000000</t>
  </si>
  <si>
    <t>7402013231</t>
  </si>
  <si>
    <t>31000801037728096000000000000000</t>
  </si>
  <si>
    <t>2101189277</t>
  </si>
  <si>
    <t>31000311416795024000000000000000</t>
  </si>
  <si>
    <t>0.170000</t>
  </si>
  <si>
    <t>31CMAH0000000000R962304820434770</t>
  </si>
  <si>
    <t>31000315877277020000000000000000</t>
  </si>
  <si>
    <t>9000854921</t>
  </si>
  <si>
    <t>31000005882027001000000000000000</t>
  </si>
  <si>
    <t>7401182959</t>
  </si>
  <si>
    <t>31000311560438030000000000000000</t>
  </si>
  <si>
    <t>31000050039215024000000000000000</t>
  </si>
  <si>
    <t>50000.000000</t>
  </si>
  <si>
    <t>31CMAH0000000000R962304820435450</t>
  </si>
  <si>
    <t>31000351540797020000000000000000</t>
  </si>
  <si>
    <t>8020838131</t>
  </si>
  <si>
    <t>31000352368891020000000000000000</t>
  </si>
  <si>
    <t>2101291543</t>
  </si>
  <si>
    <t>31000311567787024000000000000000</t>
  </si>
  <si>
    <t>5.586175</t>
  </si>
  <si>
    <t>31CMAH0000000000R962304820435420</t>
  </si>
  <si>
    <t>31000806770175020000000000000000</t>
  </si>
  <si>
    <t>9002605083</t>
  </si>
  <si>
    <t>31000051471968001000000000000000</t>
  </si>
  <si>
    <t>2100604028</t>
  </si>
  <si>
    <t>1.410556</t>
  </si>
  <si>
    <t>31CMAH1159456702R000000000000000</t>
  </si>
  <si>
    <t>31000336692242020000000000000000</t>
  </si>
  <si>
    <t>7400136410</t>
  </si>
  <si>
    <t>31000028045294001000000000000000</t>
  </si>
  <si>
    <t>2100059377</t>
  </si>
  <si>
    <t>31256303004073030000000000000000</t>
  </si>
  <si>
    <t>19934426.230000</t>
  </si>
  <si>
    <t>31CMAH0000000000R962304820439310</t>
  </si>
  <si>
    <t>31000344609089020000000000000000</t>
  </si>
  <si>
    <t>7402011764</t>
  </si>
  <si>
    <t>31000002501973001000000000000000</t>
  </si>
  <si>
    <t>5100127489</t>
  </si>
  <si>
    <t>31000311511611024000000000000000</t>
  </si>
  <si>
    <t>5916666.670000</t>
  </si>
  <si>
    <t>31CMAH0000000000RAPL467290600000</t>
  </si>
  <si>
    <t>31000324070104020000000000000000</t>
  </si>
  <si>
    <t>7401102862</t>
  </si>
  <si>
    <t>31000325686247020000000000000000</t>
  </si>
  <si>
    <t>2101801817</t>
  </si>
  <si>
    <t>31641600005800043ES00000124C5000</t>
  </si>
  <si>
    <t>214900739.150000</t>
  </si>
  <si>
    <t>31000326527754020000000000000000</t>
  </si>
  <si>
    <t>8038403512</t>
  </si>
  <si>
    <t>31000352444163020000000000000000</t>
  </si>
  <si>
    <t>8024693961</t>
  </si>
  <si>
    <t>31000311570666024000000000000000</t>
  </si>
  <si>
    <t>31000800063250024000000000000000</t>
  </si>
  <si>
    <t>31000352328820020000000000000000</t>
  </si>
  <si>
    <t>2101189009</t>
  </si>
  <si>
    <t>31000315138612096000000000000000</t>
  </si>
  <si>
    <t>7401282249</t>
  </si>
  <si>
    <t>31000311429384024000000000000000</t>
  </si>
  <si>
    <t>31000800371018024000000000000000</t>
  </si>
  <si>
    <t>1.475946</t>
  </si>
  <si>
    <t>31000353087060020000000000000000</t>
  </si>
  <si>
    <t>7401066968</t>
  </si>
  <si>
    <t>31000338595633020000000000000000</t>
  </si>
  <si>
    <t>2100430606</t>
  </si>
  <si>
    <t>31000800351374024000000000000000</t>
  </si>
  <si>
    <t>1.490000</t>
  </si>
  <si>
    <t>31000312656616096000000000000000</t>
  </si>
  <si>
    <t>1700203518</t>
  </si>
  <si>
    <t>31000309574111096000000000000000</t>
  </si>
  <si>
    <t>5100127490</t>
  </si>
  <si>
    <t>31000311583099024000000000000000</t>
  </si>
  <si>
    <t>6866666.670000</t>
  </si>
  <si>
    <t>31000352931326020000000000000000</t>
  </si>
  <si>
    <t>7400433033</t>
  </si>
  <si>
    <t>31000801037736096000000000000000</t>
  </si>
  <si>
    <t>2101306973</t>
  </si>
  <si>
    <t>1.330000</t>
  </si>
  <si>
    <t>31003196330110011603766400000001</t>
  </si>
  <si>
    <t>9001958487</t>
  </si>
  <si>
    <t>31000805061840020000000000000000</t>
  </si>
  <si>
    <t>2100314002</t>
  </si>
  <si>
    <t>1.640000</t>
  </si>
  <si>
    <t>31000351165421020000000000000000</t>
  </si>
  <si>
    <t>7400697808</t>
  </si>
  <si>
    <t>31003188205040011593087300000001</t>
  </si>
  <si>
    <t>2100670929</t>
  </si>
  <si>
    <t>4.614666</t>
  </si>
  <si>
    <t>31000352878220020000000000000000</t>
  </si>
  <si>
    <t>2101126928</t>
  </si>
  <si>
    <t>31026000200006658000000000000000</t>
  </si>
  <si>
    <t>2100700459</t>
  </si>
  <si>
    <t>5.520785</t>
  </si>
  <si>
    <t>31000344659506020000000000000000</t>
  </si>
  <si>
    <t>7401064487</t>
  </si>
  <si>
    <t>31000303861092096000000000000000</t>
  </si>
  <si>
    <t>8042638149</t>
  </si>
  <si>
    <t>0.230000</t>
  </si>
  <si>
    <t>31000310996386096000000000000000</t>
  </si>
  <si>
    <t>7401867475</t>
  </si>
  <si>
    <t>31000310970415096000000000000000</t>
  </si>
  <si>
    <t>8016433623</t>
  </si>
  <si>
    <t>5.595516</t>
  </si>
  <si>
    <t>31000312857321096000000000000000</t>
  </si>
  <si>
    <t>7401973270</t>
  </si>
  <si>
    <t>2100604030</t>
  </si>
  <si>
    <t>31000311568819024000000000000000</t>
  </si>
  <si>
    <t>5.422373</t>
  </si>
  <si>
    <t>31000804253414020000000000000000</t>
  </si>
  <si>
    <t>7400791167</t>
  </si>
  <si>
    <t>31000805007256020000000000000000</t>
  </si>
  <si>
    <t>8044067782</t>
  </si>
  <si>
    <t>31000311560099030000000000000000</t>
  </si>
  <si>
    <t>9001062697</t>
  </si>
  <si>
    <t>31000315390833096000000000000000</t>
  </si>
  <si>
    <t>2100492003</t>
  </si>
  <si>
    <t>31000347311733020000000000000000</t>
  </si>
  <si>
    <t>7402280103</t>
  </si>
  <si>
    <t>31000344783033020000000000000000</t>
  </si>
  <si>
    <t>7400992562</t>
  </si>
  <si>
    <t>31000357620478020000000000000000</t>
  </si>
  <si>
    <t>7401022919</t>
  </si>
  <si>
    <t>31000806144934020000000000000000</t>
  </si>
  <si>
    <t>8044571885</t>
  </si>
  <si>
    <t>31000344454577020000000000000000</t>
  </si>
  <si>
    <t>7402094720</t>
  </si>
  <si>
    <t>31000339422258020000000000000000</t>
  </si>
  <si>
    <t>2100094462</t>
  </si>
  <si>
    <t>31000323359144020000000000000000</t>
  </si>
  <si>
    <t>8016233373</t>
  </si>
  <si>
    <t>31000344678142020000000000000000</t>
  </si>
  <si>
    <t>8018227492</t>
  </si>
  <si>
    <t>31000351081107020000000000000000</t>
  </si>
  <si>
    <t>2100876002</t>
  </si>
  <si>
    <t>31000355192934020000000000000000</t>
  </si>
  <si>
    <t>8045404198</t>
  </si>
  <si>
    <t>31000358074436020000000000000000</t>
  </si>
  <si>
    <t>8039116324</t>
  </si>
  <si>
    <t>31000316520230096000000000000000</t>
  </si>
  <si>
    <t>2100862794</t>
  </si>
  <si>
    <t>31000807176117020000000000000000</t>
  </si>
  <si>
    <t>8045702148</t>
  </si>
  <si>
    <t>31000353949251020000000000000000</t>
  </si>
  <si>
    <t>2101237013</t>
  </si>
  <si>
    <t>31000805323810020000000000000000</t>
  </si>
  <si>
    <t>9002585869</t>
  </si>
  <si>
    <t>31000036636745001000000000000000</t>
  </si>
  <si>
    <t>31000349835820020000000000000000</t>
  </si>
  <si>
    <t>7401350654</t>
  </si>
  <si>
    <t>31000311291936096000000000000000</t>
  </si>
  <si>
    <t>0.006817</t>
  </si>
  <si>
    <t>31000338481149020000000000000000</t>
  </si>
  <si>
    <t>8030224884</t>
  </si>
  <si>
    <t>31000317176298020000000000000000</t>
  </si>
  <si>
    <t>31000352182565020000000000000000</t>
  </si>
  <si>
    <t>8025809661</t>
  </si>
  <si>
    <t>31000342417550020000000000000000</t>
  </si>
  <si>
    <t>0.006219</t>
  </si>
  <si>
    <t>31000326179507020000000000000000</t>
  </si>
  <si>
    <t>7400913738</t>
  </si>
  <si>
    <t>31000313172928096000000000000000</t>
  </si>
  <si>
    <t>31000351589752020000000000000000</t>
  </si>
  <si>
    <t>7401750793</t>
  </si>
  <si>
    <t>31000340392052020000000000000000</t>
  </si>
  <si>
    <t>31000052812167020000000000000000</t>
  </si>
  <si>
    <t>0000244150</t>
  </si>
  <si>
    <t>31000315507494020000000000000000</t>
  </si>
  <si>
    <t>31000351931525020000000000000000</t>
  </si>
  <si>
    <t>7401709652</t>
  </si>
  <si>
    <t>31000312925052096000000000000000</t>
  </si>
  <si>
    <t>31000326071399020000000000000000</t>
  </si>
  <si>
    <t>2101031066</t>
  </si>
  <si>
    <t>31000326471839020000000000000000</t>
  </si>
  <si>
    <t>31000357806671020000000000000000</t>
  </si>
  <si>
    <t>7401922044</t>
  </si>
  <si>
    <t>31000347935168020000000000000000</t>
  </si>
  <si>
    <t>31000346214938020000000000000000</t>
  </si>
  <si>
    <t>7402526752</t>
  </si>
  <si>
    <t>31000100201981865000000000000000</t>
  </si>
  <si>
    <t>31000349518111020000000000000000</t>
  </si>
  <si>
    <t>8041480273</t>
  </si>
  <si>
    <t>31000347129069020000000000000000</t>
  </si>
  <si>
    <t>31000350291194020000000000000000</t>
  </si>
  <si>
    <t>8042333193</t>
  </si>
  <si>
    <t>31000340316911020000000000000000</t>
  </si>
  <si>
    <t>8014765318</t>
  </si>
  <si>
    <t>31000313575799096000000000000000</t>
  </si>
  <si>
    <t>31000350169812020000000000000000</t>
  </si>
  <si>
    <t>7402038002</t>
  </si>
  <si>
    <t>31000313909808096000000000000000</t>
  </si>
  <si>
    <t>7402337068</t>
  </si>
  <si>
    <t>31000341148198020000000000000000</t>
  </si>
  <si>
    <t>31000313016885096000000000000000</t>
  </si>
  <si>
    <t>8003787591</t>
  </si>
  <si>
    <t>31003170344590011571421000000001</t>
  </si>
  <si>
    <t>8022680306</t>
  </si>
  <si>
    <t>7401316779</t>
  </si>
  <si>
    <t>31000351680379020000000000000000</t>
  </si>
  <si>
    <t>31000352642022020000000000000000</t>
  </si>
  <si>
    <t>8027133700</t>
  </si>
  <si>
    <t>31005125118620011678229400000001</t>
  </si>
  <si>
    <t>31000359488494020000000000000000</t>
  </si>
  <si>
    <t>7400192532</t>
  </si>
  <si>
    <t>31000035452973001000000000000000</t>
  </si>
  <si>
    <t>31000331870389020000000000000000</t>
  </si>
  <si>
    <t>7400842232</t>
  </si>
  <si>
    <t>31000310123379096000000000000000</t>
  </si>
  <si>
    <t>31000348727291020000000000000000</t>
  </si>
  <si>
    <t>7402296034</t>
  </si>
  <si>
    <t>31000339696307020000000000000000</t>
  </si>
  <si>
    <t>31000352770724020000000000000000</t>
  </si>
  <si>
    <t>7401782041</t>
  </si>
  <si>
    <t>31000322785232020000000000000000</t>
  </si>
  <si>
    <t>31000330727473020000000000000000</t>
  </si>
  <si>
    <t>5100281203</t>
  </si>
  <si>
    <t>31000314631998020000000000000000</t>
  </si>
  <si>
    <t>31000345238102020000000000000000</t>
  </si>
  <si>
    <t>8040717782</t>
  </si>
  <si>
    <t>31000801924164096000000000000000</t>
  </si>
  <si>
    <t>31000349063159020000000000000000</t>
  </si>
  <si>
    <t>7401783861</t>
  </si>
  <si>
    <t>31000354461041020000000000000000</t>
  </si>
  <si>
    <t>31000355044754020000000000000000</t>
  </si>
  <si>
    <t>7402200734</t>
  </si>
  <si>
    <t>31000342749127020000000000000000</t>
  </si>
  <si>
    <t>31000346430914020000000000000000</t>
  </si>
  <si>
    <t>2101566542</t>
  </si>
  <si>
    <t>31000357776429020000000000000000</t>
  </si>
  <si>
    <t>31000349887284020000000000000000</t>
  </si>
  <si>
    <t>8028775078</t>
  </si>
  <si>
    <t>31000346300539020000000000000000</t>
  </si>
  <si>
    <t>31000349923600020000000000000000</t>
  </si>
  <si>
    <t>8022744709</t>
  </si>
  <si>
    <t>31204402869941020000000000000000</t>
  </si>
  <si>
    <t>31000357590564020000000000000000</t>
  </si>
  <si>
    <t>7402353341</t>
  </si>
  <si>
    <t>31000050563013001000000000000000</t>
  </si>
  <si>
    <t>31000343125608020000000000000000</t>
  </si>
  <si>
    <t>2100755980</t>
  </si>
  <si>
    <t>31000351207058020000000000000000</t>
  </si>
  <si>
    <t>31000353470167020000000000000000</t>
  </si>
  <si>
    <t>7402540306</t>
  </si>
  <si>
    <t>31000354818042020000000000000000</t>
  </si>
  <si>
    <t>31000336124865020000000000000000</t>
  </si>
  <si>
    <t>7400393889</t>
  </si>
  <si>
    <t>31000802647013020000000000000000</t>
  </si>
  <si>
    <t>31000334746990020000000000000000</t>
  </si>
  <si>
    <t>7400819987</t>
  </si>
  <si>
    <t>31000326647545020000000000000000</t>
  </si>
  <si>
    <t>31000310876547096000000000000000</t>
  </si>
  <si>
    <t>7401437334</t>
  </si>
  <si>
    <t>31000029926439001000000000000000</t>
  </si>
  <si>
    <t>31000313662738096000000000000000</t>
  </si>
  <si>
    <t>9000551323</t>
  </si>
  <si>
    <t>31000355785547020000000000000000</t>
  </si>
  <si>
    <t>31000350135896020000000000000000</t>
  </si>
  <si>
    <t>7401869291</t>
  </si>
  <si>
    <t>31000353430997020000000000000000</t>
  </si>
  <si>
    <t>31000023153878001000000000000000</t>
  </si>
  <si>
    <t>8045679851</t>
  </si>
  <si>
    <t>31000317355057096000000000000000</t>
  </si>
  <si>
    <t>31000032364179001000000000000000</t>
  </si>
  <si>
    <t>7401956065</t>
  </si>
  <si>
    <t>31000351352615020000000000000000</t>
  </si>
  <si>
    <t>7402228308</t>
  </si>
  <si>
    <t>31000323948516020000000000000000</t>
  </si>
  <si>
    <t>31000348781488020000000000000000</t>
  </si>
  <si>
    <t>8042333107</t>
  </si>
  <si>
    <t>31000342278093020000000000000000</t>
  </si>
  <si>
    <t>31000354660717020000000000000000</t>
  </si>
  <si>
    <t>2101804382</t>
  </si>
  <si>
    <t>31000009094126001000000000000000</t>
  </si>
  <si>
    <t>31000053192015020000000000000000</t>
  </si>
  <si>
    <t>8045439383</t>
  </si>
  <si>
    <t>31000314157340096000000000000000</t>
  </si>
  <si>
    <t>31000355032577020000000000000000</t>
  </si>
  <si>
    <t>7402260666</t>
  </si>
  <si>
    <t>31000051902076020000000000000000</t>
  </si>
  <si>
    <t>31000051122345020000000000000000</t>
  </si>
  <si>
    <t>7401589008</t>
  </si>
  <si>
    <t>31000351847903020000000000000000</t>
  </si>
  <si>
    <t>31000350048636020000000000000000</t>
  </si>
  <si>
    <t>2100842891</t>
  </si>
  <si>
    <t>31000338920898020000000000000000</t>
  </si>
  <si>
    <t>2101628182</t>
  </si>
  <si>
    <t>5100211575</t>
  </si>
  <si>
    <t>7401060237</t>
  </si>
  <si>
    <t>31000348070015020000000000000000</t>
  </si>
  <si>
    <t>8028982371</t>
  </si>
  <si>
    <t>31000339006150020000000000000000</t>
  </si>
  <si>
    <t>7401720195</t>
  </si>
  <si>
    <t>31000345086758020000000000000000</t>
  </si>
  <si>
    <t>31000352846409020000000000000000</t>
  </si>
  <si>
    <t>5100458163</t>
  </si>
  <si>
    <t>31000804642137020000000000000000</t>
  </si>
  <si>
    <t>31000346703757020000000000000000</t>
  </si>
  <si>
    <t>7400192520</t>
  </si>
  <si>
    <t>31000311754545096000000000000000</t>
  </si>
  <si>
    <t>31000350507219020000000000000000</t>
  </si>
  <si>
    <t>9001660088</t>
  </si>
  <si>
    <t>31232100638357020000000000000000</t>
  </si>
  <si>
    <t>8046449296</t>
  </si>
  <si>
    <t>7402072849</t>
  </si>
  <si>
    <t>31000317296450020000000000000000</t>
  </si>
  <si>
    <t>31000339611900020000000000000000</t>
  </si>
  <si>
    <t>2991004633</t>
  </si>
  <si>
    <t>31000314585763096000000000000000</t>
  </si>
  <si>
    <t>8028843023</t>
  </si>
  <si>
    <t>31000312812763096000000000000000</t>
  </si>
  <si>
    <t>31000338207726020000000000000000</t>
  </si>
  <si>
    <t>7401660609</t>
  </si>
  <si>
    <t>31000344171767020000000000000000</t>
  </si>
  <si>
    <t>2101136383</t>
  </si>
  <si>
    <t>31000322266753020000000000000000</t>
  </si>
  <si>
    <t>31000351598050020000000000000000</t>
  </si>
  <si>
    <t>7401954313</t>
  </si>
  <si>
    <t>31005118663930011674800200000001</t>
  </si>
  <si>
    <t>31000317962234020000000000000000</t>
  </si>
  <si>
    <t>7402031513</t>
  </si>
  <si>
    <t>31000040557285001000000000000000</t>
  </si>
  <si>
    <t>31000349666886020000000000000000</t>
  </si>
  <si>
    <t>7401876834</t>
  </si>
  <si>
    <t>31000337540416020000000000000000</t>
  </si>
  <si>
    <t>31000352283108020000000000000000</t>
  </si>
  <si>
    <t>9001703628</t>
  </si>
  <si>
    <t>31000032142808001000000000000000</t>
  </si>
  <si>
    <t>31003181614510011001732200000001</t>
  </si>
  <si>
    <t>8046587934</t>
  </si>
  <si>
    <t>31000346304952020000000000000000</t>
  </si>
  <si>
    <t>31000352952918020000000000000000</t>
  </si>
  <si>
    <t>8044586888</t>
  </si>
  <si>
    <t>31000805323398020000000000000000</t>
  </si>
  <si>
    <t>31000346490025020000000000000000</t>
  </si>
  <si>
    <t>7402668446</t>
  </si>
  <si>
    <t>31000313198659096000000000000000</t>
  </si>
  <si>
    <t>31000351164325020000000000000000</t>
  </si>
  <si>
    <t>0000049471</t>
  </si>
  <si>
    <t>31003198182320011598665200000001</t>
  </si>
  <si>
    <t>31000313101521096000000000000000</t>
  </si>
  <si>
    <t>8046360288</t>
  </si>
  <si>
    <t>31000350446756020000000000000000</t>
  </si>
  <si>
    <t>8045679977</t>
  </si>
  <si>
    <t>31000346690780020000000000000000</t>
  </si>
  <si>
    <t>8010203929</t>
  </si>
  <si>
    <t>31000300080456096000000000000000</t>
  </si>
  <si>
    <t>31000009464475001000000000000000</t>
  </si>
  <si>
    <t>7401984089</t>
  </si>
  <si>
    <t>31000310972727020000000000000000</t>
  </si>
  <si>
    <t>31000806037393020000000000000000</t>
  </si>
  <si>
    <t>7401856062</t>
  </si>
  <si>
    <t>31000359428094020000000000000000</t>
  </si>
  <si>
    <t>7400662380</t>
  </si>
  <si>
    <t>31000314353015020000000000000000</t>
  </si>
  <si>
    <t>31000352155660020000000000000000</t>
  </si>
  <si>
    <t>7402003662</t>
  </si>
  <si>
    <t>31000051735997020000000000000000</t>
  </si>
  <si>
    <t>31000352068640020000000000000000</t>
  </si>
  <si>
    <t>8041884013</t>
  </si>
  <si>
    <t>31000352989100020000000000000000</t>
  </si>
  <si>
    <t>8017775580</t>
  </si>
  <si>
    <t>31000346209672020000000000000000</t>
  </si>
  <si>
    <t>8046582097</t>
  </si>
  <si>
    <t>31000357413502020000000000000000</t>
  </si>
  <si>
    <t>5100670700</t>
  </si>
  <si>
    <t>31000350063510020000000000000000</t>
  </si>
  <si>
    <t>31000320802179020000000000000000</t>
  </si>
  <si>
    <t>7401889807</t>
  </si>
  <si>
    <t>31000321733407020000000000000000</t>
  </si>
  <si>
    <t>31003196759910011524323500000001</t>
  </si>
  <si>
    <t>7402076941</t>
  </si>
  <si>
    <t>31000352276011020000000000000000</t>
  </si>
  <si>
    <t>31000355370613020000000000000000</t>
  </si>
  <si>
    <t>7400215083</t>
  </si>
  <si>
    <t>31003199529750011542949000000001</t>
  </si>
  <si>
    <t>31000318206896020000000000000000</t>
  </si>
  <si>
    <t>8025446620</t>
  </si>
  <si>
    <t>31000023975647001000000000000000</t>
  </si>
  <si>
    <t>7401855375</t>
  </si>
  <si>
    <t>31000055894592020000000000000000</t>
  </si>
  <si>
    <t>31238103495163020000000000000000</t>
  </si>
  <si>
    <t>7402375697</t>
  </si>
  <si>
    <t>31000802177540020000000000000000</t>
  </si>
  <si>
    <t>31217402201975020000000000000000</t>
  </si>
  <si>
    <t>5100286132</t>
  </si>
  <si>
    <t>31000352481140020000000000000000</t>
  </si>
  <si>
    <t>7400602111</t>
  </si>
  <si>
    <t>31000324147522020000000000000000</t>
  </si>
  <si>
    <t>2100634129</t>
  </si>
  <si>
    <t>31000343054469020000000000000000</t>
  </si>
  <si>
    <t>31000805946768020000000000000000</t>
  </si>
  <si>
    <t>7400212725</t>
  </si>
  <si>
    <t>31000349140262020000000000000000</t>
  </si>
  <si>
    <t>31000317946930020000000000000000</t>
  </si>
  <si>
    <t>7400485821</t>
  </si>
  <si>
    <t>31000315267841096000000000000000</t>
  </si>
  <si>
    <t>7401236117</t>
  </si>
  <si>
    <t>31000316662743096000000000000000</t>
  </si>
  <si>
    <t>31000050138741001000000000000000</t>
  </si>
  <si>
    <t>8028727310</t>
  </si>
  <si>
    <t>31005124606470011559638400000001</t>
  </si>
  <si>
    <t>7401371866</t>
  </si>
  <si>
    <t>31000320486882020000000000000000</t>
  </si>
  <si>
    <t>31000338934881020000000000000000</t>
  </si>
  <si>
    <t>7402097743</t>
  </si>
  <si>
    <t>31000353168605020000000000000000</t>
  </si>
  <si>
    <t>7401533299</t>
  </si>
  <si>
    <t>31000314875207020000000000000000</t>
  </si>
  <si>
    <t>31000351970416020000000000000000</t>
  </si>
  <si>
    <t>8025392373</t>
  </si>
  <si>
    <t>31000332944126020000000000000000</t>
  </si>
  <si>
    <t>8014101386</t>
  </si>
  <si>
    <t>31000318183813096000000000000000</t>
  </si>
  <si>
    <t>31000314032113096000000000000000</t>
  </si>
  <si>
    <t>8046352185</t>
  </si>
  <si>
    <t>31000311675286096000000000000000</t>
  </si>
  <si>
    <t>7402185833</t>
  </si>
  <si>
    <t>31000313476733096000000000000000</t>
  </si>
  <si>
    <t>31000806809338020000000000000000</t>
  </si>
  <si>
    <t>7401807881</t>
  </si>
  <si>
    <t>31000352444445020000000000000000</t>
  </si>
  <si>
    <t>31000316949224020000000000000000</t>
  </si>
  <si>
    <t>7402187512</t>
  </si>
  <si>
    <t>31000302352309096000000000000000</t>
  </si>
  <si>
    <t>9002179279</t>
  </si>
  <si>
    <t>31000343639269020000000000000000</t>
  </si>
  <si>
    <t>31000322944904020000000000000000</t>
  </si>
  <si>
    <t>7402138321</t>
  </si>
  <si>
    <t>31000312251996096000000000000000</t>
  </si>
  <si>
    <t>31000007709936001000000000000000</t>
  </si>
  <si>
    <t>7401379039</t>
  </si>
  <si>
    <t>31000346591277020000000000000000</t>
  </si>
  <si>
    <t>7401273130</t>
  </si>
  <si>
    <t>31000028462087001000000000000000</t>
  </si>
  <si>
    <t>31000340841728020000000000000000</t>
  </si>
  <si>
    <t>9002050755</t>
  </si>
  <si>
    <t>31000346751665020000000000000000</t>
  </si>
  <si>
    <t>31000348360333020000000000000000</t>
  </si>
  <si>
    <t>7401822601</t>
  </si>
  <si>
    <t>31000354730460020000000000000000</t>
  </si>
  <si>
    <t>31000352016714020000000000000000</t>
  </si>
  <si>
    <t>7401657533</t>
  </si>
  <si>
    <t>31000349130883020000000000000000</t>
  </si>
  <si>
    <t>2100276786</t>
  </si>
  <si>
    <t>31000354044136020000000000000000</t>
  </si>
  <si>
    <t>31000346361499020000000000000000</t>
  </si>
  <si>
    <t>7400165884</t>
  </si>
  <si>
    <t>31000006852315021000000000000000</t>
  </si>
  <si>
    <t>8029014919</t>
  </si>
  <si>
    <t>31000351851392020000000000000000</t>
  </si>
  <si>
    <t>3761003104</t>
  </si>
  <si>
    <t>31000342935973020000000000000000</t>
  </si>
  <si>
    <t>1700203517</t>
  </si>
  <si>
    <t>31000335686419020000000000000000</t>
  </si>
  <si>
    <t>8042557575</t>
  </si>
  <si>
    <t>31000305090492096000000000000000</t>
  </si>
  <si>
    <t>31000344957256020000000000000000</t>
  </si>
  <si>
    <t>8002022577</t>
  </si>
  <si>
    <t>31000313370829096000000000000000</t>
  </si>
  <si>
    <t>31000600541690096000000000000000</t>
  </si>
  <si>
    <t>7400117092</t>
  </si>
  <si>
    <t>31000801223733020000000000000000</t>
  </si>
  <si>
    <t>31000351515963020000000000000000</t>
  </si>
  <si>
    <t>8016828538</t>
  </si>
  <si>
    <t>31000353566568020000000000000000</t>
  </si>
  <si>
    <t>31000346848743020000000000000000</t>
  </si>
  <si>
    <t>9002391681</t>
  </si>
  <si>
    <t>31000310375730096000000000000000</t>
  </si>
  <si>
    <t>31000054543612020000000000000000</t>
  </si>
  <si>
    <t>2101317569</t>
  </si>
  <si>
    <t>31000352255130020000000000000000</t>
  </si>
  <si>
    <t>7402235339</t>
  </si>
  <si>
    <t>31000303567863096000000000000000</t>
  </si>
  <si>
    <t>31000353404570020000000000000000</t>
  </si>
  <si>
    <t>2701001008</t>
  </si>
  <si>
    <t>31000804154034020000000000000000</t>
  </si>
  <si>
    <t>7400212710</t>
  </si>
  <si>
    <t>31000040509205001000000000000000</t>
  </si>
  <si>
    <t>31000054601790020000000000000000</t>
  </si>
  <si>
    <t>9000693406</t>
  </si>
  <si>
    <t>31000023557035001000000000000000</t>
  </si>
  <si>
    <t>31000807123143020000000000000000</t>
  </si>
  <si>
    <t>5100441362</t>
  </si>
  <si>
    <t>31000329064839020000000000000000</t>
  </si>
  <si>
    <t>31000316509671020000000000000000</t>
  </si>
  <si>
    <t>8030190205</t>
  </si>
  <si>
    <t>7401448920</t>
  </si>
  <si>
    <t>31000008656327021000000000000000</t>
  </si>
  <si>
    <t>31000352980455020000000000000000</t>
  </si>
  <si>
    <t>7401926795</t>
  </si>
  <si>
    <t>31000806627649020000000000000000</t>
  </si>
  <si>
    <t>7400774526</t>
  </si>
  <si>
    <t>31000318541357097000000000000000</t>
  </si>
  <si>
    <t>31000050848700020000000000000000</t>
  </si>
  <si>
    <t>8007563300</t>
  </si>
  <si>
    <t>31000335035237020000000000000000</t>
  </si>
  <si>
    <t>31000357462244020000000000000000</t>
  </si>
  <si>
    <t>2101705991</t>
  </si>
  <si>
    <t>31000316304171096000000000000000</t>
  </si>
  <si>
    <t>8046331050</t>
  </si>
  <si>
    <t>31000314428817020000000000000000</t>
  </si>
  <si>
    <t>31000318061077020000000000000000</t>
  </si>
  <si>
    <t>7401785999</t>
  </si>
  <si>
    <t>31000600541807096000000000000000</t>
  </si>
  <si>
    <t>31000343454842020000000000000000</t>
  </si>
  <si>
    <t>7401889248</t>
  </si>
  <si>
    <t>31000312585948096000000000000000</t>
  </si>
  <si>
    <t>31000337176633020000000000000000</t>
  </si>
  <si>
    <t>8027737446</t>
  </si>
  <si>
    <t>31000342464107020000000000000000</t>
  </si>
  <si>
    <t>31000352096666020000000000000000</t>
  </si>
  <si>
    <t>7401923194</t>
  </si>
  <si>
    <t>31000351428647020000000000000000</t>
  </si>
  <si>
    <t>8038894052</t>
  </si>
  <si>
    <t>31000323780844020000000000000000</t>
  </si>
  <si>
    <t>31000008178066001000000000000000</t>
  </si>
  <si>
    <t>7401829024</t>
  </si>
  <si>
    <t>31003126064400011594199200000001</t>
  </si>
  <si>
    <t>31000325328865020000000000000000</t>
  </si>
  <si>
    <t>7401956054</t>
  </si>
  <si>
    <t>31000805077184020000000000000000</t>
  </si>
  <si>
    <t>31000355827018020000000000000000</t>
  </si>
  <si>
    <t>9000543620</t>
  </si>
  <si>
    <t>31000051138382020000000000000000</t>
  </si>
  <si>
    <t>31000351971422020000000000000000</t>
  </si>
  <si>
    <t>3531010256</t>
  </si>
  <si>
    <t>31000348641534020000000000000000</t>
  </si>
  <si>
    <t>31000344073450020000000000000000</t>
  </si>
  <si>
    <t>7401431461</t>
  </si>
  <si>
    <t>31000350697267020000000000000000</t>
  </si>
  <si>
    <t>8045715805</t>
  </si>
  <si>
    <t>31000037600280001000000000000000</t>
  </si>
  <si>
    <t>31000349253966020000000000000000</t>
  </si>
  <si>
    <t>8042708267</t>
  </si>
  <si>
    <t>31000351357937020000000000000000</t>
  </si>
  <si>
    <t>31000348718423020000000000000000</t>
  </si>
  <si>
    <t>7402225806</t>
  </si>
  <si>
    <t>31000349671571020000000000000000</t>
  </si>
  <si>
    <t>7401799641</t>
  </si>
  <si>
    <t>31000001870685001000000000000000</t>
  </si>
  <si>
    <t>31000040670296001000000000000000</t>
  </si>
  <si>
    <t>7402277751</t>
  </si>
  <si>
    <t>31000312206651096000000000000000</t>
  </si>
  <si>
    <t>7402021280</t>
  </si>
  <si>
    <t>31000321924170020000000000000000</t>
  </si>
  <si>
    <t>31000352258217020000000000000000</t>
  </si>
  <si>
    <t>7401829052</t>
  </si>
  <si>
    <t>31035300200043076000000000000000</t>
  </si>
  <si>
    <t>31000353155834020000000000000000</t>
  </si>
  <si>
    <t>7402009181</t>
  </si>
  <si>
    <t>31003173465540011671762500000001</t>
  </si>
  <si>
    <t>31000346417689020000000000000000</t>
  </si>
  <si>
    <t>5100473347</t>
  </si>
  <si>
    <t>31000041363772001000000000000000</t>
  </si>
  <si>
    <t>31000319408938096000000000000000</t>
  </si>
  <si>
    <t>7401984081</t>
  </si>
  <si>
    <t>31000039440801001000000000000000</t>
  </si>
  <si>
    <t>31000030661377001000000000000000</t>
  </si>
  <si>
    <t>7400849221</t>
  </si>
  <si>
    <t>31000352524014020000000000000000</t>
  </si>
  <si>
    <t>31000353312328020000000000000000</t>
  </si>
  <si>
    <t>8046541511</t>
  </si>
  <si>
    <t>31000348948632020000000000000000</t>
  </si>
  <si>
    <t>7401528856</t>
  </si>
  <si>
    <t>31000040424297001000000000000000</t>
  </si>
  <si>
    <t>9002309895</t>
  </si>
  <si>
    <t>31000041326751001000000000000000</t>
  </si>
  <si>
    <t>7402291909</t>
  </si>
  <si>
    <t>7400715209</t>
  </si>
  <si>
    <t>31000053213217020000000000000000</t>
  </si>
  <si>
    <t>7401900990</t>
  </si>
  <si>
    <t>31202102102119020000000000000000</t>
  </si>
  <si>
    <t>31000803409397020000000000000000</t>
  </si>
  <si>
    <t>7400165895</t>
  </si>
  <si>
    <t>31000340035537020000000000000000</t>
  </si>
  <si>
    <t>8018409399</t>
  </si>
  <si>
    <t>31000324894859020000000000000000</t>
  </si>
  <si>
    <t>31000347374772020000000000000000</t>
  </si>
  <si>
    <t>7402129955</t>
  </si>
  <si>
    <t>31000053308496020000000000000000</t>
  </si>
  <si>
    <t>31000007506316001000000000000000</t>
  </si>
  <si>
    <t>7400396572</t>
  </si>
  <si>
    <t>31000312726724096000000000000000</t>
  </si>
  <si>
    <t>3411002130</t>
  </si>
  <si>
    <t>31000314944201020000000000000000</t>
  </si>
  <si>
    <t>7402129938</t>
  </si>
  <si>
    <t>31000344024339020000000000000000</t>
  </si>
  <si>
    <t>31003197837870011598371100000001</t>
  </si>
  <si>
    <t>7401009385</t>
  </si>
  <si>
    <t>31000310522253090069729980100000</t>
  </si>
  <si>
    <t>31000007719709001000000000000000</t>
  </si>
  <si>
    <t>8002279851</t>
  </si>
  <si>
    <t>31000353441259020000000000000000</t>
  </si>
  <si>
    <t>8006745818</t>
  </si>
  <si>
    <t>2101059848</t>
  </si>
  <si>
    <t>31003172530080011610847200000001</t>
  </si>
  <si>
    <t>31000344304434020000000000000000</t>
  </si>
  <si>
    <t>8026718912</t>
  </si>
  <si>
    <t>31000350997840020000000000000000</t>
  </si>
  <si>
    <t>31000346160768020000000000000000</t>
  </si>
  <si>
    <t>1700061195</t>
  </si>
  <si>
    <t>31000322431589020000000000000000</t>
  </si>
  <si>
    <t>8021397390</t>
  </si>
  <si>
    <t>2101114153</t>
  </si>
  <si>
    <t>31000353536892020000000000000000</t>
  </si>
  <si>
    <t>31000339725510020000000000000000</t>
  </si>
  <si>
    <t>7401660610</t>
  </si>
  <si>
    <t>31000038409379001000000000000000</t>
  </si>
  <si>
    <t>31000346175741020000000000000000</t>
  </si>
  <si>
    <t>3671003747</t>
  </si>
  <si>
    <t>31000321457510020000000000000000</t>
  </si>
  <si>
    <t>31003196469490011646212200000001</t>
  </si>
  <si>
    <t>7400917422</t>
  </si>
  <si>
    <t>31000312483533020000000000000000</t>
  </si>
  <si>
    <t>7400917373</t>
  </si>
  <si>
    <t>31000344557221020000000000000000</t>
  </si>
  <si>
    <t>31000356271091020000000000000000</t>
  </si>
  <si>
    <t>7401354796</t>
  </si>
  <si>
    <t>31000029216709001000000000000000</t>
  </si>
  <si>
    <t>7400973324</t>
  </si>
  <si>
    <t>31000804334214020000000000000000</t>
  </si>
  <si>
    <t>9000681498</t>
  </si>
  <si>
    <t>31000316532235096000000000000000</t>
  </si>
  <si>
    <t>31000321094339020000000000000000</t>
  </si>
  <si>
    <t>8006443814</t>
  </si>
  <si>
    <t>31000346282513020000000000000000</t>
  </si>
  <si>
    <t>31000100202299598000000000000000</t>
  </si>
  <si>
    <t>7401515250</t>
  </si>
  <si>
    <t>31038600200039918000000000000000</t>
  </si>
  <si>
    <t>31000317044009020000000000000000</t>
  </si>
  <si>
    <t>2101668070</t>
  </si>
  <si>
    <t>31000314775464020000000000000000</t>
  </si>
  <si>
    <t>31000352010121020000000000000000</t>
  </si>
  <si>
    <t>8023448326</t>
  </si>
  <si>
    <t>31000346408050020000000000000000</t>
  </si>
  <si>
    <t>31000323578420020000000000000000</t>
  </si>
  <si>
    <t>7400782762</t>
  </si>
  <si>
    <t>31000352226156020000000000000000</t>
  </si>
  <si>
    <t>7400988410</t>
  </si>
  <si>
    <t>31036700200021973000000000000000</t>
  </si>
  <si>
    <t>31000353102547020000000000000000</t>
  </si>
  <si>
    <t>7402121538</t>
  </si>
  <si>
    <t>7402069045</t>
  </si>
  <si>
    <t>31000322835557020000000000000000</t>
  </si>
  <si>
    <t>7400713563</t>
  </si>
  <si>
    <t>31000323198534020000000000000000</t>
  </si>
  <si>
    <t>31000351419323020000000000000000</t>
  </si>
  <si>
    <t>2100270397</t>
  </si>
  <si>
    <t>31000318513382020000000000000000</t>
  </si>
  <si>
    <t>31000055470443020000000000000000</t>
  </si>
  <si>
    <t>7400352378</t>
  </si>
  <si>
    <t>31000348194211020000000000000000</t>
  </si>
  <si>
    <t>7400305977</t>
  </si>
  <si>
    <t>31000006501552001000000000000000</t>
  </si>
  <si>
    <t>31000800768902020000000000000000</t>
  </si>
  <si>
    <t>1700007378</t>
  </si>
  <si>
    <t>31000343791417020000000000000000</t>
  </si>
  <si>
    <t>31000351195162020000000000000000</t>
  </si>
  <si>
    <t>7401221741</t>
  </si>
  <si>
    <t>31000311444105096000000000000000</t>
  </si>
  <si>
    <t>7402130534</t>
  </si>
  <si>
    <t>31000029707183001000000000000000</t>
  </si>
  <si>
    <t>7400395945</t>
  </si>
  <si>
    <t>31000323416761020000000000000000</t>
  </si>
  <si>
    <t>9001919479</t>
  </si>
  <si>
    <t>31000329365509020000000000000000</t>
  </si>
  <si>
    <t>31000317715813096000000000000000</t>
  </si>
  <si>
    <t>7400317501</t>
  </si>
  <si>
    <t>31000041402078039000000000000000</t>
  </si>
  <si>
    <t>9000734663</t>
  </si>
  <si>
    <t>31000352381670020000000000000000</t>
  </si>
  <si>
    <t>7401392776</t>
  </si>
  <si>
    <t>31000350720416020000000000000000</t>
  </si>
  <si>
    <t>9002317774</t>
  </si>
  <si>
    <t>31000807314098020000000000000000</t>
  </si>
  <si>
    <t>31000802790409020000000000000000</t>
  </si>
  <si>
    <t>7400339353</t>
  </si>
  <si>
    <t>31000313697312096000000000000000</t>
  </si>
  <si>
    <t>31000032294931001000000000000000</t>
  </si>
  <si>
    <t>2101237952</t>
  </si>
  <si>
    <t>31000316024341020000000000000000</t>
  </si>
  <si>
    <t>31000321039151020000000000000000</t>
  </si>
  <si>
    <t>2101813339</t>
  </si>
  <si>
    <t>31000352194255020000000000000000</t>
  </si>
  <si>
    <t>7401970877</t>
  </si>
  <si>
    <t>31000336992998020000000000000000</t>
  </si>
  <si>
    <t>31000054255928020000000000000000</t>
  </si>
  <si>
    <t>7401326001</t>
  </si>
  <si>
    <t>31000315885915096000000000000000</t>
  </si>
  <si>
    <t>31000349322951020000000000000000</t>
  </si>
  <si>
    <t>7400978785</t>
  </si>
  <si>
    <t>31000352490489020000000000000000</t>
  </si>
  <si>
    <t>7400210970</t>
  </si>
  <si>
    <t>31000318096858096000000000000000</t>
  </si>
  <si>
    <t>7401453845</t>
  </si>
  <si>
    <t>31000348709497020000000000000000</t>
  </si>
  <si>
    <t>31000348511646020000000000000000</t>
  </si>
  <si>
    <t>7400204683</t>
  </si>
  <si>
    <t>31000002793659001000000000000000</t>
  </si>
  <si>
    <t>31000318600907096000000000000000</t>
  </si>
  <si>
    <t>7401274227</t>
  </si>
  <si>
    <t>31000341318080020000000000000000</t>
  </si>
  <si>
    <t>31000321510201020000000000000000</t>
  </si>
  <si>
    <t>8043515308</t>
  </si>
  <si>
    <t>31000306429509096000000000000000</t>
  </si>
  <si>
    <t>31000335878883020000000000000000</t>
  </si>
  <si>
    <t>3651000603</t>
  </si>
  <si>
    <t>31000316409161020000000000000000</t>
  </si>
  <si>
    <t>31000331964299020000000000000000</t>
  </si>
  <si>
    <t>8046358492</t>
  </si>
  <si>
    <t>31000336365039020000000000000000</t>
  </si>
  <si>
    <t>31212702436157020000000000000000</t>
  </si>
  <si>
    <t>9000468430</t>
  </si>
  <si>
    <t>31000315022147096000000000000000</t>
  </si>
  <si>
    <t>2521004288</t>
  </si>
  <si>
    <t>31000352012150020000000000000000</t>
  </si>
  <si>
    <t>31000335065416020000000000000000</t>
  </si>
  <si>
    <t>2101588824</t>
  </si>
  <si>
    <t>31000310518875096000000000000000</t>
  </si>
  <si>
    <t>31237703468523020000000000000000</t>
  </si>
  <si>
    <t>8046581970</t>
  </si>
  <si>
    <t>31000313441661096000000000000000</t>
  </si>
  <si>
    <t>8011529843</t>
  </si>
  <si>
    <t>31000358584871020000000000000000</t>
  </si>
  <si>
    <t>31000321782248020000000000000000</t>
  </si>
  <si>
    <t>7400614242</t>
  </si>
  <si>
    <t>31000342577411020000000000000000</t>
  </si>
  <si>
    <t>31000351461762020000000000000000</t>
  </si>
  <si>
    <t>7402327555</t>
  </si>
  <si>
    <t>31000314796627020000000000000000</t>
  </si>
  <si>
    <t>31000352616521020000000000000000</t>
  </si>
  <si>
    <t>5100530448</t>
  </si>
  <si>
    <t>31000338671160020000000000000000</t>
  </si>
  <si>
    <t>31003184870890011666837500000001</t>
  </si>
  <si>
    <t>7402168227</t>
  </si>
  <si>
    <t>31000325616319020000000000000000</t>
  </si>
  <si>
    <t>9002050751</t>
  </si>
  <si>
    <t>31000100202415731000000000000000</t>
  </si>
  <si>
    <t>9002179277</t>
  </si>
  <si>
    <t>31000040959387001000000000000000</t>
  </si>
  <si>
    <t>31000341724352020000000000000000</t>
  </si>
  <si>
    <t>2101172628</t>
  </si>
  <si>
    <t>31000340737322020000000000000000</t>
  </si>
  <si>
    <t>7401431533</t>
  </si>
  <si>
    <t>31000352310539020000000000000000</t>
  </si>
  <si>
    <t>7401869667</t>
  </si>
  <si>
    <t>7402292894</t>
  </si>
  <si>
    <t>2100613928</t>
  </si>
  <si>
    <t>31003198627560011660851900000001</t>
  </si>
  <si>
    <t>31000806639396020000000000000000</t>
  </si>
  <si>
    <t>7400810389</t>
  </si>
  <si>
    <t>7401494273</t>
  </si>
  <si>
    <t>31005122230480011717269100000001</t>
  </si>
  <si>
    <t>0000171118</t>
  </si>
  <si>
    <t>31000355578082020000000000000000</t>
  </si>
  <si>
    <t>31003191838470011690612200000001</t>
  </si>
  <si>
    <t>7402471169</t>
  </si>
  <si>
    <t>31000353428439020000000000000000</t>
  </si>
  <si>
    <t>7400200788</t>
  </si>
  <si>
    <t>31218802058870020000000000000000</t>
  </si>
  <si>
    <t>8046466079</t>
  </si>
  <si>
    <t>31000349765399020000000000000000</t>
  </si>
  <si>
    <t>7400204670</t>
  </si>
  <si>
    <t>31000348909170020000000000000000</t>
  </si>
  <si>
    <t>7401980222</t>
  </si>
  <si>
    <t>31000349491046020000000000000000</t>
  </si>
  <si>
    <t>7401926552</t>
  </si>
  <si>
    <t>31000344448405020000000000000000</t>
  </si>
  <si>
    <t>31000351672236020000000000000000</t>
  </si>
  <si>
    <t>1700018624</t>
  </si>
  <si>
    <t>31000350308378020000000000000000</t>
  </si>
  <si>
    <t>31000334231605020000000000000000</t>
  </si>
  <si>
    <t>8032631500</t>
  </si>
  <si>
    <t>31000354936190020000000000000000</t>
  </si>
  <si>
    <t>31000338777710020000000000000000</t>
  </si>
  <si>
    <t>7400177818</t>
  </si>
  <si>
    <t>31000351723807020000000000000000</t>
  </si>
  <si>
    <t>7401649882</t>
  </si>
  <si>
    <t>31000353141511020000000000000000</t>
  </si>
  <si>
    <t>8031162631</t>
  </si>
  <si>
    <t>31000343348200020000000000000000</t>
  </si>
  <si>
    <t>8004061495</t>
  </si>
  <si>
    <t>31000100201589114000000000000000</t>
  </si>
  <si>
    <t>31000351980845020000000000000000</t>
  </si>
  <si>
    <t>9000028984</t>
  </si>
  <si>
    <t>31000358010125020000000000000000</t>
  </si>
  <si>
    <t>31000354874250020000000000000000</t>
  </si>
  <si>
    <t>1700141938</t>
  </si>
  <si>
    <t>31000314735682020000000000000000</t>
  </si>
  <si>
    <t>7400608664</t>
  </si>
  <si>
    <t>31000053098881020000000000000000</t>
  </si>
  <si>
    <t>31000352064425020000000000000000</t>
  </si>
  <si>
    <t>7401664035</t>
  </si>
  <si>
    <t>31000346995429020000000000000000</t>
  </si>
  <si>
    <t>8012985821</t>
  </si>
  <si>
    <t>31000352099785020000000000000000</t>
  </si>
  <si>
    <t>31215104088790020000000000000000</t>
  </si>
  <si>
    <t>5100528309</t>
  </si>
  <si>
    <t>31000351423127020000000000000000</t>
  </si>
  <si>
    <t>8011662178</t>
  </si>
  <si>
    <t>31025300200040249000000000000000</t>
  </si>
  <si>
    <t>7401914492</t>
  </si>
  <si>
    <t>31000352129905020000000000000000</t>
  </si>
  <si>
    <t>8014453059</t>
  </si>
  <si>
    <t>31000313650528020000000000000000</t>
  </si>
  <si>
    <t>8041324100</t>
  </si>
  <si>
    <t>31000344103398020000000000000000</t>
  </si>
  <si>
    <t>31000350952472020000000000000000</t>
  </si>
  <si>
    <t>2101830654</t>
  </si>
  <si>
    <t>31000351210185020000000000000000</t>
  </si>
  <si>
    <t>7401560109</t>
  </si>
  <si>
    <t>31000309913384096000000000000000</t>
  </si>
  <si>
    <t>31000801547875020000000000000000</t>
  </si>
  <si>
    <t>7401544727</t>
  </si>
  <si>
    <t>7400418461</t>
  </si>
  <si>
    <t>31000318260091020000000000000000</t>
  </si>
  <si>
    <t>31000317460718020000000000000000</t>
  </si>
  <si>
    <t>8022401594</t>
  </si>
  <si>
    <t>31000337420858020000000000000000</t>
  </si>
  <si>
    <t>31000317680223096000000000000000</t>
  </si>
  <si>
    <t>9002499112</t>
  </si>
  <si>
    <t>31000346365581020000000000000000</t>
  </si>
  <si>
    <t>31000803971099020000000000000000</t>
  </si>
  <si>
    <t>7401768649</t>
  </si>
  <si>
    <t>31005127091720011648617400000001</t>
  </si>
  <si>
    <t>8030844126</t>
  </si>
  <si>
    <t>31000340497034020000000000000000</t>
  </si>
  <si>
    <t>9002423621</t>
  </si>
  <si>
    <t>31000021511780001000000000000000</t>
  </si>
  <si>
    <t>31000352147436020000000000000000</t>
  </si>
  <si>
    <t>31000353346086020000000000000000</t>
  </si>
  <si>
    <t>31000321171889020000000000000000</t>
  </si>
  <si>
    <t>31000312863568096000000000000000</t>
  </si>
  <si>
    <t>31000313538128096000000000000000</t>
  </si>
  <si>
    <t>31000344351740020000000000000000</t>
  </si>
  <si>
    <t>31000351627867020000000000000000</t>
  </si>
  <si>
    <t>31000352500238020000000000000000</t>
  </si>
  <si>
    <t>31000324267379020000000000000000</t>
  </si>
  <si>
    <t>31000352956299020000000000000000</t>
  </si>
  <si>
    <t>31000323367105020000000000000000</t>
  </si>
  <si>
    <t>31000341147018020000000000000000</t>
  </si>
  <si>
    <t>31214201713092020000000000000000</t>
  </si>
  <si>
    <t>31000312274618096000000000000000</t>
  </si>
  <si>
    <t>31000337572617020000000000000000</t>
  </si>
  <si>
    <t>31000349234487020000000000000000</t>
  </si>
  <si>
    <t>31000331027980020000000000000000</t>
  </si>
  <si>
    <t>31000341391459020000000000000000</t>
  </si>
  <si>
    <t>31000806352255020000000000000000</t>
  </si>
  <si>
    <t>31000345527389020000000000000000</t>
  </si>
  <si>
    <t>31000347516752020000000000000000</t>
  </si>
  <si>
    <t>31000336673259020000000000000000</t>
  </si>
  <si>
    <t>31000351545564020000000000000000</t>
  </si>
  <si>
    <t>31000353154274020000000000000000</t>
  </si>
  <si>
    <t>31000039863463001000000000000000</t>
  </si>
  <si>
    <t>31000346110516020000000000000000</t>
  </si>
  <si>
    <t>31000352870458020000000000000000</t>
  </si>
  <si>
    <t>31000318372219020000000000000000</t>
  </si>
  <si>
    <t>31210302776025020000000000000000</t>
  </si>
  <si>
    <t>31000335306158020000000000000000</t>
  </si>
  <si>
    <t>31000352443710020000000000000000</t>
  </si>
  <si>
    <t>31000318563849097000000000000000</t>
  </si>
  <si>
    <t>31000806651417020000000000000000</t>
  </si>
  <si>
    <t>31000346693115020000000000000000</t>
  </si>
  <si>
    <t>31003180007110011601254500000001</t>
  </si>
  <si>
    <t>31000353300786020000000000000000</t>
  </si>
  <si>
    <t>31000353379541020000000000000000</t>
  </si>
  <si>
    <t>31000323159122020000000000000000</t>
  </si>
  <si>
    <t>31000326926451020000000000000000</t>
  </si>
  <si>
    <t>31000041232501001000000000000000</t>
  </si>
  <si>
    <t>31000348230122020000000000000000</t>
  </si>
  <si>
    <t>31000319111954020000000000000000</t>
  </si>
  <si>
    <t>31000347348461020000000000000000</t>
  </si>
  <si>
    <t>31000352441060020000000000000000</t>
  </si>
  <si>
    <t>31000333070624020000000000000000</t>
  </si>
  <si>
    <t>31000340079790020000000000000000</t>
  </si>
  <si>
    <t>31000350043546020000000000000000</t>
  </si>
  <si>
    <t>31000350312388020000000000000000</t>
  </si>
  <si>
    <t>31000345791720020000000000000000</t>
  </si>
  <si>
    <t>31000807229023020000000000000000</t>
  </si>
  <si>
    <t>31000336707412020000000000000000</t>
  </si>
  <si>
    <t>31000351625663020000000000000000</t>
  </si>
  <si>
    <t>31000348652523020000000000000000</t>
  </si>
  <si>
    <t>31000003225515001000000000000000</t>
  </si>
  <si>
    <t>31000349695968020000000000000000</t>
  </si>
  <si>
    <t>31000351796399020000000000000000</t>
  </si>
  <si>
    <t>31000352305091020000000000000000</t>
  </si>
  <si>
    <t>31202600017078020000000000000000</t>
  </si>
  <si>
    <t>31000024318759001000000000000000</t>
  </si>
  <si>
    <t>31000353301024020000000000000000</t>
  </si>
  <si>
    <t>31000050899045001000000000000000</t>
  </si>
  <si>
    <t>31000350216274020000000000000000</t>
  </si>
  <si>
    <t>31000318202200020000000000000000</t>
  </si>
  <si>
    <t>31000318209626096000000000000000</t>
  </si>
  <si>
    <t>31000335699255020000000000000000</t>
  </si>
  <si>
    <t>31000321395637020000000000000000</t>
  </si>
  <si>
    <t>31000353181533020000000000000000</t>
  </si>
  <si>
    <t>31000350435510020000000000000000</t>
  </si>
  <si>
    <t>31000342114108020000000000000000</t>
  </si>
  <si>
    <t>31000354657044020000000000000000</t>
  </si>
  <si>
    <t>31000353771598020000000000000000</t>
  </si>
  <si>
    <t>31000345916285020000000000000000</t>
  </si>
  <si>
    <t>31000349378649020000000000000000</t>
  </si>
  <si>
    <t>31000340935355020000000000000000</t>
  </si>
  <si>
    <t>31000349527575020000000000000000</t>
  </si>
  <si>
    <t>31000330688584020000000000000000</t>
  </si>
  <si>
    <t>31000352370863020000000000000000</t>
  </si>
  <si>
    <t>31000349745391020000000000000000</t>
  </si>
  <si>
    <t>31000802485737020000000000000000</t>
  </si>
  <si>
    <t>31000803608758020000000000000000</t>
  </si>
  <si>
    <t>31000041266640001000000000000000</t>
  </si>
  <si>
    <t>31000051550340001000000000000000</t>
  </si>
  <si>
    <t>31000807163545020000000000000000</t>
  </si>
  <si>
    <t>31000353857587020000000000000000</t>
  </si>
  <si>
    <t>31000325488024020000000000000000</t>
  </si>
  <si>
    <t>31000318504837020000000000000000</t>
  </si>
  <si>
    <t>31000352955689020000000000000000</t>
  </si>
  <si>
    <t>31000345745338020000000000000000</t>
  </si>
  <si>
    <t>31000347705025020000000000000000</t>
  </si>
  <si>
    <t>31200605212775020000000000000000</t>
  </si>
  <si>
    <t>31000801606382020000000000000000</t>
  </si>
  <si>
    <t>31000030125856001000000000000000</t>
  </si>
  <si>
    <t>31000313614664020000000000000000</t>
  </si>
  <si>
    <t>31000348839229020000000000000000</t>
  </si>
  <si>
    <t>31000350397892020000000000000000</t>
  </si>
  <si>
    <t>31000352127693020000000000000000</t>
  </si>
  <si>
    <t>31000315921199096000000000000000</t>
  </si>
  <si>
    <t>31000313982053020000000000000000</t>
  </si>
  <si>
    <t>31211506235279020000000000000000</t>
  </si>
  <si>
    <t>31000353398871020000000000000000</t>
  </si>
  <si>
    <t>31000321206487020000000000000000</t>
  </si>
  <si>
    <t>31000327771336020000000000000000</t>
  </si>
  <si>
    <t>31000353438768020000000000000000</t>
  </si>
  <si>
    <t>31000339531892020000000000000000</t>
  </si>
  <si>
    <t>31000344008688020000000000000000</t>
  </si>
  <si>
    <t>31000340874455020000000000000000</t>
  </si>
  <si>
    <t>31000345045150020000000000000000</t>
  </si>
  <si>
    <t>31204501343606020000000000000000</t>
  </si>
  <si>
    <t>31000348948160020000000000000000</t>
  </si>
  <si>
    <t>31000344744563020000000000000000</t>
  </si>
  <si>
    <t>31000345672482020000000000000000</t>
  </si>
  <si>
    <t>31000323861834020000000000000000</t>
  </si>
  <si>
    <t>31000348351118020000000000000000</t>
  </si>
  <si>
    <t>31000348872147020000000000000000</t>
  </si>
  <si>
    <t>31000325380890020000000000000000</t>
  </si>
  <si>
    <t>31000054151861020000000000000000</t>
  </si>
  <si>
    <t>31222401760446020000000000000000</t>
  </si>
  <si>
    <t>31000314277239096000000000000000</t>
  </si>
  <si>
    <t>31000321158472020000000000000000</t>
  </si>
  <si>
    <t>31000356839533020000000000000000</t>
  </si>
  <si>
    <t>31000323570682020000000000000000</t>
  </si>
  <si>
    <t>31000100202180087000000000000000</t>
  </si>
  <si>
    <t>31000352751120020000000000000000</t>
  </si>
  <si>
    <t>31000351331320020000000000000000</t>
  </si>
  <si>
    <t>31000351321420020000000000000000</t>
  </si>
  <si>
    <t>31000055624882020000000000000000</t>
  </si>
  <si>
    <t>31000006012843001000000000000000</t>
  </si>
  <si>
    <t>31000347297536020000000000000000</t>
  </si>
  <si>
    <t>31000339062492020000000000000000</t>
  </si>
  <si>
    <t>31000349177876020000000000000000</t>
  </si>
  <si>
    <t>31000312655683096000000000000000</t>
  </si>
  <si>
    <t>31000352899408020000000000000000</t>
  </si>
  <si>
    <t>31000352464427020000000000000000</t>
  </si>
  <si>
    <t>31003194629730011523511300000001</t>
  </si>
  <si>
    <t>31000010721785541000000000000000</t>
  </si>
  <si>
    <t>31000347961560020000000000000000</t>
  </si>
  <si>
    <t>31000336696813020000000000000000</t>
  </si>
  <si>
    <t>31000348518567020000000000000000</t>
  </si>
  <si>
    <t>31000349052905020000000000000000</t>
  </si>
  <si>
    <t>31000336407591020000000000000000</t>
  </si>
  <si>
    <t>31005126225400011688994700000001</t>
  </si>
  <si>
    <t>31000352237666020000000000000000</t>
  </si>
  <si>
    <t>31000800483188096000000000000000</t>
  </si>
  <si>
    <t>31000351301455020000000000000000</t>
  </si>
  <si>
    <t>31000806838295020000000000000000</t>
  </si>
  <si>
    <t>31000315394992020000000000000000</t>
  </si>
  <si>
    <t>31000352367778020000000000000000</t>
  </si>
  <si>
    <t>31000804472253020000000000000000</t>
  </si>
  <si>
    <t>31000312235809096000000000000000</t>
  </si>
  <si>
    <t>31000347334297020000000000000000</t>
  </si>
  <si>
    <t>31000053067050020000000000000000</t>
  </si>
  <si>
    <t>31000331224819020000000000000000</t>
  </si>
  <si>
    <t>31000347099312020000000000000000</t>
  </si>
  <si>
    <t>31000352046760020000000000000000</t>
  </si>
  <si>
    <t>31000350201011020000000000000000</t>
  </si>
  <si>
    <t>31000336438091020000000000000000</t>
  </si>
  <si>
    <t>31000346990610020000000000000000</t>
  </si>
  <si>
    <t>31000351095370020000000000000000</t>
  </si>
  <si>
    <t>31000319252500096000000000000000</t>
  </si>
  <si>
    <t>31000327314418020000000000000000</t>
  </si>
  <si>
    <t>31000353003984020000000000000000</t>
  </si>
  <si>
    <t>31000349811193020000000000000000</t>
  </si>
  <si>
    <t>31000350188218020000000000000000</t>
  </si>
  <si>
    <t>31000344796258020000000000000000</t>
  </si>
  <si>
    <t>31000340034324020000000000000000</t>
  </si>
  <si>
    <t>31000349036064020000000000000000</t>
  </si>
  <si>
    <t>31000352366283020000000000000000</t>
  </si>
  <si>
    <t>31000801091999020000000000000000</t>
  </si>
  <si>
    <t>31000323987019020000000000000000</t>
  </si>
  <si>
    <t>31000322760029020000000000000000</t>
  </si>
  <si>
    <t>31000804839782020000000000000000</t>
  </si>
  <si>
    <t>31000318209247020000000000000000</t>
  </si>
  <si>
    <t>31000353314092020000000000000000</t>
  </si>
  <si>
    <t>31000351399079020000000000000000</t>
  </si>
  <si>
    <t>31000352040755020000000000000000</t>
  </si>
  <si>
    <t>31000806269293020000000000000000</t>
  </si>
  <si>
    <t>31000336388866020000000000000000</t>
  </si>
  <si>
    <t>31000350158120020000000000000000</t>
  </si>
  <si>
    <t>31000352276193020000000000000000</t>
  </si>
  <si>
    <t>31000352922150020000000000000000</t>
  </si>
  <si>
    <t>31000341904038020000000000000000</t>
  </si>
  <si>
    <t>31000345192853020000000000000000</t>
  </si>
  <si>
    <t>31000352265725020000000000000000</t>
  </si>
  <si>
    <t>31000346968343020000000000000000</t>
  </si>
  <si>
    <t>31000349493877020000000000000000</t>
  </si>
  <si>
    <t>31000305788103096000000000000000</t>
  </si>
  <si>
    <t>31005123240900011624671700000001</t>
  </si>
  <si>
    <t>31000350178821020000000000000000</t>
  </si>
  <si>
    <t>31000353639555020000000000000000</t>
  </si>
  <si>
    <t>31000340128118020000000000000000</t>
  </si>
  <si>
    <t>31000346322004020000000000000000</t>
  </si>
  <si>
    <t>31000353043360020000000000000000</t>
  </si>
  <si>
    <t>31000345114139020000000000000000</t>
  </si>
  <si>
    <t>31000351639839020000000000000000</t>
  </si>
  <si>
    <t>31000352533783020000000000000000</t>
  </si>
  <si>
    <t>31000342741306020000000000000000</t>
  </si>
  <si>
    <t>31005126943370011629937300000001</t>
  </si>
  <si>
    <t>31000340312175020000000000000000</t>
  </si>
  <si>
    <t>31000352155785020000000000000000</t>
  </si>
  <si>
    <t>31000340729923020000000000000000</t>
  </si>
  <si>
    <t>31000312918354096000000000000000</t>
  </si>
  <si>
    <t>31000353125548020000000000000000</t>
  </si>
  <si>
    <t>31000343644921020000000000000000</t>
  </si>
  <si>
    <t>31000353410650020000000000000000</t>
  </si>
  <si>
    <t>31000350722669020000000000000000</t>
  </si>
  <si>
    <t>31000352380474020000000000000000</t>
  </si>
  <si>
    <t>31003187410880011561660100000001</t>
  </si>
  <si>
    <t>31000021230456001000000000000000</t>
  </si>
  <si>
    <t>31000338865044020000000000000000</t>
  </si>
  <si>
    <t>31000351103935020000000000000000</t>
  </si>
  <si>
    <t>31000343317742020000000000000000</t>
  </si>
  <si>
    <t>31000807185415020000000000000000</t>
  </si>
  <si>
    <t>31000351638252020000000000000000</t>
  </si>
  <si>
    <t>31000352117710020000000000000000</t>
  </si>
  <si>
    <t>31000348104889020000000000000000</t>
  </si>
  <si>
    <t>31000352607405020000000000000000</t>
  </si>
  <si>
    <t>31000352627361020000000000000000</t>
  </si>
  <si>
    <t>31000356814320020000000000000000</t>
  </si>
  <si>
    <t>31000339332937020000000000000000</t>
  </si>
  <si>
    <t>31000351840031020000000000000000</t>
  </si>
  <si>
    <t>31000333918350020000000000000000</t>
  </si>
  <si>
    <t>31000346387668020000000000000000</t>
  </si>
  <si>
    <t>31000352356128020000000000000000</t>
  </si>
  <si>
    <t>31000807279978020000000000000000</t>
  </si>
  <si>
    <t>31000348588156020000000000000000</t>
  </si>
  <si>
    <t>31000349554033020000000000000000</t>
  </si>
  <si>
    <t>31000352596186020000000000000000</t>
  </si>
  <si>
    <t>31000353396958020000000000000000</t>
  </si>
  <si>
    <t>31003158088470011125690500000001</t>
  </si>
  <si>
    <t>31000345653706020000000000000000</t>
  </si>
  <si>
    <t>31000337251725020000000000000000</t>
  </si>
  <si>
    <t>31228800871512020000000000000000</t>
  </si>
  <si>
    <t>31000348042428020000000000000000</t>
  </si>
  <si>
    <t>31225104055177020000000000000000</t>
  </si>
  <si>
    <t>31000317526856020000000000000000</t>
  </si>
  <si>
    <t>31000804633029020000000000000000</t>
  </si>
  <si>
    <t>31000344787695020000000000000000</t>
  </si>
  <si>
    <t>31000352659539020000000000000000</t>
  </si>
  <si>
    <t>31000353671574020000000000000000</t>
  </si>
  <si>
    <t>31000332360596020000000000000000</t>
  </si>
  <si>
    <t>31000347357736020000000000000000</t>
  </si>
  <si>
    <t>31000348824304020000000000000000</t>
  </si>
  <si>
    <t>31000351598506020000000000000000</t>
  </si>
  <si>
    <t>31000352897303020000000000000000</t>
  </si>
  <si>
    <t>31000310552438020000000000000000</t>
  </si>
  <si>
    <t>31000004288606001000000000000000</t>
  </si>
  <si>
    <t>31000100202208698000000000000000</t>
  </si>
  <si>
    <t>31000323055924020000000000000000</t>
  </si>
  <si>
    <t>31000348137160020000000000000000</t>
  </si>
  <si>
    <t>31000355813372020000000000000000</t>
  </si>
  <si>
    <t>31000344235398020000000000000000</t>
  </si>
  <si>
    <t>31000351296796020000000000000000</t>
  </si>
  <si>
    <t>31000344949105020000000000000000</t>
  </si>
  <si>
    <t>31000041167960035000000000000000</t>
  </si>
  <si>
    <t>31000800399567020000000000000000</t>
  </si>
  <si>
    <t>31000350260264020000000000000000</t>
  </si>
  <si>
    <t>31000040245482001000000000000000</t>
  </si>
  <si>
    <t>31000806869381020000000000000000</t>
  </si>
  <si>
    <t>31000802147527020000000000000000</t>
  </si>
  <si>
    <t>31005119867120011629251000000001</t>
  </si>
  <si>
    <t>31000348058267020000000000000000</t>
  </si>
  <si>
    <t>31000316175753096000000000000000</t>
  </si>
  <si>
    <t>31000322418487020000000000000000</t>
  </si>
  <si>
    <t>31000807700403020000000000000000</t>
  </si>
  <si>
    <t>31000327140383020000000000000000</t>
  </si>
  <si>
    <t>31000352300134020000000000000000</t>
  </si>
  <si>
    <t>31000332162406020000000000000000</t>
  </si>
  <si>
    <t>31000344294437020000000000000000</t>
  </si>
  <si>
    <t>31000352220035020000000000000000</t>
  </si>
  <si>
    <t>31000313066047096000000000000000</t>
  </si>
  <si>
    <t>31000349077985020000000000000000</t>
  </si>
  <si>
    <t>31000337680519020000000000000000</t>
  </si>
  <si>
    <t>31000029416152001000000000000000</t>
  </si>
  <si>
    <t>31000805942213020000000000000000</t>
  </si>
  <si>
    <t>31000349705767020000000000000000</t>
  </si>
  <si>
    <t>31005122431670011632139300000001</t>
  </si>
  <si>
    <t>31000806307788020000000000000000</t>
  </si>
  <si>
    <t>31000346246450020000000000000000</t>
  </si>
  <si>
    <t>31000335516806020000000000000000</t>
  </si>
  <si>
    <t>31000801641041020000000000000000</t>
  </si>
  <si>
    <t>31000349735616020000000000000000</t>
  </si>
  <si>
    <t>31000806110562020000000000000000</t>
  </si>
  <si>
    <t>31000040660205001000000000000000</t>
  </si>
  <si>
    <t>31000334860239020000000000000000</t>
  </si>
  <si>
    <t>31000345174448020000000000000000</t>
  </si>
  <si>
    <t>31000347424635020000000000000000</t>
  </si>
  <si>
    <t>31000323272339020000000000000000</t>
  </si>
  <si>
    <t>31000352299104020000000000000000</t>
  </si>
  <si>
    <t>31000352481496020000000000000000</t>
  </si>
  <si>
    <t>31000351305613020000000000000000</t>
  </si>
  <si>
    <t>31000352393659020000000000000000</t>
  </si>
  <si>
    <t>31000337124484020000000000000000</t>
  </si>
  <si>
    <t>31000344462109020000000000000000</t>
  </si>
  <si>
    <t>31000315896920096000000000000000</t>
  </si>
  <si>
    <t>31000806634181020000000000000000</t>
  </si>
  <si>
    <t>31000328224228020000000000000000</t>
  </si>
  <si>
    <t>31000315930570096000000000000000</t>
  </si>
  <si>
    <t>31000206287384001000000000000000</t>
  </si>
  <si>
    <t>31000352139573020000000000000000</t>
  </si>
  <si>
    <t>31000351215937020000000000000000</t>
  </si>
  <si>
    <t>31000346382594020000000000000000</t>
  </si>
  <si>
    <t>31000317563610020000000000000000</t>
  </si>
  <si>
    <t>31000352370764020000000000000000</t>
  </si>
  <si>
    <t>31000350382704020000000000000000</t>
  </si>
  <si>
    <t>31000353337218020000000000000000</t>
  </si>
  <si>
    <t>31000352188463020000000000000000</t>
  </si>
  <si>
    <t>31000802136165020000000000000000</t>
  </si>
  <si>
    <t>31000338920518020000000000000000</t>
  </si>
  <si>
    <t>31000343790567020000000000000000</t>
  </si>
  <si>
    <t>31000351171023020000000000000000</t>
  </si>
  <si>
    <t>31000333335308020000000000000000</t>
  </si>
  <si>
    <t>31000347207485020000000000000000</t>
  </si>
  <si>
    <t>31000805596662020000000000000000</t>
  </si>
  <si>
    <t>31000806299498020000000000000000</t>
  </si>
  <si>
    <t>31000345055944020000000000000000</t>
  </si>
  <si>
    <t>31000352904828020000000000000000</t>
  </si>
  <si>
    <t>31000351519734020000000000000000</t>
  </si>
  <si>
    <t>31000317735464096000000000000000</t>
  </si>
  <si>
    <t>31000351707925020000000000000000</t>
  </si>
  <si>
    <t>31000324942674020000000000000000</t>
  </si>
  <si>
    <t>31000354853601020000000000000000</t>
  </si>
  <si>
    <t>31000352289329020000000000000000</t>
  </si>
  <si>
    <t>31000353059945020000000000000000</t>
  </si>
  <si>
    <t>31000321050745020000000000000000</t>
  </si>
  <si>
    <t>31000351808202020000000000000000</t>
  </si>
  <si>
    <t>31000351903870020000000000000000</t>
  </si>
  <si>
    <t>31000352266640020000000000000000</t>
  </si>
  <si>
    <t>31000352265691020000000000000000</t>
  </si>
  <si>
    <t>31000319635978020000000000000000</t>
  </si>
  <si>
    <t>31000348015135020000000000000000</t>
  </si>
  <si>
    <t>31000807176984020000000000000000</t>
  </si>
  <si>
    <t>31000322191407020000000000000000</t>
  </si>
  <si>
    <t>31000330280432020000000000000000</t>
  </si>
  <si>
    <t>31000343397710020000000000000000</t>
  </si>
  <si>
    <t>31000349686165020000000000000000</t>
  </si>
  <si>
    <t>31005122422690011671150000000001</t>
  </si>
  <si>
    <t>31000011017787541000000000000000</t>
  </si>
  <si>
    <t>31000359004952020000000000000000</t>
  </si>
  <si>
    <t>31000353044996020000000000000000</t>
  </si>
  <si>
    <t>31000351934297020000000000000000</t>
  </si>
  <si>
    <t>31000356725518020000000000000000</t>
  </si>
  <si>
    <t>31000345728813020000000000000000</t>
  </si>
  <si>
    <t>31000345049053020000000000000000</t>
  </si>
  <si>
    <t>31233501061047020000000000000000</t>
  </si>
  <si>
    <t>31000318555854020000000000000000</t>
  </si>
  <si>
    <t>31000344840965020000000000000000</t>
  </si>
  <si>
    <t>31000337529427020000000000000000</t>
  </si>
  <si>
    <t>31000353251831020000000000000000</t>
  </si>
  <si>
    <t>31237500631382020000000000000000</t>
  </si>
  <si>
    <t>31000352118783020000000000000000</t>
  </si>
  <si>
    <t>31000040570757001000000000000000</t>
  </si>
  <si>
    <t>31000802488160020000000000000000</t>
  </si>
  <si>
    <t>31000329597333020000000000000000</t>
  </si>
  <si>
    <t>31000310033123096000000000000000</t>
  </si>
  <si>
    <t>31000351833697020000000000000000</t>
  </si>
  <si>
    <t>31000802838398020000000000000000</t>
  </si>
  <si>
    <t>31000353400248020000000000000000</t>
  </si>
  <si>
    <t>31000359267708020000000000000000</t>
  </si>
  <si>
    <t>31000332935306020000000000000000</t>
  </si>
  <si>
    <t>31000350690247020000000000000000</t>
  </si>
  <si>
    <t>31000338865127020000000000000000</t>
  </si>
  <si>
    <t>31000347579743020000000000000000</t>
  </si>
  <si>
    <t>31000342659284020000000000000000</t>
  </si>
  <si>
    <t>31000344842904020000000000000000</t>
  </si>
  <si>
    <t>31000348408843020000000000000000</t>
  </si>
  <si>
    <t>31030800200000336000000000000000</t>
  </si>
  <si>
    <t>31000341248766020000000000000000</t>
  </si>
  <si>
    <t>31000339271853020000000000000000</t>
  </si>
  <si>
    <t>31000806174626020000000000000000</t>
  </si>
  <si>
    <t>31000354325584020000000000000000</t>
  </si>
  <si>
    <t>31000350112747020000000000000000</t>
  </si>
  <si>
    <t>31005126589610011660299500000001</t>
  </si>
  <si>
    <t>31000050227155001000000000000000</t>
  </si>
  <si>
    <t>31000314971450096000000000000000</t>
  </si>
  <si>
    <t>31000352333879020000000000000000</t>
  </si>
  <si>
    <t>31000356325731020000000000000000</t>
  </si>
  <si>
    <t>31000601485079096000000000000000</t>
  </si>
  <si>
    <t>31000322718258020000000000000000</t>
  </si>
  <si>
    <t>31000348330666020000000000000000</t>
  </si>
  <si>
    <t>31000327540368020000000000000000</t>
  </si>
  <si>
    <t>31000805487078020000000000000000</t>
  </si>
  <si>
    <t>31000341700733020000000000000000</t>
  </si>
  <si>
    <t>31000343676436020000000000000000</t>
  </si>
  <si>
    <t>31000349089618020000000000000000</t>
  </si>
  <si>
    <t>31000342511030020000000000000000</t>
  </si>
  <si>
    <t>31000355148530020000000000000000</t>
  </si>
  <si>
    <t>31000803706875020000000000000000</t>
  </si>
  <si>
    <t>31000343629427020000000000000000</t>
  </si>
  <si>
    <t>31000322172969020000000000000000</t>
  </si>
  <si>
    <t>31000352100484020000000000000000</t>
  </si>
  <si>
    <t>31000321958103020000000000000000</t>
  </si>
  <si>
    <t>31000346705299020000000000000000</t>
  </si>
  <si>
    <t>82000000008039452000530000706972</t>
  </si>
  <si>
    <t>31000315109837096000000000000000</t>
  </si>
  <si>
    <t>31000342452995020000000000000000</t>
  </si>
  <si>
    <t>31000344924421020000000000000000</t>
  </si>
  <si>
    <t>31000324919706020000000000000000</t>
  </si>
  <si>
    <t>31000352625555020000000000000000</t>
  </si>
  <si>
    <t>31000340067449020000000000000000</t>
  </si>
  <si>
    <t>31000344731891020000000000000000</t>
  </si>
  <si>
    <t>31000352680717020000000000000000</t>
  </si>
  <si>
    <t>31000340667719020000000000000000</t>
  </si>
  <si>
    <t>31000356534365020000000000000000</t>
  </si>
  <si>
    <t>31000006327324021000000000000000</t>
  </si>
  <si>
    <t>31000318285162096000000000000000</t>
  </si>
  <si>
    <t>31000317230236020000000000000000</t>
  </si>
  <si>
    <t>31000009873714021000000000000000</t>
  </si>
  <si>
    <t>31000350373158020000000000000000</t>
  </si>
  <si>
    <t>31000353239323020000000000000000</t>
  </si>
  <si>
    <t>31000353426672020000000000000000</t>
  </si>
  <si>
    <t>31003189428430011657625500000001</t>
  </si>
  <si>
    <t>31000326443713020000000000000000</t>
  </si>
  <si>
    <t>31000348559686020000000000000000</t>
  </si>
  <si>
    <t>31000344424422020000000000000000</t>
  </si>
  <si>
    <t>31000351446060020000000000000000</t>
  </si>
  <si>
    <t>31000341301516020000000000000000</t>
  </si>
  <si>
    <t>31000353206421020000000000000000</t>
  </si>
  <si>
    <t>31000352968187020000000000000000</t>
  </si>
  <si>
    <t>31000000124596001000000000000000</t>
  </si>
  <si>
    <t>31000348629216020000000000000000</t>
  </si>
  <si>
    <t>31000351646404020000000000000000</t>
  </si>
  <si>
    <t>31000353410569020000000000000000</t>
  </si>
  <si>
    <t>31000316585275020000000000000000</t>
  </si>
  <si>
    <t>31005128509500011673246800000001</t>
  </si>
  <si>
    <t>31000352944626020000000000000000</t>
  </si>
  <si>
    <t>31000344377448020000000000000000</t>
  </si>
  <si>
    <t>31000315156390096000000000000000</t>
  </si>
  <si>
    <t>31000800724699020000000000000000</t>
  </si>
  <si>
    <t>31000349589211020000000000000000</t>
  </si>
  <si>
    <t>31000206958977001000000000000000</t>
  </si>
  <si>
    <t>31000333971318020000000000000000</t>
  </si>
  <si>
    <t>31000334471045020000000000000000</t>
  </si>
  <si>
    <t>31000348752497020000000000000000</t>
  </si>
  <si>
    <t>31000334461046020000000000000000</t>
  </si>
  <si>
    <t>31000350414788020000000000000000</t>
  </si>
  <si>
    <t>31000360251980020000000000000000</t>
  </si>
  <si>
    <t>31000355931422020000000000000000</t>
  </si>
  <si>
    <t>31000348601207020000000000000000</t>
  </si>
  <si>
    <t>31000350662337020000000000000000</t>
  </si>
  <si>
    <t>31000349345598020000000000000000</t>
  </si>
  <si>
    <t>31000351637270020000000000000000</t>
  </si>
  <si>
    <t>31000318285154096000000000000000</t>
  </si>
  <si>
    <t>31000344479343020000000000000000</t>
  </si>
  <si>
    <t>31000347165451020000000000000000</t>
  </si>
  <si>
    <t>31000344940708020000000000000000</t>
  </si>
  <si>
    <t>31000353002945020000000000000000</t>
  </si>
  <si>
    <t>31000352751492020000000000000000</t>
  </si>
  <si>
    <t>31000344545218020000000000000000</t>
  </si>
  <si>
    <t>31000054521725020000000000000000</t>
  </si>
  <si>
    <t>31000324476236020000000000000000</t>
  </si>
  <si>
    <t>31000041133973001000000000000000</t>
  </si>
  <si>
    <t>31000337646650020000000000000000</t>
  </si>
  <si>
    <t>31000321401955020000000000000000</t>
  </si>
  <si>
    <t>31000055546069020000000000000000</t>
  </si>
  <si>
    <t>31000326031575020000000000000000</t>
  </si>
  <si>
    <t>31000346996559020000000000000000</t>
  </si>
  <si>
    <t>31000349039449020000000000000000</t>
  </si>
  <si>
    <t>31000356057029020000000000000000</t>
  </si>
  <si>
    <t>31003193405360011685014100000001</t>
  </si>
  <si>
    <t>31000310296035096000000000000000</t>
  </si>
  <si>
    <t>31000326357111020000000000000000</t>
  </si>
  <si>
    <t>31005123545560011654157300000001</t>
  </si>
  <si>
    <t>31000352045010020000000000000000</t>
  </si>
  <si>
    <t>31000347080577020000000000000000</t>
  </si>
  <si>
    <t>31000351936052020000000000000000</t>
  </si>
  <si>
    <t>31000807295024020000000000000000</t>
  </si>
  <si>
    <t>31000352983673020000000000000000</t>
  </si>
  <si>
    <t>31000313628573020000000000000000</t>
  </si>
  <si>
    <t>31000346408712020000000000000000</t>
  </si>
  <si>
    <t>31000346930665020000000000000000</t>
  </si>
  <si>
    <t>31000348139729020000000000000000</t>
  </si>
  <si>
    <t>31000352474111020000000000000000</t>
  </si>
  <si>
    <t>31000316175761096000000000000000</t>
  </si>
  <si>
    <t>31000312735253096000000000000000</t>
  </si>
  <si>
    <t>31000317999490096000000000000000</t>
  </si>
  <si>
    <t>31000353250890020000000000000000</t>
  </si>
  <si>
    <t>31000352403250020000000000000000</t>
  </si>
  <si>
    <t>31000356072127020000000000000000</t>
  </si>
  <si>
    <t>31000313293518096000000000000000</t>
  </si>
  <si>
    <t>31039000200029176000000000000000</t>
  </si>
  <si>
    <t>31000353258679020000000000000000</t>
  </si>
  <si>
    <t>31000343663426020000000000000000</t>
  </si>
  <si>
    <t>31000319226356020000000000000000</t>
  </si>
  <si>
    <t>31000325424920020000000000000000</t>
  </si>
  <si>
    <t>31000352269974020000000000000000</t>
  </si>
  <si>
    <t>31000349524283020000000000000000</t>
  </si>
  <si>
    <t>31022900200189913000000000000000</t>
  </si>
  <si>
    <t>31000353846440020000000000000000</t>
  </si>
  <si>
    <t>31000352159332020000000000000000</t>
  </si>
  <si>
    <t>31000314890643096000000000000000</t>
  </si>
  <si>
    <t>31000347459821020000000000000000</t>
  </si>
  <si>
    <t>31000803406484020000000000000000</t>
  </si>
  <si>
    <t>31000317291039096000000000000000</t>
  </si>
  <si>
    <t>31000349624943020000000000000000</t>
  </si>
  <si>
    <t>31000800575463020000000000000000</t>
  </si>
  <si>
    <t>31000329949823020000000000000000</t>
  </si>
  <si>
    <t>31000354490024020000000000000000</t>
  </si>
  <si>
    <t>31000322232276020000000000000000</t>
  </si>
  <si>
    <t>31000316694654096000000000000000</t>
  </si>
  <si>
    <t>31000351753697020000000000000000</t>
  </si>
  <si>
    <t>31000351679223020000000000000000</t>
  </si>
  <si>
    <t>31000352906724020000000000000000</t>
  </si>
  <si>
    <t>31005121318040011568159200000001</t>
  </si>
  <si>
    <t>31000312835336020000000000000000</t>
  </si>
  <si>
    <t>31000346405031020000000000000000</t>
  </si>
  <si>
    <t>31000351149623020000000000000000</t>
  </si>
  <si>
    <t>31003193778930011595553200000001</t>
  </si>
  <si>
    <t>31030900200004450000000000000000</t>
  </si>
  <si>
    <t>31000800543172020000000000000000</t>
  </si>
  <si>
    <t>31000350491588020000000000000000</t>
  </si>
  <si>
    <t>31003189188450011634144000000001</t>
  </si>
  <si>
    <t>31217602161505020000000000000000</t>
  </si>
  <si>
    <t>31000008955964021000000000000000</t>
  </si>
  <si>
    <t>31000351789352020000000000000000</t>
  </si>
  <si>
    <t>31000325834623020000000000000000</t>
  </si>
  <si>
    <t>31000350002625020000000000000000</t>
  </si>
  <si>
    <t>31000330136469020000000000000000</t>
  </si>
  <si>
    <t>31000347340922020000000000000000</t>
  </si>
  <si>
    <t>31000356262207020000000000000000</t>
  </si>
  <si>
    <t>31000032122100001000000000000000</t>
  </si>
  <si>
    <t>31000346845301020000000000000000</t>
  </si>
  <si>
    <t>31000347539861020000000000000000</t>
  </si>
  <si>
    <t>31210302839260020000000000000000</t>
  </si>
  <si>
    <t>31000352525680020000000000000000</t>
  </si>
  <si>
    <t>31000351771038020000000000000000</t>
  </si>
  <si>
    <t>31003184555680011573267500000001</t>
  </si>
  <si>
    <t>31000352835543020000000000000000</t>
  </si>
  <si>
    <t>31000349082787020000000000000000</t>
  </si>
  <si>
    <t>31000350331891020000000000000000</t>
  </si>
  <si>
    <t>31000318044172020000000000000000</t>
  </si>
  <si>
    <t>31000352290632020000000000000000</t>
  </si>
  <si>
    <t>31216803291654020000000000000000</t>
  </si>
  <si>
    <t>31003193435310011615753100000001</t>
  </si>
  <si>
    <t>31000351923704020000000000000000</t>
  </si>
  <si>
    <t>31000318566719097000000000000000</t>
  </si>
  <si>
    <t>31000346191557020000000000000000</t>
  </si>
  <si>
    <t>31000351814747020000000000000000</t>
  </si>
  <si>
    <t>31000352953569020000000000000000</t>
  </si>
  <si>
    <t>31000039685100001000000000000000</t>
  </si>
  <si>
    <t>31000346688800020000000000000000</t>
  </si>
  <si>
    <t>31000353471934020000000000000000</t>
  </si>
  <si>
    <t>31000326944579020000000000000000</t>
  </si>
  <si>
    <t>31000347517941020000000000000000</t>
  </si>
  <si>
    <t>31000352309788020000000000000000</t>
  </si>
  <si>
    <t>31000311850053096000000000000000</t>
  </si>
  <si>
    <t>31000332737876020000000000000000</t>
  </si>
  <si>
    <t>31000352261013020000000000000000</t>
  </si>
  <si>
    <t>31000352908373020000000000000000</t>
  </si>
  <si>
    <t>31000340645129020000000000000000</t>
  </si>
  <si>
    <t>31225203458552020000000000000000</t>
  </si>
  <si>
    <t>31000309918516096000000000000000</t>
  </si>
  <si>
    <t>31000353262069020000000000000000</t>
  </si>
  <si>
    <t>31000341320011020000000000000000</t>
  </si>
  <si>
    <t>31000352902822020000000000000000</t>
  </si>
  <si>
    <t>31000357829319020000000000000000</t>
  </si>
  <si>
    <t>31000355279822020000000000000000</t>
  </si>
  <si>
    <t>31000349651011020000000000000000</t>
  </si>
  <si>
    <t>31000357242067020000000000000000</t>
  </si>
  <si>
    <t>31000321547856020000000000000000</t>
  </si>
  <si>
    <t>31000351828895020000000000000000</t>
  </si>
  <si>
    <t>31000353391421020000000000000000</t>
  </si>
  <si>
    <t>31000326173054020000000000000000</t>
  </si>
  <si>
    <t>31000349901960020000000000000000</t>
  </si>
  <si>
    <t>31000321537543020000000000000000</t>
  </si>
  <si>
    <t>31000346431102020000000000000000</t>
  </si>
  <si>
    <t>31000339401237020000000000000000</t>
  </si>
  <si>
    <t>31000357441610020000000000000000</t>
  </si>
  <si>
    <t>31000353200630020000000000000000</t>
  </si>
  <si>
    <t>31000344343267020000000000000000</t>
  </si>
  <si>
    <t>31000352041449020000000000000000</t>
  </si>
  <si>
    <t>31000352312386020000000000000000</t>
  </si>
  <si>
    <t>31000335067610020000000000000000</t>
  </si>
  <si>
    <t>31000314994676096000000000000000</t>
  </si>
  <si>
    <t>31000343857655020000000000000000</t>
  </si>
  <si>
    <t>31000353432936020000000000000000</t>
  </si>
  <si>
    <t>31000340728925020000000000000000</t>
  </si>
  <si>
    <t>31000008897432021000000000000000</t>
  </si>
  <si>
    <t>31000041351241001000000000000000</t>
  </si>
  <si>
    <t>31000342426726020000000000000000</t>
  </si>
  <si>
    <t>31000351197283020000000000000000</t>
  </si>
  <si>
    <t>31000802280013020000000000000000</t>
  </si>
  <si>
    <t>31000336963486020000000000000000</t>
  </si>
  <si>
    <t>31000332569055020000000000000000</t>
  </si>
  <si>
    <t>31000055322792020000000000000000</t>
  </si>
  <si>
    <t>31000316802514020000000000000000</t>
  </si>
  <si>
    <t>31000346241568020000000000000000</t>
  </si>
  <si>
    <t>31000322023170020000000000000000</t>
  </si>
  <si>
    <t>31000349360654020000000000000000</t>
  </si>
  <si>
    <t>31000312921045020000000000000000</t>
  </si>
  <si>
    <t>31000343862622020000000000000000</t>
  </si>
  <si>
    <t>31000320774618020000000000000000</t>
  </si>
  <si>
    <t>31000353303129020000000000000000</t>
  </si>
  <si>
    <t>31000332290751020000000000000000</t>
  </si>
  <si>
    <t>31000334687327020000000000000000</t>
  </si>
  <si>
    <t>31000319408953096000000000000000</t>
  </si>
  <si>
    <t>31005125968080011666608000000001</t>
  </si>
  <si>
    <t>31000352596228020000000000000000</t>
  </si>
  <si>
    <t>31000806469422020000000000000000</t>
  </si>
  <si>
    <t>31000340733396020000000000000000</t>
  </si>
  <si>
    <t>31000352209822020000000000000000</t>
  </si>
  <si>
    <t>31000351174936020000000000000000</t>
  </si>
  <si>
    <t>31000807139057020000000000000000</t>
  </si>
  <si>
    <t>31003197933800011658382600000001</t>
  </si>
  <si>
    <t>31000357276701020000000000000000</t>
  </si>
  <si>
    <t>31003199003380011571749600000001</t>
  </si>
  <si>
    <t>31000352784105020000000000000000</t>
  </si>
  <si>
    <t>31000349673668020000000000000000</t>
  </si>
  <si>
    <t>31000346838272020000000000000000</t>
  </si>
  <si>
    <t>31000351696664020000000000000000</t>
  </si>
  <si>
    <t>31000343882463020000000000000000</t>
  </si>
  <si>
    <t>31000351882199020000000000000000</t>
  </si>
  <si>
    <t>31000352925005020000000000000000</t>
  </si>
  <si>
    <t>31000022584778001000000000000000</t>
  </si>
  <si>
    <t>31000802147576020000000000000000</t>
  </si>
  <si>
    <t>31000351846376020000000000000000</t>
  </si>
  <si>
    <t>31005126014380011548463300000001</t>
  </si>
  <si>
    <t>31000339449889020000000000000000</t>
  </si>
  <si>
    <t>31000351991685020000000000000000</t>
  </si>
  <si>
    <t>31000351924892020000000000000000</t>
  </si>
  <si>
    <t>31000801038262096000000000000000</t>
  </si>
  <si>
    <t>31000347155940020000000000000000</t>
  </si>
  <si>
    <t>31000351950301020000000000000000</t>
  </si>
  <si>
    <t>31000352167434020000000000000000</t>
  </si>
  <si>
    <t>31225701779347020000000000000000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</si>
</sst>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color theme="1"/>
      <name val="Santander Text"/>
      <family val="2"/>
    </font>
    <font>
      <sz val="11"/>
      <color theme="1"/>
      <name val="Santander Text"/>
      <family val="2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Santander Text"/>
      <family val="2"/>
    </font>
    <font>
      <sz val="11"/>
      <color theme="0"/>
      <name val="Santander Text"/>
      <family val="2"/>
    </font>
    <font>
      <i/>
      <sz val="11"/>
      <color theme="1"/>
      <name val="Santander Text"/>
      <family val="2"/>
    </font>
    <font>
      <b/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trike/>
      <sz val="11"/>
      <name val="Arial"/>
      <family val="2"/>
      <scheme val="minor"/>
    </font>
    <font>
      <sz val="12"/>
      <color theme="1"/>
      <name val="Santander Text"/>
      <family val="2"/>
    </font>
    <font>
      <b/>
      <sz val="12"/>
      <color theme="0"/>
      <name val="Santander Text"/>
      <family val="2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sz val="10"/>
      <color rgb="FF000000"/>
      <name val="Santander Text"/>
      <family val="2"/>
    </font>
    <font>
      <sz val="11"/>
      <color rgb="FF000000"/>
      <name val="Santander Text"/>
      <family val="2"/>
    </font>
    <font>
      <b/>
      <sz val="10"/>
      <color rgb="FF000000"/>
      <name val="Santander Text"/>
      <family val="2"/>
    </font>
    <font>
      <b/>
      <sz val="11"/>
      <color rgb="FF000000"/>
      <name val="Santander Text"/>
      <family val="2"/>
    </font>
    <font>
      <sz val="11"/>
      <color theme="0" tint="-4.9989318521683403E-2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i/>
      <sz val="10"/>
      <color theme="1"/>
      <name val="Santander Text"/>
      <family val="2"/>
    </font>
    <font>
      <b/>
      <i/>
      <sz val="11"/>
      <color theme="0"/>
      <name val="Santander Text"/>
      <family val="2"/>
    </font>
    <font>
      <sz val="10"/>
      <color rgb="FFFFF2CC"/>
      <name val="Santander Text"/>
      <family val="2"/>
    </font>
    <font>
      <b/>
      <i/>
      <sz val="11"/>
      <color rgb="FFFF0000"/>
      <name val="Santander Text"/>
      <family val="2"/>
    </font>
    <font>
      <b/>
      <u/>
      <sz val="12"/>
      <color theme="1"/>
      <name val="Santander Text"/>
      <family val="2"/>
    </font>
    <font>
      <b/>
      <sz val="20"/>
      <color rgb="FFFF0000"/>
      <name val="Santander Tex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CE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0" fillId="0" borderId="0" xfId="0" applyAlignment="1">
      <alignment horizontal="left" indent="3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5" xfId="0" applyFont="1" applyBorder="1"/>
    <xf numFmtId="0" fontId="0" fillId="2" borderId="6" xfId="0" applyFill="1" applyBorder="1"/>
    <xf numFmtId="0" fontId="0" fillId="2" borderId="6" xfId="0" quotePrefix="1" applyFill="1" applyBorder="1"/>
    <xf numFmtId="0" fontId="4" fillId="0" borderId="7" xfId="0" applyFont="1" applyBorder="1"/>
    <xf numFmtId="0" fontId="6" fillId="0" borderId="0" xfId="0" applyFont="1"/>
    <xf numFmtId="0" fontId="4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9" fillId="5" borderId="0" xfId="0" applyFont="1" applyFill="1"/>
    <xf numFmtId="0" fontId="8" fillId="0" borderId="0" xfId="0" applyFont="1"/>
    <xf numFmtId="49" fontId="9" fillId="5" borderId="1" xfId="0" applyNumberFormat="1" applyFont="1" applyFill="1" applyBorder="1"/>
    <xf numFmtId="49" fontId="9" fillId="0" borderId="0" xfId="0" applyNumberFormat="1" applyFont="1"/>
    <xf numFmtId="0" fontId="10" fillId="0" borderId="0" xfId="0" applyFont="1"/>
    <xf numFmtId="0" fontId="0" fillId="0" borderId="1" xfId="0" applyBorder="1"/>
    <xf numFmtId="0" fontId="11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9" fontId="11" fillId="0" borderId="13" xfId="0" applyNumberFormat="1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7" fillId="5" borderId="10" xfId="0" applyFont="1" applyFill="1" applyBorder="1"/>
    <xf numFmtId="0" fontId="7" fillId="5" borderId="1" xfId="0" applyFont="1" applyFill="1" applyBorder="1"/>
    <xf numFmtId="0" fontId="15" fillId="5" borderId="1" xfId="0" applyFont="1" applyFill="1" applyBorder="1"/>
    <xf numFmtId="0" fontId="14" fillId="0" borderId="1" xfId="0" applyFont="1" applyBorder="1" applyAlignment="1">
      <alignment vertical="center"/>
    </xf>
    <xf numFmtId="14" fontId="14" fillId="0" borderId="1" xfId="0" applyNumberFormat="1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49" fontId="0" fillId="0" borderId="0" xfId="0" applyNumberFormat="1"/>
    <xf numFmtId="49" fontId="0" fillId="0" borderId="1" xfId="0" applyNumberFormat="1" applyBorder="1"/>
    <xf numFmtId="0" fontId="4" fillId="0" borderId="0" xfId="0" applyFont="1" applyAlignment="1">
      <alignment horizontal="right"/>
    </xf>
    <xf numFmtId="49" fontId="7" fillId="5" borderId="1" xfId="0" applyNumberFormat="1" applyFont="1" applyFill="1" applyBorder="1"/>
    <xf numFmtId="49" fontId="7" fillId="5" borderId="11" xfId="0" applyNumberFormat="1" applyFont="1" applyFill="1" applyBorder="1"/>
    <xf numFmtId="49" fontId="0" fillId="0" borderId="1" xfId="0" applyNumberFormat="1" applyBorder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0" fillId="2" borderId="4" xfId="0" applyFill="1" applyBorder="1"/>
    <xf numFmtId="0" fontId="0" fillId="8" borderId="0" xfId="0" applyFill="1"/>
    <xf numFmtId="0" fontId="4" fillId="8" borderId="1" xfId="0" applyFont="1" applyFill="1" applyBorder="1"/>
    <xf numFmtId="0" fontId="0" fillId="2" borderId="0" xfId="0" applyFill="1"/>
    <xf numFmtId="0" fontId="20" fillId="10" borderId="0" xfId="0" applyFont="1" applyFill="1"/>
    <xf numFmtId="9" fontId="20" fillId="10" borderId="0" xfId="1" applyFont="1" applyFill="1"/>
    <xf numFmtId="0" fontId="21" fillId="10" borderId="0" xfId="0" applyFont="1" applyFill="1"/>
    <xf numFmtId="0" fontId="22" fillId="10" borderId="0" xfId="0" applyFont="1" applyFill="1"/>
    <xf numFmtId="0" fontId="23" fillId="10" borderId="0" xfId="0" applyFont="1" applyFill="1"/>
    <xf numFmtId="49" fontId="24" fillId="10" borderId="0" xfId="0" applyNumberFormat="1" applyFont="1" applyFill="1"/>
    <xf numFmtId="0" fontId="20" fillId="11" borderId="0" xfId="0" applyFont="1" applyFill="1"/>
    <xf numFmtId="9" fontId="20" fillId="11" borderId="0" xfId="1" applyFont="1" applyFill="1"/>
    <xf numFmtId="0" fontId="25" fillId="0" borderId="0" xfId="0" applyFont="1"/>
    <xf numFmtId="9" fontId="25" fillId="0" borderId="0" xfId="1" applyFont="1"/>
    <xf numFmtId="0" fontId="19" fillId="0" borderId="0" xfId="0" applyFont="1"/>
    <xf numFmtId="0" fontId="3" fillId="0" borderId="0" xfId="0" applyFont="1"/>
    <xf numFmtId="0" fontId="26" fillId="0" borderId="0" xfId="0" applyFont="1"/>
    <xf numFmtId="0" fontId="18" fillId="12" borderId="21" xfId="0" applyFont="1" applyFill="1" applyBorder="1" applyAlignment="1">
      <alignment horizontal="center" vertical="center"/>
    </xf>
    <xf numFmtId="0" fontId="28" fillId="12" borderId="21" xfId="0" applyFont="1" applyFill="1" applyBorder="1" applyAlignment="1">
      <alignment horizontal="center" vertical="center"/>
    </xf>
    <xf numFmtId="0" fontId="10" fillId="13" borderId="0" xfId="0" applyFont="1" applyFill="1"/>
    <xf numFmtId="0" fontId="28" fillId="12" borderId="23" xfId="0" applyFont="1" applyFill="1" applyBorder="1" applyAlignment="1">
      <alignment horizontal="center" vertical="center"/>
    </xf>
    <xf numFmtId="0" fontId="28" fillId="12" borderId="24" xfId="0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31" fillId="15" borderId="0" xfId="0" applyFont="1" applyFill="1" applyAlignment="1">
      <alignment vertical="center"/>
    </xf>
    <xf numFmtId="0" fontId="32" fillId="15" borderId="0" xfId="0" applyFont="1" applyFill="1"/>
    <xf numFmtId="0" fontId="2" fillId="15" borderId="0" xfId="0" applyFont="1" applyFill="1"/>
    <xf numFmtId="0" fontId="18" fillId="12" borderId="22" xfId="0" applyFont="1" applyFill="1" applyBorder="1" applyAlignment="1">
      <alignment horizontal="centerContinuous" vertical="center"/>
    </xf>
    <xf numFmtId="0" fontId="18" fillId="12" borderId="20" xfId="0" applyFont="1" applyFill="1" applyBorder="1" applyAlignment="1">
      <alignment horizontal="centerContinuous" vertical="center"/>
    </xf>
    <xf numFmtId="0" fontId="25" fillId="0" borderId="14" xfId="0" applyFont="1" applyBorder="1" applyAlignment="1">
      <alignment horizontal="left" vertical="top"/>
    </xf>
    <xf numFmtId="0" fontId="25" fillId="4" borderId="14" xfId="0" applyFont="1" applyFill="1" applyBorder="1" applyAlignment="1">
      <alignment horizontal="left" vertical="top"/>
    </xf>
    <xf numFmtId="0" fontId="25" fillId="0" borderId="28" xfId="0" applyFont="1" applyBorder="1" applyAlignment="1">
      <alignment horizontal="left" vertical="top"/>
    </xf>
    <xf numFmtId="0" fontId="25" fillId="3" borderId="26" xfId="0" applyFont="1" applyFill="1" applyBorder="1" applyAlignment="1">
      <alignment horizontal="left" vertical="top"/>
    </xf>
    <xf numFmtId="0" fontId="25" fillId="3" borderId="27" xfId="0" applyFont="1" applyFill="1" applyBorder="1" applyAlignment="1">
      <alignment horizontal="left" vertical="top"/>
    </xf>
    <xf numFmtId="0" fontId="25" fillId="3" borderId="19" xfId="0" applyFont="1" applyFill="1" applyBorder="1" applyAlignment="1">
      <alignment horizontal="left" vertical="top"/>
    </xf>
    <xf numFmtId="0" fontId="29" fillId="3" borderId="28" xfId="0" applyFont="1" applyFill="1" applyBorder="1" applyAlignment="1">
      <alignment horizontal="left" vertical="top"/>
    </xf>
    <xf numFmtId="0" fontId="25" fillId="14" borderId="26" xfId="0" applyFont="1" applyFill="1" applyBorder="1" applyAlignment="1">
      <alignment horizontal="left" vertical="top"/>
    </xf>
    <xf numFmtId="0" fontId="25" fillId="14" borderId="27" xfId="0" applyFont="1" applyFill="1" applyBorder="1" applyAlignment="1">
      <alignment horizontal="left" vertical="top"/>
    </xf>
    <xf numFmtId="0" fontId="25" fillId="14" borderId="19" xfId="0" applyFont="1" applyFill="1" applyBorder="1" applyAlignment="1">
      <alignment horizontal="left" vertical="top"/>
    </xf>
    <xf numFmtId="0" fontId="29" fillId="14" borderId="28" xfId="0" applyFont="1" applyFill="1" applyBorder="1" applyAlignment="1">
      <alignment horizontal="left" vertical="top"/>
    </xf>
    <xf numFmtId="0" fontId="25" fillId="0" borderId="25" xfId="0" applyFont="1" applyBorder="1" applyAlignment="1">
      <alignment horizontal="left" vertical="top"/>
    </xf>
    <xf numFmtId="0" fontId="25" fillId="0" borderId="15" xfId="0" applyFont="1" applyBorder="1" applyAlignment="1">
      <alignment horizontal="left" vertical="top"/>
    </xf>
    <xf numFmtId="0" fontId="25" fillId="13" borderId="16" xfId="0" applyFont="1" applyFill="1" applyBorder="1" applyAlignment="1">
      <alignment horizontal="left" vertical="top"/>
    </xf>
    <xf numFmtId="0" fontId="25" fillId="13" borderId="16" xfId="0" quotePrefix="1" applyFont="1" applyFill="1" applyBorder="1" applyAlignment="1">
      <alignment horizontal="left" vertical="top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19" xfId="0" applyFont="1" applyBorder="1" applyAlignment="1">
      <alignment horizontal="left" vertical="top"/>
    </xf>
    <xf numFmtId="0" fontId="25" fillId="0" borderId="30" xfId="0" applyFont="1" applyBorder="1" applyAlignment="1">
      <alignment horizontal="left" vertical="top"/>
    </xf>
    <xf numFmtId="0" fontId="25" fillId="0" borderId="29" xfId="0" applyFont="1" applyBorder="1" applyAlignment="1">
      <alignment horizontal="left" vertical="top"/>
    </xf>
    <xf numFmtId="0" fontId="16" fillId="9" borderId="1" xfId="0" applyFont="1" applyFill="1" applyBorder="1" applyAlignment="1">
      <alignment horizontal="center"/>
    </xf>
    <xf numFmtId="0" fontId="1" fillId="15" borderId="0" xfId="0" applyFont="1" applyFill="1"/>
    <xf numFmtId="0" fontId="1" fillId="0" borderId="0" xfId="0" applyFont="1"/>
    <xf numFmtId="0" fontId="1" fillId="7" borderId="12" xfId="0" applyFont="1" applyFill="1" applyBorder="1" applyAlignment="1">
      <alignment horizontal="left"/>
    </xf>
    <xf numFmtId="0" fontId="1" fillId="5" borderId="0" xfId="0" applyFont="1" applyFill="1"/>
    <xf numFmtId="49" fontId="1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top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BDDCE3"/>
      <color rgb="FFFFF2CC"/>
      <color rgb="FFF7F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66675</xdr:rowOff>
    </xdr:from>
    <xdr:to>
      <xdr:col>2</xdr:col>
      <xdr:colOff>21451</xdr:colOff>
      <xdr:row>0</xdr:row>
      <xdr:rowOff>323219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80FAE0F0-5FD0-4574-B32F-BDF7AC7C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8580"/>
          <a:ext cx="1465441" cy="2508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94F2E-EA41-41EA-86E0-25BD70771D36}" name="Table1" displayName="Table1" ref="B8:P369" totalsRowShown="0" headerRowDxfId="17" dataDxfId="16" tableBorderDxfId="15">
  <autoFilter ref="B8:P369" xr:uid="{B6E94F2E-EA41-41EA-86E0-25BD70771D36}"/>
  <tableColumns count="15">
    <tableColumn id="1" xr3:uid="{141992E1-775B-4632-8052-8BA216966F8E}" name="Table_name" dataDxfId="14"/>
    <tableColumn id="2" xr3:uid="{5CF32E70-C3A1-4B83-B0E1-E76BC4D16B59}" name="Table as-is" dataDxfId="13">
      <calculatedColumnFormula>_xlfn.CONCAT(Instruções!$D$13,".",VLOOKUP(B9,Instruções!$F$12:$H$17,2,0))</calculatedColumnFormula>
    </tableColumn>
    <tableColumn id="3" xr3:uid="{6AF4EED8-47D7-495C-975D-750E61AD680C}" name="Table to-be" dataDxfId="12">
      <calculatedColumnFormula>_xlfn.CONCAT(Instruções!$D$14,".",VLOOKUP(B9,Instruções!$F$12:$H$17,3,0))</calculatedColumnFormula>
    </tableColumn>
    <tableColumn id="4" xr3:uid="{B01D2761-9070-4954-8C3D-BB6DEBADA120}" name="Column_name" dataDxfId="11"/>
    <tableColumn id="5" xr3:uid="{A54A4488-64F0-4910-AAEA-7F1C2232FF55}" name="Column_name_1" dataDxfId="10">
      <calculatedColumnFormula>E9&amp;"_"&amp;$F$7</calculatedColumnFormula>
    </tableColumn>
    <tableColumn id="6" xr3:uid="{7B8E0350-1FA0-4C7A-B097-02BAFB5C4462}" name="Column_name_2" dataDxfId="9">
      <calculatedColumnFormula>E9&amp;"_"&amp;$G$7</calculatedColumnFormula>
    </tableColumn>
    <tableColumn id="7" xr3:uid="{745200BB-6A6F-47CE-963C-C2A94F8FE213}" name="Universo_1" dataDxfId="8">
      <calculatedColumnFormula>IF(VLOOKUP(B9,Instruções!$F$13:$J$17,5,0)="",
"(SELECT "&amp;VLOOKUP(B9,Instruções!$F$13:$J$17,4,0)&amp;" as "&amp;VLOOKUP(B9,Instruções!$F$13:$J$17,4,0)&amp;"_"&amp;$F$7&amp;", "&amp;E9&amp;" as "&amp;F9&amp;" FROM "&amp;C9&amp;" WHERE "&amp;Instruções!$D$20&amp;") A ",
"(SELECT "&amp;VLOOKUP(B9,Instruções!$F$13:$J$17,4,0)&amp;" as "&amp;VLOOKUP(B9,Instruções!$F$13:$J$17,4,0)&amp;"_"&amp;$F$7&amp;", "&amp;VLOOKUP(B9,Instruções!$F$13:$J$17,5,0)&amp;" as "&amp;VLOOKUP(B9,Instruções!$F$13:$J$17,5,0)&amp;"_"&amp;$F$7&amp;","&amp;E9&amp;" as "&amp;F9&amp;" FROM "&amp;C9&amp;" WHERE "&amp;Instruções!$D$20&amp;") A ")</calculatedColumnFormula>
    </tableColumn>
    <tableColumn id="8" xr3:uid="{93650DD7-B704-453F-8DB0-4A81D58E86BE}" name="Universo_2" dataDxfId="7">
      <calculatedColumnFormula>IF(VLOOKUP(B9,Instruções!$F$13:$J$17,5,0)="",
"(SELECT "&amp;VLOOKUP(B9,Instruções!$F$13:$J$17,4,0)&amp;" as "&amp;VLOOKUP(B9,Instruções!$F$13:$J$17,4,0)&amp;"_"&amp;$G$7&amp;", "&amp;E9&amp;" as "&amp;G9&amp;" FROM "&amp;D9&amp;" WHERE "&amp;Instruções!$D$21&amp;") B ",
"(SELECT "&amp;VLOOKUP(B9,Instruções!$F$13:$J$17,4,0)&amp;" as "&amp;VLOOKUP(B9,Instruções!$F$13:$J$17,4,0)&amp;"_"&amp;$G$7&amp;", "&amp;VLOOKUP(B9,Instruções!$F$13:$J$17,5,0)&amp;" as "&amp;VLOOKUP(B9,Instruções!$F$13:$J$17,5,0)&amp;"_"&amp;$G$7&amp;","&amp;E9&amp;" as "&amp;G9&amp;" FROM "&amp;D9&amp;" WHERE "&amp;Instruções!$D$21&amp;") B ")</calculatedColumnFormula>
    </tableColumn>
    <tableColumn id="9" xr3:uid="{EAF6EAAA-6FB0-42B0-AEF6-B71FDB7897FB}" name="Metodologia de cruzamento" dataDxfId="6">
      <calculatedColumnFormula>IF(VLOOKUP(B9,Instruções!$F$13:$J$17,5,0)="",
"ON "&amp;VLOOKUP(B9,Instruções!$F$13:$J$17,4,0)&amp;"_"&amp;$F$7&amp;" = "&amp;VLOOKUP(B9,Instruções!$F$13:$J$17,4,0)&amp;"_"&amp;$G$7&amp;" ",
"ON "&amp;VLOOKUP(B9,Instruções!$F$13:$J$17,4,0)&amp;"_"&amp;$F$7&amp;" = "&amp;VLOOKUP(B9,Instruções!$F$13:$J$17,4,0)&amp;"_"&amp;$G$7&amp;" AND "&amp;VLOOKUP(B9,Instruções!$F$13:$J$17,5,0)&amp;"_"&amp;$F$7&amp;" = "&amp;VLOOKUP(B9,Instruções!$F$13:$J$17,5,0)&amp;"_"&amp;$G$7&amp;" ")</calculatedColumnFormula>
    </tableColumn>
    <tableColumn id="10" xr3:uid="{B01BBB4F-9828-4A7E-82A3-76EE069F3691}" name="Condição" dataDxfId="5">
      <calculatedColumnFormula>"WHERE coalesce(cast("&amp;F9&amp;" as string), '') &lt;&gt; coalesce(cast("&amp;G9&amp;" as string), '') "</calculatedColumnFormula>
    </tableColumn>
    <tableColumn id="11" xr3:uid="{D9F023FB-D9AE-4A63-928F-BACC90934269}" name="Query 1" dataDxfId="4">
      <calculatedColumnFormula>"SELECT count(*) AS NUM_REG_DIF FROM "&amp;H9&amp;" Inner join "&amp;I9&amp;J9&amp;K9</calculatedColumnFormula>
    </tableColumn>
    <tableColumn id="12" xr3:uid="{D22FF3C7-A83F-4135-9285-ED3DAF38B8B8}" name="Tipologia testes" dataDxfId="3"/>
    <tableColumn id="13" xr3:uid="{9A2E03D4-BB51-45EF-A2F5-15CF430C8AEB}" name="Query 2" dataDxfId="2">
      <calculatedColumnFormula>"SELECT 'Validação de campos' as tipologia_teste, '"&amp;VLOOKUP(B9,Instruções!$F$13:$J$17,3,0)&amp;"' AS TABELA, '"&amp;E9&amp;"' AS CAMPO, '"&amp;Instruções!$D$15&amp;"' as ref_date, coalesce(NUM_REG_DIF, 0) AS NUM_REG_DIF FROM ("&amp;L9&amp;") A "</calculatedColumnFormula>
    </tableColumn>
    <tableColumn id="14" xr3:uid="{22E90C6C-81B5-4A48-B805-E6A5655708CC}" name="Union all" dataDxfId="1">
      <calculatedColumnFormula>IF(O10="",N9,N9&amp;$O$8)</calculatedColumnFormula>
    </tableColumn>
    <tableColumn id="15" xr3:uid="{A5C33517-53D9-4C19-817A-A688FF4A20A2}" name="Contagem" dataDxfId="0">
      <calculatedColumnFormula>P8+1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D62C-A2AC-459D-80F7-DCB12975890B}">
  <dimension ref="A1:FK24"/>
  <sheetViews>
    <sheetView showGridLines="0" topLeftCell="A4" zoomScale="75" zoomScaleNormal="60" workbookViewId="0">
      <selection activeCell="F20" sqref="F20"/>
    </sheetView>
  </sheetViews>
  <sheetFormatPr defaultColWidth="8.75" defaultRowHeight="16.5" customHeight="1" outlineLevelRow="1"/>
  <cols>
    <col min="1" max="1" width="3.625" style="62" customWidth="1"/>
    <col min="2" max="2" width="8.75" style="62"/>
    <col min="3" max="3" width="16.25" style="62" bestFit="1" customWidth="1"/>
    <col min="4" max="4" width="109.5" style="62" bestFit="1" customWidth="1"/>
    <col min="5" max="5" width="8.75" style="62" customWidth="1"/>
    <col min="6" max="6" width="15.75" style="62" bestFit="1" customWidth="1"/>
    <col min="7" max="7" width="20" style="62" bestFit="1" customWidth="1"/>
    <col min="8" max="8" width="17.375" style="62" bestFit="1" customWidth="1"/>
    <col min="9" max="9" width="9.875" style="62" bestFit="1" customWidth="1"/>
    <col min="10" max="10" width="7.875" style="62" bestFit="1" customWidth="1"/>
    <col min="11" max="16384" width="8.75" style="62"/>
  </cols>
  <sheetData>
    <row r="1" spans="1:167" s="53" customFormat="1" ht="13.15" customHeight="1">
      <c r="A1" s="51"/>
      <c r="B1" s="51"/>
      <c r="C1" s="51"/>
      <c r="D1" s="51"/>
      <c r="E1" s="51"/>
      <c r="F1" s="51"/>
      <c r="G1" s="51"/>
      <c r="H1" s="52"/>
      <c r="I1" s="52"/>
      <c r="J1" s="52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</row>
    <row r="2" spans="1:167" s="53" customFormat="1" ht="13.35" customHeight="1">
      <c r="A2" s="51"/>
      <c r="B2" s="54"/>
      <c r="C2" s="55"/>
      <c r="G2" s="51"/>
      <c r="H2" s="52"/>
      <c r="I2" s="52"/>
      <c r="J2" s="52"/>
      <c r="K2" s="51"/>
      <c r="L2" s="51"/>
      <c r="N2" s="51"/>
      <c r="O2" s="51"/>
      <c r="P2" s="51"/>
      <c r="Q2" s="51"/>
      <c r="R2" s="51"/>
      <c r="S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</row>
    <row r="3" spans="1:167" s="53" customFormat="1" ht="15" customHeight="1">
      <c r="A3" s="51"/>
      <c r="B3" s="54"/>
      <c r="C3" s="56">
        <f ca="1">TODAY()</f>
        <v>45954</v>
      </c>
      <c r="G3" s="51"/>
      <c r="H3" s="52"/>
      <c r="I3" s="52"/>
      <c r="J3" s="52"/>
      <c r="K3" s="51"/>
      <c r="L3" s="51"/>
      <c r="N3" s="51"/>
      <c r="O3" s="51"/>
      <c r="P3" s="51"/>
      <c r="Q3" s="51"/>
      <c r="R3" s="51"/>
      <c r="S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</row>
    <row r="4" spans="1:167" s="53" customFormat="1" ht="13.35" customHeight="1">
      <c r="A4" s="51"/>
      <c r="B4" s="51"/>
      <c r="C4" s="51"/>
      <c r="D4" s="51"/>
      <c r="E4" s="51"/>
      <c r="F4" s="51"/>
      <c r="G4" s="51"/>
      <c r="H4" s="52"/>
      <c r="I4" s="52"/>
      <c r="J4" s="52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</row>
    <row r="5" spans="1:167" s="57" customFormat="1" ht="2.25" customHeight="1">
      <c r="H5" s="58"/>
      <c r="I5" s="58"/>
      <c r="J5" s="58"/>
    </row>
    <row r="6" spans="1:167" s="59" customFormat="1" ht="14.65" customHeight="1">
      <c r="H6" s="60"/>
      <c r="I6" s="60"/>
    </row>
    <row r="7" spans="1:167" s="72" customFormat="1" ht="19.899999999999999" customHeight="1">
      <c r="A7" s="59"/>
      <c r="B7" s="70" t="s">
        <v>0</v>
      </c>
      <c r="C7" s="71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</row>
    <row r="8" spans="1:167" ht="17.4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99"/>
      <c r="FK8" s="99"/>
    </row>
    <row r="9" spans="1:167" ht="17.45">
      <c r="A9" s="99"/>
      <c r="B9" s="99" t="s">
        <v>1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99"/>
      <c r="EQ9" s="99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99"/>
      <c r="FK9" s="99"/>
    </row>
    <row r="10" spans="1:167" ht="17.45">
      <c r="A10" s="99"/>
      <c r="B10" s="99" t="s">
        <v>2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99"/>
      <c r="EC10" s="99"/>
      <c r="ED10" s="99"/>
      <c r="EE10" s="99"/>
      <c r="EF10" s="99"/>
      <c r="EG10" s="99"/>
      <c r="EH10" s="99"/>
      <c r="EI10" s="99"/>
      <c r="EJ10" s="99"/>
      <c r="EK10" s="99"/>
      <c r="EL10" s="99"/>
      <c r="EM10" s="99"/>
      <c r="EN10" s="99"/>
      <c r="EO10" s="99"/>
      <c r="EP10" s="99"/>
      <c r="EQ10" s="99"/>
      <c r="ER10" s="99"/>
      <c r="ES10" s="99"/>
      <c r="ET10" s="99"/>
      <c r="EU10" s="99"/>
      <c r="EV10" s="99"/>
      <c r="EW10" s="99"/>
      <c r="EX10" s="99"/>
      <c r="EY10" s="99"/>
      <c r="EZ10" s="99"/>
      <c r="FA10" s="99"/>
      <c r="FB10" s="99"/>
      <c r="FC10" s="99"/>
      <c r="FD10" s="99"/>
      <c r="FE10" s="99"/>
      <c r="FF10" s="99"/>
      <c r="FG10" s="99"/>
      <c r="FH10" s="99"/>
      <c r="FI10" s="99"/>
      <c r="FJ10" s="99"/>
      <c r="FK10" s="99"/>
    </row>
    <row r="11" spans="1:167" ht="17.45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99"/>
      <c r="EC11" s="99"/>
      <c r="ED11" s="99"/>
      <c r="EE11" s="99"/>
      <c r="EF11" s="99"/>
      <c r="EG11" s="99"/>
      <c r="EH11" s="99"/>
      <c r="EI11" s="99"/>
      <c r="EJ11" s="99"/>
      <c r="EK11" s="99"/>
      <c r="EL11" s="99"/>
      <c r="EM11" s="99"/>
      <c r="EN11" s="99"/>
      <c r="EO11" s="99"/>
      <c r="EP11" s="99"/>
      <c r="EQ11" s="99"/>
      <c r="ER11" s="99"/>
      <c r="ES11" s="99"/>
      <c r="ET11" s="99"/>
      <c r="EU11" s="99"/>
      <c r="EV11" s="99"/>
      <c r="EW11" s="99"/>
      <c r="EX11" s="99"/>
      <c r="EY11" s="99"/>
      <c r="EZ11" s="99"/>
      <c r="FA11" s="99"/>
      <c r="FB11" s="99"/>
      <c r="FC11" s="99"/>
      <c r="FD11" s="99"/>
      <c r="FE11" s="99"/>
      <c r="FF11" s="99"/>
      <c r="FG11" s="99"/>
      <c r="FH11" s="99"/>
      <c r="FI11" s="99"/>
      <c r="FJ11" s="99"/>
      <c r="FK11" s="99"/>
    </row>
    <row r="12" spans="1:167" ht="17.45" outlineLevel="1">
      <c r="A12" s="99"/>
      <c r="B12" s="99"/>
      <c r="C12" s="73" t="s">
        <v>3</v>
      </c>
      <c r="D12" s="74"/>
      <c r="E12" s="99"/>
      <c r="F12" s="65" t="s">
        <v>4</v>
      </c>
      <c r="G12" s="65" t="s">
        <v>5</v>
      </c>
      <c r="H12" s="65" t="s">
        <v>6</v>
      </c>
      <c r="I12" s="64" t="s">
        <v>7</v>
      </c>
      <c r="J12" s="64" t="s">
        <v>8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/>
      <c r="EG12" s="99"/>
      <c r="EH12" s="99"/>
      <c r="EI12" s="99"/>
      <c r="EJ12" s="99"/>
      <c r="EK12" s="99"/>
      <c r="EL12" s="99"/>
      <c r="EM12" s="99"/>
      <c r="EN12" s="99"/>
      <c r="EO12" s="99"/>
      <c r="EP12" s="99"/>
      <c r="EQ12" s="99"/>
      <c r="ER12" s="99"/>
      <c r="ES12" s="99"/>
      <c r="ET12" s="99"/>
      <c r="EU12" s="99"/>
      <c r="EV12" s="99"/>
      <c r="EW12" s="99"/>
      <c r="EX12" s="99"/>
      <c r="EY12" s="99"/>
      <c r="EZ12" s="99"/>
      <c r="FA12" s="99"/>
      <c r="FB12" s="99"/>
      <c r="FC12" s="99"/>
      <c r="FD12" s="99"/>
      <c r="FE12" s="99"/>
      <c r="FF12" s="99"/>
      <c r="FG12" s="99"/>
      <c r="FH12" s="99"/>
      <c r="FI12" s="99"/>
      <c r="FJ12" s="99"/>
      <c r="FK12" s="99"/>
    </row>
    <row r="13" spans="1:167" ht="17.45" outlineLevel="1">
      <c r="A13" s="99"/>
      <c r="B13" s="99"/>
      <c r="C13" s="87" t="s">
        <v>9</v>
      </c>
      <c r="D13" s="88" t="s">
        <v>10</v>
      </c>
      <c r="E13" s="99"/>
      <c r="F13" s="87" t="s">
        <v>11</v>
      </c>
      <c r="G13" s="93" t="s">
        <v>12</v>
      </c>
      <c r="H13" s="93" t="s">
        <v>12</v>
      </c>
      <c r="I13" s="93" t="s">
        <v>13</v>
      </c>
      <c r="J13" s="90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/>
      <c r="EQ13" s="99"/>
      <c r="ER13" s="99"/>
      <c r="ES13" s="99"/>
      <c r="ET13" s="99"/>
      <c r="EU13" s="99"/>
      <c r="EV13" s="99"/>
      <c r="EW13" s="99"/>
      <c r="EX13" s="99"/>
      <c r="EY13" s="99"/>
      <c r="EZ13" s="99"/>
      <c r="FA13" s="99"/>
      <c r="FB13" s="99"/>
      <c r="FC13" s="99"/>
      <c r="FD13" s="99"/>
      <c r="FE13" s="99"/>
      <c r="FF13" s="99"/>
      <c r="FG13" s="99"/>
      <c r="FH13" s="99"/>
      <c r="FI13" s="99"/>
      <c r="FJ13" s="99"/>
      <c r="FK13" s="99"/>
    </row>
    <row r="14" spans="1:167" ht="17.45" outlineLevel="1">
      <c r="A14" s="99"/>
      <c r="B14" s="99"/>
      <c r="C14" s="87" t="s">
        <v>14</v>
      </c>
      <c r="D14" s="88" t="s">
        <v>15</v>
      </c>
      <c r="E14" s="99"/>
      <c r="F14" s="87" t="s">
        <v>16</v>
      </c>
      <c r="G14" s="93" t="s">
        <v>17</v>
      </c>
      <c r="H14" s="93" t="s">
        <v>17</v>
      </c>
      <c r="I14" s="93" t="s">
        <v>18</v>
      </c>
      <c r="J14" s="90" t="s">
        <v>13</v>
      </c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99"/>
      <c r="DA14" s="99"/>
      <c r="DB14" s="99"/>
      <c r="DC14" s="99"/>
      <c r="DD14" s="99"/>
      <c r="DE14" s="99"/>
      <c r="DF14" s="99"/>
      <c r="DG14" s="99"/>
      <c r="DH14" s="99"/>
      <c r="DI14" s="99"/>
      <c r="DJ14" s="99"/>
      <c r="DK14" s="99"/>
      <c r="DL14" s="99"/>
      <c r="DM14" s="99"/>
      <c r="DN14" s="99"/>
      <c r="DO14" s="99"/>
      <c r="DP14" s="99"/>
      <c r="DQ14" s="99"/>
      <c r="DR14" s="99"/>
      <c r="DS14" s="99"/>
      <c r="DT14" s="99"/>
      <c r="DU14" s="99"/>
      <c r="DV14" s="99"/>
      <c r="DW14" s="99"/>
      <c r="DX14" s="99"/>
      <c r="DY14" s="99"/>
      <c r="DZ14" s="99"/>
      <c r="EA14" s="99"/>
      <c r="EB14" s="99"/>
      <c r="EC14" s="99"/>
      <c r="ED14" s="99"/>
      <c r="EE14" s="99"/>
      <c r="EF14" s="99"/>
      <c r="EG14" s="99"/>
      <c r="EH14" s="99"/>
      <c r="EI14" s="99"/>
      <c r="EJ14" s="99"/>
      <c r="EK14" s="99"/>
      <c r="EL14" s="99"/>
      <c r="EM14" s="99"/>
      <c r="EN14" s="99"/>
      <c r="EO14" s="99"/>
      <c r="EP14" s="99"/>
      <c r="EQ14" s="99"/>
      <c r="ER14" s="99"/>
      <c r="ES14" s="99"/>
      <c r="ET14" s="99"/>
      <c r="EU14" s="99"/>
      <c r="EV14" s="99"/>
      <c r="EW14" s="99"/>
      <c r="EX14" s="99"/>
      <c r="EY14" s="99"/>
      <c r="EZ14" s="99"/>
      <c r="FA14" s="99"/>
      <c r="FB14" s="99"/>
      <c r="FC14" s="99"/>
      <c r="FD14" s="99"/>
      <c r="FE14" s="99"/>
      <c r="FF14" s="99"/>
      <c r="FG14" s="99"/>
      <c r="FH14" s="99"/>
      <c r="FI14" s="99"/>
      <c r="FJ14" s="99"/>
      <c r="FK14" s="99"/>
    </row>
    <row r="15" spans="1:167" ht="17.45" outlineLevel="1">
      <c r="A15" s="99"/>
      <c r="B15" s="99"/>
      <c r="C15" s="87" t="s">
        <v>19</v>
      </c>
      <c r="D15" s="89" t="s">
        <v>20</v>
      </c>
      <c r="E15" s="99"/>
      <c r="F15" s="87" t="s">
        <v>21</v>
      </c>
      <c r="G15" s="93" t="s">
        <v>22</v>
      </c>
      <c r="H15" s="93" t="s">
        <v>22</v>
      </c>
      <c r="I15" s="93" t="s">
        <v>18</v>
      </c>
      <c r="J15" s="90" t="s">
        <v>23</v>
      </c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  <c r="DQ15" s="99"/>
      <c r="DR15" s="99"/>
      <c r="DS15" s="99"/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  <c r="EG15" s="99"/>
      <c r="EH15" s="99"/>
      <c r="EI15" s="99"/>
      <c r="EJ15" s="99"/>
      <c r="EK15" s="99"/>
      <c r="EL15" s="99"/>
      <c r="EM15" s="99"/>
      <c r="EN15" s="99"/>
      <c r="EO15" s="99"/>
      <c r="EP15" s="99"/>
      <c r="EQ15" s="99"/>
      <c r="ER15" s="99"/>
      <c r="ES15" s="99"/>
      <c r="ET15" s="99"/>
      <c r="EU15" s="99"/>
      <c r="EV15" s="99"/>
      <c r="EW15" s="99"/>
      <c r="EX15" s="99"/>
      <c r="EY15" s="99"/>
      <c r="EZ15" s="99"/>
      <c r="FA15" s="99"/>
      <c r="FB15" s="99"/>
      <c r="FC15" s="99"/>
      <c r="FD15" s="99"/>
      <c r="FE15" s="99"/>
      <c r="FF15" s="99"/>
      <c r="FG15" s="99"/>
      <c r="FH15" s="99"/>
      <c r="FI15" s="99"/>
      <c r="FJ15" s="99"/>
      <c r="FK15" s="99"/>
    </row>
    <row r="16" spans="1:167" ht="17.45" outlineLevel="1">
      <c r="A16" s="99"/>
      <c r="B16" s="99"/>
      <c r="C16" s="87" t="s">
        <v>24</v>
      </c>
      <c r="D16" s="88" t="s">
        <v>25</v>
      </c>
      <c r="E16" s="99"/>
      <c r="F16" s="87" t="s">
        <v>26</v>
      </c>
      <c r="G16" s="93" t="s">
        <v>27</v>
      </c>
      <c r="H16" s="93" t="s">
        <v>27</v>
      </c>
      <c r="I16" s="93" t="s">
        <v>18</v>
      </c>
      <c r="J16" s="90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99"/>
      <c r="EL16" s="99"/>
      <c r="EM16" s="99"/>
      <c r="EN16" s="99"/>
      <c r="EO16" s="99"/>
      <c r="EP16" s="99"/>
      <c r="EQ16" s="99"/>
      <c r="ER16" s="99"/>
      <c r="ES16" s="99"/>
      <c r="ET16" s="99"/>
      <c r="EU16" s="99"/>
      <c r="EV16" s="99"/>
      <c r="EW16" s="99"/>
      <c r="EX16" s="99"/>
      <c r="EY16" s="99"/>
      <c r="EZ16" s="99"/>
      <c r="FA16" s="99"/>
      <c r="FB16" s="99"/>
      <c r="FC16" s="99"/>
      <c r="FD16" s="99"/>
      <c r="FE16" s="99"/>
      <c r="FF16" s="99"/>
      <c r="FG16" s="99"/>
      <c r="FH16" s="99"/>
      <c r="FI16" s="99"/>
      <c r="FJ16" s="99"/>
      <c r="FK16" s="99"/>
    </row>
    <row r="17" spans="2:10" ht="17.45" outlineLevel="1">
      <c r="B17" s="99"/>
      <c r="C17" s="87" t="s">
        <v>28</v>
      </c>
      <c r="D17" s="88" t="s">
        <v>29</v>
      </c>
      <c r="E17" s="99"/>
      <c r="F17" s="91" t="s">
        <v>30</v>
      </c>
      <c r="G17" s="94" t="s">
        <v>31</v>
      </c>
      <c r="H17" s="94" t="s">
        <v>31</v>
      </c>
      <c r="I17" s="94" t="s">
        <v>23</v>
      </c>
      <c r="J17" s="92"/>
    </row>
    <row r="18" spans="2:10" ht="17.45" outlineLevel="1">
      <c r="B18" s="99"/>
      <c r="C18" s="87" t="s">
        <v>32</v>
      </c>
      <c r="D18" s="88" t="s">
        <v>33</v>
      </c>
      <c r="E18" s="99"/>
      <c r="F18" s="99"/>
      <c r="G18" s="99"/>
      <c r="H18" s="99"/>
      <c r="I18" s="99"/>
      <c r="J18" s="99"/>
    </row>
    <row r="19" spans="2:10" ht="17.45" outlineLevel="1">
      <c r="B19" s="99"/>
      <c r="C19" s="87" t="s">
        <v>34</v>
      </c>
      <c r="D19" s="88" t="s">
        <v>33</v>
      </c>
      <c r="E19" s="99"/>
      <c r="F19" s="64" t="s">
        <v>35</v>
      </c>
      <c r="G19" s="99"/>
      <c r="H19" s="99"/>
      <c r="I19" s="99"/>
      <c r="J19" s="99"/>
    </row>
    <row r="20" spans="2:10" ht="17.45" outlineLevel="1">
      <c r="B20" s="99"/>
      <c r="C20" s="87" t="s">
        <v>36</v>
      </c>
      <c r="D20" s="90" t="str">
        <f>"ref_date='"&amp;$D$15&amp;"' AND nome_perimetro='"&amp;$D$16&amp;"' AND segmento='"&amp;$D$17&amp;"' AND ambito='"&amp;$D$18&amp;"' AND entidade='00100' "</f>
        <v xml:space="preserve">ref_date='2024-09-30' AND nome_perimetro='Individual Corporativo' AND segmento='ESTR' AND ambito='PM' AND entidade='00100' </v>
      </c>
      <c r="E20" s="99"/>
      <c r="F20" s="95" t="s">
        <v>37</v>
      </c>
      <c r="G20" s="99"/>
      <c r="H20" s="99"/>
      <c r="I20" s="99"/>
      <c r="J20" s="99"/>
    </row>
    <row r="21" spans="2:10" ht="17.45" outlineLevel="1">
      <c r="B21" s="99"/>
      <c r="C21" s="91" t="s">
        <v>38</v>
      </c>
      <c r="D21" s="92" t="str">
        <f>"ref_date='"&amp;$D$15&amp;"' AND nome_perimetro='"&amp;$D$16&amp;"' AND segmento='"&amp;$D$17&amp;"' AND ambito='"&amp;$D$18&amp;"' AND entidade='00100' "</f>
        <v xml:space="preserve">ref_date='2024-09-30' AND nome_perimetro='Individual Corporativo' AND segmento='ESTR' AND ambito='PM' AND entidade='00100' </v>
      </c>
      <c r="E21" s="99"/>
      <c r="F21" s="96" t="s">
        <v>39</v>
      </c>
      <c r="G21" s="99"/>
      <c r="H21" s="99"/>
      <c r="I21" s="99"/>
      <c r="J21" s="99"/>
    </row>
    <row r="22" spans="2:10" ht="17.45" outlineLevel="1">
      <c r="B22" s="61"/>
      <c r="C22" s="99"/>
      <c r="D22" s="99"/>
      <c r="E22" s="99"/>
      <c r="F22" s="99"/>
      <c r="G22" s="99"/>
      <c r="H22" s="99"/>
      <c r="I22" s="99"/>
      <c r="J22" s="99"/>
    </row>
    <row r="23" spans="2:10" ht="17.45">
      <c r="B23" s="99" t="s">
        <v>40</v>
      </c>
      <c r="C23" s="99"/>
      <c r="D23" s="99"/>
      <c r="E23" s="99"/>
      <c r="F23" s="99"/>
      <c r="G23" s="99"/>
      <c r="H23" s="99"/>
      <c r="I23" s="99"/>
      <c r="J23" s="99"/>
    </row>
    <row r="24" spans="2:10" ht="16.5" customHeight="1">
      <c r="B24" s="61"/>
      <c r="C24" s="99"/>
      <c r="D24" s="99"/>
      <c r="E24" s="99"/>
      <c r="F24" s="99"/>
      <c r="G24" s="99"/>
      <c r="H24" s="99"/>
      <c r="I24" s="99"/>
      <c r="J24" s="9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3AB8-C33B-41F0-A70C-BB5256C2BD6A}">
  <dimension ref="A1:FK371"/>
  <sheetViews>
    <sheetView showGridLines="0" tabSelected="1" zoomScale="60" zoomScaleNormal="60" workbookViewId="0">
      <pane xSplit="2" ySplit="8" topLeftCell="C9" activePane="bottomRight" state="frozen"/>
      <selection pane="bottomRight" activeCell="C9" sqref="C9"/>
      <selection pane="bottomLeft" activeCell="A23" sqref="A23"/>
      <selection pane="topRight" activeCell="C1" sqref="C1"/>
    </sheetView>
  </sheetViews>
  <sheetFormatPr defaultColWidth="8.75" defaultRowHeight="16.5" customHeight="1"/>
  <cols>
    <col min="1" max="1" width="3.625" style="62" customWidth="1"/>
    <col min="2" max="2" width="13.5" style="62" customWidth="1"/>
    <col min="3" max="3" width="28.25" style="62" bestFit="1" customWidth="1"/>
    <col min="4" max="4" width="27.75" style="62" bestFit="1" customWidth="1"/>
    <col min="5" max="5" width="27.875" style="62" bestFit="1" customWidth="1"/>
    <col min="6" max="6" width="32.625" style="62" bestFit="1" customWidth="1"/>
    <col min="7" max="7" width="33.125" style="62" bestFit="1" customWidth="1"/>
    <col min="8" max="8" width="17.875" style="62" bestFit="1" customWidth="1"/>
    <col min="9" max="9" width="17.25" style="62" bestFit="1" customWidth="1"/>
    <col min="10" max="10" width="24.75" style="62" customWidth="1"/>
    <col min="11" max="11" width="10.25" style="62" customWidth="1"/>
    <col min="12" max="12" width="9.25" style="62" customWidth="1"/>
    <col min="13" max="13" width="17.25" style="62" bestFit="1" customWidth="1"/>
    <col min="14" max="14" width="19.25" style="62" customWidth="1"/>
    <col min="15" max="15" width="15.375" style="62" customWidth="1"/>
    <col min="16" max="16" width="10.75" style="62" customWidth="1"/>
    <col min="17" max="16384" width="8.75" style="62"/>
  </cols>
  <sheetData>
    <row r="1" spans="1:167" s="53" customFormat="1" ht="13.15" customHeight="1">
      <c r="A1" s="51"/>
      <c r="B1" s="51"/>
      <c r="C1" s="51"/>
      <c r="D1" s="51"/>
      <c r="E1" s="51"/>
      <c r="F1" s="51"/>
      <c r="G1" s="51"/>
      <c r="H1" s="52"/>
      <c r="I1" s="52"/>
      <c r="J1" s="52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</row>
    <row r="2" spans="1:167" s="53" customFormat="1" ht="13.35" customHeight="1">
      <c r="A2" s="51"/>
      <c r="B2" s="54"/>
      <c r="C2" s="55"/>
      <c r="G2" s="51"/>
      <c r="H2" s="52"/>
      <c r="I2" s="52"/>
      <c r="J2" s="52"/>
      <c r="K2" s="51"/>
      <c r="L2" s="51"/>
      <c r="N2" s="51"/>
      <c r="O2" s="51"/>
      <c r="P2" s="51"/>
      <c r="Q2" s="51"/>
      <c r="R2" s="51"/>
      <c r="S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</row>
    <row r="3" spans="1:167" s="53" customFormat="1" ht="15" customHeight="1">
      <c r="A3" s="51"/>
      <c r="B3" s="54"/>
      <c r="C3" s="56">
        <f ca="1">TODAY()</f>
        <v>45954</v>
      </c>
      <c r="G3" s="51"/>
      <c r="H3" s="52"/>
      <c r="I3" s="52"/>
      <c r="J3" s="52"/>
      <c r="K3" s="51"/>
      <c r="L3" s="51"/>
      <c r="N3" s="51"/>
      <c r="O3" s="51"/>
      <c r="P3" s="51"/>
      <c r="Q3" s="51"/>
      <c r="R3" s="51"/>
      <c r="S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</row>
    <row r="4" spans="1:167" s="53" customFormat="1" ht="13.35" customHeight="1">
      <c r="A4" s="51"/>
      <c r="B4" s="51"/>
      <c r="C4" s="51"/>
      <c r="D4" s="51"/>
      <c r="E4" s="51"/>
      <c r="F4" s="51"/>
      <c r="G4" s="51"/>
      <c r="H4" s="52"/>
      <c r="I4" s="52"/>
      <c r="J4" s="52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</row>
    <row r="5" spans="1:167" s="57" customFormat="1" ht="2.25" customHeight="1">
      <c r="H5" s="58"/>
      <c r="I5" s="58"/>
      <c r="J5" s="58"/>
    </row>
    <row r="6" spans="1:167" s="59" customFormat="1" ht="14.65" customHeight="1">
      <c r="H6" s="60"/>
      <c r="I6" s="60"/>
    </row>
    <row r="7" spans="1:167" ht="18" customHeight="1">
      <c r="A7" s="99"/>
      <c r="B7" s="99"/>
      <c r="C7" s="99"/>
      <c r="D7" s="99"/>
      <c r="E7" s="99"/>
      <c r="F7" s="66" t="s">
        <v>41</v>
      </c>
      <c r="G7" s="66" t="s">
        <v>42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99"/>
      <c r="EQ7" s="99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99"/>
      <c r="FK7" s="99"/>
    </row>
    <row r="8" spans="1:167" ht="17.45">
      <c r="A8" s="99"/>
      <c r="B8" s="67" t="s">
        <v>4</v>
      </c>
      <c r="C8" s="68" t="s">
        <v>5</v>
      </c>
      <c r="D8" s="68" t="s">
        <v>6</v>
      </c>
      <c r="E8" s="68" t="s">
        <v>43</v>
      </c>
      <c r="F8" s="68" t="s">
        <v>44</v>
      </c>
      <c r="G8" s="68" t="s">
        <v>45</v>
      </c>
      <c r="H8" s="69" t="s">
        <v>46</v>
      </c>
      <c r="I8" s="69" t="s">
        <v>47</v>
      </c>
      <c r="J8" s="69" t="s">
        <v>48</v>
      </c>
      <c r="K8" s="68" t="s">
        <v>49</v>
      </c>
      <c r="L8" s="68" t="s">
        <v>50</v>
      </c>
      <c r="M8" s="69" t="s">
        <v>35</v>
      </c>
      <c r="N8" s="68" t="s">
        <v>51</v>
      </c>
      <c r="O8" s="68" t="s">
        <v>52</v>
      </c>
      <c r="P8" s="69" t="s">
        <v>53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99"/>
      <c r="FK8" s="99"/>
    </row>
    <row r="9" spans="1:167" s="63" customFormat="1" ht="18" customHeight="1">
      <c r="B9" s="75" t="s">
        <v>11</v>
      </c>
      <c r="C9" s="75" t="str">
        <f>_xlfn.CONCAT(Instruções!$D$13,".",VLOOKUP(B9,Instruções!$F$12:$H$17,2,0))</f>
        <v>cd_loan_tapes_bce.lt003_entity</v>
      </c>
      <c r="D9" s="75" t="str">
        <f>_xlfn.CONCAT(Instruções!$D$14,".",VLOOKUP(B9,Instruções!$F$12:$H$17,3,0))</f>
        <v>bu_loantape_work.lt003_entity</v>
      </c>
      <c r="E9" s="75" t="s">
        <v>54</v>
      </c>
      <c r="F9" s="75" t="str">
        <f t="shared" ref="F9:F40" si="0">E9&amp;"_"&amp;$F$7</f>
        <v>accntng_frmwrk_sl_as_is</v>
      </c>
      <c r="G9" s="75" t="str">
        <f t="shared" ref="G9:G40" si="1">E9&amp;"_"&amp;$G$7</f>
        <v>accntng_frmwrk_sl_to_be</v>
      </c>
      <c r="H9" s="75" t="str">
        <f>IF(VLOOKUP(B9,Instruções!$F$13:$J$17,5,0)="",
"(SELECT "&amp;VLOOKUP(B9,Instruções!$F$13:$J$17,4,0)&amp;" as "&amp;VLOOKUP(B9,Instruções!$F$13:$J$17,4,0)&amp;"_"&amp;$F$2&amp;", "&amp;E9&amp;" as "&amp;F9&amp;" FROM "&amp;C9&amp;" WHERE "&amp;Instruções!$D$20&amp;") A ",
"(SELECT "&amp;VLOOKUP(B9,Instruções!$F$13:$J$17,4,0)&amp;" as "&amp;VLOOKUP(B9,Instruções!$F$13:$J$17,4,0)&amp;"_"&amp;$F$2&amp;", "&amp;VLOOKUP(B9,Instruções!$F$13:$J$17,5,0)&amp;" as "&amp;VLOOKUP(B9,Instruções!$F$13:$J$17,5,0)&amp;"_"&amp;$F$2&amp;","&amp;E9&amp;" as "&amp;F9&amp;" FROM "&amp;C9&amp;" WHERE "&amp;Instruções!$D$20&amp;") A ")</f>
        <v xml:space="preserve">(SELECT entty_id as entty_id_, accntng_frmwrk_sl as accntng_frmwrk_sl_as_is FROM cd_loan_tapes_bce.lt003_entity WHERE ref_date='2024-09-30' AND nome_perimetro='Individual Corporativo' AND segmento='ESTR' AND ambito='PM' AND entidade='00100' ) A </v>
      </c>
      <c r="I9" s="75" t="str">
        <f>IF(VLOOKUP(B9,Instruções!$F$13:$J$17,5,0)="",
"(SELECT "&amp;VLOOKUP(B9,Instruções!$F$13:$J$17,4,0)&amp;" as "&amp;VLOOKUP(B9,Instruções!$F$13:$J$17,4,0)&amp;"_"&amp;$G$2&amp;", "&amp;E9&amp;" as "&amp;G9&amp;" FROM "&amp;D9&amp;" WHERE "&amp;Instruções!$D$21&amp;") B ",
"(SELECT "&amp;VLOOKUP(B9,Instruções!$F$13:$J$17,4,0)&amp;" as "&amp;VLOOKUP(B9,Instruções!$F$13:$J$17,4,0)&amp;"_"&amp;$G$2&amp;", "&amp;VLOOKUP(B9,Instruções!$F$13:$J$17,5,0)&amp;" as "&amp;VLOOKUP(B9,Instruções!$F$13:$J$17,5,0)&amp;"_"&amp;$G$2&amp;","&amp;E9&amp;" as "&amp;G9&amp;" FROM "&amp;D9&amp;" WHERE "&amp;Instruções!$D$21&amp;") B ")</f>
        <v xml:space="preserve">(SELECT entty_id as entty_id_, accntng_frmwrk_sl as accntng_frmwrk_sl_to_be FROM bu_loantape_work.lt003_entity WHERE ref_date='2024-09-30' AND nome_perimetro='Individual Corporativo' AND segmento='ESTR' AND ambito='PM' AND entidade='00100' ) B </v>
      </c>
      <c r="J9" s="75" t="str">
        <f>+IF(VLOOKUP(B9,Instruções!$F$13:$J$17,5,0)="", "ON "&amp;VLOOKUP(B9,Instruções!$F$13:$J$17,4,0)&amp;"_"&amp;$F$7&amp;"="&amp;VLOOKUP(B9,Instruções!$F$13:$J$17,4,0)&amp;"_"&amp;$G$7&amp;" ", "ON "&amp;VLOOKUP(B9,Instruções!$F$13:$J$17,4,0)&amp;"_"&amp;$F$7&amp;"="&amp;VLOOKUP(B9,Instruções!$F$13:$J$17,4,0)&amp;"_"&amp;$G$7&amp;" AND "&amp;VLOOKUP(B9,Instruções!$F$13:$J$17,5,0)&amp;"_"&amp;$F$7&amp;"="&amp;VLOOKUP(B9,Instruções!$F$13:$J$17,5,0)&amp;"_"&amp;$G$7&amp;" ")</f>
        <v xml:space="preserve">ON entty_id_as_is=entty_id_to_be </v>
      </c>
      <c r="K9" s="75" t="str">
        <f>"WHERE coalesce(cast("&amp;F9&amp;" AS string),'')&lt;&gt;coalesce(cast("&amp;G9&amp;" AS string),'') "</f>
        <v xml:space="preserve">WHERE coalesce(cast(accntng_frmwrk_sl_as_is AS string),'')&lt;&gt;coalesce(cast(accntng_frmwrk_sl_to_be AS string),'') </v>
      </c>
      <c r="L9" s="75" t="str">
        <f>"SELECT count(*) AS NUM_REG_DIF FROM "&amp;H9&amp;" Inner join "&amp;I9&amp;J9&amp;K9</f>
        <v xml:space="preserve">SELECT count(*) AS NUM_REG_DIF FROM (SELECT entty_id as entty_id_, accntng_frmwrk_sl as accntng_frmwrk_sl_as_is FROM cd_loan_tapes_bce.lt003_entity WHERE ref_date='2024-09-30' AND nome_perimetro='Individual Corporativo' AND segmento='ESTR' AND ambito='PM' AND entidade='00100' ) A  Inner join (SELECT entty_id as entty_id_, accntng_frmwrk_sl as accntng_frmwrk_sl_to_be FROM bu_loantape_work.lt003_entity WHERE ref_date='2024-09-30' AND nome_perimetro='Individual Corporativo' AND segmento='ESTR' AND ambito='PM' AND entidade='00100' ) B ON entty_id_as_is=entty_id_to_be WHERE coalesce(cast(accntng_frmwrk_sl_as_is AS string),'')&lt;&gt;coalesce(cast(accntng_frmwrk_sl_to_be AS string),'') </v>
      </c>
      <c r="M9" s="75" t="s">
        <v>55</v>
      </c>
      <c r="N9" s="75" t="str">
        <f>"SELECT 'Validação de campos' as tipologia_teste, '"&amp;VLOOKUP(B9,Instruções!$F$13:$J$17,3,0)&amp;"' AS TABELA, '"&amp;E9&amp;"' AS CAMPO, '"&amp;Instruções!$D$15&amp;"' as ref_date, coalesce(NUM_REG_DIF, 0) AS NUM_REG_DIF FROM ("&amp;L9&amp;") A "</f>
        <v xml:space="preserve">SELECT 'Validação de campos' as tipologia_teste, 'lt003_entity' AS TABELA, 'accntng_frmwrk_sl' AS CAMPO, '2024-09-30' as ref_date, coalesce(NUM_REG_DIF, 0) AS NUM_REG_DIF FROM (SELECT count(*) AS NUM_REG_DIF FROM (SELECT entty_id as entty_id_, accntng_frmwrk_sl as accntng_frmwrk_sl_as_is FROM cd_loan_tapes_bce.lt003_entity WHERE ref_date='2024-09-30' AND nome_perimetro='Individual Corporativo' AND segmento='ESTR' AND ambito='PM' AND entidade='00100' ) A  Inner join (SELECT entty_id as entty_id_, accntng_frmwrk_sl as accntng_frmwrk_sl_to_be FROM bu_loantape_work.lt003_entity WHERE ref_date='2024-09-30' AND nome_perimetro='Individual Corporativo' AND segmento='ESTR' AND ambito='PM' AND entidade='00100' ) B ON entty_id_as_is=entty_id_to_be WHERE coalesce(cast(accntng_frmwrk_sl_as_is AS string),'')&lt;&gt;coalesce(cast(accntng_frmwrk_sl_to_be AS string),'') ) A </v>
      </c>
      <c r="O9" s="76" t="str">
        <f t="shared" ref="O9:O57" si="2">IF(O10="",N9,N9&amp;$O$8)</f>
        <v>SELECT 'Validação de campos' as tipologia_teste, 'lt003_entity' AS TABELA, 'accntng_frmwrk_sl' AS CAMPO, '2024-09-30' as ref_date, coalesce(NUM_REG_DIF, 0) AS NUM_REG_DIF FROM (SELECT count(*) AS NUM_REG_DIF FROM (SELECT entty_id as entty_id_, accntng_frmwrk_sl as accntng_frmwrk_sl_as_is FROM cd_loan_tapes_bce.lt003_entity WHERE ref_date='2024-09-30' AND nome_perimetro='Individual Corporativo' AND segmento='ESTR' AND ambito='PM' AND entidade='00100' ) A  Inner join (SELECT entty_id as entty_id_, accntng_frmwrk_sl as accntng_frmwrk_sl_to_be FROM bu_loantape_work.lt003_entity WHERE ref_date='2024-09-30' AND nome_perimetro='Individual Corporativo' AND segmento='ESTR' AND ambito='PM' AND entidade='00100' ) B ON entty_id_as_is=entty_id_to_be WHERE coalesce(cast(accntng_frmwrk_sl_as_is AS string),'')&lt;&gt;coalesce(cast(accntng_frmwrk_sl_to_be AS string),'') ) A Union all</v>
      </c>
      <c r="P9" s="77">
        <v>1</v>
      </c>
    </row>
    <row r="10" spans="1:167" s="63" customFormat="1" ht="18" customHeight="1">
      <c r="B10" s="75" t="s">
        <v>11</v>
      </c>
      <c r="C10" s="75" t="str">
        <f>_xlfn.CONCAT(Instruções!$D$13,".",VLOOKUP(B10,Instruções!$F$12:$H$17,2,0))</f>
        <v>cd_loan_tapes_bce.lt003_entity</v>
      </c>
      <c r="D10" s="75" t="str">
        <f>_xlfn.CONCAT(Instruções!$D$14,".",VLOOKUP(B10,Instruções!$F$12:$H$17,3,0))</f>
        <v>bu_loantape_work.lt003_entity</v>
      </c>
      <c r="E10" s="75" t="s">
        <v>56</v>
      </c>
      <c r="F10" s="75" t="str">
        <f t="shared" si="0"/>
        <v>annl_trnvr_le_as_is</v>
      </c>
      <c r="G10" s="75" t="str">
        <f t="shared" si="1"/>
        <v>annl_trnvr_le_to_be</v>
      </c>
      <c r="H10" s="75" t="str">
        <f>IF(VLOOKUP(B10,Instruções!$F$13:$J$17,5,0)="",
"(SELECT "&amp;VLOOKUP(B10,Instruções!$F$13:$J$17,4,0)&amp;" as "&amp;VLOOKUP(B10,Instruções!$F$13:$J$17,4,0)&amp;"_"&amp;$F$2&amp;", "&amp;E10&amp;" as "&amp;F10&amp;" FROM "&amp;C10&amp;" WHERE "&amp;Instruções!$D$20&amp;") A ",
"(SELECT "&amp;VLOOKUP(B10,Instruções!$F$13:$J$17,4,0)&amp;" as "&amp;VLOOKUP(B10,Instruções!$F$13:$J$17,4,0)&amp;"_"&amp;$F$2&amp;", "&amp;VLOOKUP(B10,Instruções!$F$13:$J$17,5,0)&amp;" as "&amp;VLOOKUP(B10,Instruções!$F$13:$J$17,5,0)&amp;"_"&amp;$F$2&amp;","&amp;E10&amp;" as "&amp;F10&amp;" FROM "&amp;C10&amp;" WHERE "&amp;Instruções!$D$20&amp;") A ")</f>
        <v xml:space="preserve">(SELECT entty_id as entty_id_, annl_trnvr_le as annl_trnvr_le_as_is FROM cd_loan_tapes_bce.lt003_entity WHERE ref_date='2024-09-30' AND nome_perimetro='Individual Corporativo' AND segmento='ESTR' AND ambito='PM' AND entidade='00100' ) A </v>
      </c>
      <c r="I10" s="75" t="str">
        <f>IF(VLOOKUP(B10,Instruções!$F$13:$J$17,5,0)="",
"(SELECT "&amp;VLOOKUP(B10,Instruções!$F$13:$J$17,4,0)&amp;" as "&amp;VLOOKUP(B10,Instruções!$F$13:$J$17,4,0)&amp;"_"&amp;$G$2&amp;", "&amp;E10&amp;" as "&amp;G10&amp;" FROM "&amp;D10&amp;" WHERE "&amp;Instruções!$D$21&amp;") B ",
"(SELECT "&amp;VLOOKUP(B10,Instruções!$F$13:$J$17,4,0)&amp;" as "&amp;VLOOKUP(B10,Instruções!$F$13:$J$17,4,0)&amp;"_"&amp;$G$2&amp;", "&amp;VLOOKUP(B10,Instruções!$F$13:$J$17,5,0)&amp;" as "&amp;VLOOKUP(B10,Instruções!$F$13:$J$17,5,0)&amp;"_"&amp;$G$2&amp;","&amp;E10&amp;" as "&amp;G10&amp;" FROM "&amp;D10&amp;" WHERE "&amp;Instruções!$D$21&amp;") B ")</f>
        <v xml:space="preserve">(SELECT entty_id as entty_id_, annl_trnvr_le as annl_trnvr_le_to_be FROM bu_loantape_work.lt003_entity WHERE ref_date='2024-09-30' AND nome_perimetro='Individual Corporativo' AND segmento='ESTR' AND ambito='PM' AND entidade='00100' ) B </v>
      </c>
      <c r="J10" s="75" t="str">
        <f>+IF(VLOOKUP(B10,Instruções!$F$13:$J$17,5,0)="", "ON "&amp;VLOOKUP(B10,Instruções!$F$13:$J$17,4,0)&amp;"_"&amp;$F$7&amp;"="&amp;VLOOKUP(B10,Instruções!$F$13:$J$17,4,0)&amp;"_"&amp;$G$7&amp;" ", "ON "&amp;VLOOKUP(B10,Instruções!$F$13:$J$17,4,0)&amp;"_"&amp;$F$7&amp;"="&amp;VLOOKUP(B10,Instruções!$F$13:$J$17,4,0)&amp;"_"&amp;$G$7&amp;" AND "&amp;VLOOKUP(B10,Instruções!$F$13:$J$17,5,0)&amp;"_"&amp;$F$7&amp;"="&amp;VLOOKUP(B10,Instruções!$F$13:$J$17,5,0)&amp;"_"&amp;$G$7&amp;" ")</f>
        <v xml:space="preserve">ON entty_id_as_is=entty_id_to_be </v>
      </c>
      <c r="K10" s="75" t="str">
        <f t="shared" ref="K10:K58" si="3">"WHERE coalesce(cast("&amp;F10&amp;" AS string),'')&lt;&gt;coalesce(cast("&amp;G10&amp;" AS string),'') "</f>
        <v xml:space="preserve">WHERE coalesce(cast(annl_trnvr_le_as_is AS string),'')&lt;&gt;coalesce(cast(annl_trnvr_le_to_be AS string),'') </v>
      </c>
      <c r="L10" s="75" t="str">
        <f t="shared" ref="L10:L58" si="4">"SELECT count(*) AS NUM_REG_DIF FROM "&amp;H10&amp;" Inner join "&amp;I10&amp;J10&amp;K10</f>
        <v xml:space="preserve">SELECT count(*) AS NUM_REG_DIF FROM (SELECT entty_id as entty_id_, annl_trnvr_le as annl_trnvr_le_as_is FROM cd_loan_tapes_bce.lt003_entity WHERE ref_date='2024-09-30' AND nome_perimetro='Individual Corporativo' AND segmento='ESTR' AND ambito='PM' AND entidade='00100' ) A  Inner join (SELECT entty_id as entty_id_, annl_trnvr_le as annl_trnvr_le_to_be FROM bu_loantape_work.lt003_entity WHERE ref_date='2024-09-30' AND nome_perimetro='Individual Corporativo' AND segmento='ESTR' AND ambito='PM' AND entidade='00100' ) B ON entty_id_as_is=entty_id_to_be WHERE coalesce(cast(annl_trnvr_le_as_is AS string),'')&lt;&gt;coalesce(cast(annl_trnvr_le_to_be AS string),'') </v>
      </c>
      <c r="M10" s="75" t="s">
        <v>55</v>
      </c>
      <c r="N10" s="75" t="str">
        <f>"SELECT 'Validação de campos' as tipologia_teste, '"&amp;VLOOKUP(B10,Instruções!$F$13:$J$17,3,0)&amp;"' AS TABELA, '"&amp;E10&amp;"' AS CAMPO, '"&amp;Instruções!$D$15&amp;"' as ref_date, coalesce(NUM_REG_DIF, 0) AS NUM_REG_DIF FROM ("&amp;L10&amp;") A "</f>
        <v xml:space="preserve">SELECT 'Validação de campos' as tipologia_teste, 'lt003_entity' AS TABELA, 'annl_trnvr_le' AS CAMPO, '2024-09-30' as ref_date, coalesce(NUM_REG_DIF, 0) AS NUM_REG_DIF FROM (SELECT count(*) AS NUM_REG_DIF FROM (SELECT entty_id as entty_id_, annl_trnvr_le as annl_trnvr_le_as_is FROM cd_loan_tapes_bce.lt003_entity WHERE ref_date='2024-09-30' AND nome_perimetro='Individual Corporativo' AND segmento='ESTR' AND ambito='PM' AND entidade='00100' ) A  Inner join (SELECT entty_id as entty_id_, annl_trnvr_le as annl_trnvr_le_to_be FROM bu_loantape_work.lt003_entity WHERE ref_date='2024-09-30' AND nome_perimetro='Individual Corporativo' AND segmento='ESTR' AND ambito='PM' AND entidade='00100' ) B ON entty_id_as_is=entty_id_to_be WHERE coalesce(cast(annl_trnvr_le_as_is AS string),'')&lt;&gt;coalesce(cast(annl_trnvr_le_to_be AS string),'') ) A </v>
      </c>
      <c r="O10" s="76" t="str">
        <f t="shared" si="2"/>
        <v>SELECT 'Validação de campos' as tipologia_teste, 'lt003_entity' AS TABELA, 'annl_trnvr_le' AS CAMPO, '2024-09-30' as ref_date, coalesce(NUM_REG_DIF, 0) AS NUM_REG_DIF FROM (SELECT count(*) AS NUM_REG_DIF FROM (SELECT entty_id as entty_id_, annl_trnvr_le as annl_trnvr_le_as_is FROM cd_loan_tapes_bce.lt003_entity WHERE ref_date='2024-09-30' AND nome_perimetro='Individual Corporativo' AND segmento='ESTR' AND ambito='PM' AND entidade='00100' ) A  Inner join (SELECT entty_id as entty_id_, annl_trnvr_le as annl_trnvr_le_to_be FROM bu_loantape_work.lt003_entity WHERE ref_date='2024-09-30' AND nome_perimetro='Individual Corporativo' AND segmento='ESTR' AND ambito='PM' AND entidade='00100' ) B ON entty_id_as_is=entty_id_to_be WHERE coalesce(cast(annl_trnvr_le_as_is AS string),'')&lt;&gt;coalesce(cast(annl_trnvr_le_to_be AS string),'') ) A Union all</v>
      </c>
      <c r="P10" s="77">
        <f>+P9+1</f>
        <v>2</v>
      </c>
    </row>
    <row r="11" spans="1:167" s="63" customFormat="1" ht="18" customHeight="1">
      <c r="B11" s="75" t="s">
        <v>11</v>
      </c>
      <c r="C11" s="75" t="str">
        <f>_xlfn.CONCAT(Instruções!$D$13,".",VLOOKUP(B11,Instruções!$F$12:$H$17,2,0))</f>
        <v>cd_loan_tapes_bce.lt003_entity</v>
      </c>
      <c r="D11" s="75" t="str">
        <f>_xlfn.CONCAT(Instruções!$D$14,".",VLOOKUP(B11,Instruções!$F$12:$H$17,3,0))</f>
        <v>bu_loantape_work.lt003_entity</v>
      </c>
      <c r="E11" s="75" t="s">
        <v>57</v>
      </c>
      <c r="F11" s="75" t="str">
        <f t="shared" si="0"/>
        <v>annl_trnvr_le_bdr_as_is</v>
      </c>
      <c r="G11" s="75" t="str">
        <f t="shared" si="1"/>
        <v>annl_trnvr_le_bdr_to_be</v>
      </c>
      <c r="H11" s="75" t="str">
        <f>IF(VLOOKUP(B11,Instruções!$F$13:$J$17,5,0)="",
"(SELECT "&amp;VLOOKUP(B11,Instruções!$F$13:$J$17,4,0)&amp;" as "&amp;VLOOKUP(B11,Instruções!$F$13:$J$17,4,0)&amp;"_"&amp;$F$2&amp;", "&amp;E11&amp;" as "&amp;F11&amp;" FROM "&amp;C11&amp;" WHERE "&amp;Instruções!$D$20&amp;") A ",
"(SELECT "&amp;VLOOKUP(B11,Instruções!$F$13:$J$17,4,0)&amp;" as "&amp;VLOOKUP(B11,Instruções!$F$13:$J$17,4,0)&amp;"_"&amp;$F$2&amp;", "&amp;VLOOKUP(B11,Instruções!$F$13:$J$17,5,0)&amp;" as "&amp;VLOOKUP(B11,Instruções!$F$13:$J$17,5,0)&amp;"_"&amp;$F$2&amp;","&amp;E11&amp;" as "&amp;F11&amp;" FROM "&amp;C11&amp;" WHERE "&amp;Instruções!$D$20&amp;") A ")</f>
        <v xml:space="preserve">(SELECT entty_id as entty_id_, annl_trnvr_le_bdr as annl_trnvr_le_bdr_as_is FROM cd_loan_tapes_bce.lt003_entity WHERE ref_date='2024-09-30' AND nome_perimetro='Individual Corporativo' AND segmento='ESTR' AND ambito='PM' AND entidade='00100' ) A </v>
      </c>
      <c r="I11" s="75" t="str">
        <f>IF(VLOOKUP(B11,Instruções!$F$13:$J$17,5,0)="",
"(SELECT "&amp;VLOOKUP(B11,Instruções!$F$13:$J$17,4,0)&amp;" as "&amp;VLOOKUP(B11,Instruções!$F$13:$J$17,4,0)&amp;"_"&amp;$G$2&amp;", "&amp;E11&amp;" as "&amp;G11&amp;" FROM "&amp;D11&amp;" WHERE "&amp;Instruções!$D$21&amp;") B ",
"(SELECT "&amp;VLOOKUP(B11,Instruções!$F$13:$J$17,4,0)&amp;" as "&amp;VLOOKUP(B11,Instruções!$F$13:$J$17,4,0)&amp;"_"&amp;$G$2&amp;", "&amp;VLOOKUP(B11,Instruções!$F$13:$J$17,5,0)&amp;" as "&amp;VLOOKUP(B11,Instruções!$F$13:$J$17,5,0)&amp;"_"&amp;$G$2&amp;","&amp;E11&amp;" as "&amp;G11&amp;" FROM "&amp;D11&amp;" WHERE "&amp;Instruções!$D$21&amp;") B ")</f>
        <v xml:space="preserve">(SELECT entty_id as entty_id_, annl_trnvr_le_bdr as annl_trnvr_le_bdr_to_be FROM bu_loantape_work.lt003_entity WHERE ref_date='2024-09-30' AND nome_perimetro='Individual Corporativo' AND segmento='ESTR' AND ambito='PM' AND entidade='00100' ) B </v>
      </c>
      <c r="J11" s="75" t="str">
        <f>+IF(VLOOKUP(B11,Instruções!$F$13:$J$17,5,0)="", "ON "&amp;VLOOKUP(B11,Instruções!$F$13:$J$17,4,0)&amp;"_"&amp;$F$7&amp;"="&amp;VLOOKUP(B11,Instruções!$F$13:$J$17,4,0)&amp;"_"&amp;$G$7&amp;" ", "ON "&amp;VLOOKUP(B11,Instruções!$F$13:$J$17,4,0)&amp;"_"&amp;$F$7&amp;"="&amp;VLOOKUP(B11,Instruções!$F$13:$J$17,4,0)&amp;"_"&amp;$G$7&amp;" AND "&amp;VLOOKUP(B11,Instruções!$F$13:$J$17,5,0)&amp;"_"&amp;$F$7&amp;"="&amp;VLOOKUP(B11,Instruções!$F$13:$J$17,5,0)&amp;"_"&amp;$G$7&amp;" ")</f>
        <v xml:space="preserve">ON entty_id_as_is=entty_id_to_be </v>
      </c>
      <c r="K11" s="75" t="str">
        <f t="shared" si="3"/>
        <v xml:space="preserve">WHERE coalesce(cast(annl_trnvr_le_bdr_as_is AS string),'')&lt;&gt;coalesce(cast(annl_trnvr_le_bdr_to_be AS string),'') </v>
      </c>
      <c r="L11" s="75" t="str">
        <f t="shared" si="4"/>
        <v xml:space="preserve">SELECT count(*) AS NUM_REG_DIF FROM (SELECT entty_id as entty_id_, annl_trnvr_le_bdr as annl_trnvr_le_bdr_as_is FROM cd_loan_tapes_bce.lt003_entity WHERE ref_date='2024-09-30' AND nome_perimetro='Individual Corporativo' AND segmento='ESTR' AND ambito='PM' AND entidade='00100' ) A  Inner join (SELECT entty_id as entty_id_, annl_trnvr_le_bdr as annl_trnvr_le_bdr_to_be FROM bu_loantape_work.lt003_entity WHERE ref_date='2024-09-30' AND nome_perimetro='Individual Corporativo' AND segmento='ESTR' AND ambito='PM' AND entidade='00100' ) B ON entty_id_as_is=entty_id_to_be WHERE coalesce(cast(annl_trnvr_le_bdr_as_is AS string),'')&lt;&gt;coalesce(cast(annl_trnvr_le_bdr_to_be AS string),'') </v>
      </c>
      <c r="M11" s="75" t="s">
        <v>55</v>
      </c>
      <c r="N11" s="75" t="str">
        <f>"SELECT 'Validação de campos' as tipologia_teste, '"&amp;VLOOKUP(B11,Instruções!$F$13:$J$17,3,0)&amp;"' AS TABELA, '"&amp;E11&amp;"' AS CAMPO, '"&amp;Instruções!$D$15&amp;"' as ref_date, coalesce(NUM_REG_DIF, 0) AS NUM_REG_DIF FROM ("&amp;L11&amp;") A "</f>
        <v xml:space="preserve">SELECT 'Validação de campos' as tipologia_teste, 'lt003_entity' AS TABELA, 'annl_trnvr_le_bdr' AS CAMPO, '2024-09-30' as ref_date, coalesce(NUM_REG_DIF, 0) AS NUM_REG_DIF FROM (SELECT count(*) AS NUM_REG_DIF FROM (SELECT entty_id as entty_id_, annl_trnvr_le_bdr as annl_trnvr_le_bdr_as_is FROM cd_loan_tapes_bce.lt003_entity WHERE ref_date='2024-09-30' AND nome_perimetro='Individual Corporativo' AND segmento='ESTR' AND ambito='PM' AND entidade='00100' ) A  Inner join (SELECT entty_id as entty_id_, annl_trnvr_le_bdr as annl_trnvr_le_bdr_to_be FROM bu_loantape_work.lt003_entity WHERE ref_date='2024-09-30' AND nome_perimetro='Individual Corporativo' AND segmento='ESTR' AND ambito='PM' AND entidade='00100' ) B ON entty_id_as_is=entty_id_to_be WHERE coalesce(cast(annl_trnvr_le_bdr_as_is AS string),'')&lt;&gt;coalesce(cast(annl_trnvr_le_bdr_to_be AS string),'') ) A </v>
      </c>
      <c r="O11" s="76" t="str">
        <f t="shared" si="2"/>
        <v>SELECT 'Validação de campos' as tipologia_teste, 'lt003_entity' AS TABELA, 'annl_trnvr_le_bdr' AS CAMPO, '2024-09-30' as ref_date, coalesce(NUM_REG_DIF, 0) AS NUM_REG_DIF FROM (SELECT count(*) AS NUM_REG_DIF FROM (SELECT entty_id as entty_id_, annl_trnvr_le_bdr as annl_trnvr_le_bdr_as_is FROM cd_loan_tapes_bce.lt003_entity WHERE ref_date='2024-09-30' AND nome_perimetro='Individual Corporativo' AND segmento='ESTR' AND ambito='PM' AND entidade='00100' ) A  Inner join (SELECT entty_id as entty_id_, annl_trnvr_le_bdr as annl_trnvr_le_bdr_to_be FROM bu_loantape_work.lt003_entity WHERE ref_date='2024-09-30' AND nome_perimetro='Individual Corporativo' AND segmento='ESTR' AND ambito='PM' AND entidade='00100' ) B ON entty_id_as_is=entty_id_to_be WHERE coalesce(cast(annl_trnvr_le_bdr_as_is AS string),'')&lt;&gt;coalesce(cast(annl_trnvr_le_bdr_to_be AS string),'') ) A Union all</v>
      </c>
      <c r="P11" s="77">
        <f t="shared" ref="P11:P58" si="5">+P10+1</f>
        <v>3</v>
      </c>
    </row>
    <row r="12" spans="1:167" s="63" customFormat="1" ht="18" customHeight="1">
      <c r="B12" s="75" t="s">
        <v>11</v>
      </c>
      <c r="C12" s="75" t="str">
        <f>_xlfn.CONCAT(Instruções!$D$13,".",VLOOKUP(B12,Instruções!$F$12:$H$17,2,0))</f>
        <v>cd_loan_tapes_bce.lt003_entity</v>
      </c>
      <c r="D12" s="75" t="str">
        <f>_xlfn.CONCAT(Instruções!$D$14,".",VLOOKUP(B12,Instruções!$F$12:$H$17,3,0))</f>
        <v>bu_loantape_work.lt003_entity</v>
      </c>
      <c r="E12" s="75" t="s">
        <v>58</v>
      </c>
      <c r="F12" s="75" t="str">
        <f t="shared" si="0"/>
        <v>annl_trnvr_prvs_as_is</v>
      </c>
      <c r="G12" s="75" t="str">
        <f t="shared" si="1"/>
        <v>annl_trnvr_prvs_to_be</v>
      </c>
      <c r="H12" s="75" t="str">
        <f>IF(VLOOKUP(B12,Instruções!$F$13:$J$17,5,0)="",
"(SELECT "&amp;VLOOKUP(B12,Instruções!$F$13:$J$17,4,0)&amp;" as "&amp;VLOOKUP(B12,Instruções!$F$13:$J$17,4,0)&amp;"_"&amp;$F$2&amp;", "&amp;E12&amp;" as "&amp;F12&amp;" FROM "&amp;C12&amp;" WHERE "&amp;Instruções!$D$20&amp;") A ",
"(SELECT "&amp;VLOOKUP(B12,Instruções!$F$13:$J$17,4,0)&amp;" as "&amp;VLOOKUP(B12,Instruções!$F$13:$J$17,4,0)&amp;"_"&amp;$F$2&amp;", "&amp;VLOOKUP(B12,Instruções!$F$13:$J$17,5,0)&amp;" as "&amp;VLOOKUP(B12,Instruções!$F$13:$J$17,5,0)&amp;"_"&amp;$F$2&amp;","&amp;E12&amp;" as "&amp;F12&amp;" FROM "&amp;C12&amp;" WHERE "&amp;Instruções!$D$20&amp;") A ")</f>
        <v xml:space="preserve">(SELECT entty_id as entty_id_, annl_trnvr_prvs as annl_trnvr_prvs_as_is FROM cd_loan_tapes_bce.lt003_entity WHERE ref_date='2024-09-30' AND nome_perimetro='Individual Corporativo' AND segmento='ESTR' AND ambito='PM' AND entidade='00100' ) A </v>
      </c>
      <c r="I12" s="75" t="str">
        <f>IF(VLOOKUP(B12,Instruções!$F$13:$J$17,5,0)="",
"(SELECT "&amp;VLOOKUP(B12,Instruções!$F$13:$J$17,4,0)&amp;" as "&amp;VLOOKUP(B12,Instruções!$F$13:$J$17,4,0)&amp;"_"&amp;$G$2&amp;", "&amp;E12&amp;" as "&amp;G12&amp;" FROM "&amp;D12&amp;" WHERE "&amp;Instruções!$D$21&amp;") B ",
"(SELECT "&amp;VLOOKUP(B12,Instruções!$F$13:$J$17,4,0)&amp;" as "&amp;VLOOKUP(B12,Instruções!$F$13:$J$17,4,0)&amp;"_"&amp;$G$2&amp;", "&amp;VLOOKUP(B12,Instruções!$F$13:$J$17,5,0)&amp;" as "&amp;VLOOKUP(B12,Instruções!$F$13:$J$17,5,0)&amp;"_"&amp;$G$2&amp;","&amp;E12&amp;" as "&amp;G12&amp;" FROM "&amp;D12&amp;" WHERE "&amp;Instruções!$D$21&amp;") B ")</f>
        <v xml:space="preserve">(SELECT entty_id as entty_id_, annl_trnvr_prvs as annl_trnvr_prvs_to_be FROM bu_loantape_work.lt003_entity WHERE ref_date='2024-09-30' AND nome_perimetro='Individual Corporativo' AND segmento='ESTR' AND ambito='PM' AND entidade='00100' ) B </v>
      </c>
      <c r="J12" s="75" t="str">
        <f>+IF(VLOOKUP(B12,Instruções!$F$13:$J$17,5,0)="", "ON "&amp;VLOOKUP(B12,Instruções!$F$13:$J$17,4,0)&amp;"_"&amp;$F$7&amp;"="&amp;VLOOKUP(B12,Instruções!$F$13:$J$17,4,0)&amp;"_"&amp;$G$7&amp;" ", "ON "&amp;VLOOKUP(B12,Instruções!$F$13:$J$17,4,0)&amp;"_"&amp;$F$7&amp;"="&amp;VLOOKUP(B12,Instruções!$F$13:$J$17,4,0)&amp;"_"&amp;$G$7&amp;" AND "&amp;VLOOKUP(B12,Instruções!$F$13:$J$17,5,0)&amp;"_"&amp;$F$7&amp;"="&amp;VLOOKUP(B12,Instruções!$F$13:$J$17,5,0)&amp;"_"&amp;$G$7&amp;" ")</f>
        <v xml:space="preserve">ON entty_id_as_is=entty_id_to_be </v>
      </c>
      <c r="K12" s="75" t="str">
        <f t="shared" si="3"/>
        <v xml:space="preserve">WHERE coalesce(cast(annl_trnvr_prvs_as_is AS string),'')&lt;&gt;coalesce(cast(annl_trnvr_prvs_to_be AS string),'') </v>
      </c>
      <c r="L12" s="75" t="str">
        <f t="shared" si="4"/>
        <v xml:space="preserve">SELECT count(*) AS NUM_REG_DIF FROM (SELECT entty_id as entty_id_, annl_trnvr_prvs as annl_trnvr_prvs_as_is FROM cd_loan_tapes_bce.lt003_entity WHERE ref_date='2024-09-30' AND nome_perimetro='Individual Corporativo' AND segmento='ESTR' AND ambito='PM' AND entidade='00100' ) A  Inner join (SELECT entty_id as entty_id_, annl_trnvr_prvs as annl_trnvr_prvs_to_be FROM bu_loantape_work.lt003_entity WHERE ref_date='2024-09-30' AND nome_perimetro='Individual Corporativo' AND segmento='ESTR' AND ambito='PM' AND entidade='00100' ) B ON entty_id_as_is=entty_id_to_be WHERE coalesce(cast(annl_trnvr_prvs_as_is AS string),'')&lt;&gt;coalesce(cast(annl_trnvr_prvs_to_be AS string),'') </v>
      </c>
      <c r="M12" s="75" t="s">
        <v>55</v>
      </c>
      <c r="N12" s="75" t="str">
        <f>"SELECT 'Validação de campos' as tipologia_teste, '"&amp;VLOOKUP(B12,Instruções!$F$13:$J$17,3,0)&amp;"' AS TABELA, '"&amp;E12&amp;"' AS CAMPO, '"&amp;Instruções!$D$15&amp;"' as ref_date, coalesce(NUM_REG_DIF, 0) AS NUM_REG_DIF FROM ("&amp;L12&amp;") A "</f>
        <v xml:space="preserve">SELECT 'Validação de campos' as tipologia_teste, 'lt003_entity' AS TABELA, 'annl_trnvr_prvs' AS CAMPO, '2024-09-30' as ref_date, coalesce(NUM_REG_DIF, 0) AS NUM_REG_DIF FROM (SELECT count(*) AS NUM_REG_DIF FROM (SELECT entty_id as entty_id_, annl_trnvr_prvs as annl_trnvr_prvs_as_is FROM cd_loan_tapes_bce.lt003_entity WHERE ref_date='2024-09-30' AND nome_perimetro='Individual Corporativo' AND segmento='ESTR' AND ambito='PM' AND entidade='00100' ) A  Inner join (SELECT entty_id as entty_id_, annl_trnvr_prvs as annl_trnvr_prvs_to_be FROM bu_loantape_work.lt003_entity WHERE ref_date='2024-09-30' AND nome_perimetro='Individual Corporativo' AND segmento='ESTR' AND ambito='PM' AND entidade='00100' ) B ON entty_id_as_is=entty_id_to_be WHERE coalesce(cast(annl_trnvr_prvs_as_is AS string),'')&lt;&gt;coalesce(cast(annl_trnvr_prvs_to_be AS string),'') ) A </v>
      </c>
      <c r="O12" s="76" t="str">
        <f t="shared" si="2"/>
        <v>SELECT 'Validação de campos' as tipologia_teste, 'lt003_entity' AS TABELA, 'annl_trnvr_prvs' AS CAMPO, '2024-09-30' as ref_date, coalesce(NUM_REG_DIF, 0) AS NUM_REG_DIF FROM (SELECT count(*) AS NUM_REG_DIF FROM (SELECT entty_id as entty_id_, annl_trnvr_prvs as annl_trnvr_prvs_as_is FROM cd_loan_tapes_bce.lt003_entity WHERE ref_date='2024-09-30' AND nome_perimetro='Individual Corporativo' AND segmento='ESTR' AND ambito='PM' AND entidade='00100' ) A  Inner join (SELECT entty_id as entty_id_, annl_trnvr_prvs as annl_trnvr_prvs_to_be FROM bu_loantape_work.lt003_entity WHERE ref_date='2024-09-30' AND nome_perimetro='Individual Corporativo' AND segmento='ESTR' AND ambito='PM' AND entidade='00100' ) B ON entty_id_as_is=entty_id_to_be WHERE coalesce(cast(annl_trnvr_prvs_as_is AS string),'')&lt;&gt;coalesce(cast(annl_trnvr_prvs_to_be AS string),'') ) A Union all</v>
      </c>
      <c r="P12" s="77">
        <f t="shared" si="5"/>
        <v>4</v>
      </c>
    </row>
    <row r="13" spans="1:167" s="63" customFormat="1" ht="18" customHeight="1">
      <c r="B13" s="75" t="s">
        <v>11</v>
      </c>
      <c r="C13" s="75" t="str">
        <f>_xlfn.CONCAT(Instruções!$D$13,".",VLOOKUP(B13,Instruções!$F$12:$H$17,2,0))</f>
        <v>cd_loan_tapes_bce.lt003_entity</v>
      </c>
      <c r="D13" s="75" t="str">
        <f>_xlfn.CONCAT(Instruções!$D$14,".",VLOOKUP(B13,Instruções!$F$12:$H$17,3,0))</f>
        <v>bu_loantape_work.lt003_entity</v>
      </c>
      <c r="E13" s="75" t="s">
        <v>59</v>
      </c>
      <c r="F13" s="75" t="str">
        <f t="shared" si="0"/>
        <v>annl_trnvr_prvs_bdr_as_is</v>
      </c>
      <c r="G13" s="75" t="str">
        <f t="shared" si="1"/>
        <v>annl_trnvr_prvs_bdr_to_be</v>
      </c>
      <c r="H13" s="75" t="str">
        <f>IF(VLOOKUP(B13,Instruções!$F$13:$J$17,5,0)="",
"(SELECT "&amp;VLOOKUP(B13,Instruções!$F$13:$J$17,4,0)&amp;" as "&amp;VLOOKUP(B13,Instruções!$F$13:$J$17,4,0)&amp;"_"&amp;$F$2&amp;", "&amp;E13&amp;" as "&amp;F13&amp;" FROM "&amp;C13&amp;" WHERE "&amp;Instruções!$D$20&amp;") A ",
"(SELECT "&amp;VLOOKUP(B13,Instruções!$F$13:$J$17,4,0)&amp;" as "&amp;VLOOKUP(B13,Instruções!$F$13:$J$17,4,0)&amp;"_"&amp;$F$2&amp;", "&amp;VLOOKUP(B13,Instruções!$F$13:$J$17,5,0)&amp;" as "&amp;VLOOKUP(B13,Instruções!$F$13:$J$17,5,0)&amp;"_"&amp;$F$2&amp;","&amp;E13&amp;" as "&amp;F13&amp;" FROM "&amp;C13&amp;" WHERE "&amp;Instruções!$D$20&amp;") A ")</f>
        <v xml:space="preserve">(SELECT entty_id as entty_id_, annl_trnvr_prvs_bdr as annl_trnvr_prvs_bdr_as_is FROM cd_loan_tapes_bce.lt003_entity WHERE ref_date='2024-09-30' AND nome_perimetro='Individual Corporativo' AND segmento='ESTR' AND ambito='PM' AND entidade='00100' ) A </v>
      </c>
      <c r="I13" s="75" t="str">
        <f>IF(VLOOKUP(B13,Instruções!$F$13:$J$17,5,0)="",
"(SELECT "&amp;VLOOKUP(B13,Instruções!$F$13:$J$17,4,0)&amp;" as "&amp;VLOOKUP(B13,Instruções!$F$13:$J$17,4,0)&amp;"_"&amp;$G$2&amp;", "&amp;E13&amp;" as "&amp;G13&amp;" FROM "&amp;D13&amp;" WHERE "&amp;Instruções!$D$21&amp;") B ",
"(SELECT "&amp;VLOOKUP(B13,Instruções!$F$13:$J$17,4,0)&amp;" as "&amp;VLOOKUP(B13,Instruções!$F$13:$J$17,4,0)&amp;"_"&amp;$G$2&amp;", "&amp;VLOOKUP(B13,Instruções!$F$13:$J$17,5,0)&amp;" as "&amp;VLOOKUP(B13,Instruções!$F$13:$J$17,5,0)&amp;"_"&amp;$G$2&amp;","&amp;E13&amp;" as "&amp;G13&amp;" FROM "&amp;D13&amp;" WHERE "&amp;Instruções!$D$21&amp;") B ")</f>
        <v xml:space="preserve">(SELECT entty_id as entty_id_, annl_trnvr_prvs_bdr as annl_trnvr_prvs_bdr_to_be FROM bu_loantape_work.lt003_entity WHERE ref_date='2024-09-30' AND nome_perimetro='Individual Corporativo' AND segmento='ESTR' AND ambito='PM' AND entidade='00100' ) B </v>
      </c>
      <c r="J13" s="75" t="str">
        <f>+IF(VLOOKUP(B13,Instruções!$F$13:$J$17,5,0)="", "ON "&amp;VLOOKUP(B13,Instruções!$F$13:$J$17,4,0)&amp;"_"&amp;$F$7&amp;"="&amp;VLOOKUP(B13,Instruções!$F$13:$J$17,4,0)&amp;"_"&amp;$G$7&amp;" ", "ON "&amp;VLOOKUP(B13,Instruções!$F$13:$J$17,4,0)&amp;"_"&amp;$F$7&amp;"="&amp;VLOOKUP(B13,Instruções!$F$13:$J$17,4,0)&amp;"_"&amp;$G$7&amp;" AND "&amp;VLOOKUP(B13,Instruções!$F$13:$J$17,5,0)&amp;"_"&amp;$F$7&amp;"="&amp;VLOOKUP(B13,Instruções!$F$13:$J$17,5,0)&amp;"_"&amp;$G$7&amp;" ")</f>
        <v xml:space="preserve">ON entty_id_as_is=entty_id_to_be </v>
      </c>
      <c r="K13" s="75" t="str">
        <f t="shared" si="3"/>
        <v xml:space="preserve">WHERE coalesce(cast(annl_trnvr_prvs_bdr_as_is AS string),'')&lt;&gt;coalesce(cast(annl_trnvr_prvs_bdr_to_be AS string),'') </v>
      </c>
      <c r="L13" s="75" t="str">
        <f t="shared" si="4"/>
        <v xml:space="preserve">SELECT count(*) AS NUM_REG_DIF FROM (SELECT entty_id as entty_id_, annl_trnvr_prvs_bdr as annl_trnvr_prvs_bdr_as_is FROM cd_loan_tapes_bce.lt003_entity WHERE ref_date='2024-09-30' AND nome_perimetro='Individual Corporativo' AND segmento='ESTR' AND ambito='PM' AND entidade='00100' ) A  Inner join (SELECT entty_id as entty_id_, annl_trnvr_prvs_bdr as annl_trnvr_prvs_bdr_to_be FROM bu_loantape_work.lt003_entity WHERE ref_date='2024-09-30' AND nome_perimetro='Individual Corporativo' AND segmento='ESTR' AND ambito='PM' AND entidade='00100' ) B ON entty_id_as_is=entty_id_to_be WHERE coalesce(cast(annl_trnvr_prvs_bdr_as_is AS string),'')&lt;&gt;coalesce(cast(annl_trnvr_prvs_bdr_to_be AS string),'') </v>
      </c>
      <c r="M13" s="75" t="s">
        <v>55</v>
      </c>
      <c r="N13" s="75" t="str">
        <f>"SELECT 'Validação de campos' as tipologia_teste, '"&amp;VLOOKUP(B13,Instruções!$F$13:$J$17,3,0)&amp;"' AS TABELA, '"&amp;E13&amp;"' AS CAMPO, '"&amp;Instruções!$D$15&amp;"' as ref_date, coalesce(NUM_REG_DIF, 0) AS NUM_REG_DIF FROM ("&amp;L13&amp;") A "</f>
        <v xml:space="preserve">SELECT 'Validação de campos' as tipologia_teste, 'lt003_entity' AS TABELA, 'annl_trnvr_prvs_bdr' AS CAMPO, '2024-09-30' as ref_date, coalesce(NUM_REG_DIF, 0) AS NUM_REG_DIF FROM (SELECT count(*) AS NUM_REG_DIF FROM (SELECT entty_id as entty_id_, annl_trnvr_prvs_bdr as annl_trnvr_prvs_bdr_as_is FROM cd_loan_tapes_bce.lt003_entity WHERE ref_date='2024-09-30' AND nome_perimetro='Individual Corporativo' AND segmento='ESTR' AND ambito='PM' AND entidade='00100' ) A  Inner join (SELECT entty_id as entty_id_, annl_trnvr_prvs_bdr as annl_trnvr_prvs_bdr_to_be FROM bu_loantape_work.lt003_entity WHERE ref_date='2024-09-30' AND nome_perimetro='Individual Corporativo' AND segmento='ESTR' AND ambito='PM' AND entidade='00100' ) B ON entty_id_as_is=entty_id_to_be WHERE coalesce(cast(annl_trnvr_prvs_bdr_as_is AS string),'')&lt;&gt;coalesce(cast(annl_trnvr_prvs_bdr_to_be AS string),'') ) A </v>
      </c>
      <c r="O13" s="76" t="str">
        <f t="shared" si="2"/>
        <v>SELECT 'Validação de campos' as tipologia_teste, 'lt003_entity' AS TABELA, 'annl_trnvr_prvs_bdr' AS CAMPO, '2024-09-30' as ref_date, coalesce(NUM_REG_DIF, 0) AS NUM_REG_DIF FROM (SELECT count(*) AS NUM_REG_DIF FROM (SELECT entty_id as entty_id_, annl_trnvr_prvs_bdr as annl_trnvr_prvs_bdr_as_is FROM cd_loan_tapes_bce.lt003_entity WHERE ref_date='2024-09-30' AND nome_perimetro='Individual Corporativo' AND segmento='ESTR' AND ambito='PM' AND entidade='00100' ) A  Inner join (SELECT entty_id as entty_id_, annl_trnvr_prvs_bdr as annl_trnvr_prvs_bdr_to_be FROM bu_loantape_work.lt003_entity WHERE ref_date='2024-09-30' AND nome_perimetro='Individual Corporativo' AND segmento='ESTR' AND ambito='PM' AND entidade='00100' ) B ON entty_id_as_is=entty_id_to_be WHERE coalesce(cast(annl_trnvr_prvs_bdr_as_is AS string),'')&lt;&gt;coalesce(cast(annl_trnvr_prvs_bdr_to_be AS string),'') ) A Union all</v>
      </c>
      <c r="P13" s="77">
        <f t="shared" si="5"/>
        <v>5</v>
      </c>
    </row>
    <row r="14" spans="1:167" s="63" customFormat="1" ht="18" customHeight="1">
      <c r="B14" s="75" t="s">
        <v>11</v>
      </c>
      <c r="C14" s="75" t="str">
        <f>_xlfn.CONCAT(Instruções!$D$13,".",VLOOKUP(B14,Instruções!$F$12:$H$17,2,0))</f>
        <v>cd_loan_tapes_bce.lt003_entity</v>
      </c>
      <c r="D14" s="75" t="str">
        <f>_xlfn.CONCAT(Instruções!$D$14,".",VLOOKUP(B14,Instruções!$F$12:$H$17,3,0))</f>
        <v>bu_loantape_work.lt003_entity</v>
      </c>
      <c r="E14" s="75" t="s">
        <v>60</v>
      </c>
      <c r="F14" s="75" t="str">
        <f t="shared" si="0"/>
        <v>capex_as_is</v>
      </c>
      <c r="G14" s="75" t="str">
        <f t="shared" si="1"/>
        <v>capex_to_be</v>
      </c>
      <c r="H14" s="75" t="str">
        <f>IF(VLOOKUP(B14,Instruções!$F$13:$J$17,5,0)="",
"(SELECT "&amp;VLOOKUP(B14,Instruções!$F$13:$J$17,4,0)&amp;" as "&amp;VLOOKUP(B14,Instruções!$F$13:$J$17,4,0)&amp;"_"&amp;$F$2&amp;", "&amp;E14&amp;" as "&amp;F14&amp;" FROM "&amp;C14&amp;" WHERE "&amp;Instruções!$D$20&amp;") A ",
"(SELECT "&amp;VLOOKUP(B14,Instruções!$F$13:$J$17,4,0)&amp;" as "&amp;VLOOKUP(B14,Instruções!$F$13:$J$17,4,0)&amp;"_"&amp;$F$2&amp;", "&amp;VLOOKUP(B14,Instruções!$F$13:$J$17,5,0)&amp;" as "&amp;VLOOKUP(B14,Instruções!$F$13:$J$17,5,0)&amp;"_"&amp;$F$2&amp;","&amp;E14&amp;" as "&amp;F14&amp;" FROM "&amp;C14&amp;" WHERE "&amp;Instruções!$D$20&amp;") A ")</f>
        <v xml:space="preserve">(SELECT entty_id as entty_id_, capex as capex_as_is FROM cd_loan_tapes_bce.lt003_entity WHERE ref_date='2024-09-30' AND nome_perimetro='Individual Corporativo' AND segmento='ESTR' AND ambito='PM' AND entidade='00100' ) A </v>
      </c>
      <c r="I14" s="75" t="str">
        <f>IF(VLOOKUP(B14,Instruções!$F$13:$J$17,5,0)="",
"(SELECT "&amp;VLOOKUP(B14,Instruções!$F$13:$J$17,4,0)&amp;" as "&amp;VLOOKUP(B14,Instruções!$F$13:$J$17,4,0)&amp;"_"&amp;$G$2&amp;", "&amp;E14&amp;" as "&amp;G14&amp;" FROM "&amp;D14&amp;" WHERE "&amp;Instruções!$D$21&amp;") B ",
"(SELECT "&amp;VLOOKUP(B14,Instruções!$F$13:$J$17,4,0)&amp;" as "&amp;VLOOKUP(B14,Instruções!$F$13:$J$17,4,0)&amp;"_"&amp;$G$2&amp;", "&amp;VLOOKUP(B14,Instruções!$F$13:$J$17,5,0)&amp;" as "&amp;VLOOKUP(B14,Instruções!$F$13:$J$17,5,0)&amp;"_"&amp;$G$2&amp;","&amp;E14&amp;" as "&amp;G14&amp;" FROM "&amp;D14&amp;" WHERE "&amp;Instruções!$D$21&amp;") B ")</f>
        <v xml:space="preserve">(SELECT entty_id as entty_id_, capex as capex_to_be FROM bu_loantape_work.lt003_entity WHERE ref_date='2024-09-30' AND nome_perimetro='Individual Corporativo' AND segmento='ESTR' AND ambito='PM' AND entidade='00100' ) B </v>
      </c>
      <c r="J14" s="75" t="str">
        <f>+IF(VLOOKUP(B14,Instruções!$F$13:$J$17,5,0)="", "ON "&amp;VLOOKUP(B14,Instruções!$F$13:$J$17,4,0)&amp;"_"&amp;$F$7&amp;"="&amp;VLOOKUP(B14,Instruções!$F$13:$J$17,4,0)&amp;"_"&amp;$G$7&amp;" ", "ON "&amp;VLOOKUP(B14,Instruções!$F$13:$J$17,4,0)&amp;"_"&amp;$F$7&amp;"="&amp;VLOOKUP(B14,Instruções!$F$13:$J$17,4,0)&amp;"_"&amp;$G$7&amp;" AND "&amp;VLOOKUP(B14,Instruções!$F$13:$J$17,5,0)&amp;"_"&amp;$F$7&amp;"="&amp;VLOOKUP(B14,Instruções!$F$13:$J$17,5,0)&amp;"_"&amp;$G$7&amp;" ")</f>
        <v xml:space="preserve">ON entty_id_as_is=entty_id_to_be </v>
      </c>
      <c r="K14" s="75" t="str">
        <f t="shared" si="3"/>
        <v xml:space="preserve">WHERE coalesce(cast(capex_as_is AS string),'')&lt;&gt;coalesce(cast(capex_to_be AS string),'') </v>
      </c>
      <c r="L14" s="75" t="str">
        <f t="shared" si="4"/>
        <v xml:space="preserve">SELECT count(*) AS NUM_REG_DIF FROM (SELECT entty_id as entty_id_, capex as capex_as_is FROM cd_loan_tapes_bce.lt003_entity WHERE ref_date='2024-09-30' AND nome_perimetro='Individual Corporativo' AND segmento='ESTR' AND ambito='PM' AND entidade='00100' ) A  Inner join (SELECT entty_id as entty_id_, capex as capex_to_be FROM bu_loantape_work.lt003_entity WHERE ref_date='2024-09-30' AND nome_perimetro='Individual Corporativo' AND segmento='ESTR' AND ambito='PM' AND entidade='00100' ) B ON entty_id_as_is=entty_id_to_be WHERE coalesce(cast(capex_as_is AS string),'')&lt;&gt;coalesce(cast(capex_to_be AS string),'') </v>
      </c>
      <c r="M14" s="75" t="s">
        <v>55</v>
      </c>
      <c r="N14" s="75" t="str">
        <f>"SELECT 'Validação de campos' as tipologia_teste, '"&amp;VLOOKUP(B14,Instruções!$F$13:$J$17,3,0)&amp;"' AS TABELA, '"&amp;E14&amp;"' AS CAMPO, '"&amp;Instruções!$D$15&amp;"' as ref_date, coalesce(NUM_REG_DIF, 0) AS NUM_REG_DIF FROM ("&amp;L14&amp;") A "</f>
        <v xml:space="preserve">SELECT 'Validação de campos' as tipologia_teste, 'lt003_entity' AS TABELA, 'capex' AS CAMPO, '2024-09-30' as ref_date, coalesce(NUM_REG_DIF, 0) AS NUM_REG_DIF FROM (SELECT count(*) AS NUM_REG_DIF FROM (SELECT entty_id as entty_id_, capex as capex_as_is FROM cd_loan_tapes_bce.lt003_entity WHERE ref_date='2024-09-30' AND nome_perimetro='Individual Corporativo' AND segmento='ESTR' AND ambito='PM' AND entidade='00100' ) A  Inner join (SELECT entty_id as entty_id_, capex as capex_to_be FROM bu_loantape_work.lt003_entity WHERE ref_date='2024-09-30' AND nome_perimetro='Individual Corporativo' AND segmento='ESTR' AND ambito='PM' AND entidade='00100' ) B ON entty_id_as_is=entty_id_to_be WHERE coalesce(cast(capex_as_is AS string),'')&lt;&gt;coalesce(cast(capex_to_be AS string),'') ) A </v>
      </c>
      <c r="O14" s="76" t="str">
        <f t="shared" si="2"/>
        <v>SELECT 'Validação de campos' as tipologia_teste, 'lt003_entity' AS TABELA, 'capex' AS CAMPO, '2024-09-30' as ref_date, coalesce(NUM_REG_DIF, 0) AS NUM_REG_DIF FROM (SELECT count(*) AS NUM_REG_DIF FROM (SELECT entty_id as entty_id_, capex as capex_as_is FROM cd_loan_tapes_bce.lt003_entity WHERE ref_date='2024-09-30' AND nome_perimetro='Individual Corporativo' AND segmento='ESTR' AND ambito='PM' AND entidade='00100' ) A  Inner join (SELECT entty_id as entty_id_, capex as capex_to_be FROM bu_loantape_work.lt003_entity WHERE ref_date='2024-09-30' AND nome_perimetro='Individual Corporativo' AND segmento='ESTR' AND ambito='PM' AND entidade='00100' ) B ON entty_id_as_is=entty_id_to_be WHERE coalesce(cast(capex_as_is AS string),'')&lt;&gt;coalesce(cast(capex_to_be AS string),'') ) A Union all</v>
      </c>
      <c r="P14" s="77">
        <f t="shared" si="5"/>
        <v>6</v>
      </c>
    </row>
    <row r="15" spans="1:167" s="63" customFormat="1" ht="18" customHeight="1">
      <c r="B15" s="75" t="s">
        <v>11</v>
      </c>
      <c r="C15" s="75" t="str">
        <f>_xlfn.CONCAT(Instruções!$D$13,".",VLOOKUP(B15,Instruções!$F$12:$H$17,2,0))</f>
        <v>cd_loan_tapes_bce.lt003_entity</v>
      </c>
      <c r="D15" s="75" t="str">
        <f>_xlfn.CONCAT(Instruções!$D$14,".",VLOOKUP(B15,Instruções!$F$12:$H$17,3,0))</f>
        <v>bu_loantape_work.lt003_entity</v>
      </c>
      <c r="E15" s="75" t="s">
        <v>61</v>
      </c>
      <c r="F15" s="75" t="str">
        <f t="shared" si="0"/>
        <v>capex_prvs_as_is</v>
      </c>
      <c r="G15" s="75" t="str">
        <f t="shared" si="1"/>
        <v>capex_prvs_to_be</v>
      </c>
      <c r="H15" s="75" t="str">
        <f>IF(VLOOKUP(B15,Instruções!$F$13:$J$17,5,0)="",
"(SELECT "&amp;VLOOKUP(B15,Instruções!$F$13:$J$17,4,0)&amp;" as "&amp;VLOOKUP(B15,Instruções!$F$13:$J$17,4,0)&amp;"_"&amp;$F$2&amp;", "&amp;E15&amp;" as "&amp;F15&amp;" FROM "&amp;C15&amp;" WHERE "&amp;Instruções!$D$20&amp;") A ",
"(SELECT "&amp;VLOOKUP(B15,Instruções!$F$13:$J$17,4,0)&amp;" as "&amp;VLOOKUP(B15,Instruções!$F$13:$J$17,4,0)&amp;"_"&amp;$F$2&amp;", "&amp;VLOOKUP(B15,Instruções!$F$13:$J$17,5,0)&amp;" as "&amp;VLOOKUP(B15,Instruções!$F$13:$J$17,5,0)&amp;"_"&amp;$F$2&amp;","&amp;E15&amp;" as "&amp;F15&amp;" FROM "&amp;C15&amp;" WHERE "&amp;Instruções!$D$20&amp;") A ")</f>
        <v xml:space="preserve">(SELECT entty_id as entty_id_, capex_prvs as capex_prvs_as_is FROM cd_loan_tapes_bce.lt003_entity WHERE ref_date='2024-09-30' AND nome_perimetro='Individual Corporativo' AND segmento='ESTR' AND ambito='PM' AND entidade='00100' ) A </v>
      </c>
      <c r="I15" s="75" t="str">
        <f>IF(VLOOKUP(B15,Instruções!$F$13:$J$17,5,0)="",
"(SELECT "&amp;VLOOKUP(B15,Instruções!$F$13:$J$17,4,0)&amp;" as "&amp;VLOOKUP(B15,Instruções!$F$13:$J$17,4,0)&amp;"_"&amp;$G$2&amp;", "&amp;E15&amp;" as "&amp;G15&amp;" FROM "&amp;D15&amp;" WHERE "&amp;Instruções!$D$21&amp;") B ",
"(SELECT "&amp;VLOOKUP(B15,Instruções!$F$13:$J$17,4,0)&amp;" as "&amp;VLOOKUP(B15,Instruções!$F$13:$J$17,4,0)&amp;"_"&amp;$G$2&amp;", "&amp;VLOOKUP(B15,Instruções!$F$13:$J$17,5,0)&amp;" as "&amp;VLOOKUP(B15,Instruções!$F$13:$J$17,5,0)&amp;"_"&amp;$G$2&amp;","&amp;E15&amp;" as "&amp;G15&amp;" FROM "&amp;D15&amp;" WHERE "&amp;Instruções!$D$21&amp;") B ")</f>
        <v xml:space="preserve">(SELECT entty_id as entty_id_, capex_prvs as capex_prvs_to_be FROM bu_loantape_work.lt003_entity WHERE ref_date='2024-09-30' AND nome_perimetro='Individual Corporativo' AND segmento='ESTR' AND ambito='PM' AND entidade='00100' ) B </v>
      </c>
      <c r="J15" s="75" t="str">
        <f>+IF(VLOOKUP(B15,Instruções!$F$13:$J$17,5,0)="", "ON "&amp;VLOOKUP(B15,Instruções!$F$13:$J$17,4,0)&amp;"_"&amp;$F$7&amp;"="&amp;VLOOKUP(B15,Instruções!$F$13:$J$17,4,0)&amp;"_"&amp;$G$7&amp;" ", "ON "&amp;VLOOKUP(B15,Instruções!$F$13:$J$17,4,0)&amp;"_"&amp;$F$7&amp;"="&amp;VLOOKUP(B15,Instruções!$F$13:$J$17,4,0)&amp;"_"&amp;$G$7&amp;" AND "&amp;VLOOKUP(B15,Instruções!$F$13:$J$17,5,0)&amp;"_"&amp;$F$7&amp;"="&amp;VLOOKUP(B15,Instruções!$F$13:$J$17,5,0)&amp;"_"&amp;$G$7&amp;" ")</f>
        <v xml:space="preserve">ON entty_id_as_is=entty_id_to_be </v>
      </c>
      <c r="K15" s="75" t="str">
        <f t="shared" si="3"/>
        <v xml:space="preserve">WHERE coalesce(cast(capex_prvs_as_is AS string),'')&lt;&gt;coalesce(cast(capex_prvs_to_be AS string),'') </v>
      </c>
      <c r="L15" s="75" t="str">
        <f t="shared" si="4"/>
        <v xml:space="preserve">SELECT count(*) AS NUM_REG_DIF FROM (SELECT entty_id as entty_id_, capex_prvs as capex_prvs_as_is FROM cd_loan_tapes_bce.lt003_entity WHERE ref_date='2024-09-30' AND nome_perimetro='Individual Corporativo' AND segmento='ESTR' AND ambito='PM' AND entidade='00100' ) A  Inner join (SELECT entty_id as entty_id_, capex_prvs as capex_prvs_to_be FROM bu_loantape_work.lt003_entity WHERE ref_date='2024-09-30' AND nome_perimetro='Individual Corporativo' AND segmento='ESTR' AND ambito='PM' AND entidade='00100' ) B ON entty_id_as_is=entty_id_to_be WHERE coalesce(cast(capex_prvs_as_is AS string),'')&lt;&gt;coalesce(cast(capex_prvs_to_be AS string),'') </v>
      </c>
      <c r="M15" s="75" t="s">
        <v>55</v>
      </c>
      <c r="N15" s="75" t="str">
        <f>"SELECT 'Validação de campos' as tipologia_teste, '"&amp;VLOOKUP(B15,Instruções!$F$13:$J$17,3,0)&amp;"' AS TABELA, '"&amp;E15&amp;"' AS CAMPO, '"&amp;Instruções!$D$15&amp;"' as ref_date, coalesce(NUM_REG_DIF, 0) AS NUM_REG_DIF FROM ("&amp;L15&amp;") A "</f>
        <v xml:space="preserve">SELECT 'Validação de campos' as tipologia_teste, 'lt003_entity' AS TABELA, 'capex_prvs' AS CAMPO, '2024-09-30' as ref_date, coalesce(NUM_REG_DIF, 0) AS NUM_REG_DIF FROM (SELECT count(*) AS NUM_REG_DIF FROM (SELECT entty_id as entty_id_, capex_prvs as capex_prvs_as_is FROM cd_loan_tapes_bce.lt003_entity WHERE ref_date='2024-09-30' AND nome_perimetro='Individual Corporativo' AND segmento='ESTR' AND ambito='PM' AND entidade='00100' ) A  Inner join (SELECT entty_id as entty_id_, capex_prvs as capex_prvs_to_be FROM bu_loantape_work.lt003_entity WHERE ref_date='2024-09-30' AND nome_perimetro='Individual Corporativo' AND segmento='ESTR' AND ambito='PM' AND entidade='00100' ) B ON entty_id_as_is=entty_id_to_be WHERE coalesce(cast(capex_prvs_as_is AS string),'')&lt;&gt;coalesce(cast(capex_prvs_to_be AS string),'') ) A </v>
      </c>
      <c r="O15" s="76" t="str">
        <f t="shared" si="2"/>
        <v>SELECT 'Validação de campos' as tipologia_teste, 'lt003_entity' AS TABELA, 'capex_prvs' AS CAMPO, '2024-09-30' as ref_date, coalesce(NUM_REG_DIF, 0) AS NUM_REG_DIF FROM (SELECT count(*) AS NUM_REG_DIF FROM (SELECT entty_id as entty_id_, capex_prvs as capex_prvs_as_is FROM cd_loan_tapes_bce.lt003_entity WHERE ref_date='2024-09-30' AND nome_perimetro='Individual Corporativo' AND segmento='ESTR' AND ambito='PM' AND entidade='00100' ) A  Inner join (SELECT entty_id as entty_id_, capex_prvs as capex_prvs_to_be FROM bu_loantape_work.lt003_entity WHERE ref_date='2024-09-30' AND nome_perimetro='Individual Corporativo' AND segmento='ESTR' AND ambito='PM' AND entidade='00100' ) B ON entty_id_as_is=entty_id_to_be WHERE coalesce(cast(capex_prvs_as_is AS string),'')&lt;&gt;coalesce(cast(capex_prvs_to_be AS string),'') ) A Union all</v>
      </c>
      <c r="P15" s="77">
        <f t="shared" si="5"/>
        <v>7</v>
      </c>
    </row>
    <row r="16" spans="1:167" s="63" customFormat="1" ht="18" customHeight="1">
      <c r="B16" s="75" t="s">
        <v>11</v>
      </c>
      <c r="C16" s="75" t="str">
        <f>_xlfn.CONCAT(Instruções!$D$13,".",VLOOKUP(B16,Instruções!$F$12:$H$17,2,0))</f>
        <v>cd_loan_tapes_bce.lt003_entity</v>
      </c>
      <c r="D16" s="75" t="str">
        <f>_xlfn.CONCAT(Instruções!$D$14,".",VLOOKUP(B16,Instruções!$F$12:$H$17,3,0))</f>
        <v>bu_loantape_work.lt003_entity</v>
      </c>
      <c r="E16" s="75" t="s">
        <v>62</v>
      </c>
      <c r="F16" s="75" t="str">
        <f t="shared" si="0"/>
        <v>cllctn_md_as_is</v>
      </c>
      <c r="G16" s="75" t="str">
        <f t="shared" si="1"/>
        <v>cllctn_md_to_be</v>
      </c>
      <c r="H16" s="75" t="str">
        <f>IF(VLOOKUP(B16,Instruções!$F$13:$J$17,5,0)="",
"(SELECT "&amp;VLOOKUP(B16,Instruções!$F$13:$J$17,4,0)&amp;" as "&amp;VLOOKUP(B16,Instruções!$F$13:$J$17,4,0)&amp;"_"&amp;$F$2&amp;", "&amp;E16&amp;" as "&amp;F16&amp;" FROM "&amp;C16&amp;" WHERE "&amp;Instruções!$D$20&amp;") A ",
"(SELECT "&amp;VLOOKUP(B16,Instruções!$F$13:$J$17,4,0)&amp;" as "&amp;VLOOKUP(B16,Instruções!$F$13:$J$17,4,0)&amp;"_"&amp;$F$2&amp;", "&amp;VLOOKUP(B16,Instruções!$F$13:$J$17,5,0)&amp;" as "&amp;VLOOKUP(B16,Instruções!$F$13:$J$17,5,0)&amp;"_"&amp;$F$2&amp;","&amp;E16&amp;" as "&amp;F16&amp;" FROM "&amp;C16&amp;" WHERE "&amp;Instruções!$D$20&amp;") A ")</f>
        <v xml:space="preserve">(SELECT entty_id as entty_id_, cllctn_md as cllctn_md_as_is FROM cd_loan_tapes_bce.lt003_entity WHERE ref_date='2024-09-30' AND nome_perimetro='Individual Corporativo' AND segmento='ESTR' AND ambito='PM' AND entidade='00100' ) A </v>
      </c>
      <c r="I16" s="75" t="str">
        <f>IF(VLOOKUP(B16,Instruções!$F$13:$J$17,5,0)="",
"(SELECT "&amp;VLOOKUP(B16,Instruções!$F$13:$J$17,4,0)&amp;" as "&amp;VLOOKUP(B16,Instruções!$F$13:$J$17,4,0)&amp;"_"&amp;$G$2&amp;", "&amp;E16&amp;" as "&amp;G16&amp;" FROM "&amp;D16&amp;" WHERE "&amp;Instruções!$D$21&amp;") B ",
"(SELECT "&amp;VLOOKUP(B16,Instruções!$F$13:$J$17,4,0)&amp;" as "&amp;VLOOKUP(B16,Instruções!$F$13:$J$17,4,0)&amp;"_"&amp;$G$2&amp;", "&amp;VLOOKUP(B16,Instruções!$F$13:$J$17,5,0)&amp;" as "&amp;VLOOKUP(B16,Instruções!$F$13:$J$17,5,0)&amp;"_"&amp;$G$2&amp;","&amp;E16&amp;" as "&amp;G16&amp;" FROM "&amp;D16&amp;" WHERE "&amp;Instruções!$D$21&amp;") B ")</f>
        <v xml:space="preserve">(SELECT entty_id as entty_id_, cllctn_md as cllctn_md_to_be FROM bu_loantape_work.lt003_entity WHERE ref_date='2024-09-30' AND nome_perimetro='Individual Corporativo' AND segmento='ESTR' AND ambito='PM' AND entidade='00100' ) B </v>
      </c>
      <c r="J16" s="75" t="str">
        <f>+IF(VLOOKUP(B16,Instruções!$F$13:$J$17,5,0)="", "ON "&amp;VLOOKUP(B16,Instruções!$F$13:$J$17,4,0)&amp;"_"&amp;$F$7&amp;"="&amp;VLOOKUP(B16,Instruções!$F$13:$J$17,4,0)&amp;"_"&amp;$G$7&amp;" ", "ON "&amp;VLOOKUP(B16,Instruções!$F$13:$J$17,4,0)&amp;"_"&amp;$F$7&amp;"="&amp;VLOOKUP(B16,Instruções!$F$13:$J$17,4,0)&amp;"_"&amp;$G$7&amp;" AND "&amp;VLOOKUP(B16,Instruções!$F$13:$J$17,5,0)&amp;"_"&amp;$F$7&amp;"="&amp;VLOOKUP(B16,Instruções!$F$13:$J$17,5,0)&amp;"_"&amp;$G$7&amp;" ")</f>
        <v xml:space="preserve">ON entty_id_as_is=entty_id_to_be </v>
      </c>
      <c r="K16" s="75" t="str">
        <f t="shared" si="3"/>
        <v xml:space="preserve">WHERE coalesce(cast(cllctn_md_as_is AS string),'')&lt;&gt;coalesce(cast(cllctn_md_to_be AS string),'') </v>
      </c>
      <c r="L16" s="75" t="str">
        <f t="shared" si="4"/>
        <v xml:space="preserve">SELECT count(*) AS NUM_REG_DIF FROM (SELECT entty_id as entty_id_, cllctn_md as cllctn_md_as_is FROM cd_loan_tapes_bce.lt003_entity WHERE ref_date='2024-09-30' AND nome_perimetro='Individual Corporativo' AND segmento='ESTR' AND ambito='PM' AND entidade='00100' ) A  Inner join (SELECT entty_id as entty_id_, cllctn_md as cllctn_md_to_be FROM bu_loantape_work.lt003_entity WHERE ref_date='2024-09-30' AND nome_perimetro='Individual Corporativo' AND segmento='ESTR' AND ambito='PM' AND entidade='00100' ) B ON entty_id_as_is=entty_id_to_be WHERE coalesce(cast(cllctn_md_as_is AS string),'')&lt;&gt;coalesce(cast(cllctn_md_to_be AS string),'') </v>
      </c>
      <c r="M16" s="75" t="s">
        <v>55</v>
      </c>
      <c r="N16" s="75" t="str">
        <f>"SELECT 'Validação de campos' as tipologia_teste, '"&amp;VLOOKUP(B16,Instruções!$F$13:$J$17,3,0)&amp;"' AS TABELA, '"&amp;E16&amp;"' AS CAMPO, '"&amp;Instruções!$D$15&amp;"' as ref_date, coalesce(NUM_REG_DIF, 0) AS NUM_REG_DIF FROM ("&amp;L16&amp;") A "</f>
        <v xml:space="preserve">SELECT 'Validação de campos' as tipologia_teste, 'lt003_entity' AS TABELA, 'cllctn_md' AS CAMPO, '2024-09-30' as ref_date, coalesce(NUM_REG_DIF, 0) AS NUM_REG_DIF FROM (SELECT count(*) AS NUM_REG_DIF FROM (SELECT entty_id as entty_id_, cllctn_md as cllctn_md_as_is FROM cd_loan_tapes_bce.lt003_entity WHERE ref_date='2024-09-30' AND nome_perimetro='Individual Corporativo' AND segmento='ESTR' AND ambito='PM' AND entidade='00100' ) A  Inner join (SELECT entty_id as entty_id_, cllctn_md as cllctn_md_to_be FROM bu_loantape_work.lt003_entity WHERE ref_date='2024-09-30' AND nome_perimetro='Individual Corporativo' AND segmento='ESTR' AND ambito='PM' AND entidade='00100' ) B ON entty_id_as_is=entty_id_to_be WHERE coalesce(cast(cllctn_md_as_is AS string),'')&lt;&gt;coalesce(cast(cllctn_md_to_be AS string),'') ) A </v>
      </c>
      <c r="O16" s="76" t="str">
        <f t="shared" si="2"/>
        <v>SELECT 'Validação de campos' as tipologia_teste, 'lt003_entity' AS TABELA, 'cllctn_md' AS CAMPO, '2024-09-30' as ref_date, coalesce(NUM_REG_DIF, 0) AS NUM_REG_DIF FROM (SELECT count(*) AS NUM_REG_DIF FROM (SELECT entty_id as entty_id_, cllctn_md as cllctn_md_as_is FROM cd_loan_tapes_bce.lt003_entity WHERE ref_date='2024-09-30' AND nome_perimetro='Individual Corporativo' AND segmento='ESTR' AND ambito='PM' AND entidade='00100' ) A  Inner join (SELECT entty_id as entty_id_, cllctn_md as cllctn_md_to_be FROM bu_loantape_work.lt003_entity WHERE ref_date='2024-09-30' AND nome_perimetro='Individual Corporativo' AND segmento='ESTR' AND ambito='PM' AND entidade='00100' ) B ON entty_id_as_is=entty_id_to_be WHERE coalesce(cast(cllctn_md_as_is AS string),'')&lt;&gt;coalesce(cast(cllctn_md_to_be AS string),'') ) A Union all</v>
      </c>
      <c r="P16" s="77">
        <f t="shared" si="5"/>
        <v>8</v>
      </c>
    </row>
    <row r="17" spans="2:16" s="63" customFormat="1" ht="18" customHeight="1">
      <c r="B17" s="75" t="s">
        <v>11</v>
      </c>
      <c r="C17" s="75" t="str">
        <f>_xlfn.CONCAT(Instruções!$D$13,".",VLOOKUP(B17,Instruções!$F$12:$H$17,2,0))</f>
        <v>cd_loan_tapes_bce.lt003_entity</v>
      </c>
      <c r="D17" s="75" t="str">
        <f>_xlfn.CONCAT(Instruções!$D$14,".",VLOOKUP(B17,Instruções!$F$12:$H$17,3,0))</f>
        <v>bu_loantape_work.lt003_entity</v>
      </c>
      <c r="E17" s="75" t="s">
        <v>63</v>
      </c>
      <c r="F17" s="75" t="str">
        <f t="shared" si="0"/>
        <v>cntry_as_is</v>
      </c>
      <c r="G17" s="75" t="str">
        <f t="shared" si="1"/>
        <v>cntry_to_be</v>
      </c>
      <c r="H17" s="75" t="str">
        <f>IF(VLOOKUP(B17,Instruções!$F$13:$J$17,5,0)="",
"(SELECT "&amp;VLOOKUP(B17,Instruções!$F$13:$J$17,4,0)&amp;" as "&amp;VLOOKUP(B17,Instruções!$F$13:$J$17,4,0)&amp;"_"&amp;$F$2&amp;", "&amp;E17&amp;" as "&amp;F17&amp;" FROM "&amp;C17&amp;" WHERE "&amp;Instruções!$D$20&amp;") A ",
"(SELECT "&amp;VLOOKUP(B17,Instruções!$F$13:$J$17,4,0)&amp;" as "&amp;VLOOKUP(B17,Instruções!$F$13:$J$17,4,0)&amp;"_"&amp;$F$2&amp;", "&amp;VLOOKUP(B17,Instruções!$F$13:$J$17,5,0)&amp;" as "&amp;VLOOKUP(B17,Instruções!$F$13:$J$17,5,0)&amp;"_"&amp;$F$2&amp;","&amp;E17&amp;" as "&amp;F17&amp;" FROM "&amp;C17&amp;" WHERE "&amp;Instruções!$D$20&amp;") A ")</f>
        <v xml:space="preserve">(SELECT entty_id as entty_id_, cntry as cntry_as_is FROM cd_loan_tapes_bce.lt003_entity WHERE ref_date='2024-09-30' AND nome_perimetro='Individual Corporativo' AND segmento='ESTR' AND ambito='PM' AND entidade='00100' ) A </v>
      </c>
      <c r="I17" s="75" t="str">
        <f>IF(VLOOKUP(B17,Instruções!$F$13:$J$17,5,0)="",
"(SELECT "&amp;VLOOKUP(B17,Instruções!$F$13:$J$17,4,0)&amp;" as "&amp;VLOOKUP(B17,Instruções!$F$13:$J$17,4,0)&amp;"_"&amp;$G$2&amp;", "&amp;E17&amp;" as "&amp;G17&amp;" FROM "&amp;D17&amp;" WHERE "&amp;Instruções!$D$21&amp;") B ",
"(SELECT "&amp;VLOOKUP(B17,Instruções!$F$13:$J$17,4,0)&amp;" as "&amp;VLOOKUP(B17,Instruções!$F$13:$J$17,4,0)&amp;"_"&amp;$G$2&amp;", "&amp;VLOOKUP(B17,Instruções!$F$13:$J$17,5,0)&amp;" as "&amp;VLOOKUP(B17,Instruções!$F$13:$J$17,5,0)&amp;"_"&amp;$G$2&amp;","&amp;E17&amp;" as "&amp;G17&amp;" FROM "&amp;D17&amp;" WHERE "&amp;Instruções!$D$21&amp;") B ")</f>
        <v xml:space="preserve">(SELECT entty_id as entty_id_, cntry as cntry_to_be FROM bu_loantape_work.lt003_entity WHERE ref_date='2024-09-30' AND nome_perimetro='Individual Corporativo' AND segmento='ESTR' AND ambito='PM' AND entidade='00100' ) B </v>
      </c>
      <c r="J17" s="75" t="str">
        <f>+IF(VLOOKUP(B17,Instruções!$F$13:$J$17,5,0)="", "ON "&amp;VLOOKUP(B17,Instruções!$F$13:$J$17,4,0)&amp;"_"&amp;$F$7&amp;"="&amp;VLOOKUP(B17,Instruções!$F$13:$J$17,4,0)&amp;"_"&amp;$G$7&amp;" ", "ON "&amp;VLOOKUP(B17,Instruções!$F$13:$J$17,4,0)&amp;"_"&amp;$F$7&amp;"="&amp;VLOOKUP(B17,Instruções!$F$13:$J$17,4,0)&amp;"_"&amp;$G$7&amp;" AND "&amp;VLOOKUP(B17,Instruções!$F$13:$J$17,5,0)&amp;"_"&amp;$F$7&amp;"="&amp;VLOOKUP(B17,Instruções!$F$13:$J$17,5,0)&amp;"_"&amp;$G$7&amp;" ")</f>
        <v xml:space="preserve">ON entty_id_as_is=entty_id_to_be </v>
      </c>
      <c r="K17" s="75" t="str">
        <f t="shared" si="3"/>
        <v xml:space="preserve">WHERE coalesce(cast(cntry_as_is AS string),'')&lt;&gt;coalesce(cast(cntry_to_be AS string),'') </v>
      </c>
      <c r="L17" s="75" t="str">
        <f t="shared" si="4"/>
        <v xml:space="preserve">SELECT count(*) AS NUM_REG_DIF FROM (SELECT entty_id as entty_id_, cntry as cntry_as_is FROM cd_loan_tapes_bce.lt003_entity WHERE ref_date='2024-09-30' AND nome_perimetro='Individual Corporativo' AND segmento='ESTR' AND ambito='PM' AND entidade='00100' ) A  Inner join (SELECT entty_id as entty_id_, cntry as cntry_to_be FROM bu_loantape_work.lt003_entity WHERE ref_date='2024-09-30' AND nome_perimetro='Individual Corporativo' AND segmento='ESTR' AND ambito='PM' AND entidade='00100' ) B ON entty_id_as_is=entty_id_to_be WHERE coalesce(cast(cntry_as_is AS string),'')&lt;&gt;coalesce(cast(cntry_to_be AS string),'') </v>
      </c>
      <c r="M17" s="75" t="s">
        <v>55</v>
      </c>
      <c r="N17" s="75" t="str">
        <f>"SELECT 'Validação de campos' as tipologia_teste, '"&amp;VLOOKUP(B17,Instruções!$F$13:$J$17,3,0)&amp;"' AS TABELA, '"&amp;E17&amp;"' AS CAMPO, '"&amp;Instruções!$D$15&amp;"' as ref_date, coalesce(NUM_REG_DIF, 0) AS NUM_REG_DIF FROM ("&amp;L17&amp;") A "</f>
        <v xml:space="preserve">SELECT 'Validação de campos' as tipologia_teste, 'lt003_entity' AS TABELA, 'cntry' AS CAMPO, '2024-09-30' as ref_date, coalesce(NUM_REG_DIF, 0) AS NUM_REG_DIF FROM (SELECT count(*) AS NUM_REG_DIF FROM (SELECT entty_id as entty_id_, cntry as cntry_as_is FROM cd_loan_tapes_bce.lt003_entity WHERE ref_date='2024-09-30' AND nome_perimetro='Individual Corporativo' AND segmento='ESTR' AND ambito='PM' AND entidade='00100' ) A  Inner join (SELECT entty_id as entty_id_, cntry as cntry_to_be FROM bu_loantape_work.lt003_entity WHERE ref_date='2024-09-30' AND nome_perimetro='Individual Corporativo' AND segmento='ESTR' AND ambito='PM' AND entidade='00100' ) B ON entty_id_as_is=entty_id_to_be WHERE coalesce(cast(cntry_as_is AS string),'')&lt;&gt;coalesce(cast(cntry_to_be AS string),'') ) A </v>
      </c>
      <c r="O17" s="76" t="str">
        <f t="shared" si="2"/>
        <v>SELECT 'Validação de campos' as tipologia_teste, 'lt003_entity' AS TABELA, 'cntry' AS CAMPO, '2024-09-30' as ref_date, coalesce(NUM_REG_DIF, 0) AS NUM_REG_DIF FROM (SELECT count(*) AS NUM_REG_DIF FROM (SELECT entty_id as entty_id_, cntry as cntry_as_is FROM cd_loan_tapes_bce.lt003_entity WHERE ref_date='2024-09-30' AND nome_perimetro='Individual Corporativo' AND segmento='ESTR' AND ambito='PM' AND entidade='00100' ) A  Inner join (SELECT entty_id as entty_id_, cntry as cntry_to_be FROM bu_loantape_work.lt003_entity WHERE ref_date='2024-09-30' AND nome_perimetro='Individual Corporativo' AND segmento='ESTR' AND ambito='PM' AND entidade='00100' ) B ON entty_id_as_is=entty_id_to_be WHERE coalesce(cast(cntry_as_is AS string),'')&lt;&gt;coalesce(cast(cntry_to_be AS string),'') ) A Union all</v>
      </c>
      <c r="P17" s="77">
        <f t="shared" si="5"/>
        <v>9</v>
      </c>
    </row>
    <row r="18" spans="2:16" s="63" customFormat="1" ht="18" customHeight="1">
      <c r="B18" s="75" t="s">
        <v>11</v>
      </c>
      <c r="C18" s="75" t="str">
        <f>_xlfn.CONCAT(Instruções!$D$13,".",VLOOKUP(B18,Instruções!$F$12:$H$17,2,0))</f>
        <v>cd_loan_tapes_bce.lt003_entity</v>
      </c>
      <c r="D18" s="75" t="str">
        <f>_xlfn.CONCAT(Instruções!$D$14,".",VLOOKUP(B18,Instruções!$F$12:$H$17,3,0))</f>
        <v>bu_loantape_work.lt003_entity</v>
      </c>
      <c r="E18" s="75" t="s">
        <v>64</v>
      </c>
      <c r="F18" s="75" t="str">
        <f t="shared" si="0"/>
        <v>cod_soc_as_is</v>
      </c>
      <c r="G18" s="75" t="str">
        <f t="shared" si="1"/>
        <v>cod_soc_to_be</v>
      </c>
      <c r="H18" s="75" t="str">
        <f>IF(VLOOKUP(B18,Instruções!$F$13:$J$17,5,0)="",
"(SELECT "&amp;VLOOKUP(B18,Instruções!$F$13:$J$17,4,0)&amp;" as "&amp;VLOOKUP(B18,Instruções!$F$13:$J$17,4,0)&amp;"_"&amp;$F$2&amp;", "&amp;E18&amp;" as "&amp;F18&amp;" FROM "&amp;C18&amp;" WHERE "&amp;Instruções!$D$20&amp;") A ",
"(SELECT "&amp;VLOOKUP(B18,Instruções!$F$13:$J$17,4,0)&amp;" as "&amp;VLOOKUP(B18,Instruções!$F$13:$J$17,4,0)&amp;"_"&amp;$F$2&amp;", "&amp;VLOOKUP(B18,Instruções!$F$13:$J$17,5,0)&amp;" as "&amp;VLOOKUP(B18,Instruções!$F$13:$J$17,5,0)&amp;"_"&amp;$F$2&amp;","&amp;E18&amp;" as "&amp;F18&amp;" FROM "&amp;C18&amp;" WHERE "&amp;Instruções!$D$20&amp;") A ")</f>
        <v xml:space="preserve">(SELECT entty_id as entty_id_, cod_soc as cod_soc_as_is FROM cd_loan_tapes_bce.lt003_entity WHERE ref_date='2024-09-30' AND nome_perimetro='Individual Corporativo' AND segmento='ESTR' AND ambito='PM' AND entidade='00100' ) A </v>
      </c>
      <c r="I18" s="75" t="str">
        <f>IF(VLOOKUP(B18,Instruções!$F$13:$J$17,5,0)="",
"(SELECT "&amp;VLOOKUP(B18,Instruções!$F$13:$J$17,4,0)&amp;" as "&amp;VLOOKUP(B18,Instruções!$F$13:$J$17,4,0)&amp;"_"&amp;$G$2&amp;", "&amp;E18&amp;" as "&amp;G18&amp;" FROM "&amp;D18&amp;" WHERE "&amp;Instruções!$D$21&amp;") B ",
"(SELECT "&amp;VLOOKUP(B18,Instruções!$F$13:$J$17,4,0)&amp;" as "&amp;VLOOKUP(B18,Instruções!$F$13:$J$17,4,0)&amp;"_"&amp;$G$2&amp;", "&amp;VLOOKUP(B18,Instruções!$F$13:$J$17,5,0)&amp;" as "&amp;VLOOKUP(B18,Instruções!$F$13:$J$17,5,0)&amp;"_"&amp;$G$2&amp;","&amp;E18&amp;" as "&amp;G18&amp;" FROM "&amp;D18&amp;" WHERE "&amp;Instruções!$D$21&amp;") B ")</f>
        <v xml:space="preserve">(SELECT entty_id as entty_id_, cod_soc as cod_soc_to_be FROM bu_loantape_work.lt003_entity WHERE ref_date='2024-09-30' AND nome_perimetro='Individual Corporativo' AND segmento='ESTR' AND ambito='PM' AND entidade='00100' ) B </v>
      </c>
      <c r="J18" s="75" t="str">
        <f>+IF(VLOOKUP(B18,Instruções!$F$13:$J$17,5,0)="", "ON "&amp;VLOOKUP(B18,Instruções!$F$13:$J$17,4,0)&amp;"_"&amp;$F$7&amp;"="&amp;VLOOKUP(B18,Instruções!$F$13:$J$17,4,0)&amp;"_"&amp;$G$7&amp;" ", "ON "&amp;VLOOKUP(B18,Instruções!$F$13:$J$17,4,0)&amp;"_"&amp;$F$7&amp;"="&amp;VLOOKUP(B18,Instruções!$F$13:$J$17,4,0)&amp;"_"&amp;$G$7&amp;" AND "&amp;VLOOKUP(B18,Instruções!$F$13:$J$17,5,0)&amp;"_"&amp;$F$7&amp;"="&amp;VLOOKUP(B18,Instruções!$F$13:$J$17,5,0)&amp;"_"&amp;$G$7&amp;" ")</f>
        <v xml:space="preserve">ON entty_id_as_is=entty_id_to_be </v>
      </c>
      <c r="K18" s="75" t="str">
        <f t="shared" si="3"/>
        <v xml:space="preserve">WHERE coalesce(cast(cod_soc_as_is AS string),'')&lt;&gt;coalesce(cast(cod_soc_to_be AS string),'') </v>
      </c>
      <c r="L18" s="75" t="str">
        <f t="shared" si="4"/>
        <v xml:space="preserve">SELECT count(*) AS NUM_REG_DIF FROM (SELECT entty_id as entty_id_, cod_soc as cod_soc_as_is FROM cd_loan_tapes_bce.lt003_entity WHERE ref_date='2024-09-30' AND nome_perimetro='Individual Corporativo' AND segmento='ESTR' AND ambito='PM' AND entidade='00100' ) A  Inner join (SELECT entty_id as entty_id_, cod_soc as cod_soc_to_be FROM bu_loantape_work.lt003_entity WHERE ref_date='2024-09-30' AND nome_perimetro='Individual Corporativo' AND segmento='ESTR' AND ambito='PM' AND entidade='00100' ) B ON entty_id_as_is=entty_id_to_be WHERE coalesce(cast(cod_soc_as_is AS string),'')&lt;&gt;coalesce(cast(cod_soc_to_be AS string),'') </v>
      </c>
      <c r="M18" s="75" t="s">
        <v>55</v>
      </c>
      <c r="N18" s="75" t="str">
        <f>"SELECT 'Validação de campos' as tipologia_teste, '"&amp;VLOOKUP(B18,Instruções!$F$13:$J$17,3,0)&amp;"' AS TABELA, '"&amp;E18&amp;"' AS CAMPO, '"&amp;Instruções!$D$15&amp;"' as ref_date, coalesce(NUM_REG_DIF, 0) AS NUM_REG_DIF FROM ("&amp;L18&amp;") A "</f>
        <v xml:space="preserve">SELECT 'Validação de campos' as tipologia_teste, 'lt003_entity' AS TABELA, 'cod_soc' AS CAMPO, '2024-09-30' as ref_date, coalesce(NUM_REG_DIF, 0) AS NUM_REG_DIF FROM (SELECT count(*) AS NUM_REG_DIF FROM (SELECT entty_id as entty_id_, cod_soc as cod_soc_as_is FROM cd_loan_tapes_bce.lt003_entity WHERE ref_date='2024-09-30' AND nome_perimetro='Individual Corporativo' AND segmento='ESTR' AND ambito='PM' AND entidade='00100' ) A  Inner join (SELECT entty_id as entty_id_, cod_soc as cod_soc_to_be FROM bu_loantape_work.lt003_entity WHERE ref_date='2024-09-30' AND nome_perimetro='Individual Corporativo' AND segmento='ESTR' AND ambito='PM' AND entidade='00100' ) B ON entty_id_as_is=entty_id_to_be WHERE coalesce(cast(cod_soc_as_is AS string),'')&lt;&gt;coalesce(cast(cod_soc_to_be AS string),'') ) A </v>
      </c>
      <c r="O18" s="76" t="str">
        <f t="shared" si="2"/>
        <v>SELECT 'Validação de campos' as tipologia_teste, 'lt003_entity' AS TABELA, 'cod_soc' AS CAMPO, '2024-09-30' as ref_date, coalesce(NUM_REG_DIF, 0) AS NUM_REG_DIF FROM (SELECT count(*) AS NUM_REG_DIF FROM (SELECT entty_id as entty_id_, cod_soc as cod_soc_as_is FROM cd_loan_tapes_bce.lt003_entity WHERE ref_date='2024-09-30' AND nome_perimetro='Individual Corporativo' AND segmento='ESTR' AND ambito='PM' AND entidade='00100' ) A  Inner join (SELECT entty_id as entty_id_, cod_soc as cod_soc_to_be FROM bu_loantape_work.lt003_entity WHERE ref_date='2024-09-30' AND nome_perimetro='Individual Corporativo' AND segmento='ESTR' AND ambito='PM' AND entidade='00100' ) B ON entty_id_as_is=entty_id_to_be WHERE coalesce(cast(cod_soc_as_is AS string),'')&lt;&gt;coalesce(cast(cod_soc_to_be AS string),'') ) A Union all</v>
      </c>
      <c r="P18" s="77">
        <f t="shared" si="5"/>
        <v>10</v>
      </c>
    </row>
    <row r="19" spans="2:16" s="63" customFormat="1" ht="18" customHeight="1">
      <c r="B19" s="75" t="s">
        <v>11</v>
      </c>
      <c r="C19" s="75" t="str">
        <f>_xlfn.CONCAT(Instruções!$D$13,".",VLOOKUP(B19,Instruções!$F$12:$H$17,2,0))</f>
        <v>cd_loan_tapes_bce.lt003_entity</v>
      </c>
      <c r="D19" s="75" t="str">
        <f>_xlfn.CONCAT(Instruções!$D$14,".",VLOOKUP(B19,Instruções!$F$12:$H$17,3,0))</f>
        <v>bu_loantape_work.lt003_entity</v>
      </c>
      <c r="E19" s="75" t="s">
        <v>65</v>
      </c>
      <c r="F19" s="75" t="str">
        <f t="shared" si="0"/>
        <v>cr_flg_as_is</v>
      </c>
      <c r="G19" s="75" t="str">
        <f t="shared" si="1"/>
        <v>cr_flg_to_be</v>
      </c>
      <c r="H19" s="75" t="str">
        <f>IF(VLOOKUP(B19,Instruções!$F$13:$J$17,5,0)="",
"(SELECT "&amp;VLOOKUP(B19,Instruções!$F$13:$J$17,4,0)&amp;" as "&amp;VLOOKUP(B19,Instruções!$F$13:$J$17,4,0)&amp;"_"&amp;$F$2&amp;", "&amp;E19&amp;" as "&amp;F19&amp;" FROM "&amp;C19&amp;" WHERE "&amp;Instruções!$D$20&amp;") A ",
"(SELECT "&amp;VLOOKUP(B19,Instruções!$F$13:$J$17,4,0)&amp;" as "&amp;VLOOKUP(B19,Instruções!$F$13:$J$17,4,0)&amp;"_"&amp;$F$2&amp;", "&amp;VLOOKUP(B19,Instruções!$F$13:$J$17,5,0)&amp;" as "&amp;VLOOKUP(B19,Instruções!$F$13:$J$17,5,0)&amp;"_"&amp;$F$2&amp;","&amp;E19&amp;" as "&amp;F19&amp;" FROM "&amp;C19&amp;" WHERE "&amp;Instruções!$D$20&amp;") A ")</f>
        <v xml:space="preserve">(SELECT entty_id as entty_id_, cr_flg as cr_flg_as_is FROM cd_loan_tapes_bce.lt003_entity WHERE ref_date='2024-09-30' AND nome_perimetro='Individual Corporativo' AND segmento='ESTR' AND ambito='PM' AND entidade='00100' ) A </v>
      </c>
      <c r="I19" s="75" t="str">
        <f>IF(VLOOKUP(B19,Instruções!$F$13:$J$17,5,0)="",
"(SELECT "&amp;VLOOKUP(B19,Instruções!$F$13:$J$17,4,0)&amp;" as "&amp;VLOOKUP(B19,Instruções!$F$13:$J$17,4,0)&amp;"_"&amp;$G$2&amp;", "&amp;E19&amp;" as "&amp;G19&amp;" FROM "&amp;D19&amp;" WHERE "&amp;Instruções!$D$21&amp;") B ",
"(SELECT "&amp;VLOOKUP(B19,Instruções!$F$13:$J$17,4,0)&amp;" as "&amp;VLOOKUP(B19,Instruções!$F$13:$J$17,4,0)&amp;"_"&amp;$G$2&amp;", "&amp;VLOOKUP(B19,Instruções!$F$13:$J$17,5,0)&amp;" as "&amp;VLOOKUP(B19,Instruções!$F$13:$J$17,5,0)&amp;"_"&amp;$G$2&amp;","&amp;E19&amp;" as "&amp;G19&amp;" FROM "&amp;D19&amp;" WHERE "&amp;Instruções!$D$21&amp;") B ")</f>
        <v xml:space="preserve">(SELECT entty_id as entty_id_, cr_flg as cr_flg_to_be FROM bu_loantape_work.lt003_entity WHERE ref_date='2024-09-30' AND nome_perimetro='Individual Corporativo' AND segmento='ESTR' AND ambito='PM' AND entidade='00100' ) B </v>
      </c>
      <c r="J19" s="75" t="str">
        <f>+IF(VLOOKUP(B19,Instruções!$F$13:$J$17,5,0)="", "ON "&amp;VLOOKUP(B19,Instruções!$F$13:$J$17,4,0)&amp;"_"&amp;$F$7&amp;"="&amp;VLOOKUP(B19,Instruções!$F$13:$J$17,4,0)&amp;"_"&amp;$G$7&amp;" ", "ON "&amp;VLOOKUP(B19,Instruções!$F$13:$J$17,4,0)&amp;"_"&amp;$F$7&amp;"="&amp;VLOOKUP(B19,Instruções!$F$13:$J$17,4,0)&amp;"_"&amp;$G$7&amp;" AND "&amp;VLOOKUP(B19,Instruções!$F$13:$J$17,5,0)&amp;"_"&amp;$F$7&amp;"="&amp;VLOOKUP(B19,Instruções!$F$13:$J$17,5,0)&amp;"_"&amp;$G$7&amp;" ")</f>
        <v xml:space="preserve">ON entty_id_as_is=entty_id_to_be </v>
      </c>
      <c r="K19" s="75" t="str">
        <f t="shared" si="3"/>
        <v xml:space="preserve">WHERE coalesce(cast(cr_flg_as_is AS string),'')&lt;&gt;coalesce(cast(cr_flg_to_be AS string),'') </v>
      </c>
      <c r="L19" s="75" t="str">
        <f t="shared" si="4"/>
        <v xml:space="preserve">SELECT count(*) AS NUM_REG_DIF FROM (SELECT entty_id as entty_id_, cr_flg as cr_flg_as_is FROM cd_loan_tapes_bce.lt003_entity WHERE ref_date='2024-09-30' AND nome_perimetro='Individual Corporativo' AND segmento='ESTR' AND ambito='PM' AND entidade='00100' ) A  Inner join (SELECT entty_id as entty_id_, cr_flg as cr_flg_to_be FROM bu_loantape_work.lt003_entity WHERE ref_date='2024-09-30' AND nome_perimetro='Individual Corporativo' AND segmento='ESTR' AND ambito='PM' AND entidade='00100' ) B ON entty_id_as_is=entty_id_to_be WHERE coalesce(cast(cr_flg_as_is AS string),'')&lt;&gt;coalesce(cast(cr_flg_to_be AS string),'') </v>
      </c>
      <c r="M19" s="75" t="s">
        <v>55</v>
      </c>
      <c r="N19" s="75" t="str">
        <f>"SELECT 'Validação de campos' as tipologia_teste, '"&amp;VLOOKUP(B19,Instruções!$F$13:$J$17,3,0)&amp;"' AS TABELA, '"&amp;E19&amp;"' AS CAMPO, '"&amp;Instruções!$D$15&amp;"' as ref_date, coalesce(NUM_REG_DIF, 0) AS NUM_REG_DIF FROM ("&amp;L19&amp;") A "</f>
        <v xml:space="preserve">SELECT 'Validação de campos' as tipologia_teste, 'lt003_entity' AS TABELA, 'cr_flg' AS CAMPO, '2024-09-30' as ref_date, coalesce(NUM_REG_DIF, 0) AS NUM_REG_DIF FROM (SELECT count(*) AS NUM_REG_DIF FROM (SELECT entty_id as entty_id_, cr_flg as cr_flg_as_is FROM cd_loan_tapes_bce.lt003_entity WHERE ref_date='2024-09-30' AND nome_perimetro='Individual Corporativo' AND segmento='ESTR' AND ambito='PM' AND entidade='00100' ) A  Inner join (SELECT entty_id as entty_id_, cr_flg as cr_flg_to_be FROM bu_loantape_work.lt003_entity WHERE ref_date='2024-09-30' AND nome_perimetro='Individual Corporativo' AND segmento='ESTR' AND ambito='PM' AND entidade='00100' ) B ON entty_id_as_is=entty_id_to_be WHERE coalesce(cast(cr_flg_as_is AS string),'')&lt;&gt;coalesce(cast(cr_flg_to_be AS string),'') ) A </v>
      </c>
      <c r="O19" s="76" t="str">
        <f t="shared" si="2"/>
        <v>SELECT 'Validação de campos' as tipologia_teste, 'lt003_entity' AS TABELA, 'cr_flg' AS CAMPO, '2024-09-30' as ref_date, coalesce(NUM_REG_DIF, 0) AS NUM_REG_DIF FROM (SELECT count(*) AS NUM_REG_DIF FROM (SELECT entty_id as entty_id_, cr_flg as cr_flg_as_is FROM cd_loan_tapes_bce.lt003_entity WHERE ref_date='2024-09-30' AND nome_perimetro='Individual Corporativo' AND segmento='ESTR' AND ambito='PM' AND entidade='00100' ) A  Inner join (SELECT entty_id as entty_id_, cr_flg as cr_flg_to_be FROM bu_loantape_work.lt003_entity WHERE ref_date='2024-09-30' AND nome_perimetro='Individual Corporativo' AND segmento='ESTR' AND ambito='PM' AND entidade='00100' ) B ON entty_id_as_is=entty_id_to_be WHERE coalesce(cast(cr_flg_as_is AS string),'')&lt;&gt;coalesce(cast(cr_flg_to_be AS string),'') ) A Union all</v>
      </c>
      <c r="P19" s="77">
        <f t="shared" si="5"/>
        <v>11</v>
      </c>
    </row>
    <row r="20" spans="2:16" s="63" customFormat="1" ht="18" customHeight="1">
      <c r="B20" s="75" t="s">
        <v>11</v>
      </c>
      <c r="C20" s="75" t="str">
        <f>_xlfn.CONCAT(Instruções!$D$13,".",VLOOKUP(B20,Instruções!$F$12:$H$17,2,0))</f>
        <v>cd_loan_tapes_bce.lt003_entity</v>
      </c>
      <c r="D20" s="75" t="str">
        <f>_xlfn.CONCAT(Instruções!$D$14,".",VLOOKUP(B20,Instruções!$F$12:$H$17,3,0))</f>
        <v>bu_loantape_work.lt003_entity</v>
      </c>
      <c r="E20" s="75" t="s">
        <v>66</v>
      </c>
      <c r="F20" s="75" t="str">
        <f t="shared" si="0"/>
        <v>csh_as_is</v>
      </c>
      <c r="G20" s="75" t="str">
        <f t="shared" si="1"/>
        <v>csh_to_be</v>
      </c>
      <c r="H20" s="75" t="str">
        <f>IF(VLOOKUP(B20,Instruções!$F$13:$J$17,5,0)="",
"(SELECT "&amp;VLOOKUP(B20,Instruções!$F$13:$J$17,4,0)&amp;" as "&amp;VLOOKUP(B20,Instruções!$F$13:$J$17,4,0)&amp;"_"&amp;$F$2&amp;", "&amp;E20&amp;" as "&amp;F20&amp;" FROM "&amp;C20&amp;" WHERE "&amp;Instruções!$D$20&amp;") A ",
"(SELECT "&amp;VLOOKUP(B20,Instruções!$F$13:$J$17,4,0)&amp;" as "&amp;VLOOKUP(B20,Instruções!$F$13:$J$17,4,0)&amp;"_"&amp;$F$2&amp;", "&amp;VLOOKUP(B20,Instruções!$F$13:$J$17,5,0)&amp;" as "&amp;VLOOKUP(B20,Instruções!$F$13:$J$17,5,0)&amp;"_"&amp;$F$2&amp;","&amp;E20&amp;" as "&amp;F20&amp;" FROM "&amp;C20&amp;" WHERE "&amp;Instruções!$D$20&amp;") A ")</f>
        <v xml:space="preserve">(SELECT entty_id as entty_id_, csh as csh_as_is FROM cd_loan_tapes_bce.lt003_entity WHERE ref_date='2024-09-30' AND nome_perimetro='Individual Corporativo' AND segmento='ESTR' AND ambito='PM' AND entidade='00100' ) A </v>
      </c>
      <c r="I20" s="75" t="str">
        <f>IF(VLOOKUP(B20,Instruções!$F$13:$J$17,5,0)="",
"(SELECT "&amp;VLOOKUP(B20,Instruções!$F$13:$J$17,4,0)&amp;" as "&amp;VLOOKUP(B20,Instruções!$F$13:$J$17,4,0)&amp;"_"&amp;$G$2&amp;", "&amp;E20&amp;" as "&amp;G20&amp;" FROM "&amp;D20&amp;" WHERE "&amp;Instruções!$D$21&amp;") B ",
"(SELECT "&amp;VLOOKUP(B20,Instruções!$F$13:$J$17,4,0)&amp;" as "&amp;VLOOKUP(B20,Instruções!$F$13:$J$17,4,0)&amp;"_"&amp;$G$2&amp;", "&amp;VLOOKUP(B20,Instruções!$F$13:$J$17,5,0)&amp;" as "&amp;VLOOKUP(B20,Instruções!$F$13:$J$17,5,0)&amp;"_"&amp;$G$2&amp;","&amp;E20&amp;" as "&amp;G20&amp;" FROM "&amp;D20&amp;" WHERE "&amp;Instruções!$D$21&amp;") B ")</f>
        <v xml:space="preserve">(SELECT entty_id as entty_id_, csh as csh_to_be FROM bu_loantape_work.lt003_entity WHERE ref_date='2024-09-30' AND nome_perimetro='Individual Corporativo' AND segmento='ESTR' AND ambito='PM' AND entidade='00100' ) B </v>
      </c>
      <c r="J20" s="75" t="str">
        <f>+IF(VLOOKUP(B20,Instruções!$F$13:$J$17,5,0)="", "ON "&amp;VLOOKUP(B20,Instruções!$F$13:$J$17,4,0)&amp;"_"&amp;$F$7&amp;"="&amp;VLOOKUP(B20,Instruções!$F$13:$J$17,4,0)&amp;"_"&amp;$G$7&amp;" ", "ON "&amp;VLOOKUP(B20,Instruções!$F$13:$J$17,4,0)&amp;"_"&amp;$F$7&amp;"="&amp;VLOOKUP(B20,Instruções!$F$13:$J$17,4,0)&amp;"_"&amp;$G$7&amp;" AND "&amp;VLOOKUP(B20,Instruções!$F$13:$J$17,5,0)&amp;"_"&amp;$F$7&amp;"="&amp;VLOOKUP(B20,Instruções!$F$13:$J$17,5,0)&amp;"_"&amp;$G$7&amp;" ")</f>
        <v xml:space="preserve">ON entty_id_as_is=entty_id_to_be </v>
      </c>
      <c r="K20" s="75" t="str">
        <f t="shared" si="3"/>
        <v xml:space="preserve">WHERE coalesce(cast(csh_as_is AS string),'')&lt;&gt;coalesce(cast(csh_to_be AS string),'') </v>
      </c>
      <c r="L20" s="75" t="str">
        <f t="shared" si="4"/>
        <v xml:space="preserve">SELECT count(*) AS NUM_REG_DIF FROM (SELECT entty_id as entty_id_, csh as csh_as_is FROM cd_loan_tapes_bce.lt003_entity WHERE ref_date='2024-09-30' AND nome_perimetro='Individual Corporativo' AND segmento='ESTR' AND ambito='PM' AND entidade='00100' ) A  Inner join (SELECT entty_id as entty_id_, csh as csh_to_be FROM bu_loantape_work.lt003_entity WHERE ref_date='2024-09-30' AND nome_perimetro='Individual Corporativo' AND segmento='ESTR' AND ambito='PM' AND entidade='00100' ) B ON entty_id_as_is=entty_id_to_be WHERE coalesce(cast(csh_as_is AS string),'')&lt;&gt;coalesce(cast(csh_to_be AS string),'') </v>
      </c>
      <c r="M20" s="75" t="s">
        <v>55</v>
      </c>
      <c r="N20" s="75" t="str">
        <f>"SELECT 'Validação de campos' as tipologia_teste, '"&amp;VLOOKUP(B20,Instruções!$F$13:$J$17,3,0)&amp;"' AS TABELA, '"&amp;E20&amp;"' AS CAMPO, '"&amp;Instruções!$D$15&amp;"' as ref_date, coalesce(NUM_REG_DIF, 0) AS NUM_REG_DIF FROM ("&amp;L20&amp;") A "</f>
        <v xml:space="preserve">SELECT 'Validação de campos' as tipologia_teste, 'lt003_entity' AS TABELA, 'csh' AS CAMPO, '2024-09-30' as ref_date, coalesce(NUM_REG_DIF, 0) AS NUM_REG_DIF FROM (SELECT count(*) AS NUM_REG_DIF FROM (SELECT entty_id as entty_id_, csh as csh_as_is FROM cd_loan_tapes_bce.lt003_entity WHERE ref_date='2024-09-30' AND nome_perimetro='Individual Corporativo' AND segmento='ESTR' AND ambito='PM' AND entidade='00100' ) A  Inner join (SELECT entty_id as entty_id_, csh as csh_to_be FROM bu_loantape_work.lt003_entity WHERE ref_date='2024-09-30' AND nome_perimetro='Individual Corporativo' AND segmento='ESTR' AND ambito='PM' AND entidade='00100' ) B ON entty_id_as_is=entty_id_to_be WHERE coalesce(cast(csh_as_is AS string),'')&lt;&gt;coalesce(cast(csh_to_be AS string),'') ) A </v>
      </c>
      <c r="O20" s="76" t="str">
        <f t="shared" si="2"/>
        <v>SELECT 'Validação de campos' as tipologia_teste, 'lt003_entity' AS TABELA, 'csh' AS CAMPO, '2024-09-30' as ref_date, coalesce(NUM_REG_DIF, 0) AS NUM_REG_DIF FROM (SELECT count(*) AS NUM_REG_DIF FROM (SELECT entty_id as entty_id_, csh as csh_as_is FROM cd_loan_tapes_bce.lt003_entity WHERE ref_date='2024-09-30' AND nome_perimetro='Individual Corporativo' AND segmento='ESTR' AND ambito='PM' AND entidade='00100' ) A  Inner join (SELECT entty_id as entty_id_, csh as csh_to_be FROM bu_loantape_work.lt003_entity WHERE ref_date='2024-09-30' AND nome_perimetro='Individual Corporativo' AND segmento='ESTR' AND ambito='PM' AND entidade='00100' ) B ON entty_id_as_is=entty_id_to_be WHERE coalesce(cast(csh_as_is AS string),'')&lt;&gt;coalesce(cast(csh_to_be AS string),'') ) A Union all</v>
      </c>
      <c r="P20" s="77">
        <f t="shared" si="5"/>
        <v>12</v>
      </c>
    </row>
    <row r="21" spans="2:16" s="63" customFormat="1" ht="18" customHeight="1">
      <c r="B21" s="75" t="s">
        <v>11</v>
      </c>
      <c r="C21" s="75" t="str">
        <f>_xlfn.CONCAT(Instruções!$D$13,".",VLOOKUP(B21,Instruções!$F$12:$H$17,2,0))</f>
        <v>cd_loan_tapes_bce.lt003_entity</v>
      </c>
      <c r="D21" s="75" t="str">
        <f>_xlfn.CONCAT(Instruções!$D$14,".",VLOOKUP(B21,Instruções!$F$12:$H$17,3,0))</f>
        <v>bu_loantape_work.lt003_entity</v>
      </c>
      <c r="E21" s="75" t="s">
        <v>67</v>
      </c>
      <c r="F21" s="75" t="str">
        <f t="shared" si="0"/>
        <v>csh_prvs_as_is</v>
      </c>
      <c r="G21" s="75" t="str">
        <f t="shared" si="1"/>
        <v>csh_prvs_to_be</v>
      </c>
      <c r="H21" s="75" t="str">
        <f>IF(VLOOKUP(B21,Instruções!$F$13:$J$17,5,0)="",
"(SELECT "&amp;VLOOKUP(B21,Instruções!$F$13:$J$17,4,0)&amp;" as "&amp;VLOOKUP(B21,Instruções!$F$13:$J$17,4,0)&amp;"_"&amp;$F$2&amp;", "&amp;E21&amp;" as "&amp;F21&amp;" FROM "&amp;C21&amp;" WHERE "&amp;Instruções!$D$20&amp;") A ",
"(SELECT "&amp;VLOOKUP(B21,Instruções!$F$13:$J$17,4,0)&amp;" as "&amp;VLOOKUP(B21,Instruções!$F$13:$J$17,4,0)&amp;"_"&amp;$F$2&amp;", "&amp;VLOOKUP(B21,Instruções!$F$13:$J$17,5,0)&amp;" as "&amp;VLOOKUP(B21,Instruções!$F$13:$J$17,5,0)&amp;"_"&amp;$F$2&amp;","&amp;E21&amp;" as "&amp;F21&amp;" FROM "&amp;C21&amp;" WHERE "&amp;Instruções!$D$20&amp;") A ")</f>
        <v xml:space="preserve">(SELECT entty_id as entty_id_, csh_prvs as csh_prvs_as_is FROM cd_loan_tapes_bce.lt003_entity WHERE ref_date='2024-09-30' AND nome_perimetro='Individual Corporativo' AND segmento='ESTR' AND ambito='PM' AND entidade='00100' ) A </v>
      </c>
      <c r="I21" s="75" t="str">
        <f>IF(VLOOKUP(B21,Instruções!$F$13:$J$17,5,0)="",
"(SELECT "&amp;VLOOKUP(B21,Instruções!$F$13:$J$17,4,0)&amp;" as "&amp;VLOOKUP(B21,Instruções!$F$13:$J$17,4,0)&amp;"_"&amp;$G$2&amp;", "&amp;E21&amp;" as "&amp;G21&amp;" FROM "&amp;D21&amp;" WHERE "&amp;Instruções!$D$21&amp;") B ",
"(SELECT "&amp;VLOOKUP(B21,Instruções!$F$13:$J$17,4,0)&amp;" as "&amp;VLOOKUP(B21,Instruções!$F$13:$J$17,4,0)&amp;"_"&amp;$G$2&amp;", "&amp;VLOOKUP(B21,Instruções!$F$13:$J$17,5,0)&amp;" as "&amp;VLOOKUP(B21,Instruções!$F$13:$J$17,5,0)&amp;"_"&amp;$G$2&amp;","&amp;E21&amp;" as "&amp;G21&amp;" FROM "&amp;D21&amp;" WHERE "&amp;Instruções!$D$21&amp;") B ")</f>
        <v xml:space="preserve">(SELECT entty_id as entty_id_, csh_prvs as csh_prvs_to_be FROM bu_loantape_work.lt003_entity WHERE ref_date='2024-09-30' AND nome_perimetro='Individual Corporativo' AND segmento='ESTR' AND ambito='PM' AND entidade='00100' ) B </v>
      </c>
      <c r="J21" s="75" t="str">
        <f>+IF(VLOOKUP(B21,Instruções!$F$13:$J$17,5,0)="", "ON "&amp;VLOOKUP(B21,Instruções!$F$13:$J$17,4,0)&amp;"_"&amp;$F$7&amp;"="&amp;VLOOKUP(B21,Instruções!$F$13:$J$17,4,0)&amp;"_"&amp;$G$7&amp;" ", "ON "&amp;VLOOKUP(B21,Instruções!$F$13:$J$17,4,0)&amp;"_"&amp;$F$7&amp;"="&amp;VLOOKUP(B21,Instruções!$F$13:$J$17,4,0)&amp;"_"&amp;$G$7&amp;" AND "&amp;VLOOKUP(B21,Instruções!$F$13:$J$17,5,0)&amp;"_"&amp;$F$7&amp;"="&amp;VLOOKUP(B21,Instruções!$F$13:$J$17,5,0)&amp;"_"&amp;$G$7&amp;" ")</f>
        <v xml:space="preserve">ON entty_id_as_is=entty_id_to_be </v>
      </c>
      <c r="K21" s="75" t="str">
        <f t="shared" si="3"/>
        <v xml:space="preserve">WHERE coalesce(cast(csh_prvs_as_is AS string),'')&lt;&gt;coalesce(cast(csh_prvs_to_be AS string),'') </v>
      </c>
      <c r="L21" s="75" t="str">
        <f t="shared" si="4"/>
        <v xml:space="preserve">SELECT count(*) AS NUM_REG_DIF FROM (SELECT entty_id as entty_id_, csh_prvs as csh_prvs_as_is FROM cd_loan_tapes_bce.lt003_entity WHERE ref_date='2024-09-30' AND nome_perimetro='Individual Corporativo' AND segmento='ESTR' AND ambito='PM' AND entidade='00100' ) A  Inner join (SELECT entty_id as entty_id_, csh_prvs as csh_prvs_to_be FROM bu_loantape_work.lt003_entity WHERE ref_date='2024-09-30' AND nome_perimetro='Individual Corporativo' AND segmento='ESTR' AND ambito='PM' AND entidade='00100' ) B ON entty_id_as_is=entty_id_to_be WHERE coalesce(cast(csh_prvs_as_is AS string),'')&lt;&gt;coalesce(cast(csh_prvs_to_be AS string),'') </v>
      </c>
      <c r="M21" s="75" t="s">
        <v>55</v>
      </c>
      <c r="N21" s="75" t="str">
        <f>"SELECT 'Validação de campos' as tipologia_teste, '"&amp;VLOOKUP(B21,Instruções!$F$13:$J$17,3,0)&amp;"' AS TABELA, '"&amp;E21&amp;"' AS CAMPO, '"&amp;Instruções!$D$15&amp;"' as ref_date, coalesce(NUM_REG_DIF, 0) AS NUM_REG_DIF FROM ("&amp;L21&amp;") A "</f>
        <v xml:space="preserve">SELECT 'Validação de campos' as tipologia_teste, 'lt003_entity' AS TABELA, 'csh_prvs' AS CAMPO, '2024-09-30' as ref_date, coalesce(NUM_REG_DIF, 0) AS NUM_REG_DIF FROM (SELECT count(*) AS NUM_REG_DIF FROM (SELECT entty_id as entty_id_, csh_prvs as csh_prvs_as_is FROM cd_loan_tapes_bce.lt003_entity WHERE ref_date='2024-09-30' AND nome_perimetro='Individual Corporativo' AND segmento='ESTR' AND ambito='PM' AND entidade='00100' ) A  Inner join (SELECT entty_id as entty_id_, csh_prvs as csh_prvs_to_be FROM bu_loantape_work.lt003_entity WHERE ref_date='2024-09-30' AND nome_perimetro='Individual Corporativo' AND segmento='ESTR' AND ambito='PM' AND entidade='00100' ) B ON entty_id_as_is=entty_id_to_be WHERE coalesce(cast(csh_prvs_as_is AS string),'')&lt;&gt;coalesce(cast(csh_prvs_to_be AS string),'') ) A </v>
      </c>
      <c r="O21" s="76" t="str">
        <f t="shared" si="2"/>
        <v>SELECT 'Validação de campos' as tipologia_teste, 'lt003_entity' AS TABELA, 'csh_prvs' AS CAMPO, '2024-09-30' as ref_date, coalesce(NUM_REG_DIF, 0) AS NUM_REG_DIF FROM (SELECT count(*) AS NUM_REG_DIF FROM (SELECT entty_id as entty_id_, csh_prvs as csh_prvs_as_is FROM cd_loan_tapes_bce.lt003_entity WHERE ref_date='2024-09-30' AND nome_perimetro='Individual Corporativo' AND segmento='ESTR' AND ambito='PM' AND entidade='00100' ) A  Inner join (SELECT entty_id as entty_id_, csh_prvs as csh_prvs_to_be FROM bu_loantape_work.lt003_entity WHERE ref_date='2024-09-30' AND nome_perimetro='Individual Corporativo' AND segmento='ESTR' AND ambito='PM' AND entidade='00100' ) B ON entty_id_as_is=entty_id_to_be WHERE coalesce(cast(csh_prvs_as_is AS string),'')&lt;&gt;coalesce(cast(csh_prvs_to_be AS string),'') ) A Union all</v>
      </c>
      <c r="P21" s="77">
        <f t="shared" si="5"/>
        <v>13</v>
      </c>
    </row>
    <row r="22" spans="2:16" s="63" customFormat="1" ht="18" customHeight="1">
      <c r="B22" s="75" t="s">
        <v>11</v>
      </c>
      <c r="C22" s="75" t="str">
        <f>_xlfn.CONCAT(Instruções!$D$13,".",VLOOKUP(B22,Instruções!$F$12:$H$17,2,0))</f>
        <v>cd_loan_tapes_bce.lt003_entity</v>
      </c>
      <c r="D22" s="75" t="str">
        <f>_xlfn.CONCAT(Instruções!$D$14,".",VLOOKUP(B22,Instruções!$F$12:$H$17,3,0))</f>
        <v>bu_loantape_work.lt003_entity</v>
      </c>
      <c r="E22" s="75" t="s">
        <v>68</v>
      </c>
      <c r="F22" s="75" t="str">
        <f t="shared" si="0"/>
        <v>dbt_rpymnt_cpcty_snr_dbt_as_is</v>
      </c>
      <c r="G22" s="75" t="str">
        <f t="shared" si="1"/>
        <v>dbt_rpymnt_cpcty_snr_dbt_to_be</v>
      </c>
      <c r="H22" s="75" t="str">
        <f>IF(VLOOKUP(B22,Instruções!$F$13:$J$17,5,0)="",
"(SELECT "&amp;VLOOKUP(B22,Instruções!$F$13:$J$17,4,0)&amp;" as "&amp;VLOOKUP(B22,Instruções!$F$13:$J$17,4,0)&amp;"_"&amp;$F$2&amp;", "&amp;E22&amp;" as "&amp;F22&amp;" FROM "&amp;C22&amp;" WHERE "&amp;Instruções!$D$20&amp;") A ",
"(SELECT "&amp;VLOOKUP(B22,Instruções!$F$13:$J$17,4,0)&amp;" as "&amp;VLOOKUP(B22,Instruções!$F$13:$J$17,4,0)&amp;"_"&amp;$F$2&amp;", "&amp;VLOOKUP(B22,Instruções!$F$13:$J$17,5,0)&amp;" as "&amp;VLOOKUP(B22,Instruções!$F$13:$J$17,5,0)&amp;"_"&amp;$F$2&amp;","&amp;E22&amp;" as "&amp;F22&amp;" FROM "&amp;C22&amp;" WHERE "&amp;Instruções!$D$20&amp;") A ")</f>
        <v xml:space="preserve">(SELECT entty_id as entty_id_, dbt_rpymnt_cpcty_snr_dbt as dbt_rpymnt_cpcty_snr_dbt_as_is FROM cd_loan_tapes_bce.lt003_entity WHERE ref_date='2024-09-30' AND nome_perimetro='Individual Corporativo' AND segmento='ESTR' AND ambito='PM' AND entidade='00100' ) A </v>
      </c>
      <c r="I22" s="75" t="str">
        <f>IF(VLOOKUP(B22,Instruções!$F$13:$J$17,5,0)="",
"(SELECT "&amp;VLOOKUP(B22,Instruções!$F$13:$J$17,4,0)&amp;" as "&amp;VLOOKUP(B22,Instruções!$F$13:$J$17,4,0)&amp;"_"&amp;$G$2&amp;", "&amp;E22&amp;" as "&amp;G22&amp;" FROM "&amp;D22&amp;" WHERE "&amp;Instruções!$D$21&amp;") B ",
"(SELECT "&amp;VLOOKUP(B22,Instruções!$F$13:$J$17,4,0)&amp;" as "&amp;VLOOKUP(B22,Instruções!$F$13:$J$17,4,0)&amp;"_"&amp;$G$2&amp;", "&amp;VLOOKUP(B22,Instruções!$F$13:$J$17,5,0)&amp;" as "&amp;VLOOKUP(B22,Instruções!$F$13:$J$17,5,0)&amp;"_"&amp;$G$2&amp;","&amp;E22&amp;" as "&amp;G22&amp;" FROM "&amp;D22&amp;" WHERE "&amp;Instruções!$D$21&amp;") B ")</f>
        <v xml:space="preserve">(SELECT entty_id as entty_id_, dbt_rpymnt_cpcty_snr_dbt as dbt_rpymnt_cpcty_snr_dbt_to_be FROM bu_loantape_work.lt003_entity WHERE ref_date='2024-09-30' AND nome_perimetro='Individual Corporativo' AND segmento='ESTR' AND ambito='PM' AND entidade='00100' ) B </v>
      </c>
      <c r="J22" s="75" t="str">
        <f>+IF(VLOOKUP(B22,Instruções!$F$13:$J$17,5,0)="", "ON "&amp;VLOOKUP(B22,Instruções!$F$13:$J$17,4,0)&amp;"_"&amp;$F$7&amp;"="&amp;VLOOKUP(B22,Instruções!$F$13:$J$17,4,0)&amp;"_"&amp;$G$7&amp;" ", "ON "&amp;VLOOKUP(B22,Instruções!$F$13:$J$17,4,0)&amp;"_"&amp;$F$7&amp;"="&amp;VLOOKUP(B22,Instruções!$F$13:$J$17,4,0)&amp;"_"&amp;$G$7&amp;" AND "&amp;VLOOKUP(B22,Instruções!$F$13:$J$17,5,0)&amp;"_"&amp;$F$7&amp;"="&amp;VLOOKUP(B22,Instruções!$F$13:$J$17,5,0)&amp;"_"&amp;$G$7&amp;" ")</f>
        <v xml:space="preserve">ON entty_id_as_is=entty_id_to_be </v>
      </c>
      <c r="K22" s="75" t="str">
        <f t="shared" si="3"/>
        <v xml:space="preserve">WHERE coalesce(cast(dbt_rpymnt_cpcty_snr_dbt_as_is AS string),'')&lt;&gt;coalesce(cast(dbt_rpymnt_cpcty_snr_dbt_to_be AS string),'') </v>
      </c>
      <c r="L22" s="75" t="str">
        <f t="shared" si="4"/>
        <v xml:space="preserve">SELECT count(*) AS NUM_REG_DIF FROM (SELECT entty_id as entty_id_, dbt_rpymnt_cpcty_snr_dbt as dbt_rpymnt_cpcty_snr_dbt_as_is FROM cd_loan_tapes_bce.lt003_entity WHERE ref_date='2024-09-30' AND nome_perimetro='Individual Corporativo' AND segmento='ESTR' AND ambito='PM' AND entidade='00100' ) A  Inner join (SELECT entty_id as entty_id_, dbt_rpymnt_cpcty_snr_dbt as dbt_rpymnt_cpcty_snr_dbt_to_be FROM bu_loantape_work.lt003_entity WHERE ref_date='2024-09-30' AND nome_perimetro='Individual Corporativo' AND segmento='ESTR' AND ambito='PM' AND entidade='00100' ) B ON entty_id_as_is=entty_id_to_be WHERE coalesce(cast(dbt_rpymnt_cpcty_snr_dbt_as_is AS string),'')&lt;&gt;coalesce(cast(dbt_rpymnt_cpcty_snr_dbt_to_be AS string),'') </v>
      </c>
      <c r="M22" s="75" t="s">
        <v>55</v>
      </c>
      <c r="N22" s="75" t="str">
        <f>"SELECT 'Validação de campos' as tipologia_teste, '"&amp;VLOOKUP(B22,Instruções!$F$13:$J$17,3,0)&amp;"' AS TABELA, '"&amp;E22&amp;"' AS CAMPO, '"&amp;Instruções!$D$15&amp;"' as ref_date, coalesce(NUM_REG_DIF, 0) AS NUM_REG_DIF FROM ("&amp;L22&amp;") A "</f>
        <v xml:space="preserve">SELECT 'Validação de campos' as tipologia_teste, 'lt003_entity' AS TABELA, 'dbt_rpymnt_cpcty_snr_dbt' AS CAMPO, '2024-09-30' as ref_date, coalesce(NUM_REG_DIF, 0) AS NUM_REG_DIF FROM (SELECT count(*) AS NUM_REG_DIF FROM (SELECT entty_id as entty_id_, dbt_rpymnt_cpcty_snr_dbt as dbt_rpymnt_cpcty_snr_dbt_as_is FROM cd_loan_tapes_bce.lt003_entity WHERE ref_date='2024-09-30' AND nome_perimetro='Individual Corporativo' AND segmento='ESTR' AND ambito='PM' AND entidade='00100' ) A  Inner join (SELECT entty_id as entty_id_, dbt_rpymnt_cpcty_snr_dbt as dbt_rpymnt_cpcty_snr_dbt_to_be FROM bu_loantape_work.lt003_entity WHERE ref_date='2024-09-30' AND nome_perimetro='Individual Corporativo' AND segmento='ESTR' AND ambito='PM' AND entidade='00100' ) B ON entty_id_as_is=entty_id_to_be WHERE coalesce(cast(dbt_rpymnt_cpcty_snr_dbt_as_is AS string),'')&lt;&gt;coalesce(cast(dbt_rpymnt_cpcty_snr_dbt_to_be AS string),'') ) A </v>
      </c>
      <c r="O22" s="76" t="str">
        <f t="shared" si="2"/>
        <v>SELECT 'Validação de campos' as tipologia_teste, 'lt003_entity' AS TABELA, 'dbt_rpymnt_cpcty_snr_dbt' AS CAMPO, '2024-09-30' as ref_date, coalesce(NUM_REG_DIF, 0) AS NUM_REG_DIF FROM (SELECT count(*) AS NUM_REG_DIF FROM (SELECT entty_id as entty_id_, dbt_rpymnt_cpcty_snr_dbt as dbt_rpymnt_cpcty_snr_dbt_as_is FROM cd_loan_tapes_bce.lt003_entity WHERE ref_date='2024-09-30' AND nome_perimetro='Individual Corporativo' AND segmento='ESTR' AND ambito='PM' AND entidade='00100' ) A  Inner join (SELECT entty_id as entty_id_, dbt_rpymnt_cpcty_snr_dbt as dbt_rpymnt_cpcty_snr_dbt_to_be FROM bu_loantape_work.lt003_entity WHERE ref_date='2024-09-30' AND nome_perimetro='Individual Corporativo' AND segmento='ESTR' AND ambito='PM' AND entidade='00100' ) B ON entty_id_as_is=entty_id_to_be WHERE coalesce(cast(dbt_rpymnt_cpcty_snr_dbt_as_is AS string),'')&lt;&gt;coalesce(cast(dbt_rpymnt_cpcty_snr_dbt_to_be AS string),'') ) A Union all</v>
      </c>
      <c r="P22" s="77">
        <f t="shared" si="5"/>
        <v>14</v>
      </c>
    </row>
    <row r="23" spans="2:16" s="63" customFormat="1" ht="18" customHeight="1">
      <c r="B23" s="75" t="s">
        <v>11</v>
      </c>
      <c r="C23" s="75" t="str">
        <f>_xlfn.CONCAT(Instruções!$D$13,".",VLOOKUP(B23,Instruções!$F$12:$H$17,2,0))</f>
        <v>cd_loan_tapes_bce.lt003_entity</v>
      </c>
      <c r="D23" s="75" t="str">
        <f>_xlfn.CONCAT(Instruções!$D$14,".",VLOOKUP(B23,Instruções!$F$12:$H$17,3,0))</f>
        <v>bu_loantape_work.lt003_entity</v>
      </c>
      <c r="E23" s="75" t="s">
        <v>69</v>
      </c>
      <c r="F23" s="75" t="str">
        <f t="shared" si="0"/>
        <v>dbt_rpymnt_cpcty_ttl_as_is</v>
      </c>
      <c r="G23" s="75" t="str">
        <f t="shared" si="1"/>
        <v>dbt_rpymnt_cpcty_ttl_to_be</v>
      </c>
      <c r="H23" s="75" t="str">
        <f>IF(VLOOKUP(B23,Instruções!$F$13:$J$17,5,0)="",
"(SELECT "&amp;VLOOKUP(B23,Instruções!$F$13:$J$17,4,0)&amp;" as "&amp;VLOOKUP(B23,Instruções!$F$13:$J$17,4,0)&amp;"_"&amp;$F$2&amp;", "&amp;E23&amp;" as "&amp;F23&amp;" FROM "&amp;C23&amp;" WHERE "&amp;Instruções!$D$20&amp;") A ",
"(SELECT "&amp;VLOOKUP(B23,Instruções!$F$13:$J$17,4,0)&amp;" as "&amp;VLOOKUP(B23,Instruções!$F$13:$J$17,4,0)&amp;"_"&amp;$F$2&amp;", "&amp;VLOOKUP(B23,Instruções!$F$13:$J$17,5,0)&amp;" as "&amp;VLOOKUP(B23,Instruções!$F$13:$J$17,5,0)&amp;"_"&amp;$F$2&amp;","&amp;E23&amp;" as "&amp;F23&amp;" FROM "&amp;C23&amp;" WHERE "&amp;Instruções!$D$20&amp;") A ")</f>
        <v xml:space="preserve">(SELECT entty_id as entty_id_, dbt_rpymnt_cpcty_ttl as dbt_rpymnt_cpcty_ttl_as_is FROM cd_loan_tapes_bce.lt003_entity WHERE ref_date='2024-09-30' AND nome_perimetro='Individual Corporativo' AND segmento='ESTR' AND ambito='PM' AND entidade='00100' ) A </v>
      </c>
      <c r="I23" s="75" t="str">
        <f>IF(VLOOKUP(B23,Instruções!$F$13:$J$17,5,0)="",
"(SELECT "&amp;VLOOKUP(B23,Instruções!$F$13:$J$17,4,0)&amp;" as "&amp;VLOOKUP(B23,Instruções!$F$13:$J$17,4,0)&amp;"_"&amp;$G$2&amp;", "&amp;E23&amp;" as "&amp;G23&amp;" FROM "&amp;D23&amp;" WHERE "&amp;Instruções!$D$21&amp;") B ",
"(SELECT "&amp;VLOOKUP(B23,Instruções!$F$13:$J$17,4,0)&amp;" as "&amp;VLOOKUP(B23,Instruções!$F$13:$J$17,4,0)&amp;"_"&amp;$G$2&amp;", "&amp;VLOOKUP(B23,Instruções!$F$13:$J$17,5,0)&amp;" as "&amp;VLOOKUP(B23,Instruções!$F$13:$J$17,5,0)&amp;"_"&amp;$G$2&amp;","&amp;E23&amp;" as "&amp;G23&amp;" FROM "&amp;D23&amp;" WHERE "&amp;Instruções!$D$21&amp;") B ")</f>
        <v xml:space="preserve">(SELECT entty_id as entty_id_, dbt_rpymnt_cpcty_ttl as dbt_rpymnt_cpcty_ttl_to_be FROM bu_loantape_work.lt003_entity WHERE ref_date='2024-09-30' AND nome_perimetro='Individual Corporativo' AND segmento='ESTR' AND ambito='PM' AND entidade='00100' ) B </v>
      </c>
      <c r="J23" s="75" t="str">
        <f>+IF(VLOOKUP(B23,Instruções!$F$13:$J$17,5,0)="", "ON "&amp;VLOOKUP(B23,Instruções!$F$13:$J$17,4,0)&amp;"_"&amp;$F$7&amp;"="&amp;VLOOKUP(B23,Instruções!$F$13:$J$17,4,0)&amp;"_"&amp;$G$7&amp;" ", "ON "&amp;VLOOKUP(B23,Instruções!$F$13:$J$17,4,0)&amp;"_"&amp;$F$7&amp;"="&amp;VLOOKUP(B23,Instruções!$F$13:$J$17,4,0)&amp;"_"&amp;$G$7&amp;" AND "&amp;VLOOKUP(B23,Instruções!$F$13:$J$17,5,0)&amp;"_"&amp;$F$7&amp;"="&amp;VLOOKUP(B23,Instruções!$F$13:$J$17,5,0)&amp;"_"&amp;$G$7&amp;" ")</f>
        <v xml:space="preserve">ON entty_id_as_is=entty_id_to_be </v>
      </c>
      <c r="K23" s="75" t="str">
        <f t="shared" si="3"/>
        <v xml:space="preserve">WHERE coalesce(cast(dbt_rpymnt_cpcty_ttl_as_is AS string),'')&lt;&gt;coalesce(cast(dbt_rpymnt_cpcty_ttl_to_be AS string),'') </v>
      </c>
      <c r="L23" s="75" t="str">
        <f t="shared" si="4"/>
        <v xml:space="preserve">SELECT count(*) AS NUM_REG_DIF FROM (SELECT entty_id as entty_id_, dbt_rpymnt_cpcty_ttl as dbt_rpymnt_cpcty_ttl_as_is FROM cd_loan_tapes_bce.lt003_entity WHERE ref_date='2024-09-30' AND nome_perimetro='Individual Corporativo' AND segmento='ESTR' AND ambito='PM' AND entidade='00100' ) A  Inner join (SELECT entty_id as entty_id_, dbt_rpymnt_cpcty_ttl as dbt_rpymnt_cpcty_ttl_to_be FROM bu_loantape_work.lt003_entity WHERE ref_date='2024-09-30' AND nome_perimetro='Individual Corporativo' AND segmento='ESTR' AND ambito='PM' AND entidade='00100' ) B ON entty_id_as_is=entty_id_to_be WHERE coalesce(cast(dbt_rpymnt_cpcty_ttl_as_is AS string),'')&lt;&gt;coalesce(cast(dbt_rpymnt_cpcty_ttl_to_be AS string),'') </v>
      </c>
      <c r="M23" s="75" t="s">
        <v>55</v>
      </c>
      <c r="N23" s="75" t="str">
        <f>"SELECT 'Validação de campos' as tipologia_teste, '"&amp;VLOOKUP(B23,Instruções!$F$13:$J$17,3,0)&amp;"' AS TABELA, '"&amp;E23&amp;"' AS CAMPO, '"&amp;Instruções!$D$15&amp;"' as ref_date, coalesce(NUM_REG_DIF, 0) AS NUM_REG_DIF FROM ("&amp;L23&amp;") A "</f>
        <v xml:space="preserve">SELECT 'Validação de campos' as tipologia_teste, 'lt003_entity' AS TABELA, 'dbt_rpymnt_cpcty_ttl' AS CAMPO, '2024-09-30' as ref_date, coalesce(NUM_REG_DIF, 0) AS NUM_REG_DIF FROM (SELECT count(*) AS NUM_REG_DIF FROM (SELECT entty_id as entty_id_, dbt_rpymnt_cpcty_ttl as dbt_rpymnt_cpcty_ttl_as_is FROM cd_loan_tapes_bce.lt003_entity WHERE ref_date='2024-09-30' AND nome_perimetro='Individual Corporativo' AND segmento='ESTR' AND ambito='PM' AND entidade='00100' ) A  Inner join (SELECT entty_id as entty_id_, dbt_rpymnt_cpcty_ttl as dbt_rpymnt_cpcty_ttl_to_be FROM bu_loantape_work.lt003_entity WHERE ref_date='2024-09-30' AND nome_perimetro='Individual Corporativo' AND segmento='ESTR' AND ambito='PM' AND entidade='00100' ) B ON entty_id_as_is=entty_id_to_be WHERE coalesce(cast(dbt_rpymnt_cpcty_ttl_as_is AS string),'')&lt;&gt;coalesce(cast(dbt_rpymnt_cpcty_ttl_to_be AS string),'') ) A </v>
      </c>
      <c r="O23" s="76" t="str">
        <f t="shared" si="2"/>
        <v>SELECT 'Validação de campos' as tipologia_teste, 'lt003_entity' AS TABELA, 'dbt_rpymnt_cpcty_ttl' AS CAMPO, '2024-09-30' as ref_date, coalesce(NUM_REG_DIF, 0) AS NUM_REG_DIF FROM (SELECT count(*) AS NUM_REG_DIF FROM (SELECT entty_id as entty_id_, dbt_rpymnt_cpcty_ttl as dbt_rpymnt_cpcty_ttl_as_is FROM cd_loan_tapes_bce.lt003_entity WHERE ref_date='2024-09-30' AND nome_perimetro='Individual Corporativo' AND segmento='ESTR' AND ambito='PM' AND entidade='00100' ) A  Inner join (SELECT entty_id as entty_id_, dbt_rpymnt_cpcty_ttl as dbt_rpymnt_cpcty_ttl_to_be FROM bu_loantape_work.lt003_entity WHERE ref_date='2024-09-30' AND nome_perimetro='Individual Corporativo' AND segmento='ESTR' AND ambito='PM' AND entidade='00100' ) B ON entty_id_as_is=entty_id_to_be WHERE coalesce(cast(dbt_rpymnt_cpcty_ttl_as_is AS string),'')&lt;&gt;coalesce(cast(dbt_rpymnt_cpcty_ttl_to_be AS string),'') ) A Union all</v>
      </c>
      <c r="P23" s="77">
        <f t="shared" si="5"/>
        <v>15</v>
      </c>
    </row>
    <row r="24" spans="2:16" s="63" customFormat="1" ht="18" customHeight="1">
      <c r="B24" s="75" t="s">
        <v>11</v>
      </c>
      <c r="C24" s="75" t="str">
        <f>_xlfn.CONCAT(Instruções!$D$13,".",VLOOKUP(B24,Instruções!$F$12:$H$17,2,0))</f>
        <v>cd_loan_tapes_bce.lt003_entity</v>
      </c>
      <c r="D24" s="75" t="str">
        <f>_xlfn.CONCAT(Instruções!$D$14,".",VLOOKUP(B24,Instruções!$F$12:$H$17,3,0))</f>
        <v>bu_loantape_work.lt003_entity</v>
      </c>
      <c r="E24" s="75" t="s">
        <v>70</v>
      </c>
      <c r="F24" s="75" t="str">
        <f t="shared" si="0"/>
        <v>dbt_srvc_rt_as_is</v>
      </c>
      <c r="G24" s="75" t="str">
        <f t="shared" si="1"/>
        <v>dbt_srvc_rt_to_be</v>
      </c>
      <c r="H24" s="75" t="str">
        <f>IF(VLOOKUP(B24,Instruções!$F$13:$J$17,5,0)="",
"(SELECT "&amp;VLOOKUP(B24,Instruções!$F$13:$J$17,4,0)&amp;" as "&amp;VLOOKUP(B24,Instruções!$F$13:$J$17,4,0)&amp;"_"&amp;$F$2&amp;", "&amp;E24&amp;" as "&amp;F24&amp;" FROM "&amp;C24&amp;" WHERE "&amp;Instruções!$D$20&amp;") A ",
"(SELECT "&amp;VLOOKUP(B24,Instruções!$F$13:$J$17,4,0)&amp;" as "&amp;VLOOKUP(B24,Instruções!$F$13:$J$17,4,0)&amp;"_"&amp;$F$2&amp;", "&amp;VLOOKUP(B24,Instruções!$F$13:$J$17,5,0)&amp;" as "&amp;VLOOKUP(B24,Instruções!$F$13:$J$17,5,0)&amp;"_"&amp;$F$2&amp;","&amp;E24&amp;" as "&amp;F24&amp;" FROM "&amp;C24&amp;" WHERE "&amp;Instruções!$D$20&amp;") A ")</f>
        <v xml:space="preserve">(SELECT entty_id as entty_id_, dbt_srvc_rt as dbt_srvc_rt_as_is FROM cd_loan_tapes_bce.lt003_entity WHERE ref_date='2024-09-30' AND nome_perimetro='Individual Corporativo' AND segmento='ESTR' AND ambito='PM' AND entidade='00100' ) A </v>
      </c>
      <c r="I24" s="75" t="str">
        <f>IF(VLOOKUP(B24,Instruções!$F$13:$J$17,5,0)="",
"(SELECT "&amp;VLOOKUP(B24,Instruções!$F$13:$J$17,4,0)&amp;" as "&amp;VLOOKUP(B24,Instruções!$F$13:$J$17,4,0)&amp;"_"&amp;$G$2&amp;", "&amp;E24&amp;" as "&amp;G24&amp;" FROM "&amp;D24&amp;" WHERE "&amp;Instruções!$D$21&amp;") B ",
"(SELECT "&amp;VLOOKUP(B24,Instruções!$F$13:$J$17,4,0)&amp;" as "&amp;VLOOKUP(B24,Instruções!$F$13:$J$17,4,0)&amp;"_"&amp;$G$2&amp;", "&amp;VLOOKUP(B24,Instruções!$F$13:$J$17,5,0)&amp;" as "&amp;VLOOKUP(B24,Instruções!$F$13:$J$17,5,0)&amp;"_"&amp;$G$2&amp;","&amp;E24&amp;" as "&amp;G24&amp;" FROM "&amp;D24&amp;" WHERE "&amp;Instruções!$D$21&amp;") B ")</f>
        <v xml:space="preserve">(SELECT entty_id as entty_id_, dbt_srvc_rt as dbt_srvc_rt_to_be FROM bu_loantape_work.lt003_entity WHERE ref_date='2024-09-30' AND nome_perimetro='Individual Corporativo' AND segmento='ESTR' AND ambito='PM' AND entidade='00100' ) B </v>
      </c>
      <c r="J24" s="75" t="str">
        <f>+IF(VLOOKUP(B24,Instruções!$F$13:$J$17,5,0)="", "ON "&amp;VLOOKUP(B24,Instruções!$F$13:$J$17,4,0)&amp;"_"&amp;$F$7&amp;"="&amp;VLOOKUP(B24,Instruções!$F$13:$J$17,4,0)&amp;"_"&amp;$G$7&amp;" ", "ON "&amp;VLOOKUP(B24,Instruções!$F$13:$J$17,4,0)&amp;"_"&amp;$F$7&amp;"="&amp;VLOOKUP(B24,Instruções!$F$13:$J$17,4,0)&amp;"_"&amp;$G$7&amp;" AND "&amp;VLOOKUP(B24,Instruções!$F$13:$J$17,5,0)&amp;"_"&amp;$F$7&amp;"="&amp;VLOOKUP(B24,Instruções!$F$13:$J$17,5,0)&amp;"_"&amp;$G$7&amp;" ")</f>
        <v xml:space="preserve">ON entty_id_as_is=entty_id_to_be </v>
      </c>
      <c r="K24" s="75" t="str">
        <f t="shared" si="3"/>
        <v xml:space="preserve">WHERE coalesce(cast(dbt_srvc_rt_as_is AS string),'')&lt;&gt;coalesce(cast(dbt_srvc_rt_to_be AS string),'') </v>
      </c>
      <c r="L24" s="75" t="str">
        <f t="shared" si="4"/>
        <v xml:space="preserve">SELECT count(*) AS NUM_REG_DIF FROM (SELECT entty_id as entty_id_, dbt_srvc_rt as dbt_srvc_rt_as_is FROM cd_loan_tapes_bce.lt003_entity WHERE ref_date='2024-09-30' AND nome_perimetro='Individual Corporativo' AND segmento='ESTR' AND ambito='PM' AND entidade='00100' ) A  Inner join (SELECT entty_id as entty_id_, dbt_srvc_rt as dbt_srvc_rt_to_be FROM bu_loantape_work.lt003_entity WHERE ref_date='2024-09-30' AND nome_perimetro='Individual Corporativo' AND segmento='ESTR' AND ambito='PM' AND entidade='00100' ) B ON entty_id_as_is=entty_id_to_be WHERE coalesce(cast(dbt_srvc_rt_as_is AS string),'')&lt;&gt;coalesce(cast(dbt_srvc_rt_to_be AS string),'') </v>
      </c>
      <c r="M24" s="75" t="s">
        <v>55</v>
      </c>
      <c r="N24" s="75" t="str">
        <f>"SELECT 'Validação de campos' as tipologia_teste, '"&amp;VLOOKUP(B24,Instruções!$F$13:$J$17,3,0)&amp;"' AS TABELA, '"&amp;E24&amp;"' AS CAMPO, '"&amp;Instruções!$D$15&amp;"' as ref_date, coalesce(NUM_REG_DIF, 0) AS NUM_REG_DIF FROM ("&amp;L24&amp;") A "</f>
        <v xml:space="preserve">SELECT 'Validação de campos' as tipologia_teste, 'lt003_entity' AS TABELA, 'dbt_srvc_rt' AS CAMPO, '2024-09-30' as ref_date, coalesce(NUM_REG_DIF, 0) AS NUM_REG_DIF FROM (SELECT count(*) AS NUM_REG_DIF FROM (SELECT entty_id as entty_id_, dbt_srvc_rt as dbt_srvc_rt_as_is FROM cd_loan_tapes_bce.lt003_entity WHERE ref_date='2024-09-30' AND nome_perimetro='Individual Corporativo' AND segmento='ESTR' AND ambito='PM' AND entidade='00100' ) A  Inner join (SELECT entty_id as entty_id_, dbt_srvc_rt as dbt_srvc_rt_to_be FROM bu_loantape_work.lt003_entity WHERE ref_date='2024-09-30' AND nome_perimetro='Individual Corporativo' AND segmento='ESTR' AND ambito='PM' AND entidade='00100' ) B ON entty_id_as_is=entty_id_to_be WHERE coalesce(cast(dbt_srvc_rt_as_is AS string),'')&lt;&gt;coalesce(cast(dbt_srvc_rt_to_be AS string),'') ) A </v>
      </c>
      <c r="O24" s="76" t="str">
        <f t="shared" si="2"/>
        <v>SELECT 'Validação de campos' as tipologia_teste, 'lt003_entity' AS TABELA, 'dbt_srvc_rt' AS CAMPO, '2024-09-30' as ref_date, coalesce(NUM_REG_DIF, 0) AS NUM_REG_DIF FROM (SELECT count(*) AS NUM_REG_DIF FROM (SELECT entty_id as entty_id_, dbt_srvc_rt as dbt_srvc_rt_as_is FROM cd_loan_tapes_bce.lt003_entity WHERE ref_date='2024-09-30' AND nome_perimetro='Individual Corporativo' AND segmento='ESTR' AND ambito='PM' AND entidade='00100' ) A  Inner join (SELECT entty_id as entty_id_, dbt_srvc_rt as dbt_srvc_rt_to_be FROM bu_loantape_work.lt003_entity WHERE ref_date='2024-09-30' AND nome_perimetro='Individual Corporativo' AND segmento='ESTR' AND ambito='PM' AND entidade='00100' ) B ON entty_id_as_is=entty_id_to_be WHERE coalesce(cast(dbt_srvc_rt_as_is AS string),'')&lt;&gt;coalesce(cast(dbt_srvc_rt_to_be AS string),'') ) A Union all</v>
      </c>
      <c r="P24" s="77">
        <f t="shared" si="5"/>
        <v>16</v>
      </c>
    </row>
    <row r="25" spans="2:16" s="63" customFormat="1" ht="18" customHeight="1">
      <c r="B25" s="75" t="s">
        <v>11</v>
      </c>
      <c r="C25" s="75" t="str">
        <f>_xlfn.CONCAT(Instruções!$D$13,".",VLOOKUP(B25,Instruções!$F$12:$H$17,2,0))</f>
        <v>cd_loan_tapes_bce.lt003_entity</v>
      </c>
      <c r="D25" s="75" t="str">
        <f>_xlfn.CONCAT(Instruções!$D$14,".",VLOOKUP(B25,Instruções!$F$12:$H$17,3,0))</f>
        <v>bu_loantape_work.lt003_entity</v>
      </c>
      <c r="E25" s="75" t="s">
        <v>71</v>
      </c>
      <c r="F25" s="75" t="str">
        <f t="shared" si="0"/>
        <v>dbt_srvc_rt_12m_as_is</v>
      </c>
      <c r="G25" s="75" t="str">
        <f t="shared" si="1"/>
        <v>dbt_srvc_rt_12m_to_be</v>
      </c>
      <c r="H25" s="75" t="str">
        <f>IF(VLOOKUP(B25,Instruções!$F$13:$J$17,5,0)="",
"(SELECT "&amp;VLOOKUP(B25,Instruções!$F$13:$J$17,4,0)&amp;" as "&amp;VLOOKUP(B25,Instruções!$F$13:$J$17,4,0)&amp;"_"&amp;$F$2&amp;", "&amp;E25&amp;" as "&amp;F25&amp;" FROM "&amp;C25&amp;" WHERE "&amp;Instruções!$D$20&amp;") A ",
"(SELECT "&amp;VLOOKUP(B25,Instruções!$F$13:$J$17,4,0)&amp;" as "&amp;VLOOKUP(B25,Instruções!$F$13:$J$17,4,0)&amp;"_"&amp;$F$2&amp;", "&amp;VLOOKUP(B25,Instruções!$F$13:$J$17,5,0)&amp;" as "&amp;VLOOKUP(B25,Instruções!$F$13:$J$17,5,0)&amp;"_"&amp;$F$2&amp;","&amp;E25&amp;" as "&amp;F25&amp;" FROM "&amp;C25&amp;" WHERE "&amp;Instruções!$D$20&amp;") A ")</f>
        <v xml:space="preserve">(SELECT entty_id as entty_id_, dbt_srvc_rt_12m as dbt_srvc_rt_12m_as_is FROM cd_loan_tapes_bce.lt003_entity WHERE ref_date='2024-09-30' AND nome_perimetro='Individual Corporativo' AND segmento='ESTR' AND ambito='PM' AND entidade='00100' ) A </v>
      </c>
      <c r="I25" s="75" t="str">
        <f>IF(VLOOKUP(B25,Instruções!$F$13:$J$17,5,0)="",
"(SELECT "&amp;VLOOKUP(B25,Instruções!$F$13:$J$17,4,0)&amp;" as "&amp;VLOOKUP(B25,Instruções!$F$13:$J$17,4,0)&amp;"_"&amp;$G$2&amp;", "&amp;E25&amp;" as "&amp;G25&amp;" FROM "&amp;D25&amp;" WHERE "&amp;Instruções!$D$21&amp;") B ",
"(SELECT "&amp;VLOOKUP(B25,Instruções!$F$13:$J$17,4,0)&amp;" as "&amp;VLOOKUP(B25,Instruções!$F$13:$J$17,4,0)&amp;"_"&amp;$G$2&amp;", "&amp;VLOOKUP(B25,Instruções!$F$13:$J$17,5,0)&amp;" as "&amp;VLOOKUP(B25,Instruções!$F$13:$J$17,5,0)&amp;"_"&amp;$G$2&amp;","&amp;E25&amp;" as "&amp;G25&amp;" FROM "&amp;D25&amp;" WHERE "&amp;Instruções!$D$21&amp;") B ")</f>
        <v xml:space="preserve">(SELECT entty_id as entty_id_, dbt_srvc_rt_12m as dbt_srvc_rt_12m_to_be FROM bu_loantape_work.lt003_entity WHERE ref_date='2024-09-30' AND nome_perimetro='Individual Corporativo' AND segmento='ESTR' AND ambito='PM' AND entidade='00100' ) B </v>
      </c>
      <c r="J25" s="75" t="str">
        <f>+IF(VLOOKUP(B25,Instruções!$F$13:$J$17,5,0)="", "ON "&amp;VLOOKUP(B25,Instruções!$F$13:$J$17,4,0)&amp;"_"&amp;$F$7&amp;"="&amp;VLOOKUP(B25,Instruções!$F$13:$J$17,4,0)&amp;"_"&amp;$G$7&amp;" ", "ON "&amp;VLOOKUP(B25,Instruções!$F$13:$J$17,4,0)&amp;"_"&amp;$F$7&amp;"="&amp;VLOOKUP(B25,Instruções!$F$13:$J$17,4,0)&amp;"_"&amp;$G$7&amp;" AND "&amp;VLOOKUP(B25,Instruções!$F$13:$J$17,5,0)&amp;"_"&amp;$F$7&amp;"="&amp;VLOOKUP(B25,Instruções!$F$13:$J$17,5,0)&amp;"_"&amp;$G$7&amp;" ")</f>
        <v xml:space="preserve">ON entty_id_as_is=entty_id_to_be </v>
      </c>
      <c r="K25" s="75" t="str">
        <f t="shared" si="3"/>
        <v xml:space="preserve">WHERE coalesce(cast(dbt_srvc_rt_12m_as_is AS string),'')&lt;&gt;coalesce(cast(dbt_srvc_rt_12m_to_be AS string),'') </v>
      </c>
      <c r="L25" s="75" t="str">
        <f t="shared" si="4"/>
        <v xml:space="preserve">SELECT count(*) AS NUM_REG_DIF FROM (SELECT entty_id as entty_id_, dbt_srvc_rt_12m as dbt_srvc_rt_12m_as_is FROM cd_loan_tapes_bce.lt003_entity WHERE ref_date='2024-09-30' AND nome_perimetro='Individual Corporativo' AND segmento='ESTR' AND ambito='PM' AND entidade='00100' ) A  Inner join (SELECT entty_id as entty_id_, dbt_srvc_rt_12m as dbt_srvc_rt_12m_to_be FROM bu_loantape_work.lt003_entity WHERE ref_date='2024-09-30' AND nome_perimetro='Individual Corporativo' AND segmento='ESTR' AND ambito='PM' AND entidade='00100' ) B ON entty_id_as_is=entty_id_to_be WHERE coalesce(cast(dbt_srvc_rt_12m_as_is AS string),'')&lt;&gt;coalesce(cast(dbt_srvc_rt_12m_to_be AS string),'') </v>
      </c>
      <c r="M25" s="75" t="s">
        <v>55</v>
      </c>
      <c r="N25" s="75" t="str">
        <f>"SELECT 'Validação de campos' as tipologia_teste, '"&amp;VLOOKUP(B25,Instruções!$F$13:$J$17,3,0)&amp;"' AS TABELA, '"&amp;E25&amp;"' AS CAMPO, '"&amp;Instruções!$D$15&amp;"' as ref_date, coalesce(NUM_REG_DIF, 0) AS NUM_REG_DIF FROM ("&amp;L25&amp;") A "</f>
        <v xml:space="preserve">SELECT 'Validação de campos' as tipologia_teste, 'lt003_entity' AS TABELA, 'dbt_srvc_rt_12m' AS CAMPO, '2024-09-30' as ref_date, coalesce(NUM_REG_DIF, 0) AS NUM_REG_DIF FROM (SELECT count(*) AS NUM_REG_DIF FROM (SELECT entty_id as entty_id_, dbt_srvc_rt_12m as dbt_srvc_rt_12m_as_is FROM cd_loan_tapes_bce.lt003_entity WHERE ref_date='2024-09-30' AND nome_perimetro='Individual Corporativo' AND segmento='ESTR' AND ambito='PM' AND entidade='00100' ) A  Inner join (SELECT entty_id as entty_id_, dbt_srvc_rt_12m as dbt_srvc_rt_12m_to_be FROM bu_loantape_work.lt003_entity WHERE ref_date='2024-09-30' AND nome_perimetro='Individual Corporativo' AND segmento='ESTR' AND ambito='PM' AND entidade='00100' ) B ON entty_id_as_is=entty_id_to_be WHERE coalesce(cast(dbt_srvc_rt_12m_as_is AS string),'')&lt;&gt;coalesce(cast(dbt_srvc_rt_12m_to_be AS string),'') ) A </v>
      </c>
      <c r="O25" s="76" t="str">
        <f t="shared" si="2"/>
        <v>SELECT 'Validação de campos' as tipologia_teste, 'lt003_entity' AS TABELA, 'dbt_srvc_rt_12m' AS CAMPO, '2024-09-30' as ref_date, coalesce(NUM_REG_DIF, 0) AS NUM_REG_DIF FROM (SELECT count(*) AS NUM_REG_DIF FROM (SELECT entty_id as entty_id_, dbt_srvc_rt_12m as dbt_srvc_rt_12m_as_is FROM cd_loan_tapes_bce.lt003_entity WHERE ref_date='2024-09-30' AND nome_perimetro='Individual Corporativo' AND segmento='ESTR' AND ambito='PM' AND entidade='00100' ) A  Inner join (SELECT entty_id as entty_id_, dbt_srvc_rt_12m as dbt_srvc_rt_12m_to_be FROM bu_loantape_work.lt003_entity WHERE ref_date='2024-09-30' AND nome_perimetro='Individual Corporativo' AND segmento='ESTR' AND ambito='PM' AND entidade='00100' ) B ON entty_id_as_is=entty_id_to_be WHERE coalesce(cast(dbt_srvc_rt_12m_as_is AS string),'')&lt;&gt;coalesce(cast(dbt_srvc_rt_12m_to_be AS string),'') ) A Union all</v>
      </c>
      <c r="P25" s="77">
        <f t="shared" si="5"/>
        <v>17</v>
      </c>
    </row>
    <row r="26" spans="2:16" s="63" customFormat="1" ht="18" customHeight="1">
      <c r="B26" s="75" t="s">
        <v>11</v>
      </c>
      <c r="C26" s="75" t="str">
        <f>_xlfn.CONCAT(Instruções!$D$13,".",VLOOKUP(B26,Instruções!$F$12:$H$17,2,0))</f>
        <v>cd_loan_tapes_bce.lt003_entity</v>
      </c>
      <c r="D26" s="75" t="str">
        <f>_xlfn.CONCAT(Instruções!$D$14,".",VLOOKUP(B26,Instruções!$F$12:$H$17,3,0))</f>
        <v>bu_loantape_work.lt003_entity</v>
      </c>
      <c r="E26" s="75" t="s">
        <v>72</v>
      </c>
      <c r="F26" s="75" t="str">
        <f t="shared" si="0"/>
        <v>dcsd_as_is</v>
      </c>
      <c r="G26" s="75" t="str">
        <f t="shared" si="1"/>
        <v>dcsd_to_be</v>
      </c>
      <c r="H26" s="75" t="str">
        <f>IF(VLOOKUP(B26,Instruções!$F$13:$J$17,5,0)="",
"(SELECT "&amp;VLOOKUP(B26,Instruções!$F$13:$J$17,4,0)&amp;" as "&amp;VLOOKUP(B26,Instruções!$F$13:$J$17,4,0)&amp;"_"&amp;$F$2&amp;", "&amp;E26&amp;" as "&amp;F26&amp;" FROM "&amp;C26&amp;" WHERE "&amp;Instruções!$D$20&amp;") A ",
"(SELECT "&amp;VLOOKUP(B26,Instruções!$F$13:$J$17,4,0)&amp;" as "&amp;VLOOKUP(B26,Instruções!$F$13:$J$17,4,0)&amp;"_"&amp;$F$2&amp;", "&amp;VLOOKUP(B26,Instruções!$F$13:$J$17,5,0)&amp;" as "&amp;VLOOKUP(B26,Instruções!$F$13:$J$17,5,0)&amp;"_"&amp;$F$2&amp;","&amp;E26&amp;" as "&amp;F26&amp;" FROM "&amp;C26&amp;" WHERE "&amp;Instruções!$D$20&amp;") A ")</f>
        <v xml:space="preserve">(SELECT entty_id as entty_id_, dcsd as dcsd_as_is FROM cd_loan_tapes_bce.lt003_entity WHERE ref_date='2024-09-30' AND nome_perimetro='Individual Corporativo' AND segmento='ESTR' AND ambito='PM' AND entidade='00100' ) A </v>
      </c>
      <c r="I26" s="75" t="str">
        <f>IF(VLOOKUP(B26,Instruções!$F$13:$J$17,5,0)="",
"(SELECT "&amp;VLOOKUP(B26,Instruções!$F$13:$J$17,4,0)&amp;" as "&amp;VLOOKUP(B26,Instruções!$F$13:$J$17,4,0)&amp;"_"&amp;$G$2&amp;", "&amp;E26&amp;" as "&amp;G26&amp;" FROM "&amp;D26&amp;" WHERE "&amp;Instruções!$D$21&amp;") B ",
"(SELECT "&amp;VLOOKUP(B26,Instruções!$F$13:$J$17,4,0)&amp;" as "&amp;VLOOKUP(B26,Instruções!$F$13:$J$17,4,0)&amp;"_"&amp;$G$2&amp;", "&amp;VLOOKUP(B26,Instruções!$F$13:$J$17,5,0)&amp;" as "&amp;VLOOKUP(B26,Instruções!$F$13:$J$17,5,0)&amp;"_"&amp;$G$2&amp;","&amp;E26&amp;" as "&amp;G26&amp;" FROM "&amp;D26&amp;" WHERE "&amp;Instruções!$D$21&amp;") B ")</f>
        <v xml:space="preserve">(SELECT entty_id as entty_id_, dcsd as dcsd_to_be FROM bu_loantape_work.lt003_entity WHERE ref_date='2024-09-30' AND nome_perimetro='Individual Corporativo' AND segmento='ESTR' AND ambito='PM' AND entidade='00100' ) B </v>
      </c>
      <c r="J26" s="75" t="str">
        <f>+IF(VLOOKUP(B26,Instruções!$F$13:$J$17,5,0)="", "ON "&amp;VLOOKUP(B26,Instruções!$F$13:$J$17,4,0)&amp;"_"&amp;$F$7&amp;"="&amp;VLOOKUP(B26,Instruções!$F$13:$J$17,4,0)&amp;"_"&amp;$G$7&amp;" ", "ON "&amp;VLOOKUP(B26,Instruções!$F$13:$J$17,4,0)&amp;"_"&amp;$F$7&amp;"="&amp;VLOOKUP(B26,Instruções!$F$13:$J$17,4,0)&amp;"_"&amp;$G$7&amp;" AND "&amp;VLOOKUP(B26,Instruções!$F$13:$J$17,5,0)&amp;"_"&amp;$F$7&amp;"="&amp;VLOOKUP(B26,Instruções!$F$13:$J$17,5,0)&amp;"_"&amp;$G$7&amp;" ")</f>
        <v xml:space="preserve">ON entty_id_as_is=entty_id_to_be </v>
      </c>
      <c r="K26" s="75" t="str">
        <f t="shared" si="3"/>
        <v xml:space="preserve">WHERE coalesce(cast(dcsd_as_is AS string),'')&lt;&gt;coalesce(cast(dcsd_to_be AS string),'') </v>
      </c>
      <c r="L26" s="75" t="str">
        <f t="shared" si="4"/>
        <v xml:space="preserve">SELECT count(*) AS NUM_REG_DIF FROM (SELECT entty_id as entty_id_, dcsd as dcsd_as_is FROM cd_loan_tapes_bce.lt003_entity WHERE ref_date='2024-09-30' AND nome_perimetro='Individual Corporativo' AND segmento='ESTR' AND ambito='PM' AND entidade='00100' ) A  Inner join (SELECT entty_id as entty_id_, dcsd as dcsd_to_be FROM bu_loantape_work.lt003_entity WHERE ref_date='2024-09-30' AND nome_perimetro='Individual Corporativo' AND segmento='ESTR' AND ambito='PM' AND entidade='00100' ) B ON entty_id_as_is=entty_id_to_be WHERE coalesce(cast(dcsd_as_is AS string),'')&lt;&gt;coalesce(cast(dcsd_to_be AS string),'') </v>
      </c>
      <c r="M26" s="75" t="s">
        <v>55</v>
      </c>
      <c r="N26" s="75" t="str">
        <f>"SELECT 'Validação de campos' as tipologia_teste, '"&amp;VLOOKUP(B26,Instruções!$F$13:$J$17,3,0)&amp;"' AS TABELA, '"&amp;E26&amp;"' AS CAMPO, '"&amp;Instruções!$D$15&amp;"' as ref_date, coalesce(NUM_REG_DIF, 0) AS NUM_REG_DIF FROM ("&amp;L26&amp;") A "</f>
        <v xml:space="preserve">SELECT 'Validação de campos' as tipologia_teste, 'lt003_entity' AS TABELA, 'dcsd' AS CAMPO, '2024-09-30' as ref_date, coalesce(NUM_REG_DIF, 0) AS NUM_REG_DIF FROM (SELECT count(*) AS NUM_REG_DIF FROM (SELECT entty_id as entty_id_, dcsd as dcsd_as_is FROM cd_loan_tapes_bce.lt003_entity WHERE ref_date='2024-09-30' AND nome_perimetro='Individual Corporativo' AND segmento='ESTR' AND ambito='PM' AND entidade='00100' ) A  Inner join (SELECT entty_id as entty_id_, dcsd as dcsd_to_be FROM bu_loantape_work.lt003_entity WHERE ref_date='2024-09-30' AND nome_perimetro='Individual Corporativo' AND segmento='ESTR' AND ambito='PM' AND entidade='00100' ) B ON entty_id_as_is=entty_id_to_be WHERE coalesce(cast(dcsd_as_is AS string),'')&lt;&gt;coalesce(cast(dcsd_to_be AS string),'') ) A </v>
      </c>
      <c r="O26" s="76" t="str">
        <f t="shared" si="2"/>
        <v>SELECT 'Validação de campos' as tipologia_teste, 'lt003_entity' AS TABELA, 'dcsd' AS CAMPO, '2024-09-30' as ref_date, coalesce(NUM_REG_DIF, 0) AS NUM_REG_DIF FROM (SELECT count(*) AS NUM_REG_DIF FROM (SELECT entty_id as entty_id_, dcsd as dcsd_as_is FROM cd_loan_tapes_bce.lt003_entity WHERE ref_date='2024-09-30' AND nome_perimetro='Individual Corporativo' AND segmento='ESTR' AND ambito='PM' AND entidade='00100' ) A  Inner join (SELECT entty_id as entty_id_, dcsd as dcsd_to_be FROM bu_loantape_work.lt003_entity WHERE ref_date='2024-09-30' AND nome_perimetro='Individual Corporativo' AND segmento='ESTR' AND ambito='PM' AND entidade='00100' ) B ON entty_id_as_is=entty_id_to_be WHERE coalesce(cast(dcsd_as_is AS string),'')&lt;&gt;coalesce(cast(dcsd_to_be AS string),'') ) A Union all</v>
      </c>
      <c r="P26" s="77">
        <f t="shared" si="5"/>
        <v>18</v>
      </c>
    </row>
    <row r="27" spans="2:16" s="63" customFormat="1" ht="18" customHeight="1">
      <c r="B27" s="75" t="s">
        <v>11</v>
      </c>
      <c r="C27" s="75" t="str">
        <f>_xlfn.CONCAT(Instruções!$D$13,".",VLOOKUP(B27,Instruções!$F$12:$H$17,2,0))</f>
        <v>cd_loan_tapes_bce.lt003_entity</v>
      </c>
      <c r="D27" s="75" t="str">
        <f>_xlfn.CONCAT(Instruções!$D$14,".",VLOOKUP(B27,Instruções!$F$12:$H$17,3,0))</f>
        <v>bu_loantape_work.lt003_entity</v>
      </c>
      <c r="E27" s="75" t="s">
        <v>73</v>
      </c>
      <c r="F27" s="75" t="str">
        <f t="shared" si="0"/>
        <v>dflt_stts_as_is</v>
      </c>
      <c r="G27" s="75" t="str">
        <f t="shared" si="1"/>
        <v>dflt_stts_to_be</v>
      </c>
      <c r="H27" s="75" t="str">
        <f>IF(VLOOKUP(B27,Instruções!$F$13:$J$17,5,0)="",
"(SELECT "&amp;VLOOKUP(B27,Instruções!$F$13:$J$17,4,0)&amp;" as "&amp;VLOOKUP(B27,Instruções!$F$13:$J$17,4,0)&amp;"_"&amp;$F$2&amp;", "&amp;E27&amp;" as "&amp;F27&amp;" FROM "&amp;C27&amp;" WHERE "&amp;Instruções!$D$20&amp;") A ",
"(SELECT "&amp;VLOOKUP(B27,Instruções!$F$13:$J$17,4,0)&amp;" as "&amp;VLOOKUP(B27,Instruções!$F$13:$J$17,4,0)&amp;"_"&amp;$F$2&amp;", "&amp;VLOOKUP(B27,Instruções!$F$13:$J$17,5,0)&amp;" as "&amp;VLOOKUP(B27,Instruções!$F$13:$J$17,5,0)&amp;"_"&amp;$F$2&amp;","&amp;E27&amp;" as "&amp;F27&amp;" FROM "&amp;C27&amp;" WHERE "&amp;Instruções!$D$20&amp;") A ")</f>
        <v xml:space="preserve">(SELECT entty_id as entty_id_, dflt_stts as dflt_stts_as_is FROM cd_loan_tapes_bce.lt003_entity WHERE ref_date='2024-09-30' AND nome_perimetro='Individual Corporativo' AND segmento='ESTR' AND ambito='PM' AND entidade='00100' ) A </v>
      </c>
      <c r="I27" s="75" t="str">
        <f>IF(VLOOKUP(B27,Instruções!$F$13:$J$17,5,0)="",
"(SELECT "&amp;VLOOKUP(B27,Instruções!$F$13:$J$17,4,0)&amp;" as "&amp;VLOOKUP(B27,Instruções!$F$13:$J$17,4,0)&amp;"_"&amp;$G$2&amp;", "&amp;E27&amp;" as "&amp;G27&amp;" FROM "&amp;D27&amp;" WHERE "&amp;Instruções!$D$21&amp;") B ",
"(SELECT "&amp;VLOOKUP(B27,Instruções!$F$13:$J$17,4,0)&amp;" as "&amp;VLOOKUP(B27,Instruções!$F$13:$J$17,4,0)&amp;"_"&amp;$G$2&amp;", "&amp;VLOOKUP(B27,Instruções!$F$13:$J$17,5,0)&amp;" as "&amp;VLOOKUP(B27,Instruções!$F$13:$J$17,5,0)&amp;"_"&amp;$G$2&amp;","&amp;E27&amp;" as "&amp;G27&amp;" FROM "&amp;D27&amp;" WHERE "&amp;Instruções!$D$21&amp;") B ")</f>
        <v xml:space="preserve">(SELECT entty_id as entty_id_, dflt_stts as dflt_stts_to_be FROM bu_loantape_work.lt003_entity WHERE ref_date='2024-09-30' AND nome_perimetro='Individual Corporativo' AND segmento='ESTR' AND ambito='PM' AND entidade='00100' ) B </v>
      </c>
      <c r="J27" s="75" t="str">
        <f>+IF(VLOOKUP(B27,Instruções!$F$13:$J$17,5,0)="", "ON "&amp;VLOOKUP(B27,Instruções!$F$13:$J$17,4,0)&amp;"_"&amp;$F$7&amp;"="&amp;VLOOKUP(B27,Instruções!$F$13:$J$17,4,0)&amp;"_"&amp;$G$7&amp;" ", "ON "&amp;VLOOKUP(B27,Instruções!$F$13:$J$17,4,0)&amp;"_"&amp;$F$7&amp;"="&amp;VLOOKUP(B27,Instruções!$F$13:$J$17,4,0)&amp;"_"&amp;$G$7&amp;" AND "&amp;VLOOKUP(B27,Instruções!$F$13:$J$17,5,0)&amp;"_"&amp;$F$7&amp;"="&amp;VLOOKUP(B27,Instruções!$F$13:$J$17,5,0)&amp;"_"&amp;$G$7&amp;" ")</f>
        <v xml:space="preserve">ON entty_id_as_is=entty_id_to_be </v>
      </c>
      <c r="K27" s="75" t="str">
        <f t="shared" si="3"/>
        <v xml:space="preserve">WHERE coalesce(cast(dflt_stts_as_is AS string),'')&lt;&gt;coalesce(cast(dflt_stts_to_be AS string),'') </v>
      </c>
      <c r="L27" s="75" t="str">
        <f t="shared" si="4"/>
        <v xml:space="preserve">SELECT count(*) AS NUM_REG_DIF FROM (SELECT entty_id as entty_id_, dflt_stts as dflt_stts_as_is FROM cd_loan_tapes_bce.lt003_entity WHERE ref_date='2024-09-30' AND nome_perimetro='Individual Corporativo' AND segmento='ESTR' AND ambito='PM' AND entidade='00100' ) A  Inner join (SELECT entty_id as entty_id_, dflt_stts as dflt_stts_to_be FROM bu_loantape_work.lt003_entity WHERE ref_date='2024-09-30' AND nome_perimetro='Individual Corporativo' AND segmento='ESTR' AND ambito='PM' AND entidade='00100' ) B ON entty_id_as_is=entty_id_to_be WHERE coalesce(cast(dflt_stts_as_is AS string),'')&lt;&gt;coalesce(cast(dflt_stts_to_be AS string),'') </v>
      </c>
      <c r="M27" s="75" t="s">
        <v>55</v>
      </c>
      <c r="N27" s="75" t="str">
        <f>"SELECT 'Validação de campos' as tipologia_teste, '"&amp;VLOOKUP(B27,Instruções!$F$13:$J$17,3,0)&amp;"' AS TABELA, '"&amp;E27&amp;"' AS CAMPO, '"&amp;Instruções!$D$15&amp;"' as ref_date, coalesce(NUM_REG_DIF, 0) AS NUM_REG_DIF FROM ("&amp;L27&amp;") A "</f>
        <v xml:space="preserve">SELECT 'Validação de campos' as tipologia_teste, 'lt003_entity' AS TABELA, 'dflt_stts' AS CAMPO, '2024-09-30' as ref_date, coalesce(NUM_REG_DIF, 0) AS NUM_REG_DIF FROM (SELECT count(*) AS NUM_REG_DIF FROM (SELECT entty_id as entty_id_, dflt_stts as dflt_stts_as_is FROM cd_loan_tapes_bce.lt003_entity WHERE ref_date='2024-09-30' AND nome_perimetro='Individual Corporativo' AND segmento='ESTR' AND ambito='PM' AND entidade='00100' ) A  Inner join (SELECT entty_id as entty_id_, dflt_stts as dflt_stts_to_be FROM bu_loantape_work.lt003_entity WHERE ref_date='2024-09-30' AND nome_perimetro='Individual Corporativo' AND segmento='ESTR' AND ambito='PM' AND entidade='00100' ) B ON entty_id_as_is=entty_id_to_be WHERE coalesce(cast(dflt_stts_as_is AS string),'')&lt;&gt;coalesce(cast(dflt_stts_to_be AS string),'') ) A </v>
      </c>
      <c r="O27" s="76" t="str">
        <f t="shared" si="2"/>
        <v>SELECT 'Validação de campos' as tipologia_teste, 'lt003_entity' AS TABELA, 'dflt_stts' AS CAMPO, '2024-09-30' as ref_date, coalesce(NUM_REG_DIF, 0) AS NUM_REG_DIF FROM (SELECT count(*) AS NUM_REG_DIF FROM (SELECT entty_id as entty_id_, dflt_stts as dflt_stts_as_is FROM cd_loan_tapes_bce.lt003_entity WHERE ref_date='2024-09-30' AND nome_perimetro='Individual Corporativo' AND segmento='ESTR' AND ambito='PM' AND entidade='00100' ) A  Inner join (SELECT entty_id as entty_id_, dflt_stts as dflt_stts_to_be FROM bu_loantape_work.lt003_entity WHERE ref_date='2024-09-30' AND nome_perimetro='Individual Corporativo' AND segmento='ESTR' AND ambito='PM' AND entidade='00100' ) B ON entty_id_as_is=entty_id_to_be WHERE coalesce(cast(dflt_stts_as_is AS string),'')&lt;&gt;coalesce(cast(dflt_stts_to_be AS string),'') ) A Union all</v>
      </c>
      <c r="P27" s="77">
        <f t="shared" si="5"/>
        <v>19</v>
      </c>
    </row>
    <row r="28" spans="2:16" s="63" customFormat="1" ht="18" customHeight="1">
      <c r="B28" s="75" t="s">
        <v>11</v>
      </c>
      <c r="C28" s="75" t="str">
        <f>_xlfn.CONCAT(Instruções!$D$13,".",VLOOKUP(B28,Instruções!$F$12:$H$17,2,0))</f>
        <v>cd_loan_tapes_bce.lt003_entity</v>
      </c>
      <c r="D28" s="75" t="str">
        <f>_xlfn.CONCAT(Instruções!$D$14,".",VLOOKUP(B28,Instruções!$F$12:$H$17,3,0))</f>
        <v>bu_loantape_work.lt003_entity</v>
      </c>
      <c r="E28" s="75" t="s">
        <v>74</v>
      </c>
      <c r="F28" s="75" t="str">
        <f t="shared" si="0"/>
        <v>dt_brth_as_is</v>
      </c>
      <c r="G28" s="75" t="str">
        <f t="shared" si="1"/>
        <v>dt_brth_to_be</v>
      </c>
      <c r="H28" s="75" t="str">
        <f>IF(VLOOKUP(B28,Instruções!$F$13:$J$17,5,0)="",
"(SELECT "&amp;VLOOKUP(B28,Instruções!$F$13:$J$17,4,0)&amp;" as "&amp;VLOOKUP(B28,Instruções!$F$13:$J$17,4,0)&amp;"_"&amp;$F$2&amp;", "&amp;E28&amp;" as "&amp;F28&amp;" FROM "&amp;C28&amp;" WHERE "&amp;Instruções!$D$20&amp;") A ",
"(SELECT "&amp;VLOOKUP(B28,Instruções!$F$13:$J$17,4,0)&amp;" as "&amp;VLOOKUP(B28,Instruções!$F$13:$J$17,4,0)&amp;"_"&amp;$F$2&amp;", "&amp;VLOOKUP(B28,Instruções!$F$13:$J$17,5,0)&amp;" as "&amp;VLOOKUP(B28,Instruções!$F$13:$J$17,5,0)&amp;"_"&amp;$F$2&amp;","&amp;E28&amp;" as "&amp;F28&amp;" FROM "&amp;C28&amp;" WHERE "&amp;Instruções!$D$20&amp;") A ")</f>
        <v xml:space="preserve">(SELECT entty_id as entty_id_, dt_brth as dt_brth_as_is FROM cd_loan_tapes_bce.lt003_entity WHERE ref_date='2024-09-30' AND nome_perimetro='Individual Corporativo' AND segmento='ESTR' AND ambito='PM' AND entidade='00100' ) A </v>
      </c>
      <c r="I28" s="75" t="str">
        <f>IF(VLOOKUP(B28,Instruções!$F$13:$J$17,5,0)="",
"(SELECT "&amp;VLOOKUP(B28,Instruções!$F$13:$J$17,4,0)&amp;" as "&amp;VLOOKUP(B28,Instruções!$F$13:$J$17,4,0)&amp;"_"&amp;$G$2&amp;", "&amp;E28&amp;" as "&amp;G28&amp;" FROM "&amp;D28&amp;" WHERE "&amp;Instruções!$D$21&amp;") B ",
"(SELECT "&amp;VLOOKUP(B28,Instruções!$F$13:$J$17,4,0)&amp;" as "&amp;VLOOKUP(B28,Instruções!$F$13:$J$17,4,0)&amp;"_"&amp;$G$2&amp;", "&amp;VLOOKUP(B28,Instruções!$F$13:$J$17,5,0)&amp;" as "&amp;VLOOKUP(B28,Instruções!$F$13:$J$17,5,0)&amp;"_"&amp;$G$2&amp;","&amp;E28&amp;" as "&amp;G28&amp;" FROM "&amp;D28&amp;" WHERE "&amp;Instruções!$D$21&amp;") B ")</f>
        <v xml:space="preserve">(SELECT entty_id as entty_id_, dt_brth as dt_brth_to_be FROM bu_loantape_work.lt003_entity WHERE ref_date='2024-09-30' AND nome_perimetro='Individual Corporativo' AND segmento='ESTR' AND ambito='PM' AND entidade='00100' ) B </v>
      </c>
      <c r="J28" s="75" t="str">
        <f>+IF(VLOOKUP(B28,Instruções!$F$13:$J$17,5,0)="", "ON "&amp;VLOOKUP(B28,Instruções!$F$13:$J$17,4,0)&amp;"_"&amp;$F$7&amp;"="&amp;VLOOKUP(B28,Instruções!$F$13:$J$17,4,0)&amp;"_"&amp;$G$7&amp;" ", "ON "&amp;VLOOKUP(B28,Instruções!$F$13:$J$17,4,0)&amp;"_"&amp;$F$7&amp;"="&amp;VLOOKUP(B28,Instruções!$F$13:$J$17,4,0)&amp;"_"&amp;$G$7&amp;" AND "&amp;VLOOKUP(B28,Instruções!$F$13:$J$17,5,0)&amp;"_"&amp;$F$7&amp;"="&amp;VLOOKUP(B28,Instruções!$F$13:$J$17,5,0)&amp;"_"&amp;$G$7&amp;" ")</f>
        <v xml:space="preserve">ON entty_id_as_is=entty_id_to_be </v>
      </c>
      <c r="K28" s="75" t="str">
        <f t="shared" si="3"/>
        <v xml:space="preserve">WHERE coalesce(cast(dt_brth_as_is AS string),'')&lt;&gt;coalesce(cast(dt_brth_to_be AS string),'') </v>
      </c>
      <c r="L28" s="75" t="str">
        <f t="shared" si="4"/>
        <v xml:space="preserve">SELECT count(*) AS NUM_REG_DIF FROM (SELECT entty_id as entty_id_, dt_brth as dt_brth_as_is FROM cd_loan_tapes_bce.lt003_entity WHERE ref_date='2024-09-30' AND nome_perimetro='Individual Corporativo' AND segmento='ESTR' AND ambito='PM' AND entidade='00100' ) A  Inner join (SELECT entty_id as entty_id_, dt_brth as dt_brth_to_be FROM bu_loantape_work.lt003_entity WHERE ref_date='2024-09-30' AND nome_perimetro='Individual Corporativo' AND segmento='ESTR' AND ambito='PM' AND entidade='00100' ) B ON entty_id_as_is=entty_id_to_be WHERE coalesce(cast(dt_brth_as_is AS string),'')&lt;&gt;coalesce(cast(dt_brth_to_be AS string),'') </v>
      </c>
      <c r="M28" s="75" t="s">
        <v>55</v>
      </c>
      <c r="N28" s="75" t="str">
        <f>"SELECT 'Validação de campos' as tipologia_teste, '"&amp;VLOOKUP(B28,Instruções!$F$13:$J$17,3,0)&amp;"' AS TABELA, '"&amp;E28&amp;"' AS CAMPO, '"&amp;Instruções!$D$15&amp;"' as ref_date, coalesce(NUM_REG_DIF, 0) AS NUM_REG_DIF FROM ("&amp;L28&amp;") A "</f>
        <v xml:space="preserve">SELECT 'Validação de campos' as tipologia_teste, 'lt003_entity' AS TABELA, 'dt_brth' AS CAMPO, '2024-09-30' as ref_date, coalesce(NUM_REG_DIF, 0) AS NUM_REG_DIF FROM (SELECT count(*) AS NUM_REG_DIF FROM (SELECT entty_id as entty_id_, dt_brth as dt_brth_as_is FROM cd_loan_tapes_bce.lt003_entity WHERE ref_date='2024-09-30' AND nome_perimetro='Individual Corporativo' AND segmento='ESTR' AND ambito='PM' AND entidade='00100' ) A  Inner join (SELECT entty_id as entty_id_, dt_brth as dt_brth_to_be FROM bu_loantape_work.lt003_entity WHERE ref_date='2024-09-30' AND nome_perimetro='Individual Corporativo' AND segmento='ESTR' AND ambito='PM' AND entidade='00100' ) B ON entty_id_as_is=entty_id_to_be WHERE coalesce(cast(dt_brth_as_is AS string),'')&lt;&gt;coalesce(cast(dt_brth_to_be AS string),'') ) A </v>
      </c>
      <c r="O28" s="76" t="str">
        <f t="shared" si="2"/>
        <v>SELECT 'Validação de campos' as tipologia_teste, 'lt003_entity' AS TABELA, 'dt_brth' AS CAMPO, '2024-09-30' as ref_date, coalesce(NUM_REG_DIF, 0) AS NUM_REG_DIF FROM (SELECT count(*) AS NUM_REG_DIF FROM (SELECT entty_id as entty_id_, dt_brth as dt_brth_as_is FROM cd_loan_tapes_bce.lt003_entity WHERE ref_date='2024-09-30' AND nome_perimetro='Individual Corporativo' AND segmento='ESTR' AND ambito='PM' AND entidade='00100' ) A  Inner join (SELECT entty_id as entty_id_, dt_brth as dt_brth_to_be FROM bu_loantape_work.lt003_entity WHERE ref_date='2024-09-30' AND nome_perimetro='Individual Corporativo' AND segmento='ESTR' AND ambito='PM' AND entidade='00100' ) B ON entty_id_as_is=entty_id_to_be WHERE coalesce(cast(dt_brth_as_is AS string),'')&lt;&gt;coalesce(cast(dt_brth_to_be AS string),'') ) A Union all</v>
      </c>
      <c r="P28" s="77">
        <f t="shared" si="5"/>
        <v>20</v>
      </c>
    </row>
    <row r="29" spans="2:16" s="63" customFormat="1" ht="18" customHeight="1">
      <c r="B29" s="75" t="s">
        <v>11</v>
      </c>
      <c r="C29" s="75" t="str">
        <f>_xlfn.CONCAT(Instruções!$D$13,".",VLOOKUP(B29,Instruções!$F$12:$H$17,2,0))</f>
        <v>cd_loan_tapes_bce.lt003_entity</v>
      </c>
      <c r="D29" s="75" t="str">
        <f>_xlfn.CONCAT(Instruções!$D$14,".",VLOOKUP(B29,Instruções!$F$12:$H$17,3,0))</f>
        <v>bu_loantape_work.lt003_entity</v>
      </c>
      <c r="E29" s="75" t="s">
        <v>75</v>
      </c>
      <c r="F29" s="75" t="str">
        <f t="shared" si="0"/>
        <v>dt_dflt_stts_as_is</v>
      </c>
      <c r="G29" s="75" t="str">
        <f t="shared" si="1"/>
        <v>dt_dflt_stts_to_be</v>
      </c>
      <c r="H29" s="75" t="str">
        <f>IF(VLOOKUP(B29,Instruções!$F$13:$J$17,5,0)="",
"(SELECT "&amp;VLOOKUP(B29,Instruções!$F$13:$J$17,4,0)&amp;" as "&amp;VLOOKUP(B29,Instruções!$F$13:$J$17,4,0)&amp;"_"&amp;$F$2&amp;", "&amp;E29&amp;" as "&amp;F29&amp;" FROM "&amp;C29&amp;" WHERE "&amp;Instruções!$D$20&amp;") A ",
"(SELECT "&amp;VLOOKUP(B29,Instruções!$F$13:$J$17,4,0)&amp;" as "&amp;VLOOKUP(B29,Instruções!$F$13:$J$17,4,0)&amp;"_"&amp;$F$2&amp;", "&amp;VLOOKUP(B29,Instruções!$F$13:$J$17,5,0)&amp;" as "&amp;VLOOKUP(B29,Instruções!$F$13:$J$17,5,0)&amp;"_"&amp;$F$2&amp;","&amp;E29&amp;" as "&amp;F29&amp;" FROM "&amp;C29&amp;" WHERE "&amp;Instruções!$D$20&amp;") A ")</f>
        <v xml:space="preserve">(SELECT entty_id as entty_id_, dt_dflt_stts as dt_dflt_stts_as_is FROM cd_loan_tapes_bce.lt003_entity WHERE ref_date='2024-09-30' AND nome_perimetro='Individual Corporativo' AND segmento='ESTR' AND ambito='PM' AND entidade='00100' ) A </v>
      </c>
      <c r="I29" s="75" t="str">
        <f>IF(VLOOKUP(B29,Instruções!$F$13:$J$17,5,0)="",
"(SELECT "&amp;VLOOKUP(B29,Instruções!$F$13:$J$17,4,0)&amp;" as "&amp;VLOOKUP(B29,Instruções!$F$13:$J$17,4,0)&amp;"_"&amp;$G$2&amp;", "&amp;E29&amp;" as "&amp;G29&amp;" FROM "&amp;D29&amp;" WHERE "&amp;Instruções!$D$21&amp;") B ",
"(SELECT "&amp;VLOOKUP(B29,Instruções!$F$13:$J$17,4,0)&amp;" as "&amp;VLOOKUP(B29,Instruções!$F$13:$J$17,4,0)&amp;"_"&amp;$G$2&amp;", "&amp;VLOOKUP(B29,Instruções!$F$13:$J$17,5,0)&amp;" as "&amp;VLOOKUP(B29,Instruções!$F$13:$J$17,5,0)&amp;"_"&amp;$G$2&amp;","&amp;E29&amp;" as "&amp;G29&amp;" FROM "&amp;D29&amp;" WHERE "&amp;Instruções!$D$21&amp;") B ")</f>
        <v xml:space="preserve">(SELECT entty_id as entty_id_, dt_dflt_stts as dt_dflt_stts_to_be FROM bu_loantape_work.lt003_entity WHERE ref_date='2024-09-30' AND nome_perimetro='Individual Corporativo' AND segmento='ESTR' AND ambito='PM' AND entidade='00100' ) B </v>
      </c>
      <c r="J29" s="75" t="str">
        <f>+IF(VLOOKUP(B29,Instruções!$F$13:$J$17,5,0)="", "ON "&amp;VLOOKUP(B29,Instruções!$F$13:$J$17,4,0)&amp;"_"&amp;$F$7&amp;"="&amp;VLOOKUP(B29,Instruções!$F$13:$J$17,4,0)&amp;"_"&amp;$G$7&amp;" ", "ON "&amp;VLOOKUP(B29,Instruções!$F$13:$J$17,4,0)&amp;"_"&amp;$F$7&amp;"="&amp;VLOOKUP(B29,Instruções!$F$13:$J$17,4,0)&amp;"_"&amp;$G$7&amp;" AND "&amp;VLOOKUP(B29,Instruções!$F$13:$J$17,5,0)&amp;"_"&amp;$F$7&amp;"="&amp;VLOOKUP(B29,Instruções!$F$13:$J$17,5,0)&amp;"_"&amp;$G$7&amp;" ")</f>
        <v xml:space="preserve">ON entty_id_as_is=entty_id_to_be </v>
      </c>
      <c r="K29" s="75" t="str">
        <f t="shared" si="3"/>
        <v xml:space="preserve">WHERE coalesce(cast(dt_dflt_stts_as_is AS string),'')&lt;&gt;coalesce(cast(dt_dflt_stts_to_be AS string),'') </v>
      </c>
      <c r="L29" s="75" t="str">
        <f t="shared" si="4"/>
        <v xml:space="preserve">SELECT count(*) AS NUM_REG_DIF FROM (SELECT entty_id as entty_id_, dt_dflt_stts as dt_dflt_stts_as_is FROM cd_loan_tapes_bce.lt003_entity WHERE ref_date='2024-09-30' AND nome_perimetro='Individual Corporativo' AND segmento='ESTR' AND ambito='PM' AND entidade='00100' ) A  Inner join (SELECT entty_id as entty_id_, dt_dflt_stts as dt_dflt_stts_to_be FROM bu_loantape_work.lt003_entity WHERE ref_date='2024-09-30' AND nome_perimetro='Individual Corporativo' AND segmento='ESTR' AND ambito='PM' AND entidade='00100' ) B ON entty_id_as_is=entty_id_to_be WHERE coalesce(cast(dt_dflt_stts_as_is AS string),'')&lt;&gt;coalesce(cast(dt_dflt_stts_to_be AS string),'') </v>
      </c>
      <c r="M29" s="75" t="s">
        <v>55</v>
      </c>
      <c r="N29" s="75" t="str">
        <f>"SELECT 'Validação de campos' as tipologia_teste, '"&amp;VLOOKUP(B29,Instruções!$F$13:$J$17,3,0)&amp;"' AS TABELA, '"&amp;E29&amp;"' AS CAMPO, '"&amp;Instruções!$D$15&amp;"' as ref_date, coalesce(NUM_REG_DIF, 0) AS NUM_REG_DIF FROM ("&amp;L29&amp;") A "</f>
        <v xml:space="preserve">SELECT 'Validação de campos' as tipologia_teste, 'lt003_entity' AS TABELA, 'dt_dflt_stts' AS CAMPO, '2024-09-30' as ref_date, coalesce(NUM_REG_DIF, 0) AS NUM_REG_DIF FROM (SELECT count(*) AS NUM_REG_DIF FROM (SELECT entty_id as entty_id_, dt_dflt_stts as dt_dflt_stts_as_is FROM cd_loan_tapes_bce.lt003_entity WHERE ref_date='2024-09-30' AND nome_perimetro='Individual Corporativo' AND segmento='ESTR' AND ambito='PM' AND entidade='00100' ) A  Inner join (SELECT entty_id as entty_id_, dt_dflt_stts as dt_dflt_stts_to_be FROM bu_loantape_work.lt003_entity WHERE ref_date='2024-09-30' AND nome_perimetro='Individual Corporativo' AND segmento='ESTR' AND ambito='PM' AND entidade='00100' ) B ON entty_id_as_is=entty_id_to_be WHERE coalesce(cast(dt_dflt_stts_as_is AS string),'')&lt;&gt;coalesce(cast(dt_dflt_stts_to_be AS string),'') ) A </v>
      </c>
      <c r="O29" s="76" t="str">
        <f t="shared" si="2"/>
        <v>SELECT 'Validação de campos' as tipologia_teste, 'lt003_entity' AS TABELA, 'dt_dflt_stts' AS CAMPO, '2024-09-30' as ref_date, coalesce(NUM_REG_DIF, 0) AS NUM_REG_DIF FROM (SELECT count(*) AS NUM_REG_DIF FROM (SELECT entty_id as entty_id_, dt_dflt_stts as dt_dflt_stts_as_is FROM cd_loan_tapes_bce.lt003_entity WHERE ref_date='2024-09-30' AND nome_perimetro='Individual Corporativo' AND segmento='ESTR' AND ambito='PM' AND entidade='00100' ) A  Inner join (SELECT entty_id as entty_id_, dt_dflt_stts as dt_dflt_stts_to_be FROM bu_loantape_work.lt003_entity WHERE ref_date='2024-09-30' AND nome_perimetro='Individual Corporativo' AND segmento='ESTR' AND ambito='PM' AND entidade='00100' ) B ON entty_id_as_is=entty_id_to_be WHERE coalesce(cast(dt_dflt_stts_as_is AS string),'')&lt;&gt;coalesce(cast(dt_dflt_stts_to_be AS string),'') ) A Union all</v>
      </c>
      <c r="P29" s="77">
        <f t="shared" si="5"/>
        <v>21</v>
      </c>
    </row>
    <row r="30" spans="2:16" s="63" customFormat="1" ht="18" customHeight="1">
      <c r="B30" s="75" t="s">
        <v>11</v>
      </c>
      <c r="C30" s="75" t="str">
        <f>_xlfn.CONCAT(Instruções!$D$13,".",VLOOKUP(B30,Instruções!$F$12:$H$17,2,0))</f>
        <v>cd_loan_tapes_bce.lt003_entity</v>
      </c>
      <c r="D30" s="75" t="str">
        <f>_xlfn.CONCAT(Instruções!$D$14,".",VLOOKUP(B30,Instruções!$F$12:$H$17,3,0))</f>
        <v>bu_loantape_work.lt003_entity</v>
      </c>
      <c r="E30" s="75" t="s">
        <v>76</v>
      </c>
      <c r="F30" s="75" t="str">
        <f t="shared" si="0"/>
        <v>dt_extrnl_rtng_as_is</v>
      </c>
      <c r="G30" s="75" t="str">
        <f t="shared" si="1"/>
        <v>dt_extrnl_rtng_to_be</v>
      </c>
      <c r="H30" s="75" t="str">
        <f>IF(VLOOKUP(B30,Instruções!$F$13:$J$17,5,0)="",
"(SELECT "&amp;VLOOKUP(B30,Instruções!$F$13:$J$17,4,0)&amp;" as "&amp;VLOOKUP(B30,Instruções!$F$13:$J$17,4,0)&amp;"_"&amp;$F$2&amp;", "&amp;E30&amp;" as "&amp;F30&amp;" FROM "&amp;C30&amp;" WHERE "&amp;Instruções!$D$20&amp;") A ",
"(SELECT "&amp;VLOOKUP(B30,Instruções!$F$13:$J$17,4,0)&amp;" as "&amp;VLOOKUP(B30,Instruções!$F$13:$J$17,4,0)&amp;"_"&amp;$F$2&amp;", "&amp;VLOOKUP(B30,Instruções!$F$13:$J$17,5,0)&amp;" as "&amp;VLOOKUP(B30,Instruções!$F$13:$J$17,5,0)&amp;"_"&amp;$F$2&amp;","&amp;E30&amp;" as "&amp;F30&amp;" FROM "&amp;C30&amp;" WHERE "&amp;Instruções!$D$20&amp;") A ")</f>
        <v xml:space="preserve">(SELECT entty_id as entty_id_, dt_extrnl_rtng as dt_extrnl_rtng_as_is FROM cd_loan_tapes_bce.lt003_entity WHERE ref_date='2024-09-30' AND nome_perimetro='Individual Corporativo' AND segmento='ESTR' AND ambito='PM' AND entidade='00100' ) A </v>
      </c>
      <c r="I30" s="75" t="str">
        <f>IF(VLOOKUP(B30,Instruções!$F$13:$J$17,5,0)="",
"(SELECT "&amp;VLOOKUP(B30,Instruções!$F$13:$J$17,4,0)&amp;" as "&amp;VLOOKUP(B30,Instruções!$F$13:$J$17,4,0)&amp;"_"&amp;$G$2&amp;", "&amp;E30&amp;" as "&amp;G30&amp;" FROM "&amp;D30&amp;" WHERE "&amp;Instruções!$D$21&amp;") B ",
"(SELECT "&amp;VLOOKUP(B30,Instruções!$F$13:$J$17,4,0)&amp;" as "&amp;VLOOKUP(B30,Instruções!$F$13:$J$17,4,0)&amp;"_"&amp;$G$2&amp;", "&amp;VLOOKUP(B30,Instruções!$F$13:$J$17,5,0)&amp;" as "&amp;VLOOKUP(B30,Instruções!$F$13:$J$17,5,0)&amp;"_"&amp;$G$2&amp;","&amp;E30&amp;" as "&amp;G30&amp;" FROM "&amp;D30&amp;" WHERE "&amp;Instruções!$D$21&amp;") B ")</f>
        <v xml:space="preserve">(SELECT entty_id as entty_id_, dt_extrnl_rtng as dt_extrnl_rtng_to_be FROM bu_loantape_work.lt003_entity WHERE ref_date='2024-09-30' AND nome_perimetro='Individual Corporativo' AND segmento='ESTR' AND ambito='PM' AND entidade='00100' ) B </v>
      </c>
      <c r="J30" s="75" t="str">
        <f>+IF(VLOOKUP(B30,Instruções!$F$13:$J$17,5,0)="", "ON "&amp;VLOOKUP(B30,Instruções!$F$13:$J$17,4,0)&amp;"_"&amp;$F$7&amp;"="&amp;VLOOKUP(B30,Instruções!$F$13:$J$17,4,0)&amp;"_"&amp;$G$7&amp;" ", "ON "&amp;VLOOKUP(B30,Instruções!$F$13:$J$17,4,0)&amp;"_"&amp;$F$7&amp;"="&amp;VLOOKUP(B30,Instruções!$F$13:$J$17,4,0)&amp;"_"&amp;$G$7&amp;" AND "&amp;VLOOKUP(B30,Instruções!$F$13:$J$17,5,0)&amp;"_"&amp;$F$7&amp;"="&amp;VLOOKUP(B30,Instruções!$F$13:$J$17,5,0)&amp;"_"&amp;$G$7&amp;" ")</f>
        <v xml:space="preserve">ON entty_id_as_is=entty_id_to_be </v>
      </c>
      <c r="K30" s="75" t="str">
        <f t="shared" si="3"/>
        <v xml:space="preserve">WHERE coalesce(cast(dt_extrnl_rtng_as_is AS string),'')&lt;&gt;coalesce(cast(dt_extrnl_rtng_to_be AS string),'') </v>
      </c>
      <c r="L30" s="75" t="str">
        <f t="shared" si="4"/>
        <v xml:space="preserve">SELECT count(*) AS NUM_REG_DIF FROM (SELECT entty_id as entty_id_, dt_extrnl_rtng as dt_extrnl_rtng_as_is FROM cd_loan_tapes_bce.lt003_entity WHERE ref_date='2024-09-30' AND nome_perimetro='Individual Corporativo' AND segmento='ESTR' AND ambito='PM' AND entidade='00100' ) A  Inner join (SELECT entty_id as entty_id_, dt_extrnl_rtng as dt_extrnl_rtng_to_be FROM bu_loantape_work.lt003_entity WHERE ref_date='2024-09-30' AND nome_perimetro='Individual Corporativo' AND segmento='ESTR' AND ambito='PM' AND entidade='00100' ) B ON entty_id_as_is=entty_id_to_be WHERE coalesce(cast(dt_extrnl_rtng_as_is AS string),'')&lt;&gt;coalesce(cast(dt_extrnl_rtng_to_be AS string),'') </v>
      </c>
      <c r="M30" s="75" t="s">
        <v>55</v>
      </c>
      <c r="N30" s="75" t="str">
        <f>"SELECT 'Validação de campos' as tipologia_teste, '"&amp;VLOOKUP(B30,Instruções!$F$13:$J$17,3,0)&amp;"' AS TABELA, '"&amp;E30&amp;"' AS CAMPO, '"&amp;Instruções!$D$15&amp;"' as ref_date, coalesce(NUM_REG_DIF, 0) AS NUM_REG_DIF FROM ("&amp;L30&amp;") A "</f>
        <v xml:space="preserve">SELECT 'Validação de campos' as tipologia_teste, 'lt003_entity' AS TABELA, 'dt_extrnl_rtng' AS CAMPO, '2024-09-30' as ref_date, coalesce(NUM_REG_DIF, 0) AS NUM_REG_DIF FROM (SELECT count(*) AS NUM_REG_DIF FROM (SELECT entty_id as entty_id_, dt_extrnl_rtng as dt_extrnl_rtng_as_is FROM cd_loan_tapes_bce.lt003_entity WHERE ref_date='2024-09-30' AND nome_perimetro='Individual Corporativo' AND segmento='ESTR' AND ambito='PM' AND entidade='00100' ) A  Inner join (SELECT entty_id as entty_id_, dt_extrnl_rtng as dt_extrnl_rtng_to_be FROM bu_loantape_work.lt003_entity WHERE ref_date='2024-09-30' AND nome_perimetro='Individual Corporativo' AND segmento='ESTR' AND ambito='PM' AND entidade='00100' ) B ON entty_id_as_is=entty_id_to_be WHERE coalesce(cast(dt_extrnl_rtng_as_is AS string),'')&lt;&gt;coalesce(cast(dt_extrnl_rtng_to_be AS string),'') ) A </v>
      </c>
      <c r="O30" s="76" t="str">
        <f t="shared" si="2"/>
        <v>SELECT 'Validação de campos' as tipologia_teste, 'lt003_entity' AS TABELA, 'dt_extrnl_rtng' AS CAMPO, '2024-09-30' as ref_date, coalesce(NUM_REG_DIF, 0) AS NUM_REG_DIF FROM (SELECT count(*) AS NUM_REG_DIF FROM (SELECT entty_id as entty_id_, dt_extrnl_rtng as dt_extrnl_rtng_as_is FROM cd_loan_tapes_bce.lt003_entity WHERE ref_date='2024-09-30' AND nome_perimetro='Individual Corporativo' AND segmento='ESTR' AND ambito='PM' AND entidade='00100' ) A  Inner join (SELECT entty_id as entty_id_, dt_extrnl_rtng as dt_extrnl_rtng_to_be FROM bu_loantape_work.lt003_entity WHERE ref_date='2024-09-30' AND nome_perimetro='Individual Corporativo' AND segmento='ESTR' AND ambito='PM' AND entidade='00100' ) B ON entty_id_as_is=entty_id_to_be WHERE coalesce(cast(dt_extrnl_rtng_as_is AS string),'')&lt;&gt;coalesce(cast(dt_extrnl_rtng_to_be AS string),'') ) A Union all</v>
      </c>
      <c r="P30" s="77">
        <f t="shared" si="5"/>
        <v>22</v>
      </c>
    </row>
    <row r="31" spans="2:16" s="63" customFormat="1" ht="18" customHeight="1">
      <c r="B31" s="75" t="s">
        <v>11</v>
      </c>
      <c r="C31" s="75" t="str">
        <f>_xlfn.CONCAT(Instruções!$D$13,".",VLOOKUP(B31,Instruções!$F$12:$H$17,2,0))</f>
        <v>cd_loan_tapes_bce.lt003_entity</v>
      </c>
      <c r="D31" s="75" t="str">
        <f>_xlfn.CONCAT(Instruções!$D$14,".",VLOOKUP(B31,Instruções!$F$12:$H$17,3,0))</f>
        <v>bu_loantape_work.lt003_entity</v>
      </c>
      <c r="E31" s="75" t="s">
        <v>77</v>
      </c>
      <c r="F31" s="75" t="str">
        <f t="shared" si="0"/>
        <v>dt_fnncl_sttmts_as_is</v>
      </c>
      <c r="G31" s="75" t="str">
        <f t="shared" si="1"/>
        <v>dt_fnncl_sttmts_to_be</v>
      </c>
      <c r="H31" s="75" t="str">
        <f>IF(VLOOKUP(B31,Instruções!$F$13:$J$17,5,0)="",
"(SELECT "&amp;VLOOKUP(B31,Instruções!$F$13:$J$17,4,0)&amp;" as "&amp;VLOOKUP(B31,Instruções!$F$13:$J$17,4,0)&amp;"_"&amp;$F$2&amp;", "&amp;E31&amp;" as "&amp;F31&amp;" FROM "&amp;C31&amp;" WHERE "&amp;Instruções!$D$20&amp;") A ",
"(SELECT "&amp;VLOOKUP(B31,Instruções!$F$13:$J$17,4,0)&amp;" as "&amp;VLOOKUP(B31,Instruções!$F$13:$J$17,4,0)&amp;"_"&amp;$F$2&amp;", "&amp;VLOOKUP(B31,Instruções!$F$13:$J$17,5,0)&amp;" as "&amp;VLOOKUP(B31,Instruções!$F$13:$J$17,5,0)&amp;"_"&amp;$F$2&amp;","&amp;E31&amp;" as "&amp;F31&amp;" FROM "&amp;C31&amp;" WHERE "&amp;Instruções!$D$20&amp;") A ")</f>
        <v xml:space="preserve">(SELECT entty_id as entty_id_, dt_fnncl_sttmts as dt_fnncl_sttmts_as_is FROM cd_loan_tapes_bce.lt003_entity WHERE ref_date='2024-09-30' AND nome_perimetro='Individual Corporativo' AND segmento='ESTR' AND ambito='PM' AND entidade='00100' ) A </v>
      </c>
      <c r="I31" s="75" t="str">
        <f>IF(VLOOKUP(B31,Instruções!$F$13:$J$17,5,0)="",
"(SELECT "&amp;VLOOKUP(B31,Instruções!$F$13:$J$17,4,0)&amp;" as "&amp;VLOOKUP(B31,Instruções!$F$13:$J$17,4,0)&amp;"_"&amp;$G$2&amp;", "&amp;E31&amp;" as "&amp;G31&amp;" FROM "&amp;D31&amp;" WHERE "&amp;Instruções!$D$21&amp;") B ",
"(SELECT "&amp;VLOOKUP(B31,Instruções!$F$13:$J$17,4,0)&amp;" as "&amp;VLOOKUP(B31,Instruções!$F$13:$J$17,4,0)&amp;"_"&amp;$G$2&amp;", "&amp;VLOOKUP(B31,Instruções!$F$13:$J$17,5,0)&amp;" as "&amp;VLOOKUP(B31,Instruções!$F$13:$J$17,5,0)&amp;"_"&amp;$G$2&amp;","&amp;E31&amp;" as "&amp;G31&amp;" FROM "&amp;D31&amp;" WHERE "&amp;Instruções!$D$21&amp;") B ")</f>
        <v xml:space="preserve">(SELECT entty_id as entty_id_, dt_fnncl_sttmts as dt_fnncl_sttmts_to_be FROM bu_loantape_work.lt003_entity WHERE ref_date='2024-09-30' AND nome_perimetro='Individual Corporativo' AND segmento='ESTR' AND ambito='PM' AND entidade='00100' ) B </v>
      </c>
      <c r="J31" s="75" t="str">
        <f>+IF(VLOOKUP(B31,Instruções!$F$13:$J$17,5,0)="", "ON "&amp;VLOOKUP(B31,Instruções!$F$13:$J$17,4,0)&amp;"_"&amp;$F$7&amp;"="&amp;VLOOKUP(B31,Instruções!$F$13:$J$17,4,0)&amp;"_"&amp;$G$7&amp;" ", "ON "&amp;VLOOKUP(B31,Instruções!$F$13:$J$17,4,0)&amp;"_"&amp;$F$7&amp;"="&amp;VLOOKUP(B31,Instruções!$F$13:$J$17,4,0)&amp;"_"&amp;$G$7&amp;" AND "&amp;VLOOKUP(B31,Instruções!$F$13:$J$17,5,0)&amp;"_"&amp;$F$7&amp;"="&amp;VLOOKUP(B31,Instruções!$F$13:$J$17,5,0)&amp;"_"&amp;$G$7&amp;" ")</f>
        <v xml:space="preserve">ON entty_id_as_is=entty_id_to_be </v>
      </c>
      <c r="K31" s="75" t="str">
        <f t="shared" si="3"/>
        <v xml:space="preserve">WHERE coalesce(cast(dt_fnncl_sttmts_as_is AS string),'')&lt;&gt;coalesce(cast(dt_fnncl_sttmts_to_be AS string),'') </v>
      </c>
      <c r="L31" s="75" t="str">
        <f t="shared" si="4"/>
        <v xml:space="preserve">SELECT count(*) AS NUM_REG_DIF FROM (SELECT entty_id as entty_id_, dt_fnncl_sttmts as dt_fnncl_sttmts_as_is FROM cd_loan_tapes_bce.lt003_entity WHERE ref_date='2024-09-30' AND nome_perimetro='Individual Corporativo' AND segmento='ESTR' AND ambito='PM' AND entidade='00100' ) A  Inner join (SELECT entty_id as entty_id_, dt_fnncl_sttmts as dt_fnncl_sttmts_to_be FROM bu_loantape_work.lt003_entity WHERE ref_date='2024-09-30' AND nome_perimetro='Individual Corporativo' AND segmento='ESTR' AND ambito='PM' AND entidade='00100' ) B ON entty_id_as_is=entty_id_to_be WHERE coalesce(cast(dt_fnncl_sttmts_as_is AS string),'')&lt;&gt;coalesce(cast(dt_fnncl_sttmts_to_be AS string),'') </v>
      </c>
      <c r="M31" s="75" t="s">
        <v>55</v>
      </c>
      <c r="N31" s="75" t="str">
        <f>"SELECT 'Validação de campos' as tipologia_teste, '"&amp;VLOOKUP(B31,Instruções!$F$13:$J$17,3,0)&amp;"' AS TABELA, '"&amp;E31&amp;"' AS CAMPO, '"&amp;Instruções!$D$15&amp;"' as ref_date, coalesce(NUM_REG_DIF, 0) AS NUM_REG_DIF FROM ("&amp;L31&amp;") A "</f>
        <v xml:space="preserve">SELECT 'Validação de campos' as tipologia_teste, 'lt003_entity' AS TABELA, 'dt_fnncl_sttmts' AS CAMPO, '2024-09-30' as ref_date, coalesce(NUM_REG_DIF, 0) AS NUM_REG_DIF FROM (SELECT count(*) AS NUM_REG_DIF FROM (SELECT entty_id as entty_id_, dt_fnncl_sttmts as dt_fnncl_sttmts_as_is FROM cd_loan_tapes_bce.lt003_entity WHERE ref_date='2024-09-30' AND nome_perimetro='Individual Corporativo' AND segmento='ESTR' AND ambito='PM' AND entidade='00100' ) A  Inner join (SELECT entty_id as entty_id_, dt_fnncl_sttmts as dt_fnncl_sttmts_to_be FROM bu_loantape_work.lt003_entity WHERE ref_date='2024-09-30' AND nome_perimetro='Individual Corporativo' AND segmento='ESTR' AND ambito='PM' AND entidade='00100' ) B ON entty_id_as_is=entty_id_to_be WHERE coalesce(cast(dt_fnncl_sttmts_as_is AS string),'')&lt;&gt;coalesce(cast(dt_fnncl_sttmts_to_be AS string),'') ) A </v>
      </c>
      <c r="O31" s="76" t="str">
        <f t="shared" si="2"/>
        <v>SELECT 'Validação de campos' as tipologia_teste, 'lt003_entity' AS TABELA, 'dt_fnncl_sttmts' AS CAMPO, '2024-09-30' as ref_date, coalesce(NUM_REG_DIF, 0) AS NUM_REG_DIF FROM (SELECT count(*) AS NUM_REG_DIF FROM (SELECT entty_id as entty_id_, dt_fnncl_sttmts as dt_fnncl_sttmts_as_is FROM cd_loan_tapes_bce.lt003_entity WHERE ref_date='2024-09-30' AND nome_perimetro='Individual Corporativo' AND segmento='ESTR' AND ambito='PM' AND entidade='00100' ) A  Inner join (SELECT entty_id as entty_id_, dt_fnncl_sttmts as dt_fnncl_sttmts_to_be FROM bu_loantape_work.lt003_entity WHERE ref_date='2024-09-30' AND nome_perimetro='Individual Corporativo' AND segmento='ESTR' AND ambito='PM' AND entidade='00100' ) B ON entty_id_as_is=entty_id_to_be WHERE coalesce(cast(dt_fnncl_sttmts_as_is AS string),'')&lt;&gt;coalesce(cast(dt_fnncl_sttmts_to_be AS string),'') ) A Union all</v>
      </c>
      <c r="P31" s="77">
        <f t="shared" si="5"/>
        <v>23</v>
      </c>
    </row>
    <row r="32" spans="2:16" s="63" customFormat="1" ht="18" customHeight="1">
      <c r="B32" s="75" t="s">
        <v>11</v>
      </c>
      <c r="C32" s="75" t="str">
        <f>_xlfn.CONCAT(Instruções!$D$13,".",VLOOKUP(B32,Instruções!$F$12:$H$17,2,0))</f>
        <v>cd_loan_tapes_bce.lt003_entity</v>
      </c>
      <c r="D32" s="75" t="str">
        <f>_xlfn.CONCAT(Instruções!$D$14,".",VLOOKUP(B32,Instruções!$F$12:$H$17,3,0))</f>
        <v>bu_loantape_work.lt003_entity</v>
      </c>
      <c r="E32" s="75" t="s">
        <v>78</v>
      </c>
      <c r="F32" s="75" t="str">
        <f t="shared" si="0"/>
        <v>dt_fnncl_sttmts_prvs_as_is</v>
      </c>
      <c r="G32" s="75" t="str">
        <f t="shared" si="1"/>
        <v>dt_fnncl_sttmts_prvs_to_be</v>
      </c>
      <c r="H32" s="75" t="str">
        <f>IF(VLOOKUP(B32,Instruções!$F$13:$J$17,5,0)="",
"(SELECT "&amp;VLOOKUP(B32,Instruções!$F$13:$J$17,4,0)&amp;" as "&amp;VLOOKUP(B32,Instruções!$F$13:$J$17,4,0)&amp;"_"&amp;$F$2&amp;", "&amp;E32&amp;" as "&amp;F32&amp;" FROM "&amp;C32&amp;" WHERE "&amp;Instruções!$D$20&amp;") A ",
"(SELECT "&amp;VLOOKUP(B32,Instruções!$F$13:$J$17,4,0)&amp;" as "&amp;VLOOKUP(B32,Instruções!$F$13:$J$17,4,0)&amp;"_"&amp;$F$2&amp;", "&amp;VLOOKUP(B32,Instruções!$F$13:$J$17,5,0)&amp;" as "&amp;VLOOKUP(B32,Instruções!$F$13:$J$17,5,0)&amp;"_"&amp;$F$2&amp;","&amp;E32&amp;" as "&amp;F32&amp;" FROM "&amp;C32&amp;" WHERE "&amp;Instruções!$D$20&amp;") A ")</f>
        <v xml:space="preserve">(SELECT entty_id as entty_id_, dt_fnncl_sttmts_prvs as dt_fnncl_sttmts_prvs_as_is FROM cd_loan_tapes_bce.lt003_entity WHERE ref_date='2024-09-30' AND nome_perimetro='Individual Corporativo' AND segmento='ESTR' AND ambito='PM' AND entidade='00100' ) A </v>
      </c>
      <c r="I32" s="75" t="str">
        <f>IF(VLOOKUP(B32,Instruções!$F$13:$J$17,5,0)="",
"(SELECT "&amp;VLOOKUP(B32,Instruções!$F$13:$J$17,4,0)&amp;" as "&amp;VLOOKUP(B32,Instruções!$F$13:$J$17,4,0)&amp;"_"&amp;$G$2&amp;", "&amp;E32&amp;" as "&amp;G32&amp;" FROM "&amp;D32&amp;" WHERE "&amp;Instruções!$D$21&amp;") B ",
"(SELECT "&amp;VLOOKUP(B32,Instruções!$F$13:$J$17,4,0)&amp;" as "&amp;VLOOKUP(B32,Instruções!$F$13:$J$17,4,0)&amp;"_"&amp;$G$2&amp;", "&amp;VLOOKUP(B32,Instruções!$F$13:$J$17,5,0)&amp;" as "&amp;VLOOKUP(B32,Instruções!$F$13:$J$17,5,0)&amp;"_"&amp;$G$2&amp;","&amp;E32&amp;" as "&amp;G32&amp;" FROM "&amp;D32&amp;" WHERE "&amp;Instruções!$D$21&amp;") B ")</f>
        <v xml:space="preserve">(SELECT entty_id as entty_id_, dt_fnncl_sttmts_prvs as dt_fnncl_sttmts_prvs_to_be FROM bu_loantape_work.lt003_entity WHERE ref_date='2024-09-30' AND nome_perimetro='Individual Corporativo' AND segmento='ESTR' AND ambito='PM' AND entidade='00100' ) B </v>
      </c>
      <c r="J32" s="75" t="str">
        <f>+IF(VLOOKUP(B32,Instruções!$F$13:$J$17,5,0)="", "ON "&amp;VLOOKUP(B32,Instruções!$F$13:$J$17,4,0)&amp;"_"&amp;$F$7&amp;"="&amp;VLOOKUP(B32,Instruções!$F$13:$J$17,4,0)&amp;"_"&amp;$G$7&amp;" ", "ON "&amp;VLOOKUP(B32,Instruções!$F$13:$J$17,4,0)&amp;"_"&amp;$F$7&amp;"="&amp;VLOOKUP(B32,Instruções!$F$13:$J$17,4,0)&amp;"_"&amp;$G$7&amp;" AND "&amp;VLOOKUP(B32,Instruções!$F$13:$J$17,5,0)&amp;"_"&amp;$F$7&amp;"="&amp;VLOOKUP(B32,Instruções!$F$13:$J$17,5,0)&amp;"_"&amp;$G$7&amp;" ")</f>
        <v xml:space="preserve">ON entty_id_as_is=entty_id_to_be </v>
      </c>
      <c r="K32" s="75" t="str">
        <f t="shared" si="3"/>
        <v xml:space="preserve">WHERE coalesce(cast(dt_fnncl_sttmts_prvs_as_is AS string),'')&lt;&gt;coalesce(cast(dt_fnncl_sttmts_prvs_to_be AS string),'') </v>
      </c>
      <c r="L32" s="75" t="str">
        <f t="shared" si="4"/>
        <v xml:space="preserve">SELECT count(*) AS NUM_REG_DIF FROM (SELECT entty_id as entty_id_, dt_fnncl_sttmts_prvs as dt_fnncl_sttmts_prvs_as_is FROM cd_loan_tapes_bce.lt003_entity WHERE ref_date='2024-09-30' AND nome_perimetro='Individual Corporativo' AND segmento='ESTR' AND ambito='PM' AND entidade='00100' ) A  Inner join (SELECT entty_id as entty_id_, dt_fnncl_sttmts_prvs as dt_fnncl_sttmts_prvs_to_be FROM bu_loantape_work.lt003_entity WHERE ref_date='2024-09-30' AND nome_perimetro='Individual Corporativo' AND segmento='ESTR' AND ambito='PM' AND entidade='00100' ) B ON entty_id_as_is=entty_id_to_be WHERE coalesce(cast(dt_fnncl_sttmts_prvs_as_is AS string),'')&lt;&gt;coalesce(cast(dt_fnncl_sttmts_prvs_to_be AS string),'') </v>
      </c>
      <c r="M32" s="75" t="s">
        <v>55</v>
      </c>
      <c r="N32" s="75" t="str">
        <f>"SELECT 'Validação de campos' as tipologia_teste, '"&amp;VLOOKUP(B32,Instruções!$F$13:$J$17,3,0)&amp;"' AS TABELA, '"&amp;E32&amp;"' AS CAMPO, '"&amp;Instruções!$D$15&amp;"' as ref_date, coalesce(NUM_REG_DIF, 0) AS NUM_REG_DIF FROM ("&amp;L32&amp;") A "</f>
        <v xml:space="preserve">SELECT 'Validação de campos' as tipologia_teste, 'lt003_entity' AS TABELA, 'dt_fnncl_sttmts_prvs' AS CAMPO, '2024-09-30' as ref_date, coalesce(NUM_REG_DIF, 0) AS NUM_REG_DIF FROM (SELECT count(*) AS NUM_REG_DIF FROM (SELECT entty_id as entty_id_, dt_fnncl_sttmts_prvs as dt_fnncl_sttmts_prvs_as_is FROM cd_loan_tapes_bce.lt003_entity WHERE ref_date='2024-09-30' AND nome_perimetro='Individual Corporativo' AND segmento='ESTR' AND ambito='PM' AND entidade='00100' ) A  Inner join (SELECT entty_id as entty_id_, dt_fnncl_sttmts_prvs as dt_fnncl_sttmts_prvs_to_be FROM bu_loantape_work.lt003_entity WHERE ref_date='2024-09-30' AND nome_perimetro='Individual Corporativo' AND segmento='ESTR' AND ambito='PM' AND entidade='00100' ) B ON entty_id_as_is=entty_id_to_be WHERE coalesce(cast(dt_fnncl_sttmts_prvs_as_is AS string),'')&lt;&gt;coalesce(cast(dt_fnncl_sttmts_prvs_to_be AS string),'') ) A </v>
      </c>
      <c r="O32" s="76" t="str">
        <f t="shared" si="2"/>
        <v>SELECT 'Validação de campos' as tipologia_teste, 'lt003_entity' AS TABELA, 'dt_fnncl_sttmts_prvs' AS CAMPO, '2024-09-30' as ref_date, coalesce(NUM_REG_DIF, 0) AS NUM_REG_DIF FROM (SELECT count(*) AS NUM_REG_DIF FROM (SELECT entty_id as entty_id_, dt_fnncl_sttmts_prvs as dt_fnncl_sttmts_prvs_as_is FROM cd_loan_tapes_bce.lt003_entity WHERE ref_date='2024-09-30' AND nome_perimetro='Individual Corporativo' AND segmento='ESTR' AND ambito='PM' AND entidade='00100' ) A  Inner join (SELECT entty_id as entty_id_, dt_fnncl_sttmts_prvs as dt_fnncl_sttmts_prvs_to_be FROM bu_loantape_work.lt003_entity WHERE ref_date='2024-09-30' AND nome_perimetro='Individual Corporativo' AND segmento='ESTR' AND ambito='PM' AND entidade='00100' ) B ON entty_id_as_is=entty_id_to_be WHERE coalesce(cast(dt_fnncl_sttmts_prvs_as_is AS string),'')&lt;&gt;coalesce(cast(dt_fnncl_sttmts_prvs_to_be AS string),'') ) A Union all</v>
      </c>
      <c r="P32" s="77">
        <f t="shared" si="5"/>
        <v>24</v>
      </c>
    </row>
    <row r="33" spans="2:16" s="63" customFormat="1" ht="18" customHeight="1">
      <c r="B33" s="75" t="s">
        <v>11</v>
      </c>
      <c r="C33" s="75" t="str">
        <f>_xlfn.CONCAT(Instruções!$D$13,".",VLOOKUP(B33,Instruções!$F$12:$H$17,2,0))</f>
        <v>cd_loan_tapes_bce.lt003_entity</v>
      </c>
      <c r="D33" s="75" t="str">
        <f>_xlfn.CONCAT(Instruções!$D$14,".",VLOOKUP(B33,Instruções!$F$12:$H$17,3,0))</f>
        <v>bu_loantape_work.lt003_entity</v>
      </c>
      <c r="E33" s="75" t="s">
        <v>79</v>
      </c>
      <c r="F33" s="75" t="str">
        <f t="shared" si="0"/>
        <v>dt_intrnl_rtng_as_is</v>
      </c>
      <c r="G33" s="75" t="str">
        <f t="shared" si="1"/>
        <v>dt_intrnl_rtng_to_be</v>
      </c>
      <c r="H33" s="75" t="str">
        <f>IF(VLOOKUP(B33,Instruções!$F$13:$J$17,5,0)="",
"(SELECT "&amp;VLOOKUP(B33,Instruções!$F$13:$J$17,4,0)&amp;" as "&amp;VLOOKUP(B33,Instruções!$F$13:$J$17,4,0)&amp;"_"&amp;$F$2&amp;", "&amp;E33&amp;" as "&amp;F33&amp;" FROM "&amp;C33&amp;" WHERE "&amp;Instruções!$D$20&amp;") A ",
"(SELECT "&amp;VLOOKUP(B33,Instruções!$F$13:$J$17,4,0)&amp;" as "&amp;VLOOKUP(B33,Instruções!$F$13:$J$17,4,0)&amp;"_"&amp;$F$2&amp;", "&amp;VLOOKUP(B33,Instruções!$F$13:$J$17,5,0)&amp;" as "&amp;VLOOKUP(B33,Instruções!$F$13:$J$17,5,0)&amp;"_"&amp;$F$2&amp;","&amp;E33&amp;" as "&amp;F33&amp;" FROM "&amp;C33&amp;" WHERE "&amp;Instruções!$D$20&amp;") A ")</f>
        <v xml:space="preserve">(SELECT entty_id as entty_id_, dt_intrnl_rtng as dt_intrnl_rtng_as_is FROM cd_loan_tapes_bce.lt003_entity WHERE ref_date='2024-09-30' AND nome_perimetro='Individual Corporativo' AND segmento='ESTR' AND ambito='PM' AND entidade='00100' ) A </v>
      </c>
      <c r="I33" s="75" t="str">
        <f>IF(VLOOKUP(B33,Instruções!$F$13:$J$17,5,0)="",
"(SELECT "&amp;VLOOKUP(B33,Instruções!$F$13:$J$17,4,0)&amp;" as "&amp;VLOOKUP(B33,Instruções!$F$13:$J$17,4,0)&amp;"_"&amp;$G$2&amp;", "&amp;E33&amp;" as "&amp;G33&amp;" FROM "&amp;D33&amp;" WHERE "&amp;Instruções!$D$21&amp;") B ",
"(SELECT "&amp;VLOOKUP(B33,Instruções!$F$13:$J$17,4,0)&amp;" as "&amp;VLOOKUP(B33,Instruções!$F$13:$J$17,4,0)&amp;"_"&amp;$G$2&amp;", "&amp;VLOOKUP(B33,Instruções!$F$13:$J$17,5,0)&amp;" as "&amp;VLOOKUP(B33,Instruções!$F$13:$J$17,5,0)&amp;"_"&amp;$G$2&amp;","&amp;E33&amp;" as "&amp;G33&amp;" FROM "&amp;D33&amp;" WHERE "&amp;Instruções!$D$21&amp;") B ")</f>
        <v xml:space="preserve">(SELECT entty_id as entty_id_, dt_intrnl_rtng as dt_intrnl_rtng_to_be FROM bu_loantape_work.lt003_entity WHERE ref_date='2024-09-30' AND nome_perimetro='Individual Corporativo' AND segmento='ESTR' AND ambito='PM' AND entidade='00100' ) B </v>
      </c>
      <c r="J33" s="75" t="str">
        <f>+IF(VLOOKUP(B33,Instruções!$F$13:$J$17,5,0)="", "ON "&amp;VLOOKUP(B33,Instruções!$F$13:$J$17,4,0)&amp;"_"&amp;$F$7&amp;"="&amp;VLOOKUP(B33,Instruções!$F$13:$J$17,4,0)&amp;"_"&amp;$G$7&amp;" ", "ON "&amp;VLOOKUP(B33,Instruções!$F$13:$J$17,4,0)&amp;"_"&amp;$F$7&amp;"="&amp;VLOOKUP(B33,Instruções!$F$13:$J$17,4,0)&amp;"_"&amp;$G$7&amp;" AND "&amp;VLOOKUP(B33,Instruções!$F$13:$J$17,5,0)&amp;"_"&amp;$F$7&amp;"="&amp;VLOOKUP(B33,Instruções!$F$13:$J$17,5,0)&amp;"_"&amp;$G$7&amp;" ")</f>
        <v xml:space="preserve">ON entty_id_as_is=entty_id_to_be </v>
      </c>
      <c r="K33" s="75" t="str">
        <f t="shared" si="3"/>
        <v xml:space="preserve">WHERE coalesce(cast(dt_intrnl_rtng_as_is AS string),'')&lt;&gt;coalesce(cast(dt_intrnl_rtng_to_be AS string),'') </v>
      </c>
      <c r="L33" s="75" t="str">
        <f t="shared" si="4"/>
        <v xml:space="preserve">SELECT count(*) AS NUM_REG_DIF FROM (SELECT entty_id as entty_id_, dt_intrnl_rtng as dt_intrnl_rtng_as_is FROM cd_loan_tapes_bce.lt003_entity WHERE ref_date='2024-09-30' AND nome_perimetro='Individual Corporativo' AND segmento='ESTR' AND ambito='PM' AND entidade='00100' ) A  Inner join (SELECT entty_id as entty_id_, dt_intrnl_rtng as dt_intrnl_rtng_to_be FROM bu_loantape_work.lt003_entity WHERE ref_date='2024-09-30' AND nome_perimetro='Individual Corporativo' AND segmento='ESTR' AND ambito='PM' AND entidade='00100' ) B ON entty_id_as_is=entty_id_to_be WHERE coalesce(cast(dt_intrnl_rtng_as_is AS string),'')&lt;&gt;coalesce(cast(dt_intrnl_rtng_to_be AS string),'') </v>
      </c>
      <c r="M33" s="75" t="s">
        <v>55</v>
      </c>
      <c r="N33" s="75" t="str">
        <f>"SELECT 'Validação de campos' as tipologia_teste, '"&amp;VLOOKUP(B33,Instruções!$F$13:$J$17,3,0)&amp;"' AS TABELA, '"&amp;E33&amp;"' AS CAMPO, '"&amp;Instruções!$D$15&amp;"' as ref_date, coalesce(NUM_REG_DIF, 0) AS NUM_REG_DIF FROM ("&amp;L33&amp;") A "</f>
        <v xml:space="preserve">SELECT 'Validação de campos' as tipologia_teste, 'lt003_entity' AS TABELA, 'dt_intrnl_rtng' AS CAMPO, '2024-09-30' as ref_date, coalesce(NUM_REG_DIF, 0) AS NUM_REG_DIF FROM (SELECT count(*) AS NUM_REG_DIF FROM (SELECT entty_id as entty_id_, dt_intrnl_rtng as dt_intrnl_rtng_as_is FROM cd_loan_tapes_bce.lt003_entity WHERE ref_date='2024-09-30' AND nome_perimetro='Individual Corporativo' AND segmento='ESTR' AND ambito='PM' AND entidade='00100' ) A  Inner join (SELECT entty_id as entty_id_, dt_intrnl_rtng as dt_intrnl_rtng_to_be FROM bu_loantape_work.lt003_entity WHERE ref_date='2024-09-30' AND nome_perimetro='Individual Corporativo' AND segmento='ESTR' AND ambito='PM' AND entidade='00100' ) B ON entty_id_as_is=entty_id_to_be WHERE coalesce(cast(dt_intrnl_rtng_as_is AS string),'')&lt;&gt;coalesce(cast(dt_intrnl_rtng_to_be AS string),'') ) A </v>
      </c>
      <c r="O33" s="76" t="str">
        <f t="shared" si="2"/>
        <v>SELECT 'Validação de campos' as tipologia_teste, 'lt003_entity' AS TABELA, 'dt_intrnl_rtng' AS CAMPO, '2024-09-30' as ref_date, coalesce(NUM_REG_DIF, 0) AS NUM_REG_DIF FROM (SELECT count(*) AS NUM_REG_DIF FROM (SELECT entty_id as entty_id_, dt_intrnl_rtng as dt_intrnl_rtng_as_is FROM cd_loan_tapes_bce.lt003_entity WHERE ref_date='2024-09-30' AND nome_perimetro='Individual Corporativo' AND segmento='ESTR' AND ambito='PM' AND entidade='00100' ) A  Inner join (SELECT entty_id as entty_id_, dt_intrnl_rtng as dt_intrnl_rtng_to_be FROM bu_loantape_work.lt003_entity WHERE ref_date='2024-09-30' AND nome_perimetro='Individual Corporativo' AND segmento='ESTR' AND ambito='PM' AND entidade='00100' ) B ON entty_id_as_is=entty_id_to_be WHERE coalesce(cast(dt_intrnl_rtng_as_is AS string),'')&lt;&gt;coalesce(cast(dt_intrnl_rtng_to_be AS string),'') ) A Union all</v>
      </c>
      <c r="P33" s="77">
        <f t="shared" si="5"/>
        <v>25</v>
      </c>
    </row>
    <row r="34" spans="2:16" s="63" customFormat="1" ht="18" customHeight="1">
      <c r="B34" s="75" t="s">
        <v>11</v>
      </c>
      <c r="C34" s="75" t="str">
        <f>_xlfn.CONCAT(Instruções!$D$13,".",VLOOKUP(B34,Instruções!$F$12:$H$17,2,0))</f>
        <v>cd_loan_tapes_bce.lt003_entity</v>
      </c>
      <c r="D34" s="75" t="str">
        <f>_xlfn.CONCAT(Instruções!$D$14,".",VLOOKUP(B34,Instruções!$F$12:$H$17,3,0))</f>
        <v>bu_loantape_work.lt003_entity</v>
      </c>
      <c r="E34" s="75" t="s">
        <v>80</v>
      </c>
      <c r="F34" s="75" t="str">
        <f t="shared" si="0"/>
        <v>dt_inttn_lgl_prcdngs_le_as_is</v>
      </c>
      <c r="G34" s="75" t="str">
        <f t="shared" si="1"/>
        <v>dt_inttn_lgl_prcdngs_le_to_be</v>
      </c>
      <c r="H34" s="75" t="str">
        <f>IF(VLOOKUP(B34,Instruções!$F$13:$J$17,5,0)="",
"(SELECT "&amp;VLOOKUP(B34,Instruções!$F$13:$J$17,4,0)&amp;" as "&amp;VLOOKUP(B34,Instruções!$F$13:$J$17,4,0)&amp;"_"&amp;$F$2&amp;", "&amp;E34&amp;" as "&amp;F34&amp;" FROM "&amp;C34&amp;" WHERE "&amp;Instruções!$D$20&amp;") A ",
"(SELECT "&amp;VLOOKUP(B34,Instruções!$F$13:$J$17,4,0)&amp;" as "&amp;VLOOKUP(B34,Instruções!$F$13:$J$17,4,0)&amp;"_"&amp;$F$2&amp;", "&amp;VLOOKUP(B34,Instruções!$F$13:$J$17,5,0)&amp;" as "&amp;VLOOKUP(B34,Instruções!$F$13:$J$17,5,0)&amp;"_"&amp;$F$2&amp;","&amp;E34&amp;" as "&amp;F34&amp;" FROM "&amp;C34&amp;" WHERE "&amp;Instruções!$D$20&amp;") A ")</f>
        <v xml:space="preserve">(SELECT entty_id as entty_id_, dt_inttn_lgl_prcdngs_le as dt_inttn_lgl_prcdngs_le_as_is FROM cd_loan_tapes_bce.lt003_entity WHERE ref_date='2024-09-30' AND nome_perimetro='Individual Corporativo' AND segmento='ESTR' AND ambito='PM' AND entidade='00100' ) A </v>
      </c>
      <c r="I34" s="75" t="str">
        <f>IF(VLOOKUP(B34,Instruções!$F$13:$J$17,5,0)="",
"(SELECT "&amp;VLOOKUP(B34,Instruções!$F$13:$J$17,4,0)&amp;" as "&amp;VLOOKUP(B34,Instruções!$F$13:$J$17,4,0)&amp;"_"&amp;$G$2&amp;", "&amp;E34&amp;" as "&amp;G34&amp;" FROM "&amp;D34&amp;" WHERE "&amp;Instruções!$D$21&amp;") B ",
"(SELECT "&amp;VLOOKUP(B34,Instruções!$F$13:$J$17,4,0)&amp;" as "&amp;VLOOKUP(B34,Instruções!$F$13:$J$17,4,0)&amp;"_"&amp;$G$2&amp;", "&amp;VLOOKUP(B34,Instruções!$F$13:$J$17,5,0)&amp;" as "&amp;VLOOKUP(B34,Instruções!$F$13:$J$17,5,0)&amp;"_"&amp;$G$2&amp;","&amp;E34&amp;" as "&amp;G34&amp;" FROM "&amp;D34&amp;" WHERE "&amp;Instruções!$D$21&amp;") B ")</f>
        <v xml:space="preserve">(SELECT entty_id as entty_id_, dt_inttn_lgl_prcdngs_le as dt_inttn_lgl_prcdngs_le_to_be FROM bu_loantape_work.lt003_entity WHERE ref_date='2024-09-30' AND nome_perimetro='Individual Corporativo' AND segmento='ESTR' AND ambito='PM' AND entidade='00100' ) B </v>
      </c>
      <c r="J34" s="75" t="str">
        <f>+IF(VLOOKUP(B34,Instruções!$F$13:$J$17,5,0)="", "ON "&amp;VLOOKUP(B34,Instruções!$F$13:$J$17,4,0)&amp;"_"&amp;$F$7&amp;"="&amp;VLOOKUP(B34,Instruções!$F$13:$J$17,4,0)&amp;"_"&amp;$G$7&amp;" ", "ON "&amp;VLOOKUP(B34,Instruções!$F$13:$J$17,4,0)&amp;"_"&amp;$F$7&amp;"="&amp;VLOOKUP(B34,Instruções!$F$13:$J$17,4,0)&amp;"_"&amp;$G$7&amp;" AND "&amp;VLOOKUP(B34,Instruções!$F$13:$J$17,5,0)&amp;"_"&amp;$F$7&amp;"="&amp;VLOOKUP(B34,Instruções!$F$13:$J$17,5,0)&amp;"_"&amp;$G$7&amp;" ")</f>
        <v xml:space="preserve">ON entty_id_as_is=entty_id_to_be </v>
      </c>
      <c r="K34" s="75" t="str">
        <f t="shared" si="3"/>
        <v xml:space="preserve">WHERE coalesce(cast(dt_inttn_lgl_prcdngs_le_as_is AS string),'')&lt;&gt;coalesce(cast(dt_inttn_lgl_prcdngs_le_to_be AS string),'') </v>
      </c>
      <c r="L34" s="75" t="str">
        <f t="shared" si="4"/>
        <v xml:space="preserve">SELECT count(*) AS NUM_REG_DIF FROM (SELECT entty_id as entty_id_, dt_inttn_lgl_prcdngs_le as dt_inttn_lgl_prcdngs_le_as_is FROM cd_loan_tapes_bce.lt003_entity WHERE ref_date='2024-09-30' AND nome_perimetro='Individual Corporativo' AND segmento='ESTR' AND ambito='PM' AND entidade='00100' ) A  Inner join (SELECT entty_id as entty_id_, dt_inttn_lgl_prcdngs_le as dt_inttn_lgl_prcdngs_le_to_be FROM bu_loantape_work.lt003_entity WHERE ref_date='2024-09-30' AND nome_perimetro='Individual Corporativo' AND segmento='ESTR' AND ambito='PM' AND entidade='00100' ) B ON entty_id_as_is=entty_id_to_be WHERE coalesce(cast(dt_inttn_lgl_prcdngs_le_as_is AS string),'')&lt;&gt;coalesce(cast(dt_inttn_lgl_prcdngs_le_to_be AS string),'') </v>
      </c>
      <c r="M34" s="75" t="s">
        <v>55</v>
      </c>
      <c r="N34" s="75" t="str">
        <f>"SELECT 'Validação de campos' as tipologia_teste, '"&amp;VLOOKUP(B34,Instruções!$F$13:$J$17,3,0)&amp;"' AS TABELA, '"&amp;E34&amp;"' AS CAMPO, '"&amp;Instruções!$D$15&amp;"' as ref_date, coalesce(NUM_REG_DIF, 0) AS NUM_REG_DIF FROM ("&amp;L34&amp;") A "</f>
        <v xml:space="preserve">SELECT 'Validação de campos' as tipologia_teste, 'lt003_entity' AS TABELA, 'dt_inttn_lgl_prcdngs_le' AS CAMPO, '2024-09-30' as ref_date, coalesce(NUM_REG_DIF, 0) AS NUM_REG_DIF FROM (SELECT count(*) AS NUM_REG_DIF FROM (SELECT entty_id as entty_id_, dt_inttn_lgl_prcdngs_le as dt_inttn_lgl_prcdngs_le_as_is FROM cd_loan_tapes_bce.lt003_entity WHERE ref_date='2024-09-30' AND nome_perimetro='Individual Corporativo' AND segmento='ESTR' AND ambito='PM' AND entidade='00100' ) A  Inner join (SELECT entty_id as entty_id_, dt_inttn_lgl_prcdngs_le as dt_inttn_lgl_prcdngs_le_to_be FROM bu_loantape_work.lt003_entity WHERE ref_date='2024-09-30' AND nome_perimetro='Individual Corporativo' AND segmento='ESTR' AND ambito='PM' AND entidade='00100' ) B ON entty_id_as_is=entty_id_to_be WHERE coalesce(cast(dt_inttn_lgl_prcdngs_le_as_is AS string),'')&lt;&gt;coalesce(cast(dt_inttn_lgl_prcdngs_le_to_be AS string),'') ) A </v>
      </c>
      <c r="O34" s="76" t="str">
        <f t="shared" si="2"/>
        <v>SELECT 'Validação de campos' as tipologia_teste, 'lt003_entity' AS TABELA, 'dt_inttn_lgl_prcdngs_le' AS CAMPO, '2024-09-30' as ref_date, coalesce(NUM_REG_DIF, 0) AS NUM_REG_DIF FROM (SELECT count(*) AS NUM_REG_DIF FROM (SELECT entty_id as entty_id_, dt_inttn_lgl_prcdngs_le as dt_inttn_lgl_prcdngs_le_as_is FROM cd_loan_tapes_bce.lt003_entity WHERE ref_date='2024-09-30' AND nome_perimetro='Individual Corporativo' AND segmento='ESTR' AND ambito='PM' AND entidade='00100' ) A  Inner join (SELECT entty_id as entty_id_, dt_inttn_lgl_prcdngs_le as dt_inttn_lgl_prcdngs_le_to_be FROM bu_loantape_work.lt003_entity WHERE ref_date='2024-09-30' AND nome_perimetro='Individual Corporativo' AND segmento='ESTR' AND ambito='PM' AND entidade='00100' ) B ON entty_id_as_is=entty_id_to_be WHERE coalesce(cast(dt_inttn_lgl_prcdngs_le_as_is AS string),'')&lt;&gt;coalesce(cast(dt_inttn_lgl_prcdngs_le_to_be AS string),'') ) A Union all</v>
      </c>
      <c r="P34" s="77">
        <f t="shared" si="5"/>
        <v>26</v>
      </c>
    </row>
    <row r="35" spans="2:16" s="63" customFormat="1" ht="18" customHeight="1">
      <c r="B35" s="75" t="s">
        <v>11</v>
      </c>
      <c r="C35" s="75" t="str">
        <f>_xlfn.CONCAT(Instruções!$D$13,".",VLOOKUP(B35,Instruções!$F$12:$H$17,2,0))</f>
        <v>cd_loan_tapes_bce.lt003_entity</v>
      </c>
      <c r="D35" s="75" t="str">
        <f>_xlfn.CONCAT(Instruções!$D$14,".",VLOOKUP(B35,Instruções!$F$12:$H$17,3,0))</f>
        <v>bu_loantape_work.lt003_entity</v>
      </c>
      <c r="E35" s="75" t="s">
        <v>81</v>
      </c>
      <c r="F35" s="75" t="str">
        <f t="shared" si="0"/>
        <v>dt_prfrmng_stts_le_as_is</v>
      </c>
      <c r="G35" s="75" t="str">
        <f t="shared" si="1"/>
        <v>dt_prfrmng_stts_le_to_be</v>
      </c>
      <c r="H35" s="75" t="str">
        <f>IF(VLOOKUP(B35,Instruções!$F$13:$J$17,5,0)="",
"(SELECT "&amp;VLOOKUP(B35,Instruções!$F$13:$J$17,4,0)&amp;" as "&amp;VLOOKUP(B35,Instruções!$F$13:$J$17,4,0)&amp;"_"&amp;$F$2&amp;", "&amp;E35&amp;" as "&amp;F35&amp;" FROM "&amp;C35&amp;" WHERE "&amp;Instruções!$D$20&amp;") A ",
"(SELECT "&amp;VLOOKUP(B35,Instruções!$F$13:$J$17,4,0)&amp;" as "&amp;VLOOKUP(B35,Instruções!$F$13:$J$17,4,0)&amp;"_"&amp;$F$2&amp;", "&amp;VLOOKUP(B35,Instruções!$F$13:$J$17,5,0)&amp;" as "&amp;VLOOKUP(B35,Instruções!$F$13:$J$17,5,0)&amp;"_"&amp;$F$2&amp;","&amp;E35&amp;" as "&amp;F35&amp;" FROM "&amp;C35&amp;" WHERE "&amp;Instruções!$D$20&amp;") A ")</f>
        <v xml:space="preserve">(SELECT entty_id as entty_id_, dt_prfrmng_stts_le as dt_prfrmng_stts_le_as_is FROM cd_loan_tapes_bce.lt003_entity WHERE ref_date='2024-09-30' AND nome_perimetro='Individual Corporativo' AND segmento='ESTR' AND ambito='PM' AND entidade='00100' ) A </v>
      </c>
      <c r="I35" s="75" t="str">
        <f>IF(VLOOKUP(B35,Instruções!$F$13:$J$17,5,0)="",
"(SELECT "&amp;VLOOKUP(B35,Instruções!$F$13:$J$17,4,0)&amp;" as "&amp;VLOOKUP(B35,Instruções!$F$13:$J$17,4,0)&amp;"_"&amp;$G$2&amp;", "&amp;E35&amp;" as "&amp;G35&amp;" FROM "&amp;D35&amp;" WHERE "&amp;Instruções!$D$21&amp;") B ",
"(SELECT "&amp;VLOOKUP(B35,Instruções!$F$13:$J$17,4,0)&amp;" as "&amp;VLOOKUP(B35,Instruções!$F$13:$J$17,4,0)&amp;"_"&amp;$G$2&amp;", "&amp;VLOOKUP(B35,Instruções!$F$13:$J$17,5,0)&amp;" as "&amp;VLOOKUP(B35,Instruções!$F$13:$J$17,5,0)&amp;"_"&amp;$G$2&amp;","&amp;E35&amp;" as "&amp;G35&amp;" FROM "&amp;D35&amp;" WHERE "&amp;Instruções!$D$21&amp;") B ")</f>
        <v xml:space="preserve">(SELECT entty_id as entty_id_, dt_prfrmng_stts_le as dt_prfrmng_stts_le_to_be FROM bu_loantape_work.lt003_entity WHERE ref_date='2024-09-30' AND nome_perimetro='Individual Corporativo' AND segmento='ESTR' AND ambito='PM' AND entidade='00100' ) B </v>
      </c>
      <c r="J35" s="75" t="str">
        <f>+IF(VLOOKUP(B35,Instruções!$F$13:$J$17,5,0)="", "ON "&amp;VLOOKUP(B35,Instruções!$F$13:$J$17,4,0)&amp;"_"&amp;$F$7&amp;"="&amp;VLOOKUP(B35,Instruções!$F$13:$J$17,4,0)&amp;"_"&amp;$G$7&amp;" ", "ON "&amp;VLOOKUP(B35,Instruções!$F$13:$J$17,4,0)&amp;"_"&amp;$F$7&amp;"="&amp;VLOOKUP(B35,Instruções!$F$13:$J$17,4,0)&amp;"_"&amp;$G$7&amp;" AND "&amp;VLOOKUP(B35,Instruções!$F$13:$J$17,5,0)&amp;"_"&amp;$F$7&amp;"="&amp;VLOOKUP(B35,Instruções!$F$13:$J$17,5,0)&amp;"_"&amp;$G$7&amp;" ")</f>
        <v xml:space="preserve">ON entty_id_as_is=entty_id_to_be </v>
      </c>
      <c r="K35" s="75" t="str">
        <f t="shared" si="3"/>
        <v xml:space="preserve">WHERE coalesce(cast(dt_prfrmng_stts_le_as_is AS string),'')&lt;&gt;coalesce(cast(dt_prfrmng_stts_le_to_be AS string),'') </v>
      </c>
      <c r="L35" s="75" t="str">
        <f t="shared" si="4"/>
        <v xml:space="preserve">SELECT count(*) AS NUM_REG_DIF FROM (SELECT entty_id as entty_id_, dt_prfrmng_stts_le as dt_prfrmng_stts_le_as_is FROM cd_loan_tapes_bce.lt003_entity WHERE ref_date='2024-09-30' AND nome_perimetro='Individual Corporativo' AND segmento='ESTR' AND ambito='PM' AND entidade='00100' ) A  Inner join (SELECT entty_id as entty_id_, dt_prfrmng_stts_le as dt_prfrmng_stts_le_to_be FROM bu_loantape_work.lt003_entity WHERE ref_date='2024-09-30' AND nome_perimetro='Individual Corporativo' AND segmento='ESTR' AND ambito='PM' AND entidade='00100' ) B ON entty_id_as_is=entty_id_to_be WHERE coalesce(cast(dt_prfrmng_stts_le_as_is AS string),'')&lt;&gt;coalesce(cast(dt_prfrmng_stts_le_to_be AS string),'') </v>
      </c>
      <c r="M35" s="75" t="s">
        <v>55</v>
      </c>
      <c r="N35" s="75" t="str">
        <f>"SELECT 'Validação de campos' as tipologia_teste, '"&amp;VLOOKUP(B35,Instruções!$F$13:$J$17,3,0)&amp;"' AS TABELA, '"&amp;E35&amp;"' AS CAMPO, '"&amp;Instruções!$D$15&amp;"' as ref_date, coalesce(NUM_REG_DIF, 0) AS NUM_REG_DIF FROM ("&amp;L35&amp;") A "</f>
        <v xml:space="preserve">SELECT 'Validação de campos' as tipologia_teste, 'lt003_entity' AS TABELA, 'dt_prfrmng_stts_le' AS CAMPO, '2024-09-30' as ref_date, coalesce(NUM_REG_DIF, 0) AS NUM_REG_DIF FROM (SELECT count(*) AS NUM_REG_DIF FROM (SELECT entty_id as entty_id_, dt_prfrmng_stts_le as dt_prfrmng_stts_le_as_is FROM cd_loan_tapes_bce.lt003_entity WHERE ref_date='2024-09-30' AND nome_perimetro='Individual Corporativo' AND segmento='ESTR' AND ambito='PM' AND entidade='00100' ) A  Inner join (SELECT entty_id as entty_id_, dt_prfrmng_stts_le as dt_prfrmng_stts_le_to_be FROM bu_loantape_work.lt003_entity WHERE ref_date='2024-09-30' AND nome_perimetro='Individual Corporativo' AND segmento='ESTR' AND ambito='PM' AND entidade='00100' ) B ON entty_id_as_is=entty_id_to_be WHERE coalesce(cast(dt_prfrmng_stts_le_as_is AS string),'')&lt;&gt;coalesce(cast(dt_prfrmng_stts_le_to_be AS string),'') ) A </v>
      </c>
      <c r="O35" s="76" t="str">
        <f t="shared" si="2"/>
        <v>SELECT 'Validação de campos' as tipologia_teste, 'lt003_entity' AS TABELA, 'dt_prfrmng_stts_le' AS CAMPO, '2024-09-30' as ref_date, coalesce(NUM_REG_DIF, 0) AS NUM_REG_DIF FROM (SELECT count(*) AS NUM_REG_DIF FROM (SELECT entty_id as entty_id_, dt_prfrmng_stts_le as dt_prfrmng_stts_le_as_is FROM cd_loan_tapes_bce.lt003_entity WHERE ref_date='2024-09-30' AND nome_perimetro='Individual Corporativo' AND segmento='ESTR' AND ambito='PM' AND entidade='00100' ) A  Inner join (SELECT entty_id as entty_id_, dt_prfrmng_stts_le as dt_prfrmng_stts_le_to_be FROM bu_loantape_work.lt003_entity WHERE ref_date='2024-09-30' AND nome_perimetro='Individual Corporativo' AND segmento='ESTR' AND ambito='PM' AND entidade='00100' ) B ON entty_id_as_is=entty_id_to_be WHERE coalesce(cast(dt_prfrmng_stts_le_as_is AS string),'')&lt;&gt;coalesce(cast(dt_prfrmng_stts_le_to_be AS string),'') ) A Union all</v>
      </c>
      <c r="P35" s="77">
        <f t="shared" si="5"/>
        <v>27</v>
      </c>
    </row>
    <row r="36" spans="2:16" s="63" customFormat="1" ht="18" customHeight="1">
      <c r="B36" s="75" t="s">
        <v>11</v>
      </c>
      <c r="C36" s="75" t="str">
        <f>_xlfn.CONCAT(Instruções!$D$13,".",VLOOKUP(B36,Instruções!$F$12:$H$17,2,0))</f>
        <v>cd_loan_tapes_bce.lt003_entity</v>
      </c>
      <c r="D36" s="75" t="str">
        <f>_xlfn.CONCAT(Instruções!$D$14,".",VLOOKUP(B36,Instruções!$F$12:$H$17,3,0))</f>
        <v>bu_loantape_work.lt003_entity</v>
      </c>
      <c r="E36" s="75" t="s">
        <v>82</v>
      </c>
      <c r="F36" s="75" t="str">
        <f t="shared" si="0"/>
        <v>ebitda_as_is</v>
      </c>
      <c r="G36" s="75" t="str">
        <f t="shared" si="1"/>
        <v>ebitda_to_be</v>
      </c>
      <c r="H36" s="75" t="str">
        <f>IF(VLOOKUP(B36,Instruções!$F$13:$J$17,5,0)="",
"(SELECT "&amp;VLOOKUP(B36,Instruções!$F$13:$J$17,4,0)&amp;" as "&amp;VLOOKUP(B36,Instruções!$F$13:$J$17,4,0)&amp;"_"&amp;$F$2&amp;", "&amp;E36&amp;" as "&amp;F36&amp;" FROM "&amp;C36&amp;" WHERE "&amp;Instruções!$D$20&amp;") A ",
"(SELECT "&amp;VLOOKUP(B36,Instruções!$F$13:$J$17,4,0)&amp;" as "&amp;VLOOKUP(B36,Instruções!$F$13:$J$17,4,0)&amp;"_"&amp;$F$2&amp;", "&amp;VLOOKUP(B36,Instruções!$F$13:$J$17,5,0)&amp;" as "&amp;VLOOKUP(B36,Instruções!$F$13:$J$17,5,0)&amp;"_"&amp;$F$2&amp;","&amp;E36&amp;" as "&amp;F36&amp;" FROM "&amp;C36&amp;" WHERE "&amp;Instruções!$D$20&amp;") A ")</f>
        <v xml:space="preserve">(SELECT entty_id as entty_id_, ebitda as ebitda_as_is FROM cd_loan_tapes_bce.lt003_entity WHERE ref_date='2024-09-30' AND nome_perimetro='Individual Corporativo' AND segmento='ESTR' AND ambito='PM' AND entidade='00100' ) A </v>
      </c>
      <c r="I36" s="75" t="str">
        <f>IF(VLOOKUP(B36,Instruções!$F$13:$J$17,5,0)="",
"(SELECT "&amp;VLOOKUP(B36,Instruções!$F$13:$J$17,4,0)&amp;" as "&amp;VLOOKUP(B36,Instruções!$F$13:$J$17,4,0)&amp;"_"&amp;$G$2&amp;", "&amp;E36&amp;" as "&amp;G36&amp;" FROM "&amp;D36&amp;" WHERE "&amp;Instruções!$D$21&amp;") B ",
"(SELECT "&amp;VLOOKUP(B36,Instruções!$F$13:$J$17,4,0)&amp;" as "&amp;VLOOKUP(B36,Instruções!$F$13:$J$17,4,0)&amp;"_"&amp;$G$2&amp;", "&amp;VLOOKUP(B36,Instruções!$F$13:$J$17,5,0)&amp;" as "&amp;VLOOKUP(B36,Instruções!$F$13:$J$17,5,0)&amp;"_"&amp;$G$2&amp;","&amp;E36&amp;" as "&amp;G36&amp;" FROM "&amp;D36&amp;" WHERE "&amp;Instruções!$D$21&amp;") B ")</f>
        <v xml:space="preserve">(SELECT entty_id as entty_id_, ebitda as ebitda_to_be FROM bu_loantape_work.lt003_entity WHERE ref_date='2024-09-30' AND nome_perimetro='Individual Corporativo' AND segmento='ESTR' AND ambito='PM' AND entidade='00100' ) B </v>
      </c>
      <c r="J36" s="75" t="str">
        <f>+IF(VLOOKUP(B36,Instruções!$F$13:$J$17,5,0)="", "ON "&amp;VLOOKUP(B36,Instruções!$F$13:$J$17,4,0)&amp;"_"&amp;$F$7&amp;"="&amp;VLOOKUP(B36,Instruções!$F$13:$J$17,4,0)&amp;"_"&amp;$G$7&amp;" ", "ON "&amp;VLOOKUP(B36,Instruções!$F$13:$J$17,4,0)&amp;"_"&amp;$F$7&amp;"="&amp;VLOOKUP(B36,Instruções!$F$13:$J$17,4,0)&amp;"_"&amp;$G$7&amp;" AND "&amp;VLOOKUP(B36,Instruções!$F$13:$J$17,5,0)&amp;"_"&amp;$F$7&amp;"="&amp;VLOOKUP(B36,Instruções!$F$13:$J$17,5,0)&amp;"_"&amp;$G$7&amp;" ")</f>
        <v xml:space="preserve">ON entty_id_as_is=entty_id_to_be </v>
      </c>
      <c r="K36" s="75" t="str">
        <f t="shared" si="3"/>
        <v xml:space="preserve">WHERE coalesce(cast(ebitda_as_is AS string),'')&lt;&gt;coalesce(cast(ebitda_to_be AS string),'') </v>
      </c>
      <c r="L36" s="75" t="str">
        <f t="shared" si="4"/>
        <v xml:space="preserve">SELECT count(*) AS NUM_REG_DIF FROM (SELECT entty_id as entty_id_, ebitda as ebitda_as_is FROM cd_loan_tapes_bce.lt003_entity WHERE ref_date='2024-09-30' AND nome_perimetro='Individual Corporativo' AND segmento='ESTR' AND ambito='PM' AND entidade='00100' ) A  Inner join (SELECT entty_id as entty_id_, ebitda as ebitda_to_be FROM bu_loantape_work.lt003_entity WHERE ref_date='2024-09-30' AND nome_perimetro='Individual Corporativo' AND segmento='ESTR' AND ambito='PM' AND entidade='00100' ) B ON entty_id_as_is=entty_id_to_be WHERE coalesce(cast(ebitda_as_is AS string),'')&lt;&gt;coalesce(cast(ebitda_to_be AS string),'') </v>
      </c>
      <c r="M36" s="75" t="s">
        <v>55</v>
      </c>
      <c r="N36" s="75" t="str">
        <f>"SELECT 'Validação de campos' as tipologia_teste, '"&amp;VLOOKUP(B36,Instruções!$F$13:$J$17,3,0)&amp;"' AS TABELA, '"&amp;E36&amp;"' AS CAMPO, '"&amp;Instruções!$D$15&amp;"' as ref_date, coalesce(NUM_REG_DIF, 0) AS NUM_REG_DIF FROM ("&amp;L36&amp;") A "</f>
        <v xml:space="preserve">SELECT 'Validação de campos' as tipologia_teste, 'lt003_entity' AS TABELA, 'ebitda' AS CAMPO, '2024-09-30' as ref_date, coalesce(NUM_REG_DIF, 0) AS NUM_REG_DIF FROM (SELECT count(*) AS NUM_REG_DIF FROM (SELECT entty_id as entty_id_, ebitda as ebitda_as_is FROM cd_loan_tapes_bce.lt003_entity WHERE ref_date='2024-09-30' AND nome_perimetro='Individual Corporativo' AND segmento='ESTR' AND ambito='PM' AND entidade='00100' ) A  Inner join (SELECT entty_id as entty_id_, ebitda as ebitda_to_be FROM bu_loantape_work.lt003_entity WHERE ref_date='2024-09-30' AND nome_perimetro='Individual Corporativo' AND segmento='ESTR' AND ambito='PM' AND entidade='00100' ) B ON entty_id_as_is=entty_id_to_be WHERE coalesce(cast(ebitda_as_is AS string),'')&lt;&gt;coalesce(cast(ebitda_to_be AS string),'') ) A </v>
      </c>
      <c r="O36" s="76" t="str">
        <f t="shared" si="2"/>
        <v>SELECT 'Validação de campos' as tipologia_teste, 'lt003_entity' AS TABELA, 'ebitda' AS CAMPO, '2024-09-30' as ref_date, coalesce(NUM_REG_DIF, 0) AS NUM_REG_DIF FROM (SELECT count(*) AS NUM_REG_DIF FROM (SELECT entty_id as entty_id_, ebitda as ebitda_as_is FROM cd_loan_tapes_bce.lt003_entity WHERE ref_date='2024-09-30' AND nome_perimetro='Individual Corporativo' AND segmento='ESTR' AND ambito='PM' AND entidade='00100' ) A  Inner join (SELECT entty_id as entty_id_, ebitda as ebitda_to_be FROM bu_loantape_work.lt003_entity WHERE ref_date='2024-09-30' AND nome_perimetro='Individual Corporativo' AND segmento='ESTR' AND ambito='PM' AND entidade='00100' ) B ON entty_id_as_is=entty_id_to_be WHERE coalesce(cast(ebitda_as_is AS string),'')&lt;&gt;coalesce(cast(ebitda_to_be AS string),'') ) A Union all</v>
      </c>
      <c r="P36" s="77">
        <f t="shared" si="5"/>
        <v>28</v>
      </c>
    </row>
    <row r="37" spans="2:16" s="63" customFormat="1" ht="18" customHeight="1">
      <c r="B37" s="75" t="s">
        <v>11</v>
      </c>
      <c r="C37" s="75" t="str">
        <f>_xlfn.CONCAT(Instruções!$D$13,".",VLOOKUP(B37,Instruções!$F$12:$H$17,2,0))</f>
        <v>cd_loan_tapes_bce.lt003_entity</v>
      </c>
      <c r="D37" s="75" t="str">
        <f>_xlfn.CONCAT(Instruções!$D$14,".",VLOOKUP(B37,Instruções!$F$12:$H$17,3,0))</f>
        <v>bu_loantape_work.lt003_entity</v>
      </c>
      <c r="E37" s="75" t="s">
        <v>83</v>
      </c>
      <c r="F37" s="75" t="str">
        <f t="shared" si="0"/>
        <v>ebitda_prvs_as_is</v>
      </c>
      <c r="G37" s="75" t="str">
        <f t="shared" si="1"/>
        <v>ebitda_prvs_to_be</v>
      </c>
      <c r="H37" s="75" t="str">
        <f>IF(VLOOKUP(B37,Instruções!$F$13:$J$17,5,0)="",
"(SELECT "&amp;VLOOKUP(B37,Instruções!$F$13:$J$17,4,0)&amp;" as "&amp;VLOOKUP(B37,Instruções!$F$13:$J$17,4,0)&amp;"_"&amp;$F$2&amp;", "&amp;E37&amp;" as "&amp;F37&amp;" FROM "&amp;C37&amp;" WHERE "&amp;Instruções!$D$20&amp;") A ",
"(SELECT "&amp;VLOOKUP(B37,Instruções!$F$13:$J$17,4,0)&amp;" as "&amp;VLOOKUP(B37,Instruções!$F$13:$J$17,4,0)&amp;"_"&amp;$F$2&amp;", "&amp;VLOOKUP(B37,Instruções!$F$13:$J$17,5,0)&amp;" as "&amp;VLOOKUP(B37,Instruções!$F$13:$J$17,5,0)&amp;"_"&amp;$F$2&amp;","&amp;E37&amp;" as "&amp;F37&amp;" FROM "&amp;C37&amp;" WHERE "&amp;Instruções!$D$20&amp;") A ")</f>
        <v xml:space="preserve">(SELECT entty_id as entty_id_, ebitda_prvs as ebitda_prvs_as_is FROM cd_loan_tapes_bce.lt003_entity WHERE ref_date='2024-09-30' AND nome_perimetro='Individual Corporativo' AND segmento='ESTR' AND ambito='PM' AND entidade='00100' ) A </v>
      </c>
      <c r="I37" s="75" t="str">
        <f>IF(VLOOKUP(B37,Instruções!$F$13:$J$17,5,0)="",
"(SELECT "&amp;VLOOKUP(B37,Instruções!$F$13:$J$17,4,0)&amp;" as "&amp;VLOOKUP(B37,Instruções!$F$13:$J$17,4,0)&amp;"_"&amp;$G$2&amp;", "&amp;E37&amp;" as "&amp;G37&amp;" FROM "&amp;D37&amp;" WHERE "&amp;Instruções!$D$21&amp;") B ",
"(SELECT "&amp;VLOOKUP(B37,Instruções!$F$13:$J$17,4,0)&amp;" as "&amp;VLOOKUP(B37,Instruções!$F$13:$J$17,4,0)&amp;"_"&amp;$G$2&amp;", "&amp;VLOOKUP(B37,Instruções!$F$13:$J$17,5,0)&amp;" as "&amp;VLOOKUP(B37,Instruções!$F$13:$J$17,5,0)&amp;"_"&amp;$G$2&amp;","&amp;E37&amp;" as "&amp;G37&amp;" FROM "&amp;D37&amp;" WHERE "&amp;Instruções!$D$21&amp;") B ")</f>
        <v xml:space="preserve">(SELECT entty_id as entty_id_, ebitda_prvs as ebitda_prvs_to_be FROM bu_loantape_work.lt003_entity WHERE ref_date='2024-09-30' AND nome_perimetro='Individual Corporativo' AND segmento='ESTR' AND ambito='PM' AND entidade='00100' ) B </v>
      </c>
      <c r="J37" s="75" t="str">
        <f>+IF(VLOOKUP(B37,Instruções!$F$13:$J$17,5,0)="", "ON "&amp;VLOOKUP(B37,Instruções!$F$13:$J$17,4,0)&amp;"_"&amp;$F$7&amp;"="&amp;VLOOKUP(B37,Instruções!$F$13:$J$17,4,0)&amp;"_"&amp;$G$7&amp;" ", "ON "&amp;VLOOKUP(B37,Instruções!$F$13:$J$17,4,0)&amp;"_"&amp;$F$7&amp;"="&amp;VLOOKUP(B37,Instruções!$F$13:$J$17,4,0)&amp;"_"&amp;$G$7&amp;" AND "&amp;VLOOKUP(B37,Instruções!$F$13:$J$17,5,0)&amp;"_"&amp;$F$7&amp;"="&amp;VLOOKUP(B37,Instruções!$F$13:$J$17,5,0)&amp;"_"&amp;$G$7&amp;" ")</f>
        <v xml:space="preserve">ON entty_id_as_is=entty_id_to_be </v>
      </c>
      <c r="K37" s="75" t="str">
        <f t="shared" si="3"/>
        <v xml:space="preserve">WHERE coalesce(cast(ebitda_prvs_as_is AS string),'')&lt;&gt;coalesce(cast(ebitda_prvs_to_be AS string),'') </v>
      </c>
      <c r="L37" s="75" t="str">
        <f t="shared" si="4"/>
        <v xml:space="preserve">SELECT count(*) AS NUM_REG_DIF FROM (SELECT entty_id as entty_id_, ebitda_prvs as ebitda_prvs_as_is FROM cd_loan_tapes_bce.lt003_entity WHERE ref_date='2024-09-30' AND nome_perimetro='Individual Corporativo' AND segmento='ESTR' AND ambito='PM' AND entidade='00100' ) A  Inner join (SELECT entty_id as entty_id_, ebitda_prvs as ebitda_prvs_to_be FROM bu_loantape_work.lt003_entity WHERE ref_date='2024-09-30' AND nome_perimetro='Individual Corporativo' AND segmento='ESTR' AND ambito='PM' AND entidade='00100' ) B ON entty_id_as_is=entty_id_to_be WHERE coalesce(cast(ebitda_prvs_as_is AS string),'')&lt;&gt;coalesce(cast(ebitda_prvs_to_be AS string),'') </v>
      </c>
      <c r="M37" s="75" t="s">
        <v>55</v>
      </c>
      <c r="N37" s="75" t="str">
        <f>"SELECT 'Validação de campos' as tipologia_teste, '"&amp;VLOOKUP(B37,Instruções!$F$13:$J$17,3,0)&amp;"' AS TABELA, '"&amp;E37&amp;"' AS CAMPO, '"&amp;Instruções!$D$15&amp;"' as ref_date, coalesce(NUM_REG_DIF, 0) AS NUM_REG_DIF FROM ("&amp;L37&amp;") A "</f>
        <v xml:space="preserve">SELECT 'Validação de campos' as tipologia_teste, 'lt003_entity' AS TABELA, 'ebitda_prvs' AS CAMPO, '2024-09-30' as ref_date, coalesce(NUM_REG_DIF, 0) AS NUM_REG_DIF FROM (SELECT count(*) AS NUM_REG_DIF FROM (SELECT entty_id as entty_id_, ebitda_prvs as ebitda_prvs_as_is FROM cd_loan_tapes_bce.lt003_entity WHERE ref_date='2024-09-30' AND nome_perimetro='Individual Corporativo' AND segmento='ESTR' AND ambito='PM' AND entidade='00100' ) A  Inner join (SELECT entty_id as entty_id_, ebitda_prvs as ebitda_prvs_to_be FROM bu_loantape_work.lt003_entity WHERE ref_date='2024-09-30' AND nome_perimetro='Individual Corporativo' AND segmento='ESTR' AND ambito='PM' AND entidade='00100' ) B ON entty_id_as_is=entty_id_to_be WHERE coalesce(cast(ebitda_prvs_as_is AS string),'')&lt;&gt;coalesce(cast(ebitda_prvs_to_be AS string),'') ) A </v>
      </c>
      <c r="O37" s="76" t="str">
        <f t="shared" si="2"/>
        <v>SELECT 'Validação de campos' as tipologia_teste, 'lt003_entity' AS TABELA, 'ebitda_prvs' AS CAMPO, '2024-09-30' as ref_date, coalesce(NUM_REG_DIF, 0) AS NUM_REG_DIF FROM (SELECT count(*) AS NUM_REG_DIF FROM (SELECT entty_id as entty_id_, ebitda_prvs as ebitda_prvs_as_is FROM cd_loan_tapes_bce.lt003_entity WHERE ref_date='2024-09-30' AND nome_perimetro='Individual Corporativo' AND segmento='ESTR' AND ambito='PM' AND entidade='00100' ) A  Inner join (SELECT entty_id as entty_id_, ebitda_prvs as ebitda_prvs_to_be FROM bu_loantape_work.lt003_entity WHERE ref_date='2024-09-30' AND nome_perimetro='Individual Corporativo' AND segmento='ESTR' AND ambito='PM' AND entidade='00100' ) B ON entty_id_as_is=entty_id_to_be WHERE coalesce(cast(ebitda_prvs_as_is AS string),'')&lt;&gt;coalesce(cast(ebitda_prvs_to_be AS string),'') ) A Union all</v>
      </c>
      <c r="P37" s="77">
        <f t="shared" si="5"/>
        <v>29</v>
      </c>
    </row>
    <row r="38" spans="2:16" s="63" customFormat="1" ht="18" customHeight="1">
      <c r="B38" s="75" t="s">
        <v>11</v>
      </c>
      <c r="C38" s="75" t="str">
        <f>_xlfn.CONCAT(Instruções!$D$13,".",VLOOKUP(B38,Instruções!$F$12:$H$17,2,0))</f>
        <v>cd_loan_tapes_bce.lt003_entity</v>
      </c>
      <c r="D38" s="75" t="str">
        <f>_xlfn.CONCAT(Instruções!$D$14,".",VLOOKUP(B38,Instruções!$F$12:$H$17,3,0))</f>
        <v>bu_loantape_work.lt003_entity</v>
      </c>
      <c r="E38" s="75" t="s">
        <v>84</v>
      </c>
      <c r="F38" s="75" t="str">
        <f t="shared" si="0"/>
        <v>ec_grp_id_as_is</v>
      </c>
      <c r="G38" s="75" t="str">
        <f t="shared" si="1"/>
        <v>ec_grp_id_to_be</v>
      </c>
      <c r="H38" s="75" t="str">
        <f>IF(VLOOKUP(B38,Instruções!$F$13:$J$17,5,0)="",
"(SELECT "&amp;VLOOKUP(B38,Instruções!$F$13:$J$17,4,0)&amp;" as "&amp;VLOOKUP(B38,Instruções!$F$13:$J$17,4,0)&amp;"_"&amp;$F$2&amp;", "&amp;E38&amp;" as "&amp;F38&amp;" FROM "&amp;C38&amp;" WHERE "&amp;Instruções!$D$20&amp;") A ",
"(SELECT "&amp;VLOOKUP(B38,Instruções!$F$13:$J$17,4,0)&amp;" as "&amp;VLOOKUP(B38,Instruções!$F$13:$J$17,4,0)&amp;"_"&amp;$F$2&amp;", "&amp;VLOOKUP(B38,Instruções!$F$13:$J$17,5,0)&amp;" as "&amp;VLOOKUP(B38,Instruções!$F$13:$J$17,5,0)&amp;"_"&amp;$F$2&amp;","&amp;E38&amp;" as "&amp;F38&amp;" FROM "&amp;C38&amp;" WHERE "&amp;Instruções!$D$20&amp;") A ")</f>
        <v xml:space="preserve">(SELECT entty_id as entty_id_, ec_grp_id as ec_grp_id_as_is FROM cd_loan_tapes_bce.lt003_entity WHERE ref_date='2024-09-30' AND nome_perimetro='Individual Corporativo' AND segmento='ESTR' AND ambito='PM' AND entidade='00100' ) A </v>
      </c>
      <c r="I38" s="75" t="str">
        <f>IF(VLOOKUP(B38,Instruções!$F$13:$J$17,5,0)="",
"(SELECT "&amp;VLOOKUP(B38,Instruções!$F$13:$J$17,4,0)&amp;" as "&amp;VLOOKUP(B38,Instruções!$F$13:$J$17,4,0)&amp;"_"&amp;$G$2&amp;", "&amp;E38&amp;" as "&amp;G38&amp;" FROM "&amp;D38&amp;" WHERE "&amp;Instruções!$D$21&amp;") B ",
"(SELECT "&amp;VLOOKUP(B38,Instruções!$F$13:$J$17,4,0)&amp;" as "&amp;VLOOKUP(B38,Instruções!$F$13:$J$17,4,0)&amp;"_"&amp;$G$2&amp;", "&amp;VLOOKUP(B38,Instruções!$F$13:$J$17,5,0)&amp;" as "&amp;VLOOKUP(B38,Instruções!$F$13:$J$17,5,0)&amp;"_"&amp;$G$2&amp;","&amp;E38&amp;" as "&amp;G38&amp;" FROM "&amp;D38&amp;" WHERE "&amp;Instruções!$D$21&amp;") B ")</f>
        <v xml:space="preserve">(SELECT entty_id as entty_id_, ec_grp_id as ec_grp_id_to_be FROM bu_loantape_work.lt003_entity WHERE ref_date='2024-09-30' AND nome_perimetro='Individual Corporativo' AND segmento='ESTR' AND ambito='PM' AND entidade='00100' ) B </v>
      </c>
      <c r="J38" s="75" t="str">
        <f>+IF(VLOOKUP(B38,Instruções!$F$13:$J$17,5,0)="", "ON "&amp;VLOOKUP(B38,Instruções!$F$13:$J$17,4,0)&amp;"_"&amp;$F$7&amp;"="&amp;VLOOKUP(B38,Instruções!$F$13:$J$17,4,0)&amp;"_"&amp;$G$7&amp;" ", "ON "&amp;VLOOKUP(B38,Instruções!$F$13:$J$17,4,0)&amp;"_"&amp;$F$7&amp;"="&amp;VLOOKUP(B38,Instruções!$F$13:$J$17,4,0)&amp;"_"&amp;$G$7&amp;" AND "&amp;VLOOKUP(B38,Instruções!$F$13:$J$17,5,0)&amp;"_"&amp;$F$7&amp;"="&amp;VLOOKUP(B38,Instruções!$F$13:$J$17,5,0)&amp;"_"&amp;$G$7&amp;" ")</f>
        <v xml:space="preserve">ON entty_id_as_is=entty_id_to_be </v>
      </c>
      <c r="K38" s="75" t="str">
        <f t="shared" si="3"/>
        <v xml:space="preserve">WHERE coalesce(cast(ec_grp_id_as_is AS string),'')&lt;&gt;coalesce(cast(ec_grp_id_to_be AS string),'') </v>
      </c>
      <c r="L38" s="75" t="str">
        <f t="shared" si="4"/>
        <v xml:space="preserve">SELECT count(*) AS NUM_REG_DIF FROM (SELECT entty_id as entty_id_, ec_grp_id as ec_grp_id_as_is FROM cd_loan_tapes_bce.lt003_entity WHERE ref_date='2024-09-30' AND nome_perimetro='Individual Corporativo' AND segmento='ESTR' AND ambito='PM' AND entidade='00100' ) A  Inner join (SELECT entty_id as entty_id_, ec_grp_id as ec_grp_id_to_be FROM bu_loantape_work.lt003_entity WHERE ref_date='2024-09-30' AND nome_perimetro='Individual Corporativo' AND segmento='ESTR' AND ambito='PM' AND entidade='00100' ) B ON entty_id_as_is=entty_id_to_be WHERE coalesce(cast(ec_grp_id_as_is AS string),'')&lt;&gt;coalesce(cast(ec_grp_id_to_be AS string),'') </v>
      </c>
      <c r="M38" s="75" t="s">
        <v>55</v>
      </c>
      <c r="N38" s="75" t="str">
        <f>"SELECT 'Validação de campos' as tipologia_teste, '"&amp;VLOOKUP(B38,Instruções!$F$13:$J$17,3,0)&amp;"' AS TABELA, '"&amp;E38&amp;"' AS CAMPO, '"&amp;Instruções!$D$15&amp;"' as ref_date, coalesce(NUM_REG_DIF, 0) AS NUM_REG_DIF FROM ("&amp;L38&amp;") A "</f>
        <v xml:space="preserve">SELECT 'Validação de campos' as tipologia_teste, 'lt003_entity' AS TABELA, 'ec_grp_id' AS CAMPO, '2024-09-30' as ref_date, coalesce(NUM_REG_DIF, 0) AS NUM_REG_DIF FROM (SELECT count(*) AS NUM_REG_DIF FROM (SELECT entty_id as entty_id_, ec_grp_id as ec_grp_id_as_is FROM cd_loan_tapes_bce.lt003_entity WHERE ref_date='2024-09-30' AND nome_perimetro='Individual Corporativo' AND segmento='ESTR' AND ambito='PM' AND entidade='00100' ) A  Inner join (SELECT entty_id as entty_id_, ec_grp_id as ec_grp_id_to_be FROM bu_loantape_work.lt003_entity WHERE ref_date='2024-09-30' AND nome_perimetro='Individual Corporativo' AND segmento='ESTR' AND ambito='PM' AND entidade='00100' ) B ON entty_id_as_is=entty_id_to_be WHERE coalesce(cast(ec_grp_id_as_is AS string),'')&lt;&gt;coalesce(cast(ec_grp_id_to_be AS string),'') ) A </v>
      </c>
      <c r="O38" s="76" t="str">
        <f t="shared" si="2"/>
        <v>SELECT 'Validação de campos' as tipologia_teste, 'lt003_entity' AS TABELA, 'ec_grp_id' AS CAMPO, '2024-09-30' as ref_date, coalesce(NUM_REG_DIF, 0) AS NUM_REG_DIF FROM (SELECT count(*) AS NUM_REG_DIF FROM (SELECT entty_id as entty_id_, ec_grp_id as ec_grp_id_as_is FROM cd_loan_tapes_bce.lt003_entity WHERE ref_date='2024-09-30' AND nome_perimetro='Individual Corporativo' AND segmento='ESTR' AND ambito='PM' AND entidade='00100' ) A  Inner join (SELECT entty_id as entty_id_, ec_grp_id as ec_grp_id_to_be FROM bu_loantape_work.lt003_entity WHERE ref_date='2024-09-30' AND nome_perimetro='Individual Corporativo' AND segmento='ESTR' AND ambito='PM' AND entidade='00100' ) B ON entty_id_as_is=entty_id_to_be WHERE coalesce(cast(ec_grp_id_as_is AS string),'')&lt;&gt;coalesce(cast(ec_grp_id_to_be AS string),'') ) A Union all</v>
      </c>
      <c r="P38" s="77">
        <f t="shared" si="5"/>
        <v>30</v>
      </c>
    </row>
    <row r="39" spans="2:16" s="63" customFormat="1" ht="18" customHeight="1">
      <c r="B39" s="75" t="s">
        <v>11</v>
      </c>
      <c r="C39" s="75" t="str">
        <f>_xlfn.CONCAT(Instruções!$D$13,".",VLOOKUP(B39,Instruções!$F$12:$H$17,2,0))</f>
        <v>cd_loan_tapes_bce.lt003_entity</v>
      </c>
      <c r="D39" s="75" t="str">
        <f>_xlfn.CONCAT(Instruções!$D$14,".",VLOOKUP(B39,Instruções!$F$12:$H$17,3,0))</f>
        <v>bu_loantape_work.lt003_entity</v>
      </c>
      <c r="E39" s="75" t="s">
        <v>85</v>
      </c>
      <c r="F39" s="75" t="str">
        <f t="shared" si="0"/>
        <v>ec_grp_nm_as_is</v>
      </c>
      <c r="G39" s="75" t="str">
        <f t="shared" si="1"/>
        <v>ec_grp_nm_to_be</v>
      </c>
      <c r="H39" s="75" t="str">
        <f>IF(VLOOKUP(B39,Instruções!$F$13:$J$17,5,0)="",
"(SELECT "&amp;VLOOKUP(B39,Instruções!$F$13:$J$17,4,0)&amp;" as "&amp;VLOOKUP(B39,Instruções!$F$13:$J$17,4,0)&amp;"_"&amp;$F$2&amp;", "&amp;E39&amp;" as "&amp;F39&amp;" FROM "&amp;C39&amp;" WHERE "&amp;Instruções!$D$20&amp;") A ",
"(SELECT "&amp;VLOOKUP(B39,Instruções!$F$13:$J$17,4,0)&amp;" as "&amp;VLOOKUP(B39,Instruções!$F$13:$J$17,4,0)&amp;"_"&amp;$F$2&amp;", "&amp;VLOOKUP(B39,Instruções!$F$13:$J$17,5,0)&amp;" as "&amp;VLOOKUP(B39,Instruções!$F$13:$J$17,5,0)&amp;"_"&amp;$F$2&amp;","&amp;E39&amp;" as "&amp;F39&amp;" FROM "&amp;C39&amp;" WHERE "&amp;Instruções!$D$20&amp;") A ")</f>
        <v xml:space="preserve">(SELECT entty_id as entty_id_, ec_grp_nm as ec_grp_nm_as_is FROM cd_loan_tapes_bce.lt003_entity WHERE ref_date='2024-09-30' AND nome_perimetro='Individual Corporativo' AND segmento='ESTR' AND ambito='PM' AND entidade='00100' ) A </v>
      </c>
      <c r="I39" s="75" t="str">
        <f>IF(VLOOKUP(B39,Instruções!$F$13:$J$17,5,0)="",
"(SELECT "&amp;VLOOKUP(B39,Instruções!$F$13:$J$17,4,0)&amp;" as "&amp;VLOOKUP(B39,Instruções!$F$13:$J$17,4,0)&amp;"_"&amp;$G$2&amp;", "&amp;E39&amp;" as "&amp;G39&amp;" FROM "&amp;D39&amp;" WHERE "&amp;Instruções!$D$21&amp;") B ",
"(SELECT "&amp;VLOOKUP(B39,Instruções!$F$13:$J$17,4,0)&amp;" as "&amp;VLOOKUP(B39,Instruções!$F$13:$J$17,4,0)&amp;"_"&amp;$G$2&amp;", "&amp;VLOOKUP(B39,Instruções!$F$13:$J$17,5,0)&amp;" as "&amp;VLOOKUP(B39,Instruções!$F$13:$J$17,5,0)&amp;"_"&amp;$G$2&amp;","&amp;E39&amp;" as "&amp;G39&amp;" FROM "&amp;D39&amp;" WHERE "&amp;Instruções!$D$21&amp;") B ")</f>
        <v xml:space="preserve">(SELECT entty_id as entty_id_, ec_grp_nm as ec_grp_nm_to_be FROM bu_loantape_work.lt003_entity WHERE ref_date='2024-09-30' AND nome_perimetro='Individual Corporativo' AND segmento='ESTR' AND ambito='PM' AND entidade='00100' ) B </v>
      </c>
      <c r="J39" s="75" t="str">
        <f>+IF(VLOOKUP(B39,Instruções!$F$13:$J$17,5,0)="", "ON "&amp;VLOOKUP(B39,Instruções!$F$13:$J$17,4,0)&amp;"_"&amp;$F$7&amp;"="&amp;VLOOKUP(B39,Instruções!$F$13:$J$17,4,0)&amp;"_"&amp;$G$7&amp;" ", "ON "&amp;VLOOKUP(B39,Instruções!$F$13:$J$17,4,0)&amp;"_"&amp;$F$7&amp;"="&amp;VLOOKUP(B39,Instruções!$F$13:$J$17,4,0)&amp;"_"&amp;$G$7&amp;" AND "&amp;VLOOKUP(B39,Instruções!$F$13:$J$17,5,0)&amp;"_"&amp;$F$7&amp;"="&amp;VLOOKUP(B39,Instruções!$F$13:$J$17,5,0)&amp;"_"&amp;$G$7&amp;" ")</f>
        <v xml:space="preserve">ON entty_id_as_is=entty_id_to_be </v>
      </c>
      <c r="K39" s="75" t="str">
        <f t="shared" si="3"/>
        <v xml:space="preserve">WHERE coalesce(cast(ec_grp_nm_as_is AS string),'')&lt;&gt;coalesce(cast(ec_grp_nm_to_be AS string),'') </v>
      </c>
      <c r="L39" s="75" t="str">
        <f t="shared" si="4"/>
        <v xml:space="preserve">SELECT count(*) AS NUM_REG_DIF FROM (SELECT entty_id as entty_id_, ec_grp_nm as ec_grp_nm_as_is FROM cd_loan_tapes_bce.lt003_entity WHERE ref_date='2024-09-30' AND nome_perimetro='Individual Corporativo' AND segmento='ESTR' AND ambito='PM' AND entidade='00100' ) A  Inner join (SELECT entty_id as entty_id_, ec_grp_nm as ec_grp_nm_to_be FROM bu_loantape_work.lt003_entity WHERE ref_date='2024-09-30' AND nome_perimetro='Individual Corporativo' AND segmento='ESTR' AND ambito='PM' AND entidade='00100' ) B ON entty_id_as_is=entty_id_to_be WHERE coalesce(cast(ec_grp_nm_as_is AS string),'')&lt;&gt;coalesce(cast(ec_grp_nm_to_be AS string),'') </v>
      </c>
      <c r="M39" s="75" t="s">
        <v>55</v>
      </c>
      <c r="N39" s="75" t="str">
        <f>"SELECT 'Validação de campos' as tipologia_teste, '"&amp;VLOOKUP(B39,Instruções!$F$13:$J$17,3,0)&amp;"' AS TABELA, '"&amp;E39&amp;"' AS CAMPO, '"&amp;Instruções!$D$15&amp;"' as ref_date, coalesce(NUM_REG_DIF, 0) AS NUM_REG_DIF FROM ("&amp;L39&amp;") A "</f>
        <v xml:space="preserve">SELECT 'Validação de campos' as tipologia_teste, 'lt003_entity' AS TABELA, 'ec_grp_nm' AS CAMPO, '2024-09-30' as ref_date, coalesce(NUM_REG_DIF, 0) AS NUM_REG_DIF FROM (SELECT count(*) AS NUM_REG_DIF FROM (SELECT entty_id as entty_id_, ec_grp_nm as ec_grp_nm_as_is FROM cd_loan_tapes_bce.lt003_entity WHERE ref_date='2024-09-30' AND nome_perimetro='Individual Corporativo' AND segmento='ESTR' AND ambito='PM' AND entidade='00100' ) A  Inner join (SELECT entty_id as entty_id_, ec_grp_nm as ec_grp_nm_to_be FROM bu_loantape_work.lt003_entity WHERE ref_date='2024-09-30' AND nome_perimetro='Individual Corporativo' AND segmento='ESTR' AND ambito='PM' AND entidade='00100' ) B ON entty_id_as_is=entty_id_to_be WHERE coalesce(cast(ec_grp_nm_as_is AS string),'')&lt;&gt;coalesce(cast(ec_grp_nm_to_be AS string),'') ) A </v>
      </c>
      <c r="O39" s="76" t="str">
        <f t="shared" si="2"/>
        <v>SELECT 'Validação de campos' as tipologia_teste, 'lt003_entity' AS TABELA, 'ec_grp_nm' AS CAMPO, '2024-09-30' as ref_date, coalesce(NUM_REG_DIF, 0) AS NUM_REG_DIF FROM (SELECT count(*) AS NUM_REG_DIF FROM (SELECT entty_id as entty_id_, ec_grp_nm as ec_grp_nm_as_is FROM cd_loan_tapes_bce.lt003_entity WHERE ref_date='2024-09-30' AND nome_perimetro='Individual Corporativo' AND segmento='ESTR' AND ambito='PM' AND entidade='00100' ) A  Inner join (SELECT entty_id as entty_id_, ec_grp_nm as ec_grp_nm_to_be FROM bu_loantape_work.lt003_entity WHERE ref_date='2024-09-30' AND nome_perimetro='Individual Corporativo' AND segmento='ESTR' AND ambito='PM' AND entidade='00100' ) B ON entty_id_as_is=entty_id_to_be WHERE coalesce(cast(ec_grp_nm_as_is AS string),'')&lt;&gt;coalesce(cast(ec_grp_nm_to_be AS string),'') ) A Union all</v>
      </c>
      <c r="P39" s="77">
        <f t="shared" si="5"/>
        <v>31</v>
      </c>
    </row>
    <row r="40" spans="2:16" s="63" customFormat="1" ht="18" customHeight="1">
      <c r="B40" s="75" t="s">
        <v>11</v>
      </c>
      <c r="C40" s="75" t="str">
        <f>_xlfn.CONCAT(Instruções!$D$13,".",VLOOKUP(B40,Instruções!$F$12:$H$17,2,0))</f>
        <v>cd_loan_tapes_bce.lt003_entity</v>
      </c>
      <c r="D40" s="75" t="str">
        <f>_xlfn.CONCAT(Instruções!$D$14,".",VLOOKUP(B40,Instruções!$F$12:$H$17,3,0))</f>
        <v>bu_loantape_work.lt003_entity</v>
      </c>
      <c r="E40" s="75" t="s">
        <v>86</v>
      </c>
      <c r="F40" s="75" t="str">
        <f t="shared" si="0"/>
        <v>ecnmc_actvty_as_is</v>
      </c>
      <c r="G40" s="75" t="str">
        <f t="shared" si="1"/>
        <v>ecnmc_actvty_to_be</v>
      </c>
      <c r="H40" s="75" t="str">
        <f>IF(VLOOKUP(B40,Instruções!$F$13:$J$17,5,0)="",
"(SELECT "&amp;VLOOKUP(B40,Instruções!$F$13:$J$17,4,0)&amp;" as "&amp;VLOOKUP(B40,Instruções!$F$13:$J$17,4,0)&amp;"_"&amp;$F$2&amp;", "&amp;E40&amp;" as "&amp;F40&amp;" FROM "&amp;C40&amp;" WHERE "&amp;Instruções!$D$20&amp;") A ",
"(SELECT "&amp;VLOOKUP(B40,Instruções!$F$13:$J$17,4,0)&amp;" as "&amp;VLOOKUP(B40,Instruções!$F$13:$J$17,4,0)&amp;"_"&amp;$F$2&amp;", "&amp;VLOOKUP(B40,Instruções!$F$13:$J$17,5,0)&amp;" as "&amp;VLOOKUP(B40,Instruções!$F$13:$J$17,5,0)&amp;"_"&amp;$F$2&amp;","&amp;E40&amp;" as "&amp;F40&amp;" FROM "&amp;C40&amp;" WHERE "&amp;Instruções!$D$20&amp;") A ")</f>
        <v xml:space="preserve">(SELECT entty_id as entty_id_, ecnmc_actvty as ecnmc_actvty_as_is FROM cd_loan_tapes_bce.lt003_entity WHERE ref_date='2024-09-30' AND nome_perimetro='Individual Corporativo' AND segmento='ESTR' AND ambito='PM' AND entidade='00100' ) A </v>
      </c>
      <c r="I40" s="75" t="str">
        <f>IF(VLOOKUP(B40,Instruções!$F$13:$J$17,5,0)="",
"(SELECT "&amp;VLOOKUP(B40,Instruções!$F$13:$J$17,4,0)&amp;" as "&amp;VLOOKUP(B40,Instruções!$F$13:$J$17,4,0)&amp;"_"&amp;$G$2&amp;", "&amp;E40&amp;" as "&amp;G40&amp;" FROM "&amp;D40&amp;" WHERE "&amp;Instruções!$D$21&amp;") B ",
"(SELECT "&amp;VLOOKUP(B40,Instruções!$F$13:$J$17,4,0)&amp;" as "&amp;VLOOKUP(B40,Instruções!$F$13:$J$17,4,0)&amp;"_"&amp;$G$2&amp;", "&amp;VLOOKUP(B40,Instruções!$F$13:$J$17,5,0)&amp;" as "&amp;VLOOKUP(B40,Instruções!$F$13:$J$17,5,0)&amp;"_"&amp;$G$2&amp;","&amp;E40&amp;" as "&amp;G40&amp;" FROM "&amp;D40&amp;" WHERE "&amp;Instruções!$D$21&amp;") B ")</f>
        <v xml:space="preserve">(SELECT entty_id as entty_id_, ecnmc_actvty as ecnmc_actvty_to_be FROM bu_loantape_work.lt003_entity WHERE ref_date='2024-09-30' AND nome_perimetro='Individual Corporativo' AND segmento='ESTR' AND ambito='PM' AND entidade='00100' ) B </v>
      </c>
      <c r="J40" s="75" t="str">
        <f>+IF(VLOOKUP(B40,Instruções!$F$13:$J$17,5,0)="", "ON "&amp;VLOOKUP(B40,Instruções!$F$13:$J$17,4,0)&amp;"_"&amp;$F$7&amp;"="&amp;VLOOKUP(B40,Instruções!$F$13:$J$17,4,0)&amp;"_"&amp;$G$7&amp;" ", "ON "&amp;VLOOKUP(B40,Instruções!$F$13:$J$17,4,0)&amp;"_"&amp;$F$7&amp;"="&amp;VLOOKUP(B40,Instruções!$F$13:$J$17,4,0)&amp;"_"&amp;$G$7&amp;" AND "&amp;VLOOKUP(B40,Instruções!$F$13:$J$17,5,0)&amp;"_"&amp;$F$7&amp;"="&amp;VLOOKUP(B40,Instruções!$F$13:$J$17,5,0)&amp;"_"&amp;$G$7&amp;" ")</f>
        <v xml:space="preserve">ON entty_id_as_is=entty_id_to_be </v>
      </c>
      <c r="K40" s="75" t="str">
        <f t="shared" si="3"/>
        <v xml:space="preserve">WHERE coalesce(cast(ecnmc_actvty_as_is AS string),'')&lt;&gt;coalesce(cast(ecnmc_actvty_to_be AS string),'') </v>
      </c>
      <c r="L40" s="75" t="str">
        <f t="shared" si="4"/>
        <v xml:space="preserve">SELECT count(*) AS NUM_REG_DIF FROM (SELECT entty_id as entty_id_, ecnmc_actvty as ecnmc_actvty_as_is FROM cd_loan_tapes_bce.lt003_entity WHERE ref_date='2024-09-30' AND nome_perimetro='Individual Corporativo' AND segmento='ESTR' AND ambito='PM' AND entidade='00100' ) A  Inner join (SELECT entty_id as entty_id_, ecnmc_actvty as ecnmc_actvty_to_be FROM bu_loantape_work.lt003_entity WHERE ref_date='2024-09-30' AND nome_perimetro='Individual Corporativo' AND segmento='ESTR' AND ambito='PM' AND entidade='00100' ) B ON entty_id_as_is=entty_id_to_be WHERE coalesce(cast(ecnmc_actvty_as_is AS string),'')&lt;&gt;coalesce(cast(ecnmc_actvty_to_be AS string),'') </v>
      </c>
      <c r="M40" s="75" t="s">
        <v>55</v>
      </c>
      <c r="N40" s="75" t="str">
        <f>"SELECT 'Validação de campos' as tipologia_teste, '"&amp;VLOOKUP(B40,Instruções!$F$13:$J$17,3,0)&amp;"' AS TABELA, '"&amp;E40&amp;"' AS CAMPO, '"&amp;Instruções!$D$15&amp;"' as ref_date, coalesce(NUM_REG_DIF, 0) AS NUM_REG_DIF FROM ("&amp;L40&amp;") A "</f>
        <v xml:space="preserve">SELECT 'Validação de campos' as tipologia_teste, 'lt003_entity' AS TABELA, 'ecnmc_actvty' AS CAMPO, '2024-09-30' as ref_date, coalesce(NUM_REG_DIF, 0) AS NUM_REG_DIF FROM (SELECT count(*) AS NUM_REG_DIF FROM (SELECT entty_id as entty_id_, ecnmc_actvty as ecnmc_actvty_as_is FROM cd_loan_tapes_bce.lt003_entity WHERE ref_date='2024-09-30' AND nome_perimetro='Individual Corporativo' AND segmento='ESTR' AND ambito='PM' AND entidade='00100' ) A  Inner join (SELECT entty_id as entty_id_, ecnmc_actvty as ecnmc_actvty_to_be FROM bu_loantape_work.lt003_entity WHERE ref_date='2024-09-30' AND nome_perimetro='Individual Corporativo' AND segmento='ESTR' AND ambito='PM' AND entidade='00100' ) B ON entty_id_as_is=entty_id_to_be WHERE coalesce(cast(ecnmc_actvty_as_is AS string),'')&lt;&gt;coalesce(cast(ecnmc_actvty_to_be AS string),'') ) A </v>
      </c>
      <c r="O40" s="76" t="str">
        <f t="shared" si="2"/>
        <v>SELECT 'Validação de campos' as tipologia_teste, 'lt003_entity' AS TABELA, 'ecnmc_actvty' AS CAMPO, '2024-09-30' as ref_date, coalesce(NUM_REG_DIF, 0) AS NUM_REG_DIF FROM (SELECT count(*) AS NUM_REG_DIF FROM (SELECT entty_id as entty_id_, ecnmc_actvty as ecnmc_actvty_as_is FROM cd_loan_tapes_bce.lt003_entity WHERE ref_date='2024-09-30' AND nome_perimetro='Individual Corporativo' AND segmento='ESTR' AND ambito='PM' AND entidade='00100' ) A  Inner join (SELECT entty_id as entty_id_, ecnmc_actvty as ecnmc_actvty_to_be FROM bu_loantape_work.lt003_entity WHERE ref_date='2024-09-30' AND nome_perimetro='Individual Corporativo' AND segmento='ESTR' AND ambito='PM' AND entidade='00100' ) B ON entty_id_as_is=entty_id_to_be WHERE coalesce(cast(ecnmc_actvty_as_is AS string),'')&lt;&gt;coalesce(cast(ecnmc_actvty_to_be AS string),'') ) A Union all</v>
      </c>
      <c r="P40" s="77">
        <f t="shared" si="5"/>
        <v>32</v>
      </c>
    </row>
    <row r="41" spans="2:16" s="63" customFormat="1" ht="18" customHeight="1">
      <c r="B41" s="75" t="s">
        <v>11</v>
      </c>
      <c r="C41" s="75" t="str">
        <f>_xlfn.CONCAT(Instruções!$D$13,".",VLOOKUP(B41,Instruções!$F$12:$H$17,2,0))</f>
        <v>cd_loan_tapes_bce.lt003_entity</v>
      </c>
      <c r="D41" s="75" t="str">
        <f>_xlfn.CONCAT(Instruções!$D$14,".",VLOOKUP(B41,Instruções!$F$12:$H$17,3,0))</f>
        <v>bu_loantape_work.lt003_entity</v>
      </c>
      <c r="E41" s="75" t="s">
        <v>87</v>
      </c>
      <c r="F41" s="75" t="str">
        <f t="shared" ref="F41:F58" si="6">E41&amp;"_"&amp;$F$7</f>
        <v>emplymnt_stts_as_is</v>
      </c>
      <c r="G41" s="75" t="str">
        <f t="shared" ref="G41:G58" si="7">E41&amp;"_"&amp;$G$7</f>
        <v>emplymnt_stts_to_be</v>
      </c>
      <c r="H41" s="75" t="str">
        <f>IF(VLOOKUP(B41,Instruções!$F$13:$J$17,5,0)="",
"(SELECT "&amp;VLOOKUP(B41,Instruções!$F$13:$J$17,4,0)&amp;" as "&amp;VLOOKUP(B41,Instruções!$F$13:$J$17,4,0)&amp;"_"&amp;$F$2&amp;", "&amp;E41&amp;" as "&amp;F41&amp;" FROM "&amp;C41&amp;" WHERE "&amp;Instruções!$D$20&amp;") A ",
"(SELECT "&amp;VLOOKUP(B41,Instruções!$F$13:$J$17,4,0)&amp;" as "&amp;VLOOKUP(B41,Instruções!$F$13:$J$17,4,0)&amp;"_"&amp;$F$2&amp;", "&amp;VLOOKUP(B41,Instruções!$F$13:$J$17,5,0)&amp;" as "&amp;VLOOKUP(B41,Instruções!$F$13:$J$17,5,0)&amp;"_"&amp;$F$2&amp;","&amp;E41&amp;" as "&amp;F41&amp;" FROM "&amp;C41&amp;" WHERE "&amp;Instruções!$D$20&amp;") A ")</f>
        <v xml:space="preserve">(SELECT entty_id as entty_id_, emplymnt_stts as emplymnt_stts_as_is FROM cd_loan_tapes_bce.lt003_entity WHERE ref_date='2024-09-30' AND nome_perimetro='Individual Corporativo' AND segmento='ESTR' AND ambito='PM' AND entidade='00100' ) A </v>
      </c>
      <c r="I41" s="75" t="str">
        <f>IF(VLOOKUP(B41,Instruções!$F$13:$J$17,5,0)="",
"(SELECT "&amp;VLOOKUP(B41,Instruções!$F$13:$J$17,4,0)&amp;" as "&amp;VLOOKUP(B41,Instruções!$F$13:$J$17,4,0)&amp;"_"&amp;$G$2&amp;", "&amp;E41&amp;" as "&amp;G41&amp;" FROM "&amp;D41&amp;" WHERE "&amp;Instruções!$D$21&amp;") B ",
"(SELECT "&amp;VLOOKUP(B41,Instruções!$F$13:$J$17,4,0)&amp;" as "&amp;VLOOKUP(B41,Instruções!$F$13:$J$17,4,0)&amp;"_"&amp;$G$2&amp;", "&amp;VLOOKUP(B41,Instruções!$F$13:$J$17,5,0)&amp;" as "&amp;VLOOKUP(B41,Instruções!$F$13:$J$17,5,0)&amp;"_"&amp;$G$2&amp;","&amp;E41&amp;" as "&amp;G41&amp;" FROM "&amp;D41&amp;" WHERE "&amp;Instruções!$D$21&amp;") B ")</f>
        <v xml:space="preserve">(SELECT entty_id as entty_id_, emplymnt_stts as emplymnt_stts_to_be FROM bu_loantape_work.lt003_entity WHERE ref_date='2024-09-30' AND nome_perimetro='Individual Corporativo' AND segmento='ESTR' AND ambito='PM' AND entidade='00100' ) B </v>
      </c>
      <c r="J41" s="75" t="str">
        <f>+IF(VLOOKUP(B41,Instruções!$F$13:$J$17,5,0)="", "ON "&amp;VLOOKUP(B41,Instruções!$F$13:$J$17,4,0)&amp;"_"&amp;$F$7&amp;"="&amp;VLOOKUP(B41,Instruções!$F$13:$J$17,4,0)&amp;"_"&amp;$G$7&amp;" ", "ON "&amp;VLOOKUP(B41,Instruções!$F$13:$J$17,4,0)&amp;"_"&amp;$F$7&amp;"="&amp;VLOOKUP(B41,Instruções!$F$13:$J$17,4,0)&amp;"_"&amp;$G$7&amp;" AND "&amp;VLOOKUP(B41,Instruções!$F$13:$J$17,5,0)&amp;"_"&amp;$F$7&amp;"="&amp;VLOOKUP(B41,Instruções!$F$13:$J$17,5,0)&amp;"_"&amp;$G$7&amp;" ")</f>
        <v xml:space="preserve">ON entty_id_as_is=entty_id_to_be </v>
      </c>
      <c r="K41" s="75" t="str">
        <f t="shared" si="3"/>
        <v xml:space="preserve">WHERE coalesce(cast(emplymnt_stts_as_is AS string),'')&lt;&gt;coalesce(cast(emplymnt_stts_to_be AS string),'') </v>
      </c>
      <c r="L41" s="75" t="str">
        <f t="shared" si="4"/>
        <v xml:space="preserve">SELECT count(*) AS NUM_REG_DIF FROM (SELECT entty_id as entty_id_, emplymnt_stts as emplymnt_stts_as_is FROM cd_loan_tapes_bce.lt003_entity WHERE ref_date='2024-09-30' AND nome_perimetro='Individual Corporativo' AND segmento='ESTR' AND ambito='PM' AND entidade='00100' ) A  Inner join (SELECT entty_id as entty_id_, emplymnt_stts as emplymnt_stts_to_be FROM bu_loantape_work.lt003_entity WHERE ref_date='2024-09-30' AND nome_perimetro='Individual Corporativo' AND segmento='ESTR' AND ambito='PM' AND entidade='00100' ) B ON entty_id_as_is=entty_id_to_be WHERE coalesce(cast(emplymnt_stts_as_is AS string),'')&lt;&gt;coalesce(cast(emplymnt_stts_to_be AS string),'') </v>
      </c>
      <c r="M41" s="75" t="s">
        <v>55</v>
      </c>
      <c r="N41" s="75" t="str">
        <f>"SELECT 'Validação de campos' as tipologia_teste, '"&amp;VLOOKUP(B41,Instruções!$F$13:$J$17,3,0)&amp;"' AS TABELA, '"&amp;E41&amp;"' AS CAMPO, '"&amp;Instruções!$D$15&amp;"' as ref_date, coalesce(NUM_REG_DIF, 0) AS NUM_REG_DIF FROM ("&amp;L41&amp;") A "</f>
        <v xml:space="preserve">SELECT 'Validação de campos' as tipologia_teste, 'lt003_entity' AS TABELA, 'emplymnt_stts' AS CAMPO, '2024-09-30' as ref_date, coalesce(NUM_REG_DIF, 0) AS NUM_REG_DIF FROM (SELECT count(*) AS NUM_REG_DIF FROM (SELECT entty_id as entty_id_, emplymnt_stts as emplymnt_stts_as_is FROM cd_loan_tapes_bce.lt003_entity WHERE ref_date='2024-09-30' AND nome_perimetro='Individual Corporativo' AND segmento='ESTR' AND ambito='PM' AND entidade='00100' ) A  Inner join (SELECT entty_id as entty_id_, emplymnt_stts as emplymnt_stts_to_be FROM bu_loantape_work.lt003_entity WHERE ref_date='2024-09-30' AND nome_perimetro='Individual Corporativo' AND segmento='ESTR' AND ambito='PM' AND entidade='00100' ) B ON entty_id_as_is=entty_id_to_be WHERE coalesce(cast(emplymnt_stts_as_is AS string),'')&lt;&gt;coalesce(cast(emplymnt_stts_to_be AS string),'') ) A </v>
      </c>
      <c r="O41" s="76" t="str">
        <f t="shared" si="2"/>
        <v>SELECT 'Validação de campos' as tipologia_teste, 'lt003_entity' AS TABELA, 'emplymnt_stts' AS CAMPO, '2024-09-30' as ref_date, coalesce(NUM_REG_DIF, 0) AS NUM_REG_DIF FROM (SELECT count(*) AS NUM_REG_DIF FROM (SELECT entty_id as entty_id_, emplymnt_stts as emplymnt_stts_as_is FROM cd_loan_tapes_bce.lt003_entity WHERE ref_date='2024-09-30' AND nome_perimetro='Individual Corporativo' AND segmento='ESTR' AND ambito='PM' AND entidade='00100' ) A  Inner join (SELECT entty_id as entty_id_, emplymnt_stts as emplymnt_stts_to_be FROM bu_loantape_work.lt003_entity WHERE ref_date='2024-09-30' AND nome_perimetro='Individual Corporativo' AND segmento='ESTR' AND ambito='PM' AND entidade='00100' ) B ON entty_id_as_is=entty_id_to_be WHERE coalesce(cast(emplymnt_stts_as_is AS string),'')&lt;&gt;coalesce(cast(emplymnt_stts_to_be AS string),'') ) A Union all</v>
      </c>
      <c r="P41" s="77">
        <f t="shared" si="5"/>
        <v>33</v>
      </c>
    </row>
    <row r="42" spans="2:16" s="63" customFormat="1" ht="18" customHeight="1">
      <c r="B42" s="75" t="s">
        <v>11</v>
      </c>
      <c r="C42" s="75" t="str">
        <f>_xlfn.CONCAT(Instruções!$D$13,".",VLOOKUP(B42,Instruções!$F$12:$H$17,2,0))</f>
        <v>cd_loan_tapes_bce.lt003_entity</v>
      </c>
      <c r="D42" s="75" t="str">
        <f>_xlfn.CONCAT(Instruções!$D$14,".",VLOOKUP(B42,Instruções!$F$12:$H$17,3,0))</f>
        <v>bu_loantape_work.lt003_entity</v>
      </c>
      <c r="E42" s="75" t="s">
        <v>88</v>
      </c>
      <c r="F42" s="75" t="str">
        <f t="shared" si="6"/>
        <v>emplymnt_stts_intrnl_as_is</v>
      </c>
      <c r="G42" s="75" t="str">
        <f t="shared" si="7"/>
        <v>emplymnt_stts_intrnl_to_be</v>
      </c>
      <c r="H42" s="75" t="str">
        <f>IF(VLOOKUP(B42,Instruções!$F$13:$J$17,5,0)="",
"(SELECT "&amp;VLOOKUP(B42,Instruções!$F$13:$J$17,4,0)&amp;" as "&amp;VLOOKUP(B42,Instruções!$F$13:$J$17,4,0)&amp;"_"&amp;$F$2&amp;", "&amp;E42&amp;" as "&amp;F42&amp;" FROM "&amp;C42&amp;" WHERE "&amp;Instruções!$D$20&amp;") A ",
"(SELECT "&amp;VLOOKUP(B42,Instruções!$F$13:$J$17,4,0)&amp;" as "&amp;VLOOKUP(B42,Instruções!$F$13:$J$17,4,0)&amp;"_"&amp;$F$2&amp;", "&amp;VLOOKUP(B42,Instruções!$F$13:$J$17,5,0)&amp;" as "&amp;VLOOKUP(B42,Instruções!$F$13:$J$17,5,0)&amp;"_"&amp;$F$2&amp;","&amp;E42&amp;" as "&amp;F42&amp;" FROM "&amp;C42&amp;" WHERE "&amp;Instruções!$D$20&amp;") A ")</f>
        <v xml:space="preserve">(SELECT entty_id as entty_id_, emplymnt_stts_intrnl as emplymnt_stts_intrnl_as_is FROM cd_loan_tapes_bce.lt003_entity WHERE ref_date='2024-09-30' AND nome_perimetro='Individual Corporativo' AND segmento='ESTR' AND ambito='PM' AND entidade='00100' ) A </v>
      </c>
      <c r="I42" s="75" t="str">
        <f>IF(VLOOKUP(B42,Instruções!$F$13:$J$17,5,0)="",
"(SELECT "&amp;VLOOKUP(B42,Instruções!$F$13:$J$17,4,0)&amp;" as "&amp;VLOOKUP(B42,Instruções!$F$13:$J$17,4,0)&amp;"_"&amp;$G$2&amp;", "&amp;E42&amp;" as "&amp;G42&amp;" FROM "&amp;D42&amp;" WHERE "&amp;Instruções!$D$21&amp;") B ",
"(SELECT "&amp;VLOOKUP(B42,Instruções!$F$13:$J$17,4,0)&amp;" as "&amp;VLOOKUP(B42,Instruções!$F$13:$J$17,4,0)&amp;"_"&amp;$G$2&amp;", "&amp;VLOOKUP(B42,Instruções!$F$13:$J$17,5,0)&amp;" as "&amp;VLOOKUP(B42,Instruções!$F$13:$J$17,5,0)&amp;"_"&amp;$G$2&amp;","&amp;E42&amp;" as "&amp;G42&amp;" FROM "&amp;D42&amp;" WHERE "&amp;Instruções!$D$21&amp;") B ")</f>
        <v xml:space="preserve">(SELECT entty_id as entty_id_, emplymnt_stts_intrnl as emplymnt_stts_intrnl_to_be FROM bu_loantape_work.lt003_entity WHERE ref_date='2024-09-30' AND nome_perimetro='Individual Corporativo' AND segmento='ESTR' AND ambito='PM' AND entidade='00100' ) B </v>
      </c>
      <c r="J42" s="75" t="str">
        <f>+IF(VLOOKUP(B42,Instruções!$F$13:$J$17,5,0)="", "ON "&amp;VLOOKUP(B42,Instruções!$F$13:$J$17,4,0)&amp;"_"&amp;$F$7&amp;"="&amp;VLOOKUP(B42,Instruções!$F$13:$J$17,4,0)&amp;"_"&amp;$G$7&amp;" ", "ON "&amp;VLOOKUP(B42,Instruções!$F$13:$J$17,4,0)&amp;"_"&amp;$F$7&amp;"="&amp;VLOOKUP(B42,Instruções!$F$13:$J$17,4,0)&amp;"_"&amp;$G$7&amp;" AND "&amp;VLOOKUP(B42,Instruções!$F$13:$J$17,5,0)&amp;"_"&amp;$F$7&amp;"="&amp;VLOOKUP(B42,Instruções!$F$13:$J$17,5,0)&amp;"_"&amp;$G$7&amp;" ")</f>
        <v xml:space="preserve">ON entty_id_as_is=entty_id_to_be </v>
      </c>
      <c r="K42" s="75" t="str">
        <f t="shared" si="3"/>
        <v xml:space="preserve">WHERE coalesce(cast(emplymnt_stts_intrnl_as_is AS string),'')&lt;&gt;coalesce(cast(emplymnt_stts_intrnl_to_be AS string),'') </v>
      </c>
      <c r="L42" s="75" t="str">
        <f t="shared" si="4"/>
        <v xml:space="preserve">SELECT count(*) AS NUM_REG_DIF FROM (SELECT entty_id as entty_id_, emplymnt_stts_intrnl as emplymnt_stts_intrnl_as_is FROM cd_loan_tapes_bce.lt003_entity WHERE ref_date='2024-09-30' AND nome_perimetro='Individual Corporativo' AND segmento='ESTR' AND ambito='PM' AND entidade='00100' ) A  Inner join (SELECT entty_id as entty_id_, emplymnt_stts_intrnl as emplymnt_stts_intrnl_to_be FROM bu_loantape_work.lt003_entity WHERE ref_date='2024-09-30' AND nome_perimetro='Individual Corporativo' AND segmento='ESTR' AND ambito='PM' AND entidade='00100' ) B ON entty_id_as_is=entty_id_to_be WHERE coalesce(cast(emplymnt_stts_intrnl_as_is AS string),'')&lt;&gt;coalesce(cast(emplymnt_stts_intrnl_to_be AS string),'') </v>
      </c>
      <c r="M42" s="75" t="s">
        <v>55</v>
      </c>
      <c r="N42" s="75" t="str">
        <f>"SELECT 'Validação de campos' as tipologia_teste, '"&amp;VLOOKUP(B42,Instruções!$F$13:$J$17,3,0)&amp;"' AS TABELA, '"&amp;E42&amp;"' AS CAMPO, '"&amp;Instruções!$D$15&amp;"' as ref_date, coalesce(NUM_REG_DIF, 0) AS NUM_REG_DIF FROM ("&amp;L42&amp;") A "</f>
        <v xml:space="preserve">SELECT 'Validação de campos' as tipologia_teste, 'lt003_entity' AS TABELA, 'emplymnt_stts_intrnl' AS CAMPO, '2024-09-30' as ref_date, coalesce(NUM_REG_DIF, 0) AS NUM_REG_DIF FROM (SELECT count(*) AS NUM_REG_DIF FROM (SELECT entty_id as entty_id_, emplymnt_stts_intrnl as emplymnt_stts_intrnl_as_is FROM cd_loan_tapes_bce.lt003_entity WHERE ref_date='2024-09-30' AND nome_perimetro='Individual Corporativo' AND segmento='ESTR' AND ambito='PM' AND entidade='00100' ) A  Inner join (SELECT entty_id as entty_id_, emplymnt_stts_intrnl as emplymnt_stts_intrnl_to_be FROM bu_loantape_work.lt003_entity WHERE ref_date='2024-09-30' AND nome_perimetro='Individual Corporativo' AND segmento='ESTR' AND ambito='PM' AND entidade='00100' ) B ON entty_id_as_is=entty_id_to_be WHERE coalesce(cast(emplymnt_stts_intrnl_as_is AS string),'')&lt;&gt;coalesce(cast(emplymnt_stts_intrnl_to_be AS string),'') ) A </v>
      </c>
      <c r="O42" s="76" t="str">
        <f t="shared" si="2"/>
        <v>SELECT 'Validação de campos' as tipologia_teste, 'lt003_entity' AS TABELA, 'emplymnt_stts_intrnl' AS CAMPO, '2024-09-30' as ref_date, coalesce(NUM_REG_DIF, 0) AS NUM_REG_DIF FROM (SELECT count(*) AS NUM_REG_DIF FROM (SELECT entty_id as entty_id_, emplymnt_stts_intrnl as emplymnt_stts_intrnl_as_is FROM cd_loan_tapes_bce.lt003_entity WHERE ref_date='2024-09-30' AND nome_perimetro='Individual Corporativo' AND segmento='ESTR' AND ambito='PM' AND entidade='00100' ) A  Inner join (SELECT entty_id as entty_id_, emplymnt_stts_intrnl as emplymnt_stts_intrnl_to_be FROM bu_loantape_work.lt003_entity WHERE ref_date='2024-09-30' AND nome_perimetro='Individual Corporativo' AND segmento='ESTR' AND ambito='PM' AND entidade='00100' ) B ON entty_id_as_is=entty_id_to_be WHERE coalesce(cast(emplymnt_stts_intrnl_as_is AS string),'')&lt;&gt;coalesce(cast(emplymnt_stts_intrnl_to_be AS string),'') ) A Union all</v>
      </c>
      <c r="P42" s="77">
        <f t="shared" si="5"/>
        <v>34</v>
      </c>
    </row>
    <row r="43" spans="2:16" s="63" customFormat="1" ht="18" customHeight="1">
      <c r="B43" s="75" t="s">
        <v>11</v>
      </c>
      <c r="C43" s="75" t="str">
        <f>_xlfn.CONCAT(Instruções!$D$13,".",VLOOKUP(B43,Instruções!$F$12:$H$17,2,0))</f>
        <v>cd_loan_tapes_bce.lt003_entity</v>
      </c>
      <c r="D43" s="75" t="str">
        <f>_xlfn.CONCAT(Instruções!$D$14,".",VLOOKUP(B43,Instruções!$F$12:$H$17,3,0))</f>
        <v>bu_loantape_work.lt003_entity</v>
      </c>
      <c r="E43" s="75" t="s">
        <v>89</v>
      </c>
      <c r="F43" s="75" t="str">
        <f t="shared" si="6"/>
        <v>entrprs_sz_le_as_is</v>
      </c>
      <c r="G43" s="75" t="str">
        <f t="shared" si="7"/>
        <v>entrprs_sz_le_to_be</v>
      </c>
      <c r="H43" s="75" t="str">
        <f>IF(VLOOKUP(B43,Instruções!$F$13:$J$17,5,0)="",
"(SELECT "&amp;VLOOKUP(B43,Instruções!$F$13:$J$17,4,0)&amp;" as "&amp;VLOOKUP(B43,Instruções!$F$13:$J$17,4,0)&amp;"_"&amp;$F$2&amp;", "&amp;E43&amp;" as "&amp;F43&amp;" FROM "&amp;C43&amp;" WHERE "&amp;Instruções!$D$20&amp;") A ",
"(SELECT "&amp;VLOOKUP(B43,Instruções!$F$13:$J$17,4,0)&amp;" as "&amp;VLOOKUP(B43,Instruções!$F$13:$J$17,4,0)&amp;"_"&amp;$F$2&amp;", "&amp;VLOOKUP(B43,Instruções!$F$13:$J$17,5,0)&amp;" as "&amp;VLOOKUP(B43,Instruções!$F$13:$J$17,5,0)&amp;"_"&amp;$F$2&amp;","&amp;E43&amp;" as "&amp;F43&amp;" FROM "&amp;C43&amp;" WHERE "&amp;Instruções!$D$20&amp;") A ")</f>
        <v xml:space="preserve">(SELECT entty_id as entty_id_, entrprs_sz_le as entrprs_sz_le_as_is FROM cd_loan_tapes_bce.lt003_entity WHERE ref_date='2024-09-30' AND nome_perimetro='Individual Corporativo' AND segmento='ESTR' AND ambito='PM' AND entidade='00100' ) A </v>
      </c>
      <c r="I43" s="75" t="str">
        <f>IF(VLOOKUP(B43,Instruções!$F$13:$J$17,5,0)="",
"(SELECT "&amp;VLOOKUP(B43,Instruções!$F$13:$J$17,4,0)&amp;" as "&amp;VLOOKUP(B43,Instruções!$F$13:$J$17,4,0)&amp;"_"&amp;$G$2&amp;", "&amp;E43&amp;" as "&amp;G43&amp;" FROM "&amp;D43&amp;" WHERE "&amp;Instruções!$D$21&amp;") B ",
"(SELECT "&amp;VLOOKUP(B43,Instruções!$F$13:$J$17,4,0)&amp;" as "&amp;VLOOKUP(B43,Instruções!$F$13:$J$17,4,0)&amp;"_"&amp;$G$2&amp;", "&amp;VLOOKUP(B43,Instruções!$F$13:$J$17,5,0)&amp;" as "&amp;VLOOKUP(B43,Instruções!$F$13:$J$17,5,0)&amp;"_"&amp;$G$2&amp;","&amp;E43&amp;" as "&amp;G43&amp;" FROM "&amp;D43&amp;" WHERE "&amp;Instruções!$D$21&amp;") B ")</f>
        <v xml:space="preserve">(SELECT entty_id as entty_id_, entrprs_sz_le as entrprs_sz_le_to_be FROM bu_loantape_work.lt003_entity WHERE ref_date='2024-09-30' AND nome_perimetro='Individual Corporativo' AND segmento='ESTR' AND ambito='PM' AND entidade='00100' ) B </v>
      </c>
      <c r="J43" s="75" t="str">
        <f>+IF(VLOOKUP(B43,Instruções!$F$13:$J$17,5,0)="", "ON "&amp;VLOOKUP(B43,Instruções!$F$13:$J$17,4,0)&amp;"_"&amp;$F$7&amp;"="&amp;VLOOKUP(B43,Instruções!$F$13:$J$17,4,0)&amp;"_"&amp;$G$7&amp;" ", "ON "&amp;VLOOKUP(B43,Instruções!$F$13:$J$17,4,0)&amp;"_"&amp;$F$7&amp;"="&amp;VLOOKUP(B43,Instruções!$F$13:$J$17,4,0)&amp;"_"&amp;$G$7&amp;" AND "&amp;VLOOKUP(B43,Instruções!$F$13:$J$17,5,0)&amp;"_"&amp;$F$7&amp;"="&amp;VLOOKUP(B43,Instruções!$F$13:$J$17,5,0)&amp;"_"&amp;$G$7&amp;" ")</f>
        <v xml:space="preserve">ON entty_id_as_is=entty_id_to_be </v>
      </c>
      <c r="K43" s="75" t="str">
        <f t="shared" si="3"/>
        <v xml:space="preserve">WHERE coalesce(cast(entrprs_sz_le_as_is AS string),'')&lt;&gt;coalesce(cast(entrprs_sz_le_to_be AS string),'') </v>
      </c>
      <c r="L43" s="75" t="str">
        <f t="shared" si="4"/>
        <v xml:space="preserve">SELECT count(*) AS NUM_REG_DIF FROM (SELECT entty_id as entty_id_, entrprs_sz_le as entrprs_sz_le_as_is FROM cd_loan_tapes_bce.lt003_entity WHERE ref_date='2024-09-30' AND nome_perimetro='Individual Corporativo' AND segmento='ESTR' AND ambito='PM' AND entidade='00100' ) A  Inner join (SELECT entty_id as entty_id_, entrprs_sz_le as entrprs_sz_le_to_be FROM bu_loantape_work.lt003_entity WHERE ref_date='2024-09-30' AND nome_perimetro='Individual Corporativo' AND segmento='ESTR' AND ambito='PM' AND entidade='00100' ) B ON entty_id_as_is=entty_id_to_be WHERE coalesce(cast(entrprs_sz_le_as_is AS string),'')&lt;&gt;coalesce(cast(entrprs_sz_le_to_be AS string),'') </v>
      </c>
      <c r="M43" s="75" t="s">
        <v>55</v>
      </c>
      <c r="N43" s="75" t="str">
        <f>"SELECT 'Validação de campos' as tipologia_teste, '"&amp;VLOOKUP(B43,Instruções!$F$13:$J$17,3,0)&amp;"' AS TABELA, '"&amp;E43&amp;"' AS CAMPO, '"&amp;Instruções!$D$15&amp;"' as ref_date, coalesce(NUM_REG_DIF, 0) AS NUM_REG_DIF FROM ("&amp;L43&amp;") A "</f>
        <v xml:space="preserve">SELECT 'Validação de campos' as tipologia_teste, 'lt003_entity' AS TABELA, 'entrprs_sz_le' AS CAMPO, '2024-09-30' as ref_date, coalesce(NUM_REG_DIF, 0) AS NUM_REG_DIF FROM (SELECT count(*) AS NUM_REG_DIF FROM (SELECT entty_id as entty_id_, entrprs_sz_le as entrprs_sz_le_as_is FROM cd_loan_tapes_bce.lt003_entity WHERE ref_date='2024-09-30' AND nome_perimetro='Individual Corporativo' AND segmento='ESTR' AND ambito='PM' AND entidade='00100' ) A  Inner join (SELECT entty_id as entty_id_, entrprs_sz_le as entrprs_sz_le_to_be FROM bu_loantape_work.lt003_entity WHERE ref_date='2024-09-30' AND nome_perimetro='Individual Corporativo' AND segmento='ESTR' AND ambito='PM' AND entidade='00100' ) B ON entty_id_as_is=entty_id_to_be WHERE coalesce(cast(entrprs_sz_le_as_is AS string),'')&lt;&gt;coalesce(cast(entrprs_sz_le_to_be AS string),'') ) A </v>
      </c>
      <c r="O43" s="76" t="str">
        <f t="shared" si="2"/>
        <v>SELECT 'Validação de campos' as tipologia_teste, 'lt003_entity' AS TABELA, 'entrprs_sz_le' AS CAMPO, '2024-09-30' as ref_date, coalesce(NUM_REG_DIF, 0) AS NUM_REG_DIF FROM (SELECT count(*) AS NUM_REG_DIF FROM (SELECT entty_id as entty_id_, entrprs_sz_le as entrprs_sz_le_as_is FROM cd_loan_tapes_bce.lt003_entity WHERE ref_date='2024-09-30' AND nome_perimetro='Individual Corporativo' AND segmento='ESTR' AND ambito='PM' AND entidade='00100' ) A  Inner join (SELECT entty_id as entty_id_, entrprs_sz_le as entrprs_sz_le_to_be FROM bu_loantape_work.lt003_entity WHERE ref_date='2024-09-30' AND nome_perimetro='Individual Corporativo' AND segmento='ESTR' AND ambito='PM' AND entidade='00100' ) B ON entty_id_as_is=entty_id_to_be WHERE coalesce(cast(entrprs_sz_le_as_is AS string),'')&lt;&gt;coalesce(cast(entrprs_sz_le_to_be AS string),'') ) A Union all</v>
      </c>
      <c r="P43" s="77">
        <f t="shared" si="5"/>
        <v>35</v>
      </c>
    </row>
    <row r="44" spans="2:16" s="63" customFormat="1" ht="18" customHeight="1">
      <c r="B44" s="75" t="s">
        <v>11</v>
      </c>
      <c r="C44" s="75" t="str">
        <f>_xlfn.CONCAT(Instruções!$D$13,".",VLOOKUP(B44,Instruções!$F$12:$H$17,2,0))</f>
        <v>cd_loan_tapes_bce.lt003_entity</v>
      </c>
      <c r="D44" s="75" t="str">
        <f>_xlfn.CONCAT(Instruções!$D$14,".",VLOOKUP(B44,Instruções!$F$12:$H$17,3,0))</f>
        <v>bu_loantape_work.lt003_entity</v>
      </c>
      <c r="E44" s="75" t="s">
        <v>90</v>
      </c>
      <c r="F44" s="75" t="str">
        <f t="shared" si="6"/>
        <v>entty_nm_as_is</v>
      </c>
      <c r="G44" s="75" t="str">
        <f t="shared" si="7"/>
        <v>entty_nm_to_be</v>
      </c>
      <c r="H44" s="75" t="str">
        <f>IF(VLOOKUP(B44,Instruções!$F$13:$J$17,5,0)="",
"(SELECT "&amp;VLOOKUP(B44,Instruções!$F$13:$J$17,4,0)&amp;" as "&amp;VLOOKUP(B44,Instruções!$F$13:$J$17,4,0)&amp;"_"&amp;$F$2&amp;", "&amp;E44&amp;" as "&amp;F44&amp;" FROM "&amp;C44&amp;" WHERE "&amp;Instruções!$D$20&amp;") A ",
"(SELECT "&amp;VLOOKUP(B44,Instruções!$F$13:$J$17,4,0)&amp;" as "&amp;VLOOKUP(B44,Instruções!$F$13:$J$17,4,0)&amp;"_"&amp;$F$2&amp;", "&amp;VLOOKUP(B44,Instruções!$F$13:$J$17,5,0)&amp;" as "&amp;VLOOKUP(B44,Instruções!$F$13:$J$17,5,0)&amp;"_"&amp;$F$2&amp;","&amp;E44&amp;" as "&amp;F44&amp;" FROM "&amp;C44&amp;" WHERE "&amp;Instruções!$D$20&amp;") A ")</f>
        <v xml:space="preserve">(SELECT entty_id as entty_id_, entty_nm as entty_nm_as_is FROM cd_loan_tapes_bce.lt003_entity WHERE ref_date='2024-09-30' AND nome_perimetro='Individual Corporativo' AND segmento='ESTR' AND ambito='PM' AND entidade='00100' ) A </v>
      </c>
      <c r="I44" s="75" t="str">
        <f>IF(VLOOKUP(B44,Instruções!$F$13:$J$17,5,0)="",
"(SELECT "&amp;VLOOKUP(B44,Instruções!$F$13:$J$17,4,0)&amp;" as "&amp;VLOOKUP(B44,Instruções!$F$13:$J$17,4,0)&amp;"_"&amp;$G$2&amp;", "&amp;E44&amp;" as "&amp;G44&amp;" FROM "&amp;D44&amp;" WHERE "&amp;Instruções!$D$21&amp;") B ",
"(SELECT "&amp;VLOOKUP(B44,Instruções!$F$13:$J$17,4,0)&amp;" as "&amp;VLOOKUP(B44,Instruções!$F$13:$J$17,4,0)&amp;"_"&amp;$G$2&amp;", "&amp;VLOOKUP(B44,Instruções!$F$13:$J$17,5,0)&amp;" as "&amp;VLOOKUP(B44,Instruções!$F$13:$J$17,5,0)&amp;"_"&amp;$G$2&amp;","&amp;E44&amp;" as "&amp;G44&amp;" FROM "&amp;D44&amp;" WHERE "&amp;Instruções!$D$21&amp;") B ")</f>
        <v xml:space="preserve">(SELECT entty_id as entty_id_, entty_nm as entty_nm_to_be FROM bu_loantape_work.lt003_entity WHERE ref_date='2024-09-30' AND nome_perimetro='Individual Corporativo' AND segmento='ESTR' AND ambito='PM' AND entidade='00100' ) B </v>
      </c>
      <c r="J44" s="75" t="str">
        <f>+IF(VLOOKUP(B44,Instruções!$F$13:$J$17,5,0)="", "ON "&amp;VLOOKUP(B44,Instruções!$F$13:$J$17,4,0)&amp;"_"&amp;$F$7&amp;"="&amp;VLOOKUP(B44,Instruções!$F$13:$J$17,4,0)&amp;"_"&amp;$G$7&amp;" ", "ON "&amp;VLOOKUP(B44,Instruções!$F$13:$J$17,4,0)&amp;"_"&amp;$F$7&amp;"="&amp;VLOOKUP(B44,Instruções!$F$13:$J$17,4,0)&amp;"_"&amp;$G$7&amp;" AND "&amp;VLOOKUP(B44,Instruções!$F$13:$J$17,5,0)&amp;"_"&amp;$F$7&amp;"="&amp;VLOOKUP(B44,Instruções!$F$13:$J$17,5,0)&amp;"_"&amp;$G$7&amp;" ")</f>
        <v xml:space="preserve">ON entty_id_as_is=entty_id_to_be </v>
      </c>
      <c r="K44" s="75" t="str">
        <f t="shared" si="3"/>
        <v xml:space="preserve">WHERE coalesce(cast(entty_nm_as_is AS string),'')&lt;&gt;coalesce(cast(entty_nm_to_be AS string),'') </v>
      </c>
      <c r="L44" s="75" t="str">
        <f t="shared" si="4"/>
        <v xml:space="preserve">SELECT count(*) AS NUM_REG_DIF FROM (SELECT entty_id as entty_id_, entty_nm as entty_nm_as_is FROM cd_loan_tapes_bce.lt003_entity WHERE ref_date='2024-09-30' AND nome_perimetro='Individual Corporativo' AND segmento='ESTR' AND ambito='PM' AND entidade='00100' ) A  Inner join (SELECT entty_id as entty_id_, entty_nm as entty_nm_to_be FROM bu_loantape_work.lt003_entity WHERE ref_date='2024-09-30' AND nome_perimetro='Individual Corporativo' AND segmento='ESTR' AND ambito='PM' AND entidade='00100' ) B ON entty_id_as_is=entty_id_to_be WHERE coalesce(cast(entty_nm_as_is AS string),'')&lt;&gt;coalesce(cast(entty_nm_to_be AS string),'') </v>
      </c>
      <c r="M44" s="75" t="s">
        <v>55</v>
      </c>
      <c r="N44" s="75" t="str">
        <f>"SELECT 'Validação de campos' as tipologia_teste, '"&amp;VLOOKUP(B44,Instruções!$F$13:$J$17,3,0)&amp;"' AS TABELA, '"&amp;E44&amp;"' AS CAMPO, '"&amp;Instruções!$D$15&amp;"' as ref_date, coalesce(NUM_REG_DIF, 0) AS NUM_REG_DIF FROM ("&amp;L44&amp;") A "</f>
        <v xml:space="preserve">SELECT 'Validação de campos' as tipologia_teste, 'lt003_entity' AS TABELA, 'entty_nm' AS CAMPO, '2024-09-30' as ref_date, coalesce(NUM_REG_DIF, 0) AS NUM_REG_DIF FROM (SELECT count(*) AS NUM_REG_DIF FROM (SELECT entty_id as entty_id_, entty_nm as entty_nm_as_is FROM cd_loan_tapes_bce.lt003_entity WHERE ref_date='2024-09-30' AND nome_perimetro='Individual Corporativo' AND segmento='ESTR' AND ambito='PM' AND entidade='00100' ) A  Inner join (SELECT entty_id as entty_id_, entty_nm as entty_nm_to_be FROM bu_loantape_work.lt003_entity WHERE ref_date='2024-09-30' AND nome_perimetro='Individual Corporativo' AND segmento='ESTR' AND ambito='PM' AND entidade='00100' ) B ON entty_id_as_is=entty_id_to_be WHERE coalesce(cast(entty_nm_as_is AS string),'')&lt;&gt;coalesce(cast(entty_nm_to_be AS string),'') ) A </v>
      </c>
      <c r="O44" s="76" t="str">
        <f t="shared" si="2"/>
        <v>SELECT 'Validação de campos' as tipologia_teste, 'lt003_entity' AS TABELA, 'entty_nm' AS CAMPO, '2024-09-30' as ref_date, coalesce(NUM_REG_DIF, 0) AS NUM_REG_DIF FROM (SELECT count(*) AS NUM_REG_DIF FROM (SELECT entty_id as entty_id_, entty_nm as entty_nm_as_is FROM cd_loan_tapes_bce.lt003_entity WHERE ref_date='2024-09-30' AND nome_perimetro='Individual Corporativo' AND segmento='ESTR' AND ambito='PM' AND entidade='00100' ) A  Inner join (SELECT entty_id as entty_id_, entty_nm as entty_nm_to_be FROM bu_loantape_work.lt003_entity WHERE ref_date='2024-09-30' AND nome_perimetro='Individual Corporativo' AND segmento='ESTR' AND ambito='PM' AND entidade='00100' ) B ON entty_id_as_is=entty_id_to_be WHERE coalesce(cast(entty_nm_as_is AS string),'')&lt;&gt;coalesce(cast(entty_nm_to_be AS string),'') ) A Union all</v>
      </c>
      <c r="P44" s="77">
        <f t="shared" si="5"/>
        <v>36</v>
      </c>
    </row>
    <row r="45" spans="2:16" s="63" customFormat="1" ht="18" customHeight="1">
      <c r="B45" s="75" t="s">
        <v>11</v>
      </c>
      <c r="C45" s="75" t="str">
        <f>_xlfn.CONCAT(Instruções!$D$13,".",VLOOKUP(B45,Instruções!$F$12:$H$17,2,0))</f>
        <v>cd_loan_tapes_bce.lt003_entity</v>
      </c>
      <c r="D45" s="75" t="str">
        <f>_xlfn.CONCAT(Instruções!$D$14,".",VLOOKUP(B45,Instruções!$F$12:$H$17,3,0))</f>
        <v>bu_loantape_work.lt003_entity</v>
      </c>
      <c r="E45" s="75" t="s">
        <v>91</v>
      </c>
      <c r="F45" s="75" t="str">
        <f t="shared" si="6"/>
        <v>eqty_as_is</v>
      </c>
      <c r="G45" s="75" t="str">
        <f t="shared" si="7"/>
        <v>eqty_to_be</v>
      </c>
      <c r="H45" s="75" t="str">
        <f>IF(VLOOKUP(B45,Instruções!$F$13:$J$17,5,0)="",
"(SELECT "&amp;VLOOKUP(B45,Instruções!$F$13:$J$17,4,0)&amp;" as "&amp;VLOOKUP(B45,Instruções!$F$13:$J$17,4,0)&amp;"_"&amp;$F$2&amp;", "&amp;E45&amp;" as "&amp;F45&amp;" FROM "&amp;C45&amp;" WHERE "&amp;Instruções!$D$20&amp;") A ",
"(SELECT "&amp;VLOOKUP(B45,Instruções!$F$13:$J$17,4,0)&amp;" as "&amp;VLOOKUP(B45,Instruções!$F$13:$J$17,4,0)&amp;"_"&amp;$F$2&amp;", "&amp;VLOOKUP(B45,Instruções!$F$13:$J$17,5,0)&amp;" as "&amp;VLOOKUP(B45,Instruções!$F$13:$J$17,5,0)&amp;"_"&amp;$F$2&amp;","&amp;E45&amp;" as "&amp;F45&amp;" FROM "&amp;C45&amp;" WHERE "&amp;Instruções!$D$20&amp;") A ")</f>
        <v xml:space="preserve">(SELECT entty_id as entty_id_, eqty as eqty_as_is FROM cd_loan_tapes_bce.lt003_entity WHERE ref_date='2024-09-30' AND nome_perimetro='Individual Corporativo' AND segmento='ESTR' AND ambito='PM' AND entidade='00100' ) A </v>
      </c>
      <c r="I45" s="75" t="str">
        <f>IF(VLOOKUP(B45,Instruções!$F$13:$J$17,5,0)="",
"(SELECT "&amp;VLOOKUP(B45,Instruções!$F$13:$J$17,4,0)&amp;" as "&amp;VLOOKUP(B45,Instruções!$F$13:$J$17,4,0)&amp;"_"&amp;$G$2&amp;", "&amp;E45&amp;" as "&amp;G45&amp;" FROM "&amp;D45&amp;" WHERE "&amp;Instruções!$D$21&amp;") B ",
"(SELECT "&amp;VLOOKUP(B45,Instruções!$F$13:$J$17,4,0)&amp;" as "&amp;VLOOKUP(B45,Instruções!$F$13:$J$17,4,0)&amp;"_"&amp;$G$2&amp;", "&amp;VLOOKUP(B45,Instruções!$F$13:$J$17,5,0)&amp;" as "&amp;VLOOKUP(B45,Instruções!$F$13:$J$17,5,0)&amp;"_"&amp;$G$2&amp;","&amp;E45&amp;" as "&amp;G45&amp;" FROM "&amp;D45&amp;" WHERE "&amp;Instruções!$D$21&amp;") B ")</f>
        <v xml:space="preserve">(SELECT entty_id as entty_id_, eqty as eqty_to_be FROM bu_loantape_work.lt003_entity WHERE ref_date='2024-09-30' AND nome_perimetro='Individual Corporativo' AND segmento='ESTR' AND ambito='PM' AND entidade='00100' ) B </v>
      </c>
      <c r="J45" s="75" t="str">
        <f>+IF(VLOOKUP(B45,Instruções!$F$13:$J$17,5,0)="", "ON "&amp;VLOOKUP(B45,Instruções!$F$13:$J$17,4,0)&amp;"_"&amp;$F$7&amp;"="&amp;VLOOKUP(B45,Instruções!$F$13:$J$17,4,0)&amp;"_"&amp;$G$7&amp;" ", "ON "&amp;VLOOKUP(B45,Instruções!$F$13:$J$17,4,0)&amp;"_"&amp;$F$7&amp;"="&amp;VLOOKUP(B45,Instruções!$F$13:$J$17,4,0)&amp;"_"&amp;$G$7&amp;" AND "&amp;VLOOKUP(B45,Instruções!$F$13:$J$17,5,0)&amp;"_"&amp;$F$7&amp;"="&amp;VLOOKUP(B45,Instruções!$F$13:$J$17,5,0)&amp;"_"&amp;$G$7&amp;" ")</f>
        <v xml:space="preserve">ON entty_id_as_is=entty_id_to_be </v>
      </c>
      <c r="K45" s="75" t="str">
        <f t="shared" si="3"/>
        <v xml:space="preserve">WHERE coalesce(cast(eqty_as_is AS string),'')&lt;&gt;coalesce(cast(eqty_to_be AS string),'') </v>
      </c>
      <c r="L45" s="75" t="str">
        <f t="shared" si="4"/>
        <v xml:space="preserve">SELECT count(*) AS NUM_REG_DIF FROM (SELECT entty_id as entty_id_, eqty as eqty_as_is FROM cd_loan_tapes_bce.lt003_entity WHERE ref_date='2024-09-30' AND nome_perimetro='Individual Corporativo' AND segmento='ESTR' AND ambito='PM' AND entidade='00100' ) A  Inner join (SELECT entty_id as entty_id_, eqty as eqty_to_be FROM bu_loantape_work.lt003_entity WHERE ref_date='2024-09-30' AND nome_perimetro='Individual Corporativo' AND segmento='ESTR' AND ambito='PM' AND entidade='00100' ) B ON entty_id_as_is=entty_id_to_be WHERE coalesce(cast(eqty_as_is AS string),'')&lt;&gt;coalesce(cast(eqty_to_be AS string),'') </v>
      </c>
      <c r="M45" s="75" t="s">
        <v>55</v>
      </c>
      <c r="N45" s="75" t="str">
        <f>"SELECT 'Validação de campos' as tipologia_teste, '"&amp;VLOOKUP(B45,Instruções!$F$13:$J$17,3,0)&amp;"' AS TABELA, '"&amp;E45&amp;"' AS CAMPO, '"&amp;Instruções!$D$15&amp;"' as ref_date, coalesce(NUM_REG_DIF, 0) AS NUM_REG_DIF FROM ("&amp;L45&amp;") A "</f>
        <v xml:space="preserve">SELECT 'Validação de campos' as tipologia_teste, 'lt003_entity' AS TABELA, 'eqty' AS CAMPO, '2024-09-30' as ref_date, coalesce(NUM_REG_DIF, 0) AS NUM_REG_DIF FROM (SELECT count(*) AS NUM_REG_DIF FROM (SELECT entty_id as entty_id_, eqty as eqty_as_is FROM cd_loan_tapes_bce.lt003_entity WHERE ref_date='2024-09-30' AND nome_perimetro='Individual Corporativo' AND segmento='ESTR' AND ambito='PM' AND entidade='00100' ) A  Inner join (SELECT entty_id as entty_id_, eqty as eqty_to_be FROM bu_loantape_work.lt003_entity WHERE ref_date='2024-09-30' AND nome_perimetro='Individual Corporativo' AND segmento='ESTR' AND ambito='PM' AND entidade='00100' ) B ON entty_id_as_is=entty_id_to_be WHERE coalesce(cast(eqty_as_is AS string),'')&lt;&gt;coalesce(cast(eqty_to_be AS string),'') ) A </v>
      </c>
      <c r="O45" s="76" t="str">
        <f t="shared" si="2"/>
        <v>SELECT 'Validação de campos' as tipologia_teste, 'lt003_entity' AS TABELA, 'eqty' AS CAMPO, '2024-09-30' as ref_date, coalesce(NUM_REG_DIF, 0) AS NUM_REG_DIF FROM (SELECT count(*) AS NUM_REG_DIF FROM (SELECT entty_id as entty_id_, eqty as eqty_as_is FROM cd_loan_tapes_bce.lt003_entity WHERE ref_date='2024-09-30' AND nome_perimetro='Individual Corporativo' AND segmento='ESTR' AND ambito='PM' AND entidade='00100' ) A  Inner join (SELECT entty_id as entty_id_, eqty as eqty_to_be FROM bu_loantape_work.lt003_entity WHERE ref_date='2024-09-30' AND nome_perimetro='Individual Corporativo' AND segmento='ESTR' AND ambito='PM' AND entidade='00100' ) B ON entty_id_as_is=entty_id_to_be WHERE coalesce(cast(eqty_as_is AS string),'')&lt;&gt;coalesce(cast(eqty_to_be AS string),'') ) A Union all</v>
      </c>
      <c r="P45" s="77">
        <f t="shared" si="5"/>
        <v>37</v>
      </c>
    </row>
    <row r="46" spans="2:16" s="63" customFormat="1" ht="18" customHeight="1">
      <c r="B46" s="75" t="s">
        <v>11</v>
      </c>
      <c r="C46" s="75" t="str">
        <f>_xlfn.CONCAT(Instruções!$D$13,".",VLOOKUP(B46,Instruções!$F$12:$H$17,2,0))</f>
        <v>cd_loan_tapes_bce.lt003_entity</v>
      </c>
      <c r="D46" s="75" t="str">
        <f>_xlfn.CONCAT(Instruções!$D$14,".",VLOOKUP(B46,Instruções!$F$12:$H$17,3,0))</f>
        <v>bu_loantape_work.lt003_entity</v>
      </c>
      <c r="E46" s="75" t="s">
        <v>92</v>
      </c>
      <c r="F46" s="75" t="str">
        <f t="shared" si="6"/>
        <v>eqty_prvs_as_is</v>
      </c>
      <c r="G46" s="75" t="str">
        <f t="shared" si="7"/>
        <v>eqty_prvs_to_be</v>
      </c>
      <c r="H46" s="75" t="str">
        <f>IF(VLOOKUP(B46,Instruções!$F$13:$J$17,5,0)="",
"(SELECT "&amp;VLOOKUP(B46,Instruções!$F$13:$J$17,4,0)&amp;" as "&amp;VLOOKUP(B46,Instruções!$F$13:$J$17,4,0)&amp;"_"&amp;$F$2&amp;", "&amp;E46&amp;" as "&amp;F46&amp;" FROM "&amp;C46&amp;" WHERE "&amp;Instruções!$D$20&amp;") A ",
"(SELECT "&amp;VLOOKUP(B46,Instruções!$F$13:$J$17,4,0)&amp;" as "&amp;VLOOKUP(B46,Instruções!$F$13:$J$17,4,0)&amp;"_"&amp;$F$2&amp;", "&amp;VLOOKUP(B46,Instruções!$F$13:$J$17,5,0)&amp;" as "&amp;VLOOKUP(B46,Instruções!$F$13:$J$17,5,0)&amp;"_"&amp;$F$2&amp;","&amp;E46&amp;" as "&amp;F46&amp;" FROM "&amp;C46&amp;" WHERE "&amp;Instruções!$D$20&amp;") A ")</f>
        <v xml:space="preserve">(SELECT entty_id as entty_id_, eqty_prvs as eqty_prvs_as_is FROM cd_loan_tapes_bce.lt003_entity WHERE ref_date='2024-09-30' AND nome_perimetro='Individual Corporativo' AND segmento='ESTR' AND ambito='PM' AND entidade='00100' ) A </v>
      </c>
      <c r="I46" s="75" t="str">
        <f>IF(VLOOKUP(B46,Instruções!$F$13:$J$17,5,0)="",
"(SELECT "&amp;VLOOKUP(B46,Instruções!$F$13:$J$17,4,0)&amp;" as "&amp;VLOOKUP(B46,Instruções!$F$13:$J$17,4,0)&amp;"_"&amp;$G$2&amp;", "&amp;E46&amp;" as "&amp;G46&amp;" FROM "&amp;D46&amp;" WHERE "&amp;Instruções!$D$21&amp;") B ",
"(SELECT "&amp;VLOOKUP(B46,Instruções!$F$13:$J$17,4,0)&amp;" as "&amp;VLOOKUP(B46,Instruções!$F$13:$J$17,4,0)&amp;"_"&amp;$G$2&amp;", "&amp;VLOOKUP(B46,Instruções!$F$13:$J$17,5,0)&amp;" as "&amp;VLOOKUP(B46,Instruções!$F$13:$J$17,5,0)&amp;"_"&amp;$G$2&amp;","&amp;E46&amp;" as "&amp;G46&amp;" FROM "&amp;D46&amp;" WHERE "&amp;Instruções!$D$21&amp;") B ")</f>
        <v xml:space="preserve">(SELECT entty_id as entty_id_, eqty_prvs as eqty_prvs_to_be FROM bu_loantape_work.lt003_entity WHERE ref_date='2024-09-30' AND nome_perimetro='Individual Corporativo' AND segmento='ESTR' AND ambito='PM' AND entidade='00100' ) B </v>
      </c>
      <c r="J46" s="75" t="str">
        <f>+IF(VLOOKUP(B46,Instruções!$F$13:$J$17,5,0)="", "ON "&amp;VLOOKUP(B46,Instruções!$F$13:$J$17,4,0)&amp;"_"&amp;$F$7&amp;"="&amp;VLOOKUP(B46,Instruções!$F$13:$J$17,4,0)&amp;"_"&amp;$G$7&amp;" ", "ON "&amp;VLOOKUP(B46,Instruções!$F$13:$J$17,4,0)&amp;"_"&amp;$F$7&amp;"="&amp;VLOOKUP(B46,Instruções!$F$13:$J$17,4,0)&amp;"_"&amp;$G$7&amp;" AND "&amp;VLOOKUP(B46,Instruções!$F$13:$J$17,5,0)&amp;"_"&amp;$F$7&amp;"="&amp;VLOOKUP(B46,Instruções!$F$13:$J$17,5,0)&amp;"_"&amp;$G$7&amp;" ")</f>
        <v xml:space="preserve">ON entty_id_as_is=entty_id_to_be </v>
      </c>
      <c r="K46" s="75" t="str">
        <f t="shared" si="3"/>
        <v xml:space="preserve">WHERE coalesce(cast(eqty_prvs_as_is AS string),'')&lt;&gt;coalesce(cast(eqty_prvs_to_be AS string),'') </v>
      </c>
      <c r="L46" s="75" t="str">
        <f t="shared" si="4"/>
        <v xml:space="preserve">SELECT count(*) AS NUM_REG_DIF FROM (SELECT entty_id as entty_id_, eqty_prvs as eqty_prvs_as_is FROM cd_loan_tapes_bce.lt003_entity WHERE ref_date='2024-09-30' AND nome_perimetro='Individual Corporativo' AND segmento='ESTR' AND ambito='PM' AND entidade='00100' ) A  Inner join (SELECT entty_id as entty_id_, eqty_prvs as eqty_prvs_to_be FROM bu_loantape_work.lt003_entity WHERE ref_date='2024-09-30' AND nome_perimetro='Individual Corporativo' AND segmento='ESTR' AND ambito='PM' AND entidade='00100' ) B ON entty_id_as_is=entty_id_to_be WHERE coalesce(cast(eqty_prvs_as_is AS string),'')&lt;&gt;coalesce(cast(eqty_prvs_to_be AS string),'') </v>
      </c>
      <c r="M46" s="75" t="s">
        <v>55</v>
      </c>
      <c r="N46" s="75" t="str">
        <f>"SELECT 'Validação de campos' as tipologia_teste, '"&amp;VLOOKUP(B46,Instruções!$F$13:$J$17,3,0)&amp;"' AS TABELA, '"&amp;E46&amp;"' AS CAMPO, '"&amp;Instruções!$D$15&amp;"' as ref_date, coalesce(NUM_REG_DIF, 0) AS NUM_REG_DIF FROM ("&amp;L46&amp;") A "</f>
        <v xml:space="preserve">SELECT 'Validação de campos' as tipologia_teste, 'lt003_entity' AS TABELA, 'eqty_prvs' AS CAMPO, '2024-09-30' as ref_date, coalesce(NUM_REG_DIF, 0) AS NUM_REG_DIF FROM (SELECT count(*) AS NUM_REG_DIF FROM (SELECT entty_id as entty_id_, eqty_prvs as eqty_prvs_as_is FROM cd_loan_tapes_bce.lt003_entity WHERE ref_date='2024-09-30' AND nome_perimetro='Individual Corporativo' AND segmento='ESTR' AND ambito='PM' AND entidade='00100' ) A  Inner join (SELECT entty_id as entty_id_, eqty_prvs as eqty_prvs_to_be FROM bu_loantape_work.lt003_entity WHERE ref_date='2024-09-30' AND nome_perimetro='Individual Corporativo' AND segmento='ESTR' AND ambito='PM' AND entidade='00100' ) B ON entty_id_as_is=entty_id_to_be WHERE coalesce(cast(eqty_prvs_as_is AS string),'')&lt;&gt;coalesce(cast(eqty_prvs_to_be AS string),'') ) A </v>
      </c>
      <c r="O46" s="76" t="str">
        <f t="shared" si="2"/>
        <v>SELECT 'Validação de campos' as tipologia_teste, 'lt003_entity' AS TABELA, 'eqty_prvs' AS CAMPO, '2024-09-30' as ref_date, coalesce(NUM_REG_DIF, 0) AS NUM_REG_DIF FROM (SELECT count(*) AS NUM_REG_DIF FROM (SELECT entty_id as entty_id_, eqty_prvs as eqty_prvs_as_is FROM cd_loan_tapes_bce.lt003_entity WHERE ref_date='2024-09-30' AND nome_perimetro='Individual Corporativo' AND segmento='ESTR' AND ambito='PM' AND entidade='00100' ) A  Inner join (SELECT entty_id as entty_id_, eqty_prvs as eqty_prvs_to_be FROM bu_loantape_work.lt003_entity WHERE ref_date='2024-09-30' AND nome_perimetro='Individual Corporativo' AND segmento='ESTR' AND ambito='PM' AND entidade='00100' ) B ON entty_id_as_is=entty_id_to_be WHERE coalesce(cast(eqty_prvs_as_is AS string),'')&lt;&gt;coalesce(cast(eqty_prvs_to_be AS string),'') ) A Union all</v>
      </c>
      <c r="P46" s="77">
        <f t="shared" si="5"/>
        <v>38</v>
      </c>
    </row>
    <row r="47" spans="2:16" s="63" customFormat="1" ht="18" customHeight="1">
      <c r="B47" s="75" t="s">
        <v>11</v>
      </c>
      <c r="C47" s="75" t="str">
        <f>_xlfn.CONCAT(Instruções!$D$13,".",VLOOKUP(B47,Instruções!$F$12:$H$17,2,0))</f>
        <v>cd_loan_tapes_bce.lt003_entity</v>
      </c>
      <c r="D47" s="75" t="str">
        <f>_xlfn.CONCAT(Instruções!$D$14,".",VLOOKUP(B47,Instruções!$F$12:$H$17,3,0))</f>
        <v>bu_loantape_work.lt003_entity</v>
      </c>
      <c r="E47" s="75" t="s">
        <v>93</v>
      </c>
      <c r="F47" s="75" t="str">
        <f t="shared" si="6"/>
        <v>extrnl_rtng_as_is</v>
      </c>
      <c r="G47" s="75" t="str">
        <f t="shared" si="7"/>
        <v>extrnl_rtng_to_be</v>
      </c>
      <c r="H47" s="75" t="str">
        <f>IF(VLOOKUP(B47,Instruções!$F$13:$J$17,5,0)="",
"(SELECT "&amp;VLOOKUP(B47,Instruções!$F$13:$J$17,4,0)&amp;" as "&amp;VLOOKUP(B47,Instruções!$F$13:$J$17,4,0)&amp;"_"&amp;$F$2&amp;", "&amp;E47&amp;" as "&amp;F47&amp;" FROM "&amp;C47&amp;" WHERE "&amp;Instruções!$D$20&amp;") A ",
"(SELECT "&amp;VLOOKUP(B47,Instruções!$F$13:$J$17,4,0)&amp;" as "&amp;VLOOKUP(B47,Instruções!$F$13:$J$17,4,0)&amp;"_"&amp;$F$2&amp;", "&amp;VLOOKUP(B47,Instruções!$F$13:$J$17,5,0)&amp;" as "&amp;VLOOKUP(B47,Instruções!$F$13:$J$17,5,0)&amp;"_"&amp;$F$2&amp;","&amp;E47&amp;" as "&amp;F47&amp;" FROM "&amp;C47&amp;" WHERE "&amp;Instruções!$D$20&amp;") A ")</f>
        <v xml:space="preserve">(SELECT entty_id as entty_id_, extrnl_rtng as extrnl_rtng_as_is FROM cd_loan_tapes_bce.lt003_entity WHERE ref_date='2024-09-30' AND nome_perimetro='Individual Corporativo' AND segmento='ESTR' AND ambito='PM' AND entidade='00100' ) A </v>
      </c>
      <c r="I47" s="75" t="str">
        <f>IF(VLOOKUP(B47,Instruções!$F$13:$J$17,5,0)="",
"(SELECT "&amp;VLOOKUP(B47,Instruções!$F$13:$J$17,4,0)&amp;" as "&amp;VLOOKUP(B47,Instruções!$F$13:$J$17,4,0)&amp;"_"&amp;$G$2&amp;", "&amp;E47&amp;" as "&amp;G47&amp;" FROM "&amp;D47&amp;" WHERE "&amp;Instruções!$D$21&amp;") B ",
"(SELECT "&amp;VLOOKUP(B47,Instruções!$F$13:$J$17,4,0)&amp;" as "&amp;VLOOKUP(B47,Instruções!$F$13:$J$17,4,0)&amp;"_"&amp;$G$2&amp;", "&amp;VLOOKUP(B47,Instruções!$F$13:$J$17,5,0)&amp;" as "&amp;VLOOKUP(B47,Instruções!$F$13:$J$17,5,0)&amp;"_"&amp;$G$2&amp;","&amp;E47&amp;" as "&amp;G47&amp;" FROM "&amp;D47&amp;" WHERE "&amp;Instruções!$D$21&amp;") B ")</f>
        <v xml:space="preserve">(SELECT entty_id as entty_id_, extrnl_rtng as extrnl_rtng_to_be FROM bu_loantape_work.lt003_entity WHERE ref_date='2024-09-30' AND nome_perimetro='Individual Corporativo' AND segmento='ESTR' AND ambito='PM' AND entidade='00100' ) B </v>
      </c>
      <c r="J47" s="75" t="str">
        <f>+IF(VLOOKUP(B47,Instruções!$F$13:$J$17,5,0)="", "ON "&amp;VLOOKUP(B47,Instruções!$F$13:$J$17,4,0)&amp;"_"&amp;$F$7&amp;"="&amp;VLOOKUP(B47,Instruções!$F$13:$J$17,4,0)&amp;"_"&amp;$G$7&amp;" ", "ON "&amp;VLOOKUP(B47,Instruções!$F$13:$J$17,4,0)&amp;"_"&amp;$F$7&amp;"="&amp;VLOOKUP(B47,Instruções!$F$13:$J$17,4,0)&amp;"_"&amp;$G$7&amp;" AND "&amp;VLOOKUP(B47,Instruções!$F$13:$J$17,5,0)&amp;"_"&amp;$F$7&amp;"="&amp;VLOOKUP(B47,Instruções!$F$13:$J$17,5,0)&amp;"_"&amp;$G$7&amp;" ")</f>
        <v xml:space="preserve">ON entty_id_as_is=entty_id_to_be </v>
      </c>
      <c r="K47" s="75" t="str">
        <f t="shared" si="3"/>
        <v xml:space="preserve">WHERE coalesce(cast(extrnl_rtng_as_is AS string),'')&lt;&gt;coalesce(cast(extrnl_rtng_to_be AS string),'') </v>
      </c>
      <c r="L47" s="75" t="str">
        <f t="shared" si="4"/>
        <v xml:space="preserve">SELECT count(*) AS NUM_REG_DIF FROM (SELECT entty_id as entty_id_, extrnl_rtng as extrnl_rtng_as_is FROM cd_loan_tapes_bce.lt003_entity WHERE ref_date='2024-09-30' AND nome_perimetro='Individual Corporativo' AND segmento='ESTR' AND ambito='PM' AND entidade='00100' ) A  Inner join (SELECT entty_id as entty_id_, extrnl_rtng as extrnl_rtng_to_be FROM bu_loantape_work.lt003_entity WHERE ref_date='2024-09-30' AND nome_perimetro='Individual Corporativo' AND segmento='ESTR' AND ambito='PM' AND entidade='00100' ) B ON entty_id_as_is=entty_id_to_be WHERE coalesce(cast(extrnl_rtng_as_is AS string),'')&lt;&gt;coalesce(cast(extrnl_rtng_to_be AS string),'') </v>
      </c>
      <c r="M47" s="75" t="s">
        <v>55</v>
      </c>
      <c r="N47" s="75" t="str">
        <f>"SELECT 'Validação de campos' as tipologia_teste, '"&amp;VLOOKUP(B47,Instruções!$F$13:$J$17,3,0)&amp;"' AS TABELA, '"&amp;E47&amp;"' AS CAMPO, '"&amp;Instruções!$D$15&amp;"' as ref_date, coalesce(NUM_REG_DIF, 0) AS NUM_REG_DIF FROM ("&amp;L47&amp;") A "</f>
        <v xml:space="preserve">SELECT 'Validação de campos' as tipologia_teste, 'lt003_entity' AS TABELA, 'extrnl_rtng' AS CAMPO, '2024-09-30' as ref_date, coalesce(NUM_REG_DIF, 0) AS NUM_REG_DIF FROM (SELECT count(*) AS NUM_REG_DIF FROM (SELECT entty_id as entty_id_, extrnl_rtng as extrnl_rtng_as_is FROM cd_loan_tapes_bce.lt003_entity WHERE ref_date='2024-09-30' AND nome_perimetro='Individual Corporativo' AND segmento='ESTR' AND ambito='PM' AND entidade='00100' ) A  Inner join (SELECT entty_id as entty_id_, extrnl_rtng as extrnl_rtng_to_be FROM bu_loantape_work.lt003_entity WHERE ref_date='2024-09-30' AND nome_perimetro='Individual Corporativo' AND segmento='ESTR' AND ambito='PM' AND entidade='00100' ) B ON entty_id_as_is=entty_id_to_be WHERE coalesce(cast(extrnl_rtng_as_is AS string),'')&lt;&gt;coalesce(cast(extrnl_rtng_to_be AS string),'') ) A </v>
      </c>
      <c r="O47" s="76" t="str">
        <f t="shared" si="2"/>
        <v>SELECT 'Validação de campos' as tipologia_teste, 'lt003_entity' AS TABELA, 'extrnl_rtng' AS CAMPO, '2024-09-30' as ref_date, coalesce(NUM_REG_DIF, 0) AS NUM_REG_DIF FROM (SELECT count(*) AS NUM_REG_DIF FROM (SELECT entty_id as entty_id_, extrnl_rtng as extrnl_rtng_as_is FROM cd_loan_tapes_bce.lt003_entity WHERE ref_date='2024-09-30' AND nome_perimetro='Individual Corporativo' AND segmento='ESTR' AND ambito='PM' AND entidade='00100' ) A  Inner join (SELECT entty_id as entty_id_, extrnl_rtng as extrnl_rtng_to_be FROM bu_loantape_work.lt003_entity WHERE ref_date='2024-09-30' AND nome_perimetro='Individual Corporativo' AND segmento='ESTR' AND ambito='PM' AND entidade='00100' ) B ON entty_id_as_is=entty_id_to_be WHERE coalesce(cast(extrnl_rtng_as_is AS string),'')&lt;&gt;coalesce(cast(extrnl_rtng_to_be AS string),'') ) A Union all</v>
      </c>
      <c r="P47" s="77">
        <f t="shared" si="5"/>
        <v>39</v>
      </c>
    </row>
    <row r="48" spans="2:16" s="63" customFormat="1" ht="18" customHeight="1">
      <c r="B48" s="75" t="s">
        <v>11</v>
      </c>
      <c r="C48" s="75" t="str">
        <f>_xlfn.CONCAT(Instruções!$D$13,".",VLOOKUP(B48,Instruções!$F$12:$H$17,2,0))</f>
        <v>cd_loan_tapes_bce.lt003_entity</v>
      </c>
      <c r="D48" s="75" t="str">
        <f>_xlfn.CONCAT(Instruções!$D$14,".",VLOOKUP(B48,Instruções!$F$12:$H$17,3,0))</f>
        <v>bu_loantape_work.lt003_entity</v>
      </c>
      <c r="E48" s="75" t="s">
        <v>94</v>
      </c>
      <c r="F48" s="75" t="str">
        <f t="shared" si="6"/>
        <v>extrnl_rtng_nm_as_is</v>
      </c>
      <c r="G48" s="75" t="str">
        <f t="shared" si="7"/>
        <v>extrnl_rtng_nm_to_be</v>
      </c>
      <c r="H48" s="75" t="str">
        <f>IF(VLOOKUP(B48,Instruções!$F$13:$J$17,5,0)="",
"(SELECT "&amp;VLOOKUP(B48,Instruções!$F$13:$J$17,4,0)&amp;" as "&amp;VLOOKUP(B48,Instruções!$F$13:$J$17,4,0)&amp;"_"&amp;$F$2&amp;", "&amp;E48&amp;" as "&amp;F48&amp;" FROM "&amp;C48&amp;" WHERE "&amp;Instruções!$D$20&amp;") A ",
"(SELECT "&amp;VLOOKUP(B48,Instruções!$F$13:$J$17,4,0)&amp;" as "&amp;VLOOKUP(B48,Instruções!$F$13:$J$17,4,0)&amp;"_"&amp;$F$2&amp;", "&amp;VLOOKUP(B48,Instruções!$F$13:$J$17,5,0)&amp;" as "&amp;VLOOKUP(B48,Instruções!$F$13:$J$17,5,0)&amp;"_"&amp;$F$2&amp;","&amp;E48&amp;" as "&amp;F48&amp;" FROM "&amp;C48&amp;" WHERE "&amp;Instruções!$D$20&amp;") A ")</f>
        <v xml:space="preserve">(SELECT entty_id as entty_id_, extrnl_rtng_nm as extrnl_rtng_nm_as_is FROM cd_loan_tapes_bce.lt003_entity WHERE ref_date='2024-09-30' AND nome_perimetro='Individual Corporativo' AND segmento='ESTR' AND ambito='PM' AND entidade='00100' ) A </v>
      </c>
      <c r="I48" s="75" t="str">
        <f>IF(VLOOKUP(B48,Instruções!$F$13:$J$17,5,0)="",
"(SELECT "&amp;VLOOKUP(B48,Instruções!$F$13:$J$17,4,0)&amp;" as "&amp;VLOOKUP(B48,Instruções!$F$13:$J$17,4,0)&amp;"_"&amp;$G$2&amp;", "&amp;E48&amp;" as "&amp;G48&amp;" FROM "&amp;D48&amp;" WHERE "&amp;Instruções!$D$21&amp;") B ",
"(SELECT "&amp;VLOOKUP(B48,Instruções!$F$13:$J$17,4,0)&amp;" as "&amp;VLOOKUP(B48,Instruções!$F$13:$J$17,4,0)&amp;"_"&amp;$G$2&amp;", "&amp;VLOOKUP(B48,Instruções!$F$13:$J$17,5,0)&amp;" as "&amp;VLOOKUP(B48,Instruções!$F$13:$J$17,5,0)&amp;"_"&amp;$G$2&amp;","&amp;E48&amp;" as "&amp;G48&amp;" FROM "&amp;D48&amp;" WHERE "&amp;Instruções!$D$21&amp;") B ")</f>
        <v xml:space="preserve">(SELECT entty_id as entty_id_, extrnl_rtng_nm as extrnl_rtng_nm_to_be FROM bu_loantape_work.lt003_entity WHERE ref_date='2024-09-30' AND nome_perimetro='Individual Corporativo' AND segmento='ESTR' AND ambito='PM' AND entidade='00100' ) B </v>
      </c>
      <c r="J48" s="75" t="str">
        <f>+IF(VLOOKUP(B48,Instruções!$F$13:$J$17,5,0)="", "ON "&amp;VLOOKUP(B48,Instruções!$F$13:$J$17,4,0)&amp;"_"&amp;$F$7&amp;"="&amp;VLOOKUP(B48,Instruções!$F$13:$J$17,4,0)&amp;"_"&amp;$G$7&amp;" ", "ON "&amp;VLOOKUP(B48,Instruções!$F$13:$J$17,4,0)&amp;"_"&amp;$F$7&amp;"="&amp;VLOOKUP(B48,Instruções!$F$13:$J$17,4,0)&amp;"_"&amp;$G$7&amp;" AND "&amp;VLOOKUP(B48,Instruções!$F$13:$J$17,5,0)&amp;"_"&amp;$F$7&amp;"="&amp;VLOOKUP(B48,Instruções!$F$13:$J$17,5,0)&amp;"_"&amp;$G$7&amp;" ")</f>
        <v xml:space="preserve">ON entty_id_as_is=entty_id_to_be </v>
      </c>
      <c r="K48" s="75" t="str">
        <f t="shared" si="3"/>
        <v xml:space="preserve">WHERE coalesce(cast(extrnl_rtng_nm_as_is AS string),'')&lt;&gt;coalesce(cast(extrnl_rtng_nm_to_be AS string),'') </v>
      </c>
      <c r="L48" s="75" t="str">
        <f t="shared" si="4"/>
        <v xml:space="preserve">SELECT count(*) AS NUM_REG_DIF FROM (SELECT entty_id as entty_id_, extrnl_rtng_nm as extrnl_rtng_nm_as_is FROM cd_loan_tapes_bce.lt003_entity WHERE ref_date='2024-09-30' AND nome_perimetro='Individual Corporativo' AND segmento='ESTR' AND ambito='PM' AND entidade='00100' ) A  Inner join (SELECT entty_id as entty_id_, extrnl_rtng_nm as extrnl_rtng_nm_to_be FROM bu_loantape_work.lt003_entity WHERE ref_date='2024-09-30' AND nome_perimetro='Individual Corporativo' AND segmento='ESTR' AND ambito='PM' AND entidade='00100' ) B ON entty_id_as_is=entty_id_to_be WHERE coalesce(cast(extrnl_rtng_nm_as_is AS string),'')&lt;&gt;coalesce(cast(extrnl_rtng_nm_to_be AS string),'') </v>
      </c>
      <c r="M48" s="75" t="s">
        <v>55</v>
      </c>
      <c r="N48" s="75" t="str">
        <f>"SELECT 'Validação de campos' as tipologia_teste, '"&amp;VLOOKUP(B48,Instruções!$F$13:$J$17,3,0)&amp;"' AS TABELA, '"&amp;E48&amp;"' AS CAMPO, '"&amp;Instruções!$D$15&amp;"' as ref_date, coalesce(NUM_REG_DIF, 0) AS NUM_REG_DIF FROM ("&amp;L48&amp;") A "</f>
        <v xml:space="preserve">SELECT 'Validação de campos' as tipologia_teste, 'lt003_entity' AS TABELA, 'extrnl_rtng_nm' AS CAMPO, '2024-09-30' as ref_date, coalesce(NUM_REG_DIF, 0) AS NUM_REG_DIF FROM (SELECT count(*) AS NUM_REG_DIF FROM (SELECT entty_id as entty_id_, extrnl_rtng_nm as extrnl_rtng_nm_as_is FROM cd_loan_tapes_bce.lt003_entity WHERE ref_date='2024-09-30' AND nome_perimetro='Individual Corporativo' AND segmento='ESTR' AND ambito='PM' AND entidade='00100' ) A  Inner join (SELECT entty_id as entty_id_, extrnl_rtng_nm as extrnl_rtng_nm_to_be FROM bu_loantape_work.lt003_entity WHERE ref_date='2024-09-30' AND nome_perimetro='Individual Corporativo' AND segmento='ESTR' AND ambito='PM' AND entidade='00100' ) B ON entty_id_as_is=entty_id_to_be WHERE coalesce(cast(extrnl_rtng_nm_as_is AS string),'')&lt;&gt;coalesce(cast(extrnl_rtng_nm_to_be AS string),'') ) A </v>
      </c>
      <c r="O48" s="76" t="str">
        <f t="shared" si="2"/>
        <v>SELECT 'Validação de campos' as tipologia_teste, 'lt003_entity' AS TABELA, 'extrnl_rtng_nm' AS CAMPO, '2024-09-30' as ref_date, coalesce(NUM_REG_DIF, 0) AS NUM_REG_DIF FROM (SELECT count(*) AS NUM_REG_DIF FROM (SELECT entty_id as entty_id_, extrnl_rtng_nm as extrnl_rtng_nm_as_is FROM cd_loan_tapes_bce.lt003_entity WHERE ref_date='2024-09-30' AND nome_perimetro='Individual Corporativo' AND segmento='ESTR' AND ambito='PM' AND entidade='00100' ) A  Inner join (SELECT entty_id as entty_id_, extrnl_rtng_nm as extrnl_rtng_nm_to_be FROM bu_loantape_work.lt003_entity WHERE ref_date='2024-09-30' AND nome_perimetro='Individual Corporativo' AND segmento='ESTR' AND ambito='PM' AND entidade='00100' ) B ON entty_id_as_is=entty_id_to_be WHERE coalesce(cast(extrnl_rtng_nm_as_is AS string),'')&lt;&gt;coalesce(cast(extrnl_rtng_nm_to_be AS string),'') ) A Union all</v>
      </c>
      <c r="P48" s="77">
        <f t="shared" si="5"/>
        <v>40</v>
      </c>
    </row>
    <row r="49" spans="2:16" s="63" customFormat="1" ht="18" customHeight="1">
      <c r="B49" s="75" t="s">
        <v>11</v>
      </c>
      <c r="C49" s="75" t="str">
        <f>_xlfn.CONCAT(Instruções!$D$13,".",VLOOKUP(B49,Instruções!$F$12:$H$17,2,0))</f>
        <v>cd_loan_tapes_bce.lt003_entity</v>
      </c>
      <c r="D49" s="75" t="str">
        <f>_xlfn.CONCAT(Instruções!$D$14,".",VLOOKUP(B49,Instruções!$F$12:$H$17,3,0))</f>
        <v>bu_loantape_work.lt003_entity</v>
      </c>
      <c r="E49" s="75" t="s">
        <v>95</v>
      </c>
      <c r="F49" s="75" t="str">
        <f t="shared" si="6"/>
        <v>extrnl_rtng_prvs_as_is</v>
      </c>
      <c r="G49" s="75" t="str">
        <f t="shared" si="7"/>
        <v>extrnl_rtng_prvs_to_be</v>
      </c>
      <c r="H49" s="75" t="str">
        <f>IF(VLOOKUP(B49,Instruções!$F$13:$J$17,5,0)="",
"(SELECT "&amp;VLOOKUP(B49,Instruções!$F$13:$J$17,4,0)&amp;" as "&amp;VLOOKUP(B49,Instruções!$F$13:$J$17,4,0)&amp;"_"&amp;$F$2&amp;", "&amp;E49&amp;" as "&amp;F49&amp;" FROM "&amp;C49&amp;" WHERE "&amp;Instruções!$D$20&amp;") A ",
"(SELECT "&amp;VLOOKUP(B49,Instruções!$F$13:$J$17,4,0)&amp;" as "&amp;VLOOKUP(B49,Instruções!$F$13:$J$17,4,0)&amp;"_"&amp;$F$2&amp;", "&amp;VLOOKUP(B49,Instruções!$F$13:$J$17,5,0)&amp;" as "&amp;VLOOKUP(B49,Instruções!$F$13:$J$17,5,0)&amp;"_"&amp;$F$2&amp;","&amp;E49&amp;" as "&amp;F49&amp;" FROM "&amp;C49&amp;" WHERE "&amp;Instruções!$D$20&amp;") A ")</f>
        <v xml:space="preserve">(SELECT entty_id as entty_id_, extrnl_rtng_prvs as extrnl_rtng_prvs_as_is FROM cd_loan_tapes_bce.lt003_entity WHERE ref_date='2024-09-30' AND nome_perimetro='Individual Corporativo' AND segmento='ESTR' AND ambito='PM' AND entidade='00100' ) A </v>
      </c>
      <c r="I49" s="75" t="str">
        <f>IF(VLOOKUP(B49,Instruções!$F$13:$J$17,5,0)="",
"(SELECT "&amp;VLOOKUP(B49,Instruções!$F$13:$J$17,4,0)&amp;" as "&amp;VLOOKUP(B49,Instruções!$F$13:$J$17,4,0)&amp;"_"&amp;$G$2&amp;", "&amp;E49&amp;" as "&amp;G49&amp;" FROM "&amp;D49&amp;" WHERE "&amp;Instruções!$D$21&amp;") B ",
"(SELECT "&amp;VLOOKUP(B49,Instruções!$F$13:$J$17,4,0)&amp;" as "&amp;VLOOKUP(B49,Instruções!$F$13:$J$17,4,0)&amp;"_"&amp;$G$2&amp;", "&amp;VLOOKUP(B49,Instruções!$F$13:$J$17,5,0)&amp;" as "&amp;VLOOKUP(B49,Instruções!$F$13:$J$17,5,0)&amp;"_"&amp;$G$2&amp;","&amp;E49&amp;" as "&amp;G49&amp;" FROM "&amp;D49&amp;" WHERE "&amp;Instruções!$D$21&amp;") B ")</f>
        <v xml:space="preserve">(SELECT entty_id as entty_id_, extrnl_rtng_prvs as extrnl_rtng_prvs_to_be FROM bu_loantape_work.lt003_entity WHERE ref_date='2024-09-30' AND nome_perimetro='Individual Corporativo' AND segmento='ESTR' AND ambito='PM' AND entidade='00100' ) B </v>
      </c>
      <c r="J49" s="75" t="str">
        <f>+IF(VLOOKUP(B49,Instruções!$F$13:$J$17,5,0)="", "ON "&amp;VLOOKUP(B49,Instruções!$F$13:$J$17,4,0)&amp;"_"&amp;$F$7&amp;"="&amp;VLOOKUP(B49,Instruções!$F$13:$J$17,4,0)&amp;"_"&amp;$G$7&amp;" ", "ON "&amp;VLOOKUP(B49,Instruções!$F$13:$J$17,4,0)&amp;"_"&amp;$F$7&amp;"="&amp;VLOOKUP(B49,Instruções!$F$13:$J$17,4,0)&amp;"_"&amp;$G$7&amp;" AND "&amp;VLOOKUP(B49,Instruções!$F$13:$J$17,5,0)&amp;"_"&amp;$F$7&amp;"="&amp;VLOOKUP(B49,Instruções!$F$13:$J$17,5,0)&amp;"_"&amp;$G$7&amp;" ")</f>
        <v xml:space="preserve">ON entty_id_as_is=entty_id_to_be </v>
      </c>
      <c r="K49" s="75" t="str">
        <f t="shared" si="3"/>
        <v xml:space="preserve">WHERE coalesce(cast(extrnl_rtng_prvs_as_is AS string),'')&lt;&gt;coalesce(cast(extrnl_rtng_prvs_to_be AS string),'') </v>
      </c>
      <c r="L49" s="75" t="str">
        <f t="shared" si="4"/>
        <v xml:space="preserve">SELECT count(*) AS NUM_REG_DIF FROM (SELECT entty_id as entty_id_, extrnl_rtng_prvs as extrnl_rtng_prvs_as_is FROM cd_loan_tapes_bce.lt003_entity WHERE ref_date='2024-09-30' AND nome_perimetro='Individual Corporativo' AND segmento='ESTR' AND ambito='PM' AND entidade='00100' ) A  Inner join (SELECT entty_id as entty_id_, extrnl_rtng_prvs as extrnl_rtng_prvs_to_be FROM bu_loantape_work.lt003_entity WHERE ref_date='2024-09-30' AND nome_perimetro='Individual Corporativo' AND segmento='ESTR' AND ambito='PM' AND entidade='00100' ) B ON entty_id_as_is=entty_id_to_be WHERE coalesce(cast(extrnl_rtng_prvs_as_is AS string),'')&lt;&gt;coalesce(cast(extrnl_rtng_prvs_to_be AS string),'') </v>
      </c>
      <c r="M49" s="75" t="s">
        <v>55</v>
      </c>
      <c r="N49" s="75" t="str">
        <f>"SELECT 'Validação de campos' as tipologia_teste, '"&amp;VLOOKUP(B49,Instruções!$F$13:$J$17,3,0)&amp;"' AS TABELA, '"&amp;E49&amp;"' AS CAMPO, '"&amp;Instruções!$D$15&amp;"' as ref_date, coalesce(NUM_REG_DIF, 0) AS NUM_REG_DIF FROM ("&amp;L49&amp;") A "</f>
        <v xml:space="preserve">SELECT 'Validação de campos' as tipologia_teste, 'lt003_entity' AS TABELA, 'extrnl_rtng_prvs' AS CAMPO, '2024-09-30' as ref_date, coalesce(NUM_REG_DIF, 0) AS NUM_REG_DIF FROM (SELECT count(*) AS NUM_REG_DIF FROM (SELECT entty_id as entty_id_, extrnl_rtng_prvs as extrnl_rtng_prvs_as_is FROM cd_loan_tapes_bce.lt003_entity WHERE ref_date='2024-09-30' AND nome_perimetro='Individual Corporativo' AND segmento='ESTR' AND ambito='PM' AND entidade='00100' ) A  Inner join (SELECT entty_id as entty_id_, extrnl_rtng_prvs as extrnl_rtng_prvs_to_be FROM bu_loantape_work.lt003_entity WHERE ref_date='2024-09-30' AND nome_perimetro='Individual Corporativo' AND segmento='ESTR' AND ambito='PM' AND entidade='00100' ) B ON entty_id_as_is=entty_id_to_be WHERE coalesce(cast(extrnl_rtng_prvs_as_is AS string),'')&lt;&gt;coalesce(cast(extrnl_rtng_prvs_to_be AS string),'') ) A </v>
      </c>
      <c r="O49" s="76" t="str">
        <f t="shared" si="2"/>
        <v>SELECT 'Validação de campos' as tipologia_teste, 'lt003_entity' AS TABELA, 'extrnl_rtng_prvs' AS CAMPO, '2024-09-30' as ref_date, coalesce(NUM_REG_DIF, 0) AS NUM_REG_DIF FROM (SELECT count(*) AS NUM_REG_DIF FROM (SELECT entty_id as entty_id_, extrnl_rtng_prvs as extrnl_rtng_prvs_as_is FROM cd_loan_tapes_bce.lt003_entity WHERE ref_date='2024-09-30' AND nome_perimetro='Individual Corporativo' AND segmento='ESTR' AND ambito='PM' AND entidade='00100' ) A  Inner join (SELECT entty_id as entty_id_, extrnl_rtng_prvs as extrnl_rtng_prvs_to_be FROM bu_loantape_work.lt003_entity WHERE ref_date='2024-09-30' AND nome_perimetro='Individual Corporativo' AND segmento='ESTR' AND ambito='PM' AND entidade='00100' ) B ON entty_id_as_is=entty_id_to_be WHERE coalesce(cast(extrnl_rtng_prvs_as_is AS string),'')&lt;&gt;coalesce(cast(extrnl_rtng_prvs_to_be AS string),'') ) A Union all</v>
      </c>
      <c r="P49" s="77">
        <f t="shared" si="5"/>
        <v>41</v>
      </c>
    </row>
    <row r="50" spans="2:16" s="63" customFormat="1" ht="18" customHeight="1">
      <c r="B50" s="75" t="s">
        <v>11</v>
      </c>
      <c r="C50" s="75" t="str">
        <f>_xlfn.CONCAT(Instruções!$D$13,".",VLOOKUP(B50,Instruções!$F$12:$H$17,2,0))</f>
        <v>cd_loan_tapes_bce.lt003_entity</v>
      </c>
      <c r="D50" s="75" t="str">
        <f>_xlfn.CONCAT(Instruções!$D$14,".",VLOOKUP(B50,Instruções!$F$12:$H$17,3,0))</f>
        <v>bu_loantape_work.lt003_entity</v>
      </c>
      <c r="E50" s="75" t="s">
        <v>96</v>
      </c>
      <c r="F50" s="75" t="str">
        <f t="shared" si="6"/>
        <v>flg_bnkrptcy_in_grp_as_is</v>
      </c>
      <c r="G50" s="75" t="str">
        <f t="shared" si="7"/>
        <v>flg_bnkrptcy_in_grp_to_be</v>
      </c>
      <c r="H50" s="75" t="str">
        <f>IF(VLOOKUP(B50,Instruções!$F$13:$J$17,5,0)="",
"(SELECT "&amp;VLOOKUP(B50,Instruções!$F$13:$J$17,4,0)&amp;" as "&amp;VLOOKUP(B50,Instruções!$F$13:$J$17,4,0)&amp;"_"&amp;$F$2&amp;", "&amp;E50&amp;" as "&amp;F50&amp;" FROM "&amp;C50&amp;" WHERE "&amp;Instruções!$D$20&amp;") A ",
"(SELECT "&amp;VLOOKUP(B50,Instruções!$F$13:$J$17,4,0)&amp;" as "&amp;VLOOKUP(B50,Instruções!$F$13:$J$17,4,0)&amp;"_"&amp;$F$2&amp;", "&amp;VLOOKUP(B50,Instruções!$F$13:$J$17,5,0)&amp;" as "&amp;VLOOKUP(B50,Instruções!$F$13:$J$17,5,0)&amp;"_"&amp;$F$2&amp;","&amp;E50&amp;" as "&amp;F50&amp;" FROM "&amp;C50&amp;" WHERE "&amp;Instruções!$D$20&amp;") A ")</f>
        <v xml:space="preserve">(SELECT entty_id as entty_id_, flg_bnkrptcy_in_grp as flg_bnkrptcy_in_grp_as_is FROM cd_loan_tapes_bce.lt003_entity WHERE ref_date='2024-09-30' AND nome_perimetro='Individual Corporativo' AND segmento='ESTR' AND ambito='PM' AND entidade='00100' ) A </v>
      </c>
      <c r="I50" s="75" t="str">
        <f>IF(VLOOKUP(B50,Instruções!$F$13:$J$17,5,0)="",
"(SELECT "&amp;VLOOKUP(B50,Instruções!$F$13:$J$17,4,0)&amp;" as "&amp;VLOOKUP(B50,Instruções!$F$13:$J$17,4,0)&amp;"_"&amp;$G$2&amp;", "&amp;E50&amp;" as "&amp;G50&amp;" FROM "&amp;D50&amp;" WHERE "&amp;Instruções!$D$21&amp;") B ",
"(SELECT "&amp;VLOOKUP(B50,Instruções!$F$13:$J$17,4,0)&amp;" as "&amp;VLOOKUP(B50,Instruções!$F$13:$J$17,4,0)&amp;"_"&amp;$G$2&amp;", "&amp;VLOOKUP(B50,Instruções!$F$13:$J$17,5,0)&amp;" as "&amp;VLOOKUP(B50,Instruções!$F$13:$J$17,5,0)&amp;"_"&amp;$G$2&amp;","&amp;E50&amp;" as "&amp;G50&amp;" FROM "&amp;D50&amp;" WHERE "&amp;Instruções!$D$21&amp;") B ")</f>
        <v xml:space="preserve">(SELECT entty_id as entty_id_, flg_bnkrptcy_in_grp as flg_bnkrptcy_in_grp_to_be FROM bu_loantape_work.lt003_entity WHERE ref_date='2024-09-30' AND nome_perimetro='Individual Corporativo' AND segmento='ESTR' AND ambito='PM' AND entidade='00100' ) B </v>
      </c>
      <c r="J50" s="75" t="str">
        <f>+IF(VLOOKUP(B50,Instruções!$F$13:$J$17,5,0)="", "ON "&amp;VLOOKUP(B50,Instruções!$F$13:$J$17,4,0)&amp;"_"&amp;$F$7&amp;"="&amp;VLOOKUP(B50,Instruções!$F$13:$J$17,4,0)&amp;"_"&amp;$G$7&amp;" ", "ON "&amp;VLOOKUP(B50,Instruções!$F$13:$J$17,4,0)&amp;"_"&amp;$F$7&amp;"="&amp;VLOOKUP(B50,Instruções!$F$13:$J$17,4,0)&amp;"_"&amp;$G$7&amp;" AND "&amp;VLOOKUP(B50,Instruções!$F$13:$J$17,5,0)&amp;"_"&amp;$F$7&amp;"="&amp;VLOOKUP(B50,Instruções!$F$13:$J$17,5,0)&amp;"_"&amp;$G$7&amp;" ")</f>
        <v xml:space="preserve">ON entty_id_as_is=entty_id_to_be </v>
      </c>
      <c r="K50" s="75" t="str">
        <f t="shared" si="3"/>
        <v xml:space="preserve">WHERE coalesce(cast(flg_bnkrptcy_in_grp_as_is AS string),'')&lt;&gt;coalesce(cast(flg_bnkrptcy_in_grp_to_be AS string),'') </v>
      </c>
      <c r="L50" s="75" t="str">
        <f t="shared" si="4"/>
        <v xml:space="preserve">SELECT count(*) AS NUM_REG_DIF FROM (SELECT entty_id as entty_id_, flg_bnkrptcy_in_grp as flg_bnkrptcy_in_grp_as_is FROM cd_loan_tapes_bce.lt003_entity WHERE ref_date='2024-09-30' AND nome_perimetro='Individual Corporativo' AND segmento='ESTR' AND ambito='PM' AND entidade='00100' ) A  Inner join (SELECT entty_id as entty_id_, flg_bnkrptcy_in_grp as flg_bnkrptcy_in_grp_to_be FROM bu_loantape_work.lt003_entity WHERE ref_date='2024-09-30' AND nome_perimetro='Individual Corporativo' AND segmento='ESTR' AND ambito='PM' AND entidade='00100' ) B ON entty_id_as_is=entty_id_to_be WHERE coalesce(cast(flg_bnkrptcy_in_grp_as_is AS string),'')&lt;&gt;coalesce(cast(flg_bnkrptcy_in_grp_to_be AS string),'') </v>
      </c>
      <c r="M50" s="75" t="s">
        <v>55</v>
      </c>
      <c r="N50" s="75" t="str">
        <f>"SELECT 'Validação de campos' as tipologia_teste, '"&amp;VLOOKUP(B50,Instruções!$F$13:$J$17,3,0)&amp;"' AS TABELA, '"&amp;E50&amp;"' AS CAMPO, '"&amp;Instruções!$D$15&amp;"' as ref_date, coalesce(NUM_REG_DIF, 0) AS NUM_REG_DIF FROM ("&amp;L50&amp;") A "</f>
        <v xml:space="preserve">SELECT 'Validação de campos' as tipologia_teste, 'lt003_entity' AS TABELA, 'flg_bnkrptcy_in_grp' AS CAMPO, '2024-09-30' as ref_date, coalesce(NUM_REG_DIF, 0) AS NUM_REG_DIF FROM (SELECT count(*) AS NUM_REG_DIF FROM (SELECT entty_id as entty_id_, flg_bnkrptcy_in_grp as flg_bnkrptcy_in_grp_as_is FROM cd_loan_tapes_bce.lt003_entity WHERE ref_date='2024-09-30' AND nome_perimetro='Individual Corporativo' AND segmento='ESTR' AND ambito='PM' AND entidade='00100' ) A  Inner join (SELECT entty_id as entty_id_, flg_bnkrptcy_in_grp as flg_bnkrptcy_in_grp_to_be FROM bu_loantape_work.lt003_entity WHERE ref_date='2024-09-30' AND nome_perimetro='Individual Corporativo' AND segmento='ESTR' AND ambito='PM' AND entidade='00100' ) B ON entty_id_as_is=entty_id_to_be WHERE coalesce(cast(flg_bnkrptcy_in_grp_as_is AS string),'')&lt;&gt;coalesce(cast(flg_bnkrptcy_in_grp_to_be AS string),'') ) A </v>
      </c>
      <c r="O50" s="76" t="str">
        <f t="shared" si="2"/>
        <v>SELECT 'Validação de campos' as tipologia_teste, 'lt003_entity' AS TABELA, 'flg_bnkrptcy_in_grp' AS CAMPO, '2024-09-30' as ref_date, coalesce(NUM_REG_DIF, 0) AS NUM_REG_DIF FROM (SELECT count(*) AS NUM_REG_DIF FROM (SELECT entty_id as entty_id_, flg_bnkrptcy_in_grp as flg_bnkrptcy_in_grp_as_is FROM cd_loan_tapes_bce.lt003_entity WHERE ref_date='2024-09-30' AND nome_perimetro='Individual Corporativo' AND segmento='ESTR' AND ambito='PM' AND entidade='00100' ) A  Inner join (SELECT entty_id as entty_id_, flg_bnkrptcy_in_grp as flg_bnkrptcy_in_grp_to_be FROM bu_loantape_work.lt003_entity WHERE ref_date='2024-09-30' AND nome_perimetro='Individual Corporativo' AND segmento='ESTR' AND ambito='PM' AND entidade='00100' ) B ON entty_id_as_is=entty_id_to_be WHERE coalesce(cast(flg_bnkrptcy_in_grp_as_is AS string),'')&lt;&gt;coalesce(cast(flg_bnkrptcy_in_grp_to_be AS string),'') ) A Union all</v>
      </c>
      <c r="P50" s="77">
        <f t="shared" si="5"/>
        <v>42</v>
      </c>
    </row>
    <row r="51" spans="2:16" s="63" customFormat="1" ht="18" customHeight="1">
      <c r="B51" s="75" t="s">
        <v>11</v>
      </c>
      <c r="C51" s="75" t="str">
        <f>_xlfn.CONCAT(Instruções!$D$13,".",VLOOKUP(B51,Instruções!$F$12:$H$17,2,0))</f>
        <v>cd_loan_tapes_bce.lt003_entity</v>
      </c>
      <c r="D51" s="75" t="str">
        <f>_xlfn.CONCAT(Instruções!$D$14,".",VLOOKUP(B51,Instruções!$F$12:$H$17,3,0))</f>
        <v>bu_loantape_work.lt003_entity</v>
      </c>
      <c r="E51" s="75" t="s">
        <v>97</v>
      </c>
      <c r="F51" s="75" t="str">
        <f t="shared" si="6"/>
        <v>flg_hgh_cds_as_is</v>
      </c>
      <c r="G51" s="75" t="str">
        <f t="shared" si="7"/>
        <v>flg_hgh_cds_to_be</v>
      </c>
      <c r="H51" s="75" t="str">
        <f>IF(VLOOKUP(B51,Instruções!$F$13:$J$17,5,0)="",
"(SELECT "&amp;VLOOKUP(B51,Instruções!$F$13:$J$17,4,0)&amp;" as "&amp;VLOOKUP(B51,Instruções!$F$13:$J$17,4,0)&amp;"_"&amp;$F$2&amp;", "&amp;E51&amp;" as "&amp;F51&amp;" FROM "&amp;C51&amp;" WHERE "&amp;Instruções!$D$20&amp;") A ",
"(SELECT "&amp;VLOOKUP(B51,Instruções!$F$13:$J$17,4,0)&amp;" as "&amp;VLOOKUP(B51,Instruções!$F$13:$J$17,4,0)&amp;"_"&amp;$F$2&amp;", "&amp;VLOOKUP(B51,Instruções!$F$13:$J$17,5,0)&amp;" as "&amp;VLOOKUP(B51,Instruções!$F$13:$J$17,5,0)&amp;"_"&amp;$F$2&amp;","&amp;E51&amp;" as "&amp;F51&amp;" FROM "&amp;C51&amp;" WHERE "&amp;Instruções!$D$20&amp;") A ")</f>
        <v xml:space="preserve">(SELECT entty_id as entty_id_, flg_hgh_cds as flg_hgh_cds_as_is FROM cd_loan_tapes_bce.lt003_entity WHERE ref_date='2024-09-30' AND nome_perimetro='Individual Corporativo' AND segmento='ESTR' AND ambito='PM' AND entidade='00100' ) A </v>
      </c>
      <c r="I51" s="75" t="str">
        <f>IF(VLOOKUP(B51,Instruções!$F$13:$J$17,5,0)="",
"(SELECT "&amp;VLOOKUP(B51,Instruções!$F$13:$J$17,4,0)&amp;" as "&amp;VLOOKUP(B51,Instruções!$F$13:$J$17,4,0)&amp;"_"&amp;$G$2&amp;", "&amp;E51&amp;" as "&amp;G51&amp;" FROM "&amp;D51&amp;" WHERE "&amp;Instruções!$D$21&amp;") B ",
"(SELECT "&amp;VLOOKUP(B51,Instruções!$F$13:$J$17,4,0)&amp;" as "&amp;VLOOKUP(B51,Instruções!$F$13:$J$17,4,0)&amp;"_"&amp;$G$2&amp;", "&amp;VLOOKUP(B51,Instruções!$F$13:$J$17,5,0)&amp;" as "&amp;VLOOKUP(B51,Instruções!$F$13:$J$17,5,0)&amp;"_"&amp;$G$2&amp;","&amp;E51&amp;" as "&amp;G51&amp;" FROM "&amp;D51&amp;" WHERE "&amp;Instruções!$D$21&amp;") B ")</f>
        <v xml:space="preserve">(SELECT entty_id as entty_id_, flg_hgh_cds as flg_hgh_cds_to_be FROM bu_loantape_work.lt003_entity WHERE ref_date='2024-09-30' AND nome_perimetro='Individual Corporativo' AND segmento='ESTR' AND ambito='PM' AND entidade='00100' ) B </v>
      </c>
      <c r="J51" s="75" t="str">
        <f>+IF(VLOOKUP(B51,Instruções!$F$13:$J$17,5,0)="", "ON "&amp;VLOOKUP(B51,Instruções!$F$13:$J$17,4,0)&amp;"_"&amp;$F$7&amp;"="&amp;VLOOKUP(B51,Instruções!$F$13:$J$17,4,0)&amp;"_"&amp;$G$7&amp;" ", "ON "&amp;VLOOKUP(B51,Instruções!$F$13:$J$17,4,0)&amp;"_"&amp;$F$7&amp;"="&amp;VLOOKUP(B51,Instruções!$F$13:$J$17,4,0)&amp;"_"&amp;$G$7&amp;" AND "&amp;VLOOKUP(B51,Instruções!$F$13:$J$17,5,0)&amp;"_"&amp;$F$7&amp;"="&amp;VLOOKUP(B51,Instruções!$F$13:$J$17,5,0)&amp;"_"&amp;$G$7&amp;" ")</f>
        <v xml:space="preserve">ON entty_id_as_is=entty_id_to_be </v>
      </c>
      <c r="K51" s="75" t="str">
        <f t="shared" si="3"/>
        <v xml:space="preserve">WHERE coalesce(cast(flg_hgh_cds_as_is AS string),'')&lt;&gt;coalesce(cast(flg_hgh_cds_to_be AS string),'') </v>
      </c>
      <c r="L51" s="75" t="str">
        <f t="shared" si="4"/>
        <v xml:space="preserve">SELECT count(*) AS NUM_REG_DIF FROM (SELECT entty_id as entty_id_, flg_hgh_cds as flg_hgh_cds_as_is FROM cd_loan_tapes_bce.lt003_entity WHERE ref_date='2024-09-30' AND nome_perimetro='Individual Corporativo' AND segmento='ESTR' AND ambito='PM' AND entidade='00100' ) A  Inner join (SELECT entty_id as entty_id_, flg_hgh_cds as flg_hgh_cds_to_be FROM bu_loantape_work.lt003_entity WHERE ref_date='2024-09-30' AND nome_perimetro='Individual Corporativo' AND segmento='ESTR' AND ambito='PM' AND entidade='00100' ) B ON entty_id_as_is=entty_id_to_be WHERE coalesce(cast(flg_hgh_cds_as_is AS string),'')&lt;&gt;coalesce(cast(flg_hgh_cds_to_be AS string),'') </v>
      </c>
      <c r="M51" s="75" t="s">
        <v>55</v>
      </c>
      <c r="N51" s="75" t="str">
        <f>"SELECT 'Validação de campos' as tipologia_teste, '"&amp;VLOOKUP(B51,Instruções!$F$13:$J$17,3,0)&amp;"' AS TABELA, '"&amp;E51&amp;"' AS CAMPO, '"&amp;Instruções!$D$15&amp;"' as ref_date, coalesce(NUM_REG_DIF, 0) AS NUM_REG_DIF FROM ("&amp;L51&amp;") A "</f>
        <v xml:space="preserve">SELECT 'Validação de campos' as tipologia_teste, 'lt003_entity' AS TABELA, 'flg_hgh_cds' AS CAMPO, '2024-09-30' as ref_date, coalesce(NUM_REG_DIF, 0) AS NUM_REG_DIF FROM (SELECT count(*) AS NUM_REG_DIF FROM (SELECT entty_id as entty_id_, flg_hgh_cds as flg_hgh_cds_as_is FROM cd_loan_tapes_bce.lt003_entity WHERE ref_date='2024-09-30' AND nome_perimetro='Individual Corporativo' AND segmento='ESTR' AND ambito='PM' AND entidade='00100' ) A  Inner join (SELECT entty_id as entty_id_, flg_hgh_cds as flg_hgh_cds_to_be FROM bu_loantape_work.lt003_entity WHERE ref_date='2024-09-30' AND nome_perimetro='Individual Corporativo' AND segmento='ESTR' AND ambito='PM' AND entidade='00100' ) B ON entty_id_as_is=entty_id_to_be WHERE coalesce(cast(flg_hgh_cds_as_is AS string),'')&lt;&gt;coalesce(cast(flg_hgh_cds_to_be AS string),'') ) A </v>
      </c>
      <c r="O51" s="76" t="str">
        <f t="shared" si="2"/>
        <v>SELECT 'Validação de campos' as tipologia_teste, 'lt003_entity' AS TABELA, 'flg_hgh_cds' AS CAMPO, '2024-09-30' as ref_date, coalesce(NUM_REG_DIF, 0) AS NUM_REG_DIF FROM (SELECT count(*) AS NUM_REG_DIF FROM (SELECT entty_id as entty_id_, flg_hgh_cds as flg_hgh_cds_as_is FROM cd_loan_tapes_bce.lt003_entity WHERE ref_date='2024-09-30' AND nome_perimetro='Individual Corporativo' AND segmento='ESTR' AND ambito='PM' AND entidade='00100' ) A  Inner join (SELECT entty_id as entty_id_, flg_hgh_cds as flg_hgh_cds_to_be FROM bu_loantape_work.lt003_entity WHERE ref_date='2024-09-30' AND nome_perimetro='Individual Corporativo' AND segmento='ESTR' AND ambito='PM' AND entidade='00100' ) B ON entty_id_as_is=entty_id_to_be WHERE coalesce(cast(flg_hgh_cds_as_is AS string),'')&lt;&gt;coalesce(cast(flg_hgh_cds_to_be AS string),'') ) A Union all</v>
      </c>
      <c r="P51" s="77">
        <f t="shared" si="5"/>
        <v>43</v>
      </c>
    </row>
    <row r="52" spans="2:16" s="63" customFormat="1" ht="18" customHeight="1">
      <c r="B52" s="75" t="s">
        <v>11</v>
      </c>
      <c r="C52" s="75" t="str">
        <f>_xlfn.CONCAT(Instruções!$D$13,".",VLOOKUP(B52,Instruções!$F$12:$H$17,2,0))</f>
        <v>cd_loan_tapes_bce.lt003_entity</v>
      </c>
      <c r="D52" s="75" t="str">
        <f>_xlfn.CONCAT(Instruções!$D$14,".",VLOOKUP(B52,Instruções!$F$12:$H$17,3,0))</f>
        <v>bu_loantape_work.lt003_entity</v>
      </c>
      <c r="E52" s="75" t="s">
        <v>98</v>
      </c>
      <c r="F52" s="75" t="str">
        <f t="shared" si="6"/>
        <v>flg_isda_crdt_evnt_as_is</v>
      </c>
      <c r="G52" s="75" t="str">
        <f t="shared" si="7"/>
        <v>flg_isda_crdt_evnt_to_be</v>
      </c>
      <c r="H52" s="75" t="str">
        <f>IF(VLOOKUP(B52,Instruções!$F$13:$J$17,5,0)="",
"(SELECT "&amp;VLOOKUP(B52,Instruções!$F$13:$J$17,4,0)&amp;" as "&amp;VLOOKUP(B52,Instruções!$F$13:$J$17,4,0)&amp;"_"&amp;$F$2&amp;", "&amp;E52&amp;" as "&amp;F52&amp;" FROM "&amp;C52&amp;" WHERE "&amp;Instruções!$D$20&amp;") A ",
"(SELECT "&amp;VLOOKUP(B52,Instruções!$F$13:$J$17,4,0)&amp;" as "&amp;VLOOKUP(B52,Instruções!$F$13:$J$17,4,0)&amp;"_"&amp;$F$2&amp;", "&amp;VLOOKUP(B52,Instruções!$F$13:$J$17,5,0)&amp;" as "&amp;VLOOKUP(B52,Instruções!$F$13:$J$17,5,0)&amp;"_"&amp;$F$2&amp;","&amp;E52&amp;" as "&amp;F52&amp;" FROM "&amp;C52&amp;" WHERE "&amp;Instruções!$D$20&amp;") A ")</f>
        <v xml:space="preserve">(SELECT entty_id as entty_id_, flg_isda_crdt_evnt as flg_isda_crdt_evnt_as_is FROM cd_loan_tapes_bce.lt003_entity WHERE ref_date='2024-09-30' AND nome_perimetro='Individual Corporativo' AND segmento='ESTR' AND ambito='PM' AND entidade='00100' ) A </v>
      </c>
      <c r="I52" s="75" t="str">
        <f>IF(VLOOKUP(B52,Instruções!$F$13:$J$17,5,0)="",
"(SELECT "&amp;VLOOKUP(B52,Instruções!$F$13:$J$17,4,0)&amp;" as "&amp;VLOOKUP(B52,Instruções!$F$13:$J$17,4,0)&amp;"_"&amp;$G$2&amp;", "&amp;E52&amp;" as "&amp;G52&amp;" FROM "&amp;D52&amp;" WHERE "&amp;Instruções!$D$21&amp;") B ",
"(SELECT "&amp;VLOOKUP(B52,Instruções!$F$13:$J$17,4,0)&amp;" as "&amp;VLOOKUP(B52,Instruções!$F$13:$J$17,4,0)&amp;"_"&amp;$G$2&amp;", "&amp;VLOOKUP(B52,Instruções!$F$13:$J$17,5,0)&amp;" as "&amp;VLOOKUP(B52,Instruções!$F$13:$J$17,5,0)&amp;"_"&amp;$G$2&amp;","&amp;E52&amp;" as "&amp;G52&amp;" FROM "&amp;D52&amp;" WHERE "&amp;Instruções!$D$21&amp;") B ")</f>
        <v xml:space="preserve">(SELECT entty_id as entty_id_, flg_isda_crdt_evnt as flg_isda_crdt_evnt_to_be FROM bu_loantape_work.lt003_entity WHERE ref_date='2024-09-30' AND nome_perimetro='Individual Corporativo' AND segmento='ESTR' AND ambito='PM' AND entidade='00100' ) B </v>
      </c>
      <c r="J52" s="75" t="str">
        <f>+IF(VLOOKUP(B52,Instruções!$F$13:$J$17,5,0)="", "ON "&amp;VLOOKUP(B52,Instruções!$F$13:$J$17,4,0)&amp;"_"&amp;$F$7&amp;"="&amp;VLOOKUP(B52,Instruções!$F$13:$J$17,4,0)&amp;"_"&amp;$G$7&amp;" ", "ON "&amp;VLOOKUP(B52,Instruções!$F$13:$J$17,4,0)&amp;"_"&amp;$F$7&amp;"="&amp;VLOOKUP(B52,Instruções!$F$13:$J$17,4,0)&amp;"_"&amp;$G$7&amp;" AND "&amp;VLOOKUP(B52,Instruções!$F$13:$J$17,5,0)&amp;"_"&amp;$F$7&amp;"="&amp;VLOOKUP(B52,Instruções!$F$13:$J$17,5,0)&amp;"_"&amp;$G$7&amp;" ")</f>
        <v xml:space="preserve">ON entty_id_as_is=entty_id_to_be </v>
      </c>
      <c r="K52" s="75" t="str">
        <f t="shared" si="3"/>
        <v xml:space="preserve">WHERE coalesce(cast(flg_isda_crdt_evnt_as_is AS string),'')&lt;&gt;coalesce(cast(flg_isda_crdt_evnt_to_be AS string),'') </v>
      </c>
      <c r="L52" s="75" t="str">
        <f t="shared" si="4"/>
        <v xml:space="preserve">SELECT count(*) AS NUM_REG_DIF FROM (SELECT entty_id as entty_id_, flg_isda_crdt_evnt as flg_isda_crdt_evnt_as_is FROM cd_loan_tapes_bce.lt003_entity WHERE ref_date='2024-09-30' AND nome_perimetro='Individual Corporativo' AND segmento='ESTR' AND ambito='PM' AND entidade='00100' ) A  Inner join (SELECT entty_id as entty_id_, flg_isda_crdt_evnt as flg_isda_crdt_evnt_to_be FROM bu_loantape_work.lt003_entity WHERE ref_date='2024-09-30' AND nome_perimetro='Individual Corporativo' AND segmento='ESTR' AND ambito='PM' AND entidade='00100' ) B ON entty_id_as_is=entty_id_to_be WHERE coalesce(cast(flg_isda_crdt_evnt_as_is AS string),'')&lt;&gt;coalesce(cast(flg_isda_crdt_evnt_to_be AS string),'') </v>
      </c>
      <c r="M52" s="75" t="s">
        <v>55</v>
      </c>
      <c r="N52" s="75" t="str">
        <f>"SELECT 'Validação de campos' as tipologia_teste, '"&amp;VLOOKUP(B52,Instruções!$F$13:$J$17,3,0)&amp;"' AS TABELA, '"&amp;E52&amp;"' AS CAMPO, '"&amp;Instruções!$D$15&amp;"' as ref_date, coalesce(NUM_REG_DIF, 0) AS NUM_REG_DIF FROM ("&amp;L52&amp;") A "</f>
        <v xml:space="preserve">SELECT 'Validação de campos' as tipologia_teste, 'lt003_entity' AS TABELA, 'flg_isda_crdt_evnt' AS CAMPO, '2024-09-30' as ref_date, coalesce(NUM_REG_DIF, 0) AS NUM_REG_DIF FROM (SELECT count(*) AS NUM_REG_DIF FROM (SELECT entty_id as entty_id_, flg_isda_crdt_evnt as flg_isda_crdt_evnt_as_is FROM cd_loan_tapes_bce.lt003_entity WHERE ref_date='2024-09-30' AND nome_perimetro='Individual Corporativo' AND segmento='ESTR' AND ambito='PM' AND entidade='00100' ) A  Inner join (SELECT entty_id as entty_id_, flg_isda_crdt_evnt as flg_isda_crdt_evnt_to_be FROM bu_loantape_work.lt003_entity WHERE ref_date='2024-09-30' AND nome_perimetro='Individual Corporativo' AND segmento='ESTR' AND ambito='PM' AND entidade='00100' ) B ON entty_id_as_is=entty_id_to_be WHERE coalesce(cast(flg_isda_crdt_evnt_as_is AS string),'')&lt;&gt;coalesce(cast(flg_isda_crdt_evnt_to_be AS string),'') ) A </v>
      </c>
      <c r="O52" s="76" t="str">
        <f t="shared" si="2"/>
        <v>SELECT 'Validação de campos' as tipologia_teste, 'lt003_entity' AS TABELA, 'flg_isda_crdt_evnt' AS CAMPO, '2024-09-30' as ref_date, coalesce(NUM_REG_DIF, 0) AS NUM_REG_DIF FROM (SELECT count(*) AS NUM_REG_DIF FROM (SELECT entty_id as entty_id_, flg_isda_crdt_evnt as flg_isda_crdt_evnt_as_is FROM cd_loan_tapes_bce.lt003_entity WHERE ref_date='2024-09-30' AND nome_perimetro='Individual Corporativo' AND segmento='ESTR' AND ambito='PM' AND entidade='00100' ) A  Inner join (SELECT entty_id as entty_id_, flg_isda_crdt_evnt as flg_isda_crdt_evnt_to_be FROM bu_loantape_work.lt003_entity WHERE ref_date='2024-09-30' AND nome_perimetro='Individual Corporativo' AND segmento='ESTR' AND ambito='PM' AND entidade='00100' ) B ON entty_id_as_is=entty_id_to_be WHERE coalesce(cast(flg_isda_crdt_evnt_as_is AS string),'')&lt;&gt;coalesce(cast(flg_isda_crdt_evnt_to_be AS string),'') ) A Union all</v>
      </c>
      <c r="P52" s="77">
        <f t="shared" si="5"/>
        <v>44</v>
      </c>
    </row>
    <row r="53" spans="2:16" s="63" customFormat="1" ht="18" customHeight="1">
      <c r="B53" s="75" t="s">
        <v>11</v>
      </c>
      <c r="C53" s="75" t="str">
        <f>_xlfn.CONCAT(Instruções!$D$13,".",VLOOKUP(B53,Instruções!$F$12:$H$17,2,0))</f>
        <v>cd_loan_tapes_bce.lt003_entity</v>
      </c>
      <c r="D53" s="75" t="str">
        <f>_xlfn.CONCAT(Instruções!$D$14,".",VLOOKUP(B53,Instruções!$F$12:$H$17,3,0))</f>
        <v>bu_loantape_work.lt003_entity</v>
      </c>
      <c r="E53" s="75" t="s">
        <v>99</v>
      </c>
      <c r="F53" s="75" t="str">
        <f t="shared" si="6"/>
        <v>flg_nn_accrl_as_is</v>
      </c>
      <c r="G53" s="75" t="str">
        <f t="shared" si="7"/>
        <v>flg_nn_accrl_to_be</v>
      </c>
      <c r="H53" s="75" t="str">
        <f>IF(VLOOKUP(B53,Instruções!$F$13:$J$17,5,0)="",
"(SELECT "&amp;VLOOKUP(B53,Instruções!$F$13:$J$17,4,0)&amp;" as "&amp;VLOOKUP(B53,Instruções!$F$13:$J$17,4,0)&amp;"_"&amp;$F$2&amp;", "&amp;E53&amp;" as "&amp;F53&amp;" FROM "&amp;C53&amp;" WHERE "&amp;Instruções!$D$20&amp;") A ",
"(SELECT "&amp;VLOOKUP(B53,Instruções!$F$13:$J$17,4,0)&amp;" as "&amp;VLOOKUP(B53,Instruções!$F$13:$J$17,4,0)&amp;"_"&amp;$F$2&amp;", "&amp;VLOOKUP(B53,Instruções!$F$13:$J$17,5,0)&amp;" as "&amp;VLOOKUP(B53,Instruções!$F$13:$J$17,5,0)&amp;"_"&amp;$F$2&amp;","&amp;E53&amp;" as "&amp;F53&amp;" FROM "&amp;C53&amp;" WHERE "&amp;Instruções!$D$20&amp;") A ")</f>
        <v xml:space="preserve">(SELECT entty_id as entty_id_, flg_nn_accrl as flg_nn_accrl_as_is FROM cd_loan_tapes_bce.lt003_entity WHERE ref_date='2024-09-30' AND nome_perimetro='Individual Corporativo' AND segmento='ESTR' AND ambito='PM' AND entidade='00100' ) A </v>
      </c>
      <c r="I53" s="75" t="str">
        <f>IF(VLOOKUP(B53,Instruções!$F$13:$J$17,5,0)="",
"(SELECT "&amp;VLOOKUP(B53,Instruções!$F$13:$J$17,4,0)&amp;" as "&amp;VLOOKUP(B53,Instruções!$F$13:$J$17,4,0)&amp;"_"&amp;$G$2&amp;", "&amp;E53&amp;" as "&amp;G53&amp;" FROM "&amp;D53&amp;" WHERE "&amp;Instruções!$D$21&amp;") B ",
"(SELECT "&amp;VLOOKUP(B53,Instruções!$F$13:$J$17,4,0)&amp;" as "&amp;VLOOKUP(B53,Instruções!$F$13:$J$17,4,0)&amp;"_"&amp;$G$2&amp;", "&amp;VLOOKUP(B53,Instruções!$F$13:$J$17,5,0)&amp;" as "&amp;VLOOKUP(B53,Instruções!$F$13:$J$17,5,0)&amp;"_"&amp;$G$2&amp;","&amp;E53&amp;" as "&amp;G53&amp;" FROM "&amp;D53&amp;" WHERE "&amp;Instruções!$D$21&amp;") B ")</f>
        <v xml:space="preserve">(SELECT entty_id as entty_id_, flg_nn_accrl as flg_nn_accrl_to_be FROM bu_loantape_work.lt003_entity WHERE ref_date='2024-09-30' AND nome_perimetro='Individual Corporativo' AND segmento='ESTR' AND ambito='PM' AND entidade='00100' ) B </v>
      </c>
      <c r="J53" s="75" t="str">
        <f>+IF(VLOOKUP(B53,Instruções!$F$13:$J$17,5,0)="", "ON "&amp;VLOOKUP(B53,Instruções!$F$13:$J$17,4,0)&amp;"_"&amp;$F$7&amp;"="&amp;VLOOKUP(B53,Instruções!$F$13:$J$17,4,0)&amp;"_"&amp;$G$7&amp;" ", "ON "&amp;VLOOKUP(B53,Instruções!$F$13:$J$17,4,0)&amp;"_"&amp;$F$7&amp;"="&amp;VLOOKUP(B53,Instruções!$F$13:$J$17,4,0)&amp;"_"&amp;$G$7&amp;" AND "&amp;VLOOKUP(B53,Instruções!$F$13:$J$17,5,0)&amp;"_"&amp;$F$7&amp;"="&amp;VLOOKUP(B53,Instruções!$F$13:$J$17,5,0)&amp;"_"&amp;$G$7&amp;" ")</f>
        <v xml:space="preserve">ON entty_id_as_is=entty_id_to_be </v>
      </c>
      <c r="K53" s="75" t="str">
        <f t="shared" si="3"/>
        <v xml:space="preserve">WHERE coalesce(cast(flg_nn_accrl_as_is AS string),'')&lt;&gt;coalesce(cast(flg_nn_accrl_to_be AS string),'') </v>
      </c>
      <c r="L53" s="75" t="str">
        <f t="shared" si="4"/>
        <v xml:space="preserve">SELECT count(*) AS NUM_REG_DIF FROM (SELECT entty_id as entty_id_, flg_nn_accrl as flg_nn_accrl_as_is FROM cd_loan_tapes_bce.lt003_entity WHERE ref_date='2024-09-30' AND nome_perimetro='Individual Corporativo' AND segmento='ESTR' AND ambito='PM' AND entidade='00100' ) A  Inner join (SELECT entty_id as entty_id_, flg_nn_accrl as flg_nn_accrl_to_be FROM bu_loantape_work.lt003_entity WHERE ref_date='2024-09-30' AND nome_perimetro='Individual Corporativo' AND segmento='ESTR' AND ambito='PM' AND entidade='00100' ) B ON entty_id_as_is=entty_id_to_be WHERE coalesce(cast(flg_nn_accrl_as_is AS string),'')&lt;&gt;coalesce(cast(flg_nn_accrl_to_be AS string),'') </v>
      </c>
      <c r="M53" s="75" t="s">
        <v>55</v>
      </c>
      <c r="N53" s="75" t="str">
        <f>"SELECT 'Validação de campos' as tipologia_teste, '"&amp;VLOOKUP(B53,Instruções!$F$13:$J$17,3,0)&amp;"' AS TABELA, '"&amp;E53&amp;"' AS CAMPO, '"&amp;Instruções!$D$15&amp;"' as ref_date, coalesce(NUM_REG_DIF, 0) AS NUM_REG_DIF FROM ("&amp;L53&amp;") A "</f>
        <v xml:space="preserve">SELECT 'Validação de campos' as tipologia_teste, 'lt003_entity' AS TABELA, 'flg_nn_accrl' AS CAMPO, '2024-09-30' as ref_date, coalesce(NUM_REG_DIF, 0) AS NUM_REG_DIF FROM (SELECT count(*) AS NUM_REG_DIF FROM (SELECT entty_id as entty_id_, flg_nn_accrl as flg_nn_accrl_as_is FROM cd_loan_tapes_bce.lt003_entity WHERE ref_date='2024-09-30' AND nome_perimetro='Individual Corporativo' AND segmento='ESTR' AND ambito='PM' AND entidade='00100' ) A  Inner join (SELECT entty_id as entty_id_, flg_nn_accrl as flg_nn_accrl_to_be FROM bu_loantape_work.lt003_entity WHERE ref_date='2024-09-30' AND nome_perimetro='Individual Corporativo' AND segmento='ESTR' AND ambito='PM' AND entidade='00100' ) B ON entty_id_as_is=entty_id_to_be WHERE coalesce(cast(flg_nn_accrl_as_is AS string),'')&lt;&gt;coalesce(cast(flg_nn_accrl_to_be AS string),'') ) A </v>
      </c>
      <c r="O53" s="76" t="str">
        <f t="shared" si="2"/>
        <v>SELECT 'Validação de campos' as tipologia_teste, 'lt003_entity' AS TABELA, 'flg_nn_accrl' AS CAMPO, '2024-09-30' as ref_date, coalesce(NUM_REG_DIF, 0) AS NUM_REG_DIF FROM (SELECT count(*) AS NUM_REG_DIF FROM (SELECT entty_id as entty_id_, flg_nn_accrl as flg_nn_accrl_as_is FROM cd_loan_tapes_bce.lt003_entity WHERE ref_date='2024-09-30' AND nome_perimetro='Individual Corporativo' AND segmento='ESTR' AND ambito='PM' AND entidade='00100' ) A  Inner join (SELECT entty_id as entty_id_, flg_nn_accrl as flg_nn_accrl_to_be FROM bu_loantape_work.lt003_entity WHERE ref_date='2024-09-30' AND nome_perimetro='Individual Corporativo' AND segmento='ESTR' AND ambito='PM' AND entidade='00100' ) B ON entty_id_as_is=entty_id_to_be WHERE coalesce(cast(flg_nn_accrl_as_is AS string),'')&lt;&gt;coalesce(cast(flg_nn_accrl_to_be AS string),'') ) A Union all</v>
      </c>
      <c r="P53" s="77">
        <f t="shared" si="5"/>
        <v>45</v>
      </c>
    </row>
    <row r="54" spans="2:16" s="63" customFormat="1" ht="18" customHeight="1">
      <c r="B54" s="75" t="s">
        <v>11</v>
      </c>
      <c r="C54" s="75" t="str">
        <f>_xlfn.CONCAT(Instruções!$D$13,".",VLOOKUP(B54,Instruções!$F$12:$H$17,2,0))</f>
        <v>cd_loan_tapes_bce.lt003_entity</v>
      </c>
      <c r="D54" s="75" t="str">
        <f>_xlfn.CONCAT(Instruções!$D$14,".",VLOOKUP(B54,Instruções!$F$12:$H$17,3,0))</f>
        <v>bu_loantape_work.lt003_entity</v>
      </c>
      <c r="E54" s="75" t="s">
        <v>100</v>
      </c>
      <c r="F54" s="75" t="str">
        <f t="shared" si="6"/>
        <v>flg_rqst_bnkrptcy_as_is</v>
      </c>
      <c r="G54" s="75" t="str">
        <f t="shared" si="7"/>
        <v>flg_rqst_bnkrptcy_to_be</v>
      </c>
      <c r="H54" s="75" t="str">
        <f>IF(VLOOKUP(B54,Instruções!$F$13:$J$17,5,0)="",
"(SELECT "&amp;VLOOKUP(B54,Instruções!$F$13:$J$17,4,0)&amp;" as "&amp;VLOOKUP(B54,Instruções!$F$13:$J$17,4,0)&amp;"_"&amp;$F$2&amp;", "&amp;E54&amp;" as "&amp;F54&amp;" FROM "&amp;C54&amp;" WHERE "&amp;Instruções!$D$20&amp;") A ",
"(SELECT "&amp;VLOOKUP(B54,Instruções!$F$13:$J$17,4,0)&amp;" as "&amp;VLOOKUP(B54,Instruções!$F$13:$J$17,4,0)&amp;"_"&amp;$F$2&amp;", "&amp;VLOOKUP(B54,Instruções!$F$13:$J$17,5,0)&amp;" as "&amp;VLOOKUP(B54,Instruções!$F$13:$J$17,5,0)&amp;"_"&amp;$F$2&amp;","&amp;E54&amp;" as "&amp;F54&amp;" FROM "&amp;C54&amp;" WHERE "&amp;Instruções!$D$20&amp;") A ")</f>
        <v xml:space="preserve">(SELECT entty_id as entty_id_, flg_rqst_bnkrptcy as flg_rqst_bnkrptcy_as_is FROM cd_loan_tapes_bce.lt003_entity WHERE ref_date='2024-09-30' AND nome_perimetro='Individual Corporativo' AND segmento='ESTR' AND ambito='PM' AND entidade='00100' ) A </v>
      </c>
      <c r="I54" s="75" t="str">
        <f>IF(VLOOKUP(B54,Instruções!$F$13:$J$17,5,0)="",
"(SELECT "&amp;VLOOKUP(B54,Instruções!$F$13:$J$17,4,0)&amp;" as "&amp;VLOOKUP(B54,Instruções!$F$13:$J$17,4,0)&amp;"_"&amp;$G$2&amp;", "&amp;E54&amp;" as "&amp;G54&amp;" FROM "&amp;D54&amp;" WHERE "&amp;Instruções!$D$21&amp;") B ",
"(SELECT "&amp;VLOOKUP(B54,Instruções!$F$13:$J$17,4,0)&amp;" as "&amp;VLOOKUP(B54,Instruções!$F$13:$J$17,4,0)&amp;"_"&amp;$G$2&amp;", "&amp;VLOOKUP(B54,Instruções!$F$13:$J$17,5,0)&amp;" as "&amp;VLOOKUP(B54,Instruções!$F$13:$J$17,5,0)&amp;"_"&amp;$G$2&amp;","&amp;E54&amp;" as "&amp;G54&amp;" FROM "&amp;D54&amp;" WHERE "&amp;Instruções!$D$21&amp;") B ")</f>
        <v xml:space="preserve">(SELECT entty_id as entty_id_, flg_rqst_bnkrptcy as flg_rqst_bnkrptcy_to_be FROM bu_loantape_work.lt003_entity WHERE ref_date='2024-09-30' AND nome_perimetro='Individual Corporativo' AND segmento='ESTR' AND ambito='PM' AND entidade='00100' ) B </v>
      </c>
      <c r="J54" s="75" t="str">
        <f>+IF(VLOOKUP(B54,Instruções!$F$13:$J$17,5,0)="", "ON "&amp;VLOOKUP(B54,Instruções!$F$13:$J$17,4,0)&amp;"_"&amp;$F$7&amp;"="&amp;VLOOKUP(B54,Instruções!$F$13:$J$17,4,0)&amp;"_"&amp;$G$7&amp;" ", "ON "&amp;VLOOKUP(B54,Instruções!$F$13:$J$17,4,0)&amp;"_"&amp;$F$7&amp;"="&amp;VLOOKUP(B54,Instruções!$F$13:$J$17,4,0)&amp;"_"&amp;$G$7&amp;" AND "&amp;VLOOKUP(B54,Instruções!$F$13:$J$17,5,0)&amp;"_"&amp;$F$7&amp;"="&amp;VLOOKUP(B54,Instruções!$F$13:$J$17,5,0)&amp;"_"&amp;$G$7&amp;" ")</f>
        <v xml:space="preserve">ON entty_id_as_is=entty_id_to_be </v>
      </c>
      <c r="K54" s="75" t="str">
        <f t="shared" si="3"/>
        <v xml:space="preserve">WHERE coalesce(cast(flg_rqst_bnkrptcy_as_is AS string),'')&lt;&gt;coalesce(cast(flg_rqst_bnkrptcy_to_be AS string),'') </v>
      </c>
      <c r="L54" s="75" t="str">
        <f t="shared" si="4"/>
        <v xml:space="preserve">SELECT count(*) AS NUM_REG_DIF FROM (SELECT entty_id as entty_id_, flg_rqst_bnkrptcy as flg_rqst_bnkrptcy_as_is FROM cd_loan_tapes_bce.lt003_entity WHERE ref_date='2024-09-30' AND nome_perimetro='Individual Corporativo' AND segmento='ESTR' AND ambito='PM' AND entidade='00100' ) A  Inner join (SELECT entty_id as entty_id_, flg_rqst_bnkrptcy as flg_rqst_bnkrptcy_to_be FROM bu_loantape_work.lt003_entity WHERE ref_date='2024-09-30' AND nome_perimetro='Individual Corporativo' AND segmento='ESTR' AND ambito='PM' AND entidade='00100' ) B ON entty_id_as_is=entty_id_to_be WHERE coalesce(cast(flg_rqst_bnkrptcy_as_is AS string),'')&lt;&gt;coalesce(cast(flg_rqst_bnkrptcy_to_be AS string),'') </v>
      </c>
      <c r="M54" s="75" t="s">
        <v>55</v>
      </c>
      <c r="N54" s="75" t="str">
        <f>"SELECT 'Validação de campos' as tipologia_teste, '"&amp;VLOOKUP(B54,Instruções!$F$13:$J$17,3,0)&amp;"' AS TABELA, '"&amp;E54&amp;"' AS CAMPO, '"&amp;Instruções!$D$15&amp;"' as ref_date, coalesce(NUM_REG_DIF, 0) AS NUM_REG_DIF FROM ("&amp;L54&amp;") A "</f>
        <v xml:space="preserve">SELECT 'Validação de campos' as tipologia_teste, 'lt003_entity' AS TABELA, 'flg_rqst_bnkrptcy' AS CAMPO, '2024-09-30' as ref_date, coalesce(NUM_REG_DIF, 0) AS NUM_REG_DIF FROM (SELECT count(*) AS NUM_REG_DIF FROM (SELECT entty_id as entty_id_, flg_rqst_bnkrptcy as flg_rqst_bnkrptcy_as_is FROM cd_loan_tapes_bce.lt003_entity WHERE ref_date='2024-09-30' AND nome_perimetro='Individual Corporativo' AND segmento='ESTR' AND ambito='PM' AND entidade='00100' ) A  Inner join (SELECT entty_id as entty_id_, flg_rqst_bnkrptcy as flg_rqst_bnkrptcy_to_be FROM bu_loantape_work.lt003_entity WHERE ref_date='2024-09-30' AND nome_perimetro='Individual Corporativo' AND segmento='ESTR' AND ambito='PM' AND entidade='00100' ) B ON entty_id_as_is=entty_id_to_be WHERE coalesce(cast(flg_rqst_bnkrptcy_as_is AS string),'')&lt;&gt;coalesce(cast(flg_rqst_bnkrptcy_to_be AS string),'') ) A </v>
      </c>
      <c r="O54" s="76" t="str">
        <f t="shared" si="2"/>
        <v>SELECT 'Validação de campos' as tipologia_teste, 'lt003_entity' AS TABELA, 'flg_rqst_bnkrptcy' AS CAMPO, '2024-09-30' as ref_date, coalesce(NUM_REG_DIF, 0) AS NUM_REG_DIF FROM (SELECT count(*) AS NUM_REG_DIF FROM (SELECT entty_id as entty_id_, flg_rqst_bnkrptcy as flg_rqst_bnkrptcy_as_is FROM cd_loan_tapes_bce.lt003_entity WHERE ref_date='2024-09-30' AND nome_perimetro='Individual Corporativo' AND segmento='ESTR' AND ambito='PM' AND entidade='00100' ) A  Inner join (SELECT entty_id as entty_id_, flg_rqst_bnkrptcy as flg_rqst_bnkrptcy_to_be FROM bu_loantape_work.lt003_entity WHERE ref_date='2024-09-30' AND nome_perimetro='Individual Corporativo' AND segmento='ESTR' AND ambito='PM' AND entidade='00100' ) B ON entty_id_as_is=entty_id_to_be WHERE coalesce(cast(flg_rqst_bnkrptcy_as_is AS string),'')&lt;&gt;coalesce(cast(flg_rqst_bnkrptcy_to_be AS string),'') ) A Union all</v>
      </c>
      <c r="P54" s="77">
        <f t="shared" si="5"/>
        <v>46</v>
      </c>
    </row>
    <row r="55" spans="2:16" s="63" customFormat="1" ht="18" customHeight="1">
      <c r="B55" s="75" t="s">
        <v>11</v>
      </c>
      <c r="C55" s="75" t="str">
        <f>_xlfn.CONCAT(Instruções!$D$13,".",VLOOKUP(B55,Instruções!$F$12:$H$17,2,0))</f>
        <v>cd_loan_tapes_bce.lt003_entity</v>
      </c>
      <c r="D55" s="75" t="str">
        <f>_xlfn.CONCAT(Instruções!$D$14,".",VLOOKUP(B55,Instruções!$F$12:$H$17,3,0))</f>
        <v>bu_loantape_work.lt003_entity</v>
      </c>
      <c r="E55" s="75" t="s">
        <v>101</v>
      </c>
      <c r="F55" s="75" t="str">
        <f t="shared" si="6"/>
        <v>flg_rqst_dstrssd_rstrctrng_as_is</v>
      </c>
      <c r="G55" s="75" t="str">
        <f t="shared" si="7"/>
        <v>flg_rqst_dstrssd_rstrctrng_to_be</v>
      </c>
      <c r="H55" s="75" t="str">
        <f>IF(VLOOKUP(B55,Instruções!$F$13:$J$17,5,0)="",
"(SELECT "&amp;VLOOKUP(B55,Instruções!$F$13:$J$17,4,0)&amp;" as "&amp;VLOOKUP(B55,Instruções!$F$13:$J$17,4,0)&amp;"_"&amp;$F$2&amp;", "&amp;E55&amp;" as "&amp;F55&amp;" FROM "&amp;C55&amp;" WHERE "&amp;Instruções!$D$20&amp;") A ",
"(SELECT "&amp;VLOOKUP(B55,Instruções!$F$13:$J$17,4,0)&amp;" as "&amp;VLOOKUP(B55,Instruções!$F$13:$J$17,4,0)&amp;"_"&amp;$F$2&amp;", "&amp;VLOOKUP(B55,Instruções!$F$13:$J$17,5,0)&amp;" as "&amp;VLOOKUP(B55,Instruções!$F$13:$J$17,5,0)&amp;"_"&amp;$F$2&amp;","&amp;E55&amp;" as "&amp;F55&amp;" FROM "&amp;C55&amp;" WHERE "&amp;Instruções!$D$20&amp;") A ")</f>
        <v xml:space="preserve">(SELECT entty_id as entty_id_, flg_rqst_dstrssd_rstrctrng as flg_rqst_dstrssd_rstrctrng_as_is FROM cd_loan_tapes_bce.lt003_entity WHERE ref_date='2024-09-30' AND nome_perimetro='Individual Corporativo' AND segmento='ESTR' AND ambito='PM' AND entidade='00100' ) A </v>
      </c>
      <c r="I55" s="75" t="str">
        <f>IF(VLOOKUP(B55,Instruções!$F$13:$J$17,5,0)="",
"(SELECT "&amp;VLOOKUP(B55,Instruções!$F$13:$J$17,4,0)&amp;" as "&amp;VLOOKUP(B55,Instruções!$F$13:$J$17,4,0)&amp;"_"&amp;$G$2&amp;", "&amp;E55&amp;" as "&amp;G55&amp;" FROM "&amp;D55&amp;" WHERE "&amp;Instruções!$D$21&amp;") B ",
"(SELECT "&amp;VLOOKUP(B55,Instruções!$F$13:$J$17,4,0)&amp;" as "&amp;VLOOKUP(B55,Instruções!$F$13:$J$17,4,0)&amp;"_"&amp;$G$2&amp;", "&amp;VLOOKUP(B55,Instruções!$F$13:$J$17,5,0)&amp;" as "&amp;VLOOKUP(B55,Instruções!$F$13:$J$17,5,0)&amp;"_"&amp;$G$2&amp;","&amp;E55&amp;" as "&amp;G55&amp;" FROM "&amp;D55&amp;" WHERE "&amp;Instruções!$D$21&amp;") B ")</f>
        <v xml:space="preserve">(SELECT entty_id as entty_id_, flg_rqst_dstrssd_rstrctrng as flg_rqst_dstrssd_rstrctrng_to_be FROM bu_loantape_work.lt003_entity WHERE ref_date='2024-09-30' AND nome_perimetro='Individual Corporativo' AND segmento='ESTR' AND ambito='PM' AND entidade='00100' ) B </v>
      </c>
      <c r="J55" s="75" t="str">
        <f>+IF(VLOOKUP(B55,Instruções!$F$13:$J$17,5,0)="", "ON "&amp;VLOOKUP(B55,Instruções!$F$13:$J$17,4,0)&amp;"_"&amp;$F$7&amp;"="&amp;VLOOKUP(B55,Instruções!$F$13:$J$17,4,0)&amp;"_"&amp;$G$7&amp;" ", "ON "&amp;VLOOKUP(B55,Instruções!$F$13:$J$17,4,0)&amp;"_"&amp;$F$7&amp;"="&amp;VLOOKUP(B55,Instruções!$F$13:$J$17,4,0)&amp;"_"&amp;$G$7&amp;" AND "&amp;VLOOKUP(B55,Instruções!$F$13:$J$17,5,0)&amp;"_"&amp;$F$7&amp;"="&amp;VLOOKUP(B55,Instruções!$F$13:$J$17,5,0)&amp;"_"&amp;$G$7&amp;" ")</f>
        <v xml:space="preserve">ON entty_id_as_is=entty_id_to_be </v>
      </c>
      <c r="K55" s="75" t="str">
        <f t="shared" si="3"/>
        <v xml:space="preserve">WHERE coalesce(cast(flg_rqst_dstrssd_rstrctrng_as_is AS string),'')&lt;&gt;coalesce(cast(flg_rqst_dstrssd_rstrctrng_to_be AS string),'') </v>
      </c>
      <c r="L55" s="75" t="str">
        <f t="shared" si="4"/>
        <v xml:space="preserve">SELECT count(*) AS NUM_REG_DIF FROM (SELECT entty_id as entty_id_, flg_rqst_dstrssd_rstrctrng as flg_rqst_dstrssd_rstrctrng_as_is FROM cd_loan_tapes_bce.lt003_entity WHERE ref_date='2024-09-30' AND nome_perimetro='Individual Corporativo' AND segmento='ESTR' AND ambito='PM' AND entidade='00100' ) A  Inner join (SELECT entty_id as entty_id_, flg_rqst_dstrssd_rstrctrng as flg_rqst_dstrssd_rstrctrng_to_be FROM bu_loantape_work.lt003_entity WHERE ref_date='2024-09-30' AND nome_perimetro='Individual Corporativo' AND segmento='ESTR' AND ambito='PM' AND entidade='00100' ) B ON entty_id_as_is=entty_id_to_be WHERE coalesce(cast(flg_rqst_dstrssd_rstrctrng_as_is AS string),'')&lt;&gt;coalesce(cast(flg_rqst_dstrssd_rstrctrng_to_be AS string),'') </v>
      </c>
      <c r="M55" s="75" t="s">
        <v>55</v>
      </c>
      <c r="N55" s="75" t="str">
        <f>"SELECT 'Validação de campos' as tipologia_teste, '"&amp;VLOOKUP(B55,Instruções!$F$13:$J$17,3,0)&amp;"' AS TABELA, '"&amp;E55&amp;"' AS CAMPO, '"&amp;Instruções!$D$15&amp;"' as ref_date, coalesce(NUM_REG_DIF, 0) AS NUM_REG_DIF FROM ("&amp;L55&amp;") A "</f>
        <v xml:space="preserve">SELECT 'Validação de campos' as tipologia_teste, 'lt003_entity' AS TABELA, 'flg_rqst_dstrssd_rstrctrng' AS CAMPO, '2024-09-30' as ref_date, coalesce(NUM_REG_DIF, 0) AS NUM_REG_DIF FROM (SELECT count(*) AS NUM_REG_DIF FROM (SELECT entty_id as entty_id_, flg_rqst_dstrssd_rstrctrng as flg_rqst_dstrssd_rstrctrng_as_is FROM cd_loan_tapes_bce.lt003_entity WHERE ref_date='2024-09-30' AND nome_perimetro='Individual Corporativo' AND segmento='ESTR' AND ambito='PM' AND entidade='00100' ) A  Inner join (SELECT entty_id as entty_id_, flg_rqst_dstrssd_rstrctrng as flg_rqst_dstrssd_rstrctrng_to_be FROM bu_loantape_work.lt003_entity WHERE ref_date='2024-09-30' AND nome_perimetro='Individual Corporativo' AND segmento='ESTR' AND ambito='PM' AND entidade='00100' ) B ON entty_id_as_is=entty_id_to_be WHERE coalesce(cast(flg_rqst_dstrssd_rstrctrng_as_is AS string),'')&lt;&gt;coalesce(cast(flg_rqst_dstrssd_rstrctrng_to_be AS string),'') ) A </v>
      </c>
      <c r="O55" s="76" t="str">
        <f t="shared" si="2"/>
        <v>SELECT 'Validação de campos' as tipologia_teste, 'lt003_entity' AS TABELA, 'flg_rqst_dstrssd_rstrctrng' AS CAMPO, '2024-09-30' as ref_date, coalesce(NUM_REG_DIF, 0) AS NUM_REG_DIF FROM (SELECT count(*) AS NUM_REG_DIF FROM (SELECT entty_id as entty_id_, flg_rqst_dstrssd_rstrctrng as flg_rqst_dstrssd_rstrctrng_as_is FROM cd_loan_tapes_bce.lt003_entity WHERE ref_date='2024-09-30' AND nome_perimetro='Individual Corporativo' AND segmento='ESTR' AND ambito='PM' AND entidade='00100' ) A  Inner join (SELECT entty_id as entty_id_, flg_rqst_dstrssd_rstrctrng as flg_rqst_dstrssd_rstrctrng_to_be FROM bu_loantape_work.lt003_entity WHERE ref_date='2024-09-30' AND nome_perimetro='Individual Corporativo' AND segmento='ESTR' AND ambito='PM' AND entidade='00100' ) B ON entty_id_as_is=entty_id_to_be WHERE coalesce(cast(flg_rqst_dstrssd_rstrctrng_as_is AS string),'')&lt;&gt;coalesce(cast(flg_rqst_dstrssd_rstrctrng_to_be AS string),'') ) A Union all</v>
      </c>
      <c r="P55" s="77">
        <f t="shared" si="5"/>
        <v>47</v>
      </c>
    </row>
    <row r="56" spans="2:16" s="63" customFormat="1" ht="18" customHeight="1">
      <c r="B56" s="75" t="s">
        <v>11</v>
      </c>
      <c r="C56" s="75" t="str">
        <f>_xlfn.CONCAT(Instruções!$D$13,".",VLOOKUP(B56,Instruções!$F$12:$H$17,2,0))</f>
        <v>cd_loan_tapes_bce.lt003_entity</v>
      </c>
      <c r="D56" s="75" t="str">
        <f>_xlfn.CONCAT(Instruções!$D$14,".",VLOOKUP(B56,Instruções!$F$12:$H$17,3,0))</f>
        <v>bu_loantape_work.lt003_entity</v>
      </c>
      <c r="E56" s="75" t="s">
        <v>102</v>
      </c>
      <c r="F56" s="75" t="str">
        <f t="shared" si="6"/>
        <v>flg_rqst_emrgncy_fndng_as_is</v>
      </c>
      <c r="G56" s="75" t="str">
        <f t="shared" si="7"/>
        <v>flg_rqst_emrgncy_fndng_to_be</v>
      </c>
      <c r="H56" s="75" t="str">
        <f>IF(VLOOKUP(B56,Instruções!$F$13:$J$17,5,0)="",
"(SELECT "&amp;VLOOKUP(B56,Instruções!$F$13:$J$17,4,0)&amp;" as "&amp;VLOOKUP(B56,Instruções!$F$13:$J$17,4,0)&amp;"_"&amp;$F$2&amp;", "&amp;E56&amp;" as "&amp;F56&amp;" FROM "&amp;C56&amp;" WHERE "&amp;Instruções!$D$20&amp;") A ",
"(SELECT "&amp;VLOOKUP(B56,Instruções!$F$13:$J$17,4,0)&amp;" as "&amp;VLOOKUP(B56,Instruções!$F$13:$J$17,4,0)&amp;"_"&amp;$F$2&amp;", "&amp;VLOOKUP(B56,Instruções!$F$13:$J$17,5,0)&amp;" as "&amp;VLOOKUP(B56,Instruções!$F$13:$J$17,5,0)&amp;"_"&amp;$F$2&amp;","&amp;E56&amp;" as "&amp;F56&amp;" FROM "&amp;C56&amp;" WHERE "&amp;Instruções!$D$20&amp;") A ")</f>
        <v xml:space="preserve">(SELECT entty_id as entty_id_, flg_rqst_emrgncy_fndng as flg_rqst_emrgncy_fndng_as_is FROM cd_loan_tapes_bce.lt003_entity WHERE ref_date='2024-09-30' AND nome_perimetro='Individual Corporativo' AND segmento='ESTR' AND ambito='PM' AND entidade='00100' ) A </v>
      </c>
      <c r="I56" s="75" t="str">
        <f>IF(VLOOKUP(B56,Instruções!$F$13:$J$17,5,0)="",
"(SELECT "&amp;VLOOKUP(B56,Instruções!$F$13:$J$17,4,0)&amp;" as "&amp;VLOOKUP(B56,Instruções!$F$13:$J$17,4,0)&amp;"_"&amp;$G$2&amp;", "&amp;E56&amp;" as "&amp;G56&amp;" FROM "&amp;D56&amp;" WHERE "&amp;Instruções!$D$21&amp;") B ",
"(SELECT "&amp;VLOOKUP(B56,Instruções!$F$13:$J$17,4,0)&amp;" as "&amp;VLOOKUP(B56,Instruções!$F$13:$J$17,4,0)&amp;"_"&amp;$G$2&amp;", "&amp;VLOOKUP(B56,Instruções!$F$13:$J$17,5,0)&amp;" as "&amp;VLOOKUP(B56,Instruções!$F$13:$J$17,5,0)&amp;"_"&amp;$G$2&amp;","&amp;E56&amp;" as "&amp;G56&amp;" FROM "&amp;D56&amp;" WHERE "&amp;Instruções!$D$21&amp;") B ")</f>
        <v xml:space="preserve">(SELECT entty_id as entty_id_, flg_rqst_emrgncy_fndng as flg_rqst_emrgncy_fndng_to_be FROM bu_loantape_work.lt003_entity WHERE ref_date='2024-09-30' AND nome_perimetro='Individual Corporativo' AND segmento='ESTR' AND ambito='PM' AND entidade='00100' ) B </v>
      </c>
      <c r="J56" s="75" t="str">
        <f>+IF(VLOOKUP(B56,Instruções!$F$13:$J$17,5,0)="", "ON "&amp;VLOOKUP(B56,Instruções!$F$13:$J$17,4,0)&amp;"_"&amp;$F$7&amp;"="&amp;VLOOKUP(B56,Instruções!$F$13:$J$17,4,0)&amp;"_"&amp;$G$7&amp;" ", "ON "&amp;VLOOKUP(B56,Instruções!$F$13:$J$17,4,0)&amp;"_"&amp;$F$7&amp;"="&amp;VLOOKUP(B56,Instruções!$F$13:$J$17,4,0)&amp;"_"&amp;$G$7&amp;" AND "&amp;VLOOKUP(B56,Instruções!$F$13:$J$17,5,0)&amp;"_"&amp;$F$7&amp;"="&amp;VLOOKUP(B56,Instruções!$F$13:$J$17,5,0)&amp;"_"&amp;$G$7&amp;" ")</f>
        <v xml:space="preserve">ON entty_id_as_is=entty_id_to_be </v>
      </c>
      <c r="K56" s="75" t="str">
        <f t="shared" si="3"/>
        <v xml:space="preserve">WHERE coalesce(cast(flg_rqst_emrgncy_fndng_as_is AS string),'')&lt;&gt;coalesce(cast(flg_rqst_emrgncy_fndng_to_be AS string),'') </v>
      </c>
      <c r="L56" s="75" t="str">
        <f t="shared" si="4"/>
        <v xml:space="preserve">SELECT count(*) AS NUM_REG_DIF FROM (SELECT entty_id as entty_id_, flg_rqst_emrgncy_fndng as flg_rqst_emrgncy_fndng_as_is FROM cd_loan_tapes_bce.lt003_entity WHERE ref_date='2024-09-30' AND nome_perimetro='Individual Corporativo' AND segmento='ESTR' AND ambito='PM' AND entidade='00100' ) A  Inner join (SELECT entty_id as entty_id_, flg_rqst_emrgncy_fndng as flg_rqst_emrgncy_fndng_to_be FROM bu_loantape_work.lt003_entity WHERE ref_date='2024-09-30' AND nome_perimetro='Individual Corporativo' AND segmento='ESTR' AND ambito='PM' AND entidade='00100' ) B ON entty_id_as_is=entty_id_to_be WHERE coalesce(cast(flg_rqst_emrgncy_fndng_as_is AS string),'')&lt;&gt;coalesce(cast(flg_rqst_emrgncy_fndng_to_be AS string),'') </v>
      </c>
      <c r="M56" s="75" t="s">
        <v>55</v>
      </c>
      <c r="N56" s="75" t="str">
        <f>"SELECT 'Validação de campos' as tipologia_teste, '"&amp;VLOOKUP(B56,Instruções!$F$13:$J$17,3,0)&amp;"' AS TABELA, '"&amp;E56&amp;"' AS CAMPO, '"&amp;Instruções!$D$15&amp;"' as ref_date, coalesce(NUM_REG_DIF, 0) AS NUM_REG_DIF FROM ("&amp;L56&amp;") A "</f>
        <v xml:space="preserve">SELECT 'Validação de campos' as tipologia_teste, 'lt003_entity' AS TABELA, 'flg_rqst_emrgncy_fndng' AS CAMPO, '2024-09-30' as ref_date, coalesce(NUM_REG_DIF, 0) AS NUM_REG_DIF FROM (SELECT count(*) AS NUM_REG_DIF FROM (SELECT entty_id as entty_id_, flg_rqst_emrgncy_fndng as flg_rqst_emrgncy_fndng_as_is FROM cd_loan_tapes_bce.lt003_entity WHERE ref_date='2024-09-30' AND nome_perimetro='Individual Corporativo' AND segmento='ESTR' AND ambito='PM' AND entidade='00100' ) A  Inner join (SELECT entty_id as entty_id_, flg_rqst_emrgncy_fndng as flg_rqst_emrgncy_fndng_to_be FROM bu_loantape_work.lt003_entity WHERE ref_date='2024-09-30' AND nome_perimetro='Individual Corporativo' AND segmento='ESTR' AND ambito='PM' AND entidade='00100' ) B ON entty_id_as_is=entty_id_to_be WHERE coalesce(cast(flg_rqst_emrgncy_fndng_as_is AS string),'')&lt;&gt;coalesce(cast(flg_rqst_emrgncy_fndng_to_be AS string),'') ) A </v>
      </c>
      <c r="O56" s="76" t="str">
        <f t="shared" si="2"/>
        <v>SELECT 'Validação de campos' as tipologia_teste, 'lt003_entity' AS TABELA, 'flg_rqst_emrgncy_fndng' AS CAMPO, '2024-09-30' as ref_date, coalesce(NUM_REG_DIF, 0) AS NUM_REG_DIF FROM (SELECT count(*) AS NUM_REG_DIF FROM (SELECT entty_id as entty_id_, flg_rqst_emrgncy_fndng as flg_rqst_emrgncy_fndng_as_is FROM cd_loan_tapes_bce.lt003_entity WHERE ref_date='2024-09-30' AND nome_perimetro='Individual Corporativo' AND segmento='ESTR' AND ambito='PM' AND entidade='00100' ) A  Inner join (SELECT entty_id as entty_id_, flg_rqst_emrgncy_fndng as flg_rqst_emrgncy_fndng_to_be FROM bu_loantape_work.lt003_entity WHERE ref_date='2024-09-30' AND nome_perimetro='Individual Corporativo' AND segmento='ESTR' AND ambito='PM' AND entidade='00100' ) B ON entty_id_as_is=entty_id_to_be WHERE coalesce(cast(flg_rqst_emrgncy_fndng_as_is AS string),'')&lt;&gt;coalesce(cast(flg_rqst_emrgncy_fndng_to_be AS string),'') ) A Union all</v>
      </c>
      <c r="P56" s="77">
        <f t="shared" si="5"/>
        <v>48</v>
      </c>
    </row>
    <row r="57" spans="2:16" s="63" customFormat="1" ht="18" customHeight="1">
      <c r="B57" s="75" t="s">
        <v>11</v>
      </c>
      <c r="C57" s="75" t="str">
        <f>_xlfn.CONCAT(Instruções!$D$13,".",VLOOKUP(B57,Instruções!$F$12:$H$17,2,0))</f>
        <v>cd_loan_tapes_bce.lt003_entity</v>
      </c>
      <c r="D57" s="75" t="str">
        <f>_xlfn.CONCAT(Instruções!$D$14,".",VLOOKUP(B57,Instruções!$F$12:$H$17,3,0))</f>
        <v>bu_loantape_work.lt003_entity</v>
      </c>
      <c r="E57" s="75" t="s">
        <v>103</v>
      </c>
      <c r="F57" s="75" t="str">
        <f t="shared" si="6"/>
        <v>flg_sll_wth_lss_as_is</v>
      </c>
      <c r="G57" s="75" t="str">
        <f t="shared" si="7"/>
        <v>flg_sll_wth_lss_to_be</v>
      </c>
      <c r="H57" s="75" t="str">
        <f>IF(VLOOKUP(B57,Instruções!$F$13:$J$17,5,0)="",
"(SELECT "&amp;VLOOKUP(B57,Instruções!$F$13:$J$17,4,0)&amp;" as "&amp;VLOOKUP(B57,Instruções!$F$13:$J$17,4,0)&amp;"_"&amp;$F$2&amp;", "&amp;E57&amp;" as "&amp;F57&amp;" FROM "&amp;C57&amp;" WHERE "&amp;Instruções!$D$20&amp;") A ",
"(SELECT "&amp;VLOOKUP(B57,Instruções!$F$13:$J$17,4,0)&amp;" as "&amp;VLOOKUP(B57,Instruções!$F$13:$J$17,4,0)&amp;"_"&amp;$F$2&amp;", "&amp;VLOOKUP(B57,Instruções!$F$13:$J$17,5,0)&amp;" as "&amp;VLOOKUP(B57,Instruções!$F$13:$J$17,5,0)&amp;"_"&amp;$F$2&amp;","&amp;E57&amp;" as "&amp;F57&amp;" FROM "&amp;C57&amp;" WHERE "&amp;Instruções!$D$20&amp;") A ")</f>
        <v xml:space="preserve">(SELECT entty_id as entty_id_, flg_sll_wth_lss as flg_sll_wth_lss_as_is FROM cd_loan_tapes_bce.lt003_entity WHERE ref_date='2024-09-30' AND nome_perimetro='Individual Corporativo' AND segmento='ESTR' AND ambito='PM' AND entidade='00100' ) A </v>
      </c>
      <c r="I57" s="75" t="str">
        <f>IF(VLOOKUP(B57,Instruções!$F$13:$J$17,5,0)="",
"(SELECT "&amp;VLOOKUP(B57,Instruções!$F$13:$J$17,4,0)&amp;" as "&amp;VLOOKUP(B57,Instruções!$F$13:$J$17,4,0)&amp;"_"&amp;$G$2&amp;", "&amp;E57&amp;" as "&amp;G57&amp;" FROM "&amp;D57&amp;" WHERE "&amp;Instruções!$D$21&amp;") B ",
"(SELECT "&amp;VLOOKUP(B57,Instruções!$F$13:$J$17,4,0)&amp;" as "&amp;VLOOKUP(B57,Instruções!$F$13:$J$17,4,0)&amp;"_"&amp;$G$2&amp;", "&amp;VLOOKUP(B57,Instruções!$F$13:$J$17,5,0)&amp;" as "&amp;VLOOKUP(B57,Instruções!$F$13:$J$17,5,0)&amp;"_"&amp;$G$2&amp;","&amp;E57&amp;" as "&amp;G57&amp;" FROM "&amp;D57&amp;" WHERE "&amp;Instruções!$D$21&amp;") B ")</f>
        <v xml:space="preserve">(SELECT entty_id as entty_id_, flg_sll_wth_lss as flg_sll_wth_lss_to_be FROM bu_loantape_work.lt003_entity WHERE ref_date='2024-09-30' AND nome_perimetro='Individual Corporativo' AND segmento='ESTR' AND ambito='PM' AND entidade='00100' ) B </v>
      </c>
      <c r="J57" s="75" t="str">
        <f>+IF(VLOOKUP(B57,Instruções!$F$13:$J$17,5,0)="", "ON "&amp;VLOOKUP(B57,Instruções!$F$13:$J$17,4,0)&amp;"_"&amp;$F$7&amp;"="&amp;VLOOKUP(B57,Instruções!$F$13:$J$17,4,0)&amp;"_"&amp;$G$7&amp;" ", "ON "&amp;VLOOKUP(B57,Instruções!$F$13:$J$17,4,0)&amp;"_"&amp;$F$7&amp;"="&amp;VLOOKUP(B57,Instruções!$F$13:$J$17,4,0)&amp;"_"&amp;$G$7&amp;" AND "&amp;VLOOKUP(B57,Instruções!$F$13:$J$17,5,0)&amp;"_"&amp;$F$7&amp;"="&amp;VLOOKUP(B57,Instruções!$F$13:$J$17,5,0)&amp;"_"&amp;$G$7&amp;" ")</f>
        <v xml:space="preserve">ON entty_id_as_is=entty_id_to_be </v>
      </c>
      <c r="K57" s="75" t="str">
        <f t="shared" si="3"/>
        <v xml:space="preserve">WHERE coalesce(cast(flg_sll_wth_lss_as_is AS string),'')&lt;&gt;coalesce(cast(flg_sll_wth_lss_to_be AS string),'') </v>
      </c>
      <c r="L57" s="75" t="str">
        <f t="shared" si="4"/>
        <v xml:space="preserve">SELECT count(*) AS NUM_REG_DIF FROM (SELECT entty_id as entty_id_, flg_sll_wth_lss as flg_sll_wth_lss_as_is FROM cd_loan_tapes_bce.lt003_entity WHERE ref_date='2024-09-30' AND nome_perimetro='Individual Corporativo' AND segmento='ESTR' AND ambito='PM' AND entidade='00100' ) A  Inner join (SELECT entty_id as entty_id_, flg_sll_wth_lss as flg_sll_wth_lss_to_be FROM bu_loantape_work.lt003_entity WHERE ref_date='2024-09-30' AND nome_perimetro='Individual Corporativo' AND segmento='ESTR' AND ambito='PM' AND entidade='00100' ) B ON entty_id_as_is=entty_id_to_be WHERE coalesce(cast(flg_sll_wth_lss_as_is AS string),'')&lt;&gt;coalesce(cast(flg_sll_wth_lss_to_be AS string),'') </v>
      </c>
      <c r="M57" s="75" t="s">
        <v>55</v>
      </c>
      <c r="N57" s="75" t="str">
        <f>"SELECT 'Validação de campos' as tipologia_teste, '"&amp;VLOOKUP(B57,Instruções!$F$13:$J$17,3,0)&amp;"' AS TABELA, '"&amp;E57&amp;"' AS CAMPO, '"&amp;Instruções!$D$15&amp;"' as ref_date, coalesce(NUM_REG_DIF, 0) AS NUM_REG_DIF FROM ("&amp;L57&amp;") A "</f>
        <v xml:space="preserve">SELECT 'Validação de campos' as tipologia_teste, 'lt003_entity' AS TABELA, 'flg_sll_wth_lss' AS CAMPO, '2024-09-30' as ref_date, coalesce(NUM_REG_DIF, 0) AS NUM_REG_DIF FROM (SELECT count(*) AS NUM_REG_DIF FROM (SELECT entty_id as entty_id_, flg_sll_wth_lss as flg_sll_wth_lss_as_is FROM cd_loan_tapes_bce.lt003_entity WHERE ref_date='2024-09-30' AND nome_perimetro='Individual Corporativo' AND segmento='ESTR' AND ambito='PM' AND entidade='00100' ) A  Inner join (SELECT entty_id as entty_id_, flg_sll_wth_lss as flg_sll_wth_lss_to_be FROM bu_loantape_work.lt003_entity WHERE ref_date='2024-09-30' AND nome_perimetro='Individual Corporativo' AND segmento='ESTR' AND ambito='PM' AND entidade='00100' ) B ON entty_id_as_is=entty_id_to_be WHERE coalesce(cast(flg_sll_wth_lss_as_is AS string),'')&lt;&gt;coalesce(cast(flg_sll_wth_lss_to_be AS string),'') ) A </v>
      </c>
      <c r="O57" s="76" t="str">
        <f t="shared" si="2"/>
        <v>SELECT 'Validação de campos' as tipologia_teste, 'lt003_entity' AS TABELA, 'flg_sll_wth_lss' AS CAMPO, '2024-09-30' as ref_date, coalesce(NUM_REG_DIF, 0) AS NUM_REG_DIF FROM (SELECT count(*) AS NUM_REG_DIF FROM (SELECT entty_id as entty_id_, flg_sll_wth_lss as flg_sll_wth_lss_as_is FROM cd_loan_tapes_bce.lt003_entity WHERE ref_date='2024-09-30' AND nome_perimetro='Individual Corporativo' AND segmento='ESTR' AND ambito='PM' AND entidade='00100' ) A  Inner join (SELECT entty_id as entty_id_, flg_sll_wth_lss as flg_sll_wth_lss_to_be FROM bu_loantape_work.lt003_entity WHERE ref_date='2024-09-30' AND nome_perimetro='Individual Corporativo' AND segmento='ESTR' AND ambito='PM' AND entidade='00100' ) B ON entty_id_as_is=entty_id_to_be WHERE coalesce(cast(flg_sll_wth_lss_as_is AS string),'')&lt;&gt;coalesce(cast(flg_sll_wth_lss_to_be AS string),'') ) A Union all</v>
      </c>
      <c r="P57" s="77">
        <f t="shared" si="5"/>
        <v>49</v>
      </c>
    </row>
    <row r="58" spans="2:16" s="63" customFormat="1" ht="18" customHeight="1">
      <c r="B58" s="75" t="s">
        <v>11</v>
      </c>
      <c r="C58" s="75" t="str">
        <f>_xlfn.CONCAT(Instruções!$D$13,".",VLOOKUP(B58,Instruções!$F$12:$H$17,2,0))</f>
        <v>cd_loan_tapes_bce.lt003_entity</v>
      </c>
      <c r="D58" s="75" t="str">
        <f>_xlfn.CONCAT(Instruções!$D$14,".",VLOOKUP(B58,Instruções!$F$12:$H$17,3,0))</f>
        <v>bu_loantape_work.lt003_entity</v>
      </c>
      <c r="E58" s="75" t="s">
        <v>104</v>
      </c>
      <c r="F58" s="75" t="str">
        <f t="shared" si="6"/>
        <v>flln_ang_extndd_dfntn_as_is</v>
      </c>
      <c r="G58" s="75" t="str">
        <f t="shared" si="7"/>
        <v>flln_ang_extndd_dfntn_to_be</v>
      </c>
      <c r="H58" s="75" t="str">
        <f>IF(VLOOKUP(B58,Instruções!$F$13:$J$17,5,0)="",
"(SELECT "&amp;VLOOKUP(B58,Instruções!$F$13:$J$17,4,0)&amp;" as "&amp;VLOOKUP(B58,Instruções!$F$13:$J$17,4,0)&amp;"_"&amp;$F$2&amp;", "&amp;E58&amp;" as "&amp;F58&amp;" FROM "&amp;C58&amp;" WHERE "&amp;Instruções!$D$20&amp;") A ",
"(SELECT "&amp;VLOOKUP(B58,Instruções!$F$13:$J$17,4,0)&amp;" as "&amp;VLOOKUP(B58,Instruções!$F$13:$J$17,4,0)&amp;"_"&amp;$F$2&amp;", "&amp;VLOOKUP(B58,Instruções!$F$13:$J$17,5,0)&amp;" as "&amp;VLOOKUP(B58,Instruções!$F$13:$J$17,5,0)&amp;"_"&amp;$F$2&amp;","&amp;E58&amp;" as "&amp;F58&amp;" FROM "&amp;C58&amp;" WHERE "&amp;Instruções!$D$20&amp;") A ")</f>
        <v xml:space="preserve">(SELECT entty_id as entty_id_, flln_ang_extndd_dfntn as flln_ang_extndd_dfntn_as_is FROM cd_loan_tapes_bce.lt003_entity WHERE ref_date='2024-09-30' AND nome_perimetro='Individual Corporativo' AND segmento='ESTR' AND ambito='PM' AND entidade='00100' ) A </v>
      </c>
      <c r="I58" s="75" t="str">
        <f>IF(VLOOKUP(B58,Instruções!$F$13:$J$17,5,0)="",
"(SELECT "&amp;VLOOKUP(B58,Instruções!$F$13:$J$17,4,0)&amp;" as "&amp;VLOOKUP(B58,Instruções!$F$13:$J$17,4,0)&amp;"_"&amp;$G$2&amp;", "&amp;E58&amp;" as "&amp;G58&amp;" FROM "&amp;D58&amp;" WHERE "&amp;Instruções!$D$21&amp;") B ",
"(SELECT "&amp;VLOOKUP(B58,Instruções!$F$13:$J$17,4,0)&amp;" as "&amp;VLOOKUP(B58,Instruções!$F$13:$J$17,4,0)&amp;"_"&amp;$G$2&amp;", "&amp;VLOOKUP(B58,Instruções!$F$13:$J$17,5,0)&amp;" as "&amp;VLOOKUP(B58,Instruções!$F$13:$J$17,5,0)&amp;"_"&amp;$G$2&amp;","&amp;E58&amp;" as "&amp;G58&amp;" FROM "&amp;D58&amp;" WHERE "&amp;Instruções!$D$21&amp;") B ")</f>
        <v xml:space="preserve">(SELECT entty_id as entty_id_, flln_ang_extndd_dfntn as flln_ang_extndd_dfntn_to_be FROM bu_loantape_work.lt003_entity WHERE ref_date='2024-09-30' AND nome_perimetro='Individual Corporativo' AND segmento='ESTR' AND ambito='PM' AND entidade='00100' ) B </v>
      </c>
      <c r="J58" s="75" t="str">
        <f>+IF(VLOOKUP(B58,Instruções!$F$13:$J$17,5,0)="", "ON "&amp;VLOOKUP(B58,Instruções!$F$13:$J$17,4,0)&amp;"_"&amp;$F$7&amp;"="&amp;VLOOKUP(B58,Instruções!$F$13:$J$17,4,0)&amp;"_"&amp;$G$7&amp;" ", "ON "&amp;VLOOKUP(B58,Instruções!$F$13:$J$17,4,0)&amp;"_"&amp;$F$7&amp;"="&amp;VLOOKUP(B58,Instruções!$F$13:$J$17,4,0)&amp;"_"&amp;$G$7&amp;" AND "&amp;VLOOKUP(B58,Instruções!$F$13:$J$17,5,0)&amp;"_"&amp;$F$7&amp;"="&amp;VLOOKUP(B58,Instruções!$F$13:$J$17,5,0)&amp;"_"&amp;$G$7&amp;" ")</f>
        <v xml:space="preserve">ON entty_id_as_is=entty_id_to_be </v>
      </c>
      <c r="K58" s="75" t="str">
        <f t="shared" si="3"/>
        <v xml:space="preserve">WHERE coalesce(cast(flln_ang_extndd_dfntn_as_is AS string),'')&lt;&gt;coalesce(cast(flln_ang_extndd_dfntn_to_be AS string),'') </v>
      </c>
      <c r="L58" s="75" t="str">
        <f t="shared" si="4"/>
        <v xml:space="preserve">SELECT count(*) AS NUM_REG_DIF FROM (SELECT entty_id as entty_id_, flln_ang_extndd_dfntn as flln_ang_extndd_dfntn_as_is FROM cd_loan_tapes_bce.lt003_entity WHERE ref_date='2024-09-30' AND nome_perimetro='Individual Corporativo' AND segmento='ESTR' AND ambito='PM' AND entidade='00100' ) A  Inner join (SELECT entty_id as entty_id_, flln_ang_extndd_dfntn as flln_ang_extndd_dfntn_to_be FROM bu_loantape_work.lt003_entity WHERE ref_date='2024-09-30' AND nome_perimetro='Individual Corporativo' AND segmento='ESTR' AND ambito='PM' AND entidade='00100' ) B ON entty_id_as_is=entty_id_to_be WHERE coalesce(cast(flln_ang_extndd_dfntn_as_is AS string),'')&lt;&gt;coalesce(cast(flln_ang_extndd_dfntn_to_be AS string),'') </v>
      </c>
      <c r="M58" s="75" t="s">
        <v>55</v>
      </c>
      <c r="N58" s="75" t="str">
        <f>"SELECT 'Validação de campos' as tipologia_teste, '"&amp;VLOOKUP(B58,Instruções!$F$13:$J$17,3,0)&amp;"' AS TABELA, '"&amp;E58&amp;"' AS CAMPO, '"&amp;Instruções!$D$15&amp;"' as ref_date, coalesce(NUM_REG_DIF, 0) AS NUM_REG_DIF FROM ("&amp;L58&amp;") A "</f>
        <v xml:space="preserve">SELECT 'Validação de campos' as tipologia_teste, 'lt003_entity' AS TABELA, 'flln_ang_extndd_dfntn' AS CAMPO, '2024-09-30' as ref_date, coalesce(NUM_REG_DIF, 0) AS NUM_REG_DIF FROM (SELECT count(*) AS NUM_REG_DIF FROM (SELECT entty_id as entty_id_, flln_ang_extndd_dfntn as flln_ang_extndd_dfntn_as_is FROM cd_loan_tapes_bce.lt003_entity WHERE ref_date='2024-09-30' AND nome_perimetro='Individual Corporativo' AND segmento='ESTR' AND ambito='PM' AND entidade='00100' ) A  Inner join (SELECT entty_id as entty_id_, flln_ang_extndd_dfntn as flln_ang_extndd_dfntn_to_be FROM bu_loantape_work.lt003_entity WHERE ref_date='2024-09-30' AND nome_perimetro='Individual Corporativo' AND segmento='ESTR' AND ambito='PM' AND entidade='00100' ) B ON entty_id_as_is=entty_id_to_be WHERE coalesce(cast(flln_ang_extndd_dfntn_as_is AS string),'')&lt;&gt;coalesce(cast(flln_ang_extndd_dfntn_to_be AS string),'') ) A </v>
      </c>
      <c r="O58" s="76" t="str">
        <f>IF(O59="",N58,N58&amp;$O$8)</f>
        <v xml:space="preserve">SELECT 'Validação de campos' as tipologia_teste, 'lt003_entity' AS TABELA, 'flln_ang_extndd_dfntn' AS CAMPO, '2024-09-30' as ref_date, coalesce(NUM_REG_DIF, 0) AS NUM_REG_DIF FROM (SELECT count(*) AS NUM_REG_DIF FROM (SELECT entty_id as entty_id_, flln_ang_extndd_dfntn as flln_ang_extndd_dfntn_as_is FROM cd_loan_tapes_bce.lt003_entity WHERE ref_date='2024-09-30' AND nome_perimetro='Individual Corporativo' AND segmento='ESTR' AND ambito='PM' AND entidade='00100' ) A  Inner join (SELECT entty_id as entty_id_, flln_ang_extndd_dfntn as flln_ang_extndd_dfntn_to_be FROM bu_loantape_work.lt003_entity WHERE ref_date='2024-09-30' AND nome_perimetro='Individual Corporativo' AND segmento='ESTR' AND ambito='PM' AND entidade='00100' ) B ON entty_id_as_is=entty_id_to_be WHERE coalesce(cast(flln_ang_extndd_dfntn_as_is AS string),'')&lt;&gt;coalesce(cast(flln_ang_extndd_dfntn_to_be AS string),'') ) A </v>
      </c>
      <c r="P58" s="77">
        <f t="shared" si="5"/>
        <v>50</v>
      </c>
    </row>
    <row r="59" spans="2:16" s="63" customFormat="1" ht="4.9000000000000004" customHeight="1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0"/>
      <c r="P59" s="81"/>
    </row>
    <row r="60" spans="2:16" s="63" customFormat="1" ht="18" customHeight="1">
      <c r="B60" s="75" t="s">
        <v>11</v>
      </c>
      <c r="C60" s="75" t="str">
        <f>_xlfn.CONCAT(Instruções!$D$13,".",VLOOKUP(B60,Instruções!$F$12:$H$17,2,0))</f>
        <v>cd_loan_tapes_bce.lt003_entity</v>
      </c>
      <c r="D60" s="75" t="str">
        <f>_xlfn.CONCAT(Instruções!$D$14,".",VLOOKUP(B60,Instruções!$F$12:$H$17,3,0))</f>
        <v>bu_loantape_work.lt003_entity</v>
      </c>
      <c r="E60" s="75" t="s">
        <v>105</v>
      </c>
      <c r="F60" s="75" t="str">
        <f t="shared" ref="F60:F91" si="8">E60&amp;"_"&amp;$F$7</f>
        <v>flln_ang_nrrw_dfntn_as_is</v>
      </c>
      <c r="G60" s="75" t="str">
        <f t="shared" ref="G60:G91" si="9">E60&amp;"_"&amp;$G$7</f>
        <v>flln_ang_nrrw_dfntn_to_be</v>
      </c>
      <c r="H60" s="75" t="str">
        <f>IF(VLOOKUP(B60,Instruções!$F$13:$J$17,5,0)="",
"(SELECT "&amp;VLOOKUP(B60,Instruções!$F$13:$J$17,4,0)&amp;" as "&amp;VLOOKUP(B60,Instruções!$F$13:$J$17,4,0)&amp;"_"&amp;$F$2&amp;", "&amp;E60&amp;" as "&amp;F60&amp;" FROM "&amp;C60&amp;" WHERE "&amp;Instruções!$D$20&amp;") A ",
"(SELECT "&amp;VLOOKUP(B60,Instruções!$F$13:$J$17,4,0)&amp;" as "&amp;VLOOKUP(B60,Instruções!$F$13:$J$17,4,0)&amp;"_"&amp;$F$2&amp;", "&amp;VLOOKUP(B60,Instruções!$F$13:$J$17,5,0)&amp;" as "&amp;VLOOKUP(B60,Instruções!$F$13:$J$17,5,0)&amp;"_"&amp;$F$2&amp;","&amp;E60&amp;" as "&amp;F60&amp;" FROM "&amp;C60&amp;" WHERE "&amp;Instruções!$D$20&amp;") A ")</f>
        <v xml:space="preserve">(SELECT entty_id as entty_id_, flln_ang_nrrw_dfntn as flln_ang_nrrw_dfntn_as_is FROM cd_loan_tapes_bce.lt003_entity WHERE ref_date='2024-09-30' AND nome_perimetro='Individual Corporativo' AND segmento='ESTR' AND ambito='PM' AND entidade='00100' ) A </v>
      </c>
      <c r="I60" s="75" t="str">
        <f>IF(VLOOKUP(B60,Instruções!$F$13:$J$17,5,0)="",
"(SELECT "&amp;VLOOKUP(B60,Instruções!$F$13:$J$17,4,0)&amp;" as "&amp;VLOOKUP(B60,Instruções!$F$13:$J$17,4,0)&amp;"_"&amp;$G$2&amp;", "&amp;E60&amp;" as "&amp;G60&amp;" FROM "&amp;D60&amp;" WHERE "&amp;Instruções!$D$21&amp;") B ",
"(SELECT "&amp;VLOOKUP(B60,Instruções!$F$13:$J$17,4,0)&amp;" as "&amp;VLOOKUP(B60,Instruções!$F$13:$J$17,4,0)&amp;"_"&amp;$G$2&amp;", "&amp;VLOOKUP(B60,Instruções!$F$13:$J$17,5,0)&amp;" as "&amp;VLOOKUP(B60,Instruções!$F$13:$J$17,5,0)&amp;"_"&amp;$G$2&amp;","&amp;E60&amp;" as "&amp;G60&amp;" FROM "&amp;D60&amp;" WHERE "&amp;Instruções!$D$21&amp;") B ")</f>
        <v xml:space="preserve">(SELECT entty_id as entty_id_, flln_ang_nrrw_dfntn as flln_ang_nrrw_dfntn_to_be FROM bu_loantape_work.lt003_entity WHERE ref_date='2024-09-30' AND nome_perimetro='Individual Corporativo' AND segmento='ESTR' AND ambito='PM' AND entidade='00100' ) B </v>
      </c>
      <c r="J60" s="75" t="str">
        <f>+IF(VLOOKUP(B60,Instruções!$F$13:$J$17,5,0)="", "ON "&amp;VLOOKUP(B60,Instruções!$F$13:$J$17,4,0)&amp;"_"&amp;$F$7&amp;"="&amp;VLOOKUP(B60,Instruções!$F$13:$J$17,4,0)&amp;"_"&amp;$G$7&amp;" ", "ON "&amp;VLOOKUP(B60,Instruções!$F$13:$J$17,4,0)&amp;"_"&amp;$F$7&amp;"="&amp;VLOOKUP(B60,Instruções!$F$13:$J$17,4,0)&amp;"_"&amp;$G$7&amp;" AND "&amp;VLOOKUP(B60,Instruções!$F$13:$J$17,5,0)&amp;"_"&amp;$F$7&amp;"="&amp;VLOOKUP(B60,Instruções!$F$13:$J$17,5,0)&amp;"_"&amp;$G$7&amp;" ")</f>
        <v xml:space="preserve">ON entty_id_as_is=entty_id_to_be </v>
      </c>
      <c r="K60" s="75" t="str">
        <f t="shared" ref="K60:K109" si="10">"WHERE coalesce(cast("&amp;F60&amp;" AS string),'')&lt;&gt;coalesce(cast("&amp;G60&amp;" AS string),'') "</f>
        <v xml:space="preserve">WHERE coalesce(cast(flln_ang_nrrw_dfntn_as_is AS string),'')&lt;&gt;coalesce(cast(flln_ang_nrrw_dfntn_to_be AS string),'') </v>
      </c>
      <c r="L60" s="75" t="str">
        <f t="shared" ref="L60:L109" si="11">"SELECT count(*) AS NUM_REG_DIF FROM "&amp;H60&amp;" Inner join "&amp;I60&amp;J60&amp;K60</f>
        <v xml:space="preserve">SELECT count(*) AS NUM_REG_DIF FROM (SELECT entty_id as entty_id_, flln_ang_nrrw_dfntn as flln_ang_nrrw_dfntn_as_is FROM cd_loan_tapes_bce.lt003_entity WHERE ref_date='2024-09-30' AND nome_perimetro='Individual Corporativo' AND segmento='ESTR' AND ambito='PM' AND entidade='00100' ) A  Inner join (SELECT entty_id as entty_id_, flln_ang_nrrw_dfntn as flln_ang_nrrw_dfntn_to_be FROM bu_loantape_work.lt003_entity WHERE ref_date='2024-09-30' AND nome_perimetro='Individual Corporativo' AND segmento='ESTR' AND ambito='PM' AND entidade='00100' ) B ON entty_id_as_is=entty_id_to_be WHERE coalesce(cast(flln_ang_nrrw_dfntn_as_is AS string),'')&lt;&gt;coalesce(cast(flln_ang_nrrw_dfntn_to_be AS string),'') </v>
      </c>
      <c r="M60" s="75" t="s">
        <v>55</v>
      </c>
      <c r="N60" s="75" t="str">
        <f>"SELECT 'Validação de campos' as tipologia_teste, '"&amp;VLOOKUP(B60,Instruções!$F$13:$J$17,3,0)&amp;"' AS TABELA, '"&amp;E60&amp;"' AS CAMPO, '"&amp;Instruções!$D$15&amp;"' as ref_date, coalesce(NUM_REG_DIF, 0) AS NUM_REG_DIF FROM ("&amp;L60&amp;") A "</f>
        <v xml:space="preserve">SELECT 'Validação de campos' as tipologia_teste, 'lt003_entity' AS TABELA, 'flln_ang_nrrw_dfntn' AS CAMPO, '2024-09-30' as ref_date, coalesce(NUM_REG_DIF, 0) AS NUM_REG_DIF FROM (SELECT count(*) AS NUM_REG_DIF FROM (SELECT entty_id as entty_id_, flln_ang_nrrw_dfntn as flln_ang_nrrw_dfntn_as_is FROM cd_loan_tapes_bce.lt003_entity WHERE ref_date='2024-09-30' AND nome_perimetro='Individual Corporativo' AND segmento='ESTR' AND ambito='PM' AND entidade='00100' ) A  Inner join (SELECT entty_id as entty_id_, flln_ang_nrrw_dfntn as flln_ang_nrrw_dfntn_to_be FROM bu_loantape_work.lt003_entity WHERE ref_date='2024-09-30' AND nome_perimetro='Individual Corporativo' AND segmento='ESTR' AND ambito='PM' AND entidade='00100' ) B ON entty_id_as_is=entty_id_to_be WHERE coalesce(cast(flln_ang_nrrw_dfntn_as_is AS string),'')&lt;&gt;coalesce(cast(flln_ang_nrrw_dfntn_to_be AS string),'') ) A </v>
      </c>
      <c r="O60" s="76" t="str">
        <f t="shared" ref="O60:O108" si="12">IF(O61="",N60,N60&amp;$O$8)</f>
        <v>SELECT 'Validação de campos' as tipologia_teste, 'lt003_entity' AS TABELA, 'flln_ang_nrrw_dfntn' AS CAMPO, '2024-09-30' as ref_date, coalesce(NUM_REG_DIF, 0) AS NUM_REG_DIF FROM (SELECT count(*) AS NUM_REG_DIF FROM (SELECT entty_id as entty_id_, flln_ang_nrrw_dfntn as flln_ang_nrrw_dfntn_as_is FROM cd_loan_tapes_bce.lt003_entity WHERE ref_date='2024-09-30' AND nome_perimetro='Individual Corporativo' AND segmento='ESTR' AND ambito='PM' AND entidade='00100' ) A  Inner join (SELECT entty_id as entty_id_, flln_ang_nrrw_dfntn as flln_ang_nrrw_dfntn_to_be FROM bu_loantape_work.lt003_entity WHERE ref_date='2024-09-30' AND nome_perimetro='Individual Corporativo' AND segmento='ESTR' AND ambito='PM' AND entidade='00100' ) B ON entty_id_as_is=entty_id_to_be WHERE coalesce(cast(flln_ang_nrrw_dfntn_as_is AS string),'')&lt;&gt;coalesce(cast(flln_ang_nrrw_dfntn_to_be AS string),'') ) A Union all</v>
      </c>
      <c r="P60" s="75">
        <f>+P59+1</f>
        <v>1</v>
      </c>
    </row>
    <row r="61" spans="2:16" s="63" customFormat="1" ht="18" customHeight="1">
      <c r="B61" s="75" t="s">
        <v>11</v>
      </c>
      <c r="C61" s="75" t="str">
        <f>_xlfn.CONCAT(Instruções!$D$13,".",VLOOKUP(B61,Instruções!$F$12:$H$17,2,0))</f>
        <v>cd_loan_tapes_bce.lt003_entity</v>
      </c>
      <c r="D61" s="75" t="str">
        <f>_xlfn.CONCAT(Instruções!$D$14,".",VLOOKUP(B61,Instruções!$F$12:$H$17,3,0))</f>
        <v>bu_loantape_work.lt003_entity</v>
      </c>
      <c r="E61" s="75" t="s">
        <v>106</v>
      </c>
      <c r="F61" s="75" t="str">
        <f t="shared" si="8"/>
        <v>fr_csh_flw_as_is</v>
      </c>
      <c r="G61" s="75" t="str">
        <f t="shared" si="9"/>
        <v>fr_csh_flw_to_be</v>
      </c>
      <c r="H61" s="75" t="str">
        <f>IF(VLOOKUP(B61,Instruções!$F$13:$J$17,5,0)="",
"(SELECT "&amp;VLOOKUP(B61,Instruções!$F$13:$J$17,4,0)&amp;" as "&amp;VLOOKUP(B61,Instruções!$F$13:$J$17,4,0)&amp;"_"&amp;$F$2&amp;", "&amp;E61&amp;" as "&amp;F61&amp;" FROM "&amp;C61&amp;" WHERE "&amp;Instruções!$D$20&amp;") A ",
"(SELECT "&amp;VLOOKUP(B61,Instruções!$F$13:$J$17,4,0)&amp;" as "&amp;VLOOKUP(B61,Instruções!$F$13:$J$17,4,0)&amp;"_"&amp;$F$2&amp;", "&amp;VLOOKUP(B61,Instruções!$F$13:$J$17,5,0)&amp;" as "&amp;VLOOKUP(B61,Instruções!$F$13:$J$17,5,0)&amp;"_"&amp;$F$2&amp;","&amp;E61&amp;" as "&amp;F61&amp;" FROM "&amp;C61&amp;" WHERE "&amp;Instruções!$D$20&amp;") A ")</f>
        <v xml:space="preserve">(SELECT entty_id as entty_id_, fr_csh_flw as fr_csh_flw_as_is FROM cd_loan_tapes_bce.lt003_entity WHERE ref_date='2024-09-30' AND nome_perimetro='Individual Corporativo' AND segmento='ESTR' AND ambito='PM' AND entidade='00100' ) A </v>
      </c>
      <c r="I61" s="75" t="str">
        <f>IF(VLOOKUP(B61,Instruções!$F$13:$J$17,5,0)="",
"(SELECT "&amp;VLOOKUP(B61,Instruções!$F$13:$J$17,4,0)&amp;" as "&amp;VLOOKUP(B61,Instruções!$F$13:$J$17,4,0)&amp;"_"&amp;$G$2&amp;", "&amp;E61&amp;" as "&amp;G61&amp;" FROM "&amp;D61&amp;" WHERE "&amp;Instruções!$D$21&amp;") B ",
"(SELECT "&amp;VLOOKUP(B61,Instruções!$F$13:$J$17,4,0)&amp;" as "&amp;VLOOKUP(B61,Instruções!$F$13:$J$17,4,0)&amp;"_"&amp;$G$2&amp;", "&amp;VLOOKUP(B61,Instruções!$F$13:$J$17,5,0)&amp;" as "&amp;VLOOKUP(B61,Instruções!$F$13:$J$17,5,0)&amp;"_"&amp;$G$2&amp;","&amp;E61&amp;" as "&amp;G61&amp;" FROM "&amp;D61&amp;" WHERE "&amp;Instruções!$D$21&amp;") B ")</f>
        <v xml:space="preserve">(SELECT entty_id as entty_id_, fr_csh_flw as fr_csh_flw_to_be FROM bu_loantape_work.lt003_entity WHERE ref_date='2024-09-30' AND nome_perimetro='Individual Corporativo' AND segmento='ESTR' AND ambito='PM' AND entidade='00100' ) B </v>
      </c>
      <c r="J61" s="75" t="str">
        <f>+IF(VLOOKUP(B61,Instruções!$F$13:$J$17,5,0)="", "ON "&amp;VLOOKUP(B61,Instruções!$F$13:$J$17,4,0)&amp;"_"&amp;$F$7&amp;"="&amp;VLOOKUP(B61,Instruções!$F$13:$J$17,4,0)&amp;"_"&amp;$G$7&amp;" ", "ON "&amp;VLOOKUP(B61,Instruções!$F$13:$J$17,4,0)&amp;"_"&amp;$F$7&amp;"="&amp;VLOOKUP(B61,Instruções!$F$13:$J$17,4,0)&amp;"_"&amp;$G$7&amp;" AND "&amp;VLOOKUP(B61,Instruções!$F$13:$J$17,5,0)&amp;"_"&amp;$F$7&amp;"="&amp;VLOOKUP(B61,Instruções!$F$13:$J$17,5,0)&amp;"_"&amp;$G$7&amp;" ")</f>
        <v xml:space="preserve">ON entty_id_as_is=entty_id_to_be </v>
      </c>
      <c r="K61" s="75" t="str">
        <f t="shared" si="10"/>
        <v xml:space="preserve">WHERE coalesce(cast(fr_csh_flw_as_is AS string),'')&lt;&gt;coalesce(cast(fr_csh_flw_to_be AS string),'') </v>
      </c>
      <c r="L61" s="75" t="str">
        <f t="shared" si="11"/>
        <v xml:space="preserve">SELECT count(*) AS NUM_REG_DIF FROM (SELECT entty_id as entty_id_, fr_csh_flw as fr_csh_flw_as_is FROM cd_loan_tapes_bce.lt003_entity WHERE ref_date='2024-09-30' AND nome_perimetro='Individual Corporativo' AND segmento='ESTR' AND ambito='PM' AND entidade='00100' ) A  Inner join (SELECT entty_id as entty_id_, fr_csh_flw as fr_csh_flw_to_be FROM bu_loantape_work.lt003_entity WHERE ref_date='2024-09-30' AND nome_perimetro='Individual Corporativo' AND segmento='ESTR' AND ambito='PM' AND entidade='00100' ) B ON entty_id_as_is=entty_id_to_be WHERE coalesce(cast(fr_csh_flw_as_is AS string),'')&lt;&gt;coalesce(cast(fr_csh_flw_to_be AS string),'') </v>
      </c>
      <c r="M61" s="75" t="s">
        <v>55</v>
      </c>
      <c r="N61" s="75" t="str">
        <f>"SELECT 'Validação de campos' as tipologia_teste, '"&amp;VLOOKUP(B61,Instruções!$F$13:$J$17,3,0)&amp;"' AS TABELA, '"&amp;E61&amp;"' AS CAMPO, '"&amp;Instruções!$D$15&amp;"' as ref_date, coalesce(NUM_REG_DIF, 0) AS NUM_REG_DIF FROM ("&amp;L61&amp;") A "</f>
        <v xml:space="preserve">SELECT 'Validação de campos' as tipologia_teste, 'lt003_entity' AS TABELA, 'fr_csh_flw' AS CAMPO, '2024-09-30' as ref_date, coalesce(NUM_REG_DIF, 0) AS NUM_REG_DIF FROM (SELECT count(*) AS NUM_REG_DIF FROM (SELECT entty_id as entty_id_, fr_csh_flw as fr_csh_flw_as_is FROM cd_loan_tapes_bce.lt003_entity WHERE ref_date='2024-09-30' AND nome_perimetro='Individual Corporativo' AND segmento='ESTR' AND ambito='PM' AND entidade='00100' ) A  Inner join (SELECT entty_id as entty_id_, fr_csh_flw as fr_csh_flw_to_be FROM bu_loantape_work.lt003_entity WHERE ref_date='2024-09-30' AND nome_perimetro='Individual Corporativo' AND segmento='ESTR' AND ambito='PM' AND entidade='00100' ) B ON entty_id_as_is=entty_id_to_be WHERE coalesce(cast(fr_csh_flw_as_is AS string),'')&lt;&gt;coalesce(cast(fr_csh_flw_to_be AS string),'') ) A </v>
      </c>
      <c r="O61" s="76" t="str">
        <f t="shared" si="12"/>
        <v>SELECT 'Validação de campos' as tipologia_teste, 'lt003_entity' AS TABELA, 'fr_csh_flw' AS CAMPO, '2024-09-30' as ref_date, coalesce(NUM_REG_DIF, 0) AS NUM_REG_DIF FROM (SELECT count(*) AS NUM_REG_DIF FROM (SELECT entty_id as entty_id_, fr_csh_flw as fr_csh_flw_as_is FROM cd_loan_tapes_bce.lt003_entity WHERE ref_date='2024-09-30' AND nome_perimetro='Individual Corporativo' AND segmento='ESTR' AND ambito='PM' AND entidade='00100' ) A  Inner join (SELECT entty_id as entty_id_, fr_csh_flw as fr_csh_flw_to_be FROM bu_loantape_work.lt003_entity WHERE ref_date='2024-09-30' AND nome_perimetro='Individual Corporativo' AND segmento='ESTR' AND ambito='PM' AND entidade='00100' ) B ON entty_id_as_is=entty_id_to_be WHERE coalesce(cast(fr_csh_flw_as_is AS string),'')&lt;&gt;coalesce(cast(fr_csh_flw_to_be AS string),'') ) A Union all</v>
      </c>
      <c r="P61" s="75">
        <f t="shared" ref="P61:P108" si="13">P60+1</f>
        <v>2</v>
      </c>
    </row>
    <row r="62" spans="2:16" s="63" customFormat="1" ht="18" customHeight="1">
      <c r="B62" s="75" t="s">
        <v>11</v>
      </c>
      <c r="C62" s="75" t="str">
        <f>_xlfn.CONCAT(Instruções!$D$13,".",VLOOKUP(B62,Instruções!$F$12:$H$17,2,0))</f>
        <v>cd_loan_tapes_bce.lt003_entity</v>
      </c>
      <c r="D62" s="75" t="str">
        <f>_xlfn.CONCAT(Instruções!$D$14,".",VLOOKUP(B62,Instruções!$F$12:$H$17,3,0))</f>
        <v>bu_loantape_work.lt003_entity</v>
      </c>
      <c r="E62" s="75" t="s">
        <v>107</v>
      </c>
      <c r="F62" s="75" t="str">
        <f t="shared" si="8"/>
        <v>fr_csh_flw_t1_as_is</v>
      </c>
      <c r="G62" s="75" t="str">
        <f t="shared" si="9"/>
        <v>fr_csh_flw_t1_to_be</v>
      </c>
      <c r="H62" s="75" t="str">
        <f>IF(VLOOKUP(B62,Instruções!$F$13:$J$17,5,0)="",
"(SELECT "&amp;VLOOKUP(B62,Instruções!$F$13:$J$17,4,0)&amp;" as "&amp;VLOOKUP(B62,Instruções!$F$13:$J$17,4,0)&amp;"_"&amp;$F$2&amp;", "&amp;E62&amp;" as "&amp;F62&amp;" FROM "&amp;C62&amp;" WHERE "&amp;Instruções!$D$20&amp;") A ",
"(SELECT "&amp;VLOOKUP(B62,Instruções!$F$13:$J$17,4,0)&amp;" as "&amp;VLOOKUP(B62,Instruções!$F$13:$J$17,4,0)&amp;"_"&amp;$F$2&amp;", "&amp;VLOOKUP(B62,Instruções!$F$13:$J$17,5,0)&amp;" as "&amp;VLOOKUP(B62,Instruções!$F$13:$J$17,5,0)&amp;"_"&amp;$F$2&amp;","&amp;E62&amp;" as "&amp;F62&amp;" FROM "&amp;C62&amp;" WHERE "&amp;Instruções!$D$20&amp;") A ")</f>
        <v xml:space="preserve">(SELECT entty_id as entty_id_, fr_csh_flw_t1 as fr_csh_flw_t1_as_is FROM cd_loan_tapes_bce.lt003_entity WHERE ref_date='2024-09-30' AND nome_perimetro='Individual Corporativo' AND segmento='ESTR' AND ambito='PM' AND entidade='00100' ) A </v>
      </c>
      <c r="I62" s="75" t="str">
        <f>IF(VLOOKUP(B62,Instruções!$F$13:$J$17,5,0)="",
"(SELECT "&amp;VLOOKUP(B62,Instruções!$F$13:$J$17,4,0)&amp;" as "&amp;VLOOKUP(B62,Instruções!$F$13:$J$17,4,0)&amp;"_"&amp;$G$2&amp;", "&amp;E62&amp;" as "&amp;G62&amp;" FROM "&amp;D62&amp;" WHERE "&amp;Instruções!$D$21&amp;") B ",
"(SELECT "&amp;VLOOKUP(B62,Instruções!$F$13:$J$17,4,0)&amp;" as "&amp;VLOOKUP(B62,Instruções!$F$13:$J$17,4,0)&amp;"_"&amp;$G$2&amp;", "&amp;VLOOKUP(B62,Instruções!$F$13:$J$17,5,0)&amp;" as "&amp;VLOOKUP(B62,Instruções!$F$13:$J$17,5,0)&amp;"_"&amp;$G$2&amp;","&amp;E62&amp;" as "&amp;G62&amp;" FROM "&amp;D62&amp;" WHERE "&amp;Instruções!$D$21&amp;") B ")</f>
        <v xml:space="preserve">(SELECT entty_id as entty_id_, fr_csh_flw_t1 as fr_csh_flw_t1_to_be FROM bu_loantape_work.lt003_entity WHERE ref_date='2024-09-30' AND nome_perimetro='Individual Corporativo' AND segmento='ESTR' AND ambito='PM' AND entidade='00100' ) B </v>
      </c>
      <c r="J62" s="75" t="str">
        <f>+IF(VLOOKUP(B62,Instruções!$F$13:$J$17,5,0)="", "ON "&amp;VLOOKUP(B62,Instruções!$F$13:$J$17,4,0)&amp;"_"&amp;$F$7&amp;"="&amp;VLOOKUP(B62,Instruções!$F$13:$J$17,4,0)&amp;"_"&amp;$G$7&amp;" ", "ON "&amp;VLOOKUP(B62,Instruções!$F$13:$J$17,4,0)&amp;"_"&amp;$F$7&amp;"="&amp;VLOOKUP(B62,Instruções!$F$13:$J$17,4,0)&amp;"_"&amp;$G$7&amp;" AND "&amp;VLOOKUP(B62,Instruções!$F$13:$J$17,5,0)&amp;"_"&amp;$F$7&amp;"="&amp;VLOOKUP(B62,Instruções!$F$13:$J$17,5,0)&amp;"_"&amp;$G$7&amp;" ")</f>
        <v xml:space="preserve">ON entty_id_as_is=entty_id_to_be </v>
      </c>
      <c r="K62" s="75" t="str">
        <f t="shared" si="10"/>
        <v xml:space="preserve">WHERE coalesce(cast(fr_csh_flw_t1_as_is AS string),'')&lt;&gt;coalesce(cast(fr_csh_flw_t1_to_be AS string),'') </v>
      </c>
      <c r="L62" s="75" t="str">
        <f t="shared" si="11"/>
        <v xml:space="preserve">SELECT count(*) AS NUM_REG_DIF FROM (SELECT entty_id as entty_id_, fr_csh_flw_t1 as fr_csh_flw_t1_as_is FROM cd_loan_tapes_bce.lt003_entity WHERE ref_date='2024-09-30' AND nome_perimetro='Individual Corporativo' AND segmento='ESTR' AND ambito='PM' AND entidade='00100' ) A  Inner join (SELECT entty_id as entty_id_, fr_csh_flw_t1 as fr_csh_flw_t1_to_be FROM bu_loantape_work.lt003_entity WHERE ref_date='2024-09-30' AND nome_perimetro='Individual Corporativo' AND segmento='ESTR' AND ambito='PM' AND entidade='00100' ) B ON entty_id_as_is=entty_id_to_be WHERE coalesce(cast(fr_csh_flw_t1_as_is AS string),'')&lt;&gt;coalesce(cast(fr_csh_flw_t1_to_be AS string),'') </v>
      </c>
      <c r="M62" s="75" t="s">
        <v>55</v>
      </c>
      <c r="N62" s="75" t="str">
        <f>"SELECT 'Validação de campos' as tipologia_teste, '"&amp;VLOOKUP(B62,Instruções!$F$13:$J$17,3,0)&amp;"' AS TABELA, '"&amp;E62&amp;"' AS CAMPO, '"&amp;Instruções!$D$15&amp;"' as ref_date, coalesce(NUM_REG_DIF, 0) AS NUM_REG_DIF FROM ("&amp;L62&amp;") A "</f>
        <v xml:space="preserve">SELECT 'Validação de campos' as tipologia_teste, 'lt003_entity' AS TABELA, 'fr_csh_flw_t1' AS CAMPO, '2024-09-30' as ref_date, coalesce(NUM_REG_DIF, 0) AS NUM_REG_DIF FROM (SELECT count(*) AS NUM_REG_DIF FROM (SELECT entty_id as entty_id_, fr_csh_flw_t1 as fr_csh_flw_t1_as_is FROM cd_loan_tapes_bce.lt003_entity WHERE ref_date='2024-09-30' AND nome_perimetro='Individual Corporativo' AND segmento='ESTR' AND ambito='PM' AND entidade='00100' ) A  Inner join (SELECT entty_id as entty_id_, fr_csh_flw_t1 as fr_csh_flw_t1_to_be FROM bu_loantape_work.lt003_entity WHERE ref_date='2024-09-30' AND nome_perimetro='Individual Corporativo' AND segmento='ESTR' AND ambito='PM' AND entidade='00100' ) B ON entty_id_as_is=entty_id_to_be WHERE coalesce(cast(fr_csh_flw_t1_as_is AS string),'')&lt;&gt;coalesce(cast(fr_csh_flw_t1_to_be AS string),'') ) A </v>
      </c>
      <c r="O62" s="76" t="str">
        <f t="shared" si="12"/>
        <v>SELECT 'Validação de campos' as tipologia_teste, 'lt003_entity' AS TABELA, 'fr_csh_flw_t1' AS CAMPO, '2024-09-30' as ref_date, coalesce(NUM_REG_DIF, 0) AS NUM_REG_DIF FROM (SELECT count(*) AS NUM_REG_DIF FROM (SELECT entty_id as entty_id_, fr_csh_flw_t1 as fr_csh_flw_t1_as_is FROM cd_loan_tapes_bce.lt003_entity WHERE ref_date='2024-09-30' AND nome_perimetro='Individual Corporativo' AND segmento='ESTR' AND ambito='PM' AND entidade='00100' ) A  Inner join (SELECT entty_id as entty_id_, fr_csh_flw_t1 as fr_csh_flw_t1_to_be FROM bu_loantape_work.lt003_entity WHERE ref_date='2024-09-30' AND nome_perimetro='Individual Corporativo' AND segmento='ESTR' AND ambito='PM' AND entidade='00100' ) B ON entty_id_as_is=entty_id_to_be WHERE coalesce(cast(fr_csh_flw_t1_as_is AS string),'')&lt;&gt;coalesce(cast(fr_csh_flw_t1_to_be AS string),'') ) A Union all</v>
      </c>
      <c r="P62" s="75">
        <f t="shared" si="13"/>
        <v>3</v>
      </c>
    </row>
    <row r="63" spans="2:16" s="63" customFormat="1" ht="18" customHeight="1">
      <c r="B63" s="75" t="s">
        <v>11</v>
      </c>
      <c r="C63" s="75" t="str">
        <f>_xlfn.CONCAT(Instruções!$D$13,".",VLOOKUP(B63,Instruções!$F$12:$H$17,2,0))</f>
        <v>cd_loan_tapes_bce.lt003_entity</v>
      </c>
      <c r="D63" s="75" t="str">
        <f>_xlfn.CONCAT(Instruções!$D$14,".",VLOOKUP(B63,Instruções!$F$12:$H$17,3,0))</f>
        <v>bu_loantape_work.lt003_entity</v>
      </c>
      <c r="E63" s="75" t="s">
        <v>108</v>
      </c>
      <c r="F63" s="75" t="str">
        <f t="shared" si="8"/>
        <v>fr_csh_flw_t2_as_is</v>
      </c>
      <c r="G63" s="75" t="str">
        <f t="shared" si="9"/>
        <v>fr_csh_flw_t2_to_be</v>
      </c>
      <c r="H63" s="75" t="str">
        <f>IF(VLOOKUP(B63,Instruções!$F$13:$J$17,5,0)="",
"(SELECT "&amp;VLOOKUP(B63,Instruções!$F$13:$J$17,4,0)&amp;" as "&amp;VLOOKUP(B63,Instruções!$F$13:$J$17,4,0)&amp;"_"&amp;$F$2&amp;", "&amp;E63&amp;" as "&amp;F63&amp;" FROM "&amp;C63&amp;" WHERE "&amp;Instruções!$D$20&amp;") A ",
"(SELECT "&amp;VLOOKUP(B63,Instruções!$F$13:$J$17,4,0)&amp;" as "&amp;VLOOKUP(B63,Instruções!$F$13:$J$17,4,0)&amp;"_"&amp;$F$2&amp;", "&amp;VLOOKUP(B63,Instruções!$F$13:$J$17,5,0)&amp;" as "&amp;VLOOKUP(B63,Instruções!$F$13:$J$17,5,0)&amp;"_"&amp;$F$2&amp;","&amp;E63&amp;" as "&amp;F63&amp;" FROM "&amp;C63&amp;" WHERE "&amp;Instruções!$D$20&amp;") A ")</f>
        <v xml:space="preserve">(SELECT entty_id as entty_id_, fr_csh_flw_t2 as fr_csh_flw_t2_as_is FROM cd_loan_tapes_bce.lt003_entity WHERE ref_date='2024-09-30' AND nome_perimetro='Individual Corporativo' AND segmento='ESTR' AND ambito='PM' AND entidade='00100' ) A </v>
      </c>
      <c r="I63" s="75" t="str">
        <f>IF(VLOOKUP(B63,Instruções!$F$13:$J$17,5,0)="",
"(SELECT "&amp;VLOOKUP(B63,Instruções!$F$13:$J$17,4,0)&amp;" as "&amp;VLOOKUP(B63,Instruções!$F$13:$J$17,4,0)&amp;"_"&amp;$G$2&amp;", "&amp;E63&amp;" as "&amp;G63&amp;" FROM "&amp;D63&amp;" WHERE "&amp;Instruções!$D$21&amp;") B ",
"(SELECT "&amp;VLOOKUP(B63,Instruções!$F$13:$J$17,4,0)&amp;" as "&amp;VLOOKUP(B63,Instruções!$F$13:$J$17,4,0)&amp;"_"&amp;$G$2&amp;", "&amp;VLOOKUP(B63,Instruções!$F$13:$J$17,5,0)&amp;" as "&amp;VLOOKUP(B63,Instruções!$F$13:$J$17,5,0)&amp;"_"&amp;$G$2&amp;","&amp;E63&amp;" as "&amp;G63&amp;" FROM "&amp;D63&amp;" WHERE "&amp;Instruções!$D$21&amp;") B ")</f>
        <v xml:space="preserve">(SELECT entty_id as entty_id_, fr_csh_flw_t2 as fr_csh_flw_t2_to_be FROM bu_loantape_work.lt003_entity WHERE ref_date='2024-09-30' AND nome_perimetro='Individual Corporativo' AND segmento='ESTR' AND ambito='PM' AND entidade='00100' ) B </v>
      </c>
      <c r="J63" s="75" t="str">
        <f>+IF(VLOOKUP(B63,Instruções!$F$13:$J$17,5,0)="", "ON "&amp;VLOOKUP(B63,Instruções!$F$13:$J$17,4,0)&amp;"_"&amp;$F$7&amp;"="&amp;VLOOKUP(B63,Instruções!$F$13:$J$17,4,0)&amp;"_"&amp;$G$7&amp;" ", "ON "&amp;VLOOKUP(B63,Instruções!$F$13:$J$17,4,0)&amp;"_"&amp;$F$7&amp;"="&amp;VLOOKUP(B63,Instruções!$F$13:$J$17,4,0)&amp;"_"&amp;$G$7&amp;" AND "&amp;VLOOKUP(B63,Instruções!$F$13:$J$17,5,0)&amp;"_"&amp;$F$7&amp;"="&amp;VLOOKUP(B63,Instruções!$F$13:$J$17,5,0)&amp;"_"&amp;$G$7&amp;" ")</f>
        <v xml:space="preserve">ON entty_id_as_is=entty_id_to_be </v>
      </c>
      <c r="K63" s="75" t="str">
        <f t="shared" si="10"/>
        <v xml:space="preserve">WHERE coalesce(cast(fr_csh_flw_t2_as_is AS string),'')&lt;&gt;coalesce(cast(fr_csh_flw_t2_to_be AS string),'') </v>
      </c>
      <c r="L63" s="75" t="str">
        <f t="shared" si="11"/>
        <v xml:space="preserve">SELECT count(*) AS NUM_REG_DIF FROM (SELECT entty_id as entty_id_, fr_csh_flw_t2 as fr_csh_flw_t2_as_is FROM cd_loan_tapes_bce.lt003_entity WHERE ref_date='2024-09-30' AND nome_perimetro='Individual Corporativo' AND segmento='ESTR' AND ambito='PM' AND entidade='00100' ) A  Inner join (SELECT entty_id as entty_id_, fr_csh_flw_t2 as fr_csh_flw_t2_to_be FROM bu_loantape_work.lt003_entity WHERE ref_date='2024-09-30' AND nome_perimetro='Individual Corporativo' AND segmento='ESTR' AND ambito='PM' AND entidade='00100' ) B ON entty_id_as_is=entty_id_to_be WHERE coalesce(cast(fr_csh_flw_t2_as_is AS string),'')&lt;&gt;coalesce(cast(fr_csh_flw_t2_to_be AS string),'') </v>
      </c>
      <c r="M63" s="75" t="s">
        <v>55</v>
      </c>
      <c r="N63" s="75" t="str">
        <f>"SELECT 'Validação de campos' as tipologia_teste, '"&amp;VLOOKUP(B63,Instruções!$F$13:$J$17,3,0)&amp;"' AS TABELA, '"&amp;E63&amp;"' AS CAMPO, '"&amp;Instruções!$D$15&amp;"' as ref_date, coalesce(NUM_REG_DIF, 0) AS NUM_REG_DIF FROM ("&amp;L63&amp;") A "</f>
        <v xml:space="preserve">SELECT 'Validação de campos' as tipologia_teste, 'lt003_entity' AS TABELA, 'fr_csh_flw_t2' AS CAMPO, '2024-09-30' as ref_date, coalesce(NUM_REG_DIF, 0) AS NUM_REG_DIF FROM (SELECT count(*) AS NUM_REG_DIF FROM (SELECT entty_id as entty_id_, fr_csh_flw_t2 as fr_csh_flw_t2_as_is FROM cd_loan_tapes_bce.lt003_entity WHERE ref_date='2024-09-30' AND nome_perimetro='Individual Corporativo' AND segmento='ESTR' AND ambito='PM' AND entidade='00100' ) A  Inner join (SELECT entty_id as entty_id_, fr_csh_flw_t2 as fr_csh_flw_t2_to_be FROM bu_loantape_work.lt003_entity WHERE ref_date='2024-09-30' AND nome_perimetro='Individual Corporativo' AND segmento='ESTR' AND ambito='PM' AND entidade='00100' ) B ON entty_id_as_is=entty_id_to_be WHERE coalesce(cast(fr_csh_flw_t2_as_is AS string),'')&lt;&gt;coalesce(cast(fr_csh_flw_t2_to_be AS string),'') ) A </v>
      </c>
      <c r="O63" s="76" t="str">
        <f t="shared" si="12"/>
        <v>SELECT 'Validação de campos' as tipologia_teste, 'lt003_entity' AS TABELA, 'fr_csh_flw_t2' AS CAMPO, '2024-09-30' as ref_date, coalesce(NUM_REG_DIF, 0) AS NUM_REG_DIF FROM (SELECT count(*) AS NUM_REG_DIF FROM (SELECT entty_id as entty_id_, fr_csh_flw_t2 as fr_csh_flw_t2_as_is FROM cd_loan_tapes_bce.lt003_entity WHERE ref_date='2024-09-30' AND nome_perimetro='Individual Corporativo' AND segmento='ESTR' AND ambito='PM' AND entidade='00100' ) A  Inner join (SELECT entty_id as entty_id_, fr_csh_flw_t2 as fr_csh_flw_t2_to_be FROM bu_loantape_work.lt003_entity WHERE ref_date='2024-09-30' AND nome_perimetro='Individual Corporativo' AND segmento='ESTR' AND ambito='PM' AND entidade='00100' ) B ON entty_id_as_is=entty_id_to_be WHERE coalesce(cast(fr_csh_flw_t2_as_is AS string),'')&lt;&gt;coalesce(cast(fr_csh_flw_t2_to_be AS string),'') ) A Union all</v>
      </c>
      <c r="P63" s="75">
        <f t="shared" si="13"/>
        <v>4</v>
      </c>
    </row>
    <row r="64" spans="2:16" s="63" customFormat="1" ht="18" customHeight="1">
      <c r="B64" s="75" t="s">
        <v>11</v>
      </c>
      <c r="C64" s="75" t="str">
        <f>_xlfn.CONCAT(Instruções!$D$13,".",VLOOKUP(B64,Instruções!$F$12:$H$17,2,0))</f>
        <v>cd_loan_tapes_bce.lt003_entity</v>
      </c>
      <c r="D64" s="75" t="str">
        <f>_xlfn.CONCAT(Instruções!$D$14,".",VLOOKUP(B64,Instruções!$F$12:$H$17,3,0))</f>
        <v>bu_loantape_work.lt003_entity</v>
      </c>
      <c r="E64" s="75" t="s">
        <v>109</v>
      </c>
      <c r="F64" s="75" t="str">
        <f t="shared" si="8"/>
        <v>fr_csh_flw_t3_as_is</v>
      </c>
      <c r="G64" s="75" t="str">
        <f t="shared" si="9"/>
        <v>fr_csh_flw_t3_to_be</v>
      </c>
      <c r="H64" s="75" t="str">
        <f>IF(VLOOKUP(B64,Instruções!$F$13:$J$17,5,0)="",
"(SELECT "&amp;VLOOKUP(B64,Instruções!$F$13:$J$17,4,0)&amp;" as "&amp;VLOOKUP(B64,Instruções!$F$13:$J$17,4,0)&amp;"_"&amp;$F$2&amp;", "&amp;E64&amp;" as "&amp;F64&amp;" FROM "&amp;C64&amp;" WHERE "&amp;Instruções!$D$20&amp;") A ",
"(SELECT "&amp;VLOOKUP(B64,Instruções!$F$13:$J$17,4,0)&amp;" as "&amp;VLOOKUP(B64,Instruções!$F$13:$J$17,4,0)&amp;"_"&amp;$F$2&amp;", "&amp;VLOOKUP(B64,Instruções!$F$13:$J$17,5,0)&amp;" as "&amp;VLOOKUP(B64,Instruções!$F$13:$J$17,5,0)&amp;"_"&amp;$F$2&amp;","&amp;E64&amp;" as "&amp;F64&amp;" FROM "&amp;C64&amp;" WHERE "&amp;Instruções!$D$20&amp;") A ")</f>
        <v xml:space="preserve">(SELECT entty_id as entty_id_, fr_csh_flw_t3 as fr_csh_flw_t3_as_is FROM cd_loan_tapes_bce.lt003_entity WHERE ref_date='2024-09-30' AND nome_perimetro='Individual Corporativo' AND segmento='ESTR' AND ambito='PM' AND entidade='00100' ) A </v>
      </c>
      <c r="I64" s="75" t="str">
        <f>IF(VLOOKUP(B64,Instruções!$F$13:$J$17,5,0)="",
"(SELECT "&amp;VLOOKUP(B64,Instruções!$F$13:$J$17,4,0)&amp;" as "&amp;VLOOKUP(B64,Instruções!$F$13:$J$17,4,0)&amp;"_"&amp;$G$2&amp;", "&amp;E64&amp;" as "&amp;G64&amp;" FROM "&amp;D64&amp;" WHERE "&amp;Instruções!$D$21&amp;") B ",
"(SELECT "&amp;VLOOKUP(B64,Instruções!$F$13:$J$17,4,0)&amp;" as "&amp;VLOOKUP(B64,Instruções!$F$13:$J$17,4,0)&amp;"_"&amp;$G$2&amp;", "&amp;VLOOKUP(B64,Instruções!$F$13:$J$17,5,0)&amp;" as "&amp;VLOOKUP(B64,Instruções!$F$13:$J$17,5,0)&amp;"_"&amp;$G$2&amp;","&amp;E64&amp;" as "&amp;G64&amp;" FROM "&amp;D64&amp;" WHERE "&amp;Instruções!$D$21&amp;") B ")</f>
        <v xml:space="preserve">(SELECT entty_id as entty_id_, fr_csh_flw_t3 as fr_csh_flw_t3_to_be FROM bu_loantape_work.lt003_entity WHERE ref_date='2024-09-30' AND nome_perimetro='Individual Corporativo' AND segmento='ESTR' AND ambito='PM' AND entidade='00100' ) B </v>
      </c>
      <c r="J64" s="75" t="str">
        <f>+IF(VLOOKUP(B64,Instruções!$F$13:$J$17,5,0)="", "ON "&amp;VLOOKUP(B64,Instruções!$F$13:$J$17,4,0)&amp;"_"&amp;$F$7&amp;"="&amp;VLOOKUP(B64,Instruções!$F$13:$J$17,4,0)&amp;"_"&amp;$G$7&amp;" ", "ON "&amp;VLOOKUP(B64,Instruções!$F$13:$J$17,4,0)&amp;"_"&amp;$F$7&amp;"="&amp;VLOOKUP(B64,Instruções!$F$13:$J$17,4,0)&amp;"_"&amp;$G$7&amp;" AND "&amp;VLOOKUP(B64,Instruções!$F$13:$J$17,5,0)&amp;"_"&amp;$F$7&amp;"="&amp;VLOOKUP(B64,Instruções!$F$13:$J$17,5,0)&amp;"_"&amp;$G$7&amp;" ")</f>
        <v xml:space="preserve">ON entty_id_as_is=entty_id_to_be </v>
      </c>
      <c r="K64" s="75" t="str">
        <f t="shared" si="10"/>
        <v xml:space="preserve">WHERE coalesce(cast(fr_csh_flw_t3_as_is AS string),'')&lt;&gt;coalesce(cast(fr_csh_flw_t3_to_be AS string),'') </v>
      </c>
      <c r="L64" s="75" t="str">
        <f t="shared" si="11"/>
        <v xml:space="preserve">SELECT count(*) AS NUM_REG_DIF FROM (SELECT entty_id as entty_id_, fr_csh_flw_t3 as fr_csh_flw_t3_as_is FROM cd_loan_tapes_bce.lt003_entity WHERE ref_date='2024-09-30' AND nome_perimetro='Individual Corporativo' AND segmento='ESTR' AND ambito='PM' AND entidade='00100' ) A  Inner join (SELECT entty_id as entty_id_, fr_csh_flw_t3 as fr_csh_flw_t3_to_be FROM bu_loantape_work.lt003_entity WHERE ref_date='2024-09-30' AND nome_perimetro='Individual Corporativo' AND segmento='ESTR' AND ambito='PM' AND entidade='00100' ) B ON entty_id_as_is=entty_id_to_be WHERE coalesce(cast(fr_csh_flw_t3_as_is AS string),'')&lt;&gt;coalesce(cast(fr_csh_flw_t3_to_be AS string),'') </v>
      </c>
      <c r="M64" s="75" t="s">
        <v>55</v>
      </c>
      <c r="N64" s="75" t="str">
        <f>"SELECT 'Validação de campos' as tipologia_teste, '"&amp;VLOOKUP(B64,Instruções!$F$13:$J$17,3,0)&amp;"' AS TABELA, '"&amp;E64&amp;"' AS CAMPO, '"&amp;Instruções!$D$15&amp;"' as ref_date, coalesce(NUM_REG_DIF, 0) AS NUM_REG_DIF FROM ("&amp;L64&amp;") A "</f>
        <v xml:space="preserve">SELECT 'Validação de campos' as tipologia_teste, 'lt003_entity' AS TABELA, 'fr_csh_flw_t3' AS CAMPO, '2024-09-30' as ref_date, coalesce(NUM_REG_DIF, 0) AS NUM_REG_DIF FROM (SELECT count(*) AS NUM_REG_DIF FROM (SELECT entty_id as entty_id_, fr_csh_flw_t3 as fr_csh_flw_t3_as_is FROM cd_loan_tapes_bce.lt003_entity WHERE ref_date='2024-09-30' AND nome_perimetro='Individual Corporativo' AND segmento='ESTR' AND ambito='PM' AND entidade='00100' ) A  Inner join (SELECT entty_id as entty_id_, fr_csh_flw_t3 as fr_csh_flw_t3_to_be FROM bu_loantape_work.lt003_entity WHERE ref_date='2024-09-30' AND nome_perimetro='Individual Corporativo' AND segmento='ESTR' AND ambito='PM' AND entidade='00100' ) B ON entty_id_as_is=entty_id_to_be WHERE coalesce(cast(fr_csh_flw_t3_as_is AS string),'')&lt;&gt;coalesce(cast(fr_csh_flw_t3_to_be AS string),'') ) A </v>
      </c>
      <c r="O64" s="76" t="str">
        <f t="shared" si="12"/>
        <v>SELECT 'Validação de campos' as tipologia_teste, 'lt003_entity' AS TABELA, 'fr_csh_flw_t3' AS CAMPO, '2024-09-30' as ref_date, coalesce(NUM_REG_DIF, 0) AS NUM_REG_DIF FROM (SELECT count(*) AS NUM_REG_DIF FROM (SELECT entty_id as entty_id_, fr_csh_flw_t3 as fr_csh_flw_t3_as_is FROM cd_loan_tapes_bce.lt003_entity WHERE ref_date='2024-09-30' AND nome_perimetro='Individual Corporativo' AND segmento='ESTR' AND ambito='PM' AND entidade='00100' ) A  Inner join (SELECT entty_id as entty_id_, fr_csh_flw_t3 as fr_csh_flw_t3_to_be FROM bu_loantape_work.lt003_entity WHERE ref_date='2024-09-30' AND nome_perimetro='Individual Corporativo' AND segmento='ESTR' AND ambito='PM' AND entidade='00100' ) B ON entty_id_as_is=entty_id_to_be WHERE coalesce(cast(fr_csh_flw_t3_as_is AS string),'')&lt;&gt;coalesce(cast(fr_csh_flw_t3_to_be AS string),'') ) A Union all</v>
      </c>
      <c r="P64" s="75">
        <f t="shared" si="13"/>
        <v>5</v>
      </c>
    </row>
    <row r="65" spans="2:16" s="63" customFormat="1" ht="18" customHeight="1">
      <c r="B65" s="75" t="s">
        <v>11</v>
      </c>
      <c r="C65" s="75" t="str">
        <f>_xlfn.CONCAT(Instruções!$D$13,".",VLOOKUP(B65,Instruções!$F$12:$H$17,2,0))</f>
        <v>cd_loan_tapes_bce.lt003_entity</v>
      </c>
      <c r="D65" s="75" t="str">
        <f>_xlfn.CONCAT(Instruções!$D$14,".",VLOOKUP(B65,Instruções!$F$12:$H$17,3,0))</f>
        <v>bu_loantape_work.lt003_entity</v>
      </c>
      <c r="E65" s="75" t="s">
        <v>110</v>
      </c>
      <c r="F65" s="75" t="str">
        <f t="shared" si="8"/>
        <v>gcc_prnt_id_as_is</v>
      </c>
      <c r="G65" s="75" t="str">
        <f t="shared" si="9"/>
        <v>gcc_prnt_id_to_be</v>
      </c>
      <c r="H65" s="75" t="str">
        <f>IF(VLOOKUP(B65,Instruções!$F$13:$J$17,5,0)="",
"(SELECT "&amp;VLOOKUP(B65,Instruções!$F$13:$J$17,4,0)&amp;" as "&amp;VLOOKUP(B65,Instruções!$F$13:$J$17,4,0)&amp;"_"&amp;$F$2&amp;", "&amp;E65&amp;" as "&amp;F65&amp;" FROM "&amp;C65&amp;" WHERE "&amp;Instruções!$D$20&amp;") A ",
"(SELECT "&amp;VLOOKUP(B65,Instruções!$F$13:$J$17,4,0)&amp;" as "&amp;VLOOKUP(B65,Instruções!$F$13:$J$17,4,0)&amp;"_"&amp;$F$2&amp;", "&amp;VLOOKUP(B65,Instruções!$F$13:$J$17,5,0)&amp;" as "&amp;VLOOKUP(B65,Instruções!$F$13:$J$17,5,0)&amp;"_"&amp;$F$2&amp;","&amp;E65&amp;" as "&amp;F65&amp;" FROM "&amp;C65&amp;" WHERE "&amp;Instruções!$D$20&amp;") A ")</f>
        <v xml:space="preserve">(SELECT entty_id as entty_id_, gcc_prnt_id as gcc_prnt_id_as_is FROM cd_loan_tapes_bce.lt003_entity WHERE ref_date='2024-09-30' AND nome_perimetro='Individual Corporativo' AND segmento='ESTR' AND ambito='PM' AND entidade='00100' ) A </v>
      </c>
      <c r="I65" s="75" t="str">
        <f>IF(VLOOKUP(B65,Instruções!$F$13:$J$17,5,0)="",
"(SELECT "&amp;VLOOKUP(B65,Instruções!$F$13:$J$17,4,0)&amp;" as "&amp;VLOOKUP(B65,Instruções!$F$13:$J$17,4,0)&amp;"_"&amp;$G$2&amp;", "&amp;E65&amp;" as "&amp;G65&amp;" FROM "&amp;D65&amp;" WHERE "&amp;Instruções!$D$21&amp;") B ",
"(SELECT "&amp;VLOOKUP(B65,Instruções!$F$13:$J$17,4,0)&amp;" as "&amp;VLOOKUP(B65,Instruções!$F$13:$J$17,4,0)&amp;"_"&amp;$G$2&amp;", "&amp;VLOOKUP(B65,Instruções!$F$13:$J$17,5,0)&amp;" as "&amp;VLOOKUP(B65,Instruções!$F$13:$J$17,5,0)&amp;"_"&amp;$G$2&amp;","&amp;E65&amp;" as "&amp;G65&amp;" FROM "&amp;D65&amp;" WHERE "&amp;Instruções!$D$21&amp;") B ")</f>
        <v xml:space="preserve">(SELECT entty_id as entty_id_, gcc_prnt_id as gcc_prnt_id_to_be FROM bu_loantape_work.lt003_entity WHERE ref_date='2024-09-30' AND nome_perimetro='Individual Corporativo' AND segmento='ESTR' AND ambito='PM' AND entidade='00100' ) B </v>
      </c>
      <c r="J65" s="75" t="str">
        <f>+IF(VLOOKUP(B65,Instruções!$F$13:$J$17,5,0)="", "ON "&amp;VLOOKUP(B65,Instruções!$F$13:$J$17,4,0)&amp;"_"&amp;$F$7&amp;"="&amp;VLOOKUP(B65,Instruções!$F$13:$J$17,4,0)&amp;"_"&amp;$G$7&amp;" ", "ON "&amp;VLOOKUP(B65,Instruções!$F$13:$J$17,4,0)&amp;"_"&amp;$F$7&amp;"="&amp;VLOOKUP(B65,Instruções!$F$13:$J$17,4,0)&amp;"_"&amp;$G$7&amp;" AND "&amp;VLOOKUP(B65,Instruções!$F$13:$J$17,5,0)&amp;"_"&amp;$F$7&amp;"="&amp;VLOOKUP(B65,Instruções!$F$13:$J$17,5,0)&amp;"_"&amp;$G$7&amp;" ")</f>
        <v xml:space="preserve">ON entty_id_as_is=entty_id_to_be </v>
      </c>
      <c r="K65" s="75" t="str">
        <f t="shared" si="10"/>
        <v xml:space="preserve">WHERE coalesce(cast(gcc_prnt_id_as_is AS string),'')&lt;&gt;coalesce(cast(gcc_prnt_id_to_be AS string),'') </v>
      </c>
      <c r="L65" s="75" t="str">
        <f t="shared" si="11"/>
        <v xml:space="preserve">SELECT count(*) AS NUM_REG_DIF FROM (SELECT entty_id as entty_id_, gcc_prnt_id as gcc_prnt_id_as_is FROM cd_loan_tapes_bce.lt003_entity WHERE ref_date='2024-09-30' AND nome_perimetro='Individual Corporativo' AND segmento='ESTR' AND ambito='PM' AND entidade='00100' ) A  Inner join (SELECT entty_id as entty_id_, gcc_prnt_id as gcc_prnt_id_to_be FROM bu_loantape_work.lt003_entity WHERE ref_date='2024-09-30' AND nome_perimetro='Individual Corporativo' AND segmento='ESTR' AND ambito='PM' AND entidade='00100' ) B ON entty_id_as_is=entty_id_to_be WHERE coalesce(cast(gcc_prnt_id_as_is AS string),'')&lt;&gt;coalesce(cast(gcc_prnt_id_to_be AS string),'') </v>
      </c>
      <c r="M65" s="75" t="s">
        <v>55</v>
      </c>
      <c r="N65" s="75" t="str">
        <f>"SELECT 'Validação de campos' as tipologia_teste, '"&amp;VLOOKUP(B65,Instruções!$F$13:$J$17,3,0)&amp;"' AS TABELA, '"&amp;E65&amp;"' AS CAMPO, '"&amp;Instruções!$D$15&amp;"' as ref_date, coalesce(NUM_REG_DIF, 0) AS NUM_REG_DIF FROM ("&amp;L65&amp;") A "</f>
        <v xml:space="preserve">SELECT 'Validação de campos' as tipologia_teste, 'lt003_entity' AS TABELA, 'gcc_prnt_id' AS CAMPO, '2024-09-30' as ref_date, coalesce(NUM_REG_DIF, 0) AS NUM_REG_DIF FROM (SELECT count(*) AS NUM_REG_DIF FROM (SELECT entty_id as entty_id_, gcc_prnt_id as gcc_prnt_id_as_is FROM cd_loan_tapes_bce.lt003_entity WHERE ref_date='2024-09-30' AND nome_perimetro='Individual Corporativo' AND segmento='ESTR' AND ambito='PM' AND entidade='00100' ) A  Inner join (SELECT entty_id as entty_id_, gcc_prnt_id as gcc_prnt_id_to_be FROM bu_loantape_work.lt003_entity WHERE ref_date='2024-09-30' AND nome_perimetro='Individual Corporativo' AND segmento='ESTR' AND ambito='PM' AND entidade='00100' ) B ON entty_id_as_is=entty_id_to_be WHERE coalesce(cast(gcc_prnt_id_as_is AS string),'')&lt;&gt;coalesce(cast(gcc_prnt_id_to_be AS string),'') ) A </v>
      </c>
      <c r="O65" s="76" t="str">
        <f t="shared" si="12"/>
        <v>SELECT 'Validação de campos' as tipologia_teste, 'lt003_entity' AS TABELA, 'gcc_prnt_id' AS CAMPO, '2024-09-30' as ref_date, coalesce(NUM_REG_DIF, 0) AS NUM_REG_DIF FROM (SELECT count(*) AS NUM_REG_DIF FROM (SELECT entty_id as entty_id_, gcc_prnt_id as gcc_prnt_id_as_is FROM cd_loan_tapes_bce.lt003_entity WHERE ref_date='2024-09-30' AND nome_perimetro='Individual Corporativo' AND segmento='ESTR' AND ambito='PM' AND entidade='00100' ) A  Inner join (SELECT entty_id as entty_id_, gcc_prnt_id as gcc_prnt_id_to_be FROM bu_loantape_work.lt003_entity WHERE ref_date='2024-09-30' AND nome_perimetro='Individual Corporativo' AND segmento='ESTR' AND ambito='PM' AND entidade='00100' ) B ON entty_id_as_is=entty_id_to_be WHERE coalesce(cast(gcc_prnt_id_as_is AS string),'')&lt;&gt;coalesce(cast(gcc_prnt_id_to_be AS string),'') ) A Union all</v>
      </c>
      <c r="P65" s="75">
        <f t="shared" si="13"/>
        <v>6</v>
      </c>
    </row>
    <row r="66" spans="2:16" s="63" customFormat="1" ht="18" customHeight="1">
      <c r="B66" s="75" t="s">
        <v>11</v>
      </c>
      <c r="C66" s="75" t="str">
        <f>_xlfn.CONCAT(Instruções!$D$13,".",VLOOKUP(B66,Instruções!$F$12:$H$17,2,0))</f>
        <v>cd_loan_tapes_bce.lt003_entity</v>
      </c>
      <c r="D66" s="75" t="str">
        <f>_xlfn.CONCAT(Instruções!$D$14,".",VLOOKUP(B66,Instruções!$F$12:$H$17,3,0))</f>
        <v>bu_loantape_work.lt003_entity</v>
      </c>
      <c r="E66" s="75" t="s">
        <v>111</v>
      </c>
      <c r="F66" s="75" t="str">
        <f t="shared" si="8"/>
        <v>gcc_prnt_nm_as_is</v>
      </c>
      <c r="G66" s="75" t="str">
        <f t="shared" si="9"/>
        <v>gcc_prnt_nm_to_be</v>
      </c>
      <c r="H66" s="75" t="str">
        <f>IF(VLOOKUP(B66,Instruções!$F$13:$J$17,5,0)="",
"(SELECT "&amp;VLOOKUP(B66,Instruções!$F$13:$J$17,4,0)&amp;" as "&amp;VLOOKUP(B66,Instruções!$F$13:$J$17,4,0)&amp;"_"&amp;$F$2&amp;", "&amp;E66&amp;" as "&amp;F66&amp;" FROM "&amp;C66&amp;" WHERE "&amp;Instruções!$D$20&amp;") A ",
"(SELECT "&amp;VLOOKUP(B66,Instruções!$F$13:$J$17,4,0)&amp;" as "&amp;VLOOKUP(B66,Instruções!$F$13:$J$17,4,0)&amp;"_"&amp;$F$2&amp;", "&amp;VLOOKUP(B66,Instruções!$F$13:$J$17,5,0)&amp;" as "&amp;VLOOKUP(B66,Instruções!$F$13:$J$17,5,0)&amp;"_"&amp;$F$2&amp;","&amp;E66&amp;" as "&amp;F66&amp;" FROM "&amp;C66&amp;" WHERE "&amp;Instruções!$D$20&amp;") A ")</f>
        <v xml:space="preserve">(SELECT entty_id as entty_id_, gcc_prnt_nm as gcc_prnt_nm_as_is FROM cd_loan_tapes_bce.lt003_entity WHERE ref_date='2024-09-30' AND nome_perimetro='Individual Corporativo' AND segmento='ESTR' AND ambito='PM' AND entidade='00100' ) A </v>
      </c>
      <c r="I66" s="75" t="str">
        <f>IF(VLOOKUP(B66,Instruções!$F$13:$J$17,5,0)="",
"(SELECT "&amp;VLOOKUP(B66,Instruções!$F$13:$J$17,4,0)&amp;" as "&amp;VLOOKUP(B66,Instruções!$F$13:$J$17,4,0)&amp;"_"&amp;$G$2&amp;", "&amp;E66&amp;" as "&amp;G66&amp;" FROM "&amp;D66&amp;" WHERE "&amp;Instruções!$D$21&amp;") B ",
"(SELECT "&amp;VLOOKUP(B66,Instruções!$F$13:$J$17,4,0)&amp;" as "&amp;VLOOKUP(B66,Instruções!$F$13:$J$17,4,0)&amp;"_"&amp;$G$2&amp;", "&amp;VLOOKUP(B66,Instruções!$F$13:$J$17,5,0)&amp;" as "&amp;VLOOKUP(B66,Instruções!$F$13:$J$17,5,0)&amp;"_"&amp;$G$2&amp;","&amp;E66&amp;" as "&amp;G66&amp;" FROM "&amp;D66&amp;" WHERE "&amp;Instruções!$D$21&amp;") B ")</f>
        <v xml:space="preserve">(SELECT entty_id as entty_id_, gcc_prnt_nm as gcc_prnt_nm_to_be FROM bu_loantape_work.lt003_entity WHERE ref_date='2024-09-30' AND nome_perimetro='Individual Corporativo' AND segmento='ESTR' AND ambito='PM' AND entidade='00100' ) B </v>
      </c>
      <c r="J66" s="75" t="str">
        <f>+IF(VLOOKUP(B66,Instruções!$F$13:$J$17,5,0)="", "ON "&amp;VLOOKUP(B66,Instruções!$F$13:$J$17,4,0)&amp;"_"&amp;$F$7&amp;"="&amp;VLOOKUP(B66,Instruções!$F$13:$J$17,4,0)&amp;"_"&amp;$G$7&amp;" ", "ON "&amp;VLOOKUP(B66,Instruções!$F$13:$J$17,4,0)&amp;"_"&amp;$F$7&amp;"="&amp;VLOOKUP(B66,Instruções!$F$13:$J$17,4,0)&amp;"_"&amp;$G$7&amp;" AND "&amp;VLOOKUP(B66,Instruções!$F$13:$J$17,5,0)&amp;"_"&amp;$F$7&amp;"="&amp;VLOOKUP(B66,Instruções!$F$13:$J$17,5,0)&amp;"_"&amp;$G$7&amp;" ")</f>
        <v xml:space="preserve">ON entty_id_as_is=entty_id_to_be </v>
      </c>
      <c r="K66" s="75" t="str">
        <f t="shared" si="10"/>
        <v xml:space="preserve">WHERE coalesce(cast(gcc_prnt_nm_as_is AS string),'')&lt;&gt;coalesce(cast(gcc_prnt_nm_to_be AS string),'') </v>
      </c>
      <c r="L66" s="75" t="str">
        <f t="shared" si="11"/>
        <v xml:space="preserve">SELECT count(*) AS NUM_REG_DIF FROM (SELECT entty_id as entty_id_, gcc_prnt_nm as gcc_prnt_nm_as_is FROM cd_loan_tapes_bce.lt003_entity WHERE ref_date='2024-09-30' AND nome_perimetro='Individual Corporativo' AND segmento='ESTR' AND ambito='PM' AND entidade='00100' ) A  Inner join (SELECT entty_id as entty_id_, gcc_prnt_nm as gcc_prnt_nm_to_be FROM bu_loantape_work.lt003_entity WHERE ref_date='2024-09-30' AND nome_perimetro='Individual Corporativo' AND segmento='ESTR' AND ambito='PM' AND entidade='00100' ) B ON entty_id_as_is=entty_id_to_be WHERE coalesce(cast(gcc_prnt_nm_as_is AS string),'')&lt;&gt;coalesce(cast(gcc_prnt_nm_to_be AS string),'') </v>
      </c>
      <c r="M66" s="75" t="s">
        <v>55</v>
      </c>
      <c r="N66" s="75" t="str">
        <f>"SELECT 'Validação de campos' as tipologia_teste, '"&amp;VLOOKUP(B66,Instruções!$F$13:$J$17,3,0)&amp;"' AS TABELA, '"&amp;E66&amp;"' AS CAMPO, '"&amp;Instruções!$D$15&amp;"' as ref_date, coalesce(NUM_REG_DIF, 0) AS NUM_REG_DIF FROM ("&amp;L66&amp;") A "</f>
        <v xml:space="preserve">SELECT 'Validação de campos' as tipologia_teste, 'lt003_entity' AS TABELA, 'gcc_prnt_nm' AS CAMPO, '2024-09-30' as ref_date, coalesce(NUM_REG_DIF, 0) AS NUM_REG_DIF FROM (SELECT count(*) AS NUM_REG_DIF FROM (SELECT entty_id as entty_id_, gcc_prnt_nm as gcc_prnt_nm_as_is FROM cd_loan_tapes_bce.lt003_entity WHERE ref_date='2024-09-30' AND nome_perimetro='Individual Corporativo' AND segmento='ESTR' AND ambito='PM' AND entidade='00100' ) A  Inner join (SELECT entty_id as entty_id_, gcc_prnt_nm as gcc_prnt_nm_to_be FROM bu_loantape_work.lt003_entity WHERE ref_date='2024-09-30' AND nome_perimetro='Individual Corporativo' AND segmento='ESTR' AND ambito='PM' AND entidade='00100' ) B ON entty_id_as_is=entty_id_to_be WHERE coalesce(cast(gcc_prnt_nm_as_is AS string),'')&lt;&gt;coalesce(cast(gcc_prnt_nm_to_be AS string),'') ) A </v>
      </c>
      <c r="O66" s="76" t="str">
        <f t="shared" si="12"/>
        <v>SELECT 'Validação de campos' as tipologia_teste, 'lt003_entity' AS TABELA, 'gcc_prnt_nm' AS CAMPO, '2024-09-30' as ref_date, coalesce(NUM_REG_DIF, 0) AS NUM_REG_DIF FROM (SELECT count(*) AS NUM_REG_DIF FROM (SELECT entty_id as entty_id_, gcc_prnt_nm as gcc_prnt_nm_as_is FROM cd_loan_tapes_bce.lt003_entity WHERE ref_date='2024-09-30' AND nome_perimetro='Individual Corporativo' AND segmento='ESTR' AND ambito='PM' AND entidade='00100' ) A  Inner join (SELECT entty_id as entty_id_, gcc_prnt_nm as gcc_prnt_nm_to_be FROM bu_loantape_work.lt003_entity WHERE ref_date='2024-09-30' AND nome_perimetro='Individual Corporativo' AND segmento='ESTR' AND ambito='PM' AND entidade='00100' ) B ON entty_id_as_is=entty_id_to_be WHERE coalesce(cast(gcc_prnt_nm_as_is AS string),'')&lt;&gt;coalesce(cast(gcc_prnt_nm_to_be AS string),'') ) A Union all</v>
      </c>
      <c r="P66" s="75">
        <f t="shared" si="13"/>
        <v>7</v>
      </c>
    </row>
    <row r="67" spans="2:16" s="63" customFormat="1" ht="18" customHeight="1">
      <c r="B67" s="75" t="s">
        <v>11</v>
      </c>
      <c r="C67" s="75" t="str">
        <f>_xlfn.CONCAT(Instruções!$D$13,".",VLOOKUP(B67,Instruções!$F$12:$H$17,2,0))</f>
        <v>cd_loan_tapes_bce.lt003_entity</v>
      </c>
      <c r="D67" s="75" t="str">
        <f>_xlfn.CONCAT(Instruções!$D$14,".",VLOOKUP(B67,Instruções!$F$12:$H$17,3,0))</f>
        <v>bu_loantape_work.lt003_entity</v>
      </c>
      <c r="E67" s="75" t="s">
        <v>112</v>
      </c>
      <c r="F67" s="75" t="str">
        <f t="shared" si="8"/>
        <v>gdwill_as_is</v>
      </c>
      <c r="G67" s="75" t="str">
        <f t="shared" si="9"/>
        <v>gdwill_to_be</v>
      </c>
      <c r="H67" s="75" t="str">
        <f>IF(VLOOKUP(B67,Instruções!$F$13:$J$17,5,0)="",
"(SELECT "&amp;VLOOKUP(B67,Instruções!$F$13:$J$17,4,0)&amp;" as "&amp;VLOOKUP(B67,Instruções!$F$13:$J$17,4,0)&amp;"_"&amp;$F$2&amp;", "&amp;E67&amp;" as "&amp;F67&amp;" FROM "&amp;C67&amp;" WHERE "&amp;Instruções!$D$20&amp;") A ",
"(SELECT "&amp;VLOOKUP(B67,Instruções!$F$13:$J$17,4,0)&amp;" as "&amp;VLOOKUP(B67,Instruções!$F$13:$J$17,4,0)&amp;"_"&amp;$F$2&amp;", "&amp;VLOOKUP(B67,Instruções!$F$13:$J$17,5,0)&amp;" as "&amp;VLOOKUP(B67,Instruções!$F$13:$J$17,5,0)&amp;"_"&amp;$F$2&amp;","&amp;E67&amp;" as "&amp;F67&amp;" FROM "&amp;C67&amp;" WHERE "&amp;Instruções!$D$20&amp;") A ")</f>
        <v xml:space="preserve">(SELECT entty_id as entty_id_, gdwill as gdwill_as_is FROM cd_loan_tapes_bce.lt003_entity WHERE ref_date='2024-09-30' AND nome_perimetro='Individual Corporativo' AND segmento='ESTR' AND ambito='PM' AND entidade='00100' ) A </v>
      </c>
      <c r="I67" s="75" t="str">
        <f>IF(VLOOKUP(B67,Instruções!$F$13:$J$17,5,0)="",
"(SELECT "&amp;VLOOKUP(B67,Instruções!$F$13:$J$17,4,0)&amp;" as "&amp;VLOOKUP(B67,Instruções!$F$13:$J$17,4,0)&amp;"_"&amp;$G$2&amp;", "&amp;E67&amp;" as "&amp;G67&amp;" FROM "&amp;D67&amp;" WHERE "&amp;Instruções!$D$21&amp;") B ",
"(SELECT "&amp;VLOOKUP(B67,Instruções!$F$13:$J$17,4,0)&amp;" as "&amp;VLOOKUP(B67,Instruções!$F$13:$J$17,4,0)&amp;"_"&amp;$G$2&amp;", "&amp;VLOOKUP(B67,Instruções!$F$13:$J$17,5,0)&amp;" as "&amp;VLOOKUP(B67,Instruções!$F$13:$J$17,5,0)&amp;"_"&amp;$G$2&amp;","&amp;E67&amp;" as "&amp;G67&amp;" FROM "&amp;D67&amp;" WHERE "&amp;Instruções!$D$21&amp;") B ")</f>
        <v xml:space="preserve">(SELECT entty_id as entty_id_, gdwill as gdwill_to_be FROM bu_loantape_work.lt003_entity WHERE ref_date='2024-09-30' AND nome_perimetro='Individual Corporativo' AND segmento='ESTR' AND ambito='PM' AND entidade='00100' ) B </v>
      </c>
      <c r="J67" s="75" t="str">
        <f>+IF(VLOOKUP(B67,Instruções!$F$13:$J$17,5,0)="", "ON "&amp;VLOOKUP(B67,Instruções!$F$13:$J$17,4,0)&amp;"_"&amp;$F$7&amp;"="&amp;VLOOKUP(B67,Instruções!$F$13:$J$17,4,0)&amp;"_"&amp;$G$7&amp;" ", "ON "&amp;VLOOKUP(B67,Instruções!$F$13:$J$17,4,0)&amp;"_"&amp;$F$7&amp;"="&amp;VLOOKUP(B67,Instruções!$F$13:$J$17,4,0)&amp;"_"&amp;$G$7&amp;" AND "&amp;VLOOKUP(B67,Instruções!$F$13:$J$17,5,0)&amp;"_"&amp;$F$7&amp;"="&amp;VLOOKUP(B67,Instruções!$F$13:$J$17,5,0)&amp;"_"&amp;$G$7&amp;" ")</f>
        <v xml:space="preserve">ON entty_id_as_is=entty_id_to_be </v>
      </c>
      <c r="K67" s="75" t="str">
        <f t="shared" si="10"/>
        <v xml:space="preserve">WHERE coalesce(cast(gdwill_as_is AS string),'')&lt;&gt;coalesce(cast(gdwill_to_be AS string),'') </v>
      </c>
      <c r="L67" s="75" t="str">
        <f t="shared" si="11"/>
        <v xml:space="preserve">SELECT count(*) AS NUM_REG_DIF FROM (SELECT entty_id as entty_id_, gdwill as gdwill_as_is FROM cd_loan_tapes_bce.lt003_entity WHERE ref_date='2024-09-30' AND nome_perimetro='Individual Corporativo' AND segmento='ESTR' AND ambito='PM' AND entidade='00100' ) A  Inner join (SELECT entty_id as entty_id_, gdwill as gdwill_to_be FROM bu_loantape_work.lt003_entity WHERE ref_date='2024-09-30' AND nome_perimetro='Individual Corporativo' AND segmento='ESTR' AND ambito='PM' AND entidade='00100' ) B ON entty_id_as_is=entty_id_to_be WHERE coalesce(cast(gdwill_as_is AS string),'')&lt;&gt;coalesce(cast(gdwill_to_be AS string),'') </v>
      </c>
      <c r="M67" s="75" t="s">
        <v>55</v>
      </c>
      <c r="N67" s="75" t="str">
        <f>"SELECT 'Validação de campos' as tipologia_teste, '"&amp;VLOOKUP(B67,Instruções!$F$13:$J$17,3,0)&amp;"' AS TABELA, '"&amp;E67&amp;"' AS CAMPO, '"&amp;Instruções!$D$15&amp;"' as ref_date, coalesce(NUM_REG_DIF, 0) AS NUM_REG_DIF FROM ("&amp;L67&amp;") A "</f>
        <v xml:space="preserve">SELECT 'Validação de campos' as tipologia_teste, 'lt003_entity' AS TABELA, 'gdwill' AS CAMPO, '2024-09-30' as ref_date, coalesce(NUM_REG_DIF, 0) AS NUM_REG_DIF FROM (SELECT count(*) AS NUM_REG_DIF FROM (SELECT entty_id as entty_id_, gdwill as gdwill_as_is FROM cd_loan_tapes_bce.lt003_entity WHERE ref_date='2024-09-30' AND nome_perimetro='Individual Corporativo' AND segmento='ESTR' AND ambito='PM' AND entidade='00100' ) A  Inner join (SELECT entty_id as entty_id_, gdwill as gdwill_to_be FROM bu_loantape_work.lt003_entity WHERE ref_date='2024-09-30' AND nome_perimetro='Individual Corporativo' AND segmento='ESTR' AND ambito='PM' AND entidade='00100' ) B ON entty_id_as_is=entty_id_to_be WHERE coalesce(cast(gdwill_as_is AS string),'')&lt;&gt;coalesce(cast(gdwill_to_be AS string),'') ) A </v>
      </c>
      <c r="O67" s="76" t="str">
        <f t="shared" si="12"/>
        <v>SELECT 'Validação de campos' as tipologia_teste, 'lt003_entity' AS TABELA, 'gdwill' AS CAMPO, '2024-09-30' as ref_date, coalesce(NUM_REG_DIF, 0) AS NUM_REG_DIF FROM (SELECT count(*) AS NUM_REG_DIF FROM (SELECT entty_id as entty_id_, gdwill as gdwill_as_is FROM cd_loan_tapes_bce.lt003_entity WHERE ref_date='2024-09-30' AND nome_perimetro='Individual Corporativo' AND segmento='ESTR' AND ambito='PM' AND entidade='00100' ) A  Inner join (SELECT entty_id as entty_id_, gdwill as gdwill_to_be FROM bu_loantape_work.lt003_entity WHERE ref_date='2024-09-30' AND nome_perimetro='Individual Corporativo' AND segmento='ESTR' AND ambito='PM' AND entidade='00100' ) B ON entty_id_as_is=entty_id_to_be WHERE coalesce(cast(gdwill_as_is AS string),'')&lt;&gt;coalesce(cast(gdwill_to_be AS string),'') ) A Union all</v>
      </c>
      <c r="P67" s="75">
        <f t="shared" si="13"/>
        <v>8</v>
      </c>
    </row>
    <row r="68" spans="2:16" s="63" customFormat="1" ht="18" customHeight="1">
      <c r="B68" s="75" t="s">
        <v>11</v>
      </c>
      <c r="C68" s="75" t="str">
        <f>_xlfn.CONCAT(Instruções!$D$13,".",VLOOKUP(B68,Instruções!$F$12:$H$17,2,0))</f>
        <v>cd_loan_tapes_bce.lt003_entity</v>
      </c>
      <c r="D68" s="75" t="str">
        <f>_xlfn.CONCAT(Instruções!$D$14,".",VLOOKUP(B68,Instruções!$F$12:$H$17,3,0))</f>
        <v>bu_loantape_work.lt003_entity</v>
      </c>
      <c r="E68" s="75" t="s">
        <v>113</v>
      </c>
      <c r="F68" s="75" t="str">
        <f t="shared" si="8"/>
        <v>gdwill_prvs_as_is</v>
      </c>
      <c r="G68" s="75" t="str">
        <f t="shared" si="9"/>
        <v>gdwill_prvs_to_be</v>
      </c>
      <c r="H68" s="75" t="str">
        <f>IF(VLOOKUP(B68,Instruções!$F$13:$J$17,5,0)="",
"(SELECT "&amp;VLOOKUP(B68,Instruções!$F$13:$J$17,4,0)&amp;" as "&amp;VLOOKUP(B68,Instruções!$F$13:$J$17,4,0)&amp;"_"&amp;$F$2&amp;", "&amp;E68&amp;" as "&amp;F68&amp;" FROM "&amp;C68&amp;" WHERE "&amp;Instruções!$D$20&amp;") A ",
"(SELECT "&amp;VLOOKUP(B68,Instruções!$F$13:$J$17,4,0)&amp;" as "&amp;VLOOKUP(B68,Instruções!$F$13:$J$17,4,0)&amp;"_"&amp;$F$2&amp;", "&amp;VLOOKUP(B68,Instruções!$F$13:$J$17,5,0)&amp;" as "&amp;VLOOKUP(B68,Instruções!$F$13:$J$17,5,0)&amp;"_"&amp;$F$2&amp;","&amp;E68&amp;" as "&amp;F68&amp;" FROM "&amp;C68&amp;" WHERE "&amp;Instruções!$D$20&amp;") A ")</f>
        <v xml:space="preserve">(SELECT entty_id as entty_id_, gdwill_prvs as gdwill_prvs_as_is FROM cd_loan_tapes_bce.lt003_entity WHERE ref_date='2024-09-30' AND nome_perimetro='Individual Corporativo' AND segmento='ESTR' AND ambito='PM' AND entidade='00100' ) A </v>
      </c>
      <c r="I68" s="75" t="str">
        <f>IF(VLOOKUP(B68,Instruções!$F$13:$J$17,5,0)="",
"(SELECT "&amp;VLOOKUP(B68,Instruções!$F$13:$J$17,4,0)&amp;" as "&amp;VLOOKUP(B68,Instruções!$F$13:$J$17,4,0)&amp;"_"&amp;$G$2&amp;", "&amp;E68&amp;" as "&amp;G68&amp;" FROM "&amp;D68&amp;" WHERE "&amp;Instruções!$D$21&amp;") B ",
"(SELECT "&amp;VLOOKUP(B68,Instruções!$F$13:$J$17,4,0)&amp;" as "&amp;VLOOKUP(B68,Instruções!$F$13:$J$17,4,0)&amp;"_"&amp;$G$2&amp;", "&amp;VLOOKUP(B68,Instruções!$F$13:$J$17,5,0)&amp;" as "&amp;VLOOKUP(B68,Instruções!$F$13:$J$17,5,0)&amp;"_"&amp;$G$2&amp;","&amp;E68&amp;" as "&amp;G68&amp;" FROM "&amp;D68&amp;" WHERE "&amp;Instruções!$D$21&amp;") B ")</f>
        <v xml:space="preserve">(SELECT entty_id as entty_id_, gdwill_prvs as gdwill_prvs_to_be FROM bu_loantape_work.lt003_entity WHERE ref_date='2024-09-30' AND nome_perimetro='Individual Corporativo' AND segmento='ESTR' AND ambito='PM' AND entidade='00100' ) B </v>
      </c>
      <c r="J68" s="75" t="str">
        <f>+IF(VLOOKUP(B68,Instruções!$F$13:$J$17,5,0)="", "ON "&amp;VLOOKUP(B68,Instruções!$F$13:$J$17,4,0)&amp;"_"&amp;$F$7&amp;"="&amp;VLOOKUP(B68,Instruções!$F$13:$J$17,4,0)&amp;"_"&amp;$G$7&amp;" ", "ON "&amp;VLOOKUP(B68,Instruções!$F$13:$J$17,4,0)&amp;"_"&amp;$F$7&amp;"="&amp;VLOOKUP(B68,Instruções!$F$13:$J$17,4,0)&amp;"_"&amp;$G$7&amp;" AND "&amp;VLOOKUP(B68,Instruções!$F$13:$J$17,5,0)&amp;"_"&amp;$F$7&amp;"="&amp;VLOOKUP(B68,Instruções!$F$13:$J$17,5,0)&amp;"_"&amp;$G$7&amp;" ")</f>
        <v xml:space="preserve">ON entty_id_as_is=entty_id_to_be </v>
      </c>
      <c r="K68" s="75" t="str">
        <f t="shared" si="10"/>
        <v xml:space="preserve">WHERE coalesce(cast(gdwill_prvs_as_is AS string),'')&lt;&gt;coalesce(cast(gdwill_prvs_to_be AS string),'') </v>
      </c>
      <c r="L68" s="75" t="str">
        <f t="shared" si="11"/>
        <v xml:space="preserve">SELECT count(*) AS NUM_REG_DIF FROM (SELECT entty_id as entty_id_, gdwill_prvs as gdwill_prvs_as_is FROM cd_loan_tapes_bce.lt003_entity WHERE ref_date='2024-09-30' AND nome_perimetro='Individual Corporativo' AND segmento='ESTR' AND ambito='PM' AND entidade='00100' ) A  Inner join (SELECT entty_id as entty_id_, gdwill_prvs as gdwill_prvs_to_be FROM bu_loantape_work.lt003_entity WHERE ref_date='2024-09-30' AND nome_perimetro='Individual Corporativo' AND segmento='ESTR' AND ambito='PM' AND entidade='00100' ) B ON entty_id_as_is=entty_id_to_be WHERE coalesce(cast(gdwill_prvs_as_is AS string),'')&lt;&gt;coalesce(cast(gdwill_prvs_to_be AS string),'') </v>
      </c>
      <c r="M68" s="75" t="s">
        <v>55</v>
      </c>
      <c r="N68" s="75" t="str">
        <f>"SELECT 'Validação de campos' as tipologia_teste, '"&amp;VLOOKUP(B68,Instruções!$F$13:$J$17,3,0)&amp;"' AS TABELA, '"&amp;E68&amp;"' AS CAMPO, '"&amp;Instruções!$D$15&amp;"' as ref_date, coalesce(NUM_REG_DIF, 0) AS NUM_REG_DIF FROM ("&amp;L68&amp;") A "</f>
        <v xml:space="preserve">SELECT 'Validação de campos' as tipologia_teste, 'lt003_entity' AS TABELA, 'gdwill_prvs' AS CAMPO, '2024-09-30' as ref_date, coalesce(NUM_REG_DIF, 0) AS NUM_REG_DIF FROM (SELECT count(*) AS NUM_REG_DIF FROM (SELECT entty_id as entty_id_, gdwill_prvs as gdwill_prvs_as_is FROM cd_loan_tapes_bce.lt003_entity WHERE ref_date='2024-09-30' AND nome_perimetro='Individual Corporativo' AND segmento='ESTR' AND ambito='PM' AND entidade='00100' ) A  Inner join (SELECT entty_id as entty_id_, gdwill_prvs as gdwill_prvs_to_be FROM bu_loantape_work.lt003_entity WHERE ref_date='2024-09-30' AND nome_perimetro='Individual Corporativo' AND segmento='ESTR' AND ambito='PM' AND entidade='00100' ) B ON entty_id_as_is=entty_id_to_be WHERE coalesce(cast(gdwill_prvs_as_is AS string),'')&lt;&gt;coalesce(cast(gdwill_prvs_to_be AS string),'') ) A </v>
      </c>
      <c r="O68" s="76" t="str">
        <f t="shared" si="12"/>
        <v>SELECT 'Validação de campos' as tipologia_teste, 'lt003_entity' AS TABELA, 'gdwill_prvs' AS CAMPO, '2024-09-30' as ref_date, coalesce(NUM_REG_DIF, 0) AS NUM_REG_DIF FROM (SELECT count(*) AS NUM_REG_DIF FROM (SELECT entty_id as entty_id_, gdwill_prvs as gdwill_prvs_as_is FROM cd_loan_tapes_bce.lt003_entity WHERE ref_date='2024-09-30' AND nome_perimetro='Individual Corporativo' AND segmento='ESTR' AND ambito='PM' AND entidade='00100' ) A  Inner join (SELECT entty_id as entty_id_, gdwill_prvs as gdwill_prvs_to_be FROM bu_loantape_work.lt003_entity WHERE ref_date='2024-09-30' AND nome_perimetro='Individual Corporativo' AND segmento='ESTR' AND ambito='PM' AND entidade='00100' ) B ON entty_id_as_is=entty_id_to_be WHERE coalesce(cast(gdwill_prvs_as_is AS string),'')&lt;&gt;coalesce(cast(gdwill_prvs_to_be AS string),'') ) A Union all</v>
      </c>
      <c r="P68" s="75">
        <f t="shared" si="13"/>
        <v>9</v>
      </c>
    </row>
    <row r="69" spans="2:16" s="63" customFormat="1" ht="18" customHeight="1">
      <c r="B69" s="75" t="s">
        <v>11</v>
      </c>
      <c r="C69" s="75" t="str">
        <f>_xlfn.CONCAT(Instruções!$D$13,".",VLOOKUP(B69,Instruções!$F$12:$H$17,2,0))</f>
        <v>cd_loan_tapes_bce.lt003_entity</v>
      </c>
      <c r="D69" s="75" t="str">
        <f>_xlfn.CONCAT(Instruções!$D$14,".",VLOOKUP(B69,Instruções!$F$12:$H$17,3,0))</f>
        <v>bu_loantape_work.lt003_entity</v>
      </c>
      <c r="E69" s="75" t="s">
        <v>114</v>
      </c>
      <c r="F69" s="75" t="str">
        <f t="shared" si="8"/>
        <v>grp_ebitda_as_is</v>
      </c>
      <c r="G69" s="75" t="str">
        <f t="shared" si="9"/>
        <v>grp_ebitda_to_be</v>
      </c>
      <c r="H69" s="75" t="str">
        <f>IF(VLOOKUP(B69,Instruções!$F$13:$J$17,5,0)="",
"(SELECT "&amp;VLOOKUP(B69,Instruções!$F$13:$J$17,4,0)&amp;" as "&amp;VLOOKUP(B69,Instruções!$F$13:$J$17,4,0)&amp;"_"&amp;$F$2&amp;", "&amp;E69&amp;" as "&amp;F69&amp;" FROM "&amp;C69&amp;" WHERE "&amp;Instruções!$D$20&amp;") A ",
"(SELECT "&amp;VLOOKUP(B69,Instruções!$F$13:$J$17,4,0)&amp;" as "&amp;VLOOKUP(B69,Instruções!$F$13:$J$17,4,0)&amp;"_"&amp;$F$2&amp;", "&amp;VLOOKUP(B69,Instruções!$F$13:$J$17,5,0)&amp;" as "&amp;VLOOKUP(B69,Instruções!$F$13:$J$17,5,0)&amp;"_"&amp;$F$2&amp;","&amp;E69&amp;" as "&amp;F69&amp;" FROM "&amp;C69&amp;" WHERE "&amp;Instruções!$D$20&amp;") A ")</f>
        <v xml:space="preserve">(SELECT entty_id as entty_id_, grp_ebitda as grp_ebitda_as_is FROM cd_loan_tapes_bce.lt003_entity WHERE ref_date='2024-09-30' AND nome_perimetro='Individual Corporativo' AND segmento='ESTR' AND ambito='PM' AND entidade='00100' ) A </v>
      </c>
      <c r="I69" s="75" t="str">
        <f>IF(VLOOKUP(B69,Instruções!$F$13:$J$17,5,0)="",
"(SELECT "&amp;VLOOKUP(B69,Instruções!$F$13:$J$17,4,0)&amp;" as "&amp;VLOOKUP(B69,Instruções!$F$13:$J$17,4,0)&amp;"_"&amp;$G$2&amp;", "&amp;E69&amp;" as "&amp;G69&amp;" FROM "&amp;D69&amp;" WHERE "&amp;Instruções!$D$21&amp;") B ",
"(SELECT "&amp;VLOOKUP(B69,Instruções!$F$13:$J$17,4,0)&amp;" as "&amp;VLOOKUP(B69,Instruções!$F$13:$J$17,4,0)&amp;"_"&amp;$G$2&amp;", "&amp;VLOOKUP(B69,Instruções!$F$13:$J$17,5,0)&amp;" as "&amp;VLOOKUP(B69,Instruções!$F$13:$J$17,5,0)&amp;"_"&amp;$G$2&amp;","&amp;E69&amp;" as "&amp;G69&amp;" FROM "&amp;D69&amp;" WHERE "&amp;Instruções!$D$21&amp;") B ")</f>
        <v xml:space="preserve">(SELECT entty_id as entty_id_, grp_ebitda as grp_ebitda_to_be FROM bu_loantape_work.lt003_entity WHERE ref_date='2024-09-30' AND nome_perimetro='Individual Corporativo' AND segmento='ESTR' AND ambito='PM' AND entidade='00100' ) B </v>
      </c>
      <c r="J69" s="75" t="str">
        <f>+IF(VLOOKUP(B69,Instruções!$F$13:$J$17,5,0)="", "ON "&amp;VLOOKUP(B69,Instruções!$F$13:$J$17,4,0)&amp;"_"&amp;$F$7&amp;"="&amp;VLOOKUP(B69,Instruções!$F$13:$J$17,4,0)&amp;"_"&amp;$G$7&amp;" ", "ON "&amp;VLOOKUP(B69,Instruções!$F$13:$J$17,4,0)&amp;"_"&amp;$F$7&amp;"="&amp;VLOOKUP(B69,Instruções!$F$13:$J$17,4,0)&amp;"_"&amp;$G$7&amp;" AND "&amp;VLOOKUP(B69,Instruções!$F$13:$J$17,5,0)&amp;"_"&amp;$F$7&amp;"="&amp;VLOOKUP(B69,Instruções!$F$13:$J$17,5,0)&amp;"_"&amp;$G$7&amp;" ")</f>
        <v xml:space="preserve">ON entty_id_as_is=entty_id_to_be </v>
      </c>
      <c r="K69" s="75" t="str">
        <f t="shared" si="10"/>
        <v xml:space="preserve">WHERE coalesce(cast(grp_ebitda_as_is AS string),'')&lt;&gt;coalesce(cast(grp_ebitda_to_be AS string),'') </v>
      </c>
      <c r="L69" s="75" t="str">
        <f t="shared" si="11"/>
        <v xml:space="preserve">SELECT count(*) AS NUM_REG_DIF FROM (SELECT entty_id as entty_id_, grp_ebitda as grp_ebitda_as_is FROM cd_loan_tapes_bce.lt003_entity WHERE ref_date='2024-09-30' AND nome_perimetro='Individual Corporativo' AND segmento='ESTR' AND ambito='PM' AND entidade='00100' ) A  Inner join (SELECT entty_id as entty_id_, grp_ebitda as grp_ebitda_to_be FROM bu_loantape_work.lt003_entity WHERE ref_date='2024-09-30' AND nome_perimetro='Individual Corporativo' AND segmento='ESTR' AND ambito='PM' AND entidade='00100' ) B ON entty_id_as_is=entty_id_to_be WHERE coalesce(cast(grp_ebitda_as_is AS string),'')&lt;&gt;coalesce(cast(grp_ebitda_to_be AS string),'') </v>
      </c>
      <c r="M69" s="75" t="s">
        <v>55</v>
      </c>
      <c r="N69" s="75" t="str">
        <f>"SELECT 'Validação de campos' as tipologia_teste, '"&amp;VLOOKUP(B69,Instruções!$F$13:$J$17,3,0)&amp;"' AS TABELA, '"&amp;E69&amp;"' AS CAMPO, '"&amp;Instruções!$D$15&amp;"' as ref_date, coalesce(NUM_REG_DIF, 0) AS NUM_REG_DIF FROM ("&amp;L69&amp;") A "</f>
        <v xml:space="preserve">SELECT 'Validação de campos' as tipologia_teste, 'lt003_entity' AS TABELA, 'grp_ebitda' AS CAMPO, '2024-09-30' as ref_date, coalesce(NUM_REG_DIF, 0) AS NUM_REG_DIF FROM (SELECT count(*) AS NUM_REG_DIF FROM (SELECT entty_id as entty_id_, grp_ebitda as grp_ebitda_as_is FROM cd_loan_tapes_bce.lt003_entity WHERE ref_date='2024-09-30' AND nome_perimetro='Individual Corporativo' AND segmento='ESTR' AND ambito='PM' AND entidade='00100' ) A  Inner join (SELECT entty_id as entty_id_, grp_ebitda as grp_ebitda_to_be FROM bu_loantape_work.lt003_entity WHERE ref_date='2024-09-30' AND nome_perimetro='Individual Corporativo' AND segmento='ESTR' AND ambito='PM' AND entidade='00100' ) B ON entty_id_as_is=entty_id_to_be WHERE coalesce(cast(grp_ebitda_as_is AS string),'')&lt;&gt;coalesce(cast(grp_ebitda_to_be AS string),'') ) A </v>
      </c>
      <c r="O69" s="76" t="str">
        <f t="shared" si="12"/>
        <v>SELECT 'Validação de campos' as tipologia_teste, 'lt003_entity' AS TABELA, 'grp_ebitda' AS CAMPO, '2024-09-30' as ref_date, coalesce(NUM_REG_DIF, 0) AS NUM_REG_DIF FROM (SELECT count(*) AS NUM_REG_DIF FROM (SELECT entty_id as entty_id_, grp_ebitda as grp_ebitda_as_is FROM cd_loan_tapes_bce.lt003_entity WHERE ref_date='2024-09-30' AND nome_perimetro='Individual Corporativo' AND segmento='ESTR' AND ambito='PM' AND entidade='00100' ) A  Inner join (SELECT entty_id as entty_id_, grp_ebitda as grp_ebitda_to_be FROM bu_loantape_work.lt003_entity WHERE ref_date='2024-09-30' AND nome_perimetro='Individual Corporativo' AND segmento='ESTR' AND ambito='PM' AND entidade='00100' ) B ON entty_id_as_is=entty_id_to_be WHERE coalesce(cast(grp_ebitda_as_is AS string),'')&lt;&gt;coalesce(cast(grp_ebitda_to_be AS string),'') ) A Union all</v>
      </c>
      <c r="P69" s="75">
        <f t="shared" si="13"/>
        <v>10</v>
      </c>
    </row>
    <row r="70" spans="2:16" s="63" customFormat="1" ht="18" customHeight="1">
      <c r="B70" s="75" t="s">
        <v>11</v>
      </c>
      <c r="C70" s="75" t="str">
        <f>_xlfn.CONCAT(Instruções!$D$13,".",VLOOKUP(B70,Instruções!$F$12:$H$17,2,0))</f>
        <v>cd_loan_tapes_bce.lt003_entity</v>
      </c>
      <c r="D70" s="75" t="str">
        <f>_xlfn.CONCAT(Instruções!$D$14,".",VLOOKUP(B70,Instruções!$F$12:$H$17,3,0))</f>
        <v>bu_loantape_work.lt003_entity</v>
      </c>
      <c r="E70" s="75" t="s">
        <v>115</v>
      </c>
      <c r="F70" s="75" t="str">
        <f t="shared" si="8"/>
        <v>grp_eqty_as_is</v>
      </c>
      <c r="G70" s="75" t="str">
        <f t="shared" si="9"/>
        <v>grp_eqty_to_be</v>
      </c>
      <c r="H70" s="75" t="str">
        <f>IF(VLOOKUP(B70,Instruções!$F$13:$J$17,5,0)="",
"(SELECT "&amp;VLOOKUP(B70,Instruções!$F$13:$J$17,4,0)&amp;" as "&amp;VLOOKUP(B70,Instruções!$F$13:$J$17,4,0)&amp;"_"&amp;$F$2&amp;", "&amp;E70&amp;" as "&amp;F70&amp;" FROM "&amp;C70&amp;" WHERE "&amp;Instruções!$D$20&amp;") A ",
"(SELECT "&amp;VLOOKUP(B70,Instruções!$F$13:$J$17,4,0)&amp;" as "&amp;VLOOKUP(B70,Instruções!$F$13:$J$17,4,0)&amp;"_"&amp;$F$2&amp;", "&amp;VLOOKUP(B70,Instruções!$F$13:$J$17,5,0)&amp;" as "&amp;VLOOKUP(B70,Instruções!$F$13:$J$17,5,0)&amp;"_"&amp;$F$2&amp;","&amp;E70&amp;" as "&amp;F70&amp;" FROM "&amp;C70&amp;" WHERE "&amp;Instruções!$D$20&amp;") A ")</f>
        <v xml:space="preserve">(SELECT entty_id as entty_id_, grp_eqty as grp_eqty_as_is FROM cd_loan_tapes_bce.lt003_entity WHERE ref_date='2024-09-30' AND nome_perimetro='Individual Corporativo' AND segmento='ESTR' AND ambito='PM' AND entidade='00100' ) A </v>
      </c>
      <c r="I70" s="75" t="str">
        <f>IF(VLOOKUP(B70,Instruções!$F$13:$J$17,5,0)="",
"(SELECT "&amp;VLOOKUP(B70,Instruções!$F$13:$J$17,4,0)&amp;" as "&amp;VLOOKUP(B70,Instruções!$F$13:$J$17,4,0)&amp;"_"&amp;$G$2&amp;", "&amp;E70&amp;" as "&amp;G70&amp;" FROM "&amp;D70&amp;" WHERE "&amp;Instruções!$D$21&amp;") B ",
"(SELECT "&amp;VLOOKUP(B70,Instruções!$F$13:$J$17,4,0)&amp;" as "&amp;VLOOKUP(B70,Instruções!$F$13:$J$17,4,0)&amp;"_"&amp;$G$2&amp;", "&amp;VLOOKUP(B70,Instruções!$F$13:$J$17,5,0)&amp;" as "&amp;VLOOKUP(B70,Instruções!$F$13:$J$17,5,0)&amp;"_"&amp;$G$2&amp;","&amp;E70&amp;" as "&amp;G70&amp;" FROM "&amp;D70&amp;" WHERE "&amp;Instruções!$D$21&amp;") B ")</f>
        <v xml:space="preserve">(SELECT entty_id as entty_id_, grp_eqty as grp_eqty_to_be FROM bu_loantape_work.lt003_entity WHERE ref_date='2024-09-30' AND nome_perimetro='Individual Corporativo' AND segmento='ESTR' AND ambito='PM' AND entidade='00100' ) B </v>
      </c>
      <c r="J70" s="75" t="str">
        <f>+IF(VLOOKUP(B70,Instruções!$F$13:$J$17,5,0)="", "ON "&amp;VLOOKUP(B70,Instruções!$F$13:$J$17,4,0)&amp;"_"&amp;$F$7&amp;"="&amp;VLOOKUP(B70,Instruções!$F$13:$J$17,4,0)&amp;"_"&amp;$G$7&amp;" ", "ON "&amp;VLOOKUP(B70,Instruções!$F$13:$J$17,4,0)&amp;"_"&amp;$F$7&amp;"="&amp;VLOOKUP(B70,Instruções!$F$13:$J$17,4,0)&amp;"_"&amp;$G$7&amp;" AND "&amp;VLOOKUP(B70,Instruções!$F$13:$J$17,5,0)&amp;"_"&amp;$F$7&amp;"="&amp;VLOOKUP(B70,Instruções!$F$13:$J$17,5,0)&amp;"_"&amp;$G$7&amp;" ")</f>
        <v xml:space="preserve">ON entty_id_as_is=entty_id_to_be </v>
      </c>
      <c r="K70" s="75" t="str">
        <f t="shared" si="10"/>
        <v xml:space="preserve">WHERE coalesce(cast(grp_eqty_as_is AS string),'')&lt;&gt;coalesce(cast(grp_eqty_to_be AS string),'') </v>
      </c>
      <c r="L70" s="75" t="str">
        <f t="shared" si="11"/>
        <v xml:space="preserve">SELECT count(*) AS NUM_REG_DIF FROM (SELECT entty_id as entty_id_, grp_eqty as grp_eqty_as_is FROM cd_loan_tapes_bce.lt003_entity WHERE ref_date='2024-09-30' AND nome_perimetro='Individual Corporativo' AND segmento='ESTR' AND ambito='PM' AND entidade='00100' ) A  Inner join (SELECT entty_id as entty_id_, grp_eqty as grp_eqty_to_be FROM bu_loantape_work.lt003_entity WHERE ref_date='2024-09-30' AND nome_perimetro='Individual Corporativo' AND segmento='ESTR' AND ambito='PM' AND entidade='00100' ) B ON entty_id_as_is=entty_id_to_be WHERE coalesce(cast(grp_eqty_as_is AS string),'')&lt;&gt;coalesce(cast(grp_eqty_to_be AS string),'') </v>
      </c>
      <c r="M70" s="75" t="s">
        <v>55</v>
      </c>
      <c r="N70" s="75" t="str">
        <f>"SELECT 'Validação de campos' as tipologia_teste, '"&amp;VLOOKUP(B70,Instruções!$F$13:$J$17,3,0)&amp;"' AS TABELA, '"&amp;E70&amp;"' AS CAMPO, '"&amp;Instruções!$D$15&amp;"' as ref_date, coalesce(NUM_REG_DIF, 0) AS NUM_REG_DIF FROM ("&amp;L70&amp;") A "</f>
        <v xml:space="preserve">SELECT 'Validação de campos' as tipologia_teste, 'lt003_entity' AS TABELA, 'grp_eqty' AS CAMPO, '2024-09-30' as ref_date, coalesce(NUM_REG_DIF, 0) AS NUM_REG_DIF FROM (SELECT count(*) AS NUM_REG_DIF FROM (SELECT entty_id as entty_id_, grp_eqty as grp_eqty_as_is FROM cd_loan_tapes_bce.lt003_entity WHERE ref_date='2024-09-30' AND nome_perimetro='Individual Corporativo' AND segmento='ESTR' AND ambito='PM' AND entidade='00100' ) A  Inner join (SELECT entty_id as entty_id_, grp_eqty as grp_eqty_to_be FROM bu_loantape_work.lt003_entity WHERE ref_date='2024-09-30' AND nome_perimetro='Individual Corporativo' AND segmento='ESTR' AND ambito='PM' AND entidade='00100' ) B ON entty_id_as_is=entty_id_to_be WHERE coalesce(cast(grp_eqty_as_is AS string),'')&lt;&gt;coalesce(cast(grp_eqty_to_be AS string),'') ) A </v>
      </c>
      <c r="O70" s="76" t="str">
        <f t="shared" si="12"/>
        <v>SELECT 'Validação de campos' as tipologia_teste, 'lt003_entity' AS TABELA, 'grp_eqty' AS CAMPO, '2024-09-30' as ref_date, coalesce(NUM_REG_DIF, 0) AS NUM_REG_DIF FROM (SELECT count(*) AS NUM_REG_DIF FROM (SELECT entty_id as entty_id_, grp_eqty as grp_eqty_as_is FROM cd_loan_tapes_bce.lt003_entity WHERE ref_date='2024-09-30' AND nome_perimetro='Individual Corporativo' AND segmento='ESTR' AND ambito='PM' AND entidade='00100' ) A  Inner join (SELECT entty_id as entty_id_, grp_eqty as grp_eqty_to_be FROM bu_loantape_work.lt003_entity WHERE ref_date='2024-09-30' AND nome_perimetro='Individual Corporativo' AND segmento='ESTR' AND ambito='PM' AND entidade='00100' ) B ON entty_id_as_is=entty_id_to_be WHERE coalesce(cast(grp_eqty_as_is AS string),'')&lt;&gt;coalesce(cast(grp_eqty_to_be AS string),'') ) A Union all</v>
      </c>
      <c r="P70" s="75">
        <f t="shared" si="13"/>
        <v>11</v>
      </c>
    </row>
    <row r="71" spans="2:16" s="63" customFormat="1" ht="18" customHeight="1">
      <c r="B71" s="75" t="s">
        <v>11</v>
      </c>
      <c r="C71" s="75" t="str">
        <f>_xlfn.CONCAT(Instruções!$D$13,".",VLOOKUP(B71,Instruções!$F$12:$H$17,2,0))</f>
        <v>cd_loan_tapes_bce.lt003_entity</v>
      </c>
      <c r="D71" s="75" t="str">
        <f>_xlfn.CONCAT(Instruções!$D$14,".",VLOOKUP(B71,Instruções!$F$12:$H$17,3,0))</f>
        <v>bu_loantape_work.lt003_entity</v>
      </c>
      <c r="E71" s="75" t="s">
        <v>116</v>
      </c>
      <c r="F71" s="75" t="str">
        <f t="shared" si="8"/>
        <v>grp_nt_dbt_as_is</v>
      </c>
      <c r="G71" s="75" t="str">
        <f t="shared" si="9"/>
        <v>grp_nt_dbt_to_be</v>
      </c>
      <c r="H71" s="75" t="str">
        <f>IF(VLOOKUP(B71,Instruções!$F$13:$J$17,5,0)="",
"(SELECT "&amp;VLOOKUP(B71,Instruções!$F$13:$J$17,4,0)&amp;" as "&amp;VLOOKUP(B71,Instruções!$F$13:$J$17,4,0)&amp;"_"&amp;$F$2&amp;", "&amp;E71&amp;" as "&amp;F71&amp;" FROM "&amp;C71&amp;" WHERE "&amp;Instruções!$D$20&amp;") A ",
"(SELECT "&amp;VLOOKUP(B71,Instruções!$F$13:$J$17,4,0)&amp;" as "&amp;VLOOKUP(B71,Instruções!$F$13:$J$17,4,0)&amp;"_"&amp;$F$2&amp;", "&amp;VLOOKUP(B71,Instruções!$F$13:$J$17,5,0)&amp;" as "&amp;VLOOKUP(B71,Instruções!$F$13:$J$17,5,0)&amp;"_"&amp;$F$2&amp;","&amp;E71&amp;" as "&amp;F71&amp;" FROM "&amp;C71&amp;" WHERE "&amp;Instruções!$D$20&amp;") A ")</f>
        <v xml:space="preserve">(SELECT entty_id as entty_id_, grp_nt_dbt as grp_nt_dbt_as_is FROM cd_loan_tapes_bce.lt003_entity WHERE ref_date='2024-09-30' AND nome_perimetro='Individual Corporativo' AND segmento='ESTR' AND ambito='PM' AND entidade='00100' ) A </v>
      </c>
      <c r="I71" s="75" t="str">
        <f>IF(VLOOKUP(B71,Instruções!$F$13:$J$17,5,0)="",
"(SELECT "&amp;VLOOKUP(B71,Instruções!$F$13:$J$17,4,0)&amp;" as "&amp;VLOOKUP(B71,Instruções!$F$13:$J$17,4,0)&amp;"_"&amp;$G$2&amp;", "&amp;E71&amp;" as "&amp;G71&amp;" FROM "&amp;D71&amp;" WHERE "&amp;Instruções!$D$21&amp;") B ",
"(SELECT "&amp;VLOOKUP(B71,Instruções!$F$13:$J$17,4,0)&amp;" as "&amp;VLOOKUP(B71,Instruções!$F$13:$J$17,4,0)&amp;"_"&amp;$G$2&amp;", "&amp;VLOOKUP(B71,Instruções!$F$13:$J$17,5,0)&amp;" as "&amp;VLOOKUP(B71,Instruções!$F$13:$J$17,5,0)&amp;"_"&amp;$G$2&amp;","&amp;E71&amp;" as "&amp;G71&amp;" FROM "&amp;D71&amp;" WHERE "&amp;Instruções!$D$21&amp;") B ")</f>
        <v xml:space="preserve">(SELECT entty_id as entty_id_, grp_nt_dbt as grp_nt_dbt_to_be FROM bu_loantape_work.lt003_entity WHERE ref_date='2024-09-30' AND nome_perimetro='Individual Corporativo' AND segmento='ESTR' AND ambito='PM' AND entidade='00100' ) B </v>
      </c>
      <c r="J71" s="75" t="str">
        <f>+IF(VLOOKUP(B71,Instruções!$F$13:$J$17,5,0)="", "ON "&amp;VLOOKUP(B71,Instruções!$F$13:$J$17,4,0)&amp;"_"&amp;$F$7&amp;"="&amp;VLOOKUP(B71,Instruções!$F$13:$J$17,4,0)&amp;"_"&amp;$G$7&amp;" ", "ON "&amp;VLOOKUP(B71,Instruções!$F$13:$J$17,4,0)&amp;"_"&amp;$F$7&amp;"="&amp;VLOOKUP(B71,Instruções!$F$13:$J$17,4,0)&amp;"_"&amp;$G$7&amp;" AND "&amp;VLOOKUP(B71,Instruções!$F$13:$J$17,5,0)&amp;"_"&amp;$F$7&amp;"="&amp;VLOOKUP(B71,Instruções!$F$13:$J$17,5,0)&amp;"_"&amp;$G$7&amp;" ")</f>
        <v xml:space="preserve">ON entty_id_as_is=entty_id_to_be </v>
      </c>
      <c r="K71" s="75" t="str">
        <f t="shared" si="10"/>
        <v xml:space="preserve">WHERE coalesce(cast(grp_nt_dbt_as_is AS string),'')&lt;&gt;coalesce(cast(grp_nt_dbt_to_be AS string),'') </v>
      </c>
      <c r="L71" s="75" t="str">
        <f t="shared" si="11"/>
        <v xml:space="preserve">SELECT count(*) AS NUM_REG_DIF FROM (SELECT entty_id as entty_id_, grp_nt_dbt as grp_nt_dbt_as_is FROM cd_loan_tapes_bce.lt003_entity WHERE ref_date='2024-09-30' AND nome_perimetro='Individual Corporativo' AND segmento='ESTR' AND ambito='PM' AND entidade='00100' ) A  Inner join (SELECT entty_id as entty_id_, grp_nt_dbt as grp_nt_dbt_to_be FROM bu_loantape_work.lt003_entity WHERE ref_date='2024-09-30' AND nome_perimetro='Individual Corporativo' AND segmento='ESTR' AND ambito='PM' AND entidade='00100' ) B ON entty_id_as_is=entty_id_to_be WHERE coalesce(cast(grp_nt_dbt_as_is AS string),'')&lt;&gt;coalesce(cast(grp_nt_dbt_to_be AS string),'') </v>
      </c>
      <c r="M71" s="75" t="s">
        <v>55</v>
      </c>
      <c r="N71" s="75" t="str">
        <f>"SELECT 'Validação de campos' as tipologia_teste, '"&amp;VLOOKUP(B71,Instruções!$F$13:$J$17,3,0)&amp;"' AS TABELA, '"&amp;E71&amp;"' AS CAMPO, '"&amp;Instruções!$D$15&amp;"' as ref_date, coalesce(NUM_REG_DIF, 0) AS NUM_REG_DIF FROM ("&amp;L71&amp;") A "</f>
        <v xml:space="preserve">SELECT 'Validação de campos' as tipologia_teste, 'lt003_entity' AS TABELA, 'grp_nt_dbt' AS CAMPO, '2024-09-30' as ref_date, coalesce(NUM_REG_DIF, 0) AS NUM_REG_DIF FROM (SELECT count(*) AS NUM_REG_DIF FROM (SELECT entty_id as entty_id_, grp_nt_dbt as grp_nt_dbt_as_is FROM cd_loan_tapes_bce.lt003_entity WHERE ref_date='2024-09-30' AND nome_perimetro='Individual Corporativo' AND segmento='ESTR' AND ambito='PM' AND entidade='00100' ) A  Inner join (SELECT entty_id as entty_id_, grp_nt_dbt as grp_nt_dbt_to_be FROM bu_loantape_work.lt003_entity WHERE ref_date='2024-09-30' AND nome_perimetro='Individual Corporativo' AND segmento='ESTR' AND ambito='PM' AND entidade='00100' ) B ON entty_id_as_is=entty_id_to_be WHERE coalesce(cast(grp_nt_dbt_as_is AS string),'')&lt;&gt;coalesce(cast(grp_nt_dbt_to_be AS string),'') ) A </v>
      </c>
      <c r="O71" s="76" t="str">
        <f t="shared" si="12"/>
        <v>SELECT 'Validação de campos' as tipologia_teste, 'lt003_entity' AS TABELA, 'grp_nt_dbt' AS CAMPO, '2024-09-30' as ref_date, coalesce(NUM_REG_DIF, 0) AS NUM_REG_DIF FROM (SELECT count(*) AS NUM_REG_DIF FROM (SELECT entty_id as entty_id_, grp_nt_dbt as grp_nt_dbt_as_is FROM cd_loan_tapes_bce.lt003_entity WHERE ref_date='2024-09-30' AND nome_perimetro='Individual Corporativo' AND segmento='ESTR' AND ambito='PM' AND entidade='00100' ) A  Inner join (SELECT entty_id as entty_id_, grp_nt_dbt as grp_nt_dbt_to_be FROM bu_loantape_work.lt003_entity WHERE ref_date='2024-09-30' AND nome_perimetro='Individual Corporativo' AND segmento='ESTR' AND ambito='PM' AND entidade='00100' ) B ON entty_id_as_is=entty_id_to_be WHERE coalesce(cast(grp_nt_dbt_as_is AS string),'')&lt;&gt;coalesce(cast(grp_nt_dbt_to_be AS string),'') ) A Union all</v>
      </c>
      <c r="P71" s="75">
        <f t="shared" si="13"/>
        <v>12</v>
      </c>
    </row>
    <row r="72" spans="2:16" s="63" customFormat="1" ht="18" customHeight="1">
      <c r="B72" s="75" t="s">
        <v>11</v>
      </c>
      <c r="C72" s="75" t="str">
        <f>_xlfn.CONCAT(Instruções!$D$13,".",VLOOKUP(B72,Instruções!$F$12:$H$17,2,0))</f>
        <v>cd_loan_tapes_bce.lt003_entity</v>
      </c>
      <c r="D72" s="75" t="str">
        <f>_xlfn.CONCAT(Instruções!$D$14,".",VLOOKUP(B72,Instruções!$F$12:$H$17,3,0))</f>
        <v>bu_loantape_work.lt003_entity</v>
      </c>
      <c r="E72" s="75" t="s">
        <v>117</v>
      </c>
      <c r="F72" s="75" t="str">
        <f t="shared" si="8"/>
        <v>grp_rorac_as_is</v>
      </c>
      <c r="G72" s="75" t="str">
        <f t="shared" si="9"/>
        <v>grp_rorac_to_be</v>
      </c>
      <c r="H72" s="75" t="str">
        <f>IF(VLOOKUP(B72,Instruções!$F$13:$J$17,5,0)="",
"(SELECT "&amp;VLOOKUP(B72,Instruções!$F$13:$J$17,4,0)&amp;" as "&amp;VLOOKUP(B72,Instruções!$F$13:$J$17,4,0)&amp;"_"&amp;$F$2&amp;", "&amp;E72&amp;" as "&amp;F72&amp;" FROM "&amp;C72&amp;" WHERE "&amp;Instruções!$D$20&amp;") A ",
"(SELECT "&amp;VLOOKUP(B72,Instruções!$F$13:$J$17,4,0)&amp;" as "&amp;VLOOKUP(B72,Instruções!$F$13:$J$17,4,0)&amp;"_"&amp;$F$2&amp;", "&amp;VLOOKUP(B72,Instruções!$F$13:$J$17,5,0)&amp;" as "&amp;VLOOKUP(B72,Instruções!$F$13:$J$17,5,0)&amp;"_"&amp;$F$2&amp;","&amp;E72&amp;" as "&amp;F72&amp;" FROM "&amp;C72&amp;" WHERE "&amp;Instruções!$D$20&amp;") A ")</f>
        <v xml:space="preserve">(SELECT entty_id as entty_id_, grp_rorac as grp_rorac_as_is FROM cd_loan_tapes_bce.lt003_entity WHERE ref_date='2024-09-30' AND nome_perimetro='Individual Corporativo' AND segmento='ESTR' AND ambito='PM' AND entidade='00100' ) A </v>
      </c>
      <c r="I72" s="75" t="str">
        <f>IF(VLOOKUP(B72,Instruções!$F$13:$J$17,5,0)="",
"(SELECT "&amp;VLOOKUP(B72,Instruções!$F$13:$J$17,4,0)&amp;" as "&amp;VLOOKUP(B72,Instruções!$F$13:$J$17,4,0)&amp;"_"&amp;$G$2&amp;", "&amp;E72&amp;" as "&amp;G72&amp;" FROM "&amp;D72&amp;" WHERE "&amp;Instruções!$D$21&amp;") B ",
"(SELECT "&amp;VLOOKUP(B72,Instruções!$F$13:$J$17,4,0)&amp;" as "&amp;VLOOKUP(B72,Instruções!$F$13:$J$17,4,0)&amp;"_"&amp;$G$2&amp;", "&amp;VLOOKUP(B72,Instruções!$F$13:$J$17,5,0)&amp;" as "&amp;VLOOKUP(B72,Instruções!$F$13:$J$17,5,0)&amp;"_"&amp;$G$2&amp;","&amp;E72&amp;" as "&amp;G72&amp;" FROM "&amp;D72&amp;" WHERE "&amp;Instruções!$D$21&amp;") B ")</f>
        <v xml:space="preserve">(SELECT entty_id as entty_id_, grp_rorac as grp_rorac_to_be FROM bu_loantape_work.lt003_entity WHERE ref_date='2024-09-30' AND nome_perimetro='Individual Corporativo' AND segmento='ESTR' AND ambito='PM' AND entidade='00100' ) B </v>
      </c>
      <c r="J72" s="75" t="str">
        <f>+IF(VLOOKUP(B72,Instruções!$F$13:$J$17,5,0)="", "ON "&amp;VLOOKUP(B72,Instruções!$F$13:$J$17,4,0)&amp;"_"&amp;$F$7&amp;"="&amp;VLOOKUP(B72,Instruções!$F$13:$J$17,4,0)&amp;"_"&amp;$G$7&amp;" ", "ON "&amp;VLOOKUP(B72,Instruções!$F$13:$J$17,4,0)&amp;"_"&amp;$F$7&amp;"="&amp;VLOOKUP(B72,Instruções!$F$13:$J$17,4,0)&amp;"_"&amp;$G$7&amp;" AND "&amp;VLOOKUP(B72,Instruções!$F$13:$J$17,5,0)&amp;"_"&amp;$F$7&amp;"="&amp;VLOOKUP(B72,Instruções!$F$13:$J$17,5,0)&amp;"_"&amp;$G$7&amp;" ")</f>
        <v xml:space="preserve">ON entty_id_as_is=entty_id_to_be </v>
      </c>
      <c r="K72" s="75" t="str">
        <f t="shared" si="10"/>
        <v xml:space="preserve">WHERE coalesce(cast(grp_rorac_as_is AS string),'')&lt;&gt;coalesce(cast(grp_rorac_to_be AS string),'') </v>
      </c>
      <c r="L72" s="75" t="str">
        <f t="shared" si="11"/>
        <v xml:space="preserve">SELECT count(*) AS NUM_REG_DIF FROM (SELECT entty_id as entty_id_, grp_rorac as grp_rorac_as_is FROM cd_loan_tapes_bce.lt003_entity WHERE ref_date='2024-09-30' AND nome_perimetro='Individual Corporativo' AND segmento='ESTR' AND ambito='PM' AND entidade='00100' ) A  Inner join (SELECT entty_id as entty_id_, grp_rorac as grp_rorac_to_be FROM bu_loantape_work.lt003_entity WHERE ref_date='2024-09-30' AND nome_perimetro='Individual Corporativo' AND segmento='ESTR' AND ambito='PM' AND entidade='00100' ) B ON entty_id_as_is=entty_id_to_be WHERE coalesce(cast(grp_rorac_as_is AS string),'')&lt;&gt;coalesce(cast(grp_rorac_to_be AS string),'') </v>
      </c>
      <c r="M72" s="75" t="s">
        <v>55</v>
      </c>
      <c r="N72" s="75" t="str">
        <f>"SELECT 'Validação de campos' as tipologia_teste, '"&amp;VLOOKUP(B72,Instruções!$F$13:$J$17,3,0)&amp;"' AS TABELA, '"&amp;E72&amp;"' AS CAMPO, '"&amp;Instruções!$D$15&amp;"' as ref_date, coalesce(NUM_REG_DIF, 0) AS NUM_REG_DIF FROM ("&amp;L72&amp;") A "</f>
        <v xml:space="preserve">SELECT 'Validação de campos' as tipologia_teste, 'lt003_entity' AS TABELA, 'grp_rorac' AS CAMPO, '2024-09-30' as ref_date, coalesce(NUM_REG_DIF, 0) AS NUM_REG_DIF FROM (SELECT count(*) AS NUM_REG_DIF FROM (SELECT entty_id as entty_id_, grp_rorac as grp_rorac_as_is FROM cd_loan_tapes_bce.lt003_entity WHERE ref_date='2024-09-30' AND nome_perimetro='Individual Corporativo' AND segmento='ESTR' AND ambito='PM' AND entidade='00100' ) A  Inner join (SELECT entty_id as entty_id_, grp_rorac as grp_rorac_to_be FROM bu_loantape_work.lt003_entity WHERE ref_date='2024-09-30' AND nome_perimetro='Individual Corporativo' AND segmento='ESTR' AND ambito='PM' AND entidade='00100' ) B ON entty_id_as_is=entty_id_to_be WHERE coalesce(cast(grp_rorac_as_is AS string),'')&lt;&gt;coalesce(cast(grp_rorac_to_be AS string),'') ) A </v>
      </c>
      <c r="O72" s="76" t="str">
        <f t="shared" si="12"/>
        <v>SELECT 'Validação de campos' as tipologia_teste, 'lt003_entity' AS TABELA, 'grp_rorac' AS CAMPO, '2024-09-30' as ref_date, coalesce(NUM_REG_DIF, 0) AS NUM_REG_DIF FROM (SELECT count(*) AS NUM_REG_DIF FROM (SELECT entty_id as entty_id_, grp_rorac as grp_rorac_as_is FROM cd_loan_tapes_bce.lt003_entity WHERE ref_date='2024-09-30' AND nome_perimetro='Individual Corporativo' AND segmento='ESTR' AND ambito='PM' AND entidade='00100' ) A  Inner join (SELECT entty_id as entty_id_, grp_rorac as grp_rorac_to_be FROM bu_loantape_work.lt003_entity WHERE ref_date='2024-09-30' AND nome_perimetro='Individual Corporativo' AND segmento='ESTR' AND ambito='PM' AND entidade='00100' ) B ON entty_id_as_is=entty_id_to_be WHERE coalesce(cast(grp_rorac_as_is AS string),'')&lt;&gt;coalesce(cast(grp_rorac_to_be AS string),'') ) A Union all</v>
      </c>
      <c r="P72" s="75">
        <f t="shared" si="13"/>
        <v>13</v>
      </c>
    </row>
    <row r="73" spans="2:16" s="63" customFormat="1" ht="18" customHeight="1">
      <c r="B73" s="75" t="s">
        <v>11</v>
      </c>
      <c r="C73" s="75" t="str">
        <f>_xlfn.CONCAT(Instruções!$D$13,".",VLOOKUP(B73,Instruções!$F$12:$H$17,2,0))</f>
        <v>cd_loan_tapes_bce.lt003_entity</v>
      </c>
      <c r="D73" s="75" t="str">
        <f>_xlfn.CONCAT(Instruções!$D$14,".",VLOOKUP(B73,Instruções!$F$12:$H$17,3,0))</f>
        <v>bu_loantape_work.lt003_entity</v>
      </c>
      <c r="E73" s="75" t="s">
        <v>118</v>
      </c>
      <c r="F73" s="75" t="str">
        <f t="shared" si="8"/>
        <v>grp_rorwa_as_is</v>
      </c>
      <c r="G73" s="75" t="str">
        <f t="shared" si="9"/>
        <v>grp_rorwa_to_be</v>
      </c>
      <c r="H73" s="75" t="str">
        <f>IF(VLOOKUP(B73,Instruções!$F$13:$J$17,5,0)="",
"(SELECT "&amp;VLOOKUP(B73,Instruções!$F$13:$J$17,4,0)&amp;" as "&amp;VLOOKUP(B73,Instruções!$F$13:$J$17,4,0)&amp;"_"&amp;$F$2&amp;", "&amp;E73&amp;" as "&amp;F73&amp;" FROM "&amp;C73&amp;" WHERE "&amp;Instruções!$D$20&amp;") A ",
"(SELECT "&amp;VLOOKUP(B73,Instruções!$F$13:$J$17,4,0)&amp;" as "&amp;VLOOKUP(B73,Instruções!$F$13:$J$17,4,0)&amp;"_"&amp;$F$2&amp;", "&amp;VLOOKUP(B73,Instruções!$F$13:$J$17,5,0)&amp;" as "&amp;VLOOKUP(B73,Instruções!$F$13:$J$17,5,0)&amp;"_"&amp;$F$2&amp;","&amp;E73&amp;" as "&amp;F73&amp;" FROM "&amp;C73&amp;" WHERE "&amp;Instruções!$D$20&amp;") A ")</f>
        <v xml:space="preserve">(SELECT entty_id as entty_id_, grp_rorwa as grp_rorwa_as_is FROM cd_loan_tapes_bce.lt003_entity WHERE ref_date='2024-09-30' AND nome_perimetro='Individual Corporativo' AND segmento='ESTR' AND ambito='PM' AND entidade='00100' ) A </v>
      </c>
      <c r="I73" s="75" t="str">
        <f>IF(VLOOKUP(B73,Instruções!$F$13:$J$17,5,0)="",
"(SELECT "&amp;VLOOKUP(B73,Instruções!$F$13:$J$17,4,0)&amp;" as "&amp;VLOOKUP(B73,Instruções!$F$13:$J$17,4,0)&amp;"_"&amp;$G$2&amp;", "&amp;E73&amp;" as "&amp;G73&amp;" FROM "&amp;D73&amp;" WHERE "&amp;Instruções!$D$21&amp;") B ",
"(SELECT "&amp;VLOOKUP(B73,Instruções!$F$13:$J$17,4,0)&amp;" as "&amp;VLOOKUP(B73,Instruções!$F$13:$J$17,4,0)&amp;"_"&amp;$G$2&amp;", "&amp;VLOOKUP(B73,Instruções!$F$13:$J$17,5,0)&amp;" as "&amp;VLOOKUP(B73,Instruções!$F$13:$J$17,5,0)&amp;"_"&amp;$G$2&amp;","&amp;E73&amp;" as "&amp;G73&amp;" FROM "&amp;D73&amp;" WHERE "&amp;Instruções!$D$21&amp;") B ")</f>
        <v xml:space="preserve">(SELECT entty_id as entty_id_, grp_rorwa as grp_rorwa_to_be FROM bu_loantape_work.lt003_entity WHERE ref_date='2024-09-30' AND nome_perimetro='Individual Corporativo' AND segmento='ESTR' AND ambito='PM' AND entidade='00100' ) B </v>
      </c>
      <c r="J73" s="75" t="str">
        <f>+IF(VLOOKUP(B73,Instruções!$F$13:$J$17,5,0)="", "ON "&amp;VLOOKUP(B73,Instruções!$F$13:$J$17,4,0)&amp;"_"&amp;$F$7&amp;"="&amp;VLOOKUP(B73,Instruções!$F$13:$J$17,4,0)&amp;"_"&amp;$G$7&amp;" ", "ON "&amp;VLOOKUP(B73,Instruções!$F$13:$J$17,4,0)&amp;"_"&amp;$F$7&amp;"="&amp;VLOOKUP(B73,Instruções!$F$13:$J$17,4,0)&amp;"_"&amp;$G$7&amp;" AND "&amp;VLOOKUP(B73,Instruções!$F$13:$J$17,5,0)&amp;"_"&amp;$F$7&amp;"="&amp;VLOOKUP(B73,Instruções!$F$13:$J$17,5,0)&amp;"_"&amp;$G$7&amp;" ")</f>
        <v xml:space="preserve">ON entty_id_as_is=entty_id_to_be </v>
      </c>
      <c r="K73" s="75" t="str">
        <f t="shared" si="10"/>
        <v xml:space="preserve">WHERE coalesce(cast(grp_rorwa_as_is AS string),'')&lt;&gt;coalesce(cast(grp_rorwa_to_be AS string),'') </v>
      </c>
      <c r="L73" s="75" t="str">
        <f t="shared" si="11"/>
        <v xml:space="preserve">SELECT count(*) AS NUM_REG_DIF FROM (SELECT entty_id as entty_id_, grp_rorwa as grp_rorwa_as_is FROM cd_loan_tapes_bce.lt003_entity WHERE ref_date='2024-09-30' AND nome_perimetro='Individual Corporativo' AND segmento='ESTR' AND ambito='PM' AND entidade='00100' ) A  Inner join (SELECT entty_id as entty_id_, grp_rorwa as grp_rorwa_to_be FROM bu_loantape_work.lt003_entity WHERE ref_date='2024-09-30' AND nome_perimetro='Individual Corporativo' AND segmento='ESTR' AND ambito='PM' AND entidade='00100' ) B ON entty_id_as_is=entty_id_to_be WHERE coalesce(cast(grp_rorwa_as_is AS string),'')&lt;&gt;coalesce(cast(grp_rorwa_to_be AS string),'') </v>
      </c>
      <c r="M73" s="75" t="s">
        <v>55</v>
      </c>
      <c r="N73" s="75" t="str">
        <f>"SELECT 'Validação de campos' as tipologia_teste, '"&amp;VLOOKUP(B73,Instruções!$F$13:$J$17,3,0)&amp;"' AS TABELA, '"&amp;E73&amp;"' AS CAMPO, '"&amp;Instruções!$D$15&amp;"' as ref_date, coalesce(NUM_REG_DIF, 0) AS NUM_REG_DIF FROM ("&amp;L73&amp;") A "</f>
        <v xml:space="preserve">SELECT 'Validação de campos' as tipologia_teste, 'lt003_entity' AS TABELA, 'grp_rorwa' AS CAMPO, '2024-09-30' as ref_date, coalesce(NUM_REG_DIF, 0) AS NUM_REG_DIF FROM (SELECT count(*) AS NUM_REG_DIF FROM (SELECT entty_id as entty_id_, grp_rorwa as grp_rorwa_as_is FROM cd_loan_tapes_bce.lt003_entity WHERE ref_date='2024-09-30' AND nome_perimetro='Individual Corporativo' AND segmento='ESTR' AND ambito='PM' AND entidade='00100' ) A  Inner join (SELECT entty_id as entty_id_, grp_rorwa as grp_rorwa_to_be FROM bu_loantape_work.lt003_entity WHERE ref_date='2024-09-30' AND nome_perimetro='Individual Corporativo' AND segmento='ESTR' AND ambito='PM' AND entidade='00100' ) B ON entty_id_as_is=entty_id_to_be WHERE coalesce(cast(grp_rorwa_as_is AS string),'')&lt;&gt;coalesce(cast(grp_rorwa_to_be AS string),'') ) A </v>
      </c>
      <c r="O73" s="76" t="str">
        <f t="shared" si="12"/>
        <v>SELECT 'Validação de campos' as tipologia_teste, 'lt003_entity' AS TABELA, 'grp_rorwa' AS CAMPO, '2024-09-30' as ref_date, coalesce(NUM_REG_DIF, 0) AS NUM_REG_DIF FROM (SELECT count(*) AS NUM_REG_DIF FROM (SELECT entty_id as entty_id_, grp_rorwa as grp_rorwa_as_is FROM cd_loan_tapes_bce.lt003_entity WHERE ref_date='2024-09-30' AND nome_perimetro='Individual Corporativo' AND segmento='ESTR' AND ambito='PM' AND entidade='00100' ) A  Inner join (SELECT entty_id as entty_id_, grp_rorwa as grp_rorwa_to_be FROM bu_loantape_work.lt003_entity WHERE ref_date='2024-09-30' AND nome_perimetro='Individual Corporativo' AND segmento='ESTR' AND ambito='PM' AND entidade='00100' ) B ON entty_id_as_is=entty_id_to_be WHERE coalesce(cast(grp_rorwa_as_is AS string),'')&lt;&gt;coalesce(cast(grp_rorwa_to_be AS string),'') ) A Union all</v>
      </c>
      <c r="P73" s="75">
        <f t="shared" si="13"/>
        <v>14</v>
      </c>
    </row>
    <row r="74" spans="2:16" s="63" customFormat="1" ht="18" customHeight="1">
      <c r="B74" s="75" t="s">
        <v>11</v>
      </c>
      <c r="C74" s="75" t="str">
        <f>_xlfn.CONCAT(Instruções!$D$13,".",VLOOKUP(B74,Instruções!$F$12:$H$17,2,0))</f>
        <v>cd_loan_tapes_bce.lt003_entity</v>
      </c>
      <c r="D74" s="75" t="str">
        <f>_xlfn.CONCAT(Instruções!$D$14,".",VLOOKUP(B74,Instruções!$F$12:$H$17,3,0))</f>
        <v>bu_loantape_work.lt003_entity</v>
      </c>
      <c r="E74" s="75" t="s">
        <v>119</v>
      </c>
      <c r="F74" s="75" t="str">
        <f t="shared" si="8"/>
        <v>grp_ttl_dbt_as_is</v>
      </c>
      <c r="G74" s="75" t="str">
        <f t="shared" si="9"/>
        <v>grp_ttl_dbt_to_be</v>
      </c>
      <c r="H74" s="75" t="str">
        <f>IF(VLOOKUP(B74,Instruções!$F$13:$J$17,5,0)="",
"(SELECT "&amp;VLOOKUP(B74,Instruções!$F$13:$J$17,4,0)&amp;" as "&amp;VLOOKUP(B74,Instruções!$F$13:$J$17,4,0)&amp;"_"&amp;$F$2&amp;", "&amp;E74&amp;" as "&amp;F74&amp;" FROM "&amp;C74&amp;" WHERE "&amp;Instruções!$D$20&amp;") A ",
"(SELECT "&amp;VLOOKUP(B74,Instruções!$F$13:$J$17,4,0)&amp;" as "&amp;VLOOKUP(B74,Instruções!$F$13:$J$17,4,0)&amp;"_"&amp;$F$2&amp;", "&amp;VLOOKUP(B74,Instruções!$F$13:$J$17,5,0)&amp;" as "&amp;VLOOKUP(B74,Instruções!$F$13:$J$17,5,0)&amp;"_"&amp;$F$2&amp;","&amp;E74&amp;" as "&amp;F74&amp;" FROM "&amp;C74&amp;" WHERE "&amp;Instruções!$D$20&amp;") A ")</f>
        <v xml:space="preserve">(SELECT entty_id as entty_id_, grp_ttl_dbt as grp_ttl_dbt_as_is FROM cd_loan_tapes_bce.lt003_entity WHERE ref_date='2024-09-30' AND nome_perimetro='Individual Corporativo' AND segmento='ESTR' AND ambito='PM' AND entidade='00100' ) A </v>
      </c>
      <c r="I74" s="75" t="str">
        <f>IF(VLOOKUP(B74,Instruções!$F$13:$J$17,5,0)="",
"(SELECT "&amp;VLOOKUP(B74,Instruções!$F$13:$J$17,4,0)&amp;" as "&amp;VLOOKUP(B74,Instruções!$F$13:$J$17,4,0)&amp;"_"&amp;$G$2&amp;", "&amp;E74&amp;" as "&amp;G74&amp;" FROM "&amp;D74&amp;" WHERE "&amp;Instruções!$D$21&amp;") B ",
"(SELECT "&amp;VLOOKUP(B74,Instruções!$F$13:$J$17,4,0)&amp;" as "&amp;VLOOKUP(B74,Instruções!$F$13:$J$17,4,0)&amp;"_"&amp;$G$2&amp;", "&amp;VLOOKUP(B74,Instruções!$F$13:$J$17,5,0)&amp;" as "&amp;VLOOKUP(B74,Instruções!$F$13:$J$17,5,0)&amp;"_"&amp;$G$2&amp;","&amp;E74&amp;" as "&amp;G74&amp;" FROM "&amp;D74&amp;" WHERE "&amp;Instruções!$D$21&amp;") B ")</f>
        <v xml:space="preserve">(SELECT entty_id as entty_id_, grp_ttl_dbt as grp_ttl_dbt_to_be FROM bu_loantape_work.lt003_entity WHERE ref_date='2024-09-30' AND nome_perimetro='Individual Corporativo' AND segmento='ESTR' AND ambito='PM' AND entidade='00100' ) B </v>
      </c>
      <c r="J74" s="75" t="str">
        <f>+IF(VLOOKUP(B74,Instruções!$F$13:$J$17,5,0)="", "ON "&amp;VLOOKUP(B74,Instruções!$F$13:$J$17,4,0)&amp;"_"&amp;$F$7&amp;"="&amp;VLOOKUP(B74,Instruções!$F$13:$J$17,4,0)&amp;"_"&amp;$G$7&amp;" ", "ON "&amp;VLOOKUP(B74,Instruções!$F$13:$J$17,4,0)&amp;"_"&amp;$F$7&amp;"="&amp;VLOOKUP(B74,Instruções!$F$13:$J$17,4,0)&amp;"_"&amp;$G$7&amp;" AND "&amp;VLOOKUP(B74,Instruções!$F$13:$J$17,5,0)&amp;"_"&amp;$F$7&amp;"="&amp;VLOOKUP(B74,Instruções!$F$13:$J$17,5,0)&amp;"_"&amp;$G$7&amp;" ")</f>
        <v xml:space="preserve">ON entty_id_as_is=entty_id_to_be </v>
      </c>
      <c r="K74" s="75" t="str">
        <f t="shared" si="10"/>
        <v xml:space="preserve">WHERE coalesce(cast(grp_ttl_dbt_as_is AS string),'')&lt;&gt;coalesce(cast(grp_ttl_dbt_to_be AS string),'') </v>
      </c>
      <c r="L74" s="75" t="str">
        <f t="shared" si="11"/>
        <v xml:space="preserve">SELECT count(*) AS NUM_REG_DIF FROM (SELECT entty_id as entty_id_, grp_ttl_dbt as grp_ttl_dbt_as_is FROM cd_loan_tapes_bce.lt003_entity WHERE ref_date='2024-09-30' AND nome_perimetro='Individual Corporativo' AND segmento='ESTR' AND ambito='PM' AND entidade='00100' ) A  Inner join (SELECT entty_id as entty_id_, grp_ttl_dbt as grp_ttl_dbt_to_be FROM bu_loantape_work.lt003_entity WHERE ref_date='2024-09-30' AND nome_perimetro='Individual Corporativo' AND segmento='ESTR' AND ambito='PM' AND entidade='00100' ) B ON entty_id_as_is=entty_id_to_be WHERE coalesce(cast(grp_ttl_dbt_as_is AS string),'')&lt;&gt;coalesce(cast(grp_ttl_dbt_to_be AS string),'') </v>
      </c>
      <c r="M74" s="75" t="s">
        <v>55</v>
      </c>
      <c r="N74" s="75" t="str">
        <f>"SELECT 'Validação de campos' as tipologia_teste, '"&amp;VLOOKUP(B74,Instruções!$F$13:$J$17,3,0)&amp;"' AS TABELA, '"&amp;E74&amp;"' AS CAMPO, '"&amp;Instruções!$D$15&amp;"' as ref_date, coalesce(NUM_REG_DIF, 0) AS NUM_REG_DIF FROM ("&amp;L74&amp;") A "</f>
        <v xml:space="preserve">SELECT 'Validação de campos' as tipologia_teste, 'lt003_entity' AS TABELA, 'grp_ttl_dbt' AS CAMPO, '2024-09-30' as ref_date, coalesce(NUM_REG_DIF, 0) AS NUM_REG_DIF FROM (SELECT count(*) AS NUM_REG_DIF FROM (SELECT entty_id as entty_id_, grp_ttl_dbt as grp_ttl_dbt_as_is FROM cd_loan_tapes_bce.lt003_entity WHERE ref_date='2024-09-30' AND nome_perimetro='Individual Corporativo' AND segmento='ESTR' AND ambito='PM' AND entidade='00100' ) A  Inner join (SELECT entty_id as entty_id_, grp_ttl_dbt as grp_ttl_dbt_to_be FROM bu_loantape_work.lt003_entity WHERE ref_date='2024-09-30' AND nome_perimetro='Individual Corporativo' AND segmento='ESTR' AND ambito='PM' AND entidade='00100' ) B ON entty_id_as_is=entty_id_to_be WHERE coalesce(cast(grp_ttl_dbt_as_is AS string),'')&lt;&gt;coalesce(cast(grp_ttl_dbt_to_be AS string),'') ) A </v>
      </c>
      <c r="O74" s="76" t="str">
        <f t="shared" si="12"/>
        <v>SELECT 'Validação de campos' as tipologia_teste, 'lt003_entity' AS TABELA, 'grp_ttl_dbt' AS CAMPO, '2024-09-30' as ref_date, coalesce(NUM_REG_DIF, 0) AS NUM_REG_DIF FROM (SELECT count(*) AS NUM_REG_DIF FROM (SELECT entty_id as entty_id_, grp_ttl_dbt as grp_ttl_dbt_as_is FROM cd_loan_tapes_bce.lt003_entity WHERE ref_date='2024-09-30' AND nome_perimetro='Individual Corporativo' AND segmento='ESTR' AND ambito='PM' AND entidade='00100' ) A  Inner join (SELECT entty_id as entty_id_, grp_ttl_dbt as grp_ttl_dbt_to_be FROM bu_loantape_work.lt003_entity WHERE ref_date='2024-09-30' AND nome_perimetro='Individual Corporativo' AND segmento='ESTR' AND ambito='PM' AND entidade='00100' ) B ON entty_id_as_is=entty_id_to_be WHERE coalesce(cast(grp_ttl_dbt_as_is AS string),'')&lt;&gt;coalesce(cast(grp_ttl_dbt_to_be AS string),'') ) A Union all</v>
      </c>
      <c r="P74" s="75">
        <f t="shared" si="13"/>
        <v>15</v>
      </c>
    </row>
    <row r="75" spans="2:16" s="63" customFormat="1" ht="18" customHeight="1">
      <c r="B75" s="75" t="s">
        <v>11</v>
      </c>
      <c r="C75" s="75" t="str">
        <f>_xlfn.CONCAT(Instruções!$D$13,".",VLOOKUP(B75,Instruções!$F$12:$H$17,2,0))</f>
        <v>cd_loan_tapes_bce.lt003_entity</v>
      </c>
      <c r="D75" s="75" t="str">
        <f>_xlfn.CONCAT(Instruções!$D$14,".",VLOOKUP(B75,Instruções!$F$12:$H$17,3,0))</f>
        <v>bu_loantape_work.lt003_entity</v>
      </c>
      <c r="E75" s="75" t="s">
        <v>120</v>
      </c>
      <c r="F75" s="75" t="str">
        <f t="shared" si="8"/>
        <v>incm_sc_as_is</v>
      </c>
      <c r="G75" s="75" t="str">
        <f t="shared" si="9"/>
        <v>incm_sc_to_be</v>
      </c>
      <c r="H75" s="75" t="str">
        <f>IF(VLOOKUP(B75,Instruções!$F$13:$J$17,5,0)="",
"(SELECT "&amp;VLOOKUP(B75,Instruções!$F$13:$J$17,4,0)&amp;" as "&amp;VLOOKUP(B75,Instruções!$F$13:$J$17,4,0)&amp;"_"&amp;$F$2&amp;", "&amp;E75&amp;" as "&amp;F75&amp;" FROM "&amp;C75&amp;" WHERE "&amp;Instruções!$D$20&amp;") A ",
"(SELECT "&amp;VLOOKUP(B75,Instruções!$F$13:$J$17,4,0)&amp;" as "&amp;VLOOKUP(B75,Instruções!$F$13:$J$17,4,0)&amp;"_"&amp;$F$2&amp;", "&amp;VLOOKUP(B75,Instruções!$F$13:$J$17,5,0)&amp;" as "&amp;VLOOKUP(B75,Instruções!$F$13:$J$17,5,0)&amp;"_"&amp;$F$2&amp;","&amp;E75&amp;" as "&amp;F75&amp;" FROM "&amp;C75&amp;" WHERE "&amp;Instruções!$D$20&amp;") A ")</f>
        <v xml:space="preserve">(SELECT entty_id as entty_id_, incm_sc as incm_sc_as_is FROM cd_loan_tapes_bce.lt003_entity WHERE ref_date='2024-09-30' AND nome_perimetro='Individual Corporativo' AND segmento='ESTR' AND ambito='PM' AND entidade='00100' ) A </v>
      </c>
      <c r="I75" s="75" t="str">
        <f>IF(VLOOKUP(B75,Instruções!$F$13:$J$17,5,0)="",
"(SELECT "&amp;VLOOKUP(B75,Instruções!$F$13:$J$17,4,0)&amp;" as "&amp;VLOOKUP(B75,Instruções!$F$13:$J$17,4,0)&amp;"_"&amp;$G$2&amp;", "&amp;E75&amp;" as "&amp;G75&amp;" FROM "&amp;D75&amp;" WHERE "&amp;Instruções!$D$21&amp;") B ",
"(SELECT "&amp;VLOOKUP(B75,Instruções!$F$13:$J$17,4,0)&amp;" as "&amp;VLOOKUP(B75,Instruções!$F$13:$J$17,4,0)&amp;"_"&amp;$G$2&amp;", "&amp;VLOOKUP(B75,Instruções!$F$13:$J$17,5,0)&amp;" as "&amp;VLOOKUP(B75,Instruções!$F$13:$J$17,5,0)&amp;"_"&amp;$G$2&amp;","&amp;E75&amp;" as "&amp;G75&amp;" FROM "&amp;D75&amp;" WHERE "&amp;Instruções!$D$21&amp;") B ")</f>
        <v xml:space="preserve">(SELECT entty_id as entty_id_, incm_sc as incm_sc_to_be FROM bu_loantape_work.lt003_entity WHERE ref_date='2024-09-30' AND nome_perimetro='Individual Corporativo' AND segmento='ESTR' AND ambito='PM' AND entidade='00100' ) B </v>
      </c>
      <c r="J75" s="75" t="str">
        <f>+IF(VLOOKUP(B75,Instruções!$F$13:$J$17,5,0)="", "ON "&amp;VLOOKUP(B75,Instruções!$F$13:$J$17,4,0)&amp;"_"&amp;$F$7&amp;"="&amp;VLOOKUP(B75,Instruções!$F$13:$J$17,4,0)&amp;"_"&amp;$G$7&amp;" ", "ON "&amp;VLOOKUP(B75,Instruções!$F$13:$J$17,4,0)&amp;"_"&amp;$F$7&amp;"="&amp;VLOOKUP(B75,Instruções!$F$13:$J$17,4,0)&amp;"_"&amp;$G$7&amp;" AND "&amp;VLOOKUP(B75,Instruções!$F$13:$J$17,5,0)&amp;"_"&amp;$F$7&amp;"="&amp;VLOOKUP(B75,Instruções!$F$13:$J$17,5,0)&amp;"_"&amp;$G$7&amp;" ")</f>
        <v xml:space="preserve">ON entty_id_as_is=entty_id_to_be </v>
      </c>
      <c r="K75" s="75" t="str">
        <f t="shared" si="10"/>
        <v xml:space="preserve">WHERE coalesce(cast(incm_sc_as_is AS string),'')&lt;&gt;coalesce(cast(incm_sc_to_be AS string),'') </v>
      </c>
      <c r="L75" s="75" t="str">
        <f t="shared" si="11"/>
        <v xml:space="preserve">SELECT count(*) AS NUM_REG_DIF FROM (SELECT entty_id as entty_id_, incm_sc as incm_sc_as_is FROM cd_loan_tapes_bce.lt003_entity WHERE ref_date='2024-09-30' AND nome_perimetro='Individual Corporativo' AND segmento='ESTR' AND ambito='PM' AND entidade='00100' ) A  Inner join (SELECT entty_id as entty_id_, incm_sc as incm_sc_to_be FROM bu_loantape_work.lt003_entity WHERE ref_date='2024-09-30' AND nome_perimetro='Individual Corporativo' AND segmento='ESTR' AND ambito='PM' AND entidade='00100' ) B ON entty_id_as_is=entty_id_to_be WHERE coalesce(cast(incm_sc_as_is AS string),'')&lt;&gt;coalesce(cast(incm_sc_to_be AS string),'') </v>
      </c>
      <c r="M75" s="75" t="s">
        <v>55</v>
      </c>
      <c r="N75" s="75" t="str">
        <f>"SELECT 'Validação de campos' as tipologia_teste, '"&amp;VLOOKUP(B75,Instruções!$F$13:$J$17,3,0)&amp;"' AS TABELA, '"&amp;E75&amp;"' AS CAMPO, '"&amp;Instruções!$D$15&amp;"' as ref_date, coalesce(NUM_REG_DIF, 0) AS NUM_REG_DIF FROM ("&amp;L75&amp;") A "</f>
        <v xml:space="preserve">SELECT 'Validação de campos' as tipologia_teste, 'lt003_entity' AS TABELA, 'incm_sc' AS CAMPO, '2024-09-30' as ref_date, coalesce(NUM_REG_DIF, 0) AS NUM_REG_DIF FROM (SELECT count(*) AS NUM_REG_DIF FROM (SELECT entty_id as entty_id_, incm_sc as incm_sc_as_is FROM cd_loan_tapes_bce.lt003_entity WHERE ref_date='2024-09-30' AND nome_perimetro='Individual Corporativo' AND segmento='ESTR' AND ambito='PM' AND entidade='00100' ) A  Inner join (SELECT entty_id as entty_id_, incm_sc as incm_sc_to_be FROM bu_loantape_work.lt003_entity WHERE ref_date='2024-09-30' AND nome_perimetro='Individual Corporativo' AND segmento='ESTR' AND ambito='PM' AND entidade='00100' ) B ON entty_id_as_is=entty_id_to_be WHERE coalesce(cast(incm_sc_as_is AS string),'')&lt;&gt;coalesce(cast(incm_sc_to_be AS string),'') ) A </v>
      </c>
      <c r="O75" s="76" t="str">
        <f t="shared" si="12"/>
        <v>SELECT 'Validação de campos' as tipologia_teste, 'lt003_entity' AS TABELA, 'incm_sc' AS CAMPO, '2024-09-30' as ref_date, coalesce(NUM_REG_DIF, 0) AS NUM_REG_DIF FROM (SELECT count(*) AS NUM_REG_DIF FROM (SELECT entty_id as entty_id_, incm_sc as incm_sc_as_is FROM cd_loan_tapes_bce.lt003_entity WHERE ref_date='2024-09-30' AND nome_perimetro='Individual Corporativo' AND segmento='ESTR' AND ambito='PM' AND entidade='00100' ) A  Inner join (SELECT entty_id as entty_id_, incm_sc as incm_sc_to_be FROM bu_loantape_work.lt003_entity WHERE ref_date='2024-09-30' AND nome_perimetro='Individual Corporativo' AND segmento='ESTR' AND ambito='PM' AND entidade='00100' ) B ON entty_id_as_is=entty_id_to_be WHERE coalesce(cast(incm_sc_as_is AS string),'')&lt;&gt;coalesce(cast(incm_sc_to_be AS string),'') ) A Union all</v>
      </c>
      <c r="P75" s="75">
        <f t="shared" si="13"/>
        <v>16</v>
      </c>
    </row>
    <row r="76" spans="2:16" s="63" customFormat="1" ht="18" customHeight="1">
      <c r="B76" s="75" t="s">
        <v>11</v>
      </c>
      <c r="C76" s="75" t="str">
        <f>_xlfn.CONCAT(Instruções!$D$13,".",VLOOKUP(B76,Instruções!$F$12:$H$17,2,0))</f>
        <v>cd_loan_tapes_bce.lt003_entity</v>
      </c>
      <c r="D76" s="75" t="str">
        <f>_xlfn.CONCAT(Instruções!$D$14,".",VLOOKUP(B76,Instruções!$F$12:$H$17,3,0))</f>
        <v>bu_loantape_work.lt003_entity</v>
      </c>
      <c r="E76" s="75" t="s">
        <v>121</v>
      </c>
      <c r="F76" s="75" t="str">
        <f t="shared" si="8"/>
        <v>intrnl_rtng_as_is</v>
      </c>
      <c r="G76" s="75" t="str">
        <f t="shared" si="9"/>
        <v>intrnl_rtng_to_be</v>
      </c>
      <c r="H76" s="75" t="str">
        <f>IF(VLOOKUP(B76,Instruções!$F$13:$J$17,5,0)="",
"(SELECT "&amp;VLOOKUP(B76,Instruções!$F$13:$J$17,4,0)&amp;" as "&amp;VLOOKUP(B76,Instruções!$F$13:$J$17,4,0)&amp;"_"&amp;$F$2&amp;", "&amp;E76&amp;" as "&amp;F76&amp;" FROM "&amp;C76&amp;" WHERE "&amp;Instruções!$D$20&amp;") A ",
"(SELECT "&amp;VLOOKUP(B76,Instruções!$F$13:$J$17,4,0)&amp;" as "&amp;VLOOKUP(B76,Instruções!$F$13:$J$17,4,0)&amp;"_"&amp;$F$2&amp;", "&amp;VLOOKUP(B76,Instruções!$F$13:$J$17,5,0)&amp;" as "&amp;VLOOKUP(B76,Instruções!$F$13:$J$17,5,0)&amp;"_"&amp;$F$2&amp;","&amp;E76&amp;" as "&amp;F76&amp;" FROM "&amp;C76&amp;" WHERE "&amp;Instruções!$D$20&amp;") A ")</f>
        <v xml:space="preserve">(SELECT entty_id as entty_id_, intrnl_rtng as intrnl_rtng_as_is FROM cd_loan_tapes_bce.lt003_entity WHERE ref_date='2024-09-30' AND nome_perimetro='Individual Corporativo' AND segmento='ESTR' AND ambito='PM' AND entidade='00100' ) A </v>
      </c>
      <c r="I76" s="75" t="str">
        <f>IF(VLOOKUP(B76,Instruções!$F$13:$J$17,5,0)="",
"(SELECT "&amp;VLOOKUP(B76,Instruções!$F$13:$J$17,4,0)&amp;" as "&amp;VLOOKUP(B76,Instruções!$F$13:$J$17,4,0)&amp;"_"&amp;$G$2&amp;", "&amp;E76&amp;" as "&amp;G76&amp;" FROM "&amp;D76&amp;" WHERE "&amp;Instruções!$D$21&amp;") B ",
"(SELECT "&amp;VLOOKUP(B76,Instruções!$F$13:$J$17,4,0)&amp;" as "&amp;VLOOKUP(B76,Instruções!$F$13:$J$17,4,0)&amp;"_"&amp;$G$2&amp;", "&amp;VLOOKUP(B76,Instruções!$F$13:$J$17,5,0)&amp;" as "&amp;VLOOKUP(B76,Instruções!$F$13:$J$17,5,0)&amp;"_"&amp;$G$2&amp;","&amp;E76&amp;" as "&amp;G76&amp;" FROM "&amp;D76&amp;" WHERE "&amp;Instruções!$D$21&amp;") B ")</f>
        <v xml:space="preserve">(SELECT entty_id as entty_id_, intrnl_rtng as intrnl_rtng_to_be FROM bu_loantape_work.lt003_entity WHERE ref_date='2024-09-30' AND nome_perimetro='Individual Corporativo' AND segmento='ESTR' AND ambito='PM' AND entidade='00100' ) B </v>
      </c>
      <c r="J76" s="75" t="str">
        <f>+IF(VLOOKUP(B76,Instruções!$F$13:$J$17,5,0)="", "ON "&amp;VLOOKUP(B76,Instruções!$F$13:$J$17,4,0)&amp;"_"&amp;$F$7&amp;"="&amp;VLOOKUP(B76,Instruções!$F$13:$J$17,4,0)&amp;"_"&amp;$G$7&amp;" ", "ON "&amp;VLOOKUP(B76,Instruções!$F$13:$J$17,4,0)&amp;"_"&amp;$F$7&amp;"="&amp;VLOOKUP(B76,Instruções!$F$13:$J$17,4,0)&amp;"_"&amp;$G$7&amp;" AND "&amp;VLOOKUP(B76,Instruções!$F$13:$J$17,5,0)&amp;"_"&amp;$F$7&amp;"="&amp;VLOOKUP(B76,Instruções!$F$13:$J$17,5,0)&amp;"_"&amp;$G$7&amp;" ")</f>
        <v xml:space="preserve">ON entty_id_as_is=entty_id_to_be </v>
      </c>
      <c r="K76" s="75" t="str">
        <f t="shared" si="10"/>
        <v xml:space="preserve">WHERE coalesce(cast(intrnl_rtng_as_is AS string),'')&lt;&gt;coalesce(cast(intrnl_rtng_to_be AS string),'') </v>
      </c>
      <c r="L76" s="75" t="str">
        <f t="shared" si="11"/>
        <v xml:space="preserve">SELECT count(*) AS NUM_REG_DIF FROM (SELECT entty_id as entty_id_, intrnl_rtng as intrnl_rtng_as_is FROM cd_loan_tapes_bce.lt003_entity WHERE ref_date='2024-09-30' AND nome_perimetro='Individual Corporativo' AND segmento='ESTR' AND ambito='PM' AND entidade='00100' ) A  Inner join (SELECT entty_id as entty_id_, intrnl_rtng as intrnl_rtng_to_be FROM bu_loantape_work.lt003_entity WHERE ref_date='2024-09-30' AND nome_perimetro='Individual Corporativo' AND segmento='ESTR' AND ambito='PM' AND entidade='00100' ) B ON entty_id_as_is=entty_id_to_be WHERE coalesce(cast(intrnl_rtng_as_is AS string),'')&lt;&gt;coalesce(cast(intrnl_rtng_to_be AS string),'') </v>
      </c>
      <c r="M76" s="75" t="s">
        <v>55</v>
      </c>
      <c r="N76" s="75" t="str">
        <f>"SELECT 'Validação de campos' as tipologia_teste, '"&amp;VLOOKUP(B76,Instruções!$F$13:$J$17,3,0)&amp;"' AS TABELA, '"&amp;E76&amp;"' AS CAMPO, '"&amp;Instruções!$D$15&amp;"' as ref_date, coalesce(NUM_REG_DIF, 0) AS NUM_REG_DIF FROM ("&amp;L76&amp;") A "</f>
        <v xml:space="preserve">SELECT 'Validação de campos' as tipologia_teste, 'lt003_entity' AS TABELA, 'intrnl_rtng' AS CAMPO, '2024-09-30' as ref_date, coalesce(NUM_REG_DIF, 0) AS NUM_REG_DIF FROM (SELECT count(*) AS NUM_REG_DIF FROM (SELECT entty_id as entty_id_, intrnl_rtng as intrnl_rtng_as_is FROM cd_loan_tapes_bce.lt003_entity WHERE ref_date='2024-09-30' AND nome_perimetro='Individual Corporativo' AND segmento='ESTR' AND ambito='PM' AND entidade='00100' ) A  Inner join (SELECT entty_id as entty_id_, intrnl_rtng as intrnl_rtng_to_be FROM bu_loantape_work.lt003_entity WHERE ref_date='2024-09-30' AND nome_perimetro='Individual Corporativo' AND segmento='ESTR' AND ambito='PM' AND entidade='00100' ) B ON entty_id_as_is=entty_id_to_be WHERE coalesce(cast(intrnl_rtng_as_is AS string),'')&lt;&gt;coalesce(cast(intrnl_rtng_to_be AS string),'') ) A </v>
      </c>
      <c r="O76" s="76" t="str">
        <f t="shared" si="12"/>
        <v>SELECT 'Validação de campos' as tipologia_teste, 'lt003_entity' AS TABELA, 'intrnl_rtng' AS CAMPO, '2024-09-30' as ref_date, coalesce(NUM_REG_DIF, 0) AS NUM_REG_DIF FROM (SELECT count(*) AS NUM_REG_DIF FROM (SELECT entty_id as entty_id_, intrnl_rtng as intrnl_rtng_as_is FROM cd_loan_tapes_bce.lt003_entity WHERE ref_date='2024-09-30' AND nome_perimetro='Individual Corporativo' AND segmento='ESTR' AND ambito='PM' AND entidade='00100' ) A  Inner join (SELECT entty_id as entty_id_, intrnl_rtng as intrnl_rtng_to_be FROM bu_loantape_work.lt003_entity WHERE ref_date='2024-09-30' AND nome_perimetro='Individual Corporativo' AND segmento='ESTR' AND ambito='PM' AND entidade='00100' ) B ON entty_id_as_is=entty_id_to_be WHERE coalesce(cast(intrnl_rtng_as_is AS string),'')&lt;&gt;coalesce(cast(intrnl_rtng_to_be AS string),'') ) A Union all</v>
      </c>
      <c r="P76" s="75">
        <f t="shared" si="13"/>
        <v>17</v>
      </c>
    </row>
    <row r="77" spans="2:16" s="63" customFormat="1" ht="18" customHeight="1">
      <c r="B77" s="75" t="s">
        <v>11</v>
      </c>
      <c r="C77" s="75" t="str">
        <f>_xlfn.CONCAT(Instruções!$D$13,".",VLOOKUP(B77,Instruções!$F$12:$H$17,2,0))</f>
        <v>cd_loan_tapes_bce.lt003_entity</v>
      </c>
      <c r="D77" s="75" t="str">
        <f>_xlfn.CONCAT(Instruções!$D$14,".",VLOOKUP(B77,Instruções!$F$12:$H$17,3,0))</f>
        <v>bu_loantape_work.lt003_entity</v>
      </c>
      <c r="E77" s="75" t="s">
        <v>122</v>
      </c>
      <c r="F77" s="75" t="str">
        <f t="shared" si="8"/>
        <v>intrnl_rtng_prvs_as_is</v>
      </c>
      <c r="G77" s="75" t="str">
        <f t="shared" si="9"/>
        <v>intrnl_rtng_prvs_to_be</v>
      </c>
      <c r="H77" s="75" t="str">
        <f>IF(VLOOKUP(B77,Instruções!$F$13:$J$17,5,0)="",
"(SELECT "&amp;VLOOKUP(B77,Instruções!$F$13:$J$17,4,0)&amp;" as "&amp;VLOOKUP(B77,Instruções!$F$13:$J$17,4,0)&amp;"_"&amp;$F$2&amp;", "&amp;E77&amp;" as "&amp;F77&amp;" FROM "&amp;C77&amp;" WHERE "&amp;Instruções!$D$20&amp;") A ",
"(SELECT "&amp;VLOOKUP(B77,Instruções!$F$13:$J$17,4,0)&amp;" as "&amp;VLOOKUP(B77,Instruções!$F$13:$J$17,4,0)&amp;"_"&amp;$F$2&amp;", "&amp;VLOOKUP(B77,Instruções!$F$13:$J$17,5,0)&amp;" as "&amp;VLOOKUP(B77,Instruções!$F$13:$J$17,5,0)&amp;"_"&amp;$F$2&amp;","&amp;E77&amp;" as "&amp;F77&amp;" FROM "&amp;C77&amp;" WHERE "&amp;Instruções!$D$20&amp;") A ")</f>
        <v xml:space="preserve">(SELECT entty_id as entty_id_, intrnl_rtng_prvs as intrnl_rtng_prvs_as_is FROM cd_loan_tapes_bce.lt003_entity WHERE ref_date='2024-09-30' AND nome_perimetro='Individual Corporativo' AND segmento='ESTR' AND ambito='PM' AND entidade='00100' ) A </v>
      </c>
      <c r="I77" s="75" t="str">
        <f>IF(VLOOKUP(B77,Instruções!$F$13:$J$17,5,0)="",
"(SELECT "&amp;VLOOKUP(B77,Instruções!$F$13:$J$17,4,0)&amp;" as "&amp;VLOOKUP(B77,Instruções!$F$13:$J$17,4,0)&amp;"_"&amp;$G$2&amp;", "&amp;E77&amp;" as "&amp;G77&amp;" FROM "&amp;D77&amp;" WHERE "&amp;Instruções!$D$21&amp;") B ",
"(SELECT "&amp;VLOOKUP(B77,Instruções!$F$13:$J$17,4,0)&amp;" as "&amp;VLOOKUP(B77,Instruções!$F$13:$J$17,4,0)&amp;"_"&amp;$G$2&amp;", "&amp;VLOOKUP(B77,Instruções!$F$13:$J$17,5,0)&amp;" as "&amp;VLOOKUP(B77,Instruções!$F$13:$J$17,5,0)&amp;"_"&amp;$G$2&amp;","&amp;E77&amp;" as "&amp;G77&amp;" FROM "&amp;D77&amp;" WHERE "&amp;Instruções!$D$21&amp;") B ")</f>
        <v xml:space="preserve">(SELECT entty_id as entty_id_, intrnl_rtng_prvs as intrnl_rtng_prvs_to_be FROM bu_loantape_work.lt003_entity WHERE ref_date='2024-09-30' AND nome_perimetro='Individual Corporativo' AND segmento='ESTR' AND ambito='PM' AND entidade='00100' ) B </v>
      </c>
      <c r="J77" s="75" t="str">
        <f>+IF(VLOOKUP(B77,Instruções!$F$13:$J$17,5,0)="", "ON "&amp;VLOOKUP(B77,Instruções!$F$13:$J$17,4,0)&amp;"_"&amp;$F$7&amp;"="&amp;VLOOKUP(B77,Instruções!$F$13:$J$17,4,0)&amp;"_"&amp;$G$7&amp;" ", "ON "&amp;VLOOKUP(B77,Instruções!$F$13:$J$17,4,0)&amp;"_"&amp;$F$7&amp;"="&amp;VLOOKUP(B77,Instruções!$F$13:$J$17,4,0)&amp;"_"&amp;$G$7&amp;" AND "&amp;VLOOKUP(B77,Instruções!$F$13:$J$17,5,0)&amp;"_"&amp;$F$7&amp;"="&amp;VLOOKUP(B77,Instruções!$F$13:$J$17,5,0)&amp;"_"&amp;$G$7&amp;" ")</f>
        <v xml:space="preserve">ON entty_id_as_is=entty_id_to_be </v>
      </c>
      <c r="K77" s="75" t="str">
        <f t="shared" si="10"/>
        <v xml:space="preserve">WHERE coalesce(cast(intrnl_rtng_prvs_as_is AS string),'')&lt;&gt;coalesce(cast(intrnl_rtng_prvs_to_be AS string),'') </v>
      </c>
      <c r="L77" s="75" t="str">
        <f t="shared" si="11"/>
        <v xml:space="preserve">SELECT count(*) AS NUM_REG_DIF FROM (SELECT entty_id as entty_id_, intrnl_rtng_prvs as intrnl_rtng_prvs_as_is FROM cd_loan_tapes_bce.lt003_entity WHERE ref_date='2024-09-30' AND nome_perimetro='Individual Corporativo' AND segmento='ESTR' AND ambito='PM' AND entidade='00100' ) A  Inner join (SELECT entty_id as entty_id_, intrnl_rtng_prvs as intrnl_rtng_prvs_to_be FROM bu_loantape_work.lt003_entity WHERE ref_date='2024-09-30' AND nome_perimetro='Individual Corporativo' AND segmento='ESTR' AND ambito='PM' AND entidade='00100' ) B ON entty_id_as_is=entty_id_to_be WHERE coalesce(cast(intrnl_rtng_prvs_as_is AS string),'')&lt;&gt;coalesce(cast(intrnl_rtng_prvs_to_be AS string),'') </v>
      </c>
      <c r="M77" s="75" t="s">
        <v>55</v>
      </c>
      <c r="N77" s="75" t="str">
        <f>"SELECT 'Validação de campos' as tipologia_teste, '"&amp;VLOOKUP(B77,Instruções!$F$13:$J$17,3,0)&amp;"' AS TABELA, '"&amp;E77&amp;"' AS CAMPO, '"&amp;Instruções!$D$15&amp;"' as ref_date, coalesce(NUM_REG_DIF, 0) AS NUM_REG_DIF FROM ("&amp;L77&amp;") A "</f>
        <v xml:space="preserve">SELECT 'Validação de campos' as tipologia_teste, 'lt003_entity' AS TABELA, 'intrnl_rtng_prvs' AS CAMPO, '2024-09-30' as ref_date, coalesce(NUM_REG_DIF, 0) AS NUM_REG_DIF FROM (SELECT count(*) AS NUM_REG_DIF FROM (SELECT entty_id as entty_id_, intrnl_rtng_prvs as intrnl_rtng_prvs_as_is FROM cd_loan_tapes_bce.lt003_entity WHERE ref_date='2024-09-30' AND nome_perimetro='Individual Corporativo' AND segmento='ESTR' AND ambito='PM' AND entidade='00100' ) A  Inner join (SELECT entty_id as entty_id_, intrnl_rtng_prvs as intrnl_rtng_prvs_to_be FROM bu_loantape_work.lt003_entity WHERE ref_date='2024-09-30' AND nome_perimetro='Individual Corporativo' AND segmento='ESTR' AND ambito='PM' AND entidade='00100' ) B ON entty_id_as_is=entty_id_to_be WHERE coalesce(cast(intrnl_rtng_prvs_as_is AS string),'')&lt;&gt;coalesce(cast(intrnl_rtng_prvs_to_be AS string),'') ) A </v>
      </c>
      <c r="O77" s="76" t="str">
        <f t="shared" si="12"/>
        <v>SELECT 'Validação de campos' as tipologia_teste, 'lt003_entity' AS TABELA, 'intrnl_rtng_prvs' AS CAMPO, '2024-09-30' as ref_date, coalesce(NUM_REG_DIF, 0) AS NUM_REG_DIF FROM (SELECT count(*) AS NUM_REG_DIF FROM (SELECT entty_id as entty_id_, intrnl_rtng_prvs as intrnl_rtng_prvs_as_is FROM cd_loan_tapes_bce.lt003_entity WHERE ref_date='2024-09-30' AND nome_perimetro='Individual Corporativo' AND segmento='ESTR' AND ambito='PM' AND entidade='00100' ) A  Inner join (SELECT entty_id as entty_id_, intrnl_rtng_prvs as intrnl_rtng_prvs_to_be FROM bu_loantape_work.lt003_entity WHERE ref_date='2024-09-30' AND nome_perimetro='Individual Corporativo' AND segmento='ESTR' AND ambito='PM' AND entidade='00100' ) B ON entty_id_as_is=entty_id_to_be WHERE coalesce(cast(intrnl_rtng_prvs_as_is AS string),'')&lt;&gt;coalesce(cast(intrnl_rtng_prvs_to_be AS string),'') ) A Union all</v>
      </c>
      <c r="P77" s="75">
        <f t="shared" si="13"/>
        <v>18</v>
      </c>
    </row>
    <row r="78" spans="2:16" s="63" customFormat="1" ht="18" customHeight="1">
      <c r="B78" s="75" t="s">
        <v>11</v>
      </c>
      <c r="C78" s="75" t="str">
        <f>_xlfn.CONCAT(Instruções!$D$13,".",VLOOKUP(B78,Instruções!$F$12:$H$17,2,0))</f>
        <v>cd_loan_tapes_bce.lt003_entity</v>
      </c>
      <c r="D78" s="75" t="str">
        <f>_xlfn.CONCAT(Instruções!$D$14,".",VLOOKUP(B78,Instruções!$F$12:$H$17,3,0))</f>
        <v>bu_loantape_work.lt003_entity</v>
      </c>
      <c r="E78" s="75" t="s">
        <v>123</v>
      </c>
      <c r="F78" s="75" t="str">
        <f t="shared" si="8"/>
        <v>intrnl_sgmnt_as_is</v>
      </c>
      <c r="G78" s="75" t="str">
        <f t="shared" si="9"/>
        <v>intrnl_sgmnt_to_be</v>
      </c>
      <c r="H78" s="75" t="str">
        <f>IF(VLOOKUP(B78,Instruções!$F$13:$J$17,5,0)="",
"(SELECT "&amp;VLOOKUP(B78,Instruções!$F$13:$J$17,4,0)&amp;" as "&amp;VLOOKUP(B78,Instruções!$F$13:$J$17,4,0)&amp;"_"&amp;$F$2&amp;", "&amp;E78&amp;" as "&amp;F78&amp;" FROM "&amp;C78&amp;" WHERE "&amp;Instruções!$D$20&amp;") A ",
"(SELECT "&amp;VLOOKUP(B78,Instruções!$F$13:$J$17,4,0)&amp;" as "&amp;VLOOKUP(B78,Instruções!$F$13:$J$17,4,0)&amp;"_"&amp;$F$2&amp;", "&amp;VLOOKUP(B78,Instruções!$F$13:$J$17,5,0)&amp;" as "&amp;VLOOKUP(B78,Instruções!$F$13:$J$17,5,0)&amp;"_"&amp;$F$2&amp;","&amp;E78&amp;" as "&amp;F78&amp;" FROM "&amp;C78&amp;" WHERE "&amp;Instruções!$D$20&amp;") A ")</f>
        <v xml:space="preserve">(SELECT entty_id as entty_id_, intrnl_sgmnt as intrnl_sgmnt_as_is FROM cd_loan_tapes_bce.lt003_entity WHERE ref_date='2024-09-30' AND nome_perimetro='Individual Corporativo' AND segmento='ESTR' AND ambito='PM' AND entidade='00100' ) A </v>
      </c>
      <c r="I78" s="75" t="str">
        <f>IF(VLOOKUP(B78,Instruções!$F$13:$J$17,5,0)="",
"(SELECT "&amp;VLOOKUP(B78,Instruções!$F$13:$J$17,4,0)&amp;" as "&amp;VLOOKUP(B78,Instruções!$F$13:$J$17,4,0)&amp;"_"&amp;$G$2&amp;", "&amp;E78&amp;" as "&amp;G78&amp;" FROM "&amp;D78&amp;" WHERE "&amp;Instruções!$D$21&amp;") B ",
"(SELECT "&amp;VLOOKUP(B78,Instruções!$F$13:$J$17,4,0)&amp;" as "&amp;VLOOKUP(B78,Instruções!$F$13:$J$17,4,0)&amp;"_"&amp;$G$2&amp;", "&amp;VLOOKUP(B78,Instruções!$F$13:$J$17,5,0)&amp;" as "&amp;VLOOKUP(B78,Instruções!$F$13:$J$17,5,0)&amp;"_"&amp;$G$2&amp;","&amp;E78&amp;" as "&amp;G78&amp;" FROM "&amp;D78&amp;" WHERE "&amp;Instruções!$D$21&amp;") B ")</f>
        <v xml:space="preserve">(SELECT entty_id as entty_id_, intrnl_sgmnt as intrnl_sgmnt_to_be FROM bu_loantape_work.lt003_entity WHERE ref_date='2024-09-30' AND nome_perimetro='Individual Corporativo' AND segmento='ESTR' AND ambito='PM' AND entidade='00100' ) B </v>
      </c>
      <c r="J78" s="75" t="str">
        <f>+IF(VLOOKUP(B78,Instruções!$F$13:$J$17,5,0)="", "ON "&amp;VLOOKUP(B78,Instruções!$F$13:$J$17,4,0)&amp;"_"&amp;$F$7&amp;"="&amp;VLOOKUP(B78,Instruções!$F$13:$J$17,4,0)&amp;"_"&amp;$G$7&amp;" ", "ON "&amp;VLOOKUP(B78,Instruções!$F$13:$J$17,4,0)&amp;"_"&amp;$F$7&amp;"="&amp;VLOOKUP(B78,Instruções!$F$13:$J$17,4,0)&amp;"_"&amp;$G$7&amp;" AND "&amp;VLOOKUP(B78,Instruções!$F$13:$J$17,5,0)&amp;"_"&amp;$F$7&amp;"="&amp;VLOOKUP(B78,Instruções!$F$13:$J$17,5,0)&amp;"_"&amp;$G$7&amp;" ")</f>
        <v xml:space="preserve">ON entty_id_as_is=entty_id_to_be </v>
      </c>
      <c r="K78" s="75" t="str">
        <f t="shared" si="10"/>
        <v xml:space="preserve">WHERE coalesce(cast(intrnl_sgmnt_as_is AS string),'')&lt;&gt;coalesce(cast(intrnl_sgmnt_to_be AS string),'') </v>
      </c>
      <c r="L78" s="75" t="str">
        <f t="shared" si="11"/>
        <v xml:space="preserve">SELECT count(*) AS NUM_REG_DIF FROM (SELECT entty_id as entty_id_, intrnl_sgmnt as intrnl_sgmnt_as_is FROM cd_loan_tapes_bce.lt003_entity WHERE ref_date='2024-09-30' AND nome_perimetro='Individual Corporativo' AND segmento='ESTR' AND ambito='PM' AND entidade='00100' ) A  Inner join (SELECT entty_id as entty_id_, intrnl_sgmnt as intrnl_sgmnt_to_be FROM bu_loantape_work.lt003_entity WHERE ref_date='2024-09-30' AND nome_perimetro='Individual Corporativo' AND segmento='ESTR' AND ambito='PM' AND entidade='00100' ) B ON entty_id_as_is=entty_id_to_be WHERE coalesce(cast(intrnl_sgmnt_as_is AS string),'')&lt;&gt;coalesce(cast(intrnl_sgmnt_to_be AS string),'') </v>
      </c>
      <c r="M78" s="75" t="s">
        <v>55</v>
      </c>
      <c r="N78" s="75" t="str">
        <f>"SELECT 'Validação de campos' as tipologia_teste, '"&amp;VLOOKUP(B78,Instruções!$F$13:$J$17,3,0)&amp;"' AS TABELA, '"&amp;E78&amp;"' AS CAMPO, '"&amp;Instruções!$D$15&amp;"' as ref_date, coalesce(NUM_REG_DIF, 0) AS NUM_REG_DIF FROM ("&amp;L78&amp;") A "</f>
        <v xml:space="preserve">SELECT 'Validação de campos' as tipologia_teste, 'lt003_entity' AS TABELA, 'intrnl_sgmnt' AS CAMPO, '2024-09-30' as ref_date, coalesce(NUM_REG_DIF, 0) AS NUM_REG_DIF FROM (SELECT count(*) AS NUM_REG_DIF FROM (SELECT entty_id as entty_id_, intrnl_sgmnt as intrnl_sgmnt_as_is FROM cd_loan_tapes_bce.lt003_entity WHERE ref_date='2024-09-30' AND nome_perimetro='Individual Corporativo' AND segmento='ESTR' AND ambito='PM' AND entidade='00100' ) A  Inner join (SELECT entty_id as entty_id_, intrnl_sgmnt as intrnl_sgmnt_to_be FROM bu_loantape_work.lt003_entity WHERE ref_date='2024-09-30' AND nome_perimetro='Individual Corporativo' AND segmento='ESTR' AND ambito='PM' AND entidade='00100' ) B ON entty_id_as_is=entty_id_to_be WHERE coalesce(cast(intrnl_sgmnt_as_is AS string),'')&lt;&gt;coalesce(cast(intrnl_sgmnt_to_be AS string),'') ) A </v>
      </c>
      <c r="O78" s="76" t="str">
        <f t="shared" si="12"/>
        <v>SELECT 'Validação de campos' as tipologia_teste, 'lt003_entity' AS TABELA, 'intrnl_sgmnt' AS CAMPO, '2024-09-30' as ref_date, coalesce(NUM_REG_DIF, 0) AS NUM_REG_DIF FROM (SELECT count(*) AS NUM_REG_DIF FROM (SELECT entty_id as entty_id_, intrnl_sgmnt as intrnl_sgmnt_as_is FROM cd_loan_tapes_bce.lt003_entity WHERE ref_date='2024-09-30' AND nome_perimetro='Individual Corporativo' AND segmento='ESTR' AND ambito='PM' AND entidade='00100' ) A  Inner join (SELECT entty_id as entty_id_, intrnl_sgmnt as intrnl_sgmnt_to_be FROM bu_loantape_work.lt003_entity WHERE ref_date='2024-09-30' AND nome_perimetro='Individual Corporativo' AND segmento='ESTR' AND ambito='PM' AND entidade='00100' ) B ON entty_id_as_is=entty_id_to_be WHERE coalesce(cast(intrnl_sgmnt_as_is AS string),'')&lt;&gt;coalesce(cast(intrnl_sgmnt_to_be AS string),'') ) A Union all</v>
      </c>
      <c r="P78" s="75">
        <f t="shared" si="13"/>
        <v>19</v>
      </c>
    </row>
    <row r="79" spans="2:16" s="63" customFormat="1" ht="18" customHeight="1">
      <c r="B79" s="75" t="s">
        <v>11</v>
      </c>
      <c r="C79" s="75" t="str">
        <f>_xlfn.CONCAT(Instruções!$D$13,".",VLOOKUP(B79,Instruções!$F$12:$H$17,2,0))</f>
        <v>cd_loan_tapes_bce.lt003_entity</v>
      </c>
      <c r="D79" s="75" t="str">
        <f>_xlfn.CONCAT(Instruções!$D$14,".",VLOOKUP(B79,Instruções!$F$12:$H$17,3,0))</f>
        <v>bu_loantape_work.lt003_entity</v>
      </c>
      <c r="E79" s="75" t="s">
        <v>124</v>
      </c>
      <c r="F79" s="75" t="str">
        <f t="shared" si="8"/>
        <v>intrnl_unt_as_is</v>
      </c>
      <c r="G79" s="75" t="str">
        <f t="shared" si="9"/>
        <v>intrnl_unt_to_be</v>
      </c>
      <c r="H79" s="75" t="str">
        <f>IF(VLOOKUP(B79,Instruções!$F$13:$J$17,5,0)="",
"(SELECT "&amp;VLOOKUP(B79,Instruções!$F$13:$J$17,4,0)&amp;" as "&amp;VLOOKUP(B79,Instruções!$F$13:$J$17,4,0)&amp;"_"&amp;$F$2&amp;", "&amp;E79&amp;" as "&amp;F79&amp;" FROM "&amp;C79&amp;" WHERE "&amp;Instruções!$D$20&amp;") A ",
"(SELECT "&amp;VLOOKUP(B79,Instruções!$F$13:$J$17,4,0)&amp;" as "&amp;VLOOKUP(B79,Instruções!$F$13:$J$17,4,0)&amp;"_"&amp;$F$2&amp;", "&amp;VLOOKUP(B79,Instruções!$F$13:$J$17,5,0)&amp;" as "&amp;VLOOKUP(B79,Instruções!$F$13:$J$17,5,0)&amp;"_"&amp;$F$2&amp;","&amp;E79&amp;" as "&amp;F79&amp;" FROM "&amp;C79&amp;" WHERE "&amp;Instruções!$D$20&amp;") A ")</f>
        <v xml:space="preserve">(SELECT entty_id as entty_id_, intrnl_unt as intrnl_unt_as_is FROM cd_loan_tapes_bce.lt003_entity WHERE ref_date='2024-09-30' AND nome_perimetro='Individual Corporativo' AND segmento='ESTR' AND ambito='PM' AND entidade='00100' ) A </v>
      </c>
      <c r="I79" s="75" t="str">
        <f>IF(VLOOKUP(B79,Instruções!$F$13:$J$17,5,0)="",
"(SELECT "&amp;VLOOKUP(B79,Instruções!$F$13:$J$17,4,0)&amp;" as "&amp;VLOOKUP(B79,Instruções!$F$13:$J$17,4,0)&amp;"_"&amp;$G$2&amp;", "&amp;E79&amp;" as "&amp;G79&amp;" FROM "&amp;D79&amp;" WHERE "&amp;Instruções!$D$21&amp;") B ",
"(SELECT "&amp;VLOOKUP(B79,Instruções!$F$13:$J$17,4,0)&amp;" as "&amp;VLOOKUP(B79,Instruções!$F$13:$J$17,4,0)&amp;"_"&amp;$G$2&amp;", "&amp;VLOOKUP(B79,Instruções!$F$13:$J$17,5,0)&amp;" as "&amp;VLOOKUP(B79,Instruções!$F$13:$J$17,5,0)&amp;"_"&amp;$G$2&amp;","&amp;E79&amp;" as "&amp;G79&amp;" FROM "&amp;D79&amp;" WHERE "&amp;Instruções!$D$21&amp;") B ")</f>
        <v xml:space="preserve">(SELECT entty_id as entty_id_, intrnl_unt as intrnl_unt_to_be FROM bu_loantape_work.lt003_entity WHERE ref_date='2024-09-30' AND nome_perimetro='Individual Corporativo' AND segmento='ESTR' AND ambito='PM' AND entidade='00100' ) B </v>
      </c>
      <c r="J79" s="75" t="str">
        <f>+IF(VLOOKUP(B79,Instruções!$F$13:$J$17,5,0)="", "ON "&amp;VLOOKUP(B79,Instruções!$F$13:$J$17,4,0)&amp;"_"&amp;$F$7&amp;"="&amp;VLOOKUP(B79,Instruções!$F$13:$J$17,4,0)&amp;"_"&amp;$G$7&amp;" ", "ON "&amp;VLOOKUP(B79,Instruções!$F$13:$J$17,4,0)&amp;"_"&amp;$F$7&amp;"="&amp;VLOOKUP(B79,Instruções!$F$13:$J$17,4,0)&amp;"_"&amp;$G$7&amp;" AND "&amp;VLOOKUP(B79,Instruções!$F$13:$J$17,5,0)&amp;"_"&amp;$F$7&amp;"="&amp;VLOOKUP(B79,Instruções!$F$13:$J$17,5,0)&amp;"_"&amp;$G$7&amp;" ")</f>
        <v xml:space="preserve">ON entty_id_as_is=entty_id_to_be </v>
      </c>
      <c r="K79" s="75" t="str">
        <f t="shared" si="10"/>
        <v xml:space="preserve">WHERE coalesce(cast(intrnl_unt_as_is AS string),'')&lt;&gt;coalesce(cast(intrnl_unt_to_be AS string),'') </v>
      </c>
      <c r="L79" s="75" t="str">
        <f t="shared" si="11"/>
        <v xml:space="preserve">SELECT count(*) AS NUM_REG_DIF FROM (SELECT entty_id as entty_id_, intrnl_unt as intrnl_unt_as_is FROM cd_loan_tapes_bce.lt003_entity WHERE ref_date='2024-09-30' AND nome_perimetro='Individual Corporativo' AND segmento='ESTR' AND ambito='PM' AND entidade='00100' ) A  Inner join (SELECT entty_id as entty_id_, intrnl_unt as intrnl_unt_to_be FROM bu_loantape_work.lt003_entity WHERE ref_date='2024-09-30' AND nome_perimetro='Individual Corporativo' AND segmento='ESTR' AND ambito='PM' AND entidade='00100' ) B ON entty_id_as_is=entty_id_to_be WHERE coalesce(cast(intrnl_unt_as_is AS string),'')&lt;&gt;coalesce(cast(intrnl_unt_to_be AS string),'') </v>
      </c>
      <c r="M79" s="75" t="s">
        <v>55</v>
      </c>
      <c r="N79" s="75" t="str">
        <f>"SELECT 'Validação de campos' as tipologia_teste, '"&amp;VLOOKUP(B79,Instruções!$F$13:$J$17,3,0)&amp;"' AS TABELA, '"&amp;E79&amp;"' AS CAMPO, '"&amp;Instruções!$D$15&amp;"' as ref_date, coalesce(NUM_REG_DIF, 0) AS NUM_REG_DIF FROM ("&amp;L79&amp;") A "</f>
        <v xml:space="preserve">SELECT 'Validação de campos' as tipologia_teste, 'lt003_entity' AS TABELA, 'intrnl_unt' AS CAMPO, '2024-09-30' as ref_date, coalesce(NUM_REG_DIF, 0) AS NUM_REG_DIF FROM (SELECT count(*) AS NUM_REG_DIF FROM (SELECT entty_id as entty_id_, intrnl_unt as intrnl_unt_as_is FROM cd_loan_tapes_bce.lt003_entity WHERE ref_date='2024-09-30' AND nome_perimetro='Individual Corporativo' AND segmento='ESTR' AND ambito='PM' AND entidade='00100' ) A  Inner join (SELECT entty_id as entty_id_, intrnl_unt as intrnl_unt_to_be FROM bu_loantape_work.lt003_entity WHERE ref_date='2024-09-30' AND nome_perimetro='Individual Corporativo' AND segmento='ESTR' AND ambito='PM' AND entidade='00100' ) B ON entty_id_as_is=entty_id_to_be WHERE coalesce(cast(intrnl_unt_as_is AS string),'')&lt;&gt;coalesce(cast(intrnl_unt_to_be AS string),'') ) A </v>
      </c>
      <c r="O79" s="76" t="str">
        <f t="shared" si="12"/>
        <v>SELECT 'Validação de campos' as tipologia_teste, 'lt003_entity' AS TABELA, 'intrnl_unt' AS CAMPO, '2024-09-30' as ref_date, coalesce(NUM_REG_DIF, 0) AS NUM_REG_DIF FROM (SELECT count(*) AS NUM_REG_DIF FROM (SELECT entty_id as entty_id_, intrnl_unt as intrnl_unt_as_is FROM cd_loan_tapes_bce.lt003_entity WHERE ref_date='2024-09-30' AND nome_perimetro='Individual Corporativo' AND segmento='ESTR' AND ambito='PM' AND entidade='00100' ) A  Inner join (SELECT entty_id as entty_id_, intrnl_unt as intrnl_unt_to_be FROM bu_loantape_work.lt003_entity WHERE ref_date='2024-09-30' AND nome_perimetro='Individual Corporativo' AND segmento='ESTR' AND ambito='PM' AND entidade='00100' ) B ON entty_id_as_is=entty_id_to_be WHERE coalesce(cast(intrnl_unt_as_is AS string),'')&lt;&gt;coalesce(cast(intrnl_unt_to_be AS string),'') ) A Union all</v>
      </c>
      <c r="P79" s="75">
        <f t="shared" si="13"/>
        <v>20</v>
      </c>
    </row>
    <row r="80" spans="2:16" s="63" customFormat="1" ht="18" customHeight="1">
      <c r="B80" s="75" t="s">
        <v>11</v>
      </c>
      <c r="C80" s="75" t="str">
        <f>_xlfn.CONCAT(Instruções!$D$13,".",VLOOKUP(B80,Instruções!$F$12:$H$17,2,0))</f>
        <v>cd_loan_tapes_bce.lt003_entity</v>
      </c>
      <c r="D80" s="75" t="str">
        <f>_xlfn.CONCAT(Instruções!$D$14,".",VLOOKUP(B80,Instruções!$F$12:$H$17,3,0))</f>
        <v>bu_loantape_work.lt003_entity</v>
      </c>
      <c r="E80" s="75" t="s">
        <v>125</v>
      </c>
      <c r="F80" s="75" t="str">
        <f t="shared" si="8"/>
        <v>lei_as_is</v>
      </c>
      <c r="G80" s="75" t="str">
        <f t="shared" si="9"/>
        <v>lei_to_be</v>
      </c>
      <c r="H80" s="75" t="str">
        <f>IF(VLOOKUP(B80,Instruções!$F$13:$J$17,5,0)="",
"(SELECT "&amp;VLOOKUP(B80,Instruções!$F$13:$J$17,4,0)&amp;" as "&amp;VLOOKUP(B80,Instruções!$F$13:$J$17,4,0)&amp;"_"&amp;$F$2&amp;", "&amp;E80&amp;" as "&amp;F80&amp;" FROM "&amp;C80&amp;" WHERE "&amp;Instruções!$D$20&amp;") A ",
"(SELECT "&amp;VLOOKUP(B80,Instruções!$F$13:$J$17,4,0)&amp;" as "&amp;VLOOKUP(B80,Instruções!$F$13:$J$17,4,0)&amp;"_"&amp;$F$2&amp;", "&amp;VLOOKUP(B80,Instruções!$F$13:$J$17,5,0)&amp;" as "&amp;VLOOKUP(B80,Instruções!$F$13:$J$17,5,0)&amp;"_"&amp;$F$2&amp;","&amp;E80&amp;" as "&amp;F80&amp;" FROM "&amp;C80&amp;" WHERE "&amp;Instruções!$D$20&amp;") A ")</f>
        <v xml:space="preserve">(SELECT entty_id as entty_id_, lei as lei_as_is FROM cd_loan_tapes_bce.lt003_entity WHERE ref_date='2024-09-30' AND nome_perimetro='Individual Corporativo' AND segmento='ESTR' AND ambito='PM' AND entidade='00100' ) A </v>
      </c>
      <c r="I80" s="75" t="str">
        <f>IF(VLOOKUP(B80,Instruções!$F$13:$J$17,5,0)="",
"(SELECT "&amp;VLOOKUP(B80,Instruções!$F$13:$J$17,4,0)&amp;" as "&amp;VLOOKUP(B80,Instruções!$F$13:$J$17,4,0)&amp;"_"&amp;$G$2&amp;", "&amp;E80&amp;" as "&amp;G80&amp;" FROM "&amp;D80&amp;" WHERE "&amp;Instruções!$D$21&amp;") B ",
"(SELECT "&amp;VLOOKUP(B80,Instruções!$F$13:$J$17,4,0)&amp;" as "&amp;VLOOKUP(B80,Instruções!$F$13:$J$17,4,0)&amp;"_"&amp;$G$2&amp;", "&amp;VLOOKUP(B80,Instruções!$F$13:$J$17,5,0)&amp;" as "&amp;VLOOKUP(B80,Instruções!$F$13:$J$17,5,0)&amp;"_"&amp;$G$2&amp;","&amp;E80&amp;" as "&amp;G80&amp;" FROM "&amp;D80&amp;" WHERE "&amp;Instruções!$D$21&amp;") B ")</f>
        <v xml:space="preserve">(SELECT entty_id as entty_id_, lei as lei_to_be FROM bu_loantape_work.lt003_entity WHERE ref_date='2024-09-30' AND nome_perimetro='Individual Corporativo' AND segmento='ESTR' AND ambito='PM' AND entidade='00100' ) B </v>
      </c>
      <c r="J80" s="75" t="str">
        <f>+IF(VLOOKUP(B80,Instruções!$F$13:$J$17,5,0)="", "ON "&amp;VLOOKUP(B80,Instruções!$F$13:$J$17,4,0)&amp;"_"&amp;$F$7&amp;"="&amp;VLOOKUP(B80,Instruções!$F$13:$J$17,4,0)&amp;"_"&amp;$G$7&amp;" ", "ON "&amp;VLOOKUP(B80,Instruções!$F$13:$J$17,4,0)&amp;"_"&amp;$F$7&amp;"="&amp;VLOOKUP(B80,Instruções!$F$13:$J$17,4,0)&amp;"_"&amp;$G$7&amp;" AND "&amp;VLOOKUP(B80,Instruções!$F$13:$J$17,5,0)&amp;"_"&amp;$F$7&amp;"="&amp;VLOOKUP(B80,Instruções!$F$13:$J$17,5,0)&amp;"_"&amp;$G$7&amp;" ")</f>
        <v xml:space="preserve">ON entty_id_as_is=entty_id_to_be </v>
      </c>
      <c r="K80" s="75" t="str">
        <f t="shared" si="10"/>
        <v xml:space="preserve">WHERE coalesce(cast(lei_as_is AS string),'')&lt;&gt;coalesce(cast(lei_to_be AS string),'') </v>
      </c>
      <c r="L80" s="75" t="str">
        <f t="shared" si="11"/>
        <v xml:space="preserve">SELECT count(*) AS NUM_REG_DIF FROM (SELECT entty_id as entty_id_, lei as lei_as_is FROM cd_loan_tapes_bce.lt003_entity WHERE ref_date='2024-09-30' AND nome_perimetro='Individual Corporativo' AND segmento='ESTR' AND ambito='PM' AND entidade='00100' ) A  Inner join (SELECT entty_id as entty_id_, lei as lei_to_be FROM bu_loantape_work.lt003_entity WHERE ref_date='2024-09-30' AND nome_perimetro='Individual Corporativo' AND segmento='ESTR' AND ambito='PM' AND entidade='00100' ) B ON entty_id_as_is=entty_id_to_be WHERE coalesce(cast(lei_as_is AS string),'')&lt;&gt;coalesce(cast(lei_to_be AS string),'') </v>
      </c>
      <c r="M80" s="75" t="s">
        <v>55</v>
      </c>
      <c r="N80" s="75" t="str">
        <f>"SELECT 'Validação de campos' as tipologia_teste, '"&amp;VLOOKUP(B80,Instruções!$F$13:$J$17,3,0)&amp;"' AS TABELA, '"&amp;E80&amp;"' AS CAMPO, '"&amp;Instruções!$D$15&amp;"' as ref_date, coalesce(NUM_REG_DIF, 0) AS NUM_REG_DIF FROM ("&amp;L80&amp;") A "</f>
        <v xml:space="preserve">SELECT 'Validação de campos' as tipologia_teste, 'lt003_entity' AS TABELA, 'lei' AS CAMPO, '2024-09-30' as ref_date, coalesce(NUM_REG_DIF, 0) AS NUM_REG_DIF FROM (SELECT count(*) AS NUM_REG_DIF FROM (SELECT entty_id as entty_id_, lei as lei_as_is FROM cd_loan_tapes_bce.lt003_entity WHERE ref_date='2024-09-30' AND nome_perimetro='Individual Corporativo' AND segmento='ESTR' AND ambito='PM' AND entidade='00100' ) A  Inner join (SELECT entty_id as entty_id_, lei as lei_to_be FROM bu_loantape_work.lt003_entity WHERE ref_date='2024-09-30' AND nome_perimetro='Individual Corporativo' AND segmento='ESTR' AND ambito='PM' AND entidade='00100' ) B ON entty_id_as_is=entty_id_to_be WHERE coalesce(cast(lei_as_is AS string),'')&lt;&gt;coalesce(cast(lei_to_be AS string),'') ) A </v>
      </c>
      <c r="O80" s="76" t="str">
        <f t="shared" si="12"/>
        <v>SELECT 'Validação de campos' as tipologia_teste, 'lt003_entity' AS TABELA, 'lei' AS CAMPO, '2024-09-30' as ref_date, coalesce(NUM_REG_DIF, 0) AS NUM_REG_DIF FROM (SELECT count(*) AS NUM_REG_DIF FROM (SELECT entty_id as entty_id_, lei as lei_as_is FROM cd_loan_tapes_bce.lt003_entity WHERE ref_date='2024-09-30' AND nome_perimetro='Individual Corporativo' AND segmento='ESTR' AND ambito='PM' AND entidade='00100' ) A  Inner join (SELECT entty_id as entty_id_, lei as lei_to_be FROM bu_loantape_work.lt003_entity WHERE ref_date='2024-09-30' AND nome_perimetro='Individual Corporativo' AND segmento='ESTR' AND ambito='PM' AND entidade='00100' ) B ON entty_id_as_is=entty_id_to_be WHERE coalesce(cast(lei_as_is AS string),'')&lt;&gt;coalesce(cast(lei_to_be AS string),'') ) A Union all</v>
      </c>
      <c r="P80" s="75">
        <f t="shared" si="13"/>
        <v>21</v>
      </c>
    </row>
    <row r="81" spans="2:16" s="63" customFormat="1" ht="18" customHeight="1">
      <c r="B81" s="75" t="s">
        <v>11</v>
      </c>
      <c r="C81" s="75" t="str">
        <f>_xlfn.CONCAT(Instruções!$D$13,".",VLOOKUP(B81,Instruções!$F$12:$H$17,2,0))</f>
        <v>cd_loan_tapes_bce.lt003_entity</v>
      </c>
      <c r="D81" s="75" t="str">
        <f>_xlfn.CONCAT(Instruções!$D$14,".",VLOOKUP(B81,Instruções!$F$12:$H$17,3,0))</f>
        <v>bu_loantape_work.lt003_entity</v>
      </c>
      <c r="E81" s="75" t="s">
        <v>126</v>
      </c>
      <c r="F81" s="75" t="str">
        <f t="shared" si="8"/>
        <v>lgl_prcdng_stts_le_as_is</v>
      </c>
      <c r="G81" s="75" t="str">
        <f t="shared" si="9"/>
        <v>lgl_prcdng_stts_le_to_be</v>
      </c>
      <c r="H81" s="75" t="str">
        <f>IF(VLOOKUP(B81,Instruções!$F$13:$J$17,5,0)="",
"(SELECT "&amp;VLOOKUP(B81,Instruções!$F$13:$J$17,4,0)&amp;" as "&amp;VLOOKUP(B81,Instruções!$F$13:$J$17,4,0)&amp;"_"&amp;$F$2&amp;", "&amp;E81&amp;" as "&amp;F81&amp;" FROM "&amp;C81&amp;" WHERE "&amp;Instruções!$D$20&amp;") A ",
"(SELECT "&amp;VLOOKUP(B81,Instruções!$F$13:$J$17,4,0)&amp;" as "&amp;VLOOKUP(B81,Instruções!$F$13:$J$17,4,0)&amp;"_"&amp;$F$2&amp;", "&amp;VLOOKUP(B81,Instruções!$F$13:$J$17,5,0)&amp;" as "&amp;VLOOKUP(B81,Instruções!$F$13:$J$17,5,0)&amp;"_"&amp;$F$2&amp;","&amp;E81&amp;" as "&amp;F81&amp;" FROM "&amp;C81&amp;" WHERE "&amp;Instruções!$D$20&amp;") A ")</f>
        <v xml:space="preserve">(SELECT entty_id as entty_id_, lgl_prcdng_stts_le as lgl_prcdng_stts_le_as_is FROM cd_loan_tapes_bce.lt003_entity WHERE ref_date='2024-09-30' AND nome_perimetro='Individual Corporativo' AND segmento='ESTR' AND ambito='PM' AND entidade='00100' ) A </v>
      </c>
      <c r="I81" s="75" t="str">
        <f>IF(VLOOKUP(B81,Instruções!$F$13:$J$17,5,0)="",
"(SELECT "&amp;VLOOKUP(B81,Instruções!$F$13:$J$17,4,0)&amp;" as "&amp;VLOOKUP(B81,Instruções!$F$13:$J$17,4,0)&amp;"_"&amp;$G$2&amp;", "&amp;E81&amp;" as "&amp;G81&amp;" FROM "&amp;D81&amp;" WHERE "&amp;Instruções!$D$21&amp;") B ",
"(SELECT "&amp;VLOOKUP(B81,Instruções!$F$13:$J$17,4,0)&amp;" as "&amp;VLOOKUP(B81,Instruções!$F$13:$J$17,4,0)&amp;"_"&amp;$G$2&amp;", "&amp;VLOOKUP(B81,Instruções!$F$13:$J$17,5,0)&amp;" as "&amp;VLOOKUP(B81,Instruções!$F$13:$J$17,5,0)&amp;"_"&amp;$G$2&amp;","&amp;E81&amp;" as "&amp;G81&amp;" FROM "&amp;D81&amp;" WHERE "&amp;Instruções!$D$21&amp;") B ")</f>
        <v xml:space="preserve">(SELECT entty_id as entty_id_, lgl_prcdng_stts_le as lgl_prcdng_stts_le_to_be FROM bu_loantape_work.lt003_entity WHERE ref_date='2024-09-30' AND nome_perimetro='Individual Corporativo' AND segmento='ESTR' AND ambito='PM' AND entidade='00100' ) B </v>
      </c>
      <c r="J81" s="75" t="str">
        <f>+IF(VLOOKUP(B81,Instruções!$F$13:$J$17,5,0)="", "ON "&amp;VLOOKUP(B81,Instruções!$F$13:$J$17,4,0)&amp;"_"&amp;$F$7&amp;"="&amp;VLOOKUP(B81,Instruções!$F$13:$J$17,4,0)&amp;"_"&amp;$G$7&amp;" ", "ON "&amp;VLOOKUP(B81,Instruções!$F$13:$J$17,4,0)&amp;"_"&amp;$F$7&amp;"="&amp;VLOOKUP(B81,Instruções!$F$13:$J$17,4,0)&amp;"_"&amp;$G$7&amp;" AND "&amp;VLOOKUP(B81,Instruções!$F$13:$J$17,5,0)&amp;"_"&amp;$F$7&amp;"="&amp;VLOOKUP(B81,Instruções!$F$13:$J$17,5,0)&amp;"_"&amp;$G$7&amp;" ")</f>
        <v xml:space="preserve">ON entty_id_as_is=entty_id_to_be </v>
      </c>
      <c r="K81" s="75" t="str">
        <f t="shared" si="10"/>
        <v xml:space="preserve">WHERE coalesce(cast(lgl_prcdng_stts_le_as_is AS string),'')&lt;&gt;coalesce(cast(lgl_prcdng_stts_le_to_be AS string),'') </v>
      </c>
      <c r="L81" s="75" t="str">
        <f t="shared" si="11"/>
        <v xml:space="preserve">SELECT count(*) AS NUM_REG_DIF FROM (SELECT entty_id as entty_id_, lgl_prcdng_stts_le as lgl_prcdng_stts_le_as_is FROM cd_loan_tapes_bce.lt003_entity WHERE ref_date='2024-09-30' AND nome_perimetro='Individual Corporativo' AND segmento='ESTR' AND ambito='PM' AND entidade='00100' ) A  Inner join (SELECT entty_id as entty_id_, lgl_prcdng_stts_le as lgl_prcdng_stts_le_to_be FROM bu_loantape_work.lt003_entity WHERE ref_date='2024-09-30' AND nome_perimetro='Individual Corporativo' AND segmento='ESTR' AND ambito='PM' AND entidade='00100' ) B ON entty_id_as_is=entty_id_to_be WHERE coalesce(cast(lgl_prcdng_stts_le_as_is AS string),'')&lt;&gt;coalesce(cast(lgl_prcdng_stts_le_to_be AS string),'') </v>
      </c>
      <c r="M81" s="75" t="s">
        <v>55</v>
      </c>
      <c r="N81" s="75" t="str">
        <f>"SELECT 'Validação de campos' as tipologia_teste, '"&amp;VLOOKUP(B81,Instruções!$F$13:$J$17,3,0)&amp;"' AS TABELA, '"&amp;E81&amp;"' AS CAMPO, '"&amp;Instruções!$D$15&amp;"' as ref_date, coalesce(NUM_REG_DIF, 0) AS NUM_REG_DIF FROM ("&amp;L81&amp;") A "</f>
        <v xml:space="preserve">SELECT 'Validação de campos' as tipologia_teste, 'lt003_entity' AS TABELA, 'lgl_prcdng_stts_le' AS CAMPO, '2024-09-30' as ref_date, coalesce(NUM_REG_DIF, 0) AS NUM_REG_DIF FROM (SELECT count(*) AS NUM_REG_DIF FROM (SELECT entty_id as entty_id_, lgl_prcdng_stts_le as lgl_prcdng_stts_le_as_is FROM cd_loan_tapes_bce.lt003_entity WHERE ref_date='2024-09-30' AND nome_perimetro='Individual Corporativo' AND segmento='ESTR' AND ambito='PM' AND entidade='00100' ) A  Inner join (SELECT entty_id as entty_id_, lgl_prcdng_stts_le as lgl_prcdng_stts_le_to_be FROM bu_loantape_work.lt003_entity WHERE ref_date='2024-09-30' AND nome_perimetro='Individual Corporativo' AND segmento='ESTR' AND ambito='PM' AND entidade='00100' ) B ON entty_id_as_is=entty_id_to_be WHERE coalesce(cast(lgl_prcdng_stts_le_as_is AS string),'')&lt;&gt;coalesce(cast(lgl_prcdng_stts_le_to_be AS string),'') ) A </v>
      </c>
      <c r="O81" s="76" t="str">
        <f t="shared" si="12"/>
        <v>SELECT 'Validação de campos' as tipologia_teste, 'lt003_entity' AS TABELA, 'lgl_prcdng_stts_le' AS CAMPO, '2024-09-30' as ref_date, coalesce(NUM_REG_DIF, 0) AS NUM_REG_DIF FROM (SELECT count(*) AS NUM_REG_DIF FROM (SELECT entty_id as entty_id_, lgl_prcdng_stts_le as lgl_prcdng_stts_le_as_is FROM cd_loan_tapes_bce.lt003_entity WHERE ref_date='2024-09-30' AND nome_perimetro='Individual Corporativo' AND segmento='ESTR' AND ambito='PM' AND entidade='00100' ) A  Inner join (SELECT entty_id as entty_id_, lgl_prcdng_stts_le as lgl_prcdng_stts_le_to_be FROM bu_loantape_work.lt003_entity WHERE ref_date='2024-09-30' AND nome_perimetro='Individual Corporativo' AND segmento='ESTR' AND ambito='PM' AND entidade='00100' ) B ON entty_id_as_is=entty_id_to_be WHERE coalesce(cast(lgl_prcdng_stts_le_as_is AS string),'')&lt;&gt;coalesce(cast(lgl_prcdng_stts_le_to_be AS string),'') ) A Union all</v>
      </c>
      <c r="P81" s="75">
        <f t="shared" si="13"/>
        <v>22</v>
      </c>
    </row>
    <row r="82" spans="2:16" s="63" customFormat="1" ht="18" customHeight="1">
      <c r="B82" s="75" t="s">
        <v>11</v>
      </c>
      <c r="C82" s="75" t="str">
        <f>_xlfn.CONCAT(Instruções!$D$13,".",VLOOKUP(B82,Instruções!$F$12:$H$17,2,0))</f>
        <v>cd_loan_tapes_bce.lt003_entity</v>
      </c>
      <c r="D82" s="75" t="str">
        <f>_xlfn.CONCAT(Instruções!$D$14,".",VLOOKUP(B82,Instruções!$F$12:$H$17,3,0))</f>
        <v>bu_loantape_work.lt003_entity</v>
      </c>
      <c r="E82" s="75" t="s">
        <v>127</v>
      </c>
      <c r="F82" s="75" t="str">
        <f t="shared" si="8"/>
        <v>lti_as_is</v>
      </c>
      <c r="G82" s="75" t="str">
        <f t="shared" si="9"/>
        <v>lti_to_be</v>
      </c>
      <c r="H82" s="75" t="str">
        <f>IF(VLOOKUP(B82,Instruções!$F$13:$J$17,5,0)="",
"(SELECT "&amp;VLOOKUP(B82,Instruções!$F$13:$J$17,4,0)&amp;" as "&amp;VLOOKUP(B82,Instruções!$F$13:$J$17,4,0)&amp;"_"&amp;$F$2&amp;", "&amp;E82&amp;" as "&amp;F82&amp;" FROM "&amp;C82&amp;" WHERE "&amp;Instruções!$D$20&amp;") A ",
"(SELECT "&amp;VLOOKUP(B82,Instruções!$F$13:$J$17,4,0)&amp;" as "&amp;VLOOKUP(B82,Instruções!$F$13:$J$17,4,0)&amp;"_"&amp;$F$2&amp;", "&amp;VLOOKUP(B82,Instruções!$F$13:$J$17,5,0)&amp;" as "&amp;VLOOKUP(B82,Instruções!$F$13:$J$17,5,0)&amp;"_"&amp;$F$2&amp;","&amp;E82&amp;" as "&amp;F82&amp;" FROM "&amp;C82&amp;" WHERE "&amp;Instruções!$D$20&amp;") A ")</f>
        <v xml:space="preserve">(SELECT entty_id as entty_id_, lti as lti_as_is FROM cd_loan_tapes_bce.lt003_entity WHERE ref_date='2024-09-30' AND nome_perimetro='Individual Corporativo' AND segmento='ESTR' AND ambito='PM' AND entidade='00100' ) A </v>
      </c>
      <c r="I82" s="75" t="str">
        <f>IF(VLOOKUP(B82,Instruções!$F$13:$J$17,5,0)="",
"(SELECT "&amp;VLOOKUP(B82,Instruções!$F$13:$J$17,4,0)&amp;" as "&amp;VLOOKUP(B82,Instruções!$F$13:$J$17,4,0)&amp;"_"&amp;$G$2&amp;", "&amp;E82&amp;" as "&amp;G82&amp;" FROM "&amp;D82&amp;" WHERE "&amp;Instruções!$D$21&amp;") B ",
"(SELECT "&amp;VLOOKUP(B82,Instruções!$F$13:$J$17,4,0)&amp;" as "&amp;VLOOKUP(B82,Instruções!$F$13:$J$17,4,0)&amp;"_"&amp;$G$2&amp;", "&amp;VLOOKUP(B82,Instruções!$F$13:$J$17,5,0)&amp;" as "&amp;VLOOKUP(B82,Instruções!$F$13:$J$17,5,0)&amp;"_"&amp;$G$2&amp;","&amp;E82&amp;" as "&amp;G82&amp;" FROM "&amp;D82&amp;" WHERE "&amp;Instruções!$D$21&amp;") B ")</f>
        <v xml:space="preserve">(SELECT entty_id as entty_id_, lti as lti_to_be FROM bu_loantape_work.lt003_entity WHERE ref_date='2024-09-30' AND nome_perimetro='Individual Corporativo' AND segmento='ESTR' AND ambito='PM' AND entidade='00100' ) B </v>
      </c>
      <c r="J82" s="75" t="str">
        <f>+IF(VLOOKUP(B82,Instruções!$F$13:$J$17,5,0)="", "ON "&amp;VLOOKUP(B82,Instruções!$F$13:$J$17,4,0)&amp;"_"&amp;$F$7&amp;"="&amp;VLOOKUP(B82,Instruções!$F$13:$J$17,4,0)&amp;"_"&amp;$G$7&amp;" ", "ON "&amp;VLOOKUP(B82,Instruções!$F$13:$J$17,4,0)&amp;"_"&amp;$F$7&amp;"="&amp;VLOOKUP(B82,Instruções!$F$13:$J$17,4,0)&amp;"_"&amp;$G$7&amp;" AND "&amp;VLOOKUP(B82,Instruções!$F$13:$J$17,5,0)&amp;"_"&amp;$F$7&amp;"="&amp;VLOOKUP(B82,Instruções!$F$13:$J$17,5,0)&amp;"_"&amp;$G$7&amp;" ")</f>
        <v xml:space="preserve">ON entty_id_as_is=entty_id_to_be </v>
      </c>
      <c r="K82" s="75" t="str">
        <f t="shared" si="10"/>
        <v xml:space="preserve">WHERE coalesce(cast(lti_as_is AS string),'')&lt;&gt;coalesce(cast(lti_to_be AS string),'') </v>
      </c>
      <c r="L82" s="75" t="str">
        <f t="shared" si="11"/>
        <v xml:space="preserve">SELECT count(*) AS NUM_REG_DIF FROM (SELECT entty_id as entty_id_, lti as lti_as_is FROM cd_loan_tapes_bce.lt003_entity WHERE ref_date='2024-09-30' AND nome_perimetro='Individual Corporativo' AND segmento='ESTR' AND ambito='PM' AND entidade='00100' ) A  Inner join (SELECT entty_id as entty_id_, lti as lti_to_be FROM bu_loantape_work.lt003_entity WHERE ref_date='2024-09-30' AND nome_perimetro='Individual Corporativo' AND segmento='ESTR' AND ambito='PM' AND entidade='00100' ) B ON entty_id_as_is=entty_id_to_be WHERE coalesce(cast(lti_as_is AS string),'')&lt;&gt;coalesce(cast(lti_to_be AS string),'') </v>
      </c>
      <c r="M82" s="75" t="s">
        <v>55</v>
      </c>
      <c r="N82" s="75" t="str">
        <f>"SELECT 'Validação de campos' as tipologia_teste, '"&amp;VLOOKUP(B82,Instruções!$F$13:$J$17,3,0)&amp;"' AS TABELA, '"&amp;E82&amp;"' AS CAMPO, '"&amp;Instruções!$D$15&amp;"' as ref_date, coalesce(NUM_REG_DIF, 0) AS NUM_REG_DIF FROM ("&amp;L82&amp;") A "</f>
        <v xml:space="preserve">SELECT 'Validação de campos' as tipologia_teste, 'lt003_entity' AS TABELA, 'lti' AS CAMPO, '2024-09-30' as ref_date, coalesce(NUM_REG_DIF, 0) AS NUM_REG_DIF FROM (SELECT count(*) AS NUM_REG_DIF FROM (SELECT entty_id as entty_id_, lti as lti_as_is FROM cd_loan_tapes_bce.lt003_entity WHERE ref_date='2024-09-30' AND nome_perimetro='Individual Corporativo' AND segmento='ESTR' AND ambito='PM' AND entidade='00100' ) A  Inner join (SELECT entty_id as entty_id_, lti as lti_to_be FROM bu_loantape_work.lt003_entity WHERE ref_date='2024-09-30' AND nome_perimetro='Individual Corporativo' AND segmento='ESTR' AND ambito='PM' AND entidade='00100' ) B ON entty_id_as_is=entty_id_to_be WHERE coalesce(cast(lti_as_is AS string),'')&lt;&gt;coalesce(cast(lti_to_be AS string),'') ) A </v>
      </c>
      <c r="O82" s="76" t="str">
        <f t="shared" si="12"/>
        <v>SELECT 'Validação de campos' as tipologia_teste, 'lt003_entity' AS TABELA, 'lti' AS CAMPO, '2024-09-30' as ref_date, coalesce(NUM_REG_DIF, 0) AS NUM_REG_DIF FROM (SELECT count(*) AS NUM_REG_DIF FROM (SELECT entty_id as entty_id_, lti as lti_as_is FROM cd_loan_tapes_bce.lt003_entity WHERE ref_date='2024-09-30' AND nome_perimetro='Individual Corporativo' AND segmento='ESTR' AND ambito='PM' AND entidade='00100' ) A  Inner join (SELECT entty_id as entty_id_, lti as lti_to_be FROM bu_loantape_work.lt003_entity WHERE ref_date='2024-09-30' AND nome_perimetro='Individual Corporativo' AND segmento='ESTR' AND ambito='PM' AND entidade='00100' ) B ON entty_id_as_is=entty_id_to_be WHERE coalesce(cast(lti_as_is AS string),'')&lt;&gt;coalesce(cast(lti_to_be AS string),'') ) A Union all</v>
      </c>
      <c r="P82" s="75">
        <f t="shared" si="13"/>
        <v>23</v>
      </c>
    </row>
    <row r="83" spans="2:16" s="63" customFormat="1" ht="18" customHeight="1">
      <c r="B83" s="75" t="s">
        <v>11</v>
      </c>
      <c r="C83" s="75" t="str">
        <f>_xlfn.CONCAT(Instruções!$D$13,".",VLOOKUP(B83,Instruções!$F$12:$H$17,2,0))</f>
        <v>cd_loan_tapes_bce.lt003_entity</v>
      </c>
      <c r="D83" s="75" t="str">
        <f>_xlfn.CONCAT(Instruções!$D$14,".",VLOOKUP(B83,Instruções!$F$12:$H$17,3,0))</f>
        <v>bu_loantape_work.lt003_entity</v>
      </c>
      <c r="E83" s="75" t="s">
        <v>128</v>
      </c>
      <c r="F83" s="75" t="str">
        <f t="shared" si="8"/>
        <v>lvrg_as_is</v>
      </c>
      <c r="G83" s="75" t="str">
        <f t="shared" si="9"/>
        <v>lvrg_to_be</v>
      </c>
      <c r="H83" s="75" t="str">
        <f>IF(VLOOKUP(B83,Instruções!$F$13:$J$17,5,0)="",
"(SELECT "&amp;VLOOKUP(B83,Instruções!$F$13:$J$17,4,0)&amp;" as "&amp;VLOOKUP(B83,Instruções!$F$13:$J$17,4,0)&amp;"_"&amp;$F$2&amp;", "&amp;E83&amp;" as "&amp;F83&amp;" FROM "&amp;C83&amp;" WHERE "&amp;Instruções!$D$20&amp;") A ",
"(SELECT "&amp;VLOOKUP(B83,Instruções!$F$13:$J$17,4,0)&amp;" as "&amp;VLOOKUP(B83,Instruções!$F$13:$J$17,4,0)&amp;"_"&amp;$F$2&amp;", "&amp;VLOOKUP(B83,Instruções!$F$13:$J$17,5,0)&amp;" as "&amp;VLOOKUP(B83,Instruções!$F$13:$J$17,5,0)&amp;"_"&amp;$F$2&amp;","&amp;E83&amp;" as "&amp;F83&amp;" FROM "&amp;C83&amp;" WHERE "&amp;Instruções!$D$20&amp;") A ")</f>
        <v xml:space="preserve">(SELECT entty_id as entty_id_, lvrg as lvrg_as_is FROM cd_loan_tapes_bce.lt003_entity WHERE ref_date='2024-09-30' AND nome_perimetro='Individual Corporativo' AND segmento='ESTR' AND ambito='PM' AND entidade='00100' ) A </v>
      </c>
      <c r="I83" s="75" t="str">
        <f>IF(VLOOKUP(B83,Instruções!$F$13:$J$17,5,0)="",
"(SELECT "&amp;VLOOKUP(B83,Instruções!$F$13:$J$17,4,0)&amp;" as "&amp;VLOOKUP(B83,Instruções!$F$13:$J$17,4,0)&amp;"_"&amp;$G$2&amp;", "&amp;E83&amp;" as "&amp;G83&amp;" FROM "&amp;D83&amp;" WHERE "&amp;Instruções!$D$21&amp;") B ",
"(SELECT "&amp;VLOOKUP(B83,Instruções!$F$13:$J$17,4,0)&amp;" as "&amp;VLOOKUP(B83,Instruções!$F$13:$J$17,4,0)&amp;"_"&amp;$G$2&amp;", "&amp;VLOOKUP(B83,Instruções!$F$13:$J$17,5,0)&amp;" as "&amp;VLOOKUP(B83,Instruções!$F$13:$J$17,5,0)&amp;"_"&amp;$G$2&amp;","&amp;E83&amp;" as "&amp;G83&amp;" FROM "&amp;D83&amp;" WHERE "&amp;Instruções!$D$21&amp;") B ")</f>
        <v xml:space="preserve">(SELECT entty_id as entty_id_, lvrg as lvrg_to_be FROM bu_loantape_work.lt003_entity WHERE ref_date='2024-09-30' AND nome_perimetro='Individual Corporativo' AND segmento='ESTR' AND ambito='PM' AND entidade='00100' ) B </v>
      </c>
      <c r="J83" s="75" t="str">
        <f>+IF(VLOOKUP(B83,Instruções!$F$13:$J$17,5,0)="", "ON "&amp;VLOOKUP(B83,Instruções!$F$13:$J$17,4,0)&amp;"_"&amp;$F$7&amp;"="&amp;VLOOKUP(B83,Instruções!$F$13:$J$17,4,0)&amp;"_"&amp;$G$7&amp;" ", "ON "&amp;VLOOKUP(B83,Instruções!$F$13:$J$17,4,0)&amp;"_"&amp;$F$7&amp;"="&amp;VLOOKUP(B83,Instruções!$F$13:$J$17,4,0)&amp;"_"&amp;$G$7&amp;" AND "&amp;VLOOKUP(B83,Instruções!$F$13:$J$17,5,0)&amp;"_"&amp;$F$7&amp;"="&amp;VLOOKUP(B83,Instruções!$F$13:$J$17,5,0)&amp;"_"&amp;$G$7&amp;" ")</f>
        <v xml:space="preserve">ON entty_id_as_is=entty_id_to_be </v>
      </c>
      <c r="K83" s="75" t="str">
        <f t="shared" si="10"/>
        <v xml:space="preserve">WHERE coalesce(cast(lvrg_as_is AS string),'')&lt;&gt;coalesce(cast(lvrg_to_be AS string),'') </v>
      </c>
      <c r="L83" s="75" t="str">
        <f t="shared" si="11"/>
        <v xml:space="preserve">SELECT count(*) AS NUM_REG_DIF FROM (SELECT entty_id as entty_id_, lvrg as lvrg_as_is FROM cd_loan_tapes_bce.lt003_entity WHERE ref_date='2024-09-30' AND nome_perimetro='Individual Corporativo' AND segmento='ESTR' AND ambito='PM' AND entidade='00100' ) A  Inner join (SELECT entty_id as entty_id_, lvrg as lvrg_to_be FROM bu_loantape_work.lt003_entity WHERE ref_date='2024-09-30' AND nome_perimetro='Individual Corporativo' AND segmento='ESTR' AND ambito='PM' AND entidade='00100' ) B ON entty_id_as_is=entty_id_to_be WHERE coalesce(cast(lvrg_as_is AS string),'')&lt;&gt;coalesce(cast(lvrg_to_be AS string),'') </v>
      </c>
      <c r="M83" s="75" t="s">
        <v>55</v>
      </c>
      <c r="N83" s="75" t="str">
        <f>"SELECT 'Validação de campos' as tipologia_teste, '"&amp;VLOOKUP(B83,Instruções!$F$13:$J$17,3,0)&amp;"' AS TABELA, '"&amp;E83&amp;"' AS CAMPO, '"&amp;Instruções!$D$15&amp;"' as ref_date, coalesce(NUM_REG_DIF, 0) AS NUM_REG_DIF FROM ("&amp;L83&amp;") A "</f>
        <v xml:space="preserve">SELECT 'Validação de campos' as tipologia_teste, 'lt003_entity' AS TABELA, 'lvrg' AS CAMPO, '2024-09-30' as ref_date, coalesce(NUM_REG_DIF, 0) AS NUM_REG_DIF FROM (SELECT count(*) AS NUM_REG_DIF FROM (SELECT entty_id as entty_id_, lvrg as lvrg_as_is FROM cd_loan_tapes_bce.lt003_entity WHERE ref_date='2024-09-30' AND nome_perimetro='Individual Corporativo' AND segmento='ESTR' AND ambito='PM' AND entidade='00100' ) A  Inner join (SELECT entty_id as entty_id_, lvrg as lvrg_to_be FROM bu_loantape_work.lt003_entity WHERE ref_date='2024-09-30' AND nome_perimetro='Individual Corporativo' AND segmento='ESTR' AND ambito='PM' AND entidade='00100' ) B ON entty_id_as_is=entty_id_to_be WHERE coalesce(cast(lvrg_as_is AS string),'')&lt;&gt;coalesce(cast(lvrg_to_be AS string),'') ) A </v>
      </c>
      <c r="O83" s="76" t="str">
        <f t="shared" si="12"/>
        <v>SELECT 'Validação de campos' as tipologia_teste, 'lt003_entity' AS TABELA, 'lvrg' AS CAMPO, '2024-09-30' as ref_date, coalesce(NUM_REG_DIF, 0) AS NUM_REG_DIF FROM (SELECT count(*) AS NUM_REG_DIF FROM (SELECT entty_id as entty_id_, lvrg as lvrg_as_is FROM cd_loan_tapes_bce.lt003_entity WHERE ref_date='2024-09-30' AND nome_perimetro='Individual Corporativo' AND segmento='ESTR' AND ambito='PM' AND entidade='00100' ) A  Inner join (SELECT entty_id as entty_id_, lvrg as lvrg_to_be FROM bu_loantape_work.lt003_entity WHERE ref_date='2024-09-30' AND nome_perimetro='Individual Corporativo' AND segmento='ESTR' AND ambito='PM' AND entidade='00100' ) B ON entty_id_as_is=entty_id_to_be WHERE coalesce(cast(lvrg_as_is AS string),'')&lt;&gt;coalesce(cast(lvrg_to_be AS string),'') ) A Union all</v>
      </c>
      <c r="P83" s="75">
        <f t="shared" si="13"/>
        <v>24</v>
      </c>
    </row>
    <row r="84" spans="2:16" s="63" customFormat="1" ht="18" customHeight="1">
      <c r="B84" s="75" t="s">
        <v>11</v>
      </c>
      <c r="C84" s="75" t="str">
        <f>_xlfn.CONCAT(Instruções!$D$13,".",VLOOKUP(B84,Instruções!$F$12:$H$17,2,0))</f>
        <v>cd_loan_tapes_bce.lt003_entity</v>
      </c>
      <c r="D84" s="75" t="str">
        <f>_xlfn.CONCAT(Instruções!$D$14,".",VLOOKUP(B84,Instruções!$F$12:$H$17,3,0))</f>
        <v>bu_loantape_work.lt003_entity</v>
      </c>
      <c r="E84" s="75" t="s">
        <v>129</v>
      </c>
      <c r="F84" s="75" t="str">
        <f t="shared" si="8"/>
        <v>lvrg_prvs_as_is</v>
      </c>
      <c r="G84" s="75" t="str">
        <f t="shared" si="9"/>
        <v>lvrg_prvs_to_be</v>
      </c>
      <c r="H84" s="75" t="str">
        <f>IF(VLOOKUP(B84,Instruções!$F$13:$J$17,5,0)="",
"(SELECT "&amp;VLOOKUP(B84,Instruções!$F$13:$J$17,4,0)&amp;" as "&amp;VLOOKUP(B84,Instruções!$F$13:$J$17,4,0)&amp;"_"&amp;$F$2&amp;", "&amp;E84&amp;" as "&amp;F84&amp;" FROM "&amp;C84&amp;" WHERE "&amp;Instruções!$D$20&amp;") A ",
"(SELECT "&amp;VLOOKUP(B84,Instruções!$F$13:$J$17,4,0)&amp;" as "&amp;VLOOKUP(B84,Instruções!$F$13:$J$17,4,0)&amp;"_"&amp;$F$2&amp;", "&amp;VLOOKUP(B84,Instruções!$F$13:$J$17,5,0)&amp;" as "&amp;VLOOKUP(B84,Instruções!$F$13:$J$17,5,0)&amp;"_"&amp;$F$2&amp;","&amp;E84&amp;" as "&amp;F84&amp;" FROM "&amp;C84&amp;" WHERE "&amp;Instruções!$D$20&amp;") A ")</f>
        <v xml:space="preserve">(SELECT entty_id as entty_id_, lvrg_prvs as lvrg_prvs_as_is FROM cd_loan_tapes_bce.lt003_entity WHERE ref_date='2024-09-30' AND nome_perimetro='Individual Corporativo' AND segmento='ESTR' AND ambito='PM' AND entidade='00100' ) A </v>
      </c>
      <c r="I84" s="75" t="str">
        <f>IF(VLOOKUP(B84,Instruções!$F$13:$J$17,5,0)="",
"(SELECT "&amp;VLOOKUP(B84,Instruções!$F$13:$J$17,4,0)&amp;" as "&amp;VLOOKUP(B84,Instruções!$F$13:$J$17,4,0)&amp;"_"&amp;$G$2&amp;", "&amp;E84&amp;" as "&amp;G84&amp;" FROM "&amp;D84&amp;" WHERE "&amp;Instruções!$D$21&amp;") B ",
"(SELECT "&amp;VLOOKUP(B84,Instruções!$F$13:$J$17,4,0)&amp;" as "&amp;VLOOKUP(B84,Instruções!$F$13:$J$17,4,0)&amp;"_"&amp;$G$2&amp;", "&amp;VLOOKUP(B84,Instruções!$F$13:$J$17,5,0)&amp;" as "&amp;VLOOKUP(B84,Instruções!$F$13:$J$17,5,0)&amp;"_"&amp;$G$2&amp;","&amp;E84&amp;" as "&amp;G84&amp;" FROM "&amp;D84&amp;" WHERE "&amp;Instruções!$D$21&amp;") B ")</f>
        <v xml:space="preserve">(SELECT entty_id as entty_id_, lvrg_prvs as lvrg_prvs_to_be FROM bu_loantape_work.lt003_entity WHERE ref_date='2024-09-30' AND nome_perimetro='Individual Corporativo' AND segmento='ESTR' AND ambito='PM' AND entidade='00100' ) B </v>
      </c>
      <c r="J84" s="75" t="str">
        <f>+IF(VLOOKUP(B84,Instruções!$F$13:$J$17,5,0)="", "ON "&amp;VLOOKUP(B84,Instruções!$F$13:$J$17,4,0)&amp;"_"&amp;$F$7&amp;"="&amp;VLOOKUP(B84,Instruções!$F$13:$J$17,4,0)&amp;"_"&amp;$G$7&amp;" ", "ON "&amp;VLOOKUP(B84,Instruções!$F$13:$J$17,4,0)&amp;"_"&amp;$F$7&amp;"="&amp;VLOOKUP(B84,Instruções!$F$13:$J$17,4,0)&amp;"_"&amp;$G$7&amp;" AND "&amp;VLOOKUP(B84,Instruções!$F$13:$J$17,5,0)&amp;"_"&amp;$F$7&amp;"="&amp;VLOOKUP(B84,Instruções!$F$13:$J$17,5,0)&amp;"_"&amp;$G$7&amp;" ")</f>
        <v xml:space="preserve">ON entty_id_as_is=entty_id_to_be </v>
      </c>
      <c r="K84" s="75" t="str">
        <f t="shared" si="10"/>
        <v xml:space="preserve">WHERE coalesce(cast(lvrg_prvs_as_is AS string),'')&lt;&gt;coalesce(cast(lvrg_prvs_to_be AS string),'') </v>
      </c>
      <c r="L84" s="75" t="str">
        <f t="shared" si="11"/>
        <v xml:space="preserve">SELECT count(*) AS NUM_REG_DIF FROM (SELECT entty_id as entty_id_, lvrg_prvs as lvrg_prvs_as_is FROM cd_loan_tapes_bce.lt003_entity WHERE ref_date='2024-09-30' AND nome_perimetro='Individual Corporativo' AND segmento='ESTR' AND ambito='PM' AND entidade='00100' ) A  Inner join (SELECT entty_id as entty_id_, lvrg_prvs as lvrg_prvs_to_be FROM bu_loantape_work.lt003_entity WHERE ref_date='2024-09-30' AND nome_perimetro='Individual Corporativo' AND segmento='ESTR' AND ambito='PM' AND entidade='00100' ) B ON entty_id_as_is=entty_id_to_be WHERE coalesce(cast(lvrg_prvs_as_is AS string),'')&lt;&gt;coalesce(cast(lvrg_prvs_to_be AS string),'') </v>
      </c>
      <c r="M84" s="75" t="s">
        <v>55</v>
      </c>
      <c r="N84" s="75" t="str">
        <f>"SELECT 'Validação de campos' as tipologia_teste, '"&amp;VLOOKUP(B84,Instruções!$F$13:$J$17,3,0)&amp;"' AS TABELA, '"&amp;E84&amp;"' AS CAMPO, '"&amp;Instruções!$D$15&amp;"' as ref_date, coalesce(NUM_REG_DIF, 0) AS NUM_REG_DIF FROM ("&amp;L84&amp;") A "</f>
        <v xml:space="preserve">SELECT 'Validação de campos' as tipologia_teste, 'lt003_entity' AS TABELA, 'lvrg_prvs' AS CAMPO, '2024-09-30' as ref_date, coalesce(NUM_REG_DIF, 0) AS NUM_REG_DIF FROM (SELECT count(*) AS NUM_REG_DIF FROM (SELECT entty_id as entty_id_, lvrg_prvs as lvrg_prvs_as_is FROM cd_loan_tapes_bce.lt003_entity WHERE ref_date='2024-09-30' AND nome_perimetro='Individual Corporativo' AND segmento='ESTR' AND ambito='PM' AND entidade='00100' ) A  Inner join (SELECT entty_id as entty_id_, lvrg_prvs as lvrg_prvs_to_be FROM bu_loantape_work.lt003_entity WHERE ref_date='2024-09-30' AND nome_perimetro='Individual Corporativo' AND segmento='ESTR' AND ambito='PM' AND entidade='00100' ) B ON entty_id_as_is=entty_id_to_be WHERE coalesce(cast(lvrg_prvs_as_is AS string),'')&lt;&gt;coalesce(cast(lvrg_prvs_to_be AS string),'') ) A </v>
      </c>
      <c r="O84" s="76" t="str">
        <f t="shared" si="12"/>
        <v>SELECT 'Validação de campos' as tipologia_teste, 'lt003_entity' AS TABELA, 'lvrg_prvs' AS CAMPO, '2024-09-30' as ref_date, coalesce(NUM_REG_DIF, 0) AS NUM_REG_DIF FROM (SELECT count(*) AS NUM_REG_DIF FROM (SELECT entty_id as entty_id_, lvrg_prvs as lvrg_prvs_as_is FROM cd_loan_tapes_bce.lt003_entity WHERE ref_date='2024-09-30' AND nome_perimetro='Individual Corporativo' AND segmento='ESTR' AND ambito='PM' AND entidade='00100' ) A  Inner join (SELECT entty_id as entty_id_, lvrg_prvs as lvrg_prvs_to_be FROM bu_loantape_work.lt003_entity WHERE ref_date='2024-09-30' AND nome_perimetro='Individual Corporativo' AND segmento='ESTR' AND ambito='PM' AND entidade='00100' ) B ON entty_id_as_is=entty_id_to_be WHERE coalesce(cast(lvrg_prvs_as_is AS string),'')&lt;&gt;coalesce(cast(lvrg_prvs_to_be AS string),'') ) A Union all</v>
      </c>
      <c r="P84" s="75">
        <f t="shared" si="13"/>
        <v>25</v>
      </c>
    </row>
    <row r="85" spans="2:16" s="63" customFormat="1" ht="18" customHeight="1">
      <c r="B85" s="75" t="s">
        <v>11</v>
      </c>
      <c r="C85" s="75" t="str">
        <f>_xlfn.CONCAT(Instruções!$D$13,".",VLOOKUP(B85,Instruções!$F$12:$H$17,2,0))</f>
        <v>cd_loan_tapes_bce.lt003_entity</v>
      </c>
      <c r="D85" s="75" t="str">
        <f>_xlfn.CONCAT(Instruções!$D$14,".",VLOOKUP(B85,Instruções!$F$12:$H$17,3,0))</f>
        <v>bu_loantape_work.lt003_entity</v>
      </c>
      <c r="E85" s="75" t="s">
        <v>130</v>
      </c>
      <c r="F85" s="75" t="str">
        <f t="shared" si="8"/>
        <v>mnthl_incm_as_is</v>
      </c>
      <c r="G85" s="75" t="str">
        <f t="shared" si="9"/>
        <v>mnthl_incm_to_be</v>
      </c>
      <c r="H85" s="75" t="str">
        <f>IF(VLOOKUP(B85,Instruções!$F$13:$J$17,5,0)="",
"(SELECT "&amp;VLOOKUP(B85,Instruções!$F$13:$J$17,4,0)&amp;" as "&amp;VLOOKUP(B85,Instruções!$F$13:$J$17,4,0)&amp;"_"&amp;$F$2&amp;", "&amp;E85&amp;" as "&amp;F85&amp;" FROM "&amp;C85&amp;" WHERE "&amp;Instruções!$D$20&amp;") A ",
"(SELECT "&amp;VLOOKUP(B85,Instruções!$F$13:$J$17,4,0)&amp;" as "&amp;VLOOKUP(B85,Instruções!$F$13:$J$17,4,0)&amp;"_"&amp;$F$2&amp;", "&amp;VLOOKUP(B85,Instruções!$F$13:$J$17,5,0)&amp;" as "&amp;VLOOKUP(B85,Instruções!$F$13:$J$17,5,0)&amp;"_"&amp;$F$2&amp;","&amp;E85&amp;" as "&amp;F85&amp;" FROM "&amp;C85&amp;" WHERE "&amp;Instruções!$D$20&amp;") A ")</f>
        <v xml:space="preserve">(SELECT entty_id as entty_id_, mnthl_incm as mnthl_incm_as_is FROM cd_loan_tapes_bce.lt003_entity WHERE ref_date='2024-09-30' AND nome_perimetro='Individual Corporativo' AND segmento='ESTR' AND ambito='PM' AND entidade='00100' ) A </v>
      </c>
      <c r="I85" s="75" t="str">
        <f>IF(VLOOKUP(B85,Instruções!$F$13:$J$17,5,0)="",
"(SELECT "&amp;VLOOKUP(B85,Instruções!$F$13:$J$17,4,0)&amp;" as "&amp;VLOOKUP(B85,Instruções!$F$13:$J$17,4,0)&amp;"_"&amp;$G$2&amp;", "&amp;E85&amp;" as "&amp;G85&amp;" FROM "&amp;D85&amp;" WHERE "&amp;Instruções!$D$21&amp;") B ",
"(SELECT "&amp;VLOOKUP(B85,Instruções!$F$13:$J$17,4,0)&amp;" as "&amp;VLOOKUP(B85,Instruções!$F$13:$J$17,4,0)&amp;"_"&amp;$G$2&amp;", "&amp;VLOOKUP(B85,Instruções!$F$13:$J$17,5,0)&amp;" as "&amp;VLOOKUP(B85,Instruções!$F$13:$J$17,5,0)&amp;"_"&amp;$G$2&amp;","&amp;E85&amp;" as "&amp;G85&amp;" FROM "&amp;D85&amp;" WHERE "&amp;Instruções!$D$21&amp;") B ")</f>
        <v xml:space="preserve">(SELECT entty_id as entty_id_, mnthl_incm as mnthl_incm_to_be FROM bu_loantape_work.lt003_entity WHERE ref_date='2024-09-30' AND nome_perimetro='Individual Corporativo' AND segmento='ESTR' AND ambito='PM' AND entidade='00100' ) B </v>
      </c>
      <c r="J85" s="75" t="str">
        <f>+IF(VLOOKUP(B85,Instruções!$F$13:$J$17,5,0)="", "ON "&amp;VLOOKUP(B85,Instruções!$F$13:$J$17,4,0)&amp;"_"&amp;$F$7&amp;"="&amp;VLOOKUP(B85,Instruções!$F$13:$J$17,4,0)&amp;"_"&amp;$G$7&amp;" ", "ON "&amp;VLOOKUP(B85,Instruções!$F$13:$J$17,4,0)&amp;"_"&amp;$F$7&amp;"="&amp;VLOOKUP(B85,Instruções!$F$13:$J$17,4,0)&amp;"_"&amp;$G$7&amp;" AND "&amp;VLOOKUP(B85,Instruções!$F$13:$J$17,5,0)&amp;"_"&amp;$F$7&amp;"="&amp;VLOOKUP(B85,Instruções!$F$13:$J$17,5,0)&amp;"_"&amp;$G$7&amp;" ")</f>
        <v xml:space="preserve">ON entty_id_as_is=entty_id_to_be </v>
      </c>
      <c r="K85" s="75" t="str">
        <f t="shared" si="10"/>
        <v xml:space="preserve">WHERE coalesce(cast(mnthl_incm_as_is AS string),'')&lt;&gt;coalesce(cast(mnthl_incm_to_be AS string),'') </v>
      </c>
      <c r="L85" s="75" t="str">
        <f t="shared" si="11"/>
        <v xml:space="preserve">SELECT count(*) AS NUM_REG_DIF FROM (SELECT entty_id as entty_id_, mnthl_incm as mnthl_incm_as_is FROM cd_loan_tapes_bce.lt003_entity WHERE ref_date='2024-09-30' AND nome_perimetro='Individual Corporativo' AND segmento='ESTR' AND ambito='PM' AND entidade='00100' ) A  Inner join (SELECT entty_id as entty_id_, mnthl_incm as mnthl_incm_to_be FROM bu_loantape_work.lt003_entity WHERE ref_date='2024-09-30' AND nome_perimetro='Individual Corporativo' AND segmento='ESTR' AND ambito='PM' AND entidade='00100' ) B ON entty_id_as_is=entty_id_to_be WHERE coalesce(cast(mnthl_incm_as_is AS string),'')&lt;&gt;coalesce(cast(mnthl_incm_to_be AS string),'') </v>
      </c>
      <c r="M85" s="75" t="s">
        <v>55</v>
      </c>
      <c r="N85" s="75" t="str">
        <f>"SELECT 'Validação de campos' as tipologia_teste, '"&amp;VLOOKUP(B85,Instruções!$F$13:$J$17,3,0)&amp;"' AS TABELA, '"&amp;E85&amp;"' AS CAMPO, '"&amp;Instruções!$D$15&amp;"' as ref_date, coalesce(NUM_REG_DIF, 0) AS NUM_REG_DIF FROM ("&amp;L85&amp;") A "</f>
        <v xml:space="preserve">SELECT 'Validação de campos' as tipologia_teste, 'lt003_entity' AS TABELA, 'mnthl_incm' AS CAMPO, '2024-09-30' as ref_date, coalesce(NUM_REG_DIF, 0) AS NUM_REG_DIF FROM (SELECT count(*) AS NUM_REG_DIF FROM (SELECT entty_id as entty_id_, mnthl_incm as mnthl_incm_as_is FROM cd_loan_tapes_bce.lt003_entity WHERE ref_date='2024-09-30' AND nome_perimetro='Individual Corporativo' AND segmento='ESTR' AND ambito='PM' AND entidade='00100' ) A  Inner join (SELECT entty_id as entty_id_, mnthl_incm as mnthl_incm_to_be FROM bu_loantape_work.lt003_entity WHERE ref_date='2024-09-30' AND nome_perimetro='Individual Corporativo' AND segmento='ESTR' AND ambito='PM' AND entidade='00100' ) B ON entty_id_as_is=entty_id_to_be WHERE coalesce(cast(mnthl_incm_as_is AS string),'')&lt;&gt;coalesce(cast(mnthl_incm_to_be AS string),'') ) A </v>
      </c>
      <c r="O85" s="76" t="str">
        <f t="shared" si="12"/>
        <v>SELECT 'Validação de campos' as tipologia_teste, 'lt003_entity' AS TABELA, 'mnthl_incm' AS CAMPO, '2024-09-30' as ref_date, coalesce(NUM_REG_DIF, 0) AS NUM_REG_DIF FROM (SELECT count(*) AS NUM_REG_DIF FROM (SELECT entty_id as entty_id_, mnthl_incm as mnthl_incm_as_is FROM cd_loan_tapes_bce.lt003_entity WHERE ref_date='2024-09-30' AND nome_perimetro='Individual Corporativo' AND segmento='ESTR' AND ambito='PM' AND entidade='00100' ) A  Inner join (SELECT entty_id as entty_id_, mnthl_incm as mnthl_incm_to_be FROM bu_loantape_work.lt003_entity WHERE ref_date='2024-09-30' AND nome_perimetro='Individual Corporativo' AND segmento='ESTR' AND ambito='PM' AND entidade='00100' ) B ON entty_id_as_is=entty_id_to_be WHERE coalesce(cast(mnthl_incm_as_is AS string),'')&lt;&gt;coalesce(cast(mnthl_incm_to_be AS string),'') ) A Union all</v>
      </c>
      <c r="P85" s="75">
        <f t="shared" si="13"/>
        <v>26</v>
      </c>
    </row>
    <row r="86" spans="2:16" s="63" customFormat="1" ht="18" customHeight="1">
      <c r="B86" s="75" t="s">
        <v>11</v>
      </c>
      <c r="C86" s="75" t="str">
        <f>_xlfn.CONCAT(Instruções!$D$13,".",VLOOKUP(B86,Instruções!$F$12:$H$17,2,0))</f>
        <v>cd_loan_tapes_bce.lt003_entity</v>
      </c>
      <c r="D86" s="75" t="str">
        <f>_xlfn.CONCAT(Instruções!$D$14,".",VLOOKUP(B86,Instruções!$F$12:$H$17,3,0))</f>
        <v>bu_loantape_work.lt003_entity</v>
      </c>
      <c r="E86" s="75" t="s">
        <v>131</v>
      </c>
      <c r="F86" s="75" t="str">
        <f t="shared" si="8"/>
        <v>mnthl_incm_slr_as_is</v>
      </c>
      <c r="G86" s="75" t="str">
        <f t="shared" si="9"/>
        <v>mnthl_incm_slr_to_be</v>
      </c>
      <c r="H86" s="75" t="str">
        <f>IF(VLOOKUP(B86,Instruções!$F$13:$J$17,5,0)="",
"(SELECT "&amp;VLOOKUP(B86,Instruções!$F$13:$J$17,4,0)&amp;" as "&amp;VLOOKUP(B86,Instruções!$F$13:$J$17,4,0)&amp;"_"&amp;$F$2&amp;", "&amp;E86&amp;" as "&amp;F86&amp;" FROM "&amp;C86&amp;" WHERE "&amp;Instruções!$D$20&amp;") A ",
"(SELECT "&amp;VLOOKUP(B86,Instruções!$F$13:$J$17,4,0)&amp;" as "&amp;VLOOKUP(B86,Instruções!$F$13:$J$17,4,0)&amp;"_"&amp;$F$2&amp;", "&amp;VLOOKUP(B86,Instruções!$F$13:$J$17,5,0)&amp;" as "&amp;VLOOKUP(B86,Instruções!$F$13:$J$17,5,0)&amp;"_"&amp;$F$2&amp;","&amp;E86&amp;" as "&amp;F86&amp;" FROM "&amp;C86&amp;" WHERE "&amp;Instruções!$D$20&amp;") A ")</f>
        <v xml:space="preserve">(SELECT entty_id as entty_id_, mnthl_incm_slr as mnthl_incm_slr_as_is FROM cd_loan_tapes_bce.lt003_entity WHERE ref_date='2024-09-30' AND nome_perimetro='Individual Corporativo' AND segmento='ESTR' AND ambito='PM' AND entidade='00100' ) A </v>
      </c>
      <c r="I86" s="75" t="str">
        <f>IF(VLOOKUP(B86,Instruções!$F$13:$J$17,5,0)="",
"(SELECT "&amp;VLOOKUP(B86,Instruções!$F$13:$J$17,4,0)&amp;" as "&amp;VLOOKUP(B86,Instruções!$F$13:$J$17,4,0)&amp;"_"&amp;$G$2&amp;", "&amp;E86&amp;" as "&amp;G86&amp;" FROM "&amp;D86&amp;" WHERE "&amp;Instruções!$D$21&amp;") B ",
"(SELECT "&amp;VLOOKUP(B86,Instruções!$F$13:$J$17,4,0)&amp;" as "&amp;VLOOKUP(B86,Instruções!$F$13:$J$17,4,0)&amp;"_"&amp;$G$2&amp;", "&amp;VLOOKUP(B86,Instruções!$F$13:$J$17,5,0)&amp;" as "&amp;VLOOKUP(B86,Instruções!$F$13:$J$17,5,0)&amp;"_"&amp;$G$2&amp;","&amp;E86&amp;" as "&amp;G86&amp;" FROM "&amp;D86&amp;" WHERE "&amp;Instruções!$D$21&amp;") B ")</f>
        <v xml:space="preserve">(SELECT entty_id as entty_id_, mnthl_incm_slr as mnthl_incm_slr_to_be FROM bu_loantape_work.lt003_entity WHERE ref_date='2024-09-30' AND nome_perimetro='Individual Corporativo' AND segmento='ESTR' AND ambito='PM' AND entidade='00100' ) B </v>
      </c>
      <c r="J86" s="75" t="str">
        <f>+IF(VLOOKUP(B86,Instruções!$F$13:$J$17,5,0)="", "ON "&amp;VLOOKUP(B86,Instruções!$F$13:$J$17,4,0)&amp;"_"&amp;$F$7&amp;"="&amp;VLOOKUP(B86,Instruções!$F$13:$J$17,4,0)&amp;"_"&amp;$G$7&amp;" ", "ON "&amp;VLOOKUP(B86,Instruções!$F$13:$J$17,4,0)&amp;"_"&amp;$F$7&amp;"="&amp;VLOOKUP(B86,Instruções!$F$13:$J$17,4,0)&amp;"_"&amp;$G$7&amp;" AND "&amp;VLOOKUP(B86,Instruções!$F$13:$J$17,5,0)&amp;"_"&amp;$F$7&amp;"="&amp;VLOOKUP(B86,Instruções!$F$13:$J$17,5,0)&amp;"_"&amp;$G$7&amp;" ")</f>
        <v xml:space="preserve">ON entty_id_as_is=entty_id_to_be </v>
      </c>
      <c r="K86" s="75" t="str">
        <f t="shared" si="10"/>
        <v xml:space="preserve">WHERE coalesce(cast(mnthl_incm_slr_as_is AS string),'')&lt;&gt;coalesce(cast(mnthl_incm_slr_to_be AS string),'') </v>
      </c>
      <c r="L86" s="75" t="str">
        <f t="shared" si="11"/>
        <v xml:space="preserve">SELECT count(*) AS NUM_REG_DIF FROM (SELECT entty_id as entty_id_, mnthl_incm_slr as mnthl_incm_slr_as_is FROM cd_loan_tapes_bce.lt003_entity WHERE ref_date='2024-09-30' AND nome_perimetro='Individual Corporativo' AND segmento='ESTR' AND ambito='PM' AND entidade='00100' ) A  Inner join (SELECT entty_id as entty_id_, mnthl_incm_slr as mnthl_incm_slr_to_be FROM bu_loantape_work.lt003_entity WHERE ref_date='2024-09-30' AND nome_perimetro='Individual Corporativo' AND segmento='ESTR' AND ambito='PM' AND entidade='00100' ) B ON entty_id_as_is=entty_id_to_be WHERE coalesce(cast(mnthl_incm_slr_as_is AS string),'')&lt;&gt;coalesce(cast(mnthl_incm_slr_to_be AS string),'') </v>
      </c>
      <c r="M86" s="75" t="s">
        <v>55</v>
      </c>
      <c r="N86" s="75" t="str">
        <f>"SELECT 'Validação de campos' as tipologia_teste, '"&amp;VLOOKUP(B86,Instruções!$F$13:$J$17,3,0)&amp;"' AS TABELA, '"&amp;E86&amp;"' AS CAMPO, '"&amp;Instruções!$D$15&amp;"' as ref_date, coalesce(NUM_REG_DIF, 0) AS NUM_REG_DIF FROM ("&amp;L86&amp;") A "</f>
        <v xml:space="preserve">SELECT 'Validação de campos' as tipologia_teste, 'lt003_entity' AS TABELA, 'mnthl_incm_slr' AS CAMPO, '2024-09-30' as ref_date, coalesce(NUM_REG_DIF, 0) AS NUM_REG_DIF FROM (SELECT count(*) AS NUM_REG_DIF FROM (SELECT entty_id as entty_id_, mnthl_incm_slr as mnthl_incm_slr_as_is FROM cd_loan_tapes_bce.lt003_entity WHERE ref_date='2024-09-30' AND nome_perimetro='Individual Corporativo' AND segmento='ESTR' AND ambito='PM' AND entidade='00100' ) A  Inner join (SELECT entty_id as entty_id_, mnthl_incm_slr as mnthl_incm_slr_to_be FROM bu_loantape_work.lt003_entity WHERE ref_date='2024-09-30' AND nome_perimetro='Individual Corporativo' AND segmento='ESTR' AND ambito='PM' AND entidade='00100' ) B ON entty_id_as_is=entty_id_to_be WHERE coalesce(cast(mnthl_incm_slr_as_is AS string),'')&lt;&gt;coalesce(cast(mnthl_incm_slr_to_be AS string),'') ) A </v>
      </c>
      <c r="O86" s="76" t="str">
        <f t="shared" si="12"/>
        <v>SELECT 'Validação de campos' as tipologia_teste, 'lt003_entity' AS TABELA, 'mnthl_incm_slr' AS CAMPO, '2024-09-30' as ref_date, coalesce(NUM_REG_DIF, 0) AS NUM_REG_DIF FROM (SELECT count(*) AS NUM_REG_DIF FROM (SELECT entty_id as entty_id_, mnthl_incm_slr as mnthl_incm_slr_as_is FROM cd_loan_tapes_bce.lt003_entity WHERE ref_date='2024-09-30' AND nome_perimetro='Individual Corporativo' AND segmento='ESTR' AND ambito='PM' AND entidade='00100' ) A  Inner join (SELECT entty_id as entty_id_, mnthl_incm_slr as mnthl_incm_slr_to_be FROM bu_loantape_work.lt003_entity WHERE ref_date='2024-09-30' AND nome_perimetro='Individual Corporativo' AND segmento='ESTR' AND ambito='PM' AND entidade='00100' ) B ON entty_id_as_is=entty_id_to_be WHERE coalesce(cast(mnthl_incm_slr_as_is AS string),'')&lt;&gt;coalesce(cast(mnthl_incm_slr_to_be AS string),'') ) A Union all</v>
      </c>
      <c r="P86" s="75">
        <f t="shared" si="13"/>
        <v>27</v>
      </c>
    </row>
    <row r="87" spans="2:16" s="63" customFormat="1" ht="18" customHeight="1">
      <c r="B87" s="75" t="s">
        <v>11</v>
      </c>
      <c r="C87" s="75" t="str">
        <f>_xlfn.CONCAT(Instruções!$D$13,".",VLOOKUP(B87,Instruções!$F$12:$H$17,2,0))</f>
        <v>cd_loan_tapes_bce.lt003_entity</v>
      </c>
      <c r="D87" s="75" t="str">
        <f>_xlfn.CONCAT(Instruções!$D$14,".",VLOOKUP(B87,Instruções!$F$12:$H$17,3,0))</f>
        <v>bu_loantape_work.lt003_entity</v>
      </c>
      <c r="E87" s="75" t="s">
        <v>132</v>
      </c>
      <c r="F87" s="75" t="str">
        <f t="shared" si="8"/>
        <v>mnthl_trnvr_as_is</v>
      </c>
      <c r="G87" s="75" t="str">
        <f t="shared" si="9"/>
        <v>mnthl_trnvr_to_be</v>
      </c>
      <c r="H87" s="75" t="str">
        <f>IF(VLOOKUP(B87,Instruções!$F$13:$J$17,5,0)="",
"(SELECT "&amp;VLOOKUP(B87,Instruções!$F$13:$J$17,4,0)&amp;" as "&amp;VLOOKUP(B87,Instruções!$F$13:$J$17,4,0)&amp;"_"&amp;$F$2&amp;", "&amp;E87&amp;" as "&amp;F87&amp;" FROM "&amp;C87&amp;" WHERE "&amp;Instruções!$D$20&amp;") A ",
"(SELECT "&amp;VLOOKUP(B87,Instruções!$F$13:$J$17,4,0)&amp;" as "&amp;VLOOKUP(B87,Instruções!$F$13:$J$17,4,0)&amp;"_"&amp;$F$2&amp;", "&amp;VLOOKUP(B87,Instruções!$F$13:$J$17,5,0)&amp;" as "&amp;VLOOKUP(B87,Instruções!$F$13:$J$17,5,0)&amp;"_"&amp;$F$2&amp;","&amp;E87&amp;" as "&amp;F87&amp;" FROM "&amp;C87&amp;" WHERE "&amp;Instruções!$D$20&amp;") A ")</f>
        <v xml:space="preserve">(SELECT entty_id as entty_id_, mnthl_trnvr as mnthl_trnvr_as_is FROM cd_loan_tapes_bce.lt003_entity WHERE ref_date='2024-09-30' AND nome_perimetro='Individual Corporativo' AND segmento='ESTR' AND ambito='PM' AND entidade='00100' ) A </v>
      </c>
      <c r="I87" s="75" t="str">
        <f>IF(VLOOKUP(B87,Instruções!$F$13:$J$17,5,0)="",
"(SELECT "&amp;VLOOKUP(B87,Instruções!$F$13:$J$17,4,0)&amp;" as "&amp;VLOOKUP(B87,Instruções!$F$13:$J$17,4,0)&amp;"_"&amp;$G$2&amp;", "&amp;E87&amp;" as "&amp;G87&amp;" FROM "&amp;D87&amp;" WHERE "&amp;Instruções!$D$21&amp;") B ",
"(SELECT "&amp;VLOOKUP(B87,Instruções!$F$13:$J$17,4,0)&amp;" as "&amp;VLOOKUP(B87,Instruções!$F$13:$J$17,4,0)&amp;"_"&amp;$G$2&amp;", "&amp;VLOOKUP(B87,Instruções!$F$13:$J$17,5,0)&amp;" as "&amp;VLOOKUP(B87,Instruções!$F$13:$J$17,5,0)&amp;"_"&amp;$G$2&amp;","&amp;E87&amp;" as "&amp;G87&amp;" FROM "&amp;D87&amp;" WHERE "&amp;Instruções!$D$21&amp;") B ")</f>
        <v xml:space="preserve">(SELECT entty_id as entty_id_, mnthl_trnvr as mnthl_trnvr_to_be FROM bu_loantape_work.lt003_entity WHERE ref_date='2024-09-30' AND nome_perimetro='Individual Corporativo' AND segmento='ESTR' AND ambito='PM' AND entidade='00100' ) B </v>
      </c>
      <c r="J87" s="75" t="str">
        <f>+IF(VLOOKUP(B87,Instruções!$F$13:$J$17,5,0)="", "ON "&amp;VLOOKUP(B87,Instruções!$F$13:$J$17,4,0)&amp;"_"&amp;$F$7&amp;"="&amp;VLOOKUP(B87,Instruções!$F$13:$J$17,4,0)&amp;"_"&amp;$G$7&amp;" ", "ON "&amp;VLOOKUP(B87,Instruções!$F$13:$J$17,4,0)&amp;"_"&amp;$F$7&amp;"="&amp;VLOOKUP(B87,Instruções!$F$13:$J$17,4,0)&amp;"_"&amp;$G$7&amp;" AND "&amp;VLOOKUP(B87,Instruções!$F$13:$J$17,5,0)&amp;"_"&amp;$F$7&amp;"="&amp;VLOOKUP(B87,Instruções!$F$13:$J$17,5,0)&amp;"_"&amp;$G$7&amp;" ")</f>
        <v xml:space="preserve">ON entty_id_as_is=entty_id_to_be </v>
      </c>
      <c r="K87" s="75" t="str">
        <f t="shared" si="10"/>
        <v xml:space="preserve">WHERE coalesce(cast(mnthl_trnvr_as_is AS string),'')&lt;&gt;coalesce(cast(mnthl_trnvr_to_be AS string),'') </v>
      </c>
      <c r="L87" s="75" t="str">
        <f t="shared" si="11"/>
        <v xml:space="preserve">SELECT count(*) AS NUM_REG_DIF FROM (SELECT entty_id as entty_id_, mnthl_trnvr as mnthl_trnvr_as_is FROM cd_loan_tapes_bce.lt003_entity WHERE ref_date='2024-09-30' AND nome_perimetro='Individual Corporativo' AND segmento='ESTR' AND ambito='PM' AND entidade='00100' ) A  Inner join (SELECT entty_id as entty_id_, mnthl_trnvr as mnthl_trnvr_to_be FROM bu_loantape_work.lt003_entity WHERE ref_date='2024-09-30' AND nome_perimetro='Individual Corporativo' AND segmento='ESTR' AND ambito='PM' AND entidade='00100' ) B ON entty_id_as_is=entty_id_to_be WHERE coalesce(cast(mnthl_trnvr_as_is AS string),'')&lt;&gt;coalesce(cast(mnthl_trnvr_to_be AS string),'') </v>
      </c>
      <c r="M87" s="75" t="s">
        <v>55</v>
      </c>
      <c r="N87" s="75" t="str">
        <f>"SELECT 'Validação de campos' as tipologia_teste, '"&amp;VLOOKUP(B87,Instruções!$F$13:$J$17,3,0)&amp;"' AS TABELA, '"&amp;E87&amp;"' AS CAMPO, '"&amp;Instruções!$D$15&amp;"' as ref_date, coalesce(NUM_REG_DIF, 0) AS NUM_REG_DIF FROM ("&amp;L87&amp;") A "</f>
        <v xml:space="preserve">SELECT 'Validação de campos' as tipologia_teste, 'lt003_entity' AS TABELA, 'mnthl_trnvr' AS CAMPO, '2024-09-30' as ref_date, coalesce(NUM_REG_DIF, 0) AS NUM_REG_DIF FROM (SELECT count(*) AS NUM_REG_DIF FROM (SELECT entty_id as entty_id_, mnthl_trnvr as mnthl_trnvr_as_is FROM cd_loan_tapes_bce.lt003_entity WHERE ref_date='2024-09-30' AND nome_perimetro='Individual Corporativo' AND segmento='ESTR' AND ambito='PM' AND entidade='00100' ) A  Inner join (SELECT entty_id as entty_id_, mnthl_trnvr as mnthl_trnvr_to_be FROM bu_loantape_work.lt003_entity WHERE ref_date='2024-09-30' AND nome_perimetro='Individual Corporativo' AND segmento='ESTR' AND ambito='PM' AND entidade='00100' ) B ON entty_id_as_is=entty_id_to_be WHERE coalesce(cast(mnthl_trnvr_as_is AS string),'')&lt;&gt;coalesce(cast(mnthl_trnvr_to_be AS string),'') ) A </v>
      </c>
      <c r="O87" s="76" t="str">
        <f t="shared" si="12"/>
        <v>SELECT 'Validação de campos' as tipologia_teste, 'lt003_entity' AS TABELA, 'mnthl_trnvr' AS CAMPO, '2024-09-30' as ref_date, coalesce(NUM_REG_DIF, 0) AS NUM_REG_DIF FROM (SELECT count(*) AS NUM_REG_DIF FROM (SELECT entty_id as entty_id_, mnthl_trnvr as mnthl_trnvr_as_is FROM cd_loan_tapes_bce.lt003_entity WHERE ref_date='2024-09-30' AND nome_perimetro='Individual Corporativo' AND segmento='ESTR' AND ambito='PM' AND entidade='00100' ) A  Inner join (SELECT entty_id as entty_id_, mnthl_trnvr as mnthl_trnvr_to_be FROM bu_loantape_work.lt003_entity WHERE ref_date='2024-09-30' AND nome_perimetro='Individual Corporativo' AND segmento='ESTR' AND ambito='PM' AND entidade='00100' ) B ON entty_id_as_is=entty_id_to_be WHERE coalesce(cast(mnthl_trnvr_as_is AS string),'')&lt;&gt;coalesce(cast(mnthl_trnvr_to_be AS string),'') ) A Union all</v>
      </c>
      <c r="P87" s="75">
        <f t="shared" si="13"/>
        <v>28</v>
      </c>
    </row>
    <row r="88" spans="2:16" s="63" customFormat="1" ht="18" customHeight="1">
      <c r="B88" s="75" t="s">
        <v>11</v>
      </c>
      <c r="C88" s="75" t="str">
        <f>_xlfn.CONCAT(Instruções!$D$13,".",VLOOKUP(B88,Instruções!$F$12:$H$17,2,0))</f>
        <v>cd_loan_tapes_bce.lt003_entity</v>
      </c>
      <c r="D88" s="75" t="str">
        <f>_xlfn.CONCAT(Instruções!$D$14,".",VLOOKUP(B88,Instruções!$F$12:$H$17,3,0))</f>
        <v>bu_loantape_work.lt003_entity</v>
      </c>
      <c r="E88" s="75" t="s">
        <v>133</v>
      </c>
      <c r="F88" s="75" t="str">
        <f t="shared" si="8"/>
        <v>nt_incm_as_is</v>
      </c>
      <c r="G88" s="75" t="str">
        <f t="shared" si="9"/>
        <v>nt_incm_to_be</v>
      </c>
      <c r="H88" s="75" t="str">
        <f>IF(VLOOKUP(B88,Instruções!$F$13:$J$17,5,0)="",
"(SELECT "&amp;VLOOKUP(B88,Instruções!$F$13:$J$17,4,0)&amp;" as "&amp;VLOOKUP(B88,Instruções!$F$13:$J$17,4,0)&amp;"_"&amp;$F$2&amp;", "&amp;E88&amp;" as "&amp;F88&amp;" FROM "&amp;C88&amp;" WHERE "&amp;Instruções!$D$20&amp;") A ",
"(SELECT "&amp;VLOOKUP(B88,Instruções!$F$13:$J$17,4,0)&amp;" as "&amp;VLOOKUP(B88,Instruções!$F$13:$J$17,4,0)&amp;"_"&amp;$F$2&amp;", "&amp;VLOOKUP(B88,Instruções!$F$13:$J$17,5,0)&amp;" as "&amp;VLOOKUP(B88,Instruções!$F$13:$J$17,5,0)&amp;"_"&amp;$F$2&amp;","&amp;E88&amp;" as "&amp;F88&amp;" FROM "&amp;C88&amp;" WHERE "&amp;Instruções!$D$20&amp;") A ")</f>
        <v xml:space="preserve">(SELECT entty_id as entty_id_, nt_incm as nt_incm_as_is FROM cd_loan_tapes_bce.lt003_entity WHERE ref_date='2024-09-30' AND nome_perimetro='Individual Corporativo' AND segmento='ESTR' AND ambito='PM' AND entidade='00100' ) A </v>
      </c>
      <c r="I88" s="75" t="str">
        <f>IF(VLOOKUP(B88,Instruções!$F$13:$J$17,5,0)="",
"(SELECT "&amp;VLOOKUP(B88,Instruções!$F$13:$J$17,4,0)&amp;" as "&amp;VLOOKUP(B88,Instruções!$F$13:$J$17,4,0)&amp;"_"&amp;$G$2&amp;", "&amp;E88&amp;" as "&amp;G88&amp;" FROM "&amp;D88&amp;" WHERE "&amp;Instruções!$D$21&amp;") B ",
"(SELECT "&amp;VLOOKUP(B88,Instruções!$F$13:$J$17,4,0)&amp;" as "&amp;VLOOKUP(B88,Instruções!$F$13:$J$17,4,0)&amp;"_"&amp;$G$2&amp;", "&amp;VLOOKUP(B88,Instruções!$F$13:$J$17,5,0)&amp;" as "&amp;VLOOKUP(B88,Instruções!$F$13:$J$17,5,0)&amp;"_"&amp;$G$2&amp;","&amp;E88&amp;" as "&amp;G88&amp;" FROM "&amp;D88&amp;" WHERE "&amp;Instruções!$D$21&amp;") B ")</f>
        <v xml:space="preserve">(SELECT entty_id as entty_id_, nt_incm as nt_incm_to_be FROM bu_loantape_work.lt003_entity WHERE ref_date='2024-09-30' AND nome_perimetro='Individual Corporativo' AND segmento='ESTR' AND ambito='PM' AND entidade='00100' ) B </v>
      </c>
      <c r="J88" s="75" t="str">
        <f>+IF(VLOOKUP(B88,Instruções!$F$13:$J$17,5,0)="", "ON "&amp;VLOOKUP(B88,Instruções!$F$13:$J$17,4,0)&amp;"_"&amp;$F$7&amp;"="&amp;VLOOKUP(B88,Instruções!$F$13:$J$17,4,0)&amp;"_"&amp;$G$7&amp;" ", "ON "&amp;VLOOKUP(B88,Instruções!$F$13:$J$17,4,0)&amp;"_"&amp;$F$7&amp;"="&amp;VLOOKUP(B88,Instruções!$F$13:$J$17,4,0)&amp;"_"&amp;$G$7&amp;" AND "&amp;VLOOKUP(B88,Instruções!$F$13:$J$17,5,0)&amp;"_"&amp;$F$7&amp;"="&amp;VLOOKUP(B88,Instruções!$F$13:$J$17,5,0)&amp;"_"&amp;$G$7&amp;" ")</f>
        <v xml:space="preserve">ON entty_id_as_is=entty_id_to_be </v>
      </c>
      <c r="K88" s="75" t="str">
        <f t="shared" si="10"/>
        <v xml:space="preserve">WHERE coalesce(cast(nt_incm_as_is AS string),'')&lt;&gt;coalesce(cast(nt_incm_to_be AS string),'') </v>
      </c>
      <c r="L88" s="75" t="str">
        <f t="shared" si="11"/>
        <v xml:space="preserve">SELECT count(*) AS NUM_REG_DIF FROM (SELECT entty_id as entty_id_, nt_incm as nt_incm_as_is FROM cd_loan_tapes_bce.lt003_entity WHERE ref_date='2024-09-30' AND nome_perimetro='Individual Corporativo' AND segmento='ESTR' AND ambito='PM' AND entidade='00100' ) A  Inner join (SELECT entty_id as entty_id_, nt_incm as nt_incm_to_be FROM bu_loantape_work.lt003_entity WHERE ref_date='2024-09-30' AND nome_perimetro='Individual Corporativo' AND segmento='ESTR' AND ambito='PM' AND entidade='00100' ) B ON entty_id_as_is=entty_id_to_be WHERE coalesce(cast(nt_incm_as_is AS string),'')&lt;&gt;coalesce(cast(nt_incm_to_be AS string),'') </v>
      </c>
      <c r="M88" s="75" t="s">
        <v>55</v>
      </c>
      <c r="N88" s="75" t="str">
        <f>"SELECT 'Validação de campos' as tipologia_teste, '"&amp;VLOOKUP(B88,Instruções!$F$13:$J$17,3,0)&amp;"' AS TABELA, '"&amp;E88&amp;"' AS CAMPO, '"&amp;Instruções!$D$15&amp;"' as ref_date, coalesce(NUM_REG_DIF, 0) AS NUM_REG_DIF FROM ("&amp;L88&amp;") A "</f>
        <v xml:space="preserve">SELECT 'Validação de campos' as tipologia_teste, 'lt003_entity' AS TABELA, 'nt_incm' AS CAMPO, '2024-09-30' as ref_date, coalesce(NUM_REG_DIF, 0) AS NUM_REG_DIF FROM (SELECT count(*) AS NUM_REG_DIF FROM (SELECT entty_id as entty_id_, nt_incm as nt_incm_as_is FROM cd_loan_tapes_bce.lt003_entity WHERE ref_date='2024-09-30' AND nome_perimetro='Individual Corporativo' AND segmento='ESTR' AND ambito='PM' AND entidade='00100' ) A  Inner join (SELECT entty_id as entty_id_, nt_incm as nt_incm_to_be FROM bu_loantape_work.lt003_entity WHERE ref_date='2024-09-30' AND nome_perimetro='Individual Corporativo' AND segmento='ESTR' AND ambito='PM' AND entidade='00100' ) B ON entty_id_as_is=entty_id_to_be WHERE coalesce(cast(nt_incm_as_is AS string),'')&lt;&gt;coalesce(cast(nt_incm_to_be AS string),'') ) A </v>
      </c>
      <c r="O88" s="76" t="str">
        <f t="shared" si="12"/>
        <v>SELECT 'Validação de campos' as tipologia_teste, 'lt003_entity' AS TABELA, 'nt_incm' AS CAMPO, '2024-09-30' as ref_date, coalesce(NUM_REG_DIF, 0) AS NUM_REG_DIF FROM (SELECT count(*) AS NUM_REG_DIF FROM (SELECT entty_id as entty_id_, nt_incm as nt_incm_as_is FROM cd_loan_tapes_bce.lt003_entity WHERE ref_date='2024-09-30' AND nome_perimetro='Individual Corporativo' AND segmento='ESTR' AND ambito='PM' AND entidade='00100' ) A  Inner join (SELECT entty_id as entty_id_, nt_incm as nt_incm_to_be FROM bu_loantape_work.lt003_entity WHERE ref_date='2024-09-30' AND nome_perimetro='Individual Corporativo' AND segmento='ESTR' AND ambito='PM' AND entidade='00100' ) B ON entty_id_as_is=entty_id_to_be WHERE coalesce(cast(nt_incm_as_is AS string),'')&lt;&gt;coalesce(cast(nt_incm_to_be AS string),'') ) A Union all</v>
      </c>
      <c r="P88" s="75">
        <f t="shared" si="13"/>
        <v>29</v>
      </c>
    </row>
    <row r="89" spans="2:16" s="63" customFormat="1" ht="18" customHeight="1">
      <c r="B89" s="75" t="s">
        <v>11</v>
      </c>
      <c r="C89" s="75" t="str">
        <f>_xlfn.CONCAT(Instruções!$D$13,".",VLOOKUP(B89,Instruções!$F$12:$H$17,2,0))</f>
        <v>cd_loan_tapes_bce.lt003_entity</v>
      </c>
      <c r="D89" s="75" t="str">
        <f>_xlfn.CONCAT(Instruções!$D$14,".",VLOOKUP(B89,Instruções!$F$12:$H$17,3,0))</f>
        <v>bu_loantape_work.lt003_entity</v>
      </c>
      <c r="E89" s="75" t="s">
        <v>134</v>
      </c>
      <c r="F89" s="75" t="str">
        <f t="shared" si="8"/>
        <v>nt_incm_prvs_as_is</v>
      </c>
      <c r="G89" s="75" t="str">
        <f t="shared" si="9"/>
        <v>nt_incm_prvs_to_be</v>
      </c>
      <c r="H89" s="75" t="str">
        <f>IF(VLOOKUP(B89,Instruções!$F$13:$J$17,5,0)="",
"(SELECT "&amp;VLOOKUP(B89,Instruções!$F$13:$J$17,4,0)&amp;" as "&amp;VLOOKUP(B89,Instruções!$F$13:$J$17,4,0)&amp;"_"&amp;$F$2&amp;", "&amp;E89&amp;" as "&amp;F89&amp;" FROM "&amp;C89&amp;" WHERE "&amp;Instruções!$D$20&amp;") A ",
"(SELECT "&amp;VLOOKUP(B89,Instruções!$F$13:$J$17,4,0)&amp;" as "&amp;VLOOKUP(B89,Instruções!$F$13:$J$17,4,0)&amp;"_"&amp;$F$2&amp;", "&amp;VLOOKUP(B89,Instruções!$F$13:$J$17,5,0)&amp;" as "&amp;VLOOKUP(B89,Instruções!$F$13:$J$17,5,0)&amp;"_"&amp;$F$2&amp;","&amp;E89&amp;" as "&amp;F89&amp;" FROM "&amp;C89&amp;" WHERE "&amp;Instruções!$D$20&amp;") A ")</f>
        <v xml:space="preserve">(SELECT entty_id as entty_id_, nt_incm_prvs as nt_incm_prvs_as_is FROM cd_loan_tapes_bce.lt003_entity WHERE ref_date='2024-09-30' AND nome_perimetro='Individual Corporativo' AND segmento='ESTR' AND ambito='PM' AND entidade='00100' ) A </v>
      </c>
      <c r="I89" s="75" t="str">
        <f>IF(VLOOKUP(B89,Instruções!$F$13:$J$17,5,0)="",
"(SELECT "&amp;VLOOKUP(B89,Instruções!$F$13:$J$17,4,0)&amp;" as "&amp;VLOOKUP(B89,Instruções!$F$13:$J$17,4,0)&amp;"_"&amp;$G$2&amp;", "&amp;E89&amp;" as "&amp;G89&amp;" FROM "&amp;D89&amp;" WHERE "&amp;Instruções!$D$21&amp;") B ",
"(SELECT "&amp;VLOOKUP(B89,Instruções!$F$13:$J$17,4,0)&amp;" as "&amp;VLOOKUP(B89,Instruções!$F$13:$J$17,4,0)&amp;"_"&amp;$G$2&amp;", "&amp;VLOOKUP(B89,Instruções!$F$13:$J$17,5,0)&amp;" as "&amp;VLOOKUP(B89,Instruções!$F$13:$J$17,5,0)&amp;"_"&amp;$G$2&amp;","&amp;E89&amp;" as "&amp;G89&amp;" FROM "&amp;D89&amp;" WHERE "&amp;Instruções!$D$21&amp;") B ")</f>
        <v xml:space="preserve">(SELECT entty_id as entty_id_, nt_incm_prvs as nt_incm_prvs_to_be FROM bu_loantape_work.lt003_entity WHERE ref_date='2024-09-30' AND nome_perimetro='Individual Corporativo' AND segmento='ESTR' AND ambito='PM' AND entidade='00100' ) B </v>
      </c>
      <c r="J89" s="75" t="str">
        <f>+IF(VLOOKUP(B89,Instruções!$F$13:$J$17,5,0)="", "ON "&amp;VLOOKUP(B89,Instruções!$F$13:$J$17,4,0)&amp;"_"&amp;$F$7&amp;"="&amp;VLOOKUP(B89,Instruções!$F$13:$J$17,4,0)&amp;"_"&amp;$G$7&amp;" ", "ON "&amp;VLOOKUP(B89,Instruções!$F$13:$J$17,4,0)&amp;"_"&amp;$F$7&amp;"="&amp;VLOOKUP(B89,Instruções!$F$13:$J$17,4,0)&amp;"_"&amp;$G$7&amp;" AND "&amp;VLOOKUP(B89,Instruções!$F$13:$J$17,5,0)&amp;"_"&amp;$F$7&amp;"="&amp;VLOOKUP(B89,Instruções!$F$13:$J$17,5,0)&amp;"_"&amp;$G$7&amp;" ")</f>
        <v xml:space="preserve">ON entty_id_as_is=entty_id_to_be </v>
      </c>
      <c r="K89" s="75" t="str">
        <f t="shared" si="10"/>
        <v xml:space="preserve">WHERE coalesce(cast(nt_incm_prvs_as_is AS string),'')&lt;&gt;coalesce(cast(nt_incm_prvs_to_be AS string),'') </v>
      </c>
      <c r="L89" s="75" t="str">
        <f t="shared" si="11"/>
        <v xml:space="preserve">SELECT count(*) AS NUM_REG_DIF FROM (SELECT entty_id as entty_id_, nt_incm_prvs as nt_incm_prvs_as_is FROM cd_loan_tapes_bce.lt003_entity WHERE ref_date='2024-09-30' AND nome_perimetro='Individual Corporativo' AND segmento='ESTR' AND ambito='PM' AND entidade='00100' ) A  Inner join (SELECT entty_id as entty_id_, nt_incm_prvs as nt_incm_prvs_to_be FROM bu_loantape_work.lt003_entity WHERE ref_date='2024-09-30' AND nome_perimetro='Individual Corporativo' AND segmento='ESTR' AND ambito='PM' AND entidade='00100' ) B ON entty_id_as_is=entty_id_to_be WHERE coalesce(cast(nt_incm_prvs_as_is AS string),'')&lt;&gt;coalesce(cast(nt_incm_prvs_to_be AS string),'') </v>
      </c>
      <c r="M89" s="75" t="s">
        <v>55</v>
      </c>
      <c r="N89" s="75" t="str">
        <f>"SELECT 'Validação de campos' as tipologia_teste, '"&amp;VLOOKUP(B89,Instruções!$F$13:$J$17,3,0)&amp;"' AS TABELA, '"&amp;E89&amp;"' AS CAMPO, '"&amp;Instruções!$D$15&amp;"' as ref_date, coalesce(NUM_REG_DIF, 0) AS NUM_REG_DIF FROM ("&amp;L89&amp;") A "</f>
        <v xml:space="preserve">SELECT 'Validação de campos' as tipologia_teste, 'lt003_entity' AS TABELA, 'nt_incm_prvs' AS CAMPO, '2024-09-30' as ref_date, coalesce(NUM_REG_DIF, 0) AS NUM_REG_DIF FROM (SELECT count(*) AS NUM_REG_DIF FROM (SELECT entty_id as entty_id_, nt_incm_prvs as nt_incm_prvs_as_is FROM cd_loan_tapes_bce.lt003_entity WHERE ref_date='2024-09-30' AND nome_perimetro='Individual Corporativo' AND segmento='ESTR' AND ambito='PM' AND entidade='00100' ) A  Inner join (SELECT entty_id as entty_id_, nt_incm_prvs as nt_incm_prvs_to_be FROM bu_loantape_work.lt003_entity WHERE ref_date='2024-09-30' AND nome_perimetro='Individual Corporativo' AND segmento='ESTR' AND ambito='PM' AND entidade='00100' ) B ON entty_id_as_is=entty_id_to_be WHERE coalesce(cast(nt_incm_prvs_as_is AS string),'')&lt;&gt;coalesce(cast(nt_incm_prvs_to_be AS string),'') ) A </v>
      </c>
      <c r="O89" s="76" t="str">
        <f t="shared" si="12"/>
        <v>SELECT 'Validação de campos' as tipologia_teste, 'lt003_entity' AS TABELA, 'nt_incm_prvs' AS CAMPO, '2024-09-30' as ref_date, coalesce(NUM_REG_DIF, 0) AS NUM_REG_DIF FROM (SELECT count(*) AS NUM_REG_DIF FROM (SELECT entty_id as entty_id_, nt_incm_prvs as nt_incm_prvs_as_is FROM cd_loan_tapes_bce.lt003_entity WHERE ref_date='2024-09-30' AND nome_perimetro='Individual Corporativo' AND segmento='ESTR' AND ambito='PM' AND entidade='00100' ) A  Inner join (SELECT entty_id as entty_id_, nt_incm_prvs as nt_incm_prvs_to_be FROM bu_loantape_work.lt003_entity WHERE ref_date='2024-09-30' AND nome_perimetro='Individual Corporativo' AND segmento='ESTR' AND ambito='PM' AND entidade='00100' ) B ON entty_id_as_is=entty_id_to_be WHERE coalesce(cast(nt_incm_prvs_as_is AS string),'')&lt;&gt;coalesce(cast(nt_incm_prvs_to_be AS string),'') ) A Union all</v>
      </c>
      <c r="P89" s="75">
        <f t="shared" si="13"/>
        <v>30</v>
      </c>
    </row>
    <row r="90" spans="2:16" s="63" customFormat="1" ht="18" customHeight="1">
      <c r="B90" s="75" t="s">
        <v>11</v>
      </c>
      <c r="C90" s="75" t="str">
        <f>_xlfn.CONCAT(Instruções!$D$13,".",VLOOKUP(B90,Instruções!$F$12:$H$17,2,0))</f>
        <v>cd_loan_tapes_bce.lt003_entity</v>
      </c>
      <c r="D90" s="75" t="str">
        <f>_xlfn.CONCAT(Instruções!$D$14,".",VLOOKUP(B90,Instruções!$F$12:$H$17,3,0))</f>
        <v>bu_loantape_work.lt003_entity</v>
      </c>
      <c r="E90" s="75" t="s">
        <v>135</v>
      </c>
      <c r="F90" s="75" t="str">
        <f t="shared" si="8"/>
        <v>osi_id_as_is</v>
      </c>
      <c r="G90" s="75" t="str">
        <f t="shared" si="9"/>
        <v>osi_id_to_be</v>
      </c>
      <c r="H90" s="75" t="str">
        <f>IF(VLOOKUP(B90,Instruções!$F$13:$J$17,5,0)="",
"(SELECT "&amp;VLOOKUP(B90,Instruções!$F$13:$J$17,4,0)&amp;" as "&amp;VLOOKUP(B90,Instruções!$F$13:$J$17,4,0)&amp;"_"&amp;$F$2&amp;", "&amp;E90&amp;" as "&amp;F90&amp;" FROM "&amp;C90&amp;" WHERE "&amp;Instruções!$D$20&amp;") A ",
"(SELECT "&amp;VLOOKUP(B90,Instruções!$F$13:$J$17,4,0)&amp;" as "&amp;VLOOKUP(B90,Instruções!$F$13:$J$17,4,0)&amp;"_"&amp;$F$2&amp;", "&amp;VLOOKUP(B90,Instruções!$F$13:$J$17,5,0)&amp;" as "&amp;VLOOKUP(B90,Instruções!$F$13:$J$17,5,0)&amp;"_"&amp;$F$2&amp;","&amp;E90&amp;" as "&amp;F90&amp;" FROM "&amp;C90&amp;" WHERE "&amp;Instruções!$D$20&amp;") A ")</f>
        <v xml:space="preserve">(SELECT entty_id as entty_id_, osi_id as osi_id_as_is FROM cd_loan_tapes_bce.lt003_entity WHERE ref_date='2024-09-30' AND nome_perimetro='Individual Corporativo' AND segmento='ESTR' AND ambito='PM' AND entidade='00100' ) A </v>
      </c>
      <c r="I90" s="75" t="str">
        <f>IF(VLOOKUP(B90,Instruções!$F$13:$J$17,5,0)="",
"(SELECT "&amp;VLOOKUP(B90,Instruções!$F$13:$J$17,4,0)&amp;" as "&amp;VLOOKUP(B90,Instruções!$F$13:$J$17,4,0)&amp;"_"&amp;$G$2&amp;", "&amp;E90&amp;" as "&amp;G90&amp;" FROM "&amp;D90&amp;" WHERE "&amp;Instruções!$D$21&amp;") B ",
"(SELECT "&amp;VLOOKUP(B90,Instruções!$F$13:$J$17,4,0)&amp;" as "&amp;VLOOKUP(B90,Instruções!$F$13:$J$17,4,0)&amp;"_"&amp;$G$2&amp;", "&amp;VLOOKUP(B90,Instruções!$F$13:$J$17,5,0)&amp;" as "&amp;VLOOKUP(B90,Instruções!$F$13:$J$17,5,0)&amp;"_"&amp;$G$2&amp;","&amp;E90&amp;" as "&amp;G90&amp;" FROM "&amp;D90&amp;" WHERE "&amp;Instruções!$D$21&amp;") B ")</f>
        <v xml:space="preserve">(SELECT entty_id as entty_id_, osi_id as osi_id_to_be FROM bu_loantape_work.lt003_entity WHERE ref_date='2024-09-30' AND nome_perimetro='Individual Corporativo' AND segmento='ESTR' AND ambito='PM' AND entidade='00100' ) B </v>
      </c>
      <c r="J90" s="75" t="str">
        <f>+IF(VLOOKUP(B90,Instruções!$F$13:$J$17,5,0)="", "ON "&amp;VLOOKUP(B90,Instruções!$F$13:$J$17,4,0)&amp;"_"&amp;$F$7&amp;"="&amp;VLOOKUP(B90,Instruções!$F$13:$J$17,4,0)&amp;"_"&amp;$G$7&amp;" ", "ON "&amp;VLOOKUP(B90,Instruções!$F$13:$J$17,4,0)&amp;"_"&amp;$F$7&amp;"="&amp;VLOOKUP(B90,Instruções!$F$13:$J$17,4,0)&amp;"_"&amp;$G$7&amp;" AND "&amp;VLOOKUP(B90,Instruções!$F$13:$J$17,5,0)&amp;"_"&amp;$F$7&amp;"="&amp;VLOOKUP(B90,Instruções!$F$13:$J$17,5,0)&amp;"_"&amp;$G$7&amp;" ")</f>
        <v xml:space="preserve">ON entty_id_as_is=entty_id_to_be </v>
      </c>
      <c r="K90" s="75" t="str">
        <f t="shared" si="10"/>
        <v xml:space="preserve">WHERE coalesce(cast(osi_id_as_is AS string),'')&lt;&gt;coalesce(cast(osi_id_to_be AS string),'') </v>
      </c>
      <c r="L90" s="75" t="str">
        <f t="shared" si="11"/>
        <v xml:space="preserve">SELECT count(*) AS NUM_REG_DIF FROM (SELECT entty_id as entty_id_, osi_id as osi_id_as_is FROM cd_loan_tapes_bce.lt003_entity WHERE ref_date='2024-09-30' AND nome_perimetro='Individual Corporativo' AND segmento='ESTR' AND ambito='PM' AND entidade='00100' ) A  Inner join (SELECT entty_id as entty_id_, osi_id as osi_id_to_be FROM bu_loantape_work.lt003_entity WHERE ref_date='2024-09-30' AND nome_perimetro='Individual Corporativo' AND segmento='ESTR' AND ambito='PM' AND entidade='00100' ) B ON entty_id_as_is=entty_id_to_be WHERE coalesce(cast(osi_id_as_is AS string),'')&lt;&gt;coalesce(cast(osi_id_to_be AS string),'') </v>
      </c>
      <c r="M90" s="75" t="s">
        <v>55</v>
      </c>
      <c r="N90" s="75" t="str">
        <f>"SELECT 'Validação de campos' as tipologia_teste, '"&amp;VLOOKUP(B90,Instruções!$F$13:$J$17,3,0)&amp;"' AS TABELA, '"&amp;E90&amp;"' AS CAMPO, '"&amp;Instruções!$D$15&amp;"' as ref_date, coalesce(NUM_REG_DIF, 0) AS NUM_REG_DIF FROM ("&amp;L90&amp;") A "</f>
        <v xml:space="preserve">SELECT 'Validação de campos' as tipologia_teste, 'lt003_entity' AS TABELA, 'osi_id' AS CAMPO, '2024-09-30' as ref_date, coalesce(NUM_REG_DIF, 0) AS NUM_REG_DIF FROM (SELECT count(*) AS NUM_REG_DIF FROM (SELECT entty_id as entty_id_, osi_id as osi_id_as_is FROM cd_loan_tapes_bce.lt003_entity WHERE ref_date='2024-09-30' AND nome_perimetro='Individual Corporativo' AND segmento='ESTR' AND ambito='PM' AND entidade='00100' ) A  Inner join (SELECT entty_id as entty_id_, osi_id as osi_id_to_be FROM bu_loantape_work.lt003_entity WHERE ref_date='2024-09-30' AND nome_perimetro='Individual Corporativo' AND segmento='ESTR' AND ambito='PM' AND entidade='00100' ) B ON entty_id_as_is=entty_id_to_be WHERE coalesce(cast(osi_id_as_is AS string),'')&lt;&gt;coalesce(cast(osi_id_to_be AS string),'') ) A </v>
      </c>
      <c r="O90" s="76" t="str">
        <f t="shared" si="12"/>
        <v>SELECT 'Validação de campos' as tipologia_teste, 'lt003_entity' AS TABELA, 'osi_id' AS CAMPO, '2024-09-30' as ref_date, coalesce(NUM_REG_DIF, 0) AS NUM_REG_DIF FROM (SELECT count(*) AS NUM_REG_DIF FROM (SELECT entty_id as entty_id_, osi_id as osi_id_as_is FROM cd_loan_tapes_bce.lt003_entity WHERE ref_date='2024-09-30' AND nome_perimetro='Individual Corporativo' AND segmento='ESTR' AND ambito='PM' AND entidade='00100' ) A  Inner join (SELECT entty_id as entty_id_, osi_id as osi_id_to_be FROM bu_loantape_work.lt003_entity WHERE ref_date='2024-09-30' AND nome_perimetro='Individual Corporativo' AND segmento='ESTR' AND ambito='PM' AND entidade='00100' ) B ON entty_id_as_is=entty_id_to_be WHERE coalesce(cast(osi_id_as_is AS string),'')&lt;&gt;coalesce(cast(osi_id_to_be AS string),'') ) A Union all</v>
      </c>
      <c r="P90" s="75">
        <f t="shared" si="13"/>
        <v>31</v>
      </c>
    </row>
    <row r="91" spans="2:16" s="63" customFormat="1" ht="18" customHeight="1">
      <c r="B91" s="75" t="s">
        <v>11</v>
      </c>
      <c r="C91" s="75" t="str">
        <f>_xlfn.CONCAT(Instruções!$D$13,".",VLOOKUP(B91,Instruções!$F$12:$H$17,2,0))</f>
        <v>cd_loan_tapes_bce.lt003_entity</v>
      </c>
      <c r="D91" s="75" t="str">
        <f>_xlfn.CONCAT(Instruções!$D$14,".",VLOOKUP(B91,Instruções!$F$12:$H$17,3,0))</f>
        <v>bu_loantape_work.lt003_entity</v>
      </c>
      <c r="E91" s="75" t="s">
        <v>136</v>
      </c>
      <c r="F91" s="75" t="str">
        <f t="shared" si="8"/>
        <v>ownd_by_spnsr_as_is</v>
      </c>
      <c r="G91" s="75" t="str">
        <f t="shared" si="9"/>
        <v>ownd_by_spnsr_to_be</v>
      </c>
      <c r="H91" s="75" t="str">
        <f>IF(VLOOKUP(B91,Instruções!$F$13:$J$17,5,0)="",
"(SELECT "&amp;VLOOKUP(B91,Instruções!$F$13:$J$17,4,0)&amp;" as "&amp;VLOOKUP(B91,Instruções!$F$13:$J$17,4,0)&amp;"_"&amp;$F$2&amp;", "&amp;E91&amp;" as "&amp;F91&amp;" FROM "&amp;C91&amp;" WHERE "&amp;Instruções!$D$20&amp;") A ",
"(SELECT "&amp;VLOOKUP(B91,Instruções!$F$13:$J$17,4,0)&amp;" as "&amp;VLOOKUP(B91,Instruções!$F$13:$J$17,4,0)&amp;"_"&amp;$F$2&amp;", "&amp;VLOOKUP(B91,Instruções!$F$13:$J$17,5,0)&amp;" as "&amp;VLOOKUP(B91,Instruções!$F$13:$J$17,5,0)&amp;"_"&amp;$F$2&amp;","&amp;E91&amp;" as "&amp;F91&amp;" FROM "&amp;C91&amp;" WHERE "&amp;Instruções!$D$20&amp;") A ")</f>
        <v xml:space="preserve">(SELECT entty_id as entty_id_, ownd_by_spnsr as ownd_by_spnsr_as_is FROM cd_loan_tapes_bce.lt003_entity WHERE ref_date='2024-09-30' AND nome_perimetro='Individual Corporativo' AND segmento='ESTR' AND ambito='PM' AND entidade='00100' ) A </v>
      </c>
      <c r="I91" s="75" t="str">
        <f>IF(VLOOKUP(B91,Instruções!$F$13:$J$17,5,0)="",
"(SELECT "&amp;VLOOKUP(B91,Instruções!$F$13:$J$17,4,0)&amp;" as "&amp;VLOOKUP(B91,Instruções!$F$13:$J$17,4,0)&amp;"_"&amp;$G$2&amp;", "&amp;E91&amp;" as "&amp;G91&amp;" FROM "&amp;D91&amp;" WHERE "&amp;Instruções!$D$21&amp;") B ",
"(SELECT "&amp;VLOOKUP(B91,Instruções!$F$13:$J$17,4,0)&amp;" as "&amp;VLOOKUP(B91,Instruções!$F$13:$J$17,4,0)&amp;"_"&amp;$G$2&amp;", "&amp;VLOOKUP(B91,Instruções!$F$13:$J$17,5,0)&amp;" as "&amp;VLOOKUP(B91,Instruções!$F$13:$J$17,5,0)&amp;"_"&amp;$G$2&amp;","&amp;E91&amp;" as "&amp;G91&amp;" FROM "&amp;D91&amp;" WHERE "&amp;Instruções!$D$21&amp;") B ")</f>
        <v xml:space="preserve">(SELECT entty_id as entty_id_, ownd_by_spnsr as ownd_by_spnsr_to_be FROM bu_loantape_work.lt003_entity WHERE ref_date='2024-09-30' AND nome_perimetro='Individual Corporativo' AND segmento='ESTR' AND ambito='PM' AND entidade='00100' ) B </v>
      </c>
      <c r="J91" s="75" t="str">
        <f>+IF(VLOOKUP(B91,Instruções!$F$13:$J$17,5,0)="", "ON "&amp;VLOOKUP(B91,Instruções!$F$13:$J$17,4,0)&amp;"_"&amp;$F$7&amp;"="&amp;VLOOKUP(B91,Instruções!$F$13:$J$17,4,0)&amp;"_"&amp;$G$7&amp;" ", "ON "&amp;VLOOKUP(B91,Instruções!$F$13:$J$17,4,0)&amp;"_"&amp;$F$7&amp;"="&amp;VLOOKUP(B91,Instruções!$F$13:$J$17,4,0)&amp;"_"&amp;$G$7&amp;" AND "&amp;VLOOKUP(B91,Instruções!$F$13:$J$17,5,0)&amp;"_"&amp;$F$7&amp;"="&amp;VLOOKUP(B91,Instruções!$F$13:$J$17,5,0)&amp;"_"&amp;$G$7&amp;" ")</f>
        <v xml:space="preserve">ON entty_id_as_is=entty_id_to_be </v>
      </c>
      <c r="K91" s="75" t="str">
        <f t="shared" si="10"/>
        <v xml:space="preserve">WHERE coalesce(cast(ownd_by_spnsr_as_is AS string),'')&lt;&gt;coalesce(cast(ownd_by_spnsr_to_be AS string),'') </v>
      </c>
      <c r="L91" s="75" t="str">
        <f t="shared" si="11"/>
        <v xml:space="preserve">SELECT count(*) AS NUM_REG_DIF FROM (SELECT entty_id as entty_id_, ownd_by_spnsr as ownd_by_spnsr_as_is FROM cd_loan_tapes_bce.lt003_entity WHERE ref_date='2024-09-30' AND nome_perimetro='Individual Corporativo' AND segmento='ESTR' AND ambito='PM' AND entidade='00100' ) A  Inner join (SELECT entty_id as entty_id_, ownd_by_spnsr as ownd_by_spnsr_to_be FROM bu_loantape_work.lt003_entity WHERE ref_date='2024-09-30' AND nome_perimetro='Individual Corporativo' AND segmento='ESTR' AND ambito='PM' AND entidade='00100' ) B ON entty_id_as_is=entty_id_to_be WHERE coalesce(cast(ownd_by_spnsr_as_is AS string),'')&lt;&gt;coalesce(cast(ownd_by_spnsr_to_be AS string),'') </v>
      </c>
      <c r="M91" s="75" t="s">
        <v>55</v>
      </c>
      <c r="N91" s="75" t="str">
        <f>"SELECT 'Validação de campos' as tipologia_teste, '"&amp;VLOOKUP(B91,Instruções!$F$13:$J$17,3,0)&amp;"' AS TABELA, '"&amp;E91&amp;"' AS CAMPO, '"&amp;Instruções!$D$15&amp;"' as ref_date, coalesce(NUM_REG_DIF, 0) AS NUM_REG_DIF FROM ("&amp;L91&amp;") A "</f>
        <v xml:space="preserve">SELECT 'Validação de campos' as tipologia_teste, 'lt003_entity' AS TABELA, 'ownd_by_spnsr' AS CAMPO, '2024-09-30' as ref_date, coalesce(NUM_REG_DIF, 0) AS NUM_REG_DIF FROM (SELECT count(*) AS NUM_REG_DIF FROM (SELECT entty_id as entty_id_, ownd_by_spnsr as ownd_by_spnsr_as_is FROM cd_loan_tapes_bce.lt003_entity WHERE ref_date='2024-09-30' AND nome_perimetro='Individual Corporativo' AND segmento='ESTR' AND ambito='PM' AND entidade='00100' ) A  Inner join (SELECT entty_id as entty_id_, ownd_by_spnsr as ownd_by_spnsr_to_be FROM bu_loantape_work.lt003_entity WHERE ref_date='2024-09-30' AND nome_perimetro='Individual Corporativo' AND segmento='ESTR' AND ambito='PM' AND entidade='00100' ) B ON entty_id_as_is=entty_id_to_be WHERE coalesce(cast(ownd_by_spnsr_as_is AS string),'')&lt;&gt;coalesce(cast(ownd_by_spnsr_to_be AS string),'') ) A </v>
      </c>
      <c r="O91" s="76" t="str">
        <f t="shared" si="12"/>
        <v>SELECT 'Validação de campos' as tipologia_teste, 'lt003_entity' AS TABELA, 'ownd_by_spnsr' AS CAMPO, '2024-09-30' as ref_date, coalesce(NUM_REG_DIF, 0) AS NUM_REG_DIF FROM (SELECT count(*) AS NUM_REG_DIF FROM (SELECT entty_id as entty_id_, ownd_by_spnsr as ownd_by_spnsr_as_is FROM cd_loan_tapes_bce.lt003_entity WHERE ref_date='2024-09-30' AND nome_perimetro='Individual Corporativo' AND segmento='ESTR' AND ambito='PM' AND entidade='00100' ) A  Inner join (SELECT entty_id as entty_id_, ownd_by_spnsr as ownd_by_spnsr_to_be FROM bu_loantape_work.lt003_entity WHERE ref_date='2024-09-30' AND nome_perimetro='Individual Corporativo' AND segmento='ESTR' AND ambito='PM' AND entidade='00100' ) B ON entty_id_as_is=entty_id_to_be WHERE coalesce(cast(ownd_by_spnsr_as_is AS string),'')&lt;&gt;coalesce(cast(ownd_by_spnsr_to_be AS string),'') ) A Union all</v>
      </c>
      <c r="P91" s="75">
        <f t="shared" si="13"/>
        <v>32</v>
      </c>
    </row>
    <row r="92" spans="2:16" s="63" customFormat="1" ht="18" customHeight="1">
      <c r="B92" s="75" t="s">
        <v>11</v>
      </c>
      <c r="C92" s="75" t="str">
        <f>_xlfn.CONCAT(Instruções!$D$13,".",VLOOKUP(B92,Instruções!$F$12:$H$17,2,0))</f>
        <v>cd_loan_tapes_bce.lt003_entity</v>
      </c>
      <c r="D92" s="75" t="str">
        <f>_xlfn.CONCAT(Instruções!$D$14,".",VLOOKUP(B92,Instruções!$F$12:$H$17,3,0))</f>
        <v>bu_loantape_work.lt003_entity</v>
      </c>
      <c r="E92" s="75" t="s">
        <v>137</v>
      </c>
      <c r="F92" s="75" t="str">
        <f t="shared" ref="F92:F109" si="14">E92&amp;"_"&amp;$F$7</f>
        <v>pd_crr_rd_as_is</v>
      </c>
      <c r="G92" s="75" t="str">
        <f t="shared" ref="G92:G109" si="15">E92&amp;"_"&amp;$G$7</f>
        <v>pd_crr_rd_to_be</v>
      </c>
      <c r="H92" s="75" t="str">
        <f>IF(VLOOKUP(B92,Instruções!$F$13:$J$17,5,0)="",
"(SELECT "&amp;VLOOKUP(B92,Instruções!$F$13:$J$17,4,0)&amp;" as "&amp;VLOOKUP(B92,Instruções!$F$13:$J$17,4,0)&amp;"_"&amp;$F$2&amp;", "&amp;E92&amp;" as "&amp;F92&amp;" FROM "&amp;C92&amp;" WHERE "&amp;Instruções!$D$20&amp;") A ",
"(SELECT "&amp;VLOOKUP(B92,Instruções!$F$13:$J$17,4,0)&amp;" as "&amp;VLOOKUP(B92,Instruções!$F$13:$J$17,4,0)&amp;"_"&amp;$F$2&amp;", "&amp;VLOOKUP(B92,Instruções!$F$13:$J$17,5,0)&amp;" as "&amp;VLOOKUP(B92,Instruções!$F$13:$J$17,5,0)&amp;"_"&amp;$F$2&amp;","&amp;E92&amp;" as "&amp;F92&amp;" FROM "&amp;C92&amp;" WHERE "&amp;Instruções!$D$20&amp;") A ")</f>
        <v xml:space="preserve">(SELECT entty_id as entty_id_, pd_crr_rd as pd_crr_rd_as_is FROM cd_loan_tapes_bce.lt003_entity WHERE ref_date='2024-09-30' AND nome_perimetro='Individual Corporativo' AND segmento='ESTR' AND ambito='PM' AND entidade='00100' ) A </v>
      </c>
      <c r="I92" s="75" t="str">
        <f>IF(VLOOKUP(B92,Instruções!$F$13:$J$17,5,0)="",
"(SELECT "&amp;VLOOKUP(B92,Instruções!$F$13:$J$17,4,0)&amp;" as "&amp;VLOOKUP(B92,Instruções!$F$13:$J$17,4,0)&amp;"_"&amp;$G$2&amp;", "&amp;E92&amp;" as "&amp;G92&amp;" FROM "&amp;D92&amp;" WHERE "&amp;Instruções!$D$21&amp;") B ",
"(SELECT "&amp;VLOOKUP(B92,Instruções!$F$13:$J$17,4,0)&amp;" as "&amp;VLOOKUP(B92,Instruções!$F$13:$J$17,4,0)&amp;"_"&amp;$G$2&amp;", "&amp;VLOOKUP(B92,Instruções!$F$13:$J$17,5,0)&amp;" as "&amp;VLOOKUP(B92,Instruções!$F$13:$J$17,5,0)&amp;"_"&amp;$G$2&amp;","&amp;E92&amp;" as "&amp;G92&amp;" FROM "&amp;D92&amp;" WHERE "&amp;Instruções!$D$21&amp;") B ")</f>
        <v xml:space="preserve">(SELECT entty_id as entty_id_, pd_crr_rd as pd_crr_rd_to_be FROM bu_loantape_work.lt003_entity WHERE ref_date='2024-09-30' AND nome_perimetro='Individual Corporativo' AND segmento='ESTR' AND ambito='PM' AND entidade='00100' ) B </v>
      </c>
      <c r="J92" s="75" t="str">
        <f>+IF(VLOOKUP(B92,Instruções!$F$13:$J$17,5,0)="", "ON "&amp;VLOOKUP(B92,Instruções!$F$13:$J$17,4,0)&amp;"_"&amp;$F$7&amp;"="&amp;VLOOKUP(B92,Instruções!$F$13:$J$17,4,0)&amp;"_"&amp;$G$7&amp;" ", "ON "&amp;VLOOKUP(B92,Instruções!$F$13:$J$17,4,0)&amp;"_"&amp;$F$7&amp;"="&amp;VLOOKUP(B92,Instruções!$F$13:$J$17,4,0)&amp;"_"&amp;$G$7&amp;" AND "&amp;VLOOKUP(B92,Instruções!$F$13:$J$17,5,0)&amp;"_"&amp;$F$7&amp;"="&amp;VLOOKUP(B92,Instruções!$F$13:$J$17,5,0)&amp;"_"&amp;$G$7&amp;" ")</f>
        <v xml:space="preserve">ON entty_id_as_is=entty_id_to_be </v>
      </c>
      <c r="K92" s="75" t="str">
        <f t="shared" si="10"/>
        <v xml:space="preserve">WHERE coalesce(cast(pd_crr_rd_as_is AS string),'')&lt;&gt;coalesce(cast(pd_crr_rd_to_be AS string),'') </v>
      </c>
      <c r="L92" s="75" t="str">
        <f t="shared" si="11"/>
        <v xml:space="preserve">SELECT count(*) AS NUM_REG_DIF FROM (SELECT entty_id as entty_id_, pd_crr_rd as pd_crr_rd_as_is FROM cd_loan_tapes_bce.lt003_entity WHERE ref_date='2024-09-30' AND nome_perimetro='Individual Corporativo' AND segmento='ESTR' AND ambito='PM' AND entidade='00100' ) A  Inner join (SELECT entty_id as entty_id_, pd_crr_rd as pd_crr_rd_to_be FROM bu_loantape_work.lt003_entity WHERE ref_date='2024-09-30' AND nome_perimetro='Individual Corporativo' AND segmento='ESTR' AND ambito='PM' AND entidade='00100' ) B ON entty_id_as_is=entty_id_to_be WHERE coalesce(cast(pd_crr_rd_as_is AS string),'')&lt;&gt;coalesce(cast(pd_crr_rd_to_be AS string),'') </v>
      </c>
      <c r="M92" s="75" t="s">
        <v>55</v>
      </c>
      <c r="N92" s="75" t="str">
        <f>"SELECT 'Validação de campos' as tipologia_teste, '"&amp;VLOOKUP(B92,Instruções!$F$13:$J$17,3,0)&amp;"' AS TABELA, '"&amp;E92&amp;"' AS CAMPO, '"&amp;Instruções!$D$15&amp;"' as ref_date, coalesce(NUM_REG_DIF, 0) AS NUM_REG_DIF FROM ("&amp;L92&amp;") A "</f>
        <v xml:space="preserve">SELECT 'Validação de campos' as tipologia_teste, 'lt003_entity' AS TABELA, 'pd_crr_rd' AS CAMPO, '2024-09-30' as ref_date, coalesce(NUM_REG_DIF, 0) AS NUM_REG_DIF FROM (SELECT count(*) AS NUM_REG_DIF FROM (SELECT entty_id as entty_id_, pd_crr_rd as pd_crr_rd_as_is FROM cd_loan_tapes_bce.lt003_entity WHERE ref_date='2024-09-30' AND nome_perimetro='Individual Corporativo' AND segmento='ESTR' AND ambito='PM' AND entidade='00100' ) A  Inner join (SELECT entty_id as entty_id_, pd_crr_rd as pd_crr_rd_to_be FROM bu_loantape_work.lt003_entity WHERE ref_date='2024-09-30' AND nome_perimetro='Individual Corporativo' AND segmento='ESTR' AND ambito='PM' AND entidade='00100' ) B ON entty_id_as_is=entty_id_to_be WHERE coalesce(cast(pd_crr_rd_as_is AS string),'')&lt;&gt;coalesce(cast(pd_crr_rd_to_be AS string),'') ) A </v>
      </c>
      <c r="O92" s="76" t="str">
        <f t="shared" si="12"/>
        <v>SELECT 'Validação de campos' as tipologia_teste, 'lt003_entity' AS TABELA, 'pd_crr_rd' AS CAMPO, '2024-09-30' as ref_date, coalesce(NUM_REG_DIF, 0) AS NUM_REG_DIF FROM (SELECT count(*) AS NUM_REG_DIF FROM (SELECT entty_id as entty_id_, pd_crr_rd as pd_crr_rd_as_is FROM cd_loan_tapes_bce.lt003_entity WHERE ref_date='2024-09-30' AND nome_perimetro='Individual Corporativo' AND segmento='ESTR' AND ambito='PM' AND entidade='00100' ) A  Inner join (SELECT entty_id as entty_id_, pd_crr_rd as pd_crr_rd_to_be FROM bu_loantape_work.lt003_entity WHERE ref_date='2024-09-30' AND nome_perimetro='Individual Corporativo' AND segmento='ESTR' AND ambito='PM' AND entidade='00100' ) B ON entty_id_as_is=entty_id_to_be WHERE coalesce(cast(pd_crr_rd_as_is AS string),'')&lt;&gt;coalesce(cast(pd_crr_rd_to_be AS string),'') ) A Union all</v>
      </c>
      <c r="P92" s="75">
        <f t="shared" si="13"/>
        <v>33</v>
      </c>
    </row>
    <row r="93" spans="2:16" s="63" customFormat="1" ht="18" customHeight="1">
      <c r="B93" s="75" t="s">
        <v>11</v>
      </c>
      <c r="C93" s="75" t="str">
        <f>_xlfn.CONCAT(Instruções!$D$13,".",VLOOKUP(B93,Instruções!$F$12:$H$17,2,0))</f>
        <v>cd_loan_tapes_bce.lt003_entity</v>
      </c>
      <c r="D93" s="75" t="str">
        <f>_xlfn.CONCAT(Instruções!$D$14,".",VLOOKUP(B93,Instruções!$F$12:$H$17,3,0))</f>
        <v>bu_loantape_work.lt003_entity</v>
      </c>
      <c r="E93" s="75" t="s">
        <v>138</v>
      </c>
      <c r="F93" s="75" t="str">
        <f t="shared" si="14"/>
        <v>pd_crr_rd_t1_as_is</v>
      </c>
      <c r="G93" s="75" t="str">
        <f t="shared" si="15"/>
        <v>pd_crr_rd_t1_to_be</v>
      </c>
      <c r="H93" s="75" t="str">
        <f>IF(VLOOKUP(B93,Instruções!$F$13:$J$17,5,0)="",
"(SELECT "&amp;VLOOKUP(B93,Instruções!$F$13:$J$17,4,0)&amp;" as "&amp;VLOOKUP(B93,Instruções!$F$13:$J$17,4,0)&amp;"_"&amp;$F$2&amp;", "&amp;E93&amp;" as "&amp;F93&amp;" FROM "&amp;C93&amp;" WHERE "&amp;Instruções!$D$20&amp;") A ",
"(SELECT "&amp;VLOOKUP(B93,Instruções!$F$13:$J$17,4,0)&amp;" as "&amp;VLOOKUP(B93,Instruções!$F$13:$J$17,4,0)&amp;"_"&amp;$F$2&amp;", "&amp;VLOOKUP(B93,Instruções!$F$13:$J$17,5,0)&amp;" as "&amp;VLOOKUP(B93,Instruções!$F$13:$J$17,5,0)&amp;"_"&amp;$F$2&amp;","&amp;E93&amp;" as "&amp;F93&amp;" FROM "&amp;C93&amp;" WHERE "&amp;Instruções!$D$20&amp;") A ")</f>
        <v xml:space="preserve">(SELECT entty_id as entty_id_, pd_crr_rd_t1 as pd_crr_rd_t1_as_is FROM cd_loan_tapes_bce.lt003_entity WHERE ref_date='2024-09-30' AND nome_perimetro='Individual Corporativo' AND segmento='ESTR' AND ambito='PM' AND entidade='00100' ) A </v>
      </c>
      <c r="I93" s="75" t="str">
        <f>IF(VLOOKUP(B93,Instruções!$F$13:$J$17,5,0)="",
"(SELECT "&amp;VLOOKUP(B93,Instruções!$F$13:$J$17,4,0)&amp;" as "&amp;VLOOKUP(B93,Instruções!$F$13:$J$17,4,0)&amp;"_"&amp;$G$2&amp;", "&amp;E93&amp;" as "&amp;G93&amp;" FROM "&amp;D93&amp;" WHERE "&amp;Instruções!$D$21&amp;") B ",
"(SELECT "&amp;VLOOKUP(B93,Instruções!$F$13:$J$17,4,0)&amp;" as "&amp;VLOOKUP(B93,Instruções!$F$13:$J$17,4,0)&amp;"_"&amp;$G$2&amp;", "&amp;VLOOKUP(B93,Instruções!$F$13:$J$17,5,0)&amp;" as "&amp;VLOOKUP(B93,Instruções!$F$13:$J$17,5,0)&amp;"_"&amp;$G$2&amp;","&amp;E93&amp;" as "&amp;G93&amp;" FROM "&amp;D93&amp;" WHERE "&amp;Instruções!$D$21&amp;") B ")</f>
        <v xml:space="preserve">(SELECT entty_id as entty_id_, pd_crr_rd_t1 as pd_crr_rd_t1_to_be FROM bu_loantape_work.lt003_entity WHERE ref_date='2024-09-30' AND nome_perimetro='Individual Corporativo' AND segmento='ESTR' AND ambito='PM' AND entidade='00100' ) B </v>
      </c>
      <c r="J93" s="75" t="str">
        <f>+IF(VLOOKUP(B93,Instruções!$F$13:$J$17,5,0)="", "ON "&amp;VLOOKUP(B93,Instruções!$F$13:$J$17,4,0)&amp;"_"&amp;$F$7&amp;"="&amp;VLOOKUP(B93,Instruções!$F$13:$J$17,4,0)&amp;"_"&amp;$G$7&amp;" ", "ON "&amp;VLOOKUP(B93,Instruções!$F$13:$J$17,4,0)&amp;"_"&amp;$F$7&amp;"="&amp;VLOOKUP(B93,Instruções!$F$13:$J$17,4,0)&amp;"_"&amp;$G$7&amp;" AND "&amp;VLOOKUP(B93,Instruções!$F$13:$J$17,5,0)&amp;"_"&amp;$F$7&amp;"="&amp;VLOOKUP(B93,Instruções!$F$13:$J$17,5,0)&amp;"_"&amp;$G$7&amp;" ")</f>
        <v xml:space="preserve">ON entty_id_as_is=entty_id_to_be </v>
      </c>
      <c r="K93" s="75" t="str">
        <f t="shared" si="10"/>
        <v xml:space="preserve">WHERE coalesce(cast(pd_crr_rd_t1_as_is AS string),'')&lt;&gt;coalesce(cast(pd_crr_rd_t1_to_be AS string),'') </v>
      </c>
      <c r="L93" s="75" t="str">
        <f t="shared" si="11"/>
        <v xml:space="preserve">SELECT count(*) AS NUM_REG_DIF FROM (SELECT entty_id as entty_id_, pd_crr_rd_t1 as pd_crr_rd_t1_as_is FROM cd_loan_tapes_bce.lt003_entity WHERE ref_date='2024-09-30' AND nome_perimetro='Individual Corporativo' AND segmento='ESTR' AND ambito='PM' AND entidade='00100' ) A  Inner join (SELECT entty_id as entty_id_, pd_crr_rd_t1 as pd_crr_rd_t1_to_be FROM bu_loantape_work.lt003_entity WHERE ref_date='2024-09-30' AND nome_perimetro='Individual Corporativo' AND segmento='ESTR' AND ambito='PM' AND entidade='00100' ) B ON entty_id_as_is=entty_id_to_be WHERE coalesce(cast(pd_crr_rd_t1_as_is AS string),'')&lt;&gt;coalesce(cast(pd_crr_rd_t1_to_be AS string),'') </v>
      </c>
      <c r="M93" s="75" t="s">
        <v>55</v>
      </c>
      <c r="N93" s="75" t="str">
        <f>"SELECT 'Validação de campos' as tipologia_teste, '"&amp;VLOOKUP(B93,Instruções!$F$13:$J$17,3,0)&amp;"' AS TABELA, '"&amp;E93&amp;"' AS CAMPO, '"&amp;Instruções!$D$15&amp;"' as ref_date, coalesce(NUM_REG_DIF, 0) AS NUM_REG_DIF FROM ("&amp;L93&amp;") A "</f>
        <v xml:space="preserve">SELECT 'Validação de campos' as tipologia_teste, 'lt003_entity' AS TABELA, 'pd_crr_rd_t1' AS CAMPO, '2024-09-30' as ref_date, coalesce(NUM_REG_DIF, 0) AS NUM_REG_DIF FROM (SELECT count(*) AS NUM_REG_DIF FROM (SELECT entty_id as entty_id_, pd_crr_rd_t1 as pd_crr_rd_t1_as_is FROM cd_loan_tapes_bce.lt003_entity WHERE ref_date='2024-09-30' AND nome_perimetro='Individual Corporativo' AND segmento='ESTR' AND ambito='PM' AND entidade='00100' ) A  Inner join (SELECT entty_id as entty_id_, pd_crr_rd_t1 as pd_crr_rd_t1_to_be FROM bu_loantape_work.lt003_entity WHERE ref_date='2024-09-30' AND nome_perimetro='Individual Corporativo' AND segmento='ESTR' AND ambito='PM' AND entidade='00100' ) B ON entty_id_as_is=entty_id_to_be WHERE coalesce(cast(pd_crr_rd_t1_as_is AS string),'')&lt;&gt;coalesce(cast(pd_crr_rd_t1_to_be AS string),'') ) A </v>
      </c>
      <c r="O93" s="76" t="str">
        <f t="shared" si="12"/>
        <v>SELECT 'Validação de campos' as tipologia_teste, 'lt003_entity' AS TABELA, 'pd_crr_rd_t1' AS CAMPO, '2024-09-30' as ref_date, coalesce(NUM_REG_DIF, 0) AS NUM_REG_DIF FROM (SELECT count(*) AS NUM_REG_DIF FROM (SELECT entty_id as entty_id_, pd_crr_rd_t1 as pd_crr_rd_t1_as_is FROM cd_loan_tapes_bce.lt003_entity WHERE ref_date='2024-09-30' AND nome_perimetro='Individual Corporativo' AND segmento='ESTR' AND ambito='PM' AND entidade='00100' ) A  Inner join (SELECT entty_id as entty_id_, pd_crr_rd_t1 as pd_crr_rd_t1_to_be FROM bu_loantape_work.lt003_entity WHERE ref_date='2024-09-30' AND nome_perimetro='Individual Corporativo' AND segmento='ESTR' AND ambito='PM' AND entidade='00100' ) B ON entty_id_as_is=entty_id_to_be WHERE coalesce(cast(pd_crr_rd_t1_as_is AS string),'')&lt;&gt;coalesce(cast(pd_crr_rd_t1_to_be AS string),'') ) A Union all</v>
      </c>
      <c r="P93" s="75">
        <f t="shared" si="13"/>
        <v>34</v>
      </c>
    </row>
    <row r="94" spans="2:16" s="63" customFormat="1" ht="18" customHeight="1">
      <c r="B94" s="75" t="s">
        <v>11</v>
      </c>
      <c r="C94" s="75" t="str">
        <f>_xlfn.CONCAT(Instruções!$D$13,".",VLOOKUP(B94,Instruções!$F$12:$H$17,2,0))</f>
        <v>cd_loan_tapes_bce.lt003_entity</v>
      </c>
      <c r="D94" s="75" t="str">
        <f>_xlfn.CONCAT(Instruções!$D$14,".",VLOOKUP(B94,Instruções!$F$12:$H$17,3,0))</f>
        <v>bu_loantape_work.lt003_entity</v>
      </c>
      <c r="E94" s="75" t="s">
        <v>139</v>
      </c>
      <c r="F94" s="75" t="str">
        <f t="shared" si="14"/>
        <v>pd_ifrs9_12m_rd_as_is</v>
      </c>
      <c r="G94" s="75" t="str">
        <f t="shared" si="15"/>
        <v>pd_ifrs9_12m_rd_to_be</v>
      </c>
      <c r="H94" s="75" t="str">
        <f>IF(VLOOKUP(B94,Instruções!$F$13:$J$17,5,0)="",
"(SELECT "&amp;VLOOKUP(B94,Instruções!$F$13:$J$17,4,0)&amp;" as "&amp;VLOOKUP(B94,Instruções!$F$13:$J$17,4,0)&amp;"_"&amp;$F$2&amp;", "&amp;E94&amp;" as "&amp;F94&amp;" FROM "&amp;C94&amp;" WHERE "&amp;Instruções!$D$20&amp;") A ",
"(SELECT "&amp;VLOOKUP(B94,Instruções!$F$13:$J$17,4,0)&amp;" as "&amp;VLOOKUP(B94,Instruções!$F$13:$J$17,4,0)&amp;"_"&amp;$F$2&amp;", "&amp;VLOOKUP(B94,Instruções!$F$13:$J$17,5,0)&amp;" as "&amp;VLOOKUP(B94,Instruções!$F$13:$J$17,5,0)&amp;"_"&amp;$F$2&amp;","&amp;E94&amp;" as "&amp;F94&amp;" FROM "&amp;C94&amp;" WHERE "&amp;Instruções!$D$20&amp;") A ")</f>
        <v xml:space="preserve">(SELECT entty_id as entty_id_, pd_ifrs9_12m_rd as pd_ifrs9_12m_rd_as_is FROM cd_loan_tapes_bce.lt003_entity WHERE ref_date='2024-09-30' AND nome_perimetro='Individual Corporativo' AND segmento='ESTR' AND ambito='PM' AND entidade='00100' ) A </v>
      </c>
      <c r="I94" s="75" t="str">
        <f>IF(VLOOKUP(B94,Instruções!$F$13:$J$17,5,0)="",
"(SELECT "&amp;VLOOKUP(B94,Instruções!$F$13:$J$17,4,0)&amp;" as "&amp;VLOOKUP(B94,Instruções!$F$13:$J$17,4,0)&amp;"_"&amp;$G$2&amp;", "&amp;E94&amp;" as "&amp;G94&amp;" FROM "&amp;D94&amp;" WHERE "&amp;Instruções!$D$21&amp;") B ",
"(SELECT "&amp;VLOOKUP(B94,Instruções!$F$13:$J$17,4,0)&amp;" as "&amp;VLOOKUP(B94,Instruções!$F$13:$J$17,4,0)&amp;"_"&amp;$G$2&amp;", "&amp;VLOOKUP(B94,Instruções!$F$13:$J$17,5,0)&amp;" as "&amp;VLOOKUP(B94,Instruções!$F$13:$J$17,5,0)&amp;"_"&amp;$G$2&amp;","&amp;E94&amp;" as "&amp;G94&amp;" FROM "&amp;D94&amp;" WHERE "&amp;Instruções!$D$21&amp;") B ")</f>
        <v xml:space="preserve">(SELECT entty_id as entty_id_, pd_ifrs9_12m_rd as pd_ifrs9_12m_rd_to_be FROM bu_loantape_work.lt003_entity WHERE ref_date='2024-09-30' AND nome_perimetro='Individual Corporativo' AND segmento='ESTR' AND ambito='PM' AND entidade='00100' ) B </v>
      </c>
      <c r="J94" s="75" t="str">
        <f>+IF(VLOOKUP(B94,Instruções!$F$13:$J$17,5,0)="", "ON "&amp;VLOOKUP(B94,Instruções!$F$13:$J$17,4,0)&amp;"_"&amp;$F$7&amp;"="&amp;VLOOKUP(B94,Instruções!$F$13:$J$17,4,0)&amp;"_"&amp;$G$7&amp;" ", "ON "&amp;VLOOKUP(B94,Instruções!$F$13:$J$17,4,0)&amp;"_"&amp;$F$7&amp;"="&amp;VLOOKUP(B94,Instruções!$F$13:$J$17,4,0)&amp;"_"&amp;$G$7&amp;" AND "&amp;VLOOKUP(B94,Instruções!$F$13:$J$17,5,0)&amp;"_"&amp;$F$7&amp;"="&amp;VLOOKUP(B94,Instruções!$F$13:$J$17,5,0)&amp;"_"&amp;$G$7&amp;" ")</f>
        <v xml:space="preserve">ON entty_id_as_is=entty_id_to_be </v>
      </c>
      <c r="K94" s="75" t="str">
        <f t="shared" si="10"/>
        <v xml:space="preserve">WHERE coalesce(cast(pd_ifrs9_12m_rd_as_is AS string),'')&lt;&gt;coalesce(cast(pd_ifrs9_12m_rd_to_be AS string),'') </v>
      </c>
      <c r="L94" s="75" t="str">
        <f t="shared" si="11"/>
        <v xml:space="preserve">SELECT count(*) AS NUM_REG_DIF FROM (SELECT entty_id as entty_id_, pd_ifrs9_12m_rd as pd_ifrs9_12m_rd_as_is FROM cd_loan_tapes_bce.lt003_entity WHERE ref_date='2024-09-30' AND nome_perimetro='Individual Corporativo' AND segmento='ESTR' AND ambito='PM' AND entidade='00100' ) A  Inner join (SELECT entty_id as entty_id_, pd_ifrs9_12m_rd as pd_ifrs9_12m_rd_to_be FROM bu_loantape_work.lt003_entity WHERE ref_date='2024-09-30' AND nome_perimetro='Individual Corporativo' AND segmento='ESTR' AND ambito='PM' AND entidade='00100' ) B ON entty_id_as_is=entty_id_to_be WHERE coalesce(cast(pd_ifrs9_12m_rd_as_is AS string),'')&lt;&gt;coalesce(cast(pd_ifrs9_12m_rd_to_be AS string),'') </v>
      </c>
      <c r="M94" s="75" t="s">
        <v>55</v>
      </c>
      <c r="N94" s="75" t="str">
        <f>"SELECT 'Validação de campos' as tipologia_teste, '"&amp;VLOOKUP(B94,Instruções!$F$13:$J$17,3,0)&amp;"' AS TABELA, '"&amp;E94&amp;"' AS CAMPO, '"&amp;Instruções!$D$15&amp;"' as ref_date, coalesce(NUM_REG_DIF, 0) AS NUM_REG_DIF FROM ("&amp;L94&amp;") A "</f>
        <v xml:space="preserve">SELECT 'Validação de campos' as tipologia_teste, 'lt003_entity' AS TABELA, 'pd_ifrs9_12m_rd' AS CAMPO, '2024-09-30' as ref_date, coalesce(NUM_REG_DIF, 0) AS NUM_REG_DIF FROM (SELECT count(*) AS NUM_REG_DIF FROM (SELECT entty_id as entty_id_, pd_ifrs9_12m_rd as pd_ifrs9_12m_rd_as_is FROM cd_loan_tapes_bce.lt003_entity WHERE ref_date='2024-09-30' AND nome_perimetro='Individual Corporativo' AND segmento='ESTR' AND ambito='PM' AND entidade='00100' ) A  Inner join (SELECT entty_id as entty_id_, pd_ifrs9_12m_rd as pd_ifrs9_12m_rd_to_be FROM bu_loantape_work.lt003_entity WHERE ref_date='2024-09-30' AND nome_perimetro='Individual Corporativo' AND segmento='ESTR' AND ambito='PM' AND entidade='00100' ) B ON entty_id_as_is=entty_id_to_be WHERE coalesce(cast(pd_ifrs9_12m_rd_as_is AS string),'')&lt;&gt;coalesce(cast(pd_ifrs9_12m_rd_to_be AS string),'') ) A </v>
      </c>
      <c r="O94" s="76" t="str">
        <f t="shared" si="12"/>
        <v>SELECT 'Validação de campos' as tipologia_teste, 'lt003_entity' AS TABELA, 'pd_ifrs9_12m_rd' AS CAMPO, '2024-09-30' as ref_date, coalesce(NUM_REG_DIF, 0) AS NUM_REG_DIF FROM (SELECT count(*) AS NUM_REG_DIF FROM (SELECT entty_id as entty_id_, pd_ifrs9_12m_rd as pd_ifrs9_12m_rd_as_is FROM cd_loan_tapes_bce.lt003_entity WHERE ref_date='2024-09-30' AND nome_perimetro='Individual Corporativo' AND segmento='ESTR' AND ambito='PM' AND entidade='00100' ) A  Inner join (SELECT entty_id as entty_id_, pd_ifrs9_12m_rd as pd_ifrs9_12m_rd_to_be FROM bu_loantape_work.lt003_entity WHERE ref_date='2024-09-30' AND nome_perimetro='Individual Corporativo' AND segmento='ESTR' AND ambito='PM' AND entidade='00100' ) B ON entty_id_as_is=entty_id_to_be WHERE coalesce(cast(pd_ifrs9_12m_rd_as_is AS string),'')&lt;&gt;coalesce(cast(pd_ifrs9_12m_rd_to_be AS string),'') ) A Union all</v>
      </c>
      <c r="P94" s="75">
        <f t="shared" si="13"/>
        <v>35</v>
      </c>
    </row>
    <row r="95" spans="2:16" s="63" customFormat="1" ht="18" customHeight="1">
      <c r="B95" s="75" t="s">
        <v>11</v>
      </c>
      <c r="C95" s="75" t="str">
        <f>_xlfn.CONCAT(Instruções!$D$13,".",VLOOKUP(B95,Instruções!$F$12:$H$17,2,0))</f>
        <v>cd_loan_tapes_bce.lt003_entity</v>
      </c>
      <c r="D95" s="75" t="str">
        <f>_xlfn.CONCAT(Instruções!$D$14,".",VLOOKUP(B95,Instruções!$F$12:$H$17,3,0))</f>
        <v>bu_loantape_work.lt003_entity</v>
      </c>
      <c r="E95" s="75" t="s">
        <v>140</v>
      </c>
      <c r="F95" s="75" t="str">
        <f t="shared" si="14"/>
        <v>pd_ifrs9_12m_rd_t1_as_is</v>
      </c>
      <c r="G95" s="75" t="str">
        <f t="shared" si="15"/>
        <v>pd_ifrs9_12m_rd_t1_to_be</v>
      </c>
      <c r="H95" s="75" t="str">
        <f>IF(VLOOKUP(B95,Instruções!$F$13:$J$17,5,0)="",
"(SELECT "&amp;VLOOKUP(B95,Instruções!$F$13:$J$17,4,0)&amp;" as "&amp;VLOOKUP(B95,Instruções!$F$13:$J$17,4,0)&amp;"_"&amp;$F$2&amp;", "&amp;E95&amp;" as "&amp;F95&amp;" FROM "&amp;C95&amp;" WHERE "&amp;Instruções!$D$20&amp;") A ",
"(SELECT "&amp;VLOOKUP(B95,Instruções!$F$13:$J$17,4,0)&amp;" as "&amp;VLOOKUP(B95,Instruções!$F$13:$J$17,4,0)&amp;"_"&amp;$F$2&amp;", "&amp;VLOOKUP(B95,Instruções!$F$13:$J$17,5,0)&amp;" as "&amp;VLOOKUP(B95,Instruções!$F$13:$J$17,5,0)&amp;"_"&amp;$F$2&amp;","&amp;E95&amp;" as "&amp;F95&amp;" FROM "&amp;C95&amp;" WHERE "&amp;Instruções!$D$20&amp;") A ")</f>
        <v xml:space="preserve">(SELECT entty_id as entty_id_, pd_ifrs9_12m_rd_t1 as pd_ifrs9_12m_rd_t1_as_is FROM cd_loan_tapes_bce.lt003_entity WHERE ref_date='2024-09-30' AND nome_perimetro='Individual Corporativo' AND segmento='ESTR' AND ambito='PM' AND entidade='00100' ) A </v>
      </c>
      <c r="I95" s="75" t="str">
        <f>IF(VLOOKUP(B95,Instruções!$F$13:$J$17,5,0)="",
"(SELECT "&amp;VLOOKUP(B95,Instruções!$F$13:$J$17,4,0)&amp;" as "&amp;VLOOKUP(B95,Instruções!$F$13:$J$17,4,0)&amp;"_"&amp;$G$2&amp;", "&amp;E95&amp;" as "&amp;G95&amp;" FROM "&amp;D95&amp;" WHERE "&amp;Instruções!$D$21&amp;") B ",
"(SELECT "&amp;VLOOKUP(B95,Instruções!$F$13:$J$17,4,0)&amp;" as "&amp;VLOOKUP(B95,Instruções!$F$13:$J$17,4,0)&amp;"_"&amp;$G$2&amp;", "&amp;VLOOKUP(B95,Instruções!$F$13:$J$17,5,0)&amp;" as "&amp;VLOOKUP(B95,Instruções!$F$13:$J$17,5,0)&amp;"_"&amp;$G$2&amp;","&amp;E95&amp;" as "&amp;G95&amp;" FROM "&amp;D95&amp;" WHERE "&amp;Instruções!$D$21&amp;") B ")</f>
        <v xml:space="preserve">(SELECT entty_id as entty_id_, pd_ifrs9_12m_rd_t1 as pd_ifrs9_12m_rd_t1_to_be FROM bu_loantape_work.lt003_entity WHERE ref_date='2024-09-30' AND nome_perimetro='Individual Corporativo' AND segmento='ESTR' AND ambito='PM' AND entidade='00100' ) B </v>
      </c>
      <c r="J95" s="75" t="str">
        <f>+IF(VLOOKUP(B95,Instruções!$F$13:$J$17,5,0)="", "ON "&amp;VLOOKUP(B95,Instruções!$F$13:$J$17,4,0)&amp;"_"&amp;$F$7&amp;"="&amp;VLOOKUP(B95,Instruções!$F$13:$J$17,4,0)&amp;"_"&amp;$G$7&amp;" ", "ON "&amp;VLOOKUP(B95,Instruções!$F$13:$J$17,4,0)&amp;"_"&amp;$F$7&amp;"="&amp;VLOOKUP(B95,Instruções!$F$13:$J$17,4,0)&amp;"_"&amp;$G$7&amp;" AND "&amp;VLOOKUP(B95,Instruções!$F$13:$J$17,5,0)&amp;"_"&amp;$F$7&amp;"="&amp;VLOOKUP(B95,Instruções!$F$13:$J$17,5,0)&amp;"_"&amp;$G$7&amp;" ")</f>
        <v xml:space="preserve">ON entty_id_as_is=entty_id_to_be </v>
      </c>
      <c r="K95" s="75" t="str">
        <f t="shared" si="10"/>
        <v xml:space="preserve">WHERE coalesce(cast(pd_ifrs9_12m_rd_t1_as_is AS string),'')&lt;&gt;coalesce(cast(pd_ifrs9_12m_rd_t1_to_be AS string),'') </v>
      </c>
      <c r="L95" s="75" t="str">
        <f t="shared" si="11"/>
        <v xml:space="preserve">SELECT count(*) AS NUM_REG_DIF FROM (SELECT entty_id as entty_id_, pd_ifrs9_12m_rd_t1 as pd_ifrs9_12m_rd_t1_as_is FROM cd_loan_tapes_bce.lt003_entity WHERE ref_date='2024-09-30' AND nome_perimetro='Individual Corporativo' AND segmento='ESTR' AND ambito='PM' AND entidade='00100' ) A  Inner join (SELECT entty_id as entty_id_, pd_ifrs9_12m_rd_t1 as pd_ifrs9_12m_rd_t1_to_be FROM bu_loantape_work.lt003_entity WHERE ref_date='2024-09-30' AND nome_perimetro='Individual Corporativo' AND segmento='ESTR' AND ambito='PM' AND entidade='00100' ) B ON entty_id_as_is=entty_id_to_be WHERE coalesce(cast(pd_ifrs9_12m_rd_t1_as_is AS string),'')&lt;&gt;coalesce(cast(pd_ifrs9_12m_rd_t1_to_be AS string),'') </v>
      </c>
      <c r="M95" s="75" t="s">
        <v>55</v>
      </c>
      <c r="N95" s="75" t="str">
        <f>"SELECT 'Validação de campos' as tipologia_teste, '"&amp;VLOOKUP(B95,Instruções!$F$13:$J$17,3,0)&amp;"' AS TABELA, '"&amp;E95&amp;"' AS CAMPO, '"&amp;Instruções!$D$15&amp;"' as ref_date, coalesce(NUM_REG_DIF, 0) AS NUM_REG_DIF FROM ("&amp;L95&amp;") A "</f>
        <v xml:space="preserve">SELECT 'Validação de campos' as tipologia_teste, 'lt003_entity' AS TABELA, 'pd_ifrs9_12m_rd_t1' AS CAMPO, '2024-09-30' as ref_date, coalesce(NUM_REG_DIF, 0) AS NUM_REG_DIF FROM (SELECT count(*) AS NUM_REG_DIF FROM (SELECT entty_id as entty_id_, pd_ifrs9_12m_rd_t1 as pd_ifrs9_12m_rd_t1_as_is FROM cd_loan_tapes_bce.lt003_entity WHERE ref_date='2024-09-30' AND nome_perimetro='Individual Corporativo' AND segmento='ESTR' AND ambito='PM' AND entidade='00100' ) A  Inner join (SELECT entty_id as entty_id_, pd_ifrs9_12m_rd_t1 as pd_ifrs9_12m_rd_t1_to_be FROM bu_loantape_work.lt003_entity WHERE ref_date='2024-09-30' AND nome_perimetro='Individual Corporativo' AND segmento='ESTR' AND ambito='PM' AND entidade='00100' ) B ON entty_id_as_is=entty_id_to_be WHERE coalesce(cast(pd_ifrs9_12m_rd_t1_as_is AS string),'')&lt;&gt;coalesce(cast(pd_ifrs9_12m_rd_t1_to_be AS string),'') ) A </v>
      </c>
      <c r="O95" s="76" t="str">
        <f t="shared" si="12"/>
        <v>SELECT 'Validação de campos' as tipologia_teste, 'lt003_entity' AS TABELA, 'pd_ifrs9_12m_rd_t1' AS CAMPO, '2024-09-30' as ref_date, coalesce(NUM_REG_DIF, 0) AS NUM_REG_DIF FROM (SELECT count(*) AS NUM_REG_DIF FROM (SELECT entty_id as entty_id_, pd_ifrs9_12m_rd_t1 as pd_ifrs9_12m_rd_t1_as_is FROM cd_loan_tapes_bce.lt003_entity WHERE ref_date='2024-09-30' AND nome_perimetro='Individual Corporativo' AND segmento='ESTR' AND ambito='PM' AND entidade='00100' ) A  Inner join (SELECT entty_id as entty_id_, pd_ifrs9_12m_rd_t1 as pd_ifrs9_12m_rd_t1_to_be FROM bu_loantape_work.lt003_entity WHERE ref_date='2024-09-30' AND nome_perimetro='Individual Corporativo' AND segmento='ESTR' AND ambito='PM' AND entidade='00100' ) B ON entty_id_as_is=entty_id_to_be WHERE coalesce(cast(pd_ifrs9_12m_rd_t1_as_is AS string),'')&lt;&gt;coalesce(cast(pd_ifrs9_12m_rd_t1_to_be AS string),'') ) A Union all</v>
      </c>
      <c r="P95" s="75">
        <f t="shared" si="13"/>
        <v>36</v>
      </c>
    </row>
    <row r="96" spans="2:16" s="63" customFormat="1" ht="18" customHeight="1">
      <c r="B96" s="75" t="s">
        <v>11</v>
      </c>
      <c r="C96" s="75" t="str">
        <f>_xlfn.CONCAT(Instruções!$D$13,".",VLOOKUP(B96,Instruções!$F$12:$H$17,2,0))</f>
        <v>cd_loan_tapes_bce.lt003_entity</v>
      </c>
      <c r="D96" s="75" t="str">
        <f>_xlfn.CONCAT(Instruções!$D$14,".",VLOOKUP(B96,Instruções!$F$12:$H$17,3,0))</f>
        <v>bu_loantape_work.lt003_entity</v>
      </c>
      <c r="E96" s="75" t="s">
        <v>141</v>
      </c>
      <c r="F96" s="75" t="str">
        <f t="shared" si="14"/>
        <v>prfrmng_stts_le_as_is</v>
      </c>
      <c r="G96" s="75" t="str">
        <f t="shared" si="15"/>
        <v>prfrmng_stts_le_to_be</v>
      </c>
      <c r="H96" s="75" t="str">
        <f>IF(VLOOKUP(B96,Instruções!$F$13:$J$17,5,0)="",
"(SELECT "&amp;VLOOKUP(B96,Instruções!$F$13:$J$17,4,0)&amp;" as "&amp;VLOOKUP(B96,Instruções!$F$13:$J$17,4,0)&amp;"_"&amp;$F$2&amp;", "&amp;E96&amp;" as "&amp;F96&amp;" FROM "&amp;C96&amp;" WHERE "&amp;Instruções!$D$20&amp;") A ",
"(SELECT "&amp;VLOOKUP(B96,Instruções!$F$13:$J$17,4,0)&amp;" as "&amp;VLOOKUP(B96,Instruções!$F$13:$J$17,4,0)&amp;"_"&amp;$F$2&amp;", "&amp;VLOOKUP(B96,Instruções!$F$13:$J$17,5,0)&amp;" as "&amp;VLOOKUP(B96,Instruções!$F$13:$J$17,5,0)&amp;"_"&amp;$F$2&amp;","&amp;E96&amp;" as "&amp;F96&amp;" FROM "&amp;C96&amp;" WHERE "&amp;Instruções!$D$20&amp;") A ")</f>
        <v xml:space="preserve">(SELECT entty_id as entty_id_, prfrmng_stts_le as prfrmng_stts_le_as_is FROM cd_loan_tapes_bce.lt003_entity WHERE ref_date='2024-09-30' AND nome_perimetro='Individual Corporativo' AND segmento='ESTR' AND ambito='PM' AND entidade='00100' ) A </v>
      </c>
      <c r="I96" s="75" t="str">
        <f>IF(VLOOKUP(B96,Instruções!$F$13:$J$17,5,0)="",
"(SELECT "&amp;VLOOKUP(B96,Instruções!$F$13:$J$17,4,0)&amp;" as "&amp;VLOOKUP(B96,Instruções!$F$13:$J$17,4,0)&amp;"_"&amp;$G$2&amp;", "&amp;E96&amp;" as "&amp;G96&amp;" FROM "&amp;D96&amp;" WHERE "&amp;Instruções!$D$21&amp;") B ",
"(SELECT "&amp;VLOOKUP(B96,Instruções!$F$13:$J$17,4,0)&amp;" as "&amp;VLOOKUP(B96,Instruções!$F$13:$J$17,4,0)&amp;"_"&amp;$G$2&amp;", "&amp;VLOOKUP(B96,Instruções!$F$13:$J$17,5,0)&amp;" as "&amp;VLOOKUP(B96,Instruções!$F$13:$J$17,5,0)&amp;"_"&amp;$G$2&amp;","&amp;E96&amp;" as "&amp;G96&amp;" FROM "&amp;D96&amp;" WHERE "&amp;Instruções!$D$21&amp;") B ")</f>
        <v xml:space="preserve">(SELECT entty_id as entty_id_, prfrmng_stts_le as prfrmng_stts_le_to_be FROM bu_loantape_work.lt003_entity WHERE ref_date='2024-09-30' AND nome_perimetro='Individual Corporativo' AND segmento='ESTR' AND ambito='PM' AND entidade='00100' ) B </v>
      </c>
      <c r="J96" s="75" t="str">
        <f>+IF(VLOOKUP(B96,Instruções!$F$13:$J$17,5,0)="", "ON "&amp;VLOOKUP(B96,Instruções!$F$13:$J$17,4,0)&amp;"_"&amp;$F$7&amp;"="&amp;VLOOKUP(B96,Instruções!$F$13:$J$17,4,0)&amp;"_"&amp;$G$7&amp;" ", "ON "&amp;VLOOKUP(B96,Instruções!$F$13:$J$17,4,0)&amp;"_"&amp;$F$7&amp;"="&amp;VLOOKUP(B96,Instruções!$F$13:$J$17,4,0)&amp;"_"&amp;$G$7&amp;" AND "&amp;VLOOKUP(B96,Instruções!$F$13:$J$17,5,0)&amp;"_"&amp;$F$7&amp;"="&amp;VLOOKUP(B96,Instruções!$F$13:$J$17,5,0)&amp;"_"&amp;$G$7&amp;" ")</f>
        <v xml:space="preserve">ON entty_id_as_is=entty_id_to_be </v>
      </c>
      <c r="K96" s="75" t="str">
        <f t="shared" si="10"/>
        <v xml:space="preserve">WHERE coalesce(cast(prfrmng_stts_le_as_is AS string),'')&lt;&gt;coalesce(cast(prfrmng_stts_le_to_be AS string),'') </v>
      </c>
      <c r="L96" s="75" t="str">
        <f t="shared" si="11"/>
        <v xml:space="preserve">SELECT count(*) AS NUM_REG_DIF FROM (SELECT entty_id as entty_id_, prfrmng_stts_le as prfrmng_stts_le_as_is FROM cd_loan_tapes_bce.lt003_entity WHERE ref_date='2024-09-30' AND nome_perimetro='Individual Corporativo' AND segmento='ESTR' AND ambito='PM' AND entidade='00100' ) A  Inner join (SELECT entty_id as entty_id_, prfrmng_stts_le as prfrmng_stts_le_to_be FROM bu_loantape_work.lt003_entity WHERE ref_date='2024-09-30' AND nome_perimetro='Individual Corporativo' AND segmento='ESTR' AND ambito='PM' AND entidade='00100' ) B ON entty_id_as_is=entty_id_to_be WHERE coalesce(cast(prfrmng_stts_le_as_is AS string),'')&lt;&gt;coalesce(cast(prfrmng_stts_le_to_be AS string),'') </v>
      </c>
      <c r="M96" s="75" t="s">
        <v>55</v>
      </c>
      <c r="N96" s="75" t="str">
        <f>"SELECT 'Validação de campos' as tipologia_teste, '"&amp;VLOOKUP(B96,Instruções!$F$13:$J$17,3,0)&amp;"' AS TABELA, '"&amp;E96&amp;"' AS CAMPO, '"&amp;Instruções!$D$15&amp;"' as ref_date, coalesce(NUM_REG_DIF, 0) AS NUM_REG_DIF FROM ("&amp;L96&amp;") A "</f>
        <v xml:space="preserve">SELECT 'Validação de campos' as tipologia_teste, 'lt003_entity' AS TABELA, 'prfrmng_stts_le' AS CAMPO, '2024-09-30' as ref_date, coalesce(NUM_REG_DIF, 0) AS NUM_REG_DIF FROM (SELECT count(*) AS NUM_REG_DIF FROM (SELECT entty_id as entty_id_, prfrmng_stts_le as prfrmng_stts_le_as_is FROM cd_loan_tapes_bce.lt003_entity WHERE ref_date='2024-09-30' AND nome_perimetro='Individual Corporativo' AND segmento='ESTR' AND ambito='PM' AND entidade='00100' ) A  Inner join (SELECT entty_id as entty_id_, prfrmng_stts_le as prfrmng_stts_le_to_be FROM bu_loantape_work.lt003_entity WHERE ref_date='2024-09-30' AND nome_perimetro='Individual Corporativo' AND segmento='ESTR' AND ambito='PM' AND entidade='00100' ) B ON entty_id_as_is=entty_id_to_be WHERE coalesce(cast(prfrmng_stts_le_as_is AS string),'')&lt;&gt;coalesce(cast(prfrmng_stts_le_to_be AS string),'') ) A </v>
      </c>
      <c r="O96" s="76" t="str">
        <f t="shared" si="12"/>
        <v>SELECT 'Validação de campos' as tipologia_teste, 'lt003_entity' AS TABELA, 'prfrmng_stts_le' AS CAMPO, '2024-09-30' as ref_date, coalesce(NUM_REG_DIF, 0) AS NUM_REG_DIF FROM (SELECT count(*) AS NUM_REG_DIF FROM (SELECT entty_id as entty_id_, prfrmng_stts_le as prfrmng_stts_le_as_is FROM cd_loan_tapes_bce.lt003_entity WHERE ref_date='2024-09-30' AND nome_perimetro='Individual Corporativo' AND segmento='ESTR' AND ambito='PM' AND entidade='00100' ) A  Inner join (SELECT entty_id as entty_id_, prfrmng_stts_le as prfrmng_stts_le_to_be FROM bu_loantape_work.lt003_entity WHERE ref_date='2024-09-30' AND nome_perimetro='Individual Corporativo' AND segmento='ESTR' AND ambito='PM' AND entidade='00100' ) B ON entty_id_as_is=entty_id_to_be WHERE coalesce(cast(prfrmng_stts_le_as_is AS string),'')&lt;&gt;coalesce(cast(prfrmng_stts_le_to_be AS string),'') ) A Union all</v>
      </c>
      <c r="P96" s="75">
        <f t="shared" si="13"/>
        <v>37</v>
      </c>
    </row>
    <row r="97" spans="2:16" s="63" customFormat="1" ht="18" customHeight="1">
      <c r="B97" s="75" t="s">
        <v>11</v>
      </c>
      <c r="C97" s="75" t="str">
        <f>_xlfn.CONCAT(Instruções!$D$13,".",VLOOKUP(B97,Instruções!$F$12:$H$17,2,0))</f>
        <v>cd_loan_tapes_bce.lt003_entity</v>
      </c>
      <c r="D97" s="75" t="str">
        <f>_xlfn.CONCAT(Instruções!$D$14,".",VLOOKUP(B97,Instruções!$F$12:$H$17,3,0))</f>
        <v>bu_loantape_work.lt003_entity</v>
      </c>
      <c r="E97" s="75" t="s">
        <v>142</v>
      </c>
      <c r="F97" s="75" t="str">
        <f t="shared" si="14"/>
        <v>prsn_typ_as_is</v>
      </c>
      <c r="G97" s="75" t="str">
        <f t="shared" si="15"/>
        <v>prsn_typ_to_be</v>
      </c>
      <c r="H97" s="75" t="str">
        <f>IF(VLOOKUP(B97,Instruções!$F$13:$J$17,5,0)="",
"(SELECT "&amp;VLOOKUP(B97,Instruções!$F$13:$J$17,4,0)&amp;" as "&amp;VLOOKUP(B97,Instruções!$F$13:$J$17,4,0)&amp;"_"&amp;$F$2&amp;", "&amp;E97&amp;" as "&amp;F97&amp;" FROM "&amp;C97&amp;" WHERE "&amp;Instruções!$D$20&amp;") A ",
"(SELECT "&amp;VLOOKUP(B97,Instruções!$F$13:$J$17,4,0)&amp;" as "&amp;VLOOKUP(B97,Instruções!$F$13:$J$17,4,0)&amp;"_"&amp;$F$2&amp;", "&amp;VLOOKUP(B97,Instruções!$F$13:$J$17,5,0)&amp;" as "&amp;VLOOKUP(B97,Instruções!$F$13:$J$17,5,0)&amp;"_"&amp;$F$2&amp;","&amp;E97&amp;" as "&amp;F97&amp;" FROM "&amp;C97&amp;" WHERE "&amp;Instruções!$D$20&amp;") A ")</f>
        <v xml:space="preserve">(SELECT entty_id as entty_id_, prsn_typ as prsn_typ_as_is FROM cd_loan_tapes_bce.lt003_entity WHERE ref_date='2024-09-30' AND nome_perimetro='Individual Corporativo' AND segmento='ESTR' AND ambito='PM' AND entidade='00100' ) A </v>
      </c>
      <c r="I97" s="75" t="str">
        <f>IF(VLOOKUP(B97,Instruções!$F$13:$J$17,5,0)="",
"(SELECT "&amp;VLOOKUP(B97,Instruções!$F$13:$J$17,4,0)&amp;" as "&amp;VLOOKUP(B97,Instruções!$F$13:$J$17,4,0)&amp;"_"&amp;$G$2&amp;", "&amp;E97&amp;" as "&amp;G97&amp;" FROM "&amp;D97&amp;" WHERE "&amp;Instruções!$D$21&amp;") B ",
"(SELECT "&amp;VLOOKUP(B97,Instruções!$F$13:$J$17,4,0)&amp;" as "&amp;VLOOKUP(B97,Instruções!$F$13:$J$17,4,0)&amp;"_"&amp;$G$2&amp;", "&amp;VLOOKUP(B97,Instruções!$F$13:$J$17,5,0)&amp;" as "&amp;VLOOKUP(B97,Instruções!$F$13:$J$17,5,0)&amp;"_"&amp;$G$2&amp;","&amp;E97&amp;" as "&amp;G97&amp;" FROM "&amp;D97&amp;" WHERE "&amp;Instruções!$D$21&amp;") B ")</f>
        <v xml:space="preserve">(SELECT entty_id as entty_id_, prsn_typ as prsn_typ_to_be FROM bu_loantape_work.lt003_entity WHERE ref_date='2024-09-30' AND nome_perimetro='Individual Corporativo' AND segmento='ESTR' AND ambito='PM' AND entidade='00100' ) B </v>
      </c>
      <c r="J97" s="75" t="str">
        <f>+IF(VLOOKUP(B97,Instruções!$F$13:$J$17,5,0)="", "ON "&amp;VLOOKUP(B97,Instruções!$F$13:$J$17,4,0)&amp;"_"&amp;$F$7&amp;"="&amp;VLOOKUP(B97,Instruções!$F$13:$J$17,4,0)&amp;"_"&amp;$G$7&amp;" ", "ON "&amp;VLOOKUP(B97,Instruções!$F$13:$J$17,4,0)&amp;"_"&amp;$F$7&amp;"="&amp;VLOOKUP(B97,Instruções!$F$13:$J$17,4,0)&amp;"_"&amp;$G$7&amp;" AND "&amp;VLOOKUP(B97,Instruções!$F$13:$J$17,5,0)&amp;"_"&amp;$F$7&amp;"="&amp;VLOOKUP(B97,Instruções!$F$13:$J$17,5,0)&amp;"_"&amp;$G$7&amp;" ")</f>
        <v xml:space="preserve">ON entty_id_as_is=entty_id_to_be </v>
      </c>
      <c r="K97" s="75" t="str">
        <f t="shared" si="10"/>
        <v xml:space="preserve">WHERE coalesce(cast(prsn_typ_as_is AS string),'')&lt;&gt;coalesce(cast(prsn_typ_to_be AS string),'') </v>
      </c>
      <c r="L97" s="75" t="str">
        <f t="shared" si="11"/>
        <v xml:space="preserve">SELECT count(*) AS NUM_REG_DIF FROM (SELECT entty_id as entty_id_, prsn_typ as prsn_typ_as_is FROM cd_loan_tapes_bce.lt003_entity WHERE ref_date='2024-09-30' AND nome_perimetro='Individual Corporativo' AND segmento='ESTR' AND ambito='PM' AND entidade='00100' ) A  Inner join (SELECT entty_id as entty_id_, prsn_typ as prsn_typ_to_be FROM bu_loantape_work.lt003_entity WHERE ref_date='2024-09-30' AND nome_perimetro='Individual Corporativo' AND segmento='ESTR' AND ambito='PM' AND entidade='00100' ) B ON entty_id_as_is=entty_id_to_be WHERE coalesce(cast(prsn_typ_as_is AS string),'')&lt;&gt;coalesce(cast(prsn_typ_to_be AS string),'') </v>
      </c>
      <c r="M97" s="75" t="s">
        <v>55</v>
      </c>
      <c r="N97" s="75" t="str">
        <f>"SELECT 'Validação de campos' as tipologia_teste, '"&amp;VLOOKUP(B97,Instruções!$F$13:$J$17,3,0)&amp;"' AS TABELA, '"&amp;E97&amp;"' AS CAMPO, '"&amp;Instruções!$D$15&amp;"' as ref_date, coalesce(NUM_REG_DIF, 0) AS NUM_REG_DIF FROM ("&amp;L97&amp;") A "</f>
        <v xml:space="preserve">SELECT 'Validação de campos' as tipologia_teste, 'lt003_entity' AS TABELA, 'prsn_typ' AS CAMPO, '2024-09-30' as ref_date, coalesce(NUM_REG_DIF, 0) AS NUM_REG_DIF FROM (SELECT count(*) AS NUM_REG_DIF FROM (SELECT entty_id as entty_id_, prsn_typ as prsn_typ_as_is FROM cd_loan_tapes_bce.lt003_entity WHERE ref_date='2024-09-30' AND nome_perimetro='Individual Corporativo' AND segmento='ESTR' AND ambito='PM' AND entidade='00100' ) A  Inner join (SELECT entty_id as entty_id_, prsn_typ as prsn_typ_to_be FROM bu_loantape_work.lt003_entity WHERE ref_date='2024-09-30' AND nome_perimetro='Individual Corporativo' AND segmento='ESTR' AND ambito='PM' AND entidade='00100' ) B ON entty_id_as_is=entty_id_to_be WHERE coalesce(cast(prsn_typ_as_is AS string),'')&lt;&gt;coalesce(cast(prsn_typ_to_be AS string),'') ) A </v>
      </c>
      <c r="O97" s="76" t="str">
        <f t="shared" si="12"/>
        <v>SELECT 'Validação de campos' as tipologia_teste, 'lt003_entity' AS TABELA, 'prsn_typ' AS CAMPO, '2024-09-30' as ref_date, coalesce(NUM_REG_DIF, 0) AS NUM_REG_DIF FROM (SELECT count(*) AS NUM_REG_DIF FROM (SELECT entty_id as entty_id_, prsn_typ as prsn_typ_as_is FROM cd_loan_tapes_bce.lt003_entity WHERE ref_date='2024-09-30' AND nome_perimetro='Individual Corporativo' AND segmento='ESTR' AND ambito='PM' AND entidade='00100' ) A  Inner join (SELECT entty_id as entty_id_, prsn_typ as prsn_typ_to_be FROM bu_loantape_work.lt003_entity WHERE ref_date='2024-09-30' AND nome_perimetro='Individual Corporativo' AND segmento='ESTR' AND ambito='PM' AND entidade='00100' ) B ON entty_id_as_is=entty_id_to_be WHERE coalesce(cast(prsn_typ_as_is AS string),'')&lt;&gt;coalesce(cast(prsn_typ_to_be AS string),'') ) A Union all</v>
      </c>
      <c r="P97" s="75">
        <f t="shared" si="13"/>
        <v>38</v>
      </c>
    </row>
    <row r="98" spans="2:16" s="63" customFormat="1" ht="18" customHeight="1">
      <c r="B98" s="75" t="s">
        <v>11</v>
      </c>
      <c r="C98" s="75" t="str">
        <f>_xlfn.CONCAT(Instruções!$D$13,".",VLOOKUP(B98,Instruções!$F$12:$H$17,2,0))</f>
        <v>cd_loan_tapes_bce.lt003_entity</v>
      </c>
      <c r="D98" s="75" t="str">
        <f>_xlfn.CONCAT(Instruções!$D$14,".",VLOOKUP(B98,Instruções!$F$12:$H$17,3,0))</f>
        <v>bu_loantape_work.lt003_entity</v>
      </c>
      <c r="E98" s="75" t="s">
        <v>143</v>
      </c>
      <c r="F98" s="75" t="str">
        <f t="shared" si="14"/>
        <v>rorac_as_is</v>
      </c>
      <c r="G98" s="75" t="str">
        <f t="shared" si="15"/>
        <v>rorac_to_be</v>
      </c>
      <c r="H98" s="75" t="str">
        <f>IF(VLOOKUP(B98,Instruções!$F$13:$J$17,5,0)="",
"(SELECT "&amp;VLOOKUP(B98,Instruções!$F$13:$J$17,4,0)&amp;" as "&amp;VLOOKUP(B98,Instruções!$F$13:$J$17,4,0)&amp;"_"&amp;$F$2&amp;", "&amp;E98&amp;" as "&amp;F98&amp;" FROM "&amp;C98&amp;" WHERE "&amp;Instruções!$D$20&amp;") A ",
"(SELECT "&amp;VLOOKUP(B98,Instruções!$F$13:$J$17,4,0)&amp;" as "&amp;VLOOKUP(B98,Instruções!$F$13:$J$17,4,0)&amp;"_"&amp;$F$2&amp;", "&amp;VLOOKUP(B98,Instruções!$F$13:$J$17,5,0)&amp;" as "&amp;VLOOKUP(B98,Instruções!$F$13:$J$17,5,0)&amp;"_"&amp;$F$2&amp;","&amp;E98&amp;" as "&amp;F98&amp;" FROM "&amp;C98&amp;" WHERE "&amp;Instruções!$D$20&amp;") A ")</f>
        <v xml:space="preserve">(SELECT entty_id as entty_id_, rorac as rorac_as_is FROM cd_loan_tapes_bce.lt003_entity WHERE ref_date='2024-09-30' AND nome_perimetro='Individual Corporativo' AND segmento='ESTR' AND ambito='PM' AND entidade='00100' ) A </v>
      </c>
      <c r="I98" s="75" t="str">
        <f>IF(VLOOKUP(B98,Instruções!$F$13:$J$17,5,0)="",
"(SELECT "&amp;VLOOKUP(B98,Instruções!$F$13:$J$17,4,0)&amp;" as "&amp;VLOOKUP(B98,Instruções!$F$13:$J$17,4,0)&amp;"_"&amp;$G$2&amp;", "&amp;E98&amp;" as "&amp;G98&amp;" FROM "&amp;D98&amp;" WHERE "&amp;Instruções!$D$21&amp;") B ",
"(SELECT "&amp;VLOOKUP(B98,Instruções!$F$13:$J$17,4,0)&amp;" as "&amp;VLOOKUP(B98,Instruções!$F$13:$J$17,4,0)&amp;"_"&amp;$G$2&amp;", "&amp;VLOOKUP(B98,Instruções!$F$13:$J$17,5,0)&amp;" as "&amp;VLOOKUP(B98,Instruções!$F$13:$J$17,5,0)&amp;"_"&amp;$G$2&amp;","&amp;E98&amp;" as "&amp;G98&amp;" FROM "&amp;D98&amp;" WHERE "&amp;Instruções!$D$21&amp;") B ")</f>
        <v xml:space="preserve">(SELECT entty_id as entty_id_, rorac as rorac_to_be FROM bu_loantape_work.lt003_entity WHERE ref_date='2024-09-30' AND nome_perimetro='Individual Corporativo' AND segmento='ESTR' AND ambito='PM' AND entidade='00100' ) B </v>
      </c>
      <c r="J98" s="75" t="str">
        <f>+IF(VLOOKUP(B98,Instruções!$F$13:$J$17,5,0)="", "ON "&amp;VLOOKUP(B98,Instruções!$F$13:$J$17,4,0)&amp;"_"&amp;$F$7&amp;"="&amp;VLOOKUP(B98,Instruções!$F$13:$J$17,4,0)&amp;"_"&amp;$G$7&amp;" ", "ON "&amp;VLOOKUP(B98,Instruções!$F$13:$J$17,4,0)&amp;"_"&amp;$F$7&amp;"="&amp;VLOOKUP(B98,Instruções!$F$13:$J$17,4,0)&amp;"_"&amp;$G$7&amp;" AND "&amp;VLOOKUP(B98,Instruções!$F$13:$J$17,5,0)&amp;"_"&amp;$F$7&amp;"="&amp;VLOOKUP(B98,Instruções!$F$13:$J$17,5,0)&amp;"_"&amp;$G$7&amp;" ")</f>
        <v xml:space="preserve">ON entty_id_as_is=entty_id_to_be </v>
      </c>
      <c r="K98" s="75" t="str">
        <f t="shared" si="10"/>
        <v xml:space="preserve">WHERE coalesce(cast(rorac_as_is AS string),'')&lt;&gt;coalesce(cast(rorac_to_be AS string),'') </v>
      </c>
      <c r="L98" s="75" t="str">
        <f t="shared" si="11"/>
        <v xml:space="preserve">SELECT count(*) AS NUM_REG_DIF FROM (SELECT entty_id as entty_id_, rorac as rorac_as_is FROM cd_loan_tapes_bce.lt003_entity WHERE ref_date='2024-09-30' AND nome_perimetro='Individual Corporativo' AND segmento='ESTR' AND ambito='PM' AND entidade='00100' ) A  Inner join (SELECT entty_id as entty_id_, rorac as rorac_to_be FROM bu_loantape_work.lt003_entity WHERE ref_date='2024-09-30' AND nome_perimetro='Individual Corporativo' AND segmento='ESTR' AND ambito='PM' AND entidade='00100' ) B ON entty_id_as_is=entty_id_to_be WHERE coalesce(cast(rorac_as_is AS string),'')&lt;&gt;coalesce(cast(rorac_to_be AS string),'') </v>
      </c>
      <c r="M98" s="75" t="s">
        <v>55</v>
      </c>
      <c r="N98" s="75" t="str">
        <f>"SELECT 'Validação de campos' as tipologia_teste, '"&amp;VLOOKUP(B98,Instruções!$F$13:$J$17,3,0)&amp;"' AS TABELA, '"&amp;E98&amp;"' AS CAMPO, '"&amp;Instruções!$D$15&amp;"' as ref_date, coalesce(NUM_REG_DIF, 0) AS NUM_REG_DIF FROM ("&amp;L98&amp;") A "</f>
        <v xml:space="preserve">SELECT 'Validação de campos' as tipologia_teste, 'lt003_entity' AS TABELA, 'rorac' AS CAMPO, '2024-09-30' as ref_date, coalesce(NUM_REG_DIF, 0) AS NUM_REG_DIF FROM (SELECT count(*) AS NUM_REG_DIF FROM (SELECT entty_id as entty_id_, rorac as rorac_as_is FROM cd_loan_tapes_bce.lt003_entity WHERE ref_date='2024-09-30' AND nome_perimetro='Individual Corporativo' AND segmento='ESTR' AND ambito='PM' AND entidade='00100' ) A  Inner join (SELECT entty_id as entty_id_, rorac as rorac_to_be FROM bu_loantape_work.lt003_entity WHERE ref_date='2024-09-30' AND nome_perimetro='Individual Corporativo' AND segmento='ESTR' AND ambito='PM' AND entidade='00100' ) B ON entty_id_as_is=entty_id_to_be WHERE coalesce(cast(rorac_as_is AS string),'')&lt;&gt;coalesce(cast(rorac_to_be AS string),'') ) A </v>
      </c>
      <c r="O98" s="76" t="str">
        <f t="shared" si="12"/>
        <v>SELECT 'Validação de campos' as tipologia_teste, 'lt003_entity' AS TABELA, 'rorac' AS CAMPO, '2024-09-30' as ref_date, coalesce(NUM_REG_DIF, 0) AS NUM_REG_DIF FROM (SELECT count(*) AS NUM_REG_DIF FROM (SELECT entty_id as entty_id_, rorac as rorac_as_is FROM cd_loan_tapes_bce.lt003_entity WHERE ref_date='2024-09-30' AND nome_perimetro='Individual Corporativo' AND segmento='ESTR' AND ambito='PM' AND entidade='00100' ) A  Inner join (SELECT entty_id as entty_id_, rorac as rorac_to_be FROM bu_loantape_work.lt003_entity WHERE ref_date='2024-09-30' AND nome_perimetro='Individual Corporativo' AND segmento='ESTR' AND ambito='PM' AND entidade='00100' ) B ON entty_id_as_is=entty_id_to_be WHERE coalesce(cast(rorac_as_is AS string),'')&lt;&gt;coalesce(cast(rorac_to_be AS string),'') ) A Union all</v>
      </c>
      <c r="P98" s="75">
        <f t="shared" si="13"/>
        <v>39</v>
      </c>
    </row>
    <row r="99" spans="2:16" s="63" customFormat="1" ht="18" customHeight="1">
      <c r="B99" s="75" t="s">
        <v>11</v>
      </c>
      <c r="C99" s="75" t="str">
        <f>_xlfn.CONCAT(Instruções!$D$13,".",VLOOKUP(B99,Instruções!$F$12:$H$17,2,0))</f>
        <v>cd_loan_tapes_bce.lt003_entity</v>
      </c>
      <c r="D99" s="75" t="str">
        <f>_xlfn.CONCAT(Instruções!$D$14,".",VLOOKUP(B99,Instruções!$F$12:$H$17,3,0))</f>
        <v>bu_loantape_work.lt003_entity</v>
      </c>
      <c r="E99" s="75" t="s">
        <v>144</v>
      </c>
      <c r="F99" s="75" t="str">
        <f t="shared" si="14"/>
        <v>rorwa_as_is</v>
      </c>
      <c r="G99" s="75" t="str">
        <f t="shared" si="15"/>
        <v>rorwa_to_be</v>
      </c>
      <c r="H99" s="75" t="str">
        <f>IF(VLOOKUP(B99,Instruções!$F$13:$J$17,5,0)="",
"(SELECT "&amp;VLOOKUP(B99,Instruções!$F$13:$J$17,4,0)&amp;" as "&amp;VLOOKUP(B99,Instruções!$F$13:$J$17,4,0)&amp;"_"&amp;$F$2&amp;", "&amp;E99&amp;" as "&amp;F99&amp;" FROM "&amp;C99&amp;" WHERE "&amp;Instruções!$D$20&amp;") A ",
"(SELECT "&amp;VLOOKUP(B99,Instruções!$F$13:$J$17,4,0)&amp;" as "&amp;VLOOKUP(B99,Instruções!$F$13:$J$17,4,0)&amp;"_"&amp;$F$2&amp;", "&amp;VLOOKUP(B99,Instruções!$F$13:$J$17,5,0)&amp;" as "&amp;VLOOKUP(B99,Instruções!$F$13:$J$17,5,0)&amp;"_"&amp;$F$2&amp;","&amp;E99&amp;" as "&amp;F99&amp;" FROM "&amp;C99&amp;" WHERE "&amp;Instruções!$D$20&amp;") A ")</f>
        <v xml:space="preserve">(SELECT entty_id as entty_id_, rorwa as rorwa_as_is FROM cd_loan_tapes_bce.lt003_entity WHERE ref_date='2024-09-30' AND nome_perimetro='Individual Corporativo' AND segmento='ESTR' AND ambito='PM' AND entidade='00100' ) A </v>
      </c>
      <c r="I99" s="75" t="str">
        <f>IF(VLOOKUP(B99,Instruções!$F$13:$J$17,5,0)="",
"(SELECT "&amp;VLOOKUP(B99,Instruções!$F$13:$J$17,4,0)&amp;" as "&amp;VLOOKUP(B99,Instruções!$F$13:$J$17,4,0)&amp;"_"&amp;$G$2&amp;", "&amp;E99&amp;" as "&amp;G99&amp;" FROM "&amp;D99&amp;" WHERE "&amp;Instruções!$D$21&amp;") B ",
"(SELECT "&amp;VLOOKUP(B99,Instruções!$F$13:$J$17,4,0)&amp;" as "&amp;VLOOKUP(B99,Instruções!$F$13:$J$17,4,0)&amp;"_"&amp;$G$2&amp;", "&amp;VLOOKUP(B99,Instruções!$F$13:$J$17,5,0)&amp;" as "&amp;VLOOKUP(B99,Instruções!$F$13:$J$17,5,0)&amp;"_"&amp;$G$2&amp;","&amp;E99&amp;" as "&amp;G99&amp;" FROM "&amp;D99&amp;" WHERE "&amp;Instruções!$D$21&amp;") B ")</f>
        <v xml:space="preserve">(SELECT entty_id as entty_id_, rorwa as rorwa_to_be FROM bu_loantape_work.lt003_entity WHERE ref_date='2024-09-30' AND nome_perimetro='Individual Corporativo' AND segmento='ESTR' AND ambito='PM' AND entidade='00100' ) B </v>
      </c>
      <c r="J99" s="75" t="str">
        <f>+IF(VLOOKUP(B99,Instruções!$F$13:$J$17,5,0)="", "ON "&amp;VLOOKUP(B99,Instruções!$F$13:$J$17,4,0)&amp;"_"&amp;$F$7&amp;"="&amp;VLOOKUP(B99,Instruções!$F$13:$J$17,4,0)&amp;"_"&amp;$G$7&amp;" ", "ON "&amp;VLOOKUP(B99,Instruções!$F$13:$J$17,4,0)&amp;"_"&amp;$F$7&amp;"="&amp;VLOOKUP(B99,Instruções!$F$13:$J$17,4,0)&amp;"_"&amp;$G$7&amp;" AND "&amp;VLOOKUP(B99,Instruções!$F$13:$J$17,5,0)&amp;"_"&amp;$F$7&amp;"="&amp;VLOOKUP(B99,Instruções!$F$13:$J$17,5,0)&amp;"_"&amp;$G$7&amp;" ")</f>
        <v xml:space="preserve">ON entty_id_as_is=entty_id_to_be </v>
      </c>
      <c r="K99" s="75" t="str">
        <f t="shared" si="10"/>
        <v xml:space="preserve">WHERE coalesce(cast(rorwa_as_is AS string),'')&lt;&gt;coalesce(cast(rorwa_to_be AS string),'') </v>
      </c>
      <c r="L99" s="75" t="str">
        <f t="shared" si="11"/>
        <v xml:space="preserve">SELECT count(*) AS NUM_REG_DIF FROM (SELECT entty_id as entty_id_, rorwa as rorwa_as_is FROM cd_loan_tapes_bce.lt003_entity WHERE ref_date='2024-09-30' AND nome_perimetro='Individual Corporativo' AND segmento='ESTR' AND ambito='PM' AND entidade='00100' ) A  Inner join (SELECT entty_id as entty_id_, rorwa as rorwa_to_be FROM bu_loantape_work.lt003_entity WHERE ref_date='2024-09-30' AND nome_perimetro='Individual Corporativo' AND segmento='ESTR' AND ambito='PM' AND entidade='00100' ) B ON entty_id_as_is=entty_id_to_be WHERE coalesce(cast(rorwa_as_is AS string),'')&lt;&gt;coalesce(cast(rorwa_to_be AS string),'') </v>
      </c>
      <c r="M99" s="75" t="s">
        <v>55</v>
      </c>
      <c r="N99" s="75" t="str">
        <f>"SELECT 'Validação de campos' as tipologia_teste, '"&amp;VLOOKUP(B99,Instruções!$F$13:$J$17,3,0)&amp;"' AS TABELA, '"&amp;E99&amp;"' AS CAMPO, '"&amp;Instruções!$D$15&amp;"' as ref_date, coalesce(NUM_REG_DIF, 0) AS NUM_REG_DIF FROM ("&amp;L99&amp;") A "</f>
        <v xml:space="preserve">SELECT 'Validação de campos' as tipologia_teste, 'lt003_entity' AS TABELA, 'rorwa' AS CAMPO, '2024-09-30' as ref_date, coalesce(NUM_REG_DIF, 0) AS NUM_REG_DIF FROM (SELECT count(*) AS NUM_REG_DIF FROM (SELECT entty_id as entty_id_, rorwa as rorwa_as_is FROM cd_loan_tapes_bce.lt003_entity WHERE ref_date='2024-09-30' AND nome_perimetro='Individual Corporativo' AND segmento='ESTR' AND ambito='PM' AND entidade='00100' ) A  Inner join (SELECT entty_id as entty_id_, rorwa as rorwa_to_be FROM bu_loantape_work.lt003_entity WHERE ref_date='2024-09-30' AND nome_perimetro='Individual Corporativo' AND segmento='ESTR' AND ambito='PM' AND entidade='00100' ) B ON entty_id_as_is=entty_id_to_be WHERE coalesce(cast(rorwa_as_is AS string),'')&lt;&gt;coalesce(cast(rorwa_to_be AS string),'') ) A </v>
      </c>
      <c r="O99" s="76" t="str">
        <f t="shared" si="12"/>
        <v>SELECT 'Validação de campos' as tipologia_teste, 'lt003_entity' AS TABELA, 'rorwa' AS CAMPO, '2024-09-30' as ref_date, coalesce(NUM_REG_DIF, 0) AS NUM_REG_DIF FROM (SELECT count(*) AS NUM_REG_DIF FROM (SELECT entty_id as entty_id_, rorwa as rorwa_as_is FROM cd_loan_tapes_bce.lt003_entity WHERE ref_date='2024-09-30' AND nome_perimetro='Individual Corporativo' AND segmento='ESTR' AND ambito='PM' AND entidade='00100' ) A  Inner join (SELECT entty_id as entty_id_, rorwa as rorwa_to_be FROM bu_loantape_work.lt003_entity WHERE ref_date='2024-09-30' AND nome_perimetro='Individual Corporativo' AND segmento='ESTR' AND ambito='PM' AND entidade='00100' ) B ON entty_id_as_is=entty_id_to_be WHERE coalesce(cast(rorwa_as_is AS string),'')&lt;&gt;coalesce(cast(rorwa_to_be AS string),'') ) A Union all</v>
      </c>
      <c r="P99" s="75">
        <f t="shared" si="13"/>
        <v>40</v>
      </c>
    </row>
    <row r="100" spans="2:16" s="63" customFormat="1" ht="18" customHeight="1">
      <c r="B100" s="75" t="s">
        <v>11</v>
      </c>
      <c r="C100" s="75" t="str">
        <f>_xlfn.CONCAT(Instruções!$D$13,".",VLOOKUP(B100,Instruções!$F$12:$H$17,2,0))</f>
        <v>cd_loan_tapes_bce.lt003_entity</v>
      </c>
      <c r="D100" s="75" t="str">
        <f>_xlfn.CONCAT(Instruções!$D$14,".",VLOOKUP(B100,Instruções!$F$12:$H$17,3,0))</f>
        <v>bu_loantape_work.lt003_entity</v>
      </c>
      <c r="E100" s="75" t="s">
        <v>145</v>
      </c>
      <c r="F100" s="75" t="str">
        <f t="shared" si="14"/>
        <v>rtng_mthd_as_is</v>
      </c>
      <c r="G100" s="75" t="str">
        <f t="shared" si="15"/>
        <v>rtng_mthd_to_be</v>
      </c>
      <c r="H100" s="75" t="str">
        <f>IF(VLOOKUP(B100,Instruções!$F$13:$J$17,5,0)="",
"(SELECT "&amp;VLOOKUP(B100,Instruções!$F$13:$J$17,4,0)&amp;" as "&amp;VLOOKUP(B100,Instruções!$F$13:$J$17,4,0)&amp;"_"&amp;$F$2&amp;", "&amp;E100&amp;" as "&amp;F100&amp;" FROM "&amp;C100&amp;" WHERE "&amp;Instruções!$D$20&amp;") A ",
"(SELECT "&amp;VLOOKUP(B100,Instruções!$F$13:$J$17,4,0)&amp;" as "&amp;VLOOKUP(B100,Instruções!$F$13:$J$17,4,0)&amp;"_"&amp;$F$2&amp;", "&amp;VLOOKUP(B100,Instruções!$F$13:$J$17,5,0)&amp;" as "&amp;VLOOKUP(B100,Instruções!$F$13:$J$17,5,0)&amp;"_"&amp;$F$2&amp;","&amp;E100&amp;" as "&amp;F100&amp;" FROM "&amp;C100&amp;" WHERE "&amp;Instruções!$D$20&amp;") A ")</f>
        <v xml:space="preserve">(SELECT entty_id as entty_id_, rtng_mthd as rtng_mthd_as_is FROM cd_loan_tapes_bce.lt003_entity WHERE ref_date='2024-09-30' AND nome_perimetro='Individual Corporativo' AND segmento='ESTR' AND ambito='PM' AND entidade='00100' ) A </v>
      </c>
      <c r="I100" s="75" t="str">
        <f>IF(VLOOKUP(B100,Instruções!$F$13:$J$17,5,0)="",
"(SELECT "&amp;VLOOKUP(B100,Instruções!$F$13:$J$17,4,0)&amp;" as "&amp;VLOOKUP(B100,Instruções!$F$13:$J$17,4,0)&amp;"_"&amp;$G$2&amp;", "&amp;E100&amp;" as "&amp;G100&amp;" FROM "&amp;D100&amp;" WHERE "&amp;Instruções!$D$21&amp;") B ",
"(SELECT "&amp;VLOOKUP(B100,Instruções!$F$13:$J$17,4,0)&amp;" as "&amp;VLOOKUP(B100,Instruções!$F$13:$J$17,4,0)&amp;"_"&amp;$G$2&amp;", "&amp;VLOOKUP(B100,Instruções!$F$13:$J$17,5,0)&amp;" as "&amp;VLOOKUP(B100,Instruções!$F$13:$J$17,5,0)&amp;"_"&amp;$G$2&amp;","&amp;E100&amp;" as "&amp;G100&amp;" FROM "&amp;D100&amp;" WHERE "&amp;Instruções!$D$21&amp;") B ")</f>
        <v xml:space="preserve">(SELECT entty_id as entty_id_, rtng_mthd as rtng_mthd_to_be FROM bu_loantape_work.lt003_entity WHERE ref_date='2024-09-30' AND nome_perimetro='Individual Corporativo' AND segmento='ESTR' AND ambito='PM' AND entidade='00100' ) B </v>
      </c>
      <c r="J100" s="75" t="str">
        <f>+IF(VLOOKUP(B100,Instruções!$F$13:$J$17,5,0)="", "ON "&amp;VLOOKUP(B100,Instruções!$F$13:$J$17,4,0)&amp;"_"&amp;$F$7&amp;"="&amp;VLOOKUP(B100,Instruções!$F$13:$J$17,4,0)&amp;"_"&amp;$G$7&amp;" ", "ON "&amp;VLOOKUP(B100,Instruções!$F$13:$J$17,4,0)&amp;"_"&amp;$F$7&amp;"="&amp;VLOOKUP(B100,Instruções!$F$13:$J$17,4,0)&amp;"_"&amp;$G$7&amp;" AND "&amp;VLOOKUP(B100,Instruções!$F$13:$J$17,5,0)&amp;"_"&amp;$F$7&amp;"="&amp;VLOOKUP(B100,Instruções!$F$13:$J$17,5,0)&amp;"_"&amp;$G$7&amp;" ")</f>
        <v xml:space="preserve">ON entty_id_as_is=entty_id_to_be </v>
      </c>
      <c r="K100" s="75" t="str">
        <f t="shared" si="10"/>
        <v xml:space="preserve">WHERE coalesce(cast(rtng_mthd_as_is AS string),'')&lt;&gt;coalesce(cast(rtng_mthd_to_be AS string),'') </v>
      </c>
      <c r="L100" s="75" t="str">
        <f t="shared" si="11"/>
        <v xml:space="preserve">SELECT count(*) AS NUM_REG_DIF FROM (SELECT entty_id as entty_id_, rtng_mthd as rtng_mthd_as_is FROM cd_loan_tapes_bce.lt003_entity WHERE ref_date='2024-09-30' AND nome_perimetro='Individual Corporativo' AND segmento='ESTR' AND ambito='PM' AND entidade='00100' ) A  Inner join (SELECT entty_id as entty_id_, rtng_mthd as rtng_mthd_to_be FROM bu_loantape_work.lt003_entity WHERE ref_date='2024-09-30' AND nome_perimetro='Individual Corporativo' AND segmento='ESTR' AND ambito='PM' AND entidade='00100' ) B ON entty_id_as_is=entty_id_to_be WHERE coalesce(cast(rtng_mthd_as_is AS string),'')&lt;&gt;coalesce(cast(rtng_mthd_to_be AS string),'') </v>
      </c>
      <c r="M100" s="75" t="s">
        <v>55</v>
      </c>
      <c r="N100" s="75" t="str">
        <f>"SELECT 'Validação de campos' as tipologia_teste, '"&amp;VLOOKUP(B100,Instruções!$F$13:$J$17,3,0)&amp;"' AS TABELA, '"&amp;E100&amp;"' AS CAMPO, '"&amp;Instruções!$D$15&amp;"' as ref_date, coalesce(NUM_REG_DIF, 0) AS NUM_REG_DIF FROM ("&amp;L100&amp;") A "</f>
        <v xml:space="preserve">SELECT 'Validação de campos' as tipologia_teste, 'lt003_entity' AS TABELA, 'rtng_mthd' AS CAMPO, '2024-09-30' as ref_date, coalesce(NUM_REG_DIF, 0) AS NUM_REG_DIF FROM (SELECT count(*) AS NUM_REG_DIF FROM (SELECT entty_id as entty_id_, rtng_mthd as rtng_mthd_as_is FROM cd_loan_tapes_bce.lt003_entity WHERE ref_date='2024-09-30' AND nome_perimetro='Individual Corporativo' AND segmento='ESTR' AND ambito='PM' AND entidade='00100' ) A  Inner join (SELECT entty_id as entty_id_, rtng_mthd as rtng_mthd_to_be FROM bu_loantape_work.lt003_entity WHERE ref_date='2024-09-30' AND nome_perimetro='Individual Corporativo' AND segmento='ESTR' AND ambito='PM' AND entidade='00100' ) B ON entty_id_as_is=entty_id_to_be WHERE coalesce(cast(rtng_mthd_as_is AS string),'')&lt;&gt;coalesce(cast(rtng_mthd_to_be AS string),'') ) A </v>
      </c>
      <c r="O100" s="76" t="str">
        <f t="shared" si="12"/>
        <v>SELECT 'Validação de campos' as tipologia_teste, 'lt003_entity' AS TABELA, 'rtng_mthd' AS CAMPO, '2024-09-30' as ref_date, coalesce(NUM_REG_DIF, 0) AS NUM_REG_DIF FROM (SELECT count(*) AS NUM_REG_DIF FROM (SELECT entty_id as entty_id_, rtng_mthd as rtng_mthd_as_is FROM cd_loan_tapes_bce.lt003_entity WHERE ref_date='2024-09-30' AND nome_perimetro='Individual Corporativo' AND segmento='ESTR' AND ambito='PM' AND entidade='00100' ) A  Inner join (SELECT entty_id as entty_id_, rtng_mthd as rtng_mthd_to_be FROM bu_loantape_work.lt003_entity WHERE ref_date='2024-09-30' AND nome_perimetro='Individual Corporativo' AND segmento='ESTR' AND ambito='PM' AND entidade='00100' ) B ON entty_id_as_is=entty_id_to_be WHERE coalesce(cast(rtng_mthd_as_is AS string),'')&lt;&gt;coalesce(cast(rtng_mthd_to_be AS string),'') ) A Union all</v>
      </c>
      <c r="P100" s="75">
        <f t="shared" si="13"/>
        <v>41</v>
      </c>
    </row>
    <row r="101" spans="2:16" s="63" customFormat="1" ht="18" customHeight="1">
      <c r="B101" s="75" t="s">
        <v>11</v>
      </c>
      <c r="C101" s="75" t="str">
        <f>_xlfn.CONCAT(Instruções!$D$13,".",VLOOKUP(B101,Instruções!$F$12:$H$17,2,0))</f>
        <v>cd_loan_tapes_bce.lt003_entity</v>
      </c>
      <c r="D101" s="75" t="str">
        <f>_xlfn.CONCAT(Instruções!$D$14,".",VLOOKUP(B101,Instruções!$F$12:$H$17,3,0))</f>
        <v>bu_loantape_work.lt003_entity</v>
      </c>
      <c r="E101" s="75" t="s">
        <v>146</v>
      </c>
      <c r="F101" s="75" t="str">
        <f t="shared" si="14"/>
        <v>rtng_scl_as_is</v>
      </c>
      <c r="G101" s="75" t="str">
        <f t="shared" si="15"/>
        <v>rtng_scl_to_be</v>
      </c>
      <c r="H101" s="75" t="str">
        <f>IF(VLOOKUP(B101,Instruções!$F$13:$J$17,5,0)="",
"(SELECT "&amp;VLOOKUP(B101,Instruções!$F$13:$J$17,4,0)&amp;" as "&amp;VLOOKUP(B101,Instruções!$F$13:$J$17,4,0)&amp;"_"&amp;$F$2&amp;", "&amp;E101&amp;" as "&amp;F101&amp;" FROM "&amp;C101&amp;" WHERE "&amp;Instruções!$D$20&amp;") A ",
"(SELECT "&amp;VLOOKUP(B101,Instruções!$F$13:$J$17,4,0)&amp;" as "&amp;VLOOKUP(B101,Instruções!$F$13:$J$17,4,0)&amp;"_"&amp;$F$2&amp;", "&amp;VLOOKUP(B101,Instruções!$F$13:$J$17,5,0)&amp;" as "&amp;VLOOKUP(B101,Instruções!$F$13:$J$17,5,0)&amp;"_"&amp;$F$2&amp;","&amp;E101&amp;" as "&amp;F101&amp;" FROM "&amp;C101&amp;" WHERE "&amp;Instruções!$D$20&amp;") A ")</f>
        <v xml:space="preserve">(SELECT entty_id as entty_id_, rtng_scl as rtng_scl_as_is FROM cd_loan_tapes_bce.lt003_entity WHERE ref_date='2024-09-30' AND nome_perimetro='Individual Corporativo' AND segmento='ESTR' AND ambito='PM' AND entidade='00100' ) A </v>
      </c>
      <c r="I101" s="75" t="str">
        <f>IF(VLOOKUP(B101,Instruções!$F$13:$J$17,5,0)="",
"(SELECT "&amp;VLOOKUP(B101,Instruções!$F$13:$J$17,4,0)&amp;" as "&amp;VLOOKUP(B101,Instruções!$F$13:$J$17,4,0)&amp;"_"&amp;$G$2&amp;", "&amp;E101&amp;" as "&amp;G101&amp;" FROM "&amp;D101&amp;" WHERE "&amp;Instruções!$D$21&amp;") B ",
"(SELECT "&amp;VLOOKUP(B101,Instruções!$F$13:$J$17,4,0)&amp;" as "&amp;VLOOKUP(B101,Instruções!$F$13:$J$17,4,0)&amp;"_"&amp;$G$2&amp;", "&amp;VLOOKUP(B101,Instruções!$F$13:$J$17,5,0)&amp;" as "&amp;VLOOKUP(B101,Instruções!$F$13:$J$17,5,0)&amp;"_"&amp;$G$2&amp;","&amp;E101&amp;" as "&amp;G101&amp;" FROM "&amp;D101&amp;" WHERE "&amp;Instruções!$D$21&amp;") B ")</f>
        <v xml:space="preserve">(SELECT entty_id as entty_id_, rtng_scl as rtng_scl_to_be FROM bu_loantape_work.lt003_entity WHERE ref_date='2024-09-30' AND nome_perimetro='Individual Corporativo' AND segmento='ESTR' AND ambito='PM' AND entidade='00100' ) B </v>
      </c>
      <c r="J101" s="75" t="str">
        <f>+IF(VLOOKUP(B101,Instruções!$F$13:$J$17,5,0)="", "ON "&amp;VLOOKUP(B101,Instruções!$F$13:$J$17,4,0)&amp;"_"&amp;$F$7&amp;"="&amp;VLOOKUP(B101,Instruções!$F$13:$J$17,4,0)&amp;"_"&amp;$G$7&amp;" ", "ON "&amp;VLOOKUP(B101,Instruções!$F$13:$J$17,4,0)&amp;"_"&amp;$F$7&amp;"="&amp;VLOOKUP(B101,Instruções!$F$13:$J$17,4,0)&amp;"_"&amp;$G$7&amp;" AND "&amp;VLOOKUP(B101,Instruções!$F$13:$J$17,5,0)&amp;"_"&amp;$F$7&amp;"="&amp;VLOOKUP(B101,Instruções!$F$13:$J$17,5,0)&amp;"_"&amp;$G$7&amp;" ")</f>
        <v xml:space="preserve">ON entty_id_as_is=entty_id_to_be </v>
      </c>
      <c r="K101" s="75" t="str">
        <f t="shared" si="10"/>
        <v xml:space="preserve">WHERE coalesce(cast(rtng_scl_as_is AS string),'')&lt;&gt;coalesce(cast(rtng_scl_to_be AS string),'') </v>
      </c>
      <c r="L101" s="75" t="str">
        <f t="shared" si="11"/>
        <v xml:space="preserve">SELECT count(*) AS NUM_REG_DIF FROM (SELECT entty_id as entty_id_, rtng_scl as rtng_scl_as_is FROM cd_loan_tapes_bce.lt003_entity WHERE ref_date='2024-09-30' AND nome_perimetro='Individual Corporativo' AND segmento='ESTR' AND ambito='PM' AND entidade='00100' ) A  Inner join (SELECT entty_id as entty_id_, rtng_scl as rtng_scl_to_be FROM bu_loantape_work.lt003_entity WHERE ref_date='2024-09-30' AND nome_perimetro='Individual Corporativo' AND segmento='ESTR' AND ambito='PM' AND entidade='00100' ) B ON entty_id_as_is=entty_id_to_be WHERE coalesce(cast(rtng_scl_as_is AS string),'')&lt;&gt;coalesce(cast(rtng_scl_to_be AS string),'') </v>
      </c>
      <c r="M101" s="75" t="s">
        <v>55</v>
      </c>
      <c r="N101" s="75" t="str">
        <f>"SELECT 'Validação de campos' as tipologia_teste, '"&amp;VLOOKUP(B101,Instruções!$F$13:$J$17,3,0)&amp;"' AS TABELA, '"&amp;E101&amp;"' AS CAMPO, '"&amp;Instruções!$D$15&amp;"' as ref_date, coalesce(NUM_REG_DIF, 0) AS NUM_REG_DIF FROM ("&amp;L101&amp;") A "</f>
        <v xml:space="preserve">SELECT 'Validação de campos' as tipologia_teste, 'lt003_entity' AS TABELA, 'rtng_scl' AS CAMPO, '2024-09-30' as ref_date, coalesce(NUM_REG_DIF, 0) AS NUM_REG_DIF FROM (SELECT count(*) AS NUM_REG_DIF FROM (SELECT entty_id as entty_id_, rtng_scl as rtng_scl_as_is FROM cd_loan_tapes_bce.lt003_entity WHERE ref_date='2024-09-30' AND nome_perimetro='Individual Corporativo' AND segmento='ESTR' AND ambito='PM' AND entidade='00100' ) A  Inner join (SELECT entty_id as entty_id_, rtng_scl as rtng_scl_to_be FROM bu_loantape_work.lt003_entity WHERE ref_date='2024-09-30' AND nome_perimetro='Individual Corporativo' AND segmento='ESTR' AND ambito='PM' AND entidade='00100' ) B ON entty_id_as_is=entty_id_to_be WHERE coalesce(cast(rtng_scl_as_is AS string),'')&lt;&gt;coalesce(cast(rtng_scl_to_be AS string),'') ) A </v>
      </c>
      <c r="O101" s="76" t="str">
        <f t="shared" si="12"/>
        <v>SELECT 'Validação de campos' as tipologia_teste, 'lt003_entity' AS TABELA, 'rtng_scl' AS CAMPO, '2024-09-30' as ref_date, coalesce(NUM_REG_DIF, 0) AS NUM_REG_DIF FROM (SELECT count(*) AS NUM_REG_DIF FROM (SELECT entty_id as entty_id_, rtng_scl as rtng_scl_as_is FROM cd_loan_tapes_bce.lt003_entity WHERE ref_date='2024-09-30' AND nome_perimetro='Individual Corporativo' AND segmento='ESTR' AND ambito='PM' AND entidade='00100' ) A  Inner join (SELECT entty_id as entty_id_, rtng_scl as rtng_scl_to_be FROM bu_loantape_work.lt003_entity WHERE ref_date='2024-09-30' AND nome_perimetro='Individual Corporativo' AND segmento='ESTR' AND ambito='PM' AND entidade='00100' ) B ON entty_id_as_is=entty_id_to_be WHERE coalesce(cast(rtng_scl_as_is AS string),'')&lt;&gt;coalesce(cast(rtng_scl_to_be AS string),'') ) A Union all</v>
      </c>
      <c r="P101" s="75">
        <f t="shared" si="13"/>
        <v>42</v>
      </c>
    </row>
    <row r="102" spans="2:16" s="63" customFormat="1" ht="18" customHeight="1">
      <c r="B102" s="75" t="s">
        <v>11</v>
      </c>
      <c r="C102" s="75" t="str">
        <f>_xlfn.CONCAT(Instruções!$D$13,".",VLOOKUP(B102,Instruções!$F$12:$H$17,2,0))</f>
        <v>cd_loan_tapes_bce.lt003_entity</v>
      </c>
      <c r="D102" s="75" t="str">
        <f>_xlfn.CONCAT(Instruções!$D$14,".",VLOOKUP(B102,Instruções!$F$12:$H$17,3,0))</f>
        <v>bu_loantape_work.lt003_entity</v>
      </c>
      <c r="E102" s="75" t="s">
        <v>147</v>
      </c>
      <c r="F102" s="75" t="str">
        <f t="shared" si="14"/>
        <v>scan_as_is</v>
      </c>
      <c r="G102" s="75" t="str">
        <f t="shared" si="15"/>
        <v>scan_to_be</v>
      </c>
      <c r="H102" s="75" t="str">
        <f>IF(VLOOKUP(B102,Instruções!$F$13:$J$17,5,0)="",
"(SELECT "&amp;VLOOKUP(B102,Instruções!$F$13:$J$17,4,0)&amp;" as "&amp;VLOOKUP(B102,Instruções!$F$13:$J$17,4,0)&amp;"_"&amp;$F$2&amp;", "&amp;E102&amp;" as "&amp;F102&amp;" FROM "&amp;C102&amp;" WHERE "&amp;Instruções!$D$20&amp;") A ",
"(SELECT "&amp;VLOOKUP(B102,Instruções!$F$13:$J$17,4,0)&amp;" as "&amp;VLOOKUP(B102,Instruções!$F$13:$J$17,4,0)&amp;"_"&amp;$F$2&amp;", "&amp;VLOOKUP(B102,Instruções!$F$13:$J$17,5,0)&amp;" as "&amp;VLOOKUP(B102,Instruções!$F$13:$J$17,5,0)&amp;"_"&amp;$F$2&amp;","&amp;E102&amp;" as "&amp;F102&amp;" FROM "&amp;C102&amp;" WHERE "&amp;Instruções!$D$20&amp;") A ")</f>
        <v xml:space="preserve">(SELECT entty_id as entty_id_, scan as scan_as_is FROM cd_loan_tapes_bce.lt003_entity WHERE ref_date='2024-09-30' AND nome_perimetro='Individual Corporativo' AND segmento='ESTR' AND ambito='PM' AND entidade='00100' ) A </v>
      </c>
      <c r="I102" s="75" t="str">
        <f>IF(VLOOKUP(B102,Instruções!$F$13:$J$17,5,0)="",
"(SELECT "&amp;VLOOKUP(B102,Instruções!$F$13:$J$17,4,0)&amp;" as "&amp;VLOOKUP(B102,Instruções!$F$13:$J$17,4,0)&amp;"_"&amp;$G$2&amp;", "&amp;E102&amp;" as "&amp;G102&amp;" FROM "&amp;D102&amp;" WHERE "&amp;Instruções!$D$21&amp;") B ",
"(SELECT "&amp;VLOOKUP(B102,Instruções!$F$13:$J$17,4,0)&amp;" as "&amp;VLOOKUP(B102,Instruções!$F$13:$J$17,4,0)&amp;"_"&amp;$G$2&amp;", "&amp;VLOOKUP(B102,Instruções!$F$13:$J$17,5,0)&amp;" as "&amp;VLOOKUP(B102,Instruções!$F$13:$J$17,5,0)&amp;"_"&amp;$G$2&amp;","&amp;E102&amp;" as "&amp;G102&amp;" FROM "&amp;D102&amp;" WHERE "&amp;Instruções!$D$21&amp;") B ")</f>
        <v xml:space="preserve">(SELECT entty_id as entty_id_, scan as scan_to_be FROM bu_loantape_work.lt003_entity WHERE ref_date='2024-09-30' AND nome_perimetro='Individual Corporativo' AND segmento='ESTR' AND ambito='PM' AND entidade='00100' ) B </v>
      </c>
      <c r="J102" s="75" t="str">
        <f>+IF(VLOOKUP(B102,Instruções!$F$13:$J$17,5,0)="", "ON "&amp;VLOOKUP(B102,Instruções!$F$13:$J$17,4,0)&amp;"_"&amp;$F$7&amp;"="&amp;VLOOKUP(B102,Instruções!$F$13:$J$17,4,0)&amp;"_"&amp;$G$7&amp;" ", "ON "&amp;VLOOKUP(B102,Instruções!$F$13:$J$17,4,0)&amp;"_"&amp;$F$7&amp;"="&amp;VLOOKUP(B102,Instruções!$F$13:$J$17,4,0)&amp;"_"&amp;$G$7&amp;" AND "&amp;VLOOKUP(B102,Instruções!$F$13:$J$17,5,0)&amp;"_"&amp;$F$7&amp;"="&amp;VLOOKUP(B102,Instruções!$F$13:$J$17,5,0)&amp;"_"&amp;$G$7&amp;" ")</f>
        <v xml:space="preserve">ON entty_id_as_is=entty_id_to_be </v>
      </c>
      <c r="K102" s="75" t="str">
        <f t="shared" si="10"/>
        <v xml:space="preserve">WHERE coalesce(cast(scan_as_is AS string),'')&lt;&gt;coalesce(cast(scan_to_be AS string),'') </v>
      </c>
      <c r="L102" s="75" t="str">
        <f t="shared" si="11"/>
        <v xml:space="preserve">SELECT count(*) AS NUM_REG_DIF FROM (SELECT entty_id as entty_id_, scan as scan_as_is FROM cd_loan_tapes_bce.lt003_entity WHERE ref_date='2024-09-30' AND nome_perimetro='Individual Corporativo' AND segmento='ESTR' AND ambito='PM' AND entidade='00100' ) A  Inner join (SELECT entty_id as entty_id_, scan as scan_to_be FROM bu_loantape_work.lt003_entity WHERE ref_date='2024-09-30' AND nome_perimetro='Individual Corporativo' AND segmento='ESTR' AND ambito='PM' AND entidade='00100' ) B ON entty_id_as_is=entty_id_to_be WHERE coalesce(cast(scan_as_is AS string),'')&lt;&gt;coalesce(cast(scan_to_be AS string),'') </v>
      </c>
      <c r="M102" s="75" t="s">
        <v>55</v>
      </c>
      <c r="N102" s="75" t="str">
        <f>"SELECT 'Validação de campos' as tipologia_teste, '"&amp;VLOOKUP(B102,Instruções!$F$13:$J$17,3,0)&amp;"' AS TABELA, '"&amp;E102&amp;"' AS CAMPO, '"&amp;Instruções!$D$15&amp;"' as ref_date, coalesce(NUM_REG_DIF, 0) AS NUM_REG_DIF FROM ("&amp;L102&amp;") A "</f>
        <v xml:space="preserve">SELECT 'Validação de campos' as tipologia_teste, 'lt003_entity' AS TABELA, 'scan' AS CAMPO, '2024-09-30' as ref_date, coalesce(NUM_REG_DIF, 0) AS NUM_REG_DIF FROM (SELECT count(*) AS NUM_REG_DIF FROM (SELECT entty_id as entty_id_, scan as scan_as_is FROM cd_loan_tapes_bce.lt003_entity WHERE ref_date='2024-09-30' AND nome_perimetro='Individual Corporativo' AND segmento='ESTR' AND ambito='PM' AND entidade='00100' ) A  Inner join (SELECT entty_id as entty_id_, scan as scan_to_be FROM bu_loantape_work.lt003_entity WHERE ref_date='2024-09-30' AND nome_perimetro='Individual Corporativo' AND segmento='ESTR' AND ambito='PM' AND entidade='00100' ) B ON entty_id_as_is=entty_id_to_be WHERE coalesce(cast(scan_as_is AS string),'')&lt;&gt;coalesce(cast(scan_to_be AS string),'') ) A </v>
      </c>
      <c r="O102" s="76" t="str">
        <f t="shared" si="12"/>
        <v>SELECT 'Validação de campos' as tipologia_teste, 'lt003_entity' AS TABELA, 'scan' AS CAMPO, '2024-09-30' as ref_date, coalesce(NUM_REG_DIF, 0) AS NUM_REG_DIF FROM (SELECT count(*) AS NUM_REG_DIF FROM (SELECT entty_id as entty_id_, scan as scan_as_is FROM cd_loan_tapes_bce.lt003_entity WHERE ref_date='2024-09-30' AND nome_perimetro='Individual Corporativo' AND segmento='ESTR' AND ambito='PM' AND entidade='00100' ) A  Inner join (SELECT entty_id as entty_id_, scan as scan_to_be FROM bu_loantape_work.lt003_entity WHERE ref_date='2024-09-30' AND nome_perimetro='Individual Corporativo' AND segmento='ESTR' AND ambito='PM' AND entidade='00100' ) B ON entty_id_as_is=entty_id_to_be WHERE coalesce(cast(scan_as_is AS string),'')&lt;&gt;coalesce(cast(scan_to_be AS string),'') ) A Union all</v>
      </c>
      <c r="P102" s="75">
        <f t="shared" si="13"/>
        <v>43</v>
      </c>
    </row>
    <row r="103" spans="2:16" s="63" customFormat="1" ht="18" customHeight="1">
      <c r="B103" s="75" t="s">
        <v>11</v>
      </c>
      <c r="C103" s="75" t="str">
        <f>_xlfn.CONCAT(Instruções!$D$13,".",VLOOKUP(B103,Instruções!$F$12:$H$17,2,0))</f>
        <v>cd_loan_tapes_bce.lt003_entity</v>
      </c>
      <c r="D103" s="75" t="str">
        <f>_xlfn.CONCAT(Instruções!$D$14,".",VLOOKUP(B103,Instruções!$F$12:$H$17,3,0))</f>
        <v>bu_loantape_work.lt003_entity</v>
      </c>
      <c r="E103" s="75" t="s">
        <v>148</v>
      </c>
      <c r="F103" s="75" t="str">
        <f t="shared" si="14"/>
        <v>sngl_prps_vhcl_as_is</v>
      </c>
      <c r="G103" s="75" t="str">
        <f t="shared" si="15"/>
        <v>sngl_prps_vhcl_to_be</v>
      </c>
      <c r="H103" s="75" t="str">
        <f>IF(VLOOKUP(B103,Instruções!$F$13:$J$17,5,0)="",
"(SELECT "&amp;VLOOKUP(B103,Instruções!$F$13:$J$17,4,0)&amp;" as "&amp;VLOOKUP(B103,Instruções!$F$13:$J$17,4,0)&amp;"_"&amp;$F$2&amp;", "&amp;E103&amp;" as "&amp;F103&amp;" FROM "&amp;C103&amp;" WHERE "&amp;Instruções!$D$20&amp;") A ",
"(SELECT "&amp;VLOOKUP(B103,Instruções!$F$13:$J$17,4,0)&amp;" as "&amp;VLOOKUP(B103,Instruções!$F$13:$J$17,4,0)&amp;"_"&amp;$F$2&amp;", "&amp;VLOOKUP(B103,Instruções!$F$13:$J$17,5,0)&amp;" as "&amp;VLOOKUP(B103,Instruções!$F$13:$J$17,5,0)&amp;"_"&amp;$F$2&amp;","&amp;E103&amp;" as "&amp;F103&amp;" FROM "&amp;C103&amp;" WHERE "&amp;Instruções!$D$20&amp;") A ")</f>
        <v xml:space="preserve">(SELECT entty_id as entty_id_, sngl_prps_vhcl as sngl_prps_vhcl_as_is FROM cd_loan_tapes_bce.lt003_entity WHERE ref_date='2024-09-30' AND nome_perimetro='Individual Corporativo' AND segmento='ESTR' AND ambito='PM' AND entidade='00100' ) A </v>
      </c>
      <c r="I103" s="75" t="str">
        <f>IF(VLOOKUP(B103,Instruções!$F$13:$J$17,5,0)="",
"(SELECT "&amp;VLOOKUP(B103,Instruções!$F$13:$J$17,4,0)&amp;" as "&amp;VLOOKUP(B103,Instruções!$F$13:$J$17,4,0)&amp;"_"&amp;$G$2&amp;", "&amp;E103&amp;" as "&amp;G103&amp;" FROM "&amp;D103&amp;" WHERE "&amp;Instruções!$D$21&amp;") B ",
"(SELECT "&amp;VLOOKUP(B103,Instruções!$F$13:$J$17,4,0)&amp;" as "&amp;VLOOKUP(B103,Instruções!$F$13:$J$17,4,0)&amp;"_"&amp;$G$2&amp;", "&amp;VLOOKUP(B103,Instruções!$F$13:$J$17,5,0)&amp;" as "&amp;VLOOKUP(B103,Instruções!$F$13:$J$17,5,0)&amp;"_"&amp;$G$2&amp;","&amp;E103&amp;" as "&amp;G103&amp;" FROM "&amp;D103&amp;" WHERE "&amp;Instruções!$D$21&amp;") B ")</f>
        <v xml:space="preserve">(SELECT entty_id as entty_id_, sngl_prps_vhcl as sngl_prps_vhcl_to_be FROM bu_loantape_work.lt003_entity WHERE ref_date='2024-09-30' AND nome_perimetro='Individual Corporativo' AND segmento='ESTR' AND ambito='PM' AND entidade='00100' ) B </v>
      </c>
      <c r="J103" s="75" t="str">
        <f>+IF(VLOOKUP(B103,Instruções!$F$13:$J$17,5,0)="", "ON "&amp;VLOOKUP(B103,Instruções!$F$13:$J$17,4,0)&amp;"_"&amp;$F$7&amp;"="&amp;VLOOKUP(B103,Instruções!$F$13:$J$17,4,0)&amp;"_"&amp;$G$7&amp;" ", "ON "&amp;VLOOKUP(B103,Instruções!$F$13:$J$17,4,0)&amp;"_"&amp;$F$7&amp;"="&amp;VLOOKUP(B103,Instruções!$F$13:$J$17,4,0)&amp;"_"&amp;$G$7&amp;" AND "&amp;VLOOKUP(B103,Instruções!$F$13:$J$17,5,0)&amp;"_"&amp;$F$7&amp;"="&amp;VLOOKUP(B103,Instruções!$F$13:$J$17,5,0)&amp;"_"&amp;$G$7&amp;" ")</f>
        <v xml:space="preserve">ON entty_id_as_is=entty_id_to_be </v>
      </c>
      <c r="K103" s="75" t="str">
        <f t="shared" si="10"/>
        <v xml:space="preserve">WHERE coalesce(cast(sngl_prps_vhcl_as_is AS string),'')&lt;&gt;coalesce(cast(sngl_prps_vhcl_to_be AS string),'') </v>
      </c>
      <c r="L103" s="75" t="str">
        <f t="shared" si="11"/>
        <v xml:space="preserve">SELECT count(*) AS NUM_REG_DIF FROM (SELECT entty_id as entty_id_, sngl_prps_vhcl as sngl_prps_vhcl_as_is FROM cd_loan_tapes_bce.lt003_entity WHERE ref_date='2024-09-30' AND nome_perimetro='Individual Corporativo' AND segmento='ESTR' AND ambito='PM' AND entidade='00100' ) A  Inner join (SELECT entty_id as entty_id_, sngl_prps_vhcl as sngl_prps_vhcl_to_be FROM bu_loantape_work.lt003_entity WHERE ref_date='2024-09-30' AND nome_perimetro='Individual Corporativo' AND segmento='ESTR' AND ambito='PM' AND entidade='00100' ) B ON entty_id_as_is=entty_id_to_be WHERE coalesce(cast(sngl_prps_vhcl_as_is AS string),'')&lt;&gt;coalesce(cast(sngl_prps_vhcl_to_be AS string),'') </v>
      </c>
      <c r="M103" s="75" t="s">
        <v>55</v>
      </c>
      <c r="N103" s="75" t="str">
        <f>"SELECT 'Validação de campos' as tipologia_teste, '"&amp;VLOOKUP(B103,Instruções!$F$13:$J$17,3,0)&amp;"' AS TABELA, '"&amp;E103&amp;"' AS CAMPO, '"&amp;Instruções!$D$15&amp;"' as ref_date, coalesce(NUM_REG_DIF, 0) AS NUM_REG_DIF FROM ("&amp;L103&amp;") A "</f>
        <v xml:space="preserve">SELECT 'Validação de campos' as tipologia_teste, 'lt003_entity' AS TABELA, 'sngl_prps_vhcl' AS CAMPO, '2024-09-30' as ref_date, coalesce(NUM_REG_DIF, 0) AS NUM_REG_DIF FROM (SELECT count(*) AS NUM_REG_DIF FROM (SELECT entty_id as entty_id_, sngl_prps_vhcl as sngl_prps_vhcl_as_is FROM cd_loan_tapes_bce.lt003_entity WHERE ref_date='2024-09-30' AND nome_perimetro='Individual Corporativo' AND segmento='ESTR' AND ambito='PM' AND entidade='00100' ) A  Inner join (SELECT entty_id as entty_id_, sngl_prps_vhcl as sngl_prps_vhcl_to_be FROM bu_loantape_work.lt003_entity WHERE ref_date='2024-09-30' AND nome_perimetro='Individual Corporativo' AND segmento='ESTR' AND ambito='PM' AND entidade='00100' ) B ON entty_id_as_is=entty_id_to_be WHERE coalesce(cast(sngl_prps_vhcl_as_is AS string),'')&lt;&gt;coalesce(cast(sngl_prps_vhcl_to_be AS string),'') ) A </v>
      </c>
      <c r="O103" s="76" t="str">
        <f t="shared" si="12"/>
        <v>SELECT 'Validação de campos' as tipologia_teste, 'lt003_entity' AS TABELA, 'sngl_prps_vhcl' AS CAMPO, '2024-09-30' as ref_date, coalesce(NUM_REG_DIF, 0) AS NUM_REG_DIF FROM (SELECT count(*) AS NUM_REG_DIF FROM (SELECT entty_id as entty_id_, sngl_prps_vhcl as sngl_prps_vhcl_as_is FROM cd_loan_tapes_bce.lt003_entity WHERE ref_date='2024-09-30' AND nome_perimetro='Individual Corporativo' AND segmento='ESTR' AND ambito='PM' AND entidade='00100' ) A  Inner join (SELECT entty_id as entty_id_, sngl_prps_vhcl as sngl_prps_vhcl_to_be FROM bu_loantape_work.lt003_entity WHERE ref_date='2024-09-30' AND nome_perimetro='Individual Corporativo' AND segmento='ESTR' AND ambito='PM' AND entidade='00100' ) B ON entty_id_as_is=entty_id_to_be WHERE coalesce(cast(sngl_prps_vhcl_as_is AS string),'')&lt;&gt;coalesce(cast(sngl_prps_vhcl_to_be AS string),'') ) A Union all</v>
      </c>
      <c r="P103" s="75">
        <f t="shared" si="13"/>
        <v>44</v>
      </c>
    </row>
    <row r="104" spans="2:16" s="63" customFormat="1" ht="18" customHeight="1">
      <c r="B104" s="75" t="s">
        <v>11</v>
      </c>
      <c r="C104" s="75" t="str">
        <f>_xlfn.CONCAT(Instruções!$D$13,".",VLOOKUP(B104,Instruções!$F$12:$H$17,2,0))</f>
        <v>cd_loan_tapes_bce.lt003_entity</v>
      </c>
      <c r="D104" s="75" t="str">
        <f>_xlfn.CONCAT(Instruções!$D$14,".",VLOOKUP(B104,Instruções!$F$12:$H$17,3,0))</f>
        <v>bu_loantape_work.lt003_entity</v>
      </c>
      <c r="E104" s="75" t="s">
        <v>149</v>
      </c>
      <c r="F104" s="75" t="str">
        <f t="shared" si="14"/>
        <v>tax_id_as_is</v>
      </c>
      <c r="G104" s="75" t="str">
        <f t="shared" si="15"/>
        <v>tax_id_to_be</v>
      </c>
      <c r="H104" s="75" t="str">
        <f>IF(VLOOKUP(B104,Instruções!$F$13:$J$17,5,0)="",
"(SELECT "&amp;VLOOKUP(B104,Instruções!$F$13:$J$17,4,0)&amp;" as "&amp;VLOOKUP(B104,Instruções!$F$13:$J$17,4,0)&amp;"_"&amp;$F$2&amp;", "&amp;E104&amp;" as "&amp;F104&amp;" FROM "&amp;C104&amp;" WHERE "&amp;Instruções!$D$20&amp;") A ",
"(SELECT "&amp;VLOOKUP(B104,Instruções!$F$13:$J$17,4,0)&amp;" as "&amp;VLOOKUP(B104,Instruções!$F$13:$J$17,4,0)&amp;"_"&amp;$F$2&amp;", "&amp;VLOOKUP(B104,Instruções!$F$13:$J$17,5,0)&amp;" as "&amp;VLOOKUP(B104,Instruções!$F$13:$J$17,5,0)&amp;"_"&amp;$F$2&amp;","&amp;E104&amp;" as "&amp;F104&amp;" FROM "&amp;C104&amp;" WHERE "&amp;Instruções!$D$20&amp;") A ")</f>
        <v xml:space="preserve">(SELECT entty_id as entty_id_, tax_id as tax_id_as_is FROM cd_loan_tapes_bce.lt003_entity WHERE ref_date='2024-09-30' AND nome_perimetro='Individual Corporativo' AND segmento='ESTR' AND ambito='PM' AND entidade='00100' ) A </v>
      </c>
      <c r="I104" s="75" t="str">
        <f>IF(VLOOKUP(B104,Instruções!$F$13:$J$17,5,0)="",
"(SELECT "&amp;VLOOKUP(B104,Instruções!$F$13:$J$17,4,0)&amp;" as "&amp;VLOOKUP(B104,Instruções!$F$13:$J$17,4,0)&amp;"_"&amp;$G$2&amp;", "&amp;E104&amp;" as "&amp;G104&amp;" FROM "&amp;D104&amp;" WHERE "&amp;Instruções!$D$21&amp;") B ",
"(SELECT "&amp;VLOOKUP(B104,Instruções!$F$13:$J$17,4,0)&amp;" as "&amp;VLOOKUP(B104,Instruções!$F$13:$J$17,4,0)&amp;"_"&amp;$G$2&amp;", "&amp;VLOOKUP(B104,Instruções!$F$13:$J$17,5,0)&amp;" as "&amp;VLOOKUP(B104,Instruções!$F$13:$J$17,5,0)&amp;"_"&amp;$G$2&amp;","&amp;E104&amp;" as "&amp;G104&amp;" FROM "&amp;D104&amp;" WHERE "&amp;Instruções!$D$21&amp;") B ")</f>
        <v xml:space="preserve">(SELECT entty_id as entty_id_, tax_id as tax_id_to_be FROM bu_loantape_work.lt003_entity WHERE ref_date='2024-09-30' AND nome_perimetro='Individual Corporativo' AND segmento='ESTR' AND ambito='PM' AND entidade='00100' ) B </v>
      </c>
      <c r="J104" s="75" t="str">
        <f>+IF(VLOOKUP(B104,Instruções!$F$13:$J$17,5,0)="", "ON "&amp;VLOOKUP(B104,Instruções!$F$13:$J$17,4,0)&amp;"_"&amp;$F$7&amp;"="&amp;VLOOKUP(B104,Instruções!$F$13:$J$17,4,0)&amp;"_"&amp;$G$7&amp;" ", "ON "&amp;VLOOKUP(B104,Instruções!$F$13:$J$17,4,0)&amp;"_"&amp;$F$7&amp;"="&amp;VLOOKUP(B104,Instruções!$F$13:$J$17,4,0)&amp;"_"&amp;$G$7&amp;" AND "&amp;VLOOKUP(B104,Instruções!$F$13:$J$17,5,0)&amp;"_"&amp;$F$7&amp;"="&amp;VLOOKUP(B104,Instruções!$F$13:$J$17,5,0)&amp;"_"&amp;$G$7&amp;" ")</f>
        <v xml:space="preserve">ON entty_id_as_is=entty_id_to_be </v>
      </c>
      <c r="K104" s="75" t="str">
        <f t="shared" si="10"/>
        <v xml:space="preserve">WHERE coalesce(cast(tax_id_as_is AS string),'')&lt;&gt;coalesce(cast(tax_id_to_be AS string),'') </v>
      </c>
      <c r="L104" s="75" t="str">
        <f t="shared" si="11"/>
        <v xml:space="preserve">SELECT count(*) AS NUM_REG_DIF FROM (SELECT entty_id as entty_id_, tax_id as tax_id_as_is FROM cd_loan_tapes_bce.lt003_entity WHERE ref_date='2024-09-30' AND nome_perimetro='Individual Corporativo' AND segmento='ESTR' AND ambito='PM' AND entidade='00100' ) A  Inner join (SELECT entty_id as entty_id_, tax_id as tax_id_to_be FROM bu_loantape_work.lt003_entity WHERE ref_date='2024-09-30' AND nome_perimetro='Individual Corporativo' AND segmento='ESTR' AND ambito='PM' AND entidade='00100' ) B ON entty_id_as_is=entty_id_to_be WHERE coalesce(cast(tax_id_as_is AS string),'')&lt;&gt;coalesce(cast(tax_id_to_be AS string),'') </v>
      </c>
      <c r="M104" s="75" t="s">
        <v>55</v>
      </c>
      <c r="N104" s="75" t="str">
        <f>"SELECT 'Validação de campos' as tipologia_teste, '"&amp;VLOOKUP(B104,Instruções!$F$13:$J$17,3,0)&amp;"' AS TABELA, '"&amp;E104&amp;"' AS CAMPO, '"&amp;Instruções!$D$15&amp;"' as ref_date, coalesce(NUM_REG_DIF, 0) AS NUM_REG_DIF FROM ("&amp;L104&amp;") A "</f>
        <v xml:space="preserve">SELECT 'Validação de campos' as tipologia_teste, 'lt003_entity' AS TABELA, 'tax_id' AS CAMPO, '2024-09-30' as ref_date, coalesce(NUM_REG_DIF, 0) AS NUM_REG_DIF FROM (SELECT count(*) AS NUM_REG_DIF FROM (SELECT entty_id as entty_id_, tax_id as tax_id_as_is FROM cd_loan_tapes_bce.lt003_entity WHERE ref_date='2024-09-30' AND nome_perimetro='Individual Corporativo' AND segmento='ESTR' AND ambito='PM' AND entidade='00100' ) A  Inner join (SELECT entty_id as entty_id_, tax_id as tax_id_to_be FROM bu_loantape_work.lt003_entity WHERE ref_date='2024-09-30' AND nome_perimetro='Individual Corporativo' AND segmento='ESTR' AND ambito='PM' AND entidade='00100' ) B ON entty_id_as_is=entty_id_to_be WHERE coalesce(cast(tax_id_as_is AS string),'')&lt;&gt;coalesce(cast(tax_id_to_be AS string),'') ) A </v>
      </c>
      <c r="O104" s="76" t="str">
        <f t="shared" si="12"/>
        <v>SELECT 'Validação de campos' as tipologia_teste, 'lt003_entity' AS TABELA, 'tax_id' AS CAMPO, '2024-09-30' as ref_date, coalesce(NUM_REG_DIF, 0) AS NUM_REG_DIF FROM (SELECT count(*) AS NUM_REG_DIF FROM (SELECT entty_id as entty_id_, tax_id as tax_id_as_is FROM cd_loan_tapes_bce.lt003_entity WHERE ref_date='2024-09-30' AND nome_perimetro='Individual Corporativo' AND segmento='ESTR' AND ambito='PM' AND entidade='00100' ) A  Inner join (SELECT entty_id as entty_id_, tax_id as tax_id_to_be FROM bu_loantape_work.lt003_entity WHERE ref_date='2024-09-30' AND nome_perimetro='Individual Corporativo' AND segmento='ESTR' AND ambito='PM' AND entidade='00100' ) B ON entty_id_as_is=entty_id_to_be WHERE coalesce(cast(tax_id_as_is AS string),'')&lt;&gt;coalesce(cast(tax_id_to_be AS string),'') ) A Union all</v>
      </c>
      <c r="P104" s="75">
        <f t="shared" si="13"/>
        <v>45</v>
      </c>
    </row>
    <row r="105" spans="2:16" s="63" customFormat="1" ht="18" customHeight="1">
      <c r="B105" s="75" t="s">
        <v>11</v>
      </c>
      <c r="C105" s="75" t="str">
        <f>_xlfn.CONCAT(Instruções!$D$13,".",VLOOKUP(B105,Instruções!$F$12:$H$17,2,0))</f>
        <v>cd_loan_tapes_bce.lt003_entity</v>
      </c>
      <c r="D105" s="75" t="str">
        <f>_xlfn.CONCAT(Instruções!$D$14,".",VLOOKUP(B105,Instruções!$F$12:$H$17,3,0))</f>
        <v>bu_loantape_work.lt003_entity</v>
      </c>
      <c r="E105" s="75" t="s">
        <v>150</v>
      </c>
      <c r="F105" s="75" t="str">
        <f t="shared" si="14"/>
        <v>ttl_dbt_as_is</v>
      </c>
      <c r="G105" s="75" t="str">
        <f t="shared" si="15"/>
        <v>ttl_dbt_to_be</v>
      </c>
      <c r="H105" s="75" t="str">
        <f>IF(VLOOKUP(B105,Instruções!$F$13:$J$17,5,0)="",
"(SELECT "&amp;VLOOKUP(B105,Instruções!$F$13:$J$17,4,0)&amp;" as "&amp;VLOOKUP(B105,Instruções!$F$13:$J$17,4,0)&amp;"_"&amp;$F$2&amp;", "&amp;E105&amp;" as "&amp;F105&amp;" FROM "&amp;C105&amp;" WHERE "&amp;Instruções!$D$20&amp;") A ",
"(SELECT "&amp;VLOOKUP(B105,Instruções!$F$13:$J$17,4,0)&amp;" as "&amp;VLOOKUP(B105,Instruções!$F$13:$J$17,4,0)&amp;"_"&amp;$F$2&amp;", "&amp;VLOOKUP(B105,Instruções!$F$13:$J$17,5,0)&amp;" as "&amp;VLOOKUP(B105,Instruções!$F$13:$J$17,5,0)&amp;"_"&amp;$F$2&amp;","&amp;E105&amp;" as "&amp;F105&amp;" FROM "&amp;C105&amp;" WHERE "&amp;Instruções!$D$20&amp;") A ")</f>
        <v xml:space="preserve">(SELECT entty_id as entty_id_, ttl_dbt as ttl_dbt_as_is FROM cd_loan_tapes_bce.lt003_entity WHERE ref_date='2024-09-30' AND nome_perimetro='Individual Corporativo' AND segmento='ESTR' AND ambito='PM' AND entidade='00100' ) A </v>
      </c>
      <c r="I105" s="75" t="str">
        <f>IF(VLOOKUP(B105,Instruções!$F$13:$J$17,5,0)="",
"(SELECT "&amp;VLOOKUP(B105,Instruções!$F$13:$J$17,4,0)&amp;" as "&amp;VLOOKUP(B105,Instruções!$F$13:$J$17,4,0)&amp;"_"&amp;$G$2&amp;", "&amp;E105&amp;" as "&amp;G105&amp;" FROM "&amp;D105&amp;" WHERE "&amp;Instruções!$D$21&amp;") B ",
"(SELECT "&amp;VLOOKUP(B105,Instruções!$F$13:$J$17,4,0)&amp;" as "&amp;VLOOKUP(B105,Instruções!$F$13:$J$17,4,0)&amp;"_"&amp;$G$2&amp;", "&amp;VLOOKUP(B105,Instruções!$F$13:$J$17,5,0)&amp;" as "&amp;VLOOKUP(B105,Instruções!$F$13:$J$17,5,0)&amp;"_"&amp;$G$2&amp;","&amp;E105&amp;" as "&amp;G105&amp;" FROM "&amp;D105&amp;" WHERE "&amp;Instruções!$D$21&amp;") B ")</f>
        <v xml:space="preserve">(SELECT entty_id as entty_id_, ttl_dbt as ttl_dbt_to_be FROM bu_loantape_work.lt003_entity WHERE ref_date='2024-09-30' AND nome_perimetro='Individual Corporativo' AND segmento='ESTR' AND ambito='PM' AND entidade='00100' ) B </v>
      </c>
      <c r="J105" s="75" t="str">
        <f>+IF(VLOOKUP(B105,Instruções!$F$13:$J$17,5,0)="", "ON "&amp;VLOOKUP(B105,Instruções!$F$13:$J$17,4,0)&amp;"_"&amp;$F$7&amp;"="&amp;VLOOKUP(B105,Instruções!$F$13:$J$17,4,0)&amp;"_"&amp;$G$7&amp;" ", "ON "&amp;VLOOKUP(B105,Instruções!$F$13:$J$17,4,0)&amp;"_"&amp;$F$7&amp;"="&amp;VLOOKUP(B105,Instruções!$F$13:$J$17,4,0)&amp;"_"&amp;$G$7&amp;" AND "&amp;VLOOKUP(B105,Instruções!$F$13:$J$17,5,0)&amp;"_"&amp;$F$7&amp;"="&amp;VLOOKUP(B105,Instruções!$F$13:$J$17,5,0)&amp;"_"&amp;$G$7&amp;" ")</f>
        <v xml:space="preserve">ON entty_id_as_is=entty_id_to_be </v>
      </c>
      <c r="K105" s="75" t="str">
        <f t="shared" si="10"/>
        <v xml:space="preserve">WHERE coalesce(cast(ttl_dbt_as_is AS string),'')&lt;&gt;coalesce(cast(ttl_dbt_to_be AS string),'') </v>
      </c>
      <c r="L105" s="75" t="str">
        <f t="shared" si="11"/>
        <v xml:space="preserve">SELECT count(*) AS NUM_REG_DIF FROM (SELECT entty_id as entty_id_, ttl_dbt as ttl_dbt_as_is FROM cd_loan_tapes_bce.lt003_entity WHERE ref_date='2024-09-30' AND nome_perimetro='Individual Corporativo' AND segmento='ESTR' AND ambito='PM' AND entidade='00100' ) A  Inner join (SELECT entty_id as entty_id_, ttl_dbt as ttl_dbt_to_be FROM bu_loantape_work.lt003_entity WHERE ref_date='2024-09-30' AND nome_perimetro='Individual Corporativo' AND segmento='ESTR' AND ambito='PM' AND entidade='00100' ) B ON entty_id_as_is=entty_id_to_be WHERE coalesce(cast(ttl_dbt_as_is AS string),'')&lt;&gt;coalesce(cast(ttl_dbt_to_be AS string),'') </v>
      </c>
      <c r="M105" s="75" t="s">
        <v>55</v>
      </c>
      <c r="N105" s="75" t="str">
        <f>"SELECT 'Validação de campos' as tipologia_teste, '"&amp;VLOOKUP(B105,Instruções!$F$13:$J$17,3,0)&amp;"' AS TABELA, '"&amp;E105&amp;"' AS CAMPO, '"&amp;Instruções!$D$15&amp;"' as ref_date, coalesce(NUM_REG_DIF, 0) AS NUM_REG_DIF FROM ("&amp;L105&amp;") A "</f>
        <v xml:space="preserve">SELECT 'Validação de campos' as tipologia_teste, 'lt003_entity' AS TABELA, 'ttl_dbt' AS CAMPO, '2024-09-30' as ref_date, coalesce(NUM_REG_DIF, 0) AS NUM_REG_DIF FROM (SELECT count(*) AS NUM_REG_DIF FROM (SELECT entty_id as entty_id_, ttl_dbt as ttl_dbt_as_is FROM cd_loan_tapes_bce.lt003_entity WHERE ref_date='2024-09-30' AND nome_perimetro='Individual Corporativo' AND segmento='ESTR' AND ambito='PM' AND entidade='00100' ) A  Inner join (SELECT entty_id as entty_id_, ttl_dbt as ttl_dbt_to_be FROM bu_loantape_work.lt003_entity WHERE ref_date='2024-09-30' AND nome_perimetro='Individual Corporativo' AND segmento='ESTR' AND ambito='PM' AND entidade='00100' ) B ON entty_id_as_is=entty_id_to_be WHERE coalesce(cast(ttl_dbt_as_is AS string),'')&lt;&gt;coalesce(cast(ttl_dbt_to_be AS string),'') ) A </v>
      </c>
      <c r="O105" s="76" t="str">
        <f t="shared" si="12"/>
        <v>SELECT 'Validação de campos' as tipologia_teste, 'lt003_entity' AS TABELA, 'ttl_dbt' AS CAMPO, '2024-09-30' as ref_date, coalesce(NUM_REG_DIF, 0) AS NUM_REG_DIF FROM (SELECT count(*) AS NUM_REG_DIF FROM (SELECT entty_id as entty_id_, ttl_dbt as ttl_dbt_as_is FROM cd_loan_tapes_bce.lt003_entity WHERE ref_date='2024-09-30' AND nome_perimetro='Individual Corporativo' AND segmento='ESTR' AND ambito='PM' AND entidade='00100' ) A  Inner join (SELECT entty_id as entty_id_, ttl_dbt as ttl_dbt_to_be FROM bu_loantape_work.lt003_entity WHERE ref_date='2024-09-30' AND nome_perimetro='Individual Corporativo' AND segmento='ESTR' AND ambito='PM' AND entidade='00100' ) B ON entty_id_as_is=entty_id_to_be WHERE coalesce(cast(ttl_dbt_as_is AS string),'')&lt;&gt;coalesce(cast(ttl_dbt_to_be AS string),'') ) A Union all</v>
      </c>
      <c r="P105" s="75">
        <f t="shared" si="13"/>
        <v>46</v>
      </c>
    </row>
    <row r="106" spans="2:16" s="63" customFormat="1" ht="18" customHeight="1">
      <c r="B106" s="75" t="s">
        <v>11</v>
      </c>
      <c r="C106" s="75" t="str">
        <f>_xlfn.CONCAT(Instruções!$D$13,".",VLOOKUP(B106,Instruções!$F$12:$H$17,2,0))</f>
        <v>cd_loan_tapes_bce.lt003_entity</v>
      </c>
      <c r="D106" s="75" t="str">
        <f>_xlfn.CONCAT(Instruções!$D$14,".",VLOOKUP(B106,Instruções!$F$12:$H$17,3,0))</f>
        <v>bu_loantape_work.lt003_entity</v>
      </c>
      <c r="E106" s="75" t="s">
        <v>151</v>
      </c>
      <c r="F106" s="75" t="str">
        <f t="shared" si="14"/>
        <v>ttl_dbt_prvs_as_is</v>
      </c>
      <c r="G106" s="75" t="str">
        <f t="shared" si="15"/>
        <v>ttl_dbt_prvs_to_be</v>
      </c>
      <c r="H106" s="75" t="str">
        <f>IF(VLOOKUP(B106,Instruções!$F$13:$J$17,5,0)="",
"(SELECT "&amp;VLOOKUP(B106,Instruções!$F$13:$J$17,4,0)&amp;" as "&amp;VLOOKUP(B106,Instruções!$F$13:$J$17,4,0)&amp;"_"&amp;$F$2&amp;", "&amp;E106&amp;" as "&amp;F106&amp;" FROM "&amp;C106&amp;" WHERE "&amp;Instruções!$D$20&amp;") A ",
"(SELECT "&amp;VLOOKUP(B106,Instruções!$F$13:$J$17,4,0)&amp;" as "&amp;VLOOKUP(B106,Instruções!$F$13:$J$17,4,0)&amp;"_"&amp;$F$2&amp;", "&amp;VLOOKUP(B106,Instruções!$F$13:$J$17,5,0)&amp;" as "&amp;VLOOKUP(B106,Instruções!$F$13:$J$17,5,0)&amp;"_"&amp;$F$2&amp;","&amp;E106&amp;" as "&amp;F106&amp;" FROM "&amp;C106&amp;" WHERE "&amp;Instruções!$D$20&amp;") A ")</f>
        <v xml:space="preserve">(SELECT entty_id as entty_id_, ttl_dbt_prvs as ttl_dbt_prvs_as_is FROM cd_loan_tapes_bce.lt003_entity WHERE ref_date='2024-09-30' AND nome_perimetro='Individual Corporativo' AND segmento='ESTR' AND ambito='PM' AND entidade='00100' ) A </v>
      </c>
      <c r="I106" s="75" t="str">
        <f>IF(VLOOKUP(B106,Instruções!$F$13:$J$17,5,0)="",
"(SELECT "&amp;VLOOKUP(B106,Instruções!$F$13:$J$17,4,0)&amp;" as "&amp;VLOOKUP(B106,Instruções!$F$13:$J$17,4,0)&amp;"_"&amp;$G$2&amp;", "&amp;E106&amp;" as "&amp;G106&amp;" FROM "&amp;D106&amp;" WHERE "&amp;Instruções!$D$21&amp;") B ",
"(SELECT "&amp;VLOOKUP(B106,Instruções!$F$13:$J$17,4,0)&amp;" as "&amp;VLOOKUP(B106,Instruções!$F$13:$J$17,4,0)&amp;"_"&amp;$G$2&amp;", "&amp;VLOOKUP(B106,Instruções!$F$13:$J$17,5,0)&amp;" as "&amp;VLOOKUP(B106,Instruções!$F$13:$J$17,5,0)&amp;"_"&amp;$G$2&amp;","&amp;E106&amp;" as "&amp;G106&amp;" FROM "&amp;D106&amp;" WHERE "&amp;Instruções!$D$21&amp;") B ")</f>
        <v xml:space="preserve">(SELECT entty_id as entty_id_, ttl_dbt_prvs as ttl_dbt_prvs_to_be FROM bu_loantape_work.lt003_entity WHERE ref_date='2024-09-30' AND nome_perimetro='Individual Corporativo' AND segmento='ESTR' AND ambito='PM' AND entidade='00100' ) B </v>
      </c>
      <c r="J106" s="75" t="str">
        <f>+IF(VLOOKUP(B106,Instruções!$F$13:$J$17,5,0)="", "ON "&amp;VLOOKUP(B106,Instruções!$F$13:$J$17,4,0)&amp;"_"&amp;$F$7&amp;"="&amp;VLOOKUP(B106,Instruções!$F$13:$J$17,4,0)&amp;"_"&amp;$G$7&amp;" ", "ON "&amp;VLOOKUP(B106,Instruções!$F$13:$J$17,4,0)&amp;"_"&amp;$F$7&amp;"="&amp;VLOOKUP(B106,Instruções!$F$13:$J$17,4,0)&amp;"_"&amp;$G$7&amp;" AND "&amp;VLOOKUP(B106,Instruções!$F$13:$J$17,5,0)&amp;"_"&amp;$F$7&amp;"="&amp;VLOOKUP(B106,Instruções!$F$13:$J$17,5,0)&amp;"_"&amp;$G$7&amp;" ")</f>
        <v xml:space="preserve">ON entty_id_as_is=entty_id_to_be </v>
      </c>
      <c r="K106" s="75" t="str">
        <f t="shared" si="10"/>
        <v xml:space="preserve">WHERE coalesce(cast(ttl_dbt_prvs_as_is AS string),'')&lt;&gt;coalesce(cast(ttl_dbt_prvs_to_be AS string),'') </v>
      </c>
      <c r="L106" s="75" t="str">
        <f t="shared" si="11"/>
        <v xml:space="preserve">SELECT count(*) AS NUM_REG_DIF FROM (SELECT entty_id as entty_id_, ttl_dbt_prvs as ttl_dbt_prvs_as_is FROM cd_loan_tapes_bce.lt003_entity WHERE ref_date='2024-09-30' AND nome_perimetro='Individual Corporativo' AND segmento='ESTR' AND ambito='PM' AND entidade='00100' ) A  Inner join (SELECT entty_id as entty_id_, ttl_dbt_prvs as ttl_dbt_prvs_to_be FROM bu_loantape_work.lt003_entity WHERE ref_date='2024-09-30' AND nome_perimetro='Individual Corporativo' AND segmento='ESTR' AND ambito='PM' AND entidade='00100' ) B ON entty_id_as_is=entty_id_to_be WHERE coalesce(cast(ttl_dbt_prvs_as_is AS string),'')&lt;&gt;coalesce(cast(ttl_dbt_prvs_to_be AS string),'') </v>
      </c>
      <c r="M106" s="75" t="s">
        <v>55</v>
      </c>
      <c r="N106" s="75" t="str">
        <f>"SELECT 'Validação de campos' as tipologia_teste, '"&amp;VLOOKUP(B106,Instruções!$F$13:$J$17,3,0)&amp;"' AS TABELA, '"&amp;E106&amp;"' AS CAMPO, '"&amp;Instruções!$D$15&amp;"' as ref_date, coalesce(NUM_REG_DIF, 0) AS NUM_REG_DIF FROM ("&amp;L106&amp;") A "</f>
        <v xml:space="preserve">SELECT 'Validação de campos' as tipologia_teste, 'lt003_entity' AS TABELA, 'ttl_dbt_prvs' AS CAMPO, '2024-09-30' as ref_date, coalesce(NUM_REG_DIF, 0) AS NUM_REG_DIF FROM (SELECT count(*) AS NUM_REG_DIF FROM (SELECT entty_id as entty_id_, ttl_dbt_prvs as ttl_dbt_prvs_as_is FROM cd_loan_tapes_bce.lt003_entity WHERE ref_date='2024-09-30' AND nome_perimetro='Individual Corporativo' AND segmento='ESTR' AND ambito='PM' AND entidade='00100' ) A  Inner join (SELECT entty_id as entty_id_, ttl_dbt_prvs as ttl_dbt_prvs_to_be FROM bu_loantape_work.lt003_entity WHERE ref_date='2024-09-30' AND nome_perimetro='Individual Corporativo' AND segmento='ESTR' AND ambito='PM' AND entidade='00100' ) B ON entty_id_as_is=entty_id_to_be WHERE coalesce(cast(ttl_dbt_prvs_as_is AS string),'')&lt;&gt;coalesce(cast(ttl_dbt_prvs_to_be AS string),'') ) A </v>
      </c>
      <c r="O106" s="76" t="str">
        <f t="shared" si="12"/>
        <v>SELECT 'Validação de campos' as tipologia_teste, 'lt003_entity' AS TABELA, 'ttl_dbt_prvs' AS CAMPO, '2024-09-30' as ref_date, coalesce(NUM_REG_DIF, 0) AS NUM_REG_DIF FROM (SELECT count(*) AS NUM_REG_DIF FROM (SELECT entty_id as entty_id_, ttl_dbt_prvs as ttl_dbt_prvs_as_is FROM cd_loan_tapes_bce.lt003_entity WHERE ref_date='2024-09-30' AND nome_perimetro='Individual Corporativo' AND segmento='ESTR' AND ambito='PM' AND entidade='00100' ) A  Inner join (SELECT entty_id as entty_id_, ttl_dbt_prvs as ttl_dbt_prvs_to_be FROM bu_loantape_work.lt003_entity WHERE ref_date='2024-09-30' AND nome_perimetro='Individual Corporativo' AND segmento='ESTR' AND ambito='PM' AND entidade='00100' ) B ON entty_id_as_is=entty_id_to_be WHERE coalesce(cast(ttl_dbt_prvs_as_is AS string),'')&lt;&gt;coalesce(cast(ttl_dbt_prvs_to_be AS string),'') ) A Union all</v>
      </c>
      <c r="P106" s="75">
        <f t="shared" si="13"/>
        <v>47</v>
      </c>
    </row>
    <row r="107" spans="2:16" s="63" customFormat="1" ht="18" customHeight="1">
      <c r="B107" s="75" t="s">
        <v>11</v>
      </c>
      <c r="C107" s="75" t="str">
        <f>_xlfn.CONCAT(Instruções!$D$13,".",VLOOKUP(B107,Instruções!$F$12:$H$17,2,0))</f>
        <v>cd_loan_tapes_bce.lt003_entity</v>
      </c>
      <c r="D107" s="75" t="str">
        <f>_xlfn.CONCAT(Instruções!$D$14,".",VLOOKUP(B107,Instruções!$F$12:$H$17,3,0))</f>
        <v>bu_loantape_work.lt003_entity</v>
      </c>
      <c r="E107" s="75" t="s">
        <v>152</v>
      </c>
      <c r="F107" s="75" t="str">
        <f t="shared" si="14"/>
        <v>ttl_intrst_pd_as_is</v>
      </c>
      <c r="G107" s="75" t="str">
        <f t="shared" si="15"/>
        <v>ttl_intrst_pd_to_be</v>
      </c>
      <c r="H107" s="75" t="str">
        <f>IF(VLOOKUP(B107,Instruções!$F$13:$J$17,5,0)="",
"(SELECT "&amp;VLOOKUP(B107,Instruções!$F$13:$J$17,4,0)&amp;" as "&amp;VLOOKUP(B107,Instruções!$F$13:$J$17,4,0)&amp;"_"&amp;$F$2&amp;", "&amp;E107&amp;" as "&amp;F107&amp;" FROM "&amp;C107&amp;" WHERE "&amp;Instruções!$D$20&amp;") A ",
"(SELECT "&amp;VLOOKUP(B107,Instruções!$F$13:$J$17,4,0)&amp;" as "&amp;VLOOKUP(B107,Instruções!$F$13:$J$17,4,0)&amp;"_"&amp;$F$2&amp;", "&amp;VLOOKUP(B107,Instruções!$F$13:$J$17,5,0)&amp;" as "&amp;VLOOKUP(B107,Instruções!$F$13:$J$17,5,0)&amp;"_"&amp;$F$2&amp;","&amp;E107&amp;" as "&amp;F107&amp;" FROM "&amp;C107&amp;" WHERE "&amp;Instruções!$D$20&amp;") A ")</f>
        <v xml:space="preserve">(SELECT entty_id as entty_id_, ttl_intrst_pd as ttl_intrst_pd_as_is FROM cd_loan_tapes_bce.lt003_entity WHERE ref_date='2024-09-30' AND nome_perimetro='Individual Corporativo' AND segmento='ESTR' AND ambito='PM' AND entidade='00100' ) A </v>
      </c>
      <c r="I107" s="75" t="str">
        <f>IF(VLOOKUP(B107,Instruções!$F$13:$J$17,5,0)="",
"(SELECT "&amp;VLOOKUP(B107,Instruções!$F$13:$J$17,4,0)&amp;" as "&amp;VLOOKUP(B107,Instruções!$F$13:$J$17,4,0)&amp;"_"&amp;$G$2&amp;", "&amp;E107&amp;" as "&amp;G107&amp;" FROM "&amp;D107&amp;" WHERE "&amp;Instruções!$D$21&amp;") B ",
"(SELECT "&amp;VLOOKUP(B107,Instruções!$F$13:$J$17,4,0)&amp;" as "&amp;VLOOKUP(B107,Instruções!$F$13:$J$17,4,0)&amp;"_"&amp;$G$2&amp;", "&amp;VLOOKUP(B107,Instruções!$F$13:$J$17,5,0)&amp;" as "&amp;VLOOKUP(B107,Instruções!$F$13:$J$17,5,0)&amp;"_"&amp;$G$2&amp;","&amp;E107&amp;" as "&amp;G107&amp;" FROM "&amp;D107&amp;" WHERE "&amp;Instruções!$D$21&amp;") B ")</f>
        <v xml:space="preserve">(SELECT entty_id as entty_id_, ttl_intrst_pd as ttl_intrst_pd_to_be FROM bu_loantape_work.lt003_entity WHERE ref_date='2024-09-30' AND nome_perimetro='Individual Corporativo' AND segmento='ESTR' AND ambito='PM' AND entidade='00100' ) B </v>
      </c>
      <c r="J107" s="75" t="str">
        <f>+IF(VLOOKUP(B107,Instruções!$F$13:$J$17,5,0)="", "ON "&amp;VLOOKUP(B107,Instruções!$F$13:$J$17,4,0)&amp;"_"&amp;$F$7&amp;"="&amp;VLOOKUP(B107,Instruções!$F$13:$J$17,4,0)&amp;"_"&amp;$G$7&amp;" ", "ON "&amp;VLOOKUP(B107,Instruções!$F$13:$J$17,4,0)&amp;"_"&amp;$F$7&amp;"="&amp;VLOOKUP(B107,Instruções!$F$13:$J$17,4,0)&amp;"_"&amp;$G$7&amp;" AND "&amp;VLOOKUP(B107,Instruções!$F$13:$J$17,5,0)&amp;"_"&amp;$F$7&amp;"="&amp;VLOOKUP(B107,Instruções!$F$13:$J$17,5,0)&amp;"_"&amp;$G$7&amp;" ")</f>
        <v xml:space="preserve">ON entty_id_as_is=entty_id_to_be </v>
      </c>
      <c r="K107" s="75" t="str">
        <f t="shared" si="10"/>
        <v xml:space="preserve">WHERE coalesce(cast(ttl_intrst_pd_as_is AS string),'')&lt;&gt;coalesce(cast(ttl_intrst_pd_to_be AS string),'') </v>
      </c>
      <c r="L107" s="75" t="str">
        <f t="shared" si="11"/>
        <v xml:space="preserve">SELECT count(*) AS NUM_REG_DIF FROM (SELECT entty_id as entty_id_, ttl_intrst_pd as ttl_intrst_pd_as_is FROM cd_loan_tapes_bce.lt003_entity WHERE ref_date='2024-09-30' AND nome_perimetro='Individual Corporativo' AND segmento='ESTR' AND ambito='PM' AND entidade='00100' ) A  Inner join (SELECT entty_id as entty_id_, ttl_intrst_pd as ttl_intrst_pd_to_be FROM bu_loantape_work.lt003_entity WHERE ref_date='2024-09-30' AND nome_perimetro='Individual Corporativo' AND segmento='ESTR' AND ambito='PM' AND entidade='00100' ) B ON entty_id_as_is=entty_id_to_be WHERE coalesce(cast(ttl_intrst_pd_as_is AS string),'')&lt;&gt;coalesce(cast(ttl_intrst_pd_to_be AS string),'') </v>
      </c>
      <c r="M107" s="75" t="s">
        <v>55</v>
      </c>
      <c r="N107" s="75" t="str">
        <f>"SELECT 'Validação de campos' as tipologia_teste, '"&amp;VLOOKUP(B107,Instruções!$F$13:$J$17,3,0)&amp;"' AS TABELA, '"&amp;E107&amp;"' AS CAMPO, '"&amp;Instruções!$D$15&amp;"' as ref_date, coalesce(NUM_REG_DIF, 0) AS NUM_REG_DIF FROM ("&amp;L107&amp;") A "</f>
        <v xml:space="preserve">SELECT 'Validação de campos' as tipologia_teste, 'lt003_entity' AS TABELA, 'ttl_intrst_pd' AS CAMPO, '2024-09-30' as ref_date, coalesce(NUM_REG_DIF, 0) AS NUM_REG_DIF FROM (SELECT count(*) AS NUM_REG_DIF FROM (SELECT entty_id as entty_id_, ttl_intrst_pd as ttl_intrst_pd_as_is FROM cd_loan_tapes_bce.lt003_entity WHERE ref_date='2024-09-30' AND nome_perimetro='Individual Corporativo' AND segmento='ESTR' AND ambito='PM' AND entidade='00100' ) A  Inner join (SELECT entty_id as entty_id_, ttl_intrst_pd as ttl_intrst_pd_to_be FROM bu_loantape_work.lt003_entity WHERE ref_date='2024-09-30' AND nome_perimetro='Individual Corporativo' AND segmento='ESTR' AND ambito='PM' AND entidade='00100' ) B ON entty_id_as_is=entty_id_to_be WHERE coalesce(cast(ttl_intrst_pd_as_is AS string),'')&lt;&gt;coalesce(cast(ttl_intrst_pd_to_be AS string),'') ) A </v>
      </c>
      <c r="O107" s="76" t="str">
        <f t="shared" si="12"/>
        <v>SELECT 'Validação de campos' as tipologia_teste, 'lt003_entity' AS TABELA, 'ttl_intrst_pd' AS CAMPO, '2024-09-30' as ref_date, coalesce(NUM_REG_DIF, 0) AS NUM_REG_DIF FROM (SELECT count(*) AS NUM_REG_DIF FROM (SELECT entty_id as entty_id_, ttl_intrst_pd as ttl_intrst_pd_as_is FROM cd_loan_tapes_bce.lt003_entity WHERE ref_date='2024-09-30' AND nome_perimetro='Individual Corporativo' AND segmento='ESTR' AND ambito='PM' AND entidade='00100' ) A  Inner join (SELECT entty_id as entty_id_, ttl_intrst_pd as ttl_intrst_pd_to_be FROM bu_loantape_work.lt003_entity WHERE ref_date='2024-09-30' AND nome_perimetro='Individual Corporativo' AND segmento='ESTR' AND ambito='PM' AND entidade='00100' ) B ON entty_id_as_is=entty_id_to_be WHERE coalesce(cast(ttl_intrst_pd_as_is AS string),'')&lt;&gt;coalesce(cast(ttl_intrst_pd_to_be AS string),'') ) A Union all</v>
      </c>
      <c r="P107" s="75">
        <f t="shared" si="13"/>
        <v>48</v>
      </c>
    </row>
    <row r="108" spans="2:16" s="63" customFormat="1" ht="18" customHeight="1">
      <c r="B108" s="75" t="s">
        <v>11</v>
      </c>
      <c r="C108" s="75" t="str">
        <f>_xlfn.CONCAT(Instruções!$D$13,".",VLOOKUP(B108,Instruções!$F$12:$H$17,2,0))</f>
        <v>cd_loan_tapes_bce.lt003_entity</v>
      </c>
      <c r="D108" s="75" t="str">
        <f>_xlfn.CONCAT(Instruções!$D$14,".",VLOOKUP(B108,Instruções!$F$12:$H$17,3,0))</f>
        <v>bu_loantape_work.lt003_entity</v>
      </c>
      <c r="E108" s="75" t="s">
        <v>153</v>
      </c>
      <c r="F108" s="75" t="str">
        <f t="shared" si="14"/>
        <v>ttl_lvrg_rt_as_is</v>
      </c>
      <c r="G108" s="75" t="str">
        <f t="shared" si="15"/>
        <v>ttl_lvrg_rt_to_be</v>
      </c>
      <c r="H108" s="75" t="str">
        <f>IF(VLOOKUP(B108,Instruções!$F$13:$J$17,5,0)="",
"(SELECT "&amp;VLOOKUP(B108,Instruções!$F$13:$J$17,4,0)&amp;" as "&amp;VLOOKUP(B108,Instruções!$F$13:$J$17,4,0)&amp;"_"&amp;$F$2&amp;", "&amp;E108&amp;" as "&amp;F108&amp;" FROM "&amp;C108&amp;" WHERE "&amp;Instruções!$D$20&amp;") A ",
"(SELECT "&amp;VLOOKUP(B108,Instruções!$F$13:$J$17,4,0)&amp;" as "&amp;VLOOKUP(B108,Instruções!$F$13:$J$17,4,0)&amp;"_"&amp;$F$2&amp;", "&amp;VLOOKUP(B108,Instruções!$F$13:$J$17,5,0)&amp;" as "&amp;VLOOKUP(B108,Instruções!$F$13:$J$17,5,0)&amp;"_"&amp;$F$2&amp;","&amp;E108&amp;" as "&amp;F108&amp;" FROM "&amp;C108&amp;" WHERE "&amp;Instruções!$D$20&amp;") A ")</f>
        <v xml:space="preserve">(SELECT entty_id as entty_id_, ttl_lvrg_rt as ttl_lvrg_rt_as_is FROM cd_loan_tapes_bce.lt003_entity WHERE ref_date='2024-09-30' AND nome_perimetro='Individual Corporativo' AND segmento='ESTR' AND ambito='PM' AND entidade='00100' ) A </v>
      </c>
      <c r="I108" s="75" t="str">
        <f>IF(VLOOKUP(B108,Instruções!$F$13:$J$17,5,0)="",
"(SELECT "&amp;VLOOKUP(B108,Instruções!$F$13:$J$17,4,0)&amp;" as "&amp;VLOOKUP(B108,Instruções!$F$13:$J$17,4,0)&amp;"_"&amp;$G$2&amp;", "&amp;E108&amp;" as "&amp;G108&amp;" FROM "&amp;D108&amp;" WHERE "&amp;Instruções!$D$21&amp;") B ",
"(SELECT "&amp;VLOOKUP(B108,Instruções!$F$13:$J$17,4,0)&amp;" as "&amp;VLOOKUP(B108,Instruções!$F$13:$J$17,4,0)&amp;"_"&amp;$G$2&amp;", "&amp;VLOOKUP(B108,Instruções!$F$13:$J$17,5,0)&amp;" as "&amp;VLOOKUP(B108,Instruções!$F$13:$J$17,5,0)&amp;"_"&amp;$G$2&amp;","&amp;E108&amp;" as "&amp;G108&amp;" FROM "&amp;D108&amp;" WHERE "&amp;Instruções!$D$21&amp;") B ")</f>
        <v xml:space="preserve">(SELECT entty_id as entty_id_, ttl_lvrg_rt as ttl_lvrg_rt_to_be FROM bu_loantape_work.lt003_entity WHERE ref_date='2024-09-30' AND nome_perimetro='Individual Corporativo' AND segmento='ESTR' AND ambito='PM' AND entidade='00100' ) B </v>
      </c>
      <c r="J108" s="75" t="str">
        <f>+IF(VLOOKUP(B108,Instruções!$F$13:$J$17,5,0)="", "ON "&amp;VLOOKUP(B108,Instruções!$F$13:$J$17,4,0)&amp;"_"&amp;$F$7&amp;"="&amp;VLOOKUP(B108,Instruções!$F$13:$J$17,4,0)&amp;"_"&amp;$G$7&amp;" ", "ON "&amp;VLOOKUP(B108,Instruções!$F$13:$J$17,4,0)&amp;"_"&amp;$F$7&amp;"="&amp;VLOOKUP(B108,Instruções!$F$13:$J$17,4,0)&amp;"_"&amp;$G$7&amp;" AND "&amp;VLOOKUP(B108,Instruções!$F$13:$J$17,5,0)&amp;"_"&amp;$F$7&amp;"="&amp;VLOOKUP(B108,Instruções!$F$13:$J$17,5,0)&amp;"_"&amp;$G$7&amp;" ")</f>
        <v xml:space="preserve">ON entty_id_as_is=entty_id_to_be </v>
      </c>
      <c r="K108" s="75" t="str">
        <f t="shared" si="10"/>
        <v xml:space="preserve">WHERE coalesce(cast(ttl_lvrg_rt_as_is AS string),'')&lt;&gt;coalesce(cast(ttl_lvrg_rt_to_be AS string),'') </v>
      </c>
      <c r="L108" s="75" t="str">
        <f t="shared" si="11"/>
        <v xml:space="preserve">SELECT count(*) AS NUM_REG_DIF FROM (SELECT entty_id as entty_id_, ttl_lvrg_rt as ttl_lvrg_rt_as_is FROM cd_loan_tapes_bce.lt003_entity WHERE ref_date='2024-09-30' AND nome_perimetro='Individual Corporativo' AND segmento='ESTR' AND ambito='PM' AND entidade='00100' ) A  Inner join (SELECT entty_id as entty_id_, ttl_lvrg_rt as ttl_lvrg_rt_to_be FROM bu_loantape_work.lt003_entity WHERE ref_date='2024-09-30' AND nome_perimetro='Individual Corporativo' AND segmento='ESTR' AND ambito='PM' AND entidade='00100' ) B ON entty_id_as_is=entty_id_to_be WHERE coalesce(cast(ttl_lvrg_rt_as_is AS string),'')&lt;&gt;coalesce(cast(ttl_lvrg_rt_to_be AS string),'') </v>
      </c>
      <c r="M108" s="75" t="s">
        <v>55</v>
      </c>
      <c r="N108" s="75" t="str">
        <f>"SELECT 'Validação de campos' as tipologia_teste, '"&amp;VLOOKUP(B108,Instruções!$F$13:$J$17,3,0)&amp;"' AS TABELA, '"&amp;E108&amp;"' AS CAMPO, '"&amp;Instruções!$D$15&amp;"' as ref_date, coalesce(NUM_REG_DIF, 0) AS NUM_REG_DIF FROM ("&amp;L108&amp;") A "</f>
        <v xml:space="preserve">SELECT 'Validação de campos' as tipologia_teste, 'lt003_entity' AS TABELA, 'ttl_lvrg_rt' AS CAMPO, '2024-09-30' as ref_date, coalesce(NUM_REG_DIF, 0) AS NUM_REG_DIF FROM (SELECT count(*) AS NUM_REG_DIF FROM (SELECT entty_id as entty_id_, ttl_lvrg_rt as ttl_lvrg_rt_as_is FROM cd_loan_tapes_bce.lt003_entity WHERE ref_date='2024-09-30' AND nome_perimetro='Individual Corporativo' AND segmento='ESTR' AND ambito='PM' AND entidade='00100' ) A  Inner join (SELECT entty_id as entty_id_, ttl_lvrg_rt as ttl_lvrg_rt_to_be FROM bu_loantape_work.lt003_entity WHERE ref_date='2024-09-30' AND nome_perimetro='Individual Corporativo' AND segmento='ESTR' AND ambito='PM' AND entidade='00100' ) B ON entty_id_as_is=entty_id_to_be WHERE coalesce(cast(ttl_lvrg_rt_as_is AS string),'')&lt;&gt;coalesce(cast(ttl_lvrg_rt_to_be AS string),'') ) A </v>
      </c>
      <c r="O108" s="76" t="str">
        <f t="shared" si="12"/>
        <v>SELECT 'Validação de campos' as tipologia_teste, 'lt003_entity' AS TABELA, 'ttl_lvrg_rt' AS CAMPO, '2024-09-30' as ref_date, coalesce(NUM_REG_DIF, 0) AS NUM_REG_DIF FROM (SELECT count(*) AS NUM_REG_DIF FROM (SELECT entty_id as entty_id_, ttl_lvrg_rt as ttl_lvrg_rt_as_is FROM cd_loan_tapes_bce.lt003_entity WHERE ref_date='2024-09-30' AND nome_perimetro='Individual Corporativo' AND segmento='ESTR' AND ambito='PM' AND entidade='00100' ) A  Inner join (SELECT entty_id as entty_id_, ttl_lvrg_rt as ttl_lvrg_rt_to_be FROM bu_loantape_work.lt003_entity WHERE ref_date='2024-09-30' AND nome_perimetro='Individual Corporativo' AND segmento='ESTR' AND ambito='PM' AND entidade='00100' ) B ON entty_id_as_is=entty_id_to_be WHERE coalesce(cast(ttl_lvrg_rt_as_is AS string),'')&lt;&gt;coalesce(cast(ttl_lvrg_rt_to_be AS string),'') ) A Union all</v>
      </c>
      <c r="P108" s="75">
        <f t="shared" si="13"/>
        <v>49</v>
      </c>
    </row>
    <row r="109" spans="2:16" s="63" customFormat="1" ht="18" customHeight="1">
      <c r="B109" s="75" t="s">
        <v>11</v>
      </c>
      <c r="C109" s="75" t="str">
        <f>_xlfn.CONCAT(Instruções!$D$13,".",VLOOKUP(B109,Instruções!$F$12:$H$17,2,0))</f>
        <v>cd_loan_tapes_bce.lt003_entity</v>
      </c>
      <c r="D109" s="75" t="str">
        <f>_xlfn.CONCAT(Instruções!$D$14,".",VLOOKUP(B109,Instruções!$F$12:$H$17,3,0))</f>
        <v>bu_loantape_work.lt003_entity</v>
      </c>
      <c r="E109" s="75" t="s">
        <v>154</v>
      </c>
      <c r="F109" s="75" t="str">
        <f t="shared" si="14"/>
        <v>ttl_lvrg_rt_prvs_as_is</v>
      </c>
      <c r="G109" s="75" t="str">
        <f t="shared" si="15"/>
        <v>ttl_lvrg_rt_prvs_to_be</v>
      </c>
      <c r="H109" s="75" t="str">
        <f>IF(VLOOKUP(B109,Instruções!$F$13:$J$17,5,0)="",
"(SELECT "&amp;VLOOKUP(B109,Instruções!$F$13:$J$17,4,0)&amp;" as "&amp;VLOOKUP(B109,Instruções!$F$13:$J$17,4,0)&amp;"_"&amp;$F$2&amp;", "&amp;E109&amp;" as "&amp;F109&amp;" FROM "&amp;C109&amp;" WHERE "&amp;Instruções!$D$20&amp;") A ",
"(SELECT "&amp;VLOOKUP(B109,Instruções!$F$13:$J$17,4,0)&amp;" as "&amp;VLOOKUP(B109,Instruções!$F$13:$J$17,4,0)&amp;"_"&amp;$F$2&amp;", "&amp;VLOOKUP(B109,Instruções!$F$13:$J$17,5,0)&amp;" as "&amp;VLOOKUP(B109,Instruções!$F$13:$J$17,5,0)&amp;"_"&amp;$F$2&amp;","&amp;E109&amp;" as "&amp;F109&amp;" FROM "&amp;C109&amp;" WHERE "&amp;Instruções!$D$20&amp;") A ")</f>
        <v xml:space="preserve">(SELECT entty_id as entty_id_, ttl_lvrg_rt_prvs as ttl_lvrg_rt_prvs_as_is FROM cd_loan_tapes_bce.lt003_entity WHERE ref_date='2024-09-30' AND nome_perimetro='Individual Corporativo' AND segmento='ESTR' AND ambito='PM' AND entidade='00100' ) A </v>
      </c>
      <c r="I109" s="75" t="str">
        <f>IF(VLOOKUP(B109,Instruções!$F$13:$J$17,5,0)="",
"(SELECT "&amp;VLOOKUP(B109,Instruções!$F$13:$J$17,4,0)&amp;" as "&amp;VLOOKUP(B109,Instruções!$F$13:$J$17,4,0)&amp;"_"&amp;$G$2&amp;", "&amp;E109&amp;" as "&amp;G109&amp;" FROM "&amp;D109&amp;" WHERE "&amp;Instruções!$D$21&amp;") B ",
"(SELECT "&amp;VLOOKUP(B109,Instruções!$F$13:$J$17,4,0)&amp;" as "&amp;VLOOKUP(B109,Instruções!$F$13:$J$17,4,0)&amp;"_"&amp;$G$2&amp;", "&amp;VLOOKUP(B109,Instruções!$F$13:$J$17,5,0)&amp;" as "&amp;VLOOKUP(B109,Instruções!$F$13:$J$17,5,0)&amp;"_"&amp;$G$2&amp;","&amp;E109&amp;" as "&amp;G109&amp;" FROM "&amp;D109&amp;" WHERE "&amp;Instruções!$D$21&amp;") B ")</f>
        <v xml:space="preserve">(SELECT entty_id as entty_id_, ttl_lvrg_rt_prvs as ttl_lvrg_rt_prvs_to_be FROM bu_loantape_work.lt003_entity WHERE ref_date='2024-09-30' AND nome_perimetro='Individual Corporativo' AND segmento='ESTR' AND ambito='PM' AND entidade='00100' ) B </v>
      </c>
      <c r="J109" s="75" t="str">
        <f>+IF(VLOOKUP(B109,Instruções!$F$13:$J$17,5,0)="", "ON "&amp;VLOOKUP(B109,Instruções!$F$13:$J$17,4,0)&amp;"_"&amp;$F$7&amp;"="&amp;VLOOKUP(B109,Instruções!$F$13:$J$17,4,0)&amp;"_"&amp;$G$7&amp;" ", "ON "&amp;VLOOKUP(B109,Instruções!$F$13:$J$17,4,0)&amp;"_"&amp;$F$7&amp;"="&amp;VLOOKUP(B109,Instruções!$F$13:$J$17,4,0)&amp;"_"&amp;$G$7&amp;" AND "&amp;VLOOKUP(B109,Instruções!$F$13:$J$17,5,0)&amp;"_"&amp;$F$7&amp;"="&amp;VLOOKUP(B109,Instruções!$F$13:$J$17,5,0)&amp;"_"&amp;$G$7&amp;" ")</f>
        <v xml:space="preserve">ON entty_id_as_is=entty_id_to_be </v>
      </c>
      <c r="K109" s="75" t="str">
        <f t="shared" si="10"/>
        <v xml:space="preserve">WHERE coalesce(cast(ttl_lvrg_rt_prvs_as_is AS string),'')&lt;&gt;coalesce(cast(ttl_lvrg_rt_prvs_to_be AS string),'') </v>
      </c>
      <c r="L109" s="75" t="str">
        <f t="shared" si="11"/>
        <v xml:space="preserve">SELECT count(*) AS NUM_REG_DIF FROM (SELECT entty_id as entty_id_, ttl_lvrg_rt_prvs as ttl_lvrg_rt_prvs_as_is FROM cd_loan_tapes_bce.lt003_entity WHERE ref_date='2024-09-30' AND nome_perimetro='Individual Corporativo' AND segmento='ESTR' AND ambito='PM' AND entidade='00100' ) A  Inner join (SELECT entty_id as entty_id_, ttl_lvrg_rt_prvs as ttl_lvrg_rt_prvs_to_be FROM bu_loantape_work.lt003_entity WHERE ref_date='2024-09-30' AND nome_perimetro='Individual Corporativo' AND segmento='ESTR' AND ambito='PM' AND entidade='00100' ) B ON entty_id_as_is=entty_id_to_be WHERE coalesce(cast(ttl_lvrg_rt_prvs_as_is AS string),'')&lt;&gt;coalesce(cast(ttl_lvrg_rt_prvs_to_be AS string),'') </v>
      </c>
      <c r="M109" s="75" t="s">
        <v>55</v>
      </c>
      <c r="N109" s="75" t="str">
        <f>"SELECT 'Validação de campos' as tipologia_teste, '"&amp;VLOOKUP(B109,Instruções!$F$13:$J$17,3,0)&amp;"' AS TABELA, '"&amp;E109&amp;"' AS CAMPO, '"&amp;Instruções!$D$15&amp;"' as ref_date, coalesce(NUM_REG_DIF, 0) AS NUM_REG_DIF FROM ("&amp;L109&amp;") A "</f>
        <v xml:space="preserve">SELECT 'Validação de campos' as tipologia_teste, 'lt003_entity' AS TABELA, 'ttl_lvrg_rt_prvs' AS CAMPO, '2024-09-30' as ref_date, coalesce(NUM_REG_DIF, 0) AS NUM_REG_DIF FROM (SELECT count(*) AS NUM_REG_DIF FROM (SELECT entty_id as entty_id_, ttl_lvrg_rt_prvs as ttl_lvrg_rt_prvs_as_is FROM cd_loan_tapes_bce.lt003_entity WHERE ref_date='2024-09-30' AND nome_perimetro='Individual Corporativo' AND segmento='ESTR' AND ambito='PM' AND entidade='00100' ) A  Inner join (SELECT entty_id as entty_id_, ttl_lvrg_rt_prvs as ttl_lvrg_rt_prvs_to_be FROM bu_loantape_work.lt003_entity WHERE ref_date='2024-09-30' AND nome_perimetro='Individual Corporativo' AND segmento='ESTR' AND ambito='PM' AND entidade='00100' ) B ON entty_id_as_is=entty_id_to_be WHERE coalesce(cast(ttl_lvrg_rt_prvs_as_is AS string),'')&lt;&gt;coalesce(cast(ttl_lvrg_rt_prvs_to_be AS string),'') ) A </v>
      </c>
      <c r="O109" s="76" t="str">
        <f>IF(O110="",N109,N109&amp;$O$8)</f>
        <v xml:space="preserve">SELECT 'Validação de campos' as tipologia_teste, 'lt003_entity' AS TABELA, 'ttl_lvrg_rt_prvs' AS CAMPO, '2024-09-30' as ref_date, coalesce(NUM_REG_DIF, 0) AS NUM_REG_DIF FROM (SELECT count(*) AS NUM_REG_DIF FROM (SELECT entty_id as entty_id_, ttl_lvrg_rt_prvs as ttl_lvrg_rt_prvs_as_is FROM cd_loan_tapes_bce.lt003_entity WHERE ref_date='2024-09-30' AND nome_perimetro='Individual Corporativo' AND segmento='ESTR' AND ambito='PM' AND entidade='00100' ) A  Inner join (SELECT entty_id as entty_id_, ttl_lvrg_rt_prvs as ttl_lvrg_rt_prvs_to_be FROM bu_loantape_work.lt003_entity WHERE ref_date='2024-09-30' AND nome_perimetro='Individual Corporativo' AND segmento='ESTR' AND ambito='PM' AND entidade='00100' ) B ON entty_id_as_is=entty_id_to_be WHERE coalesce(cast(ttl_lvrg_rt_prvs_as_is AS string),'')&lt;&gt;coalesce(cast(ttl_lvrg_rt_prvs_to_be AS string),'') ) A </v>
      </c>
      <c r="P109" s="75">
        <f>P108+1</f>
        <v>50</v>
      </c>
    </row>
    <row r="110" spans="2:16" s="63" customFormat="1" ht="4.9000000000000004" customHeight="1">
      <c r="B110" s="82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4"/>
      <c r="P110" s="85"/>
    </row>
    <row r="111" spans="2:16" s="63" customFormat="1" ht="18" customHeight="1">
      <c r="B111" s="75" t="s">
        <v>11</v>
      </c>
      <c r="C111" s="75" t="str">
        <f>_xlfn.CONCAT(Instruções!$D$13,".",VLOOKUP(B111,Instruções!$F$12:$H$17,2,0))</f>
        <v>cd_loan_tapes_bce.lt003_entity</v>
      </c>
      <c r="D111" s="75" t="str">
        <f>_xlfn.CONCAT(Instruções!$D$14,".",VLOOKUP(B111,Instruções!$F$12:$H$17,3,0))</f>
        <v>bu_loantape_work.lt003_entity</v>
      </c>
      <c r="E111" s="75" t="s">
        <v>155</v>
      </c>
      <c r="F111" s="75" t="str">
        <f t="shared" ref="F111:F142" si="16">E111&amp;"_"&amp;$F$7</f>
        <v>ttl_prmssbl_dbt_blnc_as_is</v>
      </c>
      <c r="G111" s="75" t="str">
        <f t="shared" ref="G111:G142" si="17">E111&amp;"_"&amp;$G$7</f>
        <v>ttl_prmssbl_dbt_blnc_to_be</v>
      </c>
      <c r="H111" s="75" t="str">
        <f>IF(VLOOKUP(B111,Instruções!$F$13:$J$17,5,0)="",
"(SELECT "&amp;VLOOKUP(B111,Instruções!$F$13:$J$17,4,0)&amp;" as "&amp;VLOOKUP(B111,Instruções!$F$13:$J$17,4,0)&amp;"_"&amp;$F$2&amp;", "&amp;E111&amp;" as "&amp;F111&amp;" FROM "&amp;C111&amp;" WHERE "&amp;Instruções!$D$20&amp;") A ",
"(SELECT "&amp;VLOOKUP(B111,Instruções!$F$13:$J$17,4,0)&amp;" as "&amp;VLOOKUP(B111,Instruções!$F$13:$J$17,4,0)&amp;"_"&amp;$F$2&amp;", "&amp;VLOOKUP(B111,Instruções!$F$13:$J$17,5,0)&amp;" as "&amp;VLOOKUP(B111,Instruções!$F$13:$J$17,5,0)&amp;"_"&amp;$F$2&amp;","&amp;E111&amp;" as "&amp;F111&amp;" FROM "&amp;C111&amp;" WHERE "&amp;Instruções!$D$20&amp;") A ")</f>
        <v xml:space="preserve">(SELECT entty_id as entty_id_, ttl_prmssbl_dbt_blnc as ttl_prmssbl_dbt_blnc_as_is FROM cd_loan_tapes_bce.lt003_entity WHERE ref_date='2024-09-30' AND nome_perimetro='Individual Corporativo' AND segmento='ESTR' AND ambito='PM' AND entidade='00100' ) A </v>
      </c>
      <c r="I111" s="75" t="str">
        <f>IF(VLOOKUP(B111,Instruções!$F$13:$J$17,5,0)="",
"(SELECT "&amp;VLOOKUP(B111,Instruções!$F$13:$J$17,4,0)&amp;" as "&amp;VLOOKUP(B111,Instruções!$F$13:$J$17,4,0)&amp;"_"&amp;$G$2&amp;", "&amp;E111&amp;" as "&amp;G111&amp;" FROM "&amp;D111&amp;" WHERE "&amp;Instruções!$D$21&amp;") B ",
"(SELECT "&amp;VLOOKUP(B111,Instruções!$F$13:$J$17,4,0)&amp;" as "&amp;VLOOKUP(B111,Instruções!$F$13:$J$17,4,0)&amp;"_"&amp;$G$2&amp;", "&amp;VLOOKUP(B111,Instruções!$F$13:$J$17,5,0)&amp;" as "&amp;VLOOKUP(B111,Instruções!$F$13:$J$17,5,0)&amp;"_"&amp;$G$2&amp;","&amp;E111&amp;" as "&amp;G111&amp;" FROM "&amp;D111&amp;" WHERE "&amp;Instruções!$D$21&amp;") B ")</f>
        <v xml:space="preserve">(SELECT entty_id as entty_id_, ttl_prmssbl_dbt_blnc as ttl_prmssbl_dbt_blnc_to_be FROM bu_loantape_work.lt003_entity WHERE ref_date='2024-09-30' AND nome_perimetro='Individual Corporativo' AND segmento='ESTR' AND ambito='PM' AND entidade='00100' ) B </v>
      </c>
      <c r="J111" s="75" t="str">
        <f>+IF(VLOOKUP(B111,Instruções!$F$13:$J$17,5,0)="", "ON "&amp;VLOOKUP(B111,Instruções!$F$13:$J$17,4,0)&amp;"_"&amp;$F$7&amp;"="&amp;VLOOKUP(B111,Instruções!$F$13:$J$17,4,0)&amp;"_"&amp;$G$7&amp;" ", "ON "&amp;VLOOKUP(B111,Instruções!$F$13:$J$17,4,0)&amp;"_"&amp;$F$7&amp;"="&amp;VLOOKUP(B111,Instruções!$F$13:$J$17,4,0)&amp;"_"&amp;$G$7&amp;" AND "&amp;VLOOKUP(B111,Instruções!$F$13:$J$17,5,0)&amp;"_"&amp;$F$7&amp;"="&amp;VLOOKUP(B111,Instruções!$F$13:$J$17,5,0)&amp;"_"&amp;$G$7&amp;" ")</f>
        <v xml:space="preserve">ON entty_id_as_is=entty_id_to_be </v>
      </c>
      <c r="K111" s="75" t="str">
        <f t="shared" ref="K111:K160" si="18">"WHERE coalesce(cast("&amp;F111&amp;" AS string),'')&lt;&gt;coalesce(cast("&amp;G111&amp;" AS string),'') "</f>
        <v xml:space="preserve">WHERE coalesce(cast(ttl_prmssbl_dbt_blnc_as_is AS string),'')&lt;&gt;coalesce(cast(ttl_prmssbl_dbt_blnc_to_be AS string),'') </v>
      </c>
      <c r="L111" s="75" t="str">
        <f t="shared" ref="L111:L160" si="19">"SELECT count(*) AS NUM_REG_DIF FROM "&amp;H111&amp;" Inner join "&amp;I111&amp;J111&amp;K111</f>
        <v xml:space="preserve">SELECT count(*) AS NUM_REG_DIF FROM (SELECT entty_id as entty_id_, ttl_prmssbl_dbt_blnc as ttl_prmssbl_dbt_blnc_as_is FROM cd_loan_tapes_bce.lt003_entity WHERE ref_date='2024-09-30' AND nome_perimetro='Individual Corporativo' AND segmento='ESTR' AND ambito='PM' AND entidade='00100' ) A  Inner join (SELECT entty_id as entty_id_, ttl_prmssbl_dbt_blnc as ttl_prmssbl_dbt_blnc_to_be FROM bu_loantape_work.lt003_entity WHERE ref_date='2024-09-30' AND nome_perimetro='Individual Corporativo' AND segmento='ESTR' AND ambito='PM' AND entidade='00100' ) B ON entty_id_as_is=entty_id_to_be WHERE coalesce(cast(ttl_prmssbl_dbt_blnc_as_is AS string),'')&lt;&gt;coalesce(cast(ttl_prmssbl_dbt_blnc_to_be AS string),'') </v>
      </c>
      <c r="M111" s="75" t="s">
        <v>55</v>
      </c>
      <c r="N111" s="75" t="str">
        <f>"SELECT 'Validação de campos' as tipologia_teste, '"&amp;VLOOKUP(B111,Instruções!$F$13:$J$17,3,0)&amp;"' AS TABELA, '"&amp;E111&amp;"' AS CAMPO, '"&amp;Instruções!$D$15&amp;"' as ref_date, coalesce(NUM_REG_DIF, 0) AS NUM_REG_DIF FROM ("&amp;L111&amp;") A "</f>
        <v xml:space="preserve">SELECT 'Validação de campos' as tipologia_teste, 'lt003_entity' AS TABELA, 'ttl_prmssbl_dbt_blnc' AS CAMPO, '2024-09-30' as ref_date, coalesce(NUM_REG_DIF, 0) AS NUM_REG_DIF FROM (SELECT count(*) AS NUM_REG_DIF FROM (SELECT entty_id as entty_id_, ttl_prmssbl_dbt_blnc as ttl_prmssbl_dbt_blnc_as_is FROM cd_loan_tapes_bce.lt003_entity WHERE ref_date='2024-09-30' AND nome_perimetro='Individual Corporativo' AND segmento='ESTR' AND ambito='PM' AND entidade='00100' ) A  Inner join (SELECT entty_id as entty_id_, ttl_prmssbl_dbt_blnc as ttl_prmssbl_dbt_blnc_to_be FROM bu_loantape_work.lt003_entity WHERE ref_date='2024-09-30' AND nome_perimetro='Individual Corporativo' AND segmento='ESTR' AND ambito='PM' AND entidade='00100' ) B ON entty_id_as_is=entty_id_to_be WHERE coalesce(cast(ttl_prmssbl_dbt_blnc_as_is AS string),'')&lt;&gt;coalesce(cast(ttl_prmssbl_dbt_blnc_to_be AS string),'') ) A </v>
      </c>
      <c r="O111" s="76" t="str">
        <f t="shared" ref="O111:O159" si="20">IF(O112="",N111,N111&amp;$O$8)</f>
        <v>SELECT 'Validação de campos' as tipologia_teste, 'lt003_entity' AS TABELA, 'ttl_prmssbl_dbt_blnc' AS CAMPO, '2024-09-30' as ref_date, coalesce(NUM_REG_DIF, 0) AS NUM_REG_DIF FROM (SELECT count(*) AS NUM_REG_DIF FROM (SELECT entty_id as entty_id_, ttl_prmssbl_dbt_blnc as ttl_prmssbl_dbt_blnc_as_is FROM cd_loan_tapes_bce.lt003_entity WHERE ref_date='2024-09-30' AND nome_perimetro='Individual Corporativo' AND segmento='ESTR' AND ambito='PM' AND entidade='00100' ) A  Inner join (SELECT entty_id as entty_id_, ttl_prmssbl_dbt_blnc as ttl_prmssbl_dbt_blnc_to_be FROM bu_loantape_work.lt003_entity WHERE ref_date='2024-09-30' AND nome_perimetro='Individual Corporativo' AND segmento='ESTR' AND ambito='PM' AND entidade='00100' ) B ON entty_id_as_is=entty_id_to_be WHERE coalesce(cast(ttl_prmssbl_dbt_blnc_as_is AS string),'')&lt;&gt;coalesce(cast(ttl_prmssbl_dbt_blnc_to_be AS string),'') ) A Union all</v>
      </c>
      <c r="P111" s="75">
        <f>+P110+1</f>
        <v>1</v>
      </c>
    </row>
    <row r="112" spans="2:16" s="63" customFormat="1" ht="18" customHeight="1">
      <c r="B112" s="75" t="s">
        <v>11</v>
      </c>
      <c r="C112" s="75" t="str">
        <f>_xlfn.CONCAT(Instruções!$D$13,".",VLOOKUP(B112,Instruções!$F$12:$H$17,2,0))</f>
        <v>cd_loan_tapes_bce.lt003_entity</v>
      </c>
      <c r="D112" s="75" t="str">
        <f>_xlfn.CONCAT(Instruções!$D$14,".",VLOOKUP(B112,Instruções!$F$12:$H$17,3,0))</f>
        <v>bu_loantape_work.lt003_entity</v>
      </c>
      <c r="E112" s="75" t="s">
        <v>156</v>
      </c>
      <c r="F112" s="75" t="str">
        <f t="shared" si="16"/>
        <v>wtch_lst_as_is</v>
      </c>
      <c r="G112" s="75" t="str">
        <f t="shared" si="17"/>
        <v>wtch_lst_to_be</v>
      </c>
      <c r="H112" s="75" t="str">
        <f>IF(VLOOKUP(B112,Instruções!$F$13:$J$17,5,0)="",
"(SELECT "&amp;VLOOKUP(B112,Instruções!$F$13:$J$17,4,0)&amp;" as "&amp;VLOOKUP(B112,Instruções!$F$13:$J$17,4,0)&amp;"_"&amp;$F$2&amp;", "&amp;E112&amp;" as "&amp;F112&amp;" FROM "&amp;C112&amp;" WHERE "&amp;Instruções!$D$20&amp;") A ",
"(SELECT "&amp;VLOOKUP(B112,Instruções!$F$13:$J$17,4,0)&amp;" as "&amp;VLOOKUP(B112,Instruções!$F$13:$J$17,4,0)&amp;"_"&amp;$F$2&amp;", "&amp;VLOOKUP(B112,Instruções!$F$13:$J$17,5,0)&amp;" as "&amp;VLOOKUP(B112,Instruções!$F$13:$J$17,5,0)&amp;"_"&amp;$F$2&amp;","&amp;E112&amp;" as "&amp;F112&amp;" FROM "&amp;C112&amp;" WHERE "&amp;Instruções!$D$20&amp;") A ")</f>
        <v xml:space="preserve">(SELECT entty_id as entty_id_, wtch_lst as wtch_lst_as_is FROM cd_loan_tapes_bce.lt003_entity WHERE ref_date='2024-09-30' AND nome_perimetro='Individual Corporativo' AND segmento='ESTR' AND ambito='PM' AND entidade='00100' ) A </v>
      </c>
      <c r="I112" s="75" t="str">
        <f>IF(VLOOKUP(B112,Instruções!$F$13:$J$17,5,0)="",
"(SELECT "&amp;VLOOKUP(B112,Instruções!$F$13:$J$17,4,0)&amp;" as "&amp;VLOOKUP(B112,Instruções!$F$13:$J$17,4,0)&amp;"_"&amp;$G$2&amp;", "&amp;E112&amp;" as "&amp;G112&amp;" FROM "&amp;D112&amp;" WHERE "&amp;Instruções!$D$21&amp;") B ",
"(SELECT "&amp;VLOOKUP(B112,Instruções!$F$13:$J$17,4,0)&amp;" as "&amp;VLOOKUP(B112,Instruções!$F$13:$J$17,4,0)&amp;"_"&amp;$G$2&amp;", "&amp;VLOOKUP(B112,Instruções!$F$13:$J$17,5,0)&amp;" as "&amp;VLOOKUP(B112,Instruções!$F$13:$J$17,5,0)&amp;"_"&amp;$G$2&amp;","&amp;E112&amp;" as "&amp;G112&amp;" FROM "&amp;D112&amp;" WHERE "&amp;Instruções!$D$21&amp;") B ")</f>
        <v xml:space="preserve">(SELECT entty_id as entty_id_, wtch_lst as wtch_lst_to_be FROM bu_loantape_work.lt003_entity WHERE ref_date='2024-09-30' AND nome_perimetro='Individual Corporativo' AND segmento='ESTR' AND ambito='PM' AND entidade='00100' ) B </v>
      </c>
      <c r="J112" s="75" t="str">
        <f>+IF(VLOOKUP(B112,Instruções!$F$13:$J$17,5,0)="", "ON "&amp;VLOOKUP(B112,Instruções!$F$13:$J$17,4,0)&amp;"_"&amp;$F$7&amp;"="&amp;VLOOKUP(B112,Instruções!$F$13:$J$17,4,0)&amp;"_"&amp;$G$7&amp;" ", "ON "&amp;VLOOKUP(B112,Instruções!$F$13:$J$17,4,0)&amp;"_"&amp;$F$7&amp;"="&amp;VLOOKUP(B112,Instruções!$F$13:$J$17,4,0)&amp;"_"&amp;$G$7&amp;" AND "&amp;VLOOKUP(B112,Instruções!$F$13:$J$17,5,0)&amp;"_"&amp;$F$7&amp;"="&amp;VLOOKUP(B112,Instruções!$F$13:$J$17,5,0)&amp;"_"&amp;$G$7&amp;" ")</f>
        <v xml:space="preserve">ON entty_id_as_is=entty_id_to_be </v>
      </c>
      <c r="K112" s="75" t="str">
        <f t="shared" si="18"/>
        <v xml:space="preserve">WHERE coalesce(cast(wtch_lst_as_is AS string),'')&lt;&gt;coalesce(cast(wtch_lst_to_be AS string),'') </v>
      </c>
      <c r="L112" s="75" t="str">
        <f t="shared" si="19"/>
        <v xml:space="preserve">SELECT count(*) AS NUM_REG_DIF FROM (SELECT entty_id as entty_id_, wtch_lst as wtch_lst_as_is FROM cd_loan_tapes_bce.lt003_entity WHERE ref_date='2024-09-30' AND nome_perimetro='Individual Corporativo' AND segmento='ESTR' AND ambito='PM' AND entidade='00100' ) A  Inner join (SELECT entty_id as entty_id_, wtch_lst as wtch_lst_to_be FROM bu_loantape_work.lt003_entity WHERE ref_date='2024-09-30' AND nome_perimetro='Individual Corporativo' AND segmento='ESTR' AND ambito='PM' AND entidade='00100' ) B ON entty_id_as_is=entty_id_to_be WHERE coalesce(cast(wtch_lst_as_is AS string),'')&lt;&gt;coalesce(cast(wtch_lst_to_be AS string),'') </v>
      </c>
      <c r="M112" s="75" t="s">
        <v>55</v>
      </c>
      <c r="N112" s="75" t="str">
        <f>"SELECT 'Validação de campos' as tipologia_teste, '"&amp;VLOOKUP(B112,Instruções!$F$13:$J$17,3,0)&amp;"' AS TABELA, '"&amp;E112&amp;"' AS CAMPO, '"&amp;Instruções!$D$15&amp;"' as ref_date, coalesce(NUM_REG_DIF, 0) AS NUM_REG_DIF FROM ("&amp;L112&amp;") A "</f>
        <v xml:space="preserve">SELECT 'Validação de campos' as tipologia_teste, 'lt003_entity' AS TABELA, 'wtch_lst' AS CAMPO, '2024-09-30' as ref_date, coalesce(NUM_REG_DIF, 0) AS NUM_REG_DIF FROM (SELECT count(*) AS NUM_REG_DIF FROM (SELECT entty_id as entty_id_, wtch_lst as wtch_lst_as_is FROM cd_loan_tapes_bce.lt003_entity WHERE ref_date='2024-09-30' AND nome_perimetro='Individual Corporativo' AND segmento='ESTR' AND ambito='PM' AND entidade='00100' ) A  Inner join (SELECT entty_id as entty_id_, wtch_lst as wtch_lst_to_be FROM bu_loantape_work.lt003_entity WHERE ref_date='2024-09-30' AND nome_perimetro='Individual Corporativo' AND segmento='ESTR' AND ambito='PM' AND entidade='00100' ) B ON entty_id_as_is=entty_id_to_be WHERE coalesce(cast(wtch_lst_as_is AS string),'')&lt;&gt;coalesce(cast(wtch_lst_to_be AS string),'') ) A </v>
      </c>
      <c r="O112" s="76" t="str">
        <f t="shared" si="20"/>
        <v>SELECT 'Validação de campos' as tipologia_teste, 'lt003_entity' AS TABELA, 'wtch_lst' AS CAMPO, '2024-09-30' as ref_date, coalesce(NUM_REG_DIF, 0) AS NUM_REG_DIF FROM (SELECT count(*) AS NUM_REG_DIF FROM (SELECT entty_id as entty_id_, wtch_lst as wtch_lst_as_is FROM cd_loan_tapes_bce.lt003_entity WHERE ref_date='2024-09-30' AND nome_perimetro='Individual Corporativo' AND segmento='ESTR' AND ambito='PM' AND entidade='00100' ) A  Inner join (SELECT entty_id as entty_id_, wtch_lst as wtch_lst_to_be FROM bu_loantape_work.lt003_entity WHERE ref_date='2024-09-30' AND nome_perimetro='Individual Corporativo' AND segmento='ESTR' AND ambito='PM' AND entidade='00100' ) B ON entty_id_as_is=entty_id_to_be WHERE coalesce(cast(wtch_lst_as_is AS string),'')&lt;&gt;coalesce(cast(wtch_lst_to_be AS string),'') ) A Union all</v>
      </c>
      <c r="P112" s="75">
        <f t="shared" ref="P112:P140" si="21">+P111+1</f>
        <v>2</v>
      </c>
    </row>
    <row r="113" spans="2:16" s="63" customFormat="1" ht="18" customHeight="1">
      <c r="B113" s="75" t="s">
        <v>16</v>
      </c>
      <c r="C113" s="75" t="str">
        <f>_xlfn.CONCAT(Instruções!$D$13,".",VLOOKUP(B113,Instruções!$F$12:$H$17,2,0))</f>
        <v>cd_loan_tapes_bce.lt005_instr_ent</v>
      </c>
      <c r="D113" s="75" t="str">
        <f>_xlfn.CONCAT(Instruções!$D$14,".",VLOOKUP(B113,Instruções!$F$12:$H$17,3,0))</f>
        <v>bu_loantape_work.lt005_instr_ent</v>
      </c>
      <c r="E113" s="75" t="s">
        <v>64</v>
      </c>
      <c r="F113" s="75" t="str">
        <f t="shared" si="16"/>
        <v>cod_soc_as_is</v>
      </c>
      <c r="G113" s="75" t="str">
        <f t="shared" si="17"/>
        <v>cod_soc_to_be</v>
      </c>
      <c r="H113" s="75" t="str">
        <f>IF(VLOOKUP(B113,Instruções!$F$13:$J$17,5,0)="",
"(SELECT "&amp;VLOOKUP(B113,Instruções!$F$13:$J$17,4,0)&amp;" as "&amp;VLOOKUP(B113,Instruções!$F$13:$J$17,4,0)&amp;"_"&amp;$F$2&amp;", "&amp;E113&amp;" as "&amp;F113&amp;" FROM "&amp;C113&amp;" WHERE "&amp;Instruções!$D$20&amp;") A ",
"(SELECT "&amp;VLOOKUP(B113,Instruções!$F$13:$J$17,4,0)&amp;" as "&amp;VLOOKUP(B113,Instruções!$F$13:$J$17,4,0)&amp;"_"&amp;$F$2&amp;", "&amp;VLOOKUP(B113,Instruções!$F$13:$J$17,5,0)&amp;" as "&amp;VLOOKUP(B113,Instruções!$F$13:$J$17,5,0)&amp;"_"&amp;$F$2&amp;","&amp;E113&amp;" as "&amp;F113&amp;" FROM "&amp;C113&amp;" WHERE "&amp;Instruções!$D$20&amp;") A ")</f>
        <v xml:space="preserve">(SELECT instrmnt_id as instrmnt_id_, entty_id as entty_id_,cod_soc as cod_soc_as_is FROM cd_loan_tapes_bce.lt005_instr_ent WHERE ref_date='2024-09-30' AND nome_perimetro='Individual Corporativo' AND segmento='ESTR' AND ambito='PM' AND entidade='00100' ) A </v>
      </c>
      <c r="I113" s="75" t="str">
        <f>IF(VLOOKUP(B113,Instruções!$F$13:$J$17,5,0)="",
"(SELECT "&amp;VLOOKUP(B113,Instruções!$F$13:$J$17,4,0)&amp;" as "&amp;VLOOKUP(B113,Instruções!$F$13:$J$17,4,0)&amp;"_"&amp;$G$2&amp;", "&amp;E113&amp;" as "&amp;G113&amp;" FROM "&amp;D113&amp;" WHERE "&amp;Instruções!$D$21&amp;") B ",
"(SELECT "&amp;VLOOKUP(B113,Instruções!$F$13:$J$17,4,0)&amp;" as "&amp;VLOOKUP(B113,Instruções!$F$13:$J$17,4,0)&amp;"_"&amp;$G$2&amp;", "&amp;VLOOKUP(B113,Instruções!$F$13:$J$17,5,0)&amp;" as "&amp;VLOOKUP(B113,Instruções!$F$13:$J$17,5,0)&amp;"_"&amp;$G$2&amp;","&amp;E113&amp;" as "&amp;G113&amp;" FROM "&amp;D113&amp;" WHERE "&amp;Instruções!$D$21&amp;") B ")</f>
        <v xml:space="preserve">(SELECT instrmnt_id as instrmnt_id_, entty_id as entty_id_,cod_soc as cod_soc_to_be FROM bu_loantape_work.lt005_instr_ent WHERE ref_date='2024-09-30' AND nome_perimetro='Individual Corporativo' AND segmento='ESTR' AND ambito='PM' AND entidade='00100' ) B </v>
      </c>
      <c r="J113" s="75" t="str">
        <f>+IF(VLOOKUP(B113,Instruções!$F$13:$J$17,5,0)="", "ON "&amp;VLOOKUP(B113,Instruções!$F$13:$J$17,4,0)&amp;"_"&amp;$F$7&amp;"="&amp;VLOOKUP(B113,Instruções!$F$13:$J$17,4,0)&amp;"_"&amp;$G$7&amp;" ", "ON "&amp;VLOOKUP(B113,Instruções!$F$13:$J$17,4,0)&amp;"_"&amp;$F$7&amp;"="&amp;VLOOKUP(B113,Instruções!$F$13:$J$17,4,0)&amp;"_"&amp;$G$7&amp;" AND "&amp;VLOOKUP(B113,Instruções!$F$13:$J$17,5,0)&amp;"_"&amp;$F$7&amp;"="&amp;VLOOKUP(B113,Instruções!$F$13:$J$17,5,0)&amp;"_"&amp;$G$7&amp;" ")</f>
        <v xml:space="preserve">ON instrmnt_id_as_is=instrmnt_id_to_be AND entty_id_as_is=entty_id_to_be </v>
      </c>
      <c r="K113" s="75" t="str">
        <f t="shared" si="18"/>
        <v xml:space="preserve">WHERE coalesce(cast(cod_soc_as_is AS string),'')&lt;&gt;coalesce(cast(cod_soc_to_be AS string),'') </v>
      </c>
      <c r="L113" s="75" t="str">
        <f t="shared" si="19"/>
        <v xml:space="preserve">SELECT count(*) AS NUM_REG_DIF FROM (SELECT instrmnt_id as instrmnt_id_, entty_id as entty_id_,cod_soc as cod_soc_as_is FROM cd_loan_tapes_bce.lt005_instr_ent WHERE ref_date='2024-09-30' AND nome_perimetro='Individual Corporativo' AND segmento='ESTR' AND ambito='PM' AND entidade='00100' ) A  Inner join (SELECT instrmnt_id as instrmnt_id_, entty_id as entty_id_,cod_soc as cod_soc_to_be FROM bu_loantape_work.lt005_instr_ent WHERE ref_date='2024-09-30' AND nome_perimetro='Individual Corporativo' AND segmento='ESTR' AND ambito='PM' AND entidade='00100' ) B ON instrmnt_id_as_is=instrmnt_id_to_be AND entty_id_as_is=entty_id_to_be WHERE coalesce(cast(cod_soc_as_is AS string),'')&lt;&gt;coalesce(cast(cod_soc_to_be AS string),'') </v>
      </c>
      <c r="M113" s="75" t="s">
        <v>55</v>
      </c>
      <c r="N113" s="75" t="str">
        <f>"SELECT 'Validação de campos' as tipologia_teste, '"&amp;VLOOKUP(B113,Instruções!$F$13:$J$17,3,0)&amp;"' AS TABELA, '"&amp;E113&amp;"' AS CAMPO, '"&amp;Instruções!$D$15&amp;"' as ref_date, coalesce(NUM_REG_DIF, 0) AS NUM_REG_DIF FROM ("&amp;L113&amp;") A "</f>
        <v xml:space="preserve">SELECT 'Validação de campos' as tipologia_teste, 'lt005_instr_ent' AS TABELA, 'cod_soc' AS CAMPO, '2024-09-30' as ref_date, coalesce(NUM_REG_DIF, 0) AS NUM_REG_DIF FROM (SELECT count(*) AS NUM_REG_DIF FROM (SELECT instrmnt_id as instrmnt_id_, entty_id as entty_id_,cod_soc as cod_soc_as_is FROM cd_loan_tapes_bce.lt005_instr_ent WHERE ref_date='2024-09-30' AND nome_perimetro='Individual Corporativo' AND segmento='ESTR' AND ambito='PM' AND entidade='00100' ) A  Inner join (SELECT instrmnt_id as instrmnt_id_, entty_id as entty_id_,cod_soc as cod_soc_to_be FROM bu_loantape_work.lt005_instr_ent WHERE ref_date='2024-09-30' AND nome_perimetro='Individual Corporativo' AND segmento='ESTR' AND ambito='PM' AND entidade='00100' ) B ON instrmnt_id_as_is=instrmnt_id_to_be AND entty_id_as_is=entty_id_to_be WHERE coalesce(cast(cod_soc_as_is AS string),'')&lt;&gt;coalesce(cast(cod_soc_to_be AS string),'') ) A </v>
      </c>
      <c r="O113" s="76" t="str">
        <f t="shared" si="20"/>
        <v>SELECT 'Validação de campos' as tipologia_teste, 'lt005_instr_ent' AS TABELA, 'cod_soc' AS CAMPO, '2024-09-30' as ref_date, coalesce(NUM_REG_DIF, 0) AS NUM_REG_DIF FROM (SELECT count(*) AS NUM_REG_DIF FROM (SELECT instrmnt_id as instrmnt_id_, entty_id as entty_id_,cod_soc as cod_soc_as_is FROM cd_loan_tapes_bce.lt005_instr_ent WHERE ref_date='2024-09-30' AND nome_perimetro='Individual Corporativo' AND segmento='ESTR' AND ambito='PM' AND entidade='00100' ) A  Inner join (SELECT instrmnt_id as instrmnt_id_, entty_id as entty_id_,cod_soc as cod_soc_to_be FROM bu_loantape_work.lt005_instr_ent WHERE ref_date='2024-09-30' AND nome_perimetro='Individual Corporativo' AND segmento='ESTR' AND ambito='PM' AND entidade='00100' ) B ON instrmnt_id_as_is=instrmnt_id_to_be AND entty_id_as_is=entty_id_to_be WHERE coalesce(cast(cod_soc_as_is AS string),'')&lt;&gt;coalesce(cast(cod_soc_to_be AS string),'') ) A Union all</v>
      </c>
      <c r="P113" s="75">
        <f t="shared" si="21"/>
        <v>3</v>
      </c>
    </row>
    <row r="114" spans="2:16" s="63" customFormat="1" ht="18" customHeight="1">
      <c r="B114" s="75" t="s">
        <v>16</v>
      </c>
      <c r="C114" s="75" t="str">
        <f>_xlfn.CONCAT(Instruções!$D$13,".",VLOOKUP(B114,Instruções!$F$12:$H$17,2,0))</f>
        <v>cd_loan_tapes_bce.lt005_instr_ent</v>
      </c>
      <c r="D114" s="75" t="str">
        <f>_xlfn.CONCAT(Instruções!$D$14,".",VLOOKUP(B114,Instruções!$F$12:$H$17,3,0))</f>
        <v>bu_loantape_work.lt005_instr_ent</v>
      </c>
      <c r="E114" s="75" t="s">
        <v>157</v>
      </c>
      <c r="F114" s="75" t="str">
        <f t="shared" si="16"/>
        <v>jnt_lblty_amnt_as_is</v>
      </c>
      <c r="G114" s="75" t="str">
        <f t="shared" si="17"/>
        <v>jnt_lblty_amnt_to_be</v>
      </c>
      <c r="H114" s="75" t="str">
        <f>IF(VLOOKUP(B114,Instruções!$F$13:$J$17,5,0)="",
"(SELECT "&amp;VLOOKUP(B114,Instruções!$F$13:$J$17,4,0)&amp;" as "&amp;VLOOKUP(B114,Instruções!$F$13:$J$17,4,0)&amp;"_"&amp;$F$2&amp;", "&amp;E114&amp;" as "&amp;F114&amp;" FROM "&amp;C114&amp;" WHERE "&amp;Instruções!$D$20&amp;") A ",
"(SELECT "&amp;VLOOKUP(B114,Instruções!$F$13:$J$17,4,0)&amp;" as "&amp;VLOOKUP(B114,Instruções!$F$13:$J$17,4,0)&amp;"_"&amp;$F$2&amp;", "&amp;VLOOKUP(B114,Instruções!$F$13:$J$17,5,0)&amp;" as "&amp;VLOOKUP(B114,Instruções!$F$13:$J$17,5,0)&amp;"_"&amp;$F$2&amp;","&amp;E114&amp;" as "&amp;F114&amp;" FROM "&amp;C114&amp;" WHERE "&amp;Instruções!$D$20&amp;") A ")</f>
        <v xml:space="preserve">(SELECT instrmnt_id as instrmnt_id_, entty_id as entty_id_,jnt_lblty_amnt as jnt_lblty_amnt_as_is FROM cd_loan_tapes_bce.lt005_instr_ent WHERE ref_date='2024-09-30' AND nome_perimetro='Individual Corporativo' AND segmento='ESTR' AND ambito='PM' AND entidade='00100' ) A </v>
      </c>
      <c r="I114" s="75" t="str">
        <f>IF(VLOOKUP(B114,Instruções!$F$13:$J$17,5,0)="",
"(SELECT "&amp;VLOOKUP(B114,Instruções!$F$13:$J$17,4,0)&amp;" as "&amp;VLOOKUP(B114,Instruções!$F$13:$J$17,4,0)&amp;"_"&amp;$G$2&amp;", "&amp;E114&amp;" as "&amp;G114&amp;" FROM "&amp;D114&amp;" WHERE "&amp;Instruções!$D$21&amp;") B ",
"(SELECT "&amp;VLOOKUP(B114,Instruções!$F$13:$J$17,4,0)&amp;" as "&amp;VLOOKUP(B114,Instruções!$F$13:$J$17,4,0)&amp;"_"&amp;$G$2&amp;", "&amp;VLOOKUP(B114,Instruções!$F$13:$J$17,5,0)&amp;" as "&amp;VLOOKUP(B114,Instruções!$F$13:$J$17,5,0)&amp;"_"&amp;$G$2&amp;","&amp;E114&amp;" as "&amp;G114&amp;" FROM "&amp;D114&amp;" WHERE "&amp;Instruções!$D$21&amp;") B ")</f>
        <v xml:space="preserve">(SELECT instrmnt_id as instrmnt_id_, entty_id as entty_id_,jnt_lblty_amnt as jnt_lblty_amnt_to_be FROM bu_loantape_work.lt005_instr_ent WHERE ref_date='2024-09-30' AND nome_perimetro='Individual Corporativo' AND segmento='ESTR' AND ambito='PM' AND entidade='00100' ) B </v>
      </c>
      <c r="J114" s="75" t="str">
        <f>+IF(VLOOKUP(B114,Instruções!$F$13:$J$17,5,0)="", "ON "&amp;VLOOKUP(B114,Instruções!$F$13:$J$17,4,0)&amp;"_"&amp;$F$7&amp;"="&amp;VLOOKUP(B114,Instruções!$F$13:$J$17,4,0)&amp;"_"&amp;$G$7&amp;" ", "ON "&amp;VLOOKUP(B114,Instruções!$F$13:$J$17,4,0)&amp;"_"&amp;$F$7&amp;"="&amp;VLOOKUP(B114,Instruções!$F$13:$J$17,4,0)&amp;"_"&amp;$G$7&amp;" AND "&amp;VLOOKUP(B114,Instruções!$F$13:$J$17,5,0)&amp;"_"&amp;$F$7&amp;"="&amp;VLOOKUP(B114,Instruções!$F$13:$J$17,5,0)&amp;"_"&amp;$G$7&amp;" ")</f>
        <v xml:space="preserve">ON instrmnt_id_as_is=instrmnt_id_to_be AND entty_id_as_is=entty_id_to_be </v>
      </c>
      <c r="K114" s="75" t="str">
        <f t="shared" si="18"/>
        <v xml:space="preserve">WHERE coalesce(cast(jnt_lblty_amnt_as_is AS string),'')&lt;&gt;coalesce(cast(jnt_lblty_amnt_to_be AS string),'') </v>
      </c>
      <c r="L114" s="75" t="str">
        <f t="shared" si="19"/>
        <v xml:space="preserve">SELECT count(*) AS NUM_REG_DIF FROM (SELECT instrmnt_id as instrmnt_id_, entty_id as entty_id_,jnt_lblty_amnt as jnt_lblty_amnt_as_is FROM cd_loan_tapes_bce.lt005_instr_ent WHERE ref_date='2024-09-30' AND nome_perimetro='Individual Corporativo' AND segmento='ESTR' AND ambito='PM' AND entidade='00100' ) A  Inner join (SELECT instrmnt_id as instrmnt_id_, entty_id as entty_id_,jnt_lblty_amnt as jnt_lblty_amnt_to_be FROM bu_loantape_work.lt005_instr_ent WHERE ref_date='2024-09-30' AND nome_perimetro='Individual Corporativo' AND segmento='ESTR' AND ambito='PM' AND entidade='00100' ) B ON instrmnt_id_as_is=instrmnt_id_to_be AND entty_id_as_is=entty_id_to_be WHERE coalesce(cast(jnt_lblty_amnt_as_is AS string),'')&lt;&gt;coalesce(cast(jnt_lblty_amnt_to_be AS string),'') </v>
      </c>
      <c r="M114" s="75" t="s">
        <v>55</v>
      </c>
      <c r="N114" s="75" t="str">
        <f>"SELECT 'Validação de campos' as tipologia_teste, '"&amp;VLOOKUP(B114,Instruções!$F$13:$J$17,3,0)&amp;"' AS TABELA, '"&amp;E114&amp;"' AS CAMPO, '"&amp;Instruções!$D$15&amp;"' as ref_date, coalesce(NUM_REG_DIF, 0) AS NUM_REG_DIF FROM ("&amp;L114&amp;") A "</f>
        <v xml:space="preserve">SELECT 'Validação de campos' as tipologia_teste, 'lt005_instr_ent' AS TABELA, 'jnt_lblty_amnt' AS CAMPO, '2024-09-30' as ref_date, coalesce(NUM_REG_DIF, 0) AS NUM_REG_DIF FROM (SELECT count(*) AS NUM_REG_DIF FROM (SELECT instrmnt_id as instrmnt_id_, entty_id as entty_id_,jnt_lblty_amnt as jnt_lblty_amnt_as_is FROM cd_loan_tapes_bce.lt005_instr_ent WHERE ref_date='2024-09-30' AND nome_perimetro='Individual Corporativo' AND segmento='ESTR' AND ambito='PM' AND entidade='00100' ) A  Inner join (SELECT instrmnt_id as instrmnt_id_, entty_id as entty_id_,jnt_lblty_amnt as jnt_lblty_amnt_to_be FROM bu_loantape_work.lt005_instr_ent WHERE ref_date='2024-09-30' AND nome_perimetro='Individual Corporativo' AND segmento='ESTR' AND ambito='PM' AND entidade='00100' ) B ON instrmnt_id_as_is=instrmnt_id_to_be AND entty_id_as_is=entty_id_to_be WHERE coalesce(cast(jnt_lblty_amnt_as_is AS string),'')&lt;&gt;coalesce(cast(jnt_lblty_amnt_to_be AS string),'') ) A </v>
      </c>
      <c r="O114" s="76" t="str">
        <f t="shared" si="20"/>
        <v>SELECT 'Validação de campos' as tipologia_teste, 'lt005_instr_ent' AS TABELA, 'jnt_lblty_amnt' AS CAMPO, '2024-09-30' as ref_date, coalesce(NUM_REG_DIF, 0) AS NUM_REG_DIF FROM (SELECT count(*) AS NUM_REG_DIF FROM (SELECT instrmnt_id as instrmnt_id_, entty_id as entty_id_,jnt_lblty_amnt as jnt_lblty_amnt_as_is FROM cd_loan_tapes_bce.lt005_instr_ent WHERE ref_date='2024-09-30' AND nome_perimetro='Individual Corporativo' AND segmento='ESTR' AND ambito='PM' AND entidade='00100' ) A  Inner join (SELECT instrmnt_id as instrmnt_id_, entty_id as entty_id_,jnt_lblty_amnt as jnt_lblty_amnt_to_be FROM bu_loantape_work.lt005_instr_ent WHERE ref_date='2024-09-30' AND nome_perimetro='Individual Corporativo' AND segmento='ESTR' AND ambito='PM' AND entidade='00100' ) B ON instrmnt_id_as_is=instrmnt_id_to_be AND entty_id_as_is=entty_id_to_be WHERE coalesce(cast(jnt_lblty_amnt_as_is AS string),'')&lt;&gt;coalesce(cast(jnt_lblty_amnt_to_be AS string),'') ) A Union all</v>
      </c>
      <c r="P114" s="75">
        <f t="shared" si="21"/>
        <v>4</v>
      </c>
    </row>
    <row r="115" spans="2:16" s="63" customFormat="1" ht="18" customHeight="1">
      <c r="B115" s="75" t="s">
        <v>16</v>
      </c>
      <c r="C115" s="75" t="str">
        <f>_xlfn.CONCAT(Instruções!$D$13,".",VLOOKUP(B115,Instruções!$F$12:$H$17,2,0))</f>
        <v>cd_loan_tapes_bce.lt005_instr_ent</v>
      </c>
      <c r="D115" s="75" t="str">
        <f>_xlfn.CONCAT(Instruções!$D$14,".",VLOOKUP(B115,Instruções!$F$12:$H$17,3,0))</f>
        <v>bu_loantape_work.lt005_instr_ent</v>
      </c>
      <c r="E115" s="75" t="s">
        <v>158</v>
      </c>
      <c r="F115" s="75" t="str">
        <f t="shared" si="16"/>
        <v>mn_entty_id_as_is</v>
      </c>
      <c r="G115" s="75" t="str">
        <f t="shared" si="17"/>
        <v>mn_entty_id_to_be</v>
      </c>
      <c r="H115" s="75" t="str">
        <f>IF(VLOOKUP(B115,Instruções!$F$13:$J$17,5,0)="",
"(SELECT "&amp;VLOOKUP(B115,Instruções!$F$13:$J$17,4,0)&amp;" as "&amp;VLOOKUP(B115,Instruções!$F$13:$J$17,4,0)&amp;"_"&amp;$F$2&amp;", "&amp;E115&amp;" as "&amp;F115&amp;" FROM "&amp;C115&amp;" WHERE "&amp;Instruções!$D$20&amp;") A ",
"(SELECT "&amp;VLOOKUP(B115,Instruções!$F$13:$J$17,4,0)&amp;" as "&amp;VLOOKUP(B115,Instruções!$F$13:$J$17,4,0)&amp;"_"&amp;$F$2&amp;", "&amp;VLOOKUP(B115,Instruções!$F$13:$J$17,5,0)&amp;" as "&amp;VLOOKUP(B115,Instruções!$F$13:$J$17,5,0)&amp;"_"&amp;$F$2&amp;","&amp;E115&amp;" as "&amp;F115&amp;" FROM "&amp;C115&amp;" WHERE "&amp;Instruções!$D$20&amp;") A ")</f>
        <v xml:space="preserve">(SELECT instrmnt_id as instrmnt_id_, entty_id as entty_id_,mn_entty_id as mn_entty_id_as_is FROM cd_loan_tapes_bce.lt005_instr_ent WHERE ref_date='2024-09-30' AND nome_perimetro='Individual Corporativo' AND segmento='ESTR' AND ambito='PM' AND entidade='00100' ) A </v>
      </c>
      <c r="I115" s="75" t="str">
        <f>IF(VLOOKUP(B115,Instruções!$F$13:$J$17,5,0)="",
"(SELECT "&amp;VLOOKUP(B115,Instruções!$F$13:$J$17,4,0)&amp;" as "&amp;VLOOKUP(B115,Instruções!$F$13:$J$17,4,0)&amp;"_"&amp;$G$2&amp;", "&amp;E115&amp;" as "&amp;G115&amp;" FROM "&amp;D115&amp;" WHERE "&amp;Instruções!$D$21&amp;") B ",
"(SELECT "&amp;VLOOKUP(B115,Instruções!$F$13:$J$17,4,0)&amp;" as "&amp;VLOOKUP(B115,Instruções!$F$13:$J$17,4,0)&amp;"_"&amp;$G$2&amp;", "&amp;VLOOKUP(B115,Instruções!$F$13:$J$17,5,0)&amp;" as "&amp;VLOOKUP(B115,Instruções!$F$13:$J$17,5,0)&amp;"_"&amp;$G$2&amp;","&amp;E115&amp;" as "&amp;G115&amp;" FROM "&amp;D115&amp;" WHERE "&amp;Instruções!$D$21&amp;") B ")</f>
        <v xml:space="preserve">(SELECT instrmnt_id as instrmnt_id_, entty_id as entty_id_,mn_entty_id as mn_entty_id_to_be FROM bu_loantape_work.lt005_instr_ent WHERE ref_date='2024-09-30' AND nome_perimetro='Individual Corporativo' AND segmento='ESTR' AND ambito='PM' AND entidade='00100' ) B </v>
      </c>
      <c r="J115" s="75" t="str">
        <f>+IF(VLOOKUP(B115,Instruções!$F$13:$J$17,5,0)="", "ON "&amp;VLOOKUP(B115,Instruções!$F$13:$J$17,4,0)&amp;"_"&amp;$F$7&amp;"="&amp;VLOOKUP(B115,Instruções!$F$13:$J$17,4,0)&amp;"_"&amp;$G$7&amp;" ", "ON "&amp;VLOOKUP(B115,Instruções!$F$13:$J$17,4,0)&amp;"_"&amp;$F$7&amp;"="&amp;VLOOKUP(B115,Instruções!$F$13:$J$17,4,0)&amp;"_"&amp;$G$7&amp;" AND "&amp;VLOOKUP(B115,Instruções!$F$13:$J$17,5,0)&amp;"_"&amp;$F$7&amp;"="&amp;VLOOKUP(B115,Instruções!$F$13:$J$17,5,0)&amp;"_"&amp;$G$7&amp;" ")</f>
        <v xml:space="preserve">ON instrmnt_id_as_is=instrmnt_id_to_be AND entty_id_as_is=entty_id_to_be </v>
      </c>
      <c r="K115" s="75" t="str">
        <f t="shared" si="18"/>
        <v xml:space="preserve">WHERE coalesce(cast(mn_entty_id_as_is AS string),'')&lt;&gt;coalesce(cast(mn_entty_id_to_be AS string),'') </v>
      </c>
      <c r="L115" s="75" t="str">
        <f t="shared" si="19"/>
        <v xml:space="preserve">SELECT count(*) AS NUM_REG_DIF FROM (SELECT instrmnt_id as instrmnt_id_, entty_id as entty_id_,mn_entty_id as mn_entty_id_as_is FROM cd_loan_tapes_bce.lt005_instr_ent WHERE ref_date='2024-09-30' AND nome_perimetro='Individual Corporativo' AND segmento='ESTR' AND ambito='PM' AND entidade='00100' ) A  Inner join (SELECT instrmnt_id as instrmnt_id_, entty_id as entty_id_,mn_entty_id as mn_entty_id_to_be FROM bu_loantape_work.lt005_instr_ent WHERE ref_date='2024-09-30' AND nome_perimetro='Individual Corporativo' AND segmento='ESTR' AND ambito='PM' AND entidade='00100' ) B ON instrmnt_id_as_is=instrmnt_id_to_be AND entty_id_as_is=entty_id_to_be WHERE coalesce(cast(mn_entty_id_as_is AS string),'')&lt;&gt;coalesce(cast(mn_entty_id_to_be AS string),'') </v>
      </c>
      <c r="M115" s="75" t="s">
        <v>55</v>
      </c>
      <c r="N115" s="75" t="str">
        <f>"SELECT 'Validação de campos' as tipologia_teste, '"&amp;VLOOKUP(B115,Instruções!$F$13:$J$17,3,0)&amp;"' AS TABELA, '"&amp;E115&amp;"' AS CAMPO, '"&amp;Instruções!$D$15&amp;"' as ref_date, coalesce(NUM_REG_DIF, 0) AS NUM_REG_DIF FROM ("&amp;L115&amp;") A "</f>
        <v xml:space="preserve">SELECT 'Validação de campos' as tipologia_teste, 'lt005_instr_ent' AS TABELA, 'mn_entty_id' AS CAMPO, '2024-09-30' as ref_date, coalesce(NUM_REG_DIF, 0) AS NUM_REG_DIF FROM (SELECT count(*) AS NUM_REG_DIF FROM (SELECT instrmnt_id as instrmnt_id_, entty_id as entty_id_,mn_entty_id as mn_entty_id_as_is FROM cd_loan_tapes_bce.lt005_instr_ent WHERE ref_date='2024-09-30' AND nome_perimetro='Individual Corporativo' AND segmento='ESTR' AND ambito='PM' AND entidade='00100' ) A  Inner join (SELECT instrmnt_id as instrmnt_id_, entty_id as entty_id_,mn_entty_id as mn_entty_id_to_be FROM bu_loantape_work.lt005_instr_ent WHERE ref_date='2024-09-30' AND nome_perimetro='Individual Corporativo' AND segmento='ESTR' AND ambito='PM' AND entidade='00100' ) B ON instrmnt_id_as_is=instrmnt_id_to_be AND entty_id_as_is=entty_id_to_be WHERE coalesce(cast(mn_entty_id_as_is AS string),'')&lt;&gt;coalesce(cast(mn_entty_id_to_be AS string),'') ) A </v>
      </c>
      <c r="O115" s="76" t="str">
        <f t="shared" si="20"/>
        <v>SELECT 'Validação de campos' as tipologia_teste, 'lt005_instr_ent' AS TABELA, 'mn_entty_id' AS CAMPO, '2024-09-30' as ref_date, coalesce(NUM_REG_DIF, 0) AS NUM_REG_DIF FROM (SELECT count(*) AS NUM_REG_DIF FROM (SELECT instrmnt_id as instrmnt_id_, entty_id as entty_id_,mn_entty_id as mn_entty_id_as_is FROM cd_loan_tapes_bce.lt005_instr_ent WHERE ref_date='2024-09-30' AND nome_perimetro='Individual Corporativo' AND segmento='ESTR' AND ambito='PM' AND entidade='00100' ) A  Inner join (SELECT instrmnt_id as instrmnt_id_, entty_id as entty_id_,mn_entty_id as mn_entty_id_to_be FROM bu_loantape_work.lt005_instr_ent WHERE ref_date='2024-09-30' AND nome_perimetro='Individual Corporativo' AND segmento='ESTR' AND ambito='PM' AND entidade='00100' ) B ON instrmnt_id_as_is=instrmnt_id_to_be AND entty_id_as_is=entty_id_to_be WHERE coalesce(cast(mn_entty_id_as_is AS string),'')&lt;&gt;coalesce(cast(mn_entty_id_to_be AS string),'') ) A Union all</v>
      </c>
      <c r="P115" s="75">
        <f t="shared" si="21"/>
        <v>5</v>
      </c>
    </row>
    <row r="116" spans="2:16" s="63" customFormat="1" ht="18" customHeight="1">
      <c r="B116" s="75" t="s">
        <v>21</v>
      </c>
      <c r="C116" s="75" t="str">
        <f>_xlfn.CONCAT(Instruções!$D$13,".",VLOOKUP(B116,Instruções!$F$12:$H$17,2,0))</f>
        <v>cd_loan_tapes_bce.lt006_instr_prot</v>
      </c>
      <c r="D116" s="75" t="str">
        <f>_xlfn.CONCAT(Instruções!$D$14,".",VLOOKUP(B116,Instruções!$F$12:$H$17,3,0))</f>
        <v>bu_loantape_work.lt006_instr_prot</v>
      </c>
      <c r="E116" s="75" t="s">
        <v>64</v>
      </c>
      <c r="F116" s="75" t="str">
        <f t="shared" si="16"/>
        <v>cod_soc_as_is</v>
      </c>
      <c r="G116" s="75" t="str">
        <f t="shared" si="17"/>
        <v>cod_soc_to_be</v>
      </c>
      <c r="H116" s="75" t="str">
        <f>IF(VLOOKUP(B116,Instruções!$F$13:$J$17,5,0)="",
"(SELECT "&amp;VLOOKUP(B116,Instruções!$F$13:$J$17,4,0)&amp;" as "&amp;VLOOKUP(B116,Instruções!$F$13:$J$17,4,0)&amp;"_"&amp;$F$2&amp;", "&amp;E116&amp;" as "&amp;F116&amp;" FROM "&amp;C116&amp;" WHERE "&amp;Instruções!$D$20&amp;") A ",
"(SELECT "&amp;VLOOKUP(B116,Instruções!$F$13:$J$17,4,0)&amp;" as "&amp;VLOOKUP(B116,Instruções!$F$13:$J$17,4,0)&amp;"_"&amp;$F$2&amp;", "&amp;VLOOKUP(B116,Instruções!$F$13:$J$17,5,0)&amp;" as "&amp;VLOOKUP(B116,Instruções!$F$13:$J$17,5,0)&amp;"_"&amp;$F$2&amp;","&amp;E116&amp;" as "&amp;F116&amp;" FROM "&amp;C116&amp;" WHERE "&amp;Instruções!$D$20&amp;") A ")</f>
        <v xml:space="preserve">(SELECT instrmnt_id as instrmnt_id_, prtctn_id as prtctn_id_,cod_soc as cod_soc_as_is FROM cd_loan_tapes_bce.lt006_instr_prot WHERE ref_date='2024-09-30' AND nome_perimetro='Individual Corporativo' AND segmento='ESTR' AND ambito='PM' AND entidade='00100' ) A </v>
      </c>
      <c r="I116" s="75" t="str">
        <f>IF(VLOOKUP(B116,Instruções!$F$13:$J$17,5,0)="",
"(SELECT "&amp;VLOOKUP(B116,Instruções!$F$13:$J$17,4,0)&amp;" as "&amp;VLOOKUP(B116,Instruções!$F$13:$J$17,4,0)&amp;"_"&amp;$G$2&amp;", "&amp;E116&amp;" as "&amp;G116&amp;" FROM "&amp;D116&amp;" WHERE "&amp;Instruções!$D$21&amp;") B ",
"(SELECT "&amp;VLOOKUP(B116,Instruções!$F$13:$J$17,4,0)&amp;" as "&amp;VLOOKUP(B116,Instruções!$F$13:$J$17,4,0)&amp;"_"&amp;$G$2&amp;", "&amp;VLOOKUP(B116,Instruções!$F$13:$J$17,5,0)&amp;" as "&amp;VLOOKUP(B116,Instruções!$F$13:$J$17,5,0)&amp;"_"&amp;$G$2&amp;","&amp;E116&amp;" as "&amp;G116&amp;" FROM "&amp;D116&amp;" WHERE "&amp;Instruções!$D$21&amp;") B ")</f>
        <v xml:space="preserve">(SELECT instrmnt_id as instrmnt_id_, prtctn_id as prtctn_id_,cod_soc as cod_soc_to_be FROM bu_loantape_work.lt006_instr_prot WHERE ref_date='2024-09-30' AND nome_perimetro='Individual Corporativo' AND segmento='ESTR' AND ambito='PM' AND entidade='00100' ) B </v>
      </c>
      <c r="J116" s="75" t="str">
        <f>+IF(VLOOKUP(B116,Instruções!$F$13:$J$17,5,0)="", "ON "&amp;VLOOKUP(B116,Instruções!$F$13:$J$17,4,0)&amp;"_"&amp;$F$7&amp;"="&amp;VLOOKUP(B116,Instruções!$F$13:$J$17,4,0)&amp;"_"&amp;$G$7&amp;" ", "ON "&amp;VLOOKUP(B116,Instruções!$F$13:$J$17,4,0)&amp;"_"&amp;$F$7&amp;"="&amp;VLOOKUP(B116,Instruções!$F$13:$J$17,4,0)&amp;"_"&amp;$G$7&amp;" AND "&amp;VLOOKUP(B116,Instruções!$F$13:$J$17,5,0)&amp;"_"&amp;$F$7&amp;"="&amp;VLOOKUP(B116,Instruções!$F$13:$J$17,5,0)&amp;"_"&amp;$G$7&amp;" ")</f>
        <v xml:space="preserve">ON instrmnt_id_as_is=instrmnt_id_to_be AND prtctn_id_as_is=prtctn_id_to_be </v>
      </c>
      <c r="K116" s="75" t="str">
        <f t="shared" si="18"/>
        <v xml:space="preserve">WHERE coalesce(cast(cod_soc_as_is AS string),'')&lt;&gt;coalesce(cast(cod_soc_to_be AS string),'') </v>
      </c>
      <c r="L116" s="75" t="str">
        <f t="shared" si="19"/>
        <v xml:space="preserve">SELECT count(*) AS NUM_REG_DIF FROM (SELECT instrmnt_id as instrmnt_id_, prtctn_id as prtctn_id_,cod_soc as cod_soc_as_is FROM cd_loan_tapes_bce.lt006_instr_prot WHERE ref_date='2024-09-30' AND nome_perimetro='Individual Corporativo' AND segmento='ESTR' AND ambito='PM' AND entidade='00100' ) A  Inner join (SELECT instrmnt_id as instrmnt_id_, prtctn_id as prtctn_id_,cod_soc as cod_soc_to_be FROM bu_loantape_work.lt006_instr_prot WHERE ref_date='2024-09-30' AND nome_perimetro='Individual Corporativo' AND segmento='ESTR' AND ambito='PM' AND entidade='00100' ) B ON instrmnt_id_as_is=instrmnt_id_to_be AND prtctn_id_as_is=prtctn_id_to_be WHERE coalesce(cast(cod_soc_as_is AS string),'')&lt;&gt;coalesce(cast(cod_soc_to_be AS string),'') </v>
      </c>
      <c r="M116" s="75" t="s">
        <v>55</v>
      </c>
      <c r="N116" s="75" t="str">
        <f>"SELECT 'Validação de campos' as tipologia_teste, '"&amp;VLOOKUP(B116,Instruções!$F$13:$J$17,3,0)&amp;"' AS TABELA, '"&amp;E116&amp;"' AS CAMPO, '"&amp;Instruções!$D$15&amp;"' as ref_date, coalesce(NUM_REG_DIF, 0) AS NUM_REG_DIF FROM ("&amp;L116&amp;") A "</f>
        <v xml:space="preserve">SELECT 'Validação de campos' as tipologia_teste, 'lt006_instr_prot' AS TABELA, 'cod_soc' AS CAMPO, '2024-09-30' as ref_date, coalesce(NUM_REG_DIF, 0) AS NUM_REG_DIF FROM (SELECT count(*) AS NUM_REG_DIF FROM (SELECT instrmnt_id as instrmnt_id_, prtctn_id as prtctn_id_,cod_soc as cod_soc_as_is FROM cd_loan_tapes_bce.lt006_instr_prot WHERE ref_date='2024-09-30' AND nome_perimetro='Individual Corporativo' AND segmento='ESTR' AND ambito='PM' AND entidade='00100' ) A  Inner join (SELECT instrmnt_id as instrmnt_id_, prtctn_id as prtctn_id_,cod_soc as cod_soc_to_be FROM bu_loantape_work.lt006_instr_prot WHERE ref_date='2024-09-30' AND nome_perimetro='Individual Corporativo' AND segmento='ESTR' AND ambito='PM' AND entidade='00100' ) B ON instrmnt_id_as_is=instrmnt_id_to_be AND prtctn_id_as_is=prtctn_id_to_be WHERE coalesce(cast(cod_soc_as_is AS string),'')&lt;&gt;coalesce(cast(cod_soc_to_be AS string),'') ) A </v>
      </c>
      <c r="O116" s="76" t="str">
        <f t="shared" si="20"/>
        <v>SELECT 'Validação de campos' as tipologia_teste, 'lt006_instr_prot' AS TABELA, 'cod_soc' AS CAMPO, '2024-09-30' as ref_date, coalesce(NUM_REG_DIF, 0) AS NUM_REG_DIF FROM (SELECT count(*) AS NUM_REG_DIF FROM (SELECT instrmnt_id as instrmnt_id_, prtctn_id as prtctn_id_,cod_soc as cod_soc_as_is FROM cd_loan_tapes_bce.lt006_instr_prot WHERE ref_date='2024-09-30' AND nome_perimetro='Individual Corporativo' AND segmento='ESTR' AND ambito='PM' AND entidade='00100' ) A  Inner join (SELECT instrmnt_id as instrmnt_id_, prtctn_id as prtctn_id_,cod_soc as cod_soc_to_be FROM bu_loantape_work.lt006_instr_prot WHERE ref_date='2024-09-30' AND nome_perimetro='Individual Corporativo' AND segmento='ESTR' AND ambito='PM' AND entidade='00100' ) B ON instrmnt_id_as_is=instrmnt_id_to_be AND prtctn_id_as_is=prtctn_id_to_be WHERE coalesce(cast(cod_soc_as_is AS string),'')&lt;&gt;coalesce(cast(cod_soc_to_be AS string),'') ) A Union all</v>
      </c>
      <c r="P116" s="75">
        <f t="shared" si="21"/>
        <v>6</v>
      </c>
    </row>
    <row r="117" spans="2:16" s="63" customFormat="1" ht="18" customHeight="1">
      <c r="B117" s="75" t="s">
        <v>21</v>
      </c>
      <c r="C117" s="75" t="str">
        <f>_xlfn.CONCAT(Instruções!$D$13,".",VLOOKUP(B117,Instruções!$F$12:$H$17,2,0))</f>
        <v>cd_loan_tapes_bce.lt006_instr_prot</v>
      </c>
      <c r="D117" s="75" t="str">
        <f>_xlfn.CONCAT(Instruções!$D$14,".",VLOOKUP(B117,Instruções!$F$12:$H$17,3,0))</f>
        <v>bu_loantape_work.lt006_instr_prot</v>
      </c>
      <c r="E117" s="75" t="s">
        <v>159</v>
      </c>
      <c r="F117" s="75" t="str">
        <f t="shared" si="16"/>
        <v>prtctn_allctd_vl_as_is</v>
      </c>
      <c r="G117" s="75" t="str">
        <f t="shared" si="17"/>
        <v>prtctn_allctd_vl_to_be</v>
      </c>
      <c r="H117" s="75" t="str">
        <f>IF(VLOOKUP(B117,Instruções!$F$13:$J$17,5,0)="",
"(SELECT "&amp;VLOOKUP(B117,Instruções!$F$13:$J$17,4,0)&amp;" as "&amp;VLOOKUP(B117,Instruções!$F$13:$J$17,4,0)&amp;"_"&amp;$F$2&amp;", "&amp;E117&amp;" as "&amp;F117&amp;" FROM "&amp;C117&amp;" WHERE "&amp;Instruções!$D$20&amp;") A ",
"(SELECT "&amp;VLOOKUP(B117,Instruções!$F$13:$J$17,4,0)&amp;" as "&amp;VLOOKUP(B117,Instruções!$F$13:$J$17,4,0)&amp;"_"&amp;$F$2&amp;", "&amp;VLOOKUP(B117,Instruções!$F$13:$J$17,5,0)&amp;" as "&amp;VLOOKUP(B117,Instruções!$F$13:$J$17,5,0)&amp;"_"&amp;$F$2&amp;","&amp;E117&amp;" as "&amp;F117&amp;" FROM "&amp;C117&amp;" WHERE "&amp;Instruções!$D$20&amp;") A ")</f>
        <v xml:space="preserve">(SELECT instrmnt_id as instrmnt_id_, prtctn_id as prtctn_id_,prtctn_allctd_vl as prtctn_allctd_vl_as_is FROM cd_loan_tapes_bce.lt006_instr_prot WHERE ref_date='2024-09-30' AND nome_perimetro='Individual Corporativo' AND segmento='ESTR' AND ambito='PM' AND entidade='00100' ) A </v>
      </c>
      <c r="I117" s="75" t="str">
        <f>IF(VLOOKUP(B117,Instruções!$F$13:$J$17,5,0)="",
"(SELECT "&amp;VLOOKUP(B117,Instruções!$F$13:$J$17,4,0)&amp;" as "&amp;VLOOKUP(B117,Instruções!$F$13:$J$17,4,0)&amp;"_"&amp;$G$2&amp;", "&amp;E117&amp;" as "&amp;G117&amp;" FROM "&amp;D117&amp;" WHERE "&amp;Instruções!$D$21&amp;") B ",
"(SELECT "&amp;VLOOKUP(B117,Instruções!$F$13:$J$17,4,0)&amp;" as "&amp;VLOOKUP(B117,Instruções!$F$13:$J$17,4,0)&amp;"_"&amp;$G$2&amp;", "&amp;VLOOKUP(B117,Instruções!$F$13:$J$17,5,0)&amp;" as "&amp;VLOOKUP(B117,Instruções!$F$13:$J$17,5,0)&amp;"_"&amp;$G$2&amp;","&amp;E117&amp;" as "&amp;G117&amp;" FROM "&amp;D117&amp;" WHERE "&amp;Instruções!$D$21&amp;") B ")</f>
        <v xml:space="preserve">(SELECT instrmnt_id as instrmnt_id_, prtctn_id as prtctn_id_,prtctn_allctd_vl as prtctn_allctd_vl_to_be FROM bu_loantape_work.lt006_instr_prot WHERE ref_date='2024-09-30' AND nome_perimetro='Individual Corporativo' AND segmento='ESTR' AND ambito='PM' AND entidade='00100' ) B </v>
      </c>
      <c r="J117" s="75" t="str">
        <f>+IF(VLOOKUP(B117,Instruções!$F$13:$J$17,5,0)="", "ON "&amp;VLOOKUP(B117,Instruções!$F$13:$J$17,4,0)&amp;"_"&amp;$F$7&amp;"="&amp;VLOOKUP(B117,Instruções!$F$13:$J$17,4,0)&amp;"_"&amp;$G$7&amp;" ", "ON "&amp;VLOOKUP(B117,Instruções!$F$13:$J$17,4,0)&amp;"_"&amp;$F$7&amp;"="&amp;VLOOKUP(B117,Instruções!$F$13:$J$17,4,0)&amp;"_"&amp;$G$7&amp;" AND "&amp;VLOOKUP(B117,Instruções!$F$13:$J$17,5,0)&amp;"_"&amp;$F$7&amp;"="&amp;VLOOKUP(B117,Instruções!$F$13:$J$17,5,0)&amp;"_"&amp;$G$7&amp;" ")</f>
        <v xml:space="preserve">ON instrmnt_id_as_is=instrmnt_id_to_be AND prtctn_id_as_is=prtctn_id_to_be </v>
      </c>
      <c r="K117" s="75" t="str">
        <f t="shared" si="18"/>
        <v xml:space="preserve">WHERE coalesce(cast(prtctn_allctd_vl_as_is AS string),'')&lt;&gt;coalesce(cast(prtctn_allctd_vl_to_be AS string),'') </v>
      </c>
      <c r="L117" s="75" t="str">
        <f t="shared" si="19"/>
        <v xml:space="preserve">SELECT count(*) AS NUM_REG_DIF FROM (SELECT instrmnt_id as instrmnt_id_, prtctn_id as prtctn_id_,prtctn_allctd_vl as prtctn_allctd_vl_as_is FROM cd_loan_tapes_bce.lt006_instr_prot WHERE ref_date='2024-09-30' AND nome_perimetro='Individual Corporativo' AND segmento='ESTR' AND ambito='PM' AND entidade='00100' ) A  Inner join (SELECT instrmnt_id as instrmnt_id_, prtctn_id as prtctn_id_,prtctn_allctd_vl as prtctn_allctd_vl_to_be FROM bu_loantape_work.lt006_instr_prot WHERE ref_date='2024-09-30' AND nome_perimetro='Individual Corporativo' AND segmento='ESTR' AND ambito='PM' AND entidade='00100' ) B ON instrmnt_id_as_is=instrmnt_id_to_be AND prtctn_id_as_is=prtctn_id_to_be WHERE coalesce(cast(prtctn_allctd_vl_as_is AS string),'')&lt;&gt;coalesce(cast(prtctn_allctd_vl_to_be AS string),'') </v>
      </c>
      <c r="M117" s="75" t="s">
        <v>55</v>
      </c>
      <c r="N117" s="75" t="str">
        <f>"SELECT 'Validação de campos' as tipologia_teste, '"&amp;VLOOKUP(B117,Instruções!$F$13:$J$17,3,0)&amp;"' AS TABELA, '"&amp;E117&amp;"' AS CAMPO, '"&amp;Instruções!$D$15&amp;"' as ref_date, coalesce(NUM_REG_DIF, 0) AS NUM_REG_DIF FROM ("&amp;L117&amp;") A "</f>
        <v xml:space="preserve">SELECT 'Validação de campos' as tipologia_teste, 'lt006_instr_prot' AS TABELA, 'prtctn_allctd_vl' AS CAMPO, '2024-09-30' as ref_date, coalesce(NUM_REG_DIF, 0) AS NUM_REG_DIF FROM (SELECT count(*) AS NUM_REG_DIF FROM (SELECT instrmnt_id as instrmnt_id_, prtctn_id as prtctn_id_,prtctn_allctd_vl as prtctn_allctd_vl_as_is FROM cd_loan_tapes_bce.lt006_instr_prot WHERE ref_date='2024-09-30' AND nome_perimetro='Individual Corporativo' AND segmento='ESTR' AND ambito='PM' AND entidade='00100' ) A  Inner join (SELECT instrmnt_id as instrmnt_id_, prtctn_id as prtctn_id_,prtctn_allctd_vl as prtctn_allctd_vl_to_be FROM bu_loantape_work.lt006_instr_prot WHERE ref_date='2024-09-30' AND nome_perimetro='Individual Corporativo' AND segmento='ESTR' AND ambito='PM' AND entidade='00100' ) B ON instrmnt_id_as_is=instrmnt_id_to_be AND prtctn_id_as_is=prtctn_id_to_be WHERE coalesce(cast(prtctn_allctd_vl_as_is AS string),'')&lt;&gt;coalesce(cast(prtctn_allctd_vl_to_be AS string),'') ) A </v>
      </c>
      <c r="O117" s="76" t="str">
        <f t="shared" si="20"/>
        <v>SELECT 'Validação de campos' as tipologia_teste, 'lt006_instr_prot' AS TABELA, 'prtctn_allctd_vl' AS CAMPO, '2024-09-30' as ref_date, coalesce(NUM_REG_DIF, 0) AS NUM_REG_DIF FROM (SELECT count(*) AS NUM_REG_DIF FROM (SELECT instrmnt_id as instrmnt_id_, prtctn_id as prtctn_id_,prtctn_allctd_vl as prtctn_allctd_vl_as_is FROM cd_loan_tapes_bce.lt006_instr_prot WHERE ref_date='2024-09-30' AND nome_perimetro='Individual Corporativo' AND segmento='ESTR' AND ambito='PM' AND entidade='00100' ) A  Inner join (SELECT instrmnt_id as instrmnt_id_, prtctn_id as prtctn_id_,prtctn_allctd_vl as prtctn_allctd_vl_to_be FROM bu_loantape_work.lt006_instr_prot WHERE ref_date='2024-09-30' AND nome_perimetro='Individual Corporativo' AND segmento='ESTR' AND ambito='PM' AND entidade='00100' ) B ON instrmnt_id_as_is=instrmnt_id_to_be AND prtctn_id_as_is=prtctn_id_to_be WHERE coalesce(cast(prtctn_allctd_vl_as_is AS string),'')&lt;&gt;coalesce(cast(prtctn_allctd_vl_to_be AS string),'') ) A Union all</v>
      </c>
      <c r="P117" s="75">
        <f t="shared" si="21"/>
        <v>7</v>
      </c>
    </row>
    <row r="118" spans="2:16" s="63" customFormat="1" ht="18" customHeight="1">
      <c r="B118" s="75" t="s">
        <v>21</v>
      </c>
      <c r="C118" s="75" t="str">
        <f>_xlfn.CONCAT(Instruções!$D$13,".",VLOOKUP(B118,Instruções!$F$12:$H$17,2,0))</f>
        <v>cd_loan_tapes_bce.lt006_instr_prot</v>
      </c>
      <c r="D118" s="75" t="str">
        <f>_xlfn.CONCAT(Instruções!$D$14,".",VLOOKUP(B118,Instruções!$F$12:$H$17,3,0))</f>
        <v>bu_loantape_work.lt006_instr_prot</v>
      </c>
      <c r="E118" s="75" t="s">
        <v>160</v>
      </c>
      <c r="F118" s="75" t="str">
        <f t="shared" si="16"/>
        <v>thrd_prty_prrty_clms_as_is</v>
      </c>
      <c r="G118" s="75" t="str">
        <f t="shared" si="17"/>
        <v>thrd_prty_prrty_clms_to_be</v>
      </c>
      <c r="H118" s="75" t="str">
        <f>IF(VLOOKUP(B118,Instruções!$F$13:$J$17,5,0)="",
"(SELECT "&amp;VLOOKUP(B118,Instruções!$F$13:$J$17,4,0)&amp;" as "&amp;VLOOKUP(B118,Instruções!$F$13:$J$17,4,0)&amp;"_"&amp;$F$2&amp;", "&amp;E118&amp;" as "&amp;F118&amp;" FROM "&amp;C118&amp;" WHERE "&amp;Instruções!$D$20&amp;") A ",
"(SELECT "&amp;VLOOKUP(B118,Instruções!$F$13:$J$17,4,0)&amp;" as "&amp;VLOOKUP(B118,Instruções!$F$13:$J$17,4,0)&amp;"_"&amp;$F$2&amp;", "&amp;VLOOKUP(B118,Instruções!$F$13:$J$17,5,0)&amp;" as "&amp;VLOOKUP(B118,Instruções!$F$13:$J$17,5,0)&amp;"_"&amp;$F$2&amp;","&amp;E118&amp;" as "&amp;F118&amp;" FROM "&amp;C118&amp;" WHERE "&amp;Instruções!$D$20&amp;") A ")</f>
        <v xml:space="preserve">(SELECT instrmnt_id as instrmnt_id_, prtctn_id as prtctn_id_,thrd_prty_prrty_clms as thrd_prty_prrty_clms_as_is FROM cd_loan_tapes_bce.lt006_instr_prot WHERE ref_date='2024-09-30' AND nome_perimetro='Individual Corporativo' AND segmento='ESTR' AND ambito='PM' AND entidade='00100' ) A </v>
      </c>
      <c r="I118" s="75" t="str">
        <f>IF(VLOOKUP(B118,Instruções!$F$13:$J$17,5,0)="",
"(SELECT "&amp;VLOOKUP(B118,Instruções!$F$13:$J$17,4,0)&amp;" as "&amp;VLOOKUP(B118,Instruções!$F$13:$J$17,4,0)&amp;"_"&amp;$G$2&amp;", "&amp;E118&amp;" as "&amp;G118&amp;" FROM "&amp;D118&amp;" WHERE "&amp;Instruções!$D$21&amp;") B ",
"(SELECT "&amp;VLOOKUP(B118,Instruções!$F$13:$J$17,4,0)&amp;" as "&amp;VLOOKUP(B118,Instruções!$F$13:$J$17,4,0)&amp;"_"&amp;$G$2&amp;", "&amp;VLOOKUP(B118,Instruções!$F$13:$J$17,5,0)&amp;" as "&amp;VLOOKUP(B118,Instruções!$F$13:$J$17,5,0)&amp;"_"&amp;$G$2&amp;","&amp;E118&amp;" as "&amp;G118&amp;" FROM "&amp;D118&amp;" WHERE "&amp;Instruções!$D$21&amp;") B ")</f>
        <v xml:space="preserve">(SELECT instrmnt_id as instrmnt_id_, prtctn_id as prtctn_id_,thrd_prty_prrty_clms as thrd_prty_prrty_clms_to_be FROM bu_loantape_work.lt006_instr_prot WHERE ref_date='2024-09-30' AND nome_perimetro='Individual Corporativo' AND segmento='ESTR' AND ambito='PM' AND entidade='00100' ) B </v>
      </c>
      <c r="J118" s="75" t="str">
        <f>+IF(VLOOKUP(B118,Instruções!$F$13:$J$17,5,0)="", "ON "&amp;VLOOKUP(B118,Instruções!$F$13:$J$17,4,0)&amp;"_"&amp;$F$7&amp;"="&amp;VLOOKUP(B118,Instruções!$F$13:$J$17,4,0)&amp;"_"&amp;$G$7&amp;" ", "ON "&amp;VLOOKUP(B118,Instruções!$F$13:$J$17,4,0)&amp;"_"&amp;$F$7&amp;"="&amp;VLOOKUP(B118,Instruções!$F$13:$J$17,4,0)&amp;"_"&amp;$G$7&amp;" AND "&amp;VLOOKUP(B118,Instruções!$F$13:$J$17,5,0)&amp;"_"&amp;$F$7&amp;"="&amp;VLOOKUP(B118,Instruções!$F$13:$J$17,5,0)&amp;"_"&amp;$G$7&amp;" ")</f>
        <v xml:space="preserve">ON instrmnt_id_as_is=instrmnt_id_to_be AND prtctn_id_as_is=prtctn_id_to_be </v>
      </c>
      <c r="K118" s="75" t="str">
        <f t="shared" si="18"/>
        <v xml:space="preserve">WHERE coalesce(cast(thrd_prty_prrty_clms_as_is AS string),'')&lt;&gt;coalesce(cast(thrd_prty_prrty_clms_to_be AS string),'') </v>
      </c>
      <c r="L118" s="75" t="str">
        <f t="shared" si="19"/>
        <v xml:space="preserve">SELECT count(*) AS NUM_REG_DIF FROM (SELECT instrmnt_id as instrmnt_id_, prtctn_id as prtctn_id_,thrd_prty_prrty_clms as thrd_prty_prrty_clms_as_is FROM cd_loan_tapes_bce.lt006_instr_prot WHERE ref_date='2024-09-30' AND nome_perimetro='Individual Corporativo' AND segmento='ESTR' AND ambito='PM' AND entidade='00100' ) A  Inner join (SELECT instrmnt_id as instrmnt_id_, prtctn_id as prtctn_id_,thrd_prty_prrty_clms as thrd_prty_prrty_clms_to_be FROM bu_loantape_work.lt006_instr_prot WHERE ref_date='2024-09-30' AND nome_perimetro='Individual Corporativo' AND segmento='ESTR' AND ambito='PM' AND entidade='00100' ) B ON instrmnt_id_as_is=instrmnt_id_to_be AND prtctn_id_as_is=prtctn_id_to_be WHERE coalesce(cast(thrd_prty_prrty_clms_as_is AS string),'')&lt;&gt;coalesce(cast(thrd_prty_prrty_clms_to_be AS string),'') </v>
      </c>
      <c r="M118" s="75" t="s">
        <v>55</v>
      </c>
      <c r="N118" s="75" t="str">
        <f>"SELECT 'Validação de campos' as tipologia_teste, '"&amp;VLOOKUP(B118,Instruções!$F$13:$J$17,3,0)&amp;"' AS TABELA, '"&amp;E118&amp;"' AS CAMPO, '"&amp;Instruções!$D$15&amp;"' as ref_date, coalesce(NUM_REG_DIF, 0) AS NUM_REG_DIF FROM ("&amp;L118&amp;") A "</f>
        <v xml:space="preserve">SELECT 'Validação de campos' as tipologia_teste, 'lt006_instr_prot' AS TABELA, 'thrd_prty_prrty_clms' AS CAMPO, '2024-09-30' as ref_date, coalesce(NUM_REG_DIF, 0) AS NUM_REG_DIF FROM (SELECT count(*) AS NUM_REG_DIF FROM (SELECT instrmnt_id as instrmnt_id_, prtctn_id as prtctn_id_,thrd_prty_prrty_clms as thrd_prty_prrty_clms_as_is FROM cd_loan_tapes_bce.lt006_instr_prot WHERE ref_date='2024-09-30' AND nome_perimetro='Individual Corporativo' AND segmento='ESTR' AND ambito='PM' AND entidade='00100' ) A  Inner join (SELECT instrmnt_id as instrmnt_id_, prtctn_id as prtctn_id_,thrd_prty_prrty_clms as thrd_prty_prrty_clms_to_be FROM bu_loantape_work.lt006_instr_prot WHERE ref_date='2024-09-30' AND nome_perimetro='Individual Corporativo' AND segmento='ESTR' AND ambito='PM' AND entidade='00100' ) B ON instrmnt_id_as_is=instrmnt_id_to_be AND prtctn_id_as_is=prtctn_id_to_be WHERE coalesce(cast(thrd_prty_prrty_clms_as_is AS string),'')&lt;&gt;coalesce(cast(thrd_prty_prrty_clms_to_be AS string),'') ) A </v>
      </c>
      <c r="O118" s="76" t="str">
        <f t="shared" si="20"/>
        <v>SELECT 'Validação de campos' as tipologia_teste, 'lt006_instr_prot' AS TABELA, 'thrd_prty_prrty_clms' AS CAMPO, '2024-09-30' as ref_date, coalesce(NUM_REG_DIF, 0) AS NUM_REG_DIF FROM (SELECT count(*) AS NUM_REG_DIF FROM (SELECT instrmnt_id as instrmnt_id_, prtctn_id as prtctn_id_,thrd_prty_prrty_clms as thrd_prty_prrty_clms_as_is FROM cd_loan_tapes_bce.lt006_instr_prot WHERE ref_date='2024-09-30' AND nome_perimetro='Individual Corporativo' AND segmento='ESTR' AND ambito='PM' AND entidade='00100' ) A  Inner join (SELECT instrmnt_id as instrmnt_id_, prtctn_id as prtctn_id_,thrd_prty_prrty_clms as thrd_prty_prrty_clms_to_be FROM bu_loantape_work.lt006_instr_prot WHERE ref_date='2024-09-30' AND nome_perimetro='Individual Corporativo' AND segmento='ESTR' AND ambito='PM' AND entidade='00100' ) B ON instrmnt_id_as_is=instrmnt_id_to_be AND prtctn_id_as_is=prtctn_id_to_be WHERE coalesce(cast(thrd_prty_prrty_clms_as_is AS string),'')&lt;&gt;coalesce(cast(thrd_prty_prrty_clms_to_be AS string),'') ) A Union all</v>
      </c>
      <c r="P118" s="75">
        <f t="shared" si="21"/>
        <v>8</v>
      </c>
    </row>
    <row r="119" spans="2:16" s="63" customFormat="1" ht="18" customHeight="1">
      <c r="B119" s="75" t="s">
        <v>26</v>
      </c>
      <c r="C119" s="75" t="str">
        <f>_xlfn.CONCAT(Instruções!$D$13,".",VLOOKUP(B119,Instruções!$F$12:$H$17,2,0))</f>
        <v>cd_loan_tapes_bce.lt002_instrument</v>
      </c>
      <c r="D119" s="75" t="str">
        <f>_xlfn.CONCAT(Instruções!$D$14,".",VLOOKUP(B119,Instruções!$F$12:$H$17,3,0))</f>
        <v>bu_loantape_work.lt002_instrument</v>
      </c>
      <c r="E119" s="75" t="s">
        <v>161</v>
      </c>
      <c r="F119" s="75" t="str">
        <f t="shared" si="16"/>
        <v>accmltd_chngs_fv_cr_instrmnt_as_is</v>
      </c>
      <c r="G119" s="75" t="str">
        <f t="shared" si="17"/>
        <v>accmltd_chngs_fv_cr_instrmnt_to_be</v>
      </c>
      <c r="H119" s="75" t="str">
        <f>IF(VLOOKUP(B119,Instruções!$F$13:$J$17,5,0)="",
"(SELECT "&amp;VLOOKUP(B119,Instruções!$F$13:$J$17,4,0)&amp;" as "&amp;VLOOKUP(B119,Instruções!$F$13:$J$17,4,0)&amp;"_"&amp;$F$2&amp;", "&amp;E119&amp;" as "&amp;F119&amp;" FROM "&amp;C119&amp;" WHERE "&amp;Instruções!$D$20&amp;") A ",
"(SELECT "&amp;VLOOKUP(B119,Instruções!$F$13:$J$17,4,0)&amp;" as "&amp;VLOOKUP(B119,Instruções!$F$13:$J$17,4,0)&amp;"_"&amp;$F$2&amp;", "&amp;VLOOKUP(B119,Instruções!$F$13:$J$17,5,0)&amp;" as "&amp;VLOOKUP(B119,Instruções!$F$13:$J$17,5,0)&amp;"_"&amp;$F$2&amp;","&amp;E119&amp;" as "&amp;F119&amp;" FROM "&amp;C119&amp;" WHERE "&amp;Instruções!$D$20&amp;") A ")</f>
        <v xml:space="preserve">(SELECT instrmnt_id as instrmnt_id_, accmltd_chngs_fv_cr_instrmnt as accmltd_chngs_fv_cr_instrmnt_as_is FROM cd_loan_tapes_bce.lt002_instrument WHERE ref_date='2024-09-30' AND nome_perimetro='Individual Corporativo' AND segmento='ESTR' AND ambito='PM' AND entidade='00100' ) A </v>
      </c>
      <c r="I119" s="75" t="str">
        <f>IF(VLOOKUP(B119,Instruções!$F$13:$J$17,5,0)="",
"(SELECT "&amp;VLOOKUP(B119,Instruções!$F$13:$J$17,4,0)&amp;" as "&amp;VLOOKUP(B119,Instruções!$F$13:$J$17,4,0)&amp;"_"&amp;$G$2&amp;", "&amp;E119&amp;" as "&amp;G119&amp;" FROM "&amp;D119&amp;" WHERE "&amp;Instruções!$D$21&amp;") B ",
"(SELECT "&amp;VLOOKUP(B119,Instruções!$F$13:$J$17,4,0)&amp;" as "&amp;VLOOKUP(B119,Instruções!$F$13:$J$17,4,0)&amp;"_"&amp;$G$2&amp;", "&amp;VLOOKUP(B119,Instruções!$F$13:$J$17,5,0)&amp;" as "&amp;VLOOKUP(B119,Instruções!$F$13:$J$17,5,0)&amp;"_"&amp;$G$2&amp;","&amp;E119&amp;" as "&amp;G119&amp;" FROM "&amp;D119&amp;" WHERE "&amp;Instruções!$D$21&amp;") B ")</f>
        <v xml:space="preserve">(SELECT instrmnt_id as instrmnt_id_, accmltd_chngs_fv_cr_instrmnt as accmltd_chngs_fv_cr_instrmnt_to_be FROM bu_loantape_work.lt002_instrument WHERE ref_date='2024-09-30' AND nome_perimetro='Individual Corporativo' AND segmento='ESTR' AND ambito='PM' AND entidade='00100' ) B </v>
      </c>
      <c r="J119" s="75" t="str">
        <f>+IF(VLOOKUP(B119,Instruções!$F$13:$J$17,5,0)="", "ON "&amp;VLOOKUP(B119,Instruções!$F$13:$J$17,4,0)&amp;"_"&amp;$F$7&amp;"="&amp;VLOOKUP(B119,Instruções!$F$13:$J$17,4,0)&amp;"_"&amp;$G$7&amp;" ", "ON "&amp;VLOOKUP(B119,Instruções!$F$13:$J$17,4,0)&amp;"_"&amp;$F$7&amp;"="&amp;VLOOKUP(B119,Instruções!$F$13:$J$17,4,0)&amp;"_"&amp;$G$7&amp;" AND "&amp;VLOOKUP(B119,Instruções!$F$13:$J$17,5,0)&amp;"_"&amp;$F$7&amp;"="&amp;VLOOKUP(B119,Instruções!$F$13:$J$17,5,0)&amp;"_"&amp;$G$7&amp;" ")</f>
        <v xml:space="preserve">ON instrmnt_id_as_is=instrmnt_id_to_be </v>
      </c>
      <c r="K119" s="75" t="str">
        <f t="shared" si="18"/>
        <v xml:space="preserve">WHERE coalesce(cast(accmltd_chngs_fv_cr_instrmnt_as_is AS string),'')&lt;&gt;coalesce(cast(accmltd_chngs_fv_cr_instrmnt_to_be AS string),'') </v>
      </c>
      <c r="L119" s="75" t="str">
        <f t="shared" si="19"/>
        <v xml:space="preserve">SELECT count(*) AS NUM_REG_DIF FROM (SELECT instrmnt_id as instrmnt_id_,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instrmnt_id_, accmltd_chngs_fv_cr_instrmnt as accmltd_chngs_fv_cr_instrmnt_to_be FROM bu_loantape_work.lt002_instrument WHERE ref_date='2024-09-30' AND nome_perimetro='Individual Corporativo' AND segmento='ESTR' AND ambito='PM' AND entidade='00100' ) B ON instrmnt_id_as_is=instrmnt_id_to_be WHERE coalesce(cast(accmltd_chngs_fv_cr_instrmnt_as_is AS string),'')&lt;&gt;coalesce(cast(accmltd_chngs_fv_cr_instrmnt_to_be AS string),'') </v>
      </c>
      <c r="M119" s="75" t="s">
        <v>55</v>
      </c>
      <c r="N119" s="75" t="str">
        <f>"SELECT 'Validação de campos' as tipologia_teste, '"&amp;VLOOKUP(B119,Instruções!$F$13:$J$17,3,0)&amp;"' AS TABELA, '"&amp;E119&amp;"' AS CAMPO, '"&amp;Instruções!$D$15&amp;"' as ref_date, coalesce(NUM_REG_DIF, 0) AS NUM_REG_DIF FROM ("&amp;L119&amp;") A "</f>
        <v xml:space="preserve">SELECT 'Validação de campos' as tipologia_teste, 'lt002_instrument' AS TABELA, 'accmltd_chngs_fv_cr_instrmnt' AS CAMPO, '2024-09-30' as ref_date, coalesce(NUM_REG_DIF, 0) AS NUM_REG_DIF FROM (SELECT count(*) AS NUM_REG_DIF FROM (SELECT instrmnt_id as instrmnt_id_,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instrmnt_id_, accmltd_chngs_fv_cr_instrmnt as accmltd_chngs_fv_cr_instrmnt_to_be FROM bu_loantape_work.lt002_instrument WHERE ref_date='2024-09-30' AND nome_perimetro='Individual Corporativo' AND segmento='ESTR' AND ambito='PM' AND entidade='00100' ) B ON instrmnt_id_as_is=instrmnt_id_to_be WHERE coalesce(cast(accmltd_chngs_fv_cr_instrmnt_as_is AS string),'')&lt;&gt;coalesce(cast(accmltd_chngs_fv_cr_instrmnt_to_be AS string),'') ) A </v>
      </c>
      <c r="O119" s="76" t="str">
        <f t="shared" si="20"/>
        <v>SELECT 'Validação de campos' as tipologia_teste, 'lt002_instrument' AS TABELA, 'accmltd_chngs_fv_cr_instrmnt' AS CAMPO, '2024-09-30' as ref_date, coalesce(NUM_REG_DIF, 0) AS NUM_REG_DIF FROM (SELECT count(*) AS NUM_REG_DIF FROM (SELECT instrmnt_id as instrmnt_id_,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instrmnt_id_, accmltd_chngs_fv_cr_instrmnt as accmltd_chngs_fv_cr_instrmnt_to_be FROM bu_loantape_work.lt002_instrument WHERE ref_date='2024-09-30' AND nome_perimetro='Individual Corporativo' AND segmento='ESTR' AND ambito='PM' AND entidade='00100' ) B ON instrmnt_id_as_is=instrmnt_id_to_be WHERE coalesce(cast(accmltd_chngs_fv_cr_instrmnt_as_is AS string),'')&lt;&gt;coalesce(cast(accmltd_chngs_fv_cr_instrmnt_to_be AS string),'') ) A Union all</v>
      </c>
      <c r="P119" s="75">
        <f t="shared" si="21"/>
        <v>9</v>
      </c>
    </row>
    <row r="120" spans="2:16" s="63" customFormat="1" ht="18" customHeight="1">
      <c r="B120" s="75" t="s">
        <v>26</v>
      </c>
      <c r="C120" s="75" t="str">
        <f>_xlfn.CONCAT(Instruções!$D$13,".",VLOOKUP(B120,Instruções!$F$12:$H$17,2,0))</f>
        <v>cd_loan_tapes_bce.lt002_instrument</v>
      </c>
      <c r="D120" s="75" t="str">
        <f>_xlfn.CONCAT(Instruções!$D$14,".",VLOOKUP(B120,Instruções!$F$12:$H$17,3,0))</f>
        <v>bu_loantape_work.lt002_instrument</v>
      </c>
      <c r="E120" s="75" t="s">
        <v>162</v>
      </c>
      <c r="F120" s="75" t="str">
        <f t="shared" si="16"/>
        <v>accmltd_imprmnt_instrmnt_as_is</v>
      </c>
      <c r="G120" s="75" t="str">
        <f t="shared" si="17"/>
        <v>accmltd_imprmnt_instrmnt_to_be</v>
      </c>
      <c r="H120" s="75" t="str">
        <f>IF(VLOOKUP(B120,Instruções!$F$13:$J$17,5,0)="",
"(SELECT "&amp;VLOOKUP(B120,Instruções!$F$13:$J$17,4,0)&amp;" as "&amp;VLOOKUP(B120,Instruções!$F$13:$J$17,4,0)&amp;"_"&amp;$F$2&amp;", "&amp;E120&amp;" as "&amp;F120&amp;" FROM "&amp;C120&amp;" WHERE "&amp;Instruções!$D$20&amp;") A ",
"(SELECT "&amp;VLOOKUP(B120,Instruções!$F$13:$J$17,4,0)&amp;" as "&amp;VLOOKUP(B120,Instruções!$F$13:$J$17,4,0)&amp;"_"&amp;$F$2&amp;", "&amp;VLOOKUP(B120,Instruções!$F$13:$J$17,5,0)&amp;" as "&amp;VLOOKUP(B120,Instruções!$F$13:$J$17,5,0)&amp;"_"&amp;$F$2&amp;","&amp;E120&amp;" as "&amp;F120&amp;" FROM "&amp;C120&amp;" WHERE "&amp;Instruções!$D$20&amp;") A ")</f>
        <v xml:space="preserve">(SELECT instrmnt_id as instrmnt_id_, accmltd_imprmnt_instrmnt as accmltd_imprmnt_instrmnt_as_is FROM cd_loan_tapes_bce.lt002_instrument WHERE ref_date='2024-09-30' AND nome_perimetro='Individual Corporativo' AND segmento='ESTR' AND ambito='PM' AND entidade='00100' ) A </v>
      </c>
      <c r="I120" s="75" t="str">
        <f>IF(VLOOKUP(B120,Instruções!$F$13:$J$17,5,0)="",
"(SELECT "&amp;VLOOKUP(B120,Instruções!$F$13:$J$17,4,0)&amp;" as "&amp;VLOOKUP(B120,Instruções!$F$13:$J$17,4,0)&amp;"_"&amp;$G$2&amp;", "&amp;E120&amp;" as "&amp;G120&amp;" FROM "&amp;D120&amp;" WHERE "&amp;Instruções!$D$21&amp;") B ",
"(SELECT "&amp;VLOOKUP(B120,Instruções!$F$13:$J$17,4,0)&amp;" as "&amp;VLOOKUP(B120,Instruções!$F$13:$J$17,4,0)&amp;"_"&amp;$G$2&amp;", "&amp;VLOOKUP(B120,Instruções!$F$13:$J$17,5,0)&amp;" as "&amp;VLOOKUP(B120,Instruções!$F$13:$J$17,5,0)&amp;"_"&amp;$G$2&amp;","&amp;E120&amp;" as "&amp;G120&amp;" FROM "&amp;D120&amp;" WHERE "&amp;Instruções!$D$21&amp;") B ")</f>
        <v xml:space="preserve">(SELECT instrmnt_id as instrmnt_id_, accmltd_imprmnt_instrmnt as accmltd_imprmnt_instrmnt_to_be FROM bu_loantape_work.lt002_instrument WHERE ref_date='2024-09-30' AND nome_perimetro='Individual Corporativo' AND segmento='ESTR' AND ambito='PM' AND entidade='00100' ) B </v>
      </c>
      <c r="J120" s="75" t="str">
        <f>+IF(VLOOKUP(B120,Instruções!$F$13:$J$17,5,0)="", "ON "&amp;VLOOKUP(B120,Instruções!$F$13:$J$17,4,0)&amp;"_"&amp;$F$7&amp;"="&amp;VLOOKUP(B120,Instruções!$F$13:$J$17,4,0)&amp;"_"&amp;$G$7&amp;" ", "ON "&amp;VLOOKUP(B120,Instruções!$F$13:$J$17,4,0)&amp;"_"&amp;$F$7&amp;"="&amp;VLOOKUP(B120,Instruções!$F$13:$J$17,4,0)&amp;"_"&amp;$G$7&amp;" AND "&amp;VLOOKUP(B120,Instruções!$F$13:$J$17,5,0)&amp;"_"&amp;$F$7&amp;"="&amp;VLOOKUP(B120,Instruções!$F$13:$J$17,5,0)&amp;"_"&amp;$G$7&amp;" ")</f>
        <v xml:space="preserve">ON instrmnt_id_as_is=instrmnt_id_to_be </v>
      </c>
      <c r="K120" s="75" t="str">
        <f t="shared" si="18"/>
        <v xml:space="preserve">WHERE coalesce(cast(accmltd_imprmnt_instrmnt_as_is AS string),'')&lt;&gt;coalesce(cast(accmltd_imprmnt_instrmnt_to_be AS string),'') </v>
      </c>
      <c r="L120" s="75" t="str">
        <f t="shared" si="19"/>
        <v xml:space="preserve">SELECT count(*) AS NUM_REG_DIF FROM (SELECT instrmnt_id as instrmnt_id_,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instrmnt_id_, accmltd_imprmnt_instrmnt as accmltd_imprmnt_instrmnt_to_be FROM bu_loantape_work.lt002_instrument WHERE ref_date='2024-09-30' AND nome_perimetro='Individual Corporativo' AND segmento='ESTR' AND ambito='PM' AND entidade='00100' ) B ON instrmnt_id_as_is=instrmnt_id_to_be WHERE coalesce(cast(accmltd_imprmnt_instrmnt_as_is AS string),'')&lt;&gt;coalesce(cast(accmltd_imprmnt_instrmnt_to_be AS string),'') </v>
      </c>
      <c r="M120" s="75" t="s">
        <v>55</v>
      </c>
      <c r="N120" s="75" t="str">
        <f>"SELECT 'Validação de campos' as tipologia_teste, '"&amp;VLOOKUP(B120,Instruções!$F$13:$J$17,3,0)&amp;"' AS TABELA, '"&amp;E120&amp;"' AS CAMPO, '"&amp;Instruções!$D$15&amp;"' as ref_date, coalesce(NUM_REG_DIF, 0) AS NUM_REG_DIF FROM ("&amp;L120&amp;") A "</f>
        <v xml:space="preserve">SELECT 'Validação de campos' as tipologia_teste, 'lt002_instrument' AS TABELA, 'accmltd_imprmnt_instrmnt' AS CAMPO, '2024-09-30' as ref_date, coalesce(NUM_REG_DIF, 0) AS NUM_REG_DIF FROM (SELECT count(*) AS NUM_REG_DIF FROM (SELECT instrmnt_id as instrmnt_id_,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instrmnt_id_, accmltd_imprmnt_instrmnt as accmltd_imprmnt_instrmnt_to_be FROM bu_loantape_work.lt002_instrument WHERE ref_date='2024-09-30' AND nome_perimetro='Individual Corporativo' AND segmento='ESTR' AND ambito='PM' AND entidade='00100' ) B ON instrmnt_id_as_is=instrmnt_id_to_be WHERE coalesce(cast(accmltd_imprmnt_instrmnt_as_is AS string),'')&lt;&gt;coalesce(cast(accmltd_imprmnt_instrmnt_to_be AS string),'') ) A </v>
      </c>
      <c r="O120" s="76" t="str">
        <f t="shared" si="20"/>
        <v>SELECT 'Validação de campos' as tipologia_teste, 'lt002_instrument' AS TABELA, 'accmltd_imprmnt_instrmnt' AS CAMPO, '2024-09-30' as ref_date, coalesce(NUM_REG_DIF, 0) AS NUM_REG_DIF FROM (SELECT count(*) AS NUM_REG_DIF FROM (SELECT instrmnt_id as instrmnt_id_,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instrmnt_id_, accmltd_imprmnt_instrmnt as accmltd_imprmnt_instrmnt_to_be FROM bu_loantape_work.lt002_instrument WHERE ref_date='2024-09-30' AND nome_perimetro='Individual Corporativo' AND segmento='ESTR' AND ambito='PM' AND entidade='00100' ) B ON instrmnt_id_as_is=instrmnt_id_to_be WHERE coalesce(cast(accmltd_imprmnt_instrmnt_as_is AS string),'')&lt;&gt;coalesce(cast(accmltd_imprmnt_instrmnt_to_be AS string),'') ) A Union all</v>
      </c>
      <c r="P120" s="75">
        <f t="shared" si="21"/>
        <v>10</v>
      </c>
    </row>
    <row r="121" spans="2:16" s="63" customFormat="1" ht="18" customHeight="1">
      <c r="B121" s="75" t="s">
        <v>26</v>
      </c>
      <c r="C121" s="75" t="str">
        <f>_xlfn.CONCAT(Instruções!$D$13,".",VLOOKUP(B121,Instruções!$F$12:$H$17,2,0))</f>
        <v>cd_loan_tapes_bce.lt002_instrument</v>
      </c>
      <c r="D121" s="75" t="str">
        <f>_xlfn.CONCAT(Instruções!$D$14,".",VLOOKUP(B121,Instruções!$F$12:$H$17,3,0))</f>
        <v>bu_loantape_work.lt002_instrument</v>
      </c>
      <c r="E121" s="75" t="s">
        <v>163</v>
      </c>
      <c r="F121" s="75" t="str">
        <f t="shared" si="16"/>
        <v>accmltd_imprmnt_instrmnt_prvs_as_is</v>
      </c>
      <c r="G121" s="75" t="str">
        <f t="shared" si="17"/>
        <v>accmltd_imprmnt_instrmnt_prvs_to_be</v>
      </c>
      <c r="H121" s="75" t="str">
        <f>IF(VLOOKUP(B121,Instruções!$F$13:$J$17,5,0)="",
"(SELECT "&amp;VLOOKUP(B121,Instruções!$F$13:$J$17,4,0)&amp;" as "&amp;VLOOKUP(B121,Instruções!$F$13:$J$17,4,0)&amp;"_"&amp;$F$2&amp;", "&amp;E121&amp;" as "&amp;F121&amp;" FROM "&amp;C121&amp;" WHERE "&amp;Instruções!$D$20&amp;") A ",
"(SELECT "&amp;VLOOKUP(B121,Instruções!$F$13:$J$17,4,0)&amp;" as "&amp;VLOOKUP(B121,Instruções!$F$13:$J$17,4,0)&amp;"_"&amp;$F$2&amp;", "&amp;VLOOKUP(B121,Instruções!$F$13:$J$17,5,0)&amp;" as "&amp;VLOOKUP(B121,Instruções!$F$13:$J$17,5,0)&amp;"_"&amp;$F$2&amp;","&amp;E121&amp;" as "&amp;F121&amp;" FROM "&amp;C121&amp;" WHERE "&amp;Instruções!$D$20&amp;") A ")</f>
        <v xml:space="preserve">(SELECT instrmnt_id as instrmnt_id_, accmltd_imprmnt_instrmnt_prvs as accmltd_imprmnt_instrmnt_prvs_as_is FROM cd_loan_tapes_bce.lt002_instrument WHERE ref_date='2024-09-30' AND nome_perimetro='Individual Corporativo' AND segmento='ESTR' AND ambito='PM' AND entidade='00100' ) A </v>
      </c>
      <c r="I121" s="75" t="str">
        <f>IF(VLOOKUP(B121,Instruções!$F$13:$J$17,5,0)="",
"(SELECT "&amp;VLOOKUP(B121,Instruções!$F$13:$J$17,4,0)&amp;" as "&amp;VLOOKUP(B121,Instruções!$F$13:$J$17,4,0)&amp;"_"&amp;$G$2&amp;", "&amp;E121&amp;" as "&amp;G121&amp;" FROM "&amp;D121&amp;" WHERE "&amp;Instruções!$D$21&amp;") B ",
"(SELECT "&amp;VLOOKUP(B121,Instruções!$F$13:$J$17,4,0)&amp;" as "&amp;VLOOKUP(B121,Instruções!$F$13:$J$17,4,0)&amp;"_"&amp;$G$2&amp;", "&amp;VLOOKUP(B121,Instruções!$F$13:$J$17,5,0)&amp;" as "&amp;VLOOKUP(B121,Instruções!$F$13:$J$17,5,0)&amp;"_"&amp;$G$2&amp;","&amp;E121&amp;" as "&amp;G121&amp;" FROM "&amp;D121&amp;" WHERE "&amp;Instruções!$D$21&amp;") B ")</f>
        <v xml:space="preserve">(SELECT instrmnt_id as instrmnt_id_, accmltd_imprmnt_instrmnt_prvs as accmltd_imprmnt_instrmnt_prvs_to_be FROM bu_loantape_work.lt002_instrument WHERE ref_date='2024-09-30' AND nome_perimetro='Individual Corporativo' AND segmento='ESTR' AND ambito='PM' AND entidade='00100' ) B </v>
      </c>
      <c r="J121" s="75" t="str">
        <f>+IF(VLOOKUP(B121,Instruções!$F$13:$J$17,5,0)="", "ON "&amp;VLOOKUP(B121,Instruções!$F$13:$J$17,4,0)&amp;"_"&amp;$F$7&amp;"="&amp;VLOOKUP(B121,Instruções!$F$13:$J$17,4,0)&amp;"_"&amp;$G$7&amp;" ", "ON "&amp;VLOOKUP(B121,Instruções!$F$13:$J$17,4,0)&amp;"_"&amp;$F$7&amp;"="&amp;VLOOKUP(B121,Instruções!$F$13:$J$17,4,0)&amp;"_"&amp;$G$7&amp;" AND "&amp;VLOOKUP(B121,Instruções!$F$13:$J$17,5,0)&amp;"_"&amp;$F$7&amp;"="&amp;VLOOKUP(B121,Instruções!$F$13:$J$17,5,0)&amp;"_"&amp;$G$7&amp;" ")</f>
        <v xml:space="preserve">ON instrmnt_id_as_is=instrmnt_id_to_be </v>
      </c>
      <c r="K121" s="75" t="str">
        <f t="shared" si="18"/>
        <v xml:space="preserve">WHERE coalesce(cast(accmltd_imprmnt_instrmnt_prvs_as_is AS string),'')&lt;&gt;coalesce(cast(accmltd_imprmnt_instrmnt_prvs_to_be AS string),'') </v>
      </c>
      <c r="L121" s="75" t="str">
        <f t="shared" si="19"/>
        <v xml:space="preserve">SELECT count(*) AS NUM_REG_DIF FROM (SELECT instrmnt_id as instrmnt_id_,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instrmnt_id_, accmltd_imprmnt_instrmnt_prvs as accmltd_imprmnt_instrmnt_prvs_to_be FROM bu_loantape_work.lt002_instrument WHERE ref_date='2024-09-30' AND nome_perimetro='Individual Corporativo' AND segmento='ESTR' AND ambito='PM' AND entidade='00100' ) B ON instrmnt_id_as_is=instrmnt_id_to_be WHERE coalesce(cast(accmltd_imprmnt_instrmnt_prvs_as_is AS string),'')&lt;&gt;coalesce(cast(accmltd_imprmnt_instrmnt_prvs_to_be AS string),'') </v>
      </c>
      <c r="M121" s="75" t="s">
        <v>55</v>
      </c>
      <c r="N121" s="75" t="str">
        <f>"SELECT 'Validação de campos' as tipologia_teste, '"&amp;VLOOKUP(B121,Instruções!$F$13:$J$17,3,0)&amp;"' AS TABELA, '"&amp;E121&amp;"' AS CAMPO, '"&amp;Instruções!$D$15&amp;"' as ref_date, coalesce(NUM_REG_DIF, 0) AS NUM_REG_DIF FROM ("&amp;L121&amp;") A "</f>
        <v xml:space="preserve">SELECT 'Validação de campos' as tipologia_teste, 'lt002_instrument' AS TABELA, 'accmltd_imprmnt_instrmnt_prvs' AS CAMPO, '2024-09-30' as ref_date, coalesce(NUM_REG_DIF, 0) AS NUM_REG_DIF FROM (SELECT count(*) AS NUM_REG_DIF FROM (SELECT instrmnt_id as instrmnt_id_,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instrmnt_id_, accmltd_imprmnt_instrmnt_prvs as accmltd_imprmnt_instrmnt_prvs_to_be FROM bu_loantape_work.lt002_instrument WHERE ref_date='2024-09-30' AND nome_perimetro='Individual Corporativo' AND segmento='ESTR' AND ambito='PM' AND entidade='00100' ) B ON instrmnt_id_as_is=instrmnt_id_to_be WHERE coalesce(cast(accmltd_imprmnt_instrmnt_prvs_as_is AS string),'')&lt;&gt;coalesce(cast(accmltd_imprmnt_instrmnt_prvs_to_be AS string),'') ) A </v>
      </c>
      <c r="O121" s="76" t="str">
        <f t="shared" si="20"/>
        <v>SELECT 'Validação de campos' as tipologia_teste, 'lt002_instrument' AS TABELA, 'accmltd_imprmnt_instrmnt_prvs' AS CAMPO, '2024-09-30' as ref_date, coalesce(NUM_REG_DIF, 0) AS NUM_REG_DIF FROM (SELECT count(*) AS NUM_REG_DIF FROM (SELECT instrmnt_id as instrmnt_id_,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instrmnt_id_, accmltd_imprmnt_instrmnt_prvs as accmltd_imprmnt_instrmnt_prvs_to_be FROM bu_loantape_work.lt002_instrument WHERE ref_date='2024-09-30' AND nome_perimetro='Individual Corporativo' AND segmento='ESTR' AND ambito='PM' AND entidade='00100' ) B ON instrmnt_id_as_is=instrmnt_id_to_be WHERE coalesce(cast(accmltd_imprmnt_instrmnt_prvs_as_is AS string),'')&lt;&gt;coalesce(cast(accmltd_imprmnt_instrmnt_prvs_to_be AS string),'') ) A Union all</v>
      </c>
      <c r="P121" s="75">
        <f t="shared" si="21"/>
        <v>11</v>
      </c>
    </row>
    <row r="122" spans="2:16" s="63" customFormat="1" ht="18" customHeight="1">
      <c r="B122" s="75" t="s">
        <v>26</v>
      </c>
      <c r="C122" s="75" t="str">
        <f>_xlfn.CONCAT(Instruções!$D$13,".",VLOOKUP(B122,Instruções!$F$12:$H$17,2,0))</f>
        <v>cd_loan_tapes_bce.lt002_instrument</v>
      </c>
      <c r="D122" s="75" t="str">
        <f>_xlfn.CONCAT(Instruções!$D$14,".",VLOOKUP(B122,Instruções!$F$12:$H$17,3,0))</f>
        <v>bu_loantape_work.lt002_instrument</v>
      </c>
      <c r="E122" s="75" t="s">
        <v>164</v>
      </c>
      <c r="F122" s="75" t="str">
        <f t="shared" si="16"/>
        <v>accmltd_wrtffs_instrmnt_as_is</v>
      </c>
      <c r="G122" s="75" t="str">
        <f t="shared" si="17"/>
        <v>accmltd_wrtffs_instrmnt_to_be</v>
      </c>
      <c r="H122" s="75" t="str">
        <f>IF(VLOOKUP(B122,Instruções!$F$13:$J$17,5,0)="",
"(SELECT "&amp;VLOOKUP(B122,Instruções!$F$13:$J$17,4,0)&amp;" as "&amp;VLOOKUP(B122,Instruções!$F$13:$J$17,4,0)&amp;"_"&amp;$F$2&amp;", "&amp;E122&amp;" as "&amp;F122&amp;" FROM "&amp;C122&amp;" WHERE "&amp;Instruções!$D$20&amp;") A ",
"(SELECT "&amp;VLOOKUP(B122,Instruções!$F$13:$J$17,4,0)&amp;" as "&amp;VLOOKUP(B122,Instruções!$F$13:$J$17,4,0)&amp;"_"&amp;$F$2&amp;", "&amp;VLOOKUP(B122,Instruções!$F$13:$J$17,5,0)&amp;" as "&amp;VLOOKUP(B122,Instruções!$F$13:$J$17,5,0)&amp;"_"&amp;$F$2&amp;","&amp;E122&amp;" as "&amp;F122&amp;" FROM "&amp;C122&amp;" WHERE "&amp;Instruções!$D$20&amp;") A ")</f>
        <v xml:space="preserve">(SELECT instrmnt_id as instrmnt_id_, accmltd_wrtffs_instrmnt as accmltd_wrtffs_instrmnt_as_is FROM cd_loan_tapes_bce.lt002_instrument WHERE ref_date='2024-09-30' AND nome_perimetro='Individual Corporativo' AND segmento='ESTR' AND ambito='PM' AND entidade='00100' ) A </v>
      </c>
      <c r="I122" s="75" t="str">
        <f>IF(VLOOKUP(B122,Instruções!$F$13:$J$17,5,0)="",
"(SELECT "&amp;VLOOKUP(B122,Instruções!$F$13:$J$17,4,0)&amp;" as "&amp;VLOOKUP(B122,Instruções!$F$13:$J$17,4,0)&amp;"_"&amp;$G$2&amp;", "&amp;E122&amp;" as "&amp;G122&amp;" FROM "&amp;D122&amp;" WHERE "&amp;Instruções!$D$21&amp;") B ",
"(SELECT "&amp;VLOOKUP(B122,Instruções!$F$13:$J$17,4,0)&amp;" as "&amp;VLOOKUP(B122,Instruções!$F$13:$J$17,4,0)&amp;"_"&amp;$G$2&amp;", "&amp;VLOOKUP(B122,Instruções!$F$13:$J$17,5,0)&amp;" as "&amp;VLOOKUP(B122,Instruções!$F$13:$J$17,5,0)&amp;"_"&amp;$G$2&amp;","&amp;E122&amp;" as "&amp;G122&amp;" FROM "&amp;D122&amp;" WHERE "&amp;Instruções!$D$21&amp;") B ")</f>
        <v xml:space="preserve">(SELECT instrmnt_id as instrmnt_id_, accmltd_wrtffs_instrmnt as accmltd_wrtffs_instrmnt_to_be FROM bu_loantape_work.lt002_instrument WHERE ref_date='2024-09-30' AND nome_perimetro='Individual Corporativo' AND segmento='ESTR' AND ambito='PM' AND entidade='00100' ) B </v>
      </c>
      <c r="J122" s="75" t="str">
        <f>+IF(VLOOKUP(B122,Instruções!$F$13:$J$17,5,0)="", "ON "&amp;VLOOKUP(B122,Instruções!$F$13:$J$17,4,0)&amp;"_"&amp;$F$7&amp;"="&amp;VLOOKUP(B122,Instruções!$F$13:$J$17,4,0)&amp;"_"&amp;$G$7&amp;" ", "ON "&amp;VLOOKUP(B122,Instruções!$F$13:$J$17,4,0)&amp;"_"&amp;$F$7&amp;"="&amp;VLOOKUP(B122,Instruções!$F$13:$J$17,4,0)&amp;"_"&amp;$G$7&amp;" AND "&amp;VLOOKUP(B122,Instruções!$F$13:$J$17,5,0)&amp;"_"&amp;$F$7&amp;"="&amp;VLOOKUP(B122,Instruções!$F$13:$J$17,5,0)&amp;"_"&amp;$G$7&amp;" ")</f>
        <v xml:space="preserve">ON instrmnt_id_as_is=instrmnt_id_to_be </v>
      </c>
      <c r="K122" s="75" t="str">
        <f t="shared" si="18"/>
        <v xml:space="preserve">WHERE coalesce(cast(accmltd_wrtffs_instrmnt_as_is AS string),'')&lt;&gt;coalesce(cast(accmltd_wrtffs_instrmnt_to_be AS string),'') </v>
      </c>
      <c r="L122" s="75" t="str">
        <f t="shared" si="19"/>
        <v xml:space="preserve">SELECT count(*) AS NUM_REG_DIF FROM (SELECT instrmnt_id as instrmnt_id_, accmltd_wrtffs_instrmnt as accmltd_wrtffs_instrmnt_as_is FROM cd_loan_tapes_bce.lt002_instrument WHERE ref_date='2024-09-30' AND nome_perimetro='Individual Corporativo' AND segmento='ESTR' AND ambito='PM' AND entidade='00100' ) A  Inner join (SELECT instrmnt_id as instrmnt_id_, accmltd_wrtffs_instrmnt as accmltd_wrtffs_instrmnt_to_be FROM bu_loantape_work.lt002_instrument WHERE ref_date='2024-09-30' AND nome_perimetro='Individual Corporativo' AND segmento='ESTR' AND ambito='PM' AND entidade='00100' ) B ON instrmnt_id_as_is=instrmnt_id_to_be WHERE coalesce(cast(accmltd_wrtffs_instrmnt_as_is AS string),'')&lt;&gt;coalesce(cast(accmltd_wrtffs_instrmnt_to_be AS string),'') </v>
      </c>
      <c r="M122" s="75" t="s">
        <v>55</v>
      </c>
      <c r="N122" s="75" t="str">
        <f>"SELECT 'Validação de campos' as tipologia_teste, '"&amp;VLOOKUP(B122,Instruções!$F$13:$J$17,3,0)&amp;"' AS TABELA, '"&amp;E122&amp;"' AS CAMPO, '"&amp;Instruções!$D$15&amp;"' as ref_date, coalesce(NUM_REG_DIF, 0) AS NUM_REG_DIF FROM ("&amp;L122&amp;") A "</f>
        <v xml:space="preserve">SELECT 'Validação de campos' as tipologia_teste, 'lt002_instrument' AS TABELA, 'accmltd_wrtffs_instrmnt' AS CAMPO, '2024-09-30' as ref_date, coalesce(NUM_REG_DIF, 0) AS NUM_REG_DIF FROM (SELECT count(*) AS NUM_REG_DIF FROM (SELECT instrmnt_id as instrmnt_id_, accmltd_wrtffs_instrmnt as accmltd_wrtffs_instrmnt_as_is FROM cd_loan_tapes_bce.lt002_instrument WHERE ref_date='2024-09-30' AND nome_perimetro='Individual Corporativo' AND segmento='ESTR' AND ambito='PM' AND entidade='00100' ) A  Inner join (SELECT instrmnt_id as instrmnt_id_, accmltd_wrtffs_instrmnt as accmltd_wrtffs_instrmnt_to_be FROM bu_loantape_work.lt002_instrument WHERE ref_date='2024-09-30' AND nome_perimetro='Individual Corporativo' AND segmento='ESTR' AND ambito='PM' AND entidade='00100' ) B ON instrmnt_id_as_is=instrmnt_id_to_be WHERE coalesce(cast(accmltd_wrtffs_instrmnt_as_is AS string),'')&lt;&gt;coalesce(cast(accmltd_wrtffs_instrmnt_to_be AS string),'') ) A </v>
      </c>
      <c r="O122" s="76" t="str">
        <f t="shared" si="20"/>
        <v>SELECT 'Validação de campos' as tipologia_teste, 'lt002_instrument' AS TABELA, 'accmltd_wrtffs_instrmnt' AS CAMPO, '2024-09-30' as ref_date, coalesce(NUM_REG_DIF, 0) AS NUM_REG_DIF FROM (SELECT count(*) AS NUM_REG_DIF FROM (SELECT instrmnt_id as instrmnt_id_, accmltd_wrtffs_instrmnt as accmltd_wrtffs_instrmnt_as_is FROM cd_loan_tapes_bce.lt002_instrument WHERE ref_date='2024-09-30' AND nome_perimetro='Individual Corporativo' AND segmento='ESTR' AND ambito='PM' AND entidade='00100' ) A  Inner join (SELECT instrmnt_id as instrmnt_id_, accmltd_wrtffs_instrmnt as accmltd_wrtffs_instrmnt_to_be FROM bu_loantape_work.lt002_instrument WHERE ref_date='2024-09-30' AND nome_perimetro='Individual Corporativo' AND segmento='ESTR' AND ambito='PM' AND entidade='00100' ) B ON instrmnt_id_as_is=instrmnt_id_to_be WHERE coalesce(cast(accmltd_wrtffs_instrmnt_as_is AS string),'')&lt;&gt;coalesce(cast(accmltd_wrtffs_instrmnt_to_be AS string),'') ) A Union all</v>
      </c>
      <c r="P122" s="75">
        <f t="shared" si="21"/>
        <v>12</v>
      </c>
    </row>
    <row r="123" spans="2:16" s="63" customFormat="1" ht="18" customHeight="1">
      <c r="B123" s="75" t="s">
        <v>26</v>
      </c>
      <c r="C123" s="75" t="str">
        <f>_xlfn.CONCAT(Instruções!$D$13,".",VLOOKUP(B123,Instruções!$F$12:$H$17,2,0))</f>
        <v>cd_loan_tapes_bce.lt002_instrument</v>
      </c>
      <c r="D123" s="75" t="str">
        <f>_xlfn.CONCAT(Instruções!$D$14,".",VLOOKUP(B123,Instruções!$F$12:$H$17,3,0))</f>
        <v>bu_loantape_work.lt002_instrument</v>
      </c>
      <c r="E123" s="75" t="s">
        <v>165</v>
      </c>
      <c r="F123" s="75" t="str">
        <f t="shared" si="16"/>
        <v>accntng_clssfctn_as_is</v>
      </c>
      <c r="G123" s="75" t="str">
        <f t="shared" si="17"/>
        <v>accntng_clssfctn_to_be</v>
      </c>
      <c r="H123" s="75" t="str">
        <f>IF(VLOOKUP(B123,Instruções!$F$13:$J$17,5,0)="",
"(SELECT "&amp;VLOOKUP(B123,Instruções!$F$13:$J$17,4,0)&amp;" as "&amp;VLOOKUP(B123,Instruções!$F$13:$J$17,4,0)&amp;"_"&amp;$F$2&amp;", "&amp;E123&amp;" as "&amp;F123&amp;" FROM "&amp;C123&amp;" WHERE "&amp;Instruções!$D$20&amp;") A ",
"(SELECT "&amp;VLOOKUP(B123,Instruções!$F$13:$J$17,4,0)&amp;" as "&amp;VLOOKUP(B123,Instruções!$F$13:$J$17,4,0)&amp;"_"&amp;$F$2&amp;", "&amp;VLOOKUP(B123,Instruções!$F$13:$J$17,5,0)&amp;" as "&amp;VLOOKUP(B123,Instruções!$F$13:$J$17,5,0)&amp;"_"&amp;$F$2&amp;","&amp;E123&amp;" as "&amp;F123&amp;" FROM "&amp;C123&amp;" WHERE "&amp;Instruções!$D$20&amp;") A ")</f>
        <v xml:space="preserve">(SELECT instrmnt_id as instrmnt_id_, accntng_clssfctn as accntng_clssfctn_as_is FROM cd_loan_tapes_bce.lt002_instrument WHERE ref_date='2024-09-30' AND nome_perimetro='Individual Corporativo' AND segmento='ESTR' AND ambito='PM' AND entidade='00100' ) A </v>
      </c>
      <c r="I123" s="75" t="str">
        <f>IF(VLOOKUP(B123,Instruções!$F$13:$J$17,5,0)="",
"(SELECT "&amp;VLOOKUP(B123,Instruções!$F$13:$J$17,4,0)&amp;" as "&amp;VLOOKUP(B123,Instruções!$F$13:$J$17,4,0)&amp;"_"&amp;$G$2&amp;", "&amp;E123&amp;" as "&amp;G123&amp;" FROM "&amp;D123&amp;" WHERE "&amp;Instruções!$D$21&amp;") B ",
"(SELECT "&amp;VLOOKUP(B123,Instruções!$F$13:$J$17,4,0)&amp;" as "&amp;VLOOKUP(B123,Instruções!$F$13:$J$17,4,0)&amp;"_"&amp;$G$2&amp;", "&amp;VLOOKUP(B123,Instruções!$F$13:$J$17,5,0)&amp;" as "&amp;VLOOKUP(B123,Instruções!$F$13:$J$17,5,0)&amp;"_"&amp;$G$2&amp;","&amp;E123&amp;" as "&amp;G123&amp;" FROM "&amp;D123&amp;" WHERE "&amp;Instruções!$D$21&amp;") B ")</f>
        <v xml:space="preserve">(SELECT instrmnt_id as instrmnt_id_, accntng_clssfctn as accntng_clssfctn_to_be FROM bu_loantape_work.lt002_instrument WHERE ref_date='2024-09-30' AND nome_perimetro='Individual Corporativo' AND segmento='ESTR' AND ambito='PM' AND entidade='00100' ) B </v>
      </c>
      <c r="J123" s="75" t="str">
        <f>+IF(VLOOKUP(B123,Instruções!$F$13:$J$17,5,0)="", "ON "&amp;VLOOKUP(B123,Instruções!$F$13:$J$17,4,0)&amp;"_"&amp;$F$7&amp;"="&amp;VLOOKUP(B123,Instruções!$F$13:$J$17,4,0)&amp;"_"&amp;$G$7&amp;" ", "ON "&amp;VLOOKUP(B123,Instruções!$F$13:$J$17,4,0)&amp;"_"&amp;$F$7&amp;"="&amp;VLOOKUP(B123,Instruções!$F$13:$J$17,4,0)&amp;"_"&amp;$G$7&amp;" AND "&amp;VLOOKUP(B123,Instruções!$F$13:$J$17,5,0)&amp;"_"&amp;$F$7&amp;"="&amp;VLOOKUP(B123,Instruções!$F$13:$J$17,5,0)&amp;"_"&amp;$G$7&amp;" ")</f>
        <v xml:space="preserve">ON instrmnt_id_as_is=instrmnt_id_to_be </v>
      </c>
      <c r="K123" s="75" t="str">
        <f t="shared" si="18"/>
        <v xml:space="preserve">WHERE coalesce(cast(accntng_clssfctn_as_is AS string),'')&lt;&gt;coalesce(cast(accntng_clssfctn_to_be AS string),'') </v>
      </c>
      <c r="L123" s="75" t="str">
        <f t="shared" si="19"/>
        <v xml:space="preserve">SELECT count(*) AS NUM_REG_DIF FROM (SELECT instrmnt_id as instrmnt_id_, accntng_clssfctn as accntng_clssfctn_as_is FROM cd_loan_tapes_bce.lt002_instrument WHERE ref_date='2024-09-30' AND nome_perimetro='Individual Corporativo' AND segmento='ESTR' AND ambito='PM' AND entidade='00100' ) A  Inner join (SELECT instrmnt_id as instrmnt_id_, accntng_clssfctn as accntng_clssfctn_to_be FROM bu_loantape_work.lt002_instrument WHERE ref_date='2024-09-30' AND nome_perimetro='Individual Corporativo' AND segmento='ESTR' AND ambito='PM' AND entidade='00100' ) B ON instrmnt_id_as_is=instrmnt_id_to_be WHERE coalesce(cast(accntng_clssfctn_as_is AS string),'')&lt;&gt;coalesce(cast(accntng_clssfctn_to_be AS string),'') </v>
      </c>
      <c r="M123" s="75" t="s">
        <v>55</v>
      </c>
      <c r="N123" s="75" t="str">
        <f>"SELECT 'Validação de campos' as tipologia_teste, '"&amp;VLOOKUP(B123,Instruções!$F$13:$J$17,3,0)&amp;"' AS TABELA, '"&amp;E123&amp;"' AS CAMPO, '"&amp;Instruções!$D$15&amp;"' as ref_date, coalesce(NUM_REG_DIF, 0) AS NUM_REG_DIF FROM ("&amp;L123&amp;") A "</f>
        <v xml:space="preserve">SELECT 'Validação de campos' as tipologia_teste, 'lt002_instrument' AS TABELA, 'accntng_clssfctn' AS CAMPO, '2024-09-30' as ref_date, coalesce(NUM_REG_DIF, 0) AS NUM_REG_DIF FROM (SELECT count(*) AS NUM_REG_DIF FROM (SELECT instrmnt_id as instrmnt_id_, accntng_clssfctn as accntng_clssfctn_as_is FROM cd_loan_tapes_bce.lt002_instrument WHERE ref_date='2024-09-30' AND nome_perimetro='Individual Corporativo' AND segmento='ESTR' AND ambito='PM' AND entidade='00100' ) A  Inner join (SELECT instrmnt_id as instrmnt_id_, accntng_clssfctn as accntng_clssfctn_to_be FROM bu_loantape_work.lt002_instrument WHERE ref_date='2024-09-30' AND nome_perimetro='Individual Corporativo' AND segmento='ESTR' AND ambito='PM' AND entidade='00100' ) B ON instrmnt_id_as_is=instrmnt_id_to_be WHERE coalesce(cast(accntng_clssfctn_as_is AS string),'')&lt;&gt;coalesce(cast(accntng_clssfctn_to_be AS string),'') ) A </v>
      </c>
      <c r="O123" s="76" t="str">
        <f t="shared" si="20"/>
        <v>SELECT 'Validação de campos' as tipologia_teste, 'lt002_instrument' AS TABELA, 'accntng_clssfctn' AS CAMPO, '2024-09-30' as ref_date, coalesce(NUM_REG_DIF, 0) AS NUM_REG_DIF FROM (SELECT count(*) AS NUM_REG_DIF FROM (SELECT instrmnt_id as instrmnt_id_, accntng_clssfctn as accntng_clssfctn_as_is FROM cd_loan_tapes_bce.lt002_instrument WHERE ref_date='2024-09-30' AND nome_perimetro='Individual Corporativo' AND segmento='ESTR' AND ambito='PM' AND entidade='00100' ) A  Inner join (SELECT instrmnt_id as instrmnt_id_, accntng_clssfctn as accntng_clssfctn_to_be FROM bu_loantape_work.lt002_instrument WHERE ref_date='2024-09-30' AND nome_perimetro='Individual Corporativo' AND segmento='ESTR' AND ambito='PM' AND entidade='00100' ) B ON instrmnt_id_as_is=instrmnt_id_to_be WHERE coalesce(cast(accntng_clssfctn_as_is AS string),'')&lt;&gt;coalesce(cast(accntng_clssfctn_to_be AS string),'') ) A Union all</v>
      </c>
      <c r="P123" s="75">
        <f t="shared" si="21"/>
        <v>13</v>
      </c>
    </row>
    <row r="124" spans="2:16" s="63" customFormat="1" ht="18" customHeight="1">
      <c r="B124" s="75" t="s">
        <v>26</v>
      </c>
      <c r="C124" s="75" t="str">
        <f>_xlfn.CONCAT(Instruções!$D$13,".",VLOOKUP(B124,Instruções!$F$12:$H$17,2,0))</f>
        <v>cd_loan_tapes_bce.lt002_instrument</v>
      </c>
      <c r="D124" s="75" t="str">
        <f>_xlfn.CONCAT(Instruções!$D$14,".",VLOOKUP(B124,Instruções!$F$12:$H$17,3,0))</f>
        <v>bu_loantape_work.lt002_instrument</v>
      </c>
      <c r="E124" s="75" t="s">
        <v>166</v>
      </c>
      <c r="F124" s="75" t="str">
        <f t="shared" si="16"/>
        <v>accrd_intrst_instrmnt_as_is</v>
      </c>
      <c r="G124" s="75" t="str">
        <f t="shared" si="17"/>
        <v>accrd_intrst_instrmnt_to_be</v>
      </c>
      <c r="H124" s="75" t="str">
        <f>IF(VLOOKUP(B124,Instruções!$F$13:$J$17,5,0)="",
"(SELECT "&amp;VLOOKUP(B124,Instruções!$F$13:$J$17,4,0)&amp;" as "&amp;VLOOKUP(B124,Instruções!$F$13:$J$17,4,0)&amp;"_"&amp;$F$2&amp;", "&amp;E124&amp;" as "&amp;F124&amp;" FROM "&amp;C124&amp;" WHERE "&amp;Instruções!$D$20&amp;") A ",
"(SELECT "&amp;VLOOKUP(B124,Instruções!$F$13:$J$17,4,0)&amp;" as "&amp;VLOOKUP(B124,Instruções!$F$13:$J$17,4,0)&amp;"_"&amp;$F$2&amp;", "&amp;VLOOKUP(B124,Instruções!$F$13:$J$17,5,0)&amp;" as "&amp;VLOOKUP(B124,Instruções!$F$13:$J$17,5,0)&amp;"_"&amp;$F$2&amp;","&amp;E124&amp;" as "&amp;F124&amp;" FROM "&amp;C124&amp;" WHERE "&amp;Instruções!$D$20&amp;") A ")</f>
        <v xml:space="preserve">(SELECT instrmnt_id as instrmnt_id_, accrd_intrst_instrmnt as accrd_intrst_instrmnt_as_is FROM cd_loan_tapes_bce.lt002_instrument WHERE ref_date='2024-09-30' AND nome_perimetro='Individual Corporativo' AND segmento='ESTR' AND ambito='PM' AND entidade='00100' ) A </v>
      </c>
      <c r="I124" s="75" t="str">
        <f>IF(VLOOKUP(B124,Instruções!$F$13:$J$17,5,0)="",
"(SELECT "&amp;VLOOKUP(B124,Instruções!$F$13:$J$17,4,0)&amp;" as "&amp;VLOOKUP(B124,Instruções!$F$13:$J$17,4,0)&amp;"_"&amp;$G$2&amp;", "&amp;E124&amp;" as "&amp;G124&amp;" FROM "&amp;D124&amp;" WHERE "&amp;Instruções!$D$21&amp;") B ",
"(SELECT "&amp;VLOOKUP(B124,Instruções!$F$13:$J$17,4,0)&amp;" as "&amp;VLOOKUP(B124,Instruções!$F$13:$J$17,4,0)&amp;"_"&amp;$G$2&amp;", "&amp;VLOOKUP(B124,Instruções!$F$13:$J$17,5,0)&amp;" as "&amp;VLOOKUP(B124,Instruções!$F$13:$J$17,5,0)&amp;"_"&amp;$G$2&amp;","&amp;E124&amp;" as "&amp;G124&amp;" FROM "&amp;D124&amp;" WHERE "&amp;Instruções!$D$21&amp;") B ")</f>
        <v xml:space="preserve">(SELECT instrmnt_id as instrmnt_id_, accrd_intrst_instrmnt as accrd_intrst_instrmnt_to_be FROM bu_loantape_work.lt002_instrument WHERE ref_date='2024-09-30' AND nome_perimetro='Individual Corporativo' AND segmento='ESTR' AND ambito='PM' AND entidade='00100' ) B </v>
      </c>
      <c r="J124" s="75" t="str">
        <f>+IF(VLOOKUP(B124,Instruções!$F$13:$J$17,5,0)="", "ON "&amp;VLOOKUP(B124,Instruções!$F$13:$J$17,4,0)&amp;"_"&amp;$F$7&amp;"="&amp;VLOOKUP(B124,Instruções!$F$13:$J$17,4,0)&amp;"_"&amp;$G$7&amp;" ", "ON "&amp;VLOOKUP(B124,Instruções!$F$13:$J$17,4,0)&amp;"_"&amp;$F$7&amp;"="&amp;VLOOKUP(B124,Instruções!$F$13:$J$17,4,0)&amp;"_"&amp;$G$7&amp;" AND "&amp;VLOOKUP(B124,Instruções!$F$13:$J$17,5,0)&amp;"_"&amp;$F$7&amp;"="&amp;VLOOKUP(B124,Instruções!$F$13:$J$17,5,0)&amp;"_"&amp;$G$7&amp;" ")</f>
        <v xml:space="preserve">ON instrmnt_id_as_is=instrmnt_id_to_be </v>
      </c>
      <c r="K124" s="75" t="str">
        <f t="shared" si="18"/>
        <v xml:space="preserve">WHERE coalesce(cast(accrd_intrst_instrmnt_as_is AS string),'')&lt;&gt;coalesce(cast(accrd_intrst_instrmnt_to_be AS string),'') </v>
      </c>
      <c r="L124" s="75" t="str">
        <f t="shared" si="19"/>
        <v xml:space="preserve">SELECT count(*) AS NUM_REG_DIF FROM (SELECT instrmnt_id as instrmnt_id_, accrd_intrst_instrmnt as accrd_intrst_instrmnt_as_is FROM cd_loan_tapes_bce.lt002_instrument WHERE ref_date='2024-09-30' AND nome_perimetro='Individual Corporativo' AND segmento='ESTR' AND ambito='PM' AND entidade='00100' ) A  Inner join (SELECT instrmnt_id as instrmnt_id_, accrd_intrst_instrmnt as accrd_intrst_instrmnt_to_be FROM bu_loantape_work.lt002_instrument WHERE ref_date='2024-09-30' AND nome_perimetro='Individual Corporativo' AND segmento='ESTR' AND ambito='PM' AND entidade='00100' ) B ON instrmnt_id_as_is=instrmnt_id_to_be WHERE coalesce(cast(accrd_intrst_instrmnt_as_is AS string),'')&lt;&gt;coalesce(cast(accrd_intrst_instrmnt_to_be AS string),'') </v>
      </c>
      <c r="M124" s="75" t="s">
        <v>55</v>
      </c>
      <c r="N124" s="75" t="str">
        <f>"SELECT 'Validação de campos' as tipologia_teste, '"&amp;VLOOKUP(B124,Instruções!$F$13:$J$17,3,0)&amp;"' AS TABELA, '"&amp;E124&amp;"' AS CAMPO, '"&amp;Instruções!$D$15&amp;"' as ref_date, coalesce(NUM_REG_DIF, 0) AS NUM_REG_DIF FROM ("&amp;L124&amp;") A "</f>
        <v xml:space="preserve">SELECT 'Validação de campos' as tipologia_teste, 'lt002_instrument' AS TABELA, 'accrd_intrst_instrmnt' AS CAMPO, '2024-09-30' as ref_date, coalesce(NUM_REG_DIF, 0) AS NUM_REG_DIF FROM (SELECT count(*) AS NUM_REG_DIF FROM (SELECT instrmnt_id as instrmnt_id_, accrd_intrst_instrmnt as accrd_intrst_instrmnt_as_is FROM cd_loan_tapes_bce.lt002_instrument WHERE ref_date='2024-09-30' AND nome_perimetro='Individual Corporativo' AND segmento='ESTR' AND ambito='PM' AND entidade='00100' ) A  Inner join (SELECT instrmnt_id as instrmnt_id_, accrd_intrst_instrmnt as accrd_intrst_instrmnt_to_be FROM bu_loantape_work.lt002_instrument WHERE ref_date='2024-09-30' AND nome_perimetro='Individual Corporativo' AND segmento='ESTR' AND ambito='PM' AND entidade='00100' ) B ON instrmnt_id_as_is=instrmnt_id_to_be WHERE coalesce(cast(accrd_intrst_instrmnt_as_is AS string),'')&lt;&gt;coalesce(cast(accrd_intrst_instrmnt_to_be AS string),'') ) A </v>
      </c>
      <c r="O124" s="76" t="str">
        <f t="shared" si="20"/>
        <v>SELECT 'Validação de campos' as tipologia_teste, 'lt002_instrument' AS TABELA, 'accrd_intrst_instrmnt' AS CAMPO, '2024-09-30' as ref_date, coalesce(NUM_REG_DIF, 0) AS NUM_REG_DIF FROM (SELECT count(*) AS NUM_REG_DIF FROM (SELECT instrmnt_id as instrmnt_id_, accrd_intrst_instrmnt as accrd_intrst_instrmnt_as_is FROM cd_loan_tapes_bce.lt002_instrument WHERE ref_date='2024-09-30' AND nome_perimetro='Individual Corporativo' AND segmento='ESTR' AND ambito='PM' AND entidade='00100' ) A  Inner join (SELECT instrmnt_id as instrmnt_id_, accrd_intrst_instrmnt as accrd_intrst_instrmnt_to_be FROM bu_loantape_work.lt002_instrument WHERE ref_date='2024-09-30' AND nome_perimetro='Individual Corporativo' AND segmento='ESTR' AND ambito='PM' AND entidade='00100' ) B ON instrmnt_id_as_is=instrmnt_id_to_be WHERE coalesce(cast(accrd_intrst_instrmnt_as_is AS string),'')&lt;&gt;coalesce(cast(accrd_intrst_instrmnt_to_be AS string),'') ) A Union all</v>
      </c>
      <c r="P124" s="75">
        <f t="shared" si="21"/>
        <v>14</v>
      </c>
    </row>
    <row r="125" spans="2:16" s="63" customFormat="1" ht="18" customHeight="1">
      <c r="B125" s="75" t="s">
        <v>26</v>
      </c>
      <c r="C125" s="75" t="str">
        <f>_xlfn.CONCAT(Instruções!$D$13,".",VLOOKUP(B125,Instruções!$F$12:$H$17,2,0))</f>
        <v>cd_loan_tapes_bce.lt002_instrument</v>
      </c>
      <c r="D125" s="75" t="str">
        <f>_xlfn.CONCAT(Instruções!$D$14,".",VLOOKUP(B125,Instruções!$F$12:$H$17,3,0))</f>
        <v>bu_loantape_work.lt002_instrument</v>
      </c>
      <c r="E125" s="75" t="s">
        <v>167</v>
      </c>
      <c r="F125" s="75" t="str">
        <f t="shared" si="16"/>
        <v>amnt_d_at_mtrty_as_is</v>
      </c>
      <c r="G125" s="75" t="str">
        <f t="shared" si="17"/>
        <v>amnt_d_at_mtrty_to_be</v>
      </c>
      <c r="H125" s="75" t="str">
        <f>IF(VLOOKUP(B125,Instruções!$F$13:$J$17,5,0)="",
"(SELECT "&amp;VLOOKUP(B125,Instruções!$F$13:$J$17,4,0)&amp;" as "&amp;VLOOKUP(B125,Instruções!$F$13:$J$17,4,0)&amp;"_"&amp;$F$2&amp;", "&amp;E125&amp;" as "&amp;F125&amp;" FROM "&amp;C125&amp;" WHERE "&amp;Instruções!$D$20&amp;") A ",
"(SELECT "&amp;VLOOKUP(B125,Instruções!$F$13:$J$17,4,0)&amp;" as "&amp;VLOOKUP(B125,Instruções!$F$13:$J$17,4,0)&amp;"_"&amp;$F$2&amp;", "&amp;VLOOKUP(B125,Instruções!$F$13:$J$17,5,0)&amp;" as "&amp;VLOOKUP(B125,Instruções!$F$13:$J$17,5,0)&amp;"_"&amp;$F$2&amp;","&amp;E125&amp;" as "&amp;F125&amp;" FROM "&amp;C125&amp;" WHERE "&amp;Instruções!$D$20&amp;") A ")</f>
        <v xml:space="preserve">(SELECT instrmnt_id as instrmnt_id_, amnt_d_at_mtrty as amnt_d_at_mtrty_as_is FROM cd_loan_tapes_bce.lt002_instrument WHERE ref_date='2024-09-30' AND nome_perimetro='Individual Corporativo' AND segmento='ESTR' AND ambito='PM' AND entidade='00100' ) A </v>
      </c>
      <c r="I125" s="75" t="str">
        <f>IF(VLOOKUP(B125,Instruções!$F$13:$J$17,5,0)="",
"(SELECT "&amp;VLOOKUP(B125,Instruções!$F$13:$J$17,4,0)&amp;" as "&amp;VLOOKUP(B125,Instruções!$F$13:$J$17,4,0)&amp;"_"&amp;$G$2&amp;", "&amp;E125&amp;" as "&amp;G125&amp;" FROM "&amp;D125&amp;" WHERE "&amp;Instruções!$D$21&amp;") B ",
"(SELECT "&amp;VLOOKUP(B125,Instruções!$F$13:$J$17,4,0)&amp;" as "&amp;VLOOKUP(B125,Instruções!$F$13:$J$17,4,0)&amp;"_"&amp;$G$2&amp;", "&amp;VLOOKUP(B125,Instruções!$F$13:$J$17,5,0)&amp;" as "&amp;VLOOKUP(B125,Instruções!$F$13:$J$17,5,0)&amp;"_"&amp;$G$2&amp;","&amp;E125&amp;" as "&amp;G125&amp;" FROM "&amp;D125&amp;" WHERE "&amp;Instruções!$D$21&amp;") B ")</f>
        <v xml:space="preserve">(SELECT instrmnt_id as instrmnt_id_, amnt_d_at_mtrty as amnt_d_at_mtrty_to_be FROM bu_loantape_work.lt002_instrument WHERE ref_date='2024-09-30' AND nome_perimetro='Individual Corporativo' AND segmento='ESTR' AND ambito='PM' AND entidade='00100' ) B </v>
      </c>
      <c r="J125" s="75" t="str">
        <f>+IF(VLOOKUP(B125,Instruções!$F$13:$J$17,5,0)="", "ON "&amp;VLOOKUP(B125,Instruções!$F$13:$J$17,4,0)&amp;"_"&amp;$F$7&amp;"="&amp;VLOOKUP(B125,Instruções!$F$13:$J$17,4,0)&amp;"_"&amp;$G$7&amp;" ", "ON "&amp;VLOOKUP(B125,Instruções!$F$13:$J$17,4,0)&amp;"_"&amp;$F$7&amp;"="&amp;VLOOKUP(B125,Instruções!$F$13:$J$17,4,0)&amp;"_"&amp;$G$7&amp;" AND "&amp;VLOOKUP(B125,Instruções!$F$13:$J$17,5,0)&amp;"_"&amp;$F$7&amp;"="&amp;VLOOKUP(B125,Instruções!$F$13:$J$17,5,0)&amp;"_"&amp;$G$7&amp;" ")</f>
        <v xml:space="preserve">ON instrmnt_id_as_is=instrmnt_id_to_be </v>
      </c>
      <c r="K125" s="75" t="str">
        <f t="shared" si="18"/>
        <v xml:space="preserve">WHERE coalesce(cast(amnt_d_at_mtrty_as_is AS string),'')&lt;&gt;coalesce(cast(amnt_d_at_mtrty_to_be AS string),'') </v>
      </c>
      <c r="L125" s="75" t="str">
        <f t="shared" si="19"/>
        <v xml:space="preserve">SELECT count(*) AS NUM_REG_DIF FROM (SELECT instrmnt_id as instrmnt_id_, amnt_d_at_mtrty as amnt_d_at_mtrty_as_is FROM cd_loan_tapes_bce.lt002_instrument WHERE ref_date='2024-09-30' AND nome_perimetro='Individual Corporativo' AND segmento='ESTR' AND ambito='PM' AND entidade='00100' ) A  Inner join (SELECT instrmnt_id as instrmnt_id_, amnt_d_at_mtrty as amnt_d_at_mtrty_to_be FROM bu_loantape_work.lt002_instrument WHERE ref_date='2024-09-30' AND nome_perimetro='Individual Corporativo' AND segmento='ESTR' AND ambito='PM' AND entidade='00100' ) B ON instrmnt_id_as_is=instrmnt_id_to_be WHERE coalesce(cast(amnt_d_at_mtrty_as_is AS string),'')&lt;&gt;coalesce(cast(amnt_d_at_mtrty_to_be AS string),'') </v>
      </c>
      <c r="M125" s="75" t="s">
        <v>55</v>
      </c>
      <c r="N125" s="75" t="str">
        <f>"SELECT 'Validação de campos' as tipologia_teste, '"&amp;VLOOKUP(B125,Instruções!$F$13:$J$17,3,0)&amp;"' AS TABELA, '"&amp;E125&amp;"' AS CAMPO, '"&amp;Instruções!$D$15&amp;"' as ref_date, coalesce(NUM_REG_DIF, 0) AS NUM_REG_DIF FROM ("&amp;L125&amp;") A "</f>
        <v xml:space="preserve">SELECT 'Validação de campos' as tipologia_teste, 'lt002_instrument' AS TABELA, 'amnt_d_at_mtrty' AS CAMPO, '2024-09-30' as ref_date, coalesce(NUM_REG_DIF, 0) AS NUM_REG_DIF FROM (SELECT count(*) AS NUM_REG_DIF FROM (SELECT instrmnt_id as instrmnt_id_, amnt_d_at_mtrty as amnt_d_at_mtrty_as_is FROM cd_loan_tapes_bce.lt002_instrument WHERE ref_date='2024-09-30' AND nome_perimetro='Individual Corporativo' AND segmento='ESTR' AND ambito='PM' AND entidade='00100' ) A  Inner join (SELECT instrmnt_id as instrmnt_id_, amnt_d_at_mtrty as amnt_d_at_mtrty_to_be FROM bu_loantape_work.lt002_instrument WHERE ref_date='2024-09-30' AND nome_perimetro='Individual Corporativo' AND segmento='ESTR' AND ambito='PM' AND entidade='00100' ) B ON instrmnt_id_as_is=instrmnt_id_to_be WHERE coalesce(cast(amnt_d_at_mtrty_as_is AS string),'')&lt;&gt;coalesce(cast(amnt_d_at_mtrty_to_be AS string),'') ) A </v>
      </c>
      <c r="O125" s="76" t="str">
        <f t="shared" si="20"/>
        <v>SELECT 'Validação de campos' as tipologia_teste, 'lt002_instrument' AS TABELA, 'amnt_d_at_mtrty' AS CAMPO, '2024-09-30' as ref_date, coalesce(NUM_REG_DIF, 0) AS NUM_REG_DIF FROM (SELECT count(*) AS NUM_REG_DIF FROM (SELECT instrmnt_id as instrmnt_id_, amnt_d_at_mtrty as amnt_d_at_mtrty_as_is FROM cd_loan_tapes_bce.lt002_instrument WHERE ref_date='2024-09-30' AND nome_perimetro='Individual Corporativo' AND segmento='ESTR' AND ambito='PM' AND entidade='00100' ) A  Inner join (SELECT instrmnt_id as instrmnt_id_, amnt_d_at_mtrty as amnt_d_at_mtrty_to_be FROM bu_loantape_work.lt002_instrument WHERE ref_date='2024-09-30' AND nome_perimetro='Individual Corporativo' AND segmento='ESTR' AND ambito='PM' AND entidade='00100' ) B ON instrmnt_id_as_is=instrmnt_id_to_be WHERE coalesce(cast(amnt_d_at_mtrty_as_is AS string),'')&lt;&gt;coalesce(cast(amnt_d_at_mtrty_to_be AS string),'') ) A Union all</v>
      </c>
      <c r="P125" s="75">
        <f t="shared" si="21"/>
        <v>15</v>
      </c>
    </row>
    <row r="126" spans="2:16" s="63" customFormat="1" ht="18" customHeight="1">
      <c r="B126" s="75" t="s">
        <v>26</v>
      </c>
      <c r="C126" s="75" t="str">
        <f>_xlfn.CONCAT(Instruções!$D$13,".",VLOOKUP(B126,Instruções!$F$12:$H$17,2,0))</f>
        <v>cd_loan_tapes_bce.lt002_instrument</v>
      </c>
      <c r="D126" s="75" t="str">
        <f>_xlfn.CONCAT(Instruções!$D$14,".",VLOOKUP(B126,Instruções!$F$12:$H$17,3,0))</f>
        <v>bu_loantape_work.lt002_instrument</v>
      </c>
      <c r="E126" s="75" t="s">
        <v>168</v>
      </c>
      <c r="F126" s="75" t="str">
        <f t="shared" si="16"/>
        <v>annlsd_agrd_rt_as_is</v>
      </c>
      <c r="G126" s="75" t="str">
        <f t="shared" si="17"/>
        <v>annlsd_agrd_rt_to_be</v>
      </c>
      <c r="H126" s="75" t="str">
        <f>IF(VLOOKUP(B126,Instruções!$F$13:$J$17,5,0)="",
"(SELECT "&amp;VLOOKUP(B126,Instruções!$F$13:$J$17,4,0)&amp;" as "&amp;VLOOKUP(B126,Instruções!$F$13:$J$17,4,0)&amp;"_"&amp;$F$2&amp;", "&amp;E126&amp;" as "&amp;F126&amp;" FROM "&amp;C126&amp;" WHERE "&amp;Instruções!$D$20&amp;") A ",
"(SELECT "&amp;VLOOKUP(B126,Instruções!$F$13:$J$17,4,0)&amp;" as "&amp;VLOOKUP(B126,Instruções!$F$13:$J$17,4,0)&amp;"_"&amp;$F$2&amp;", "&amp;VLOOKUP(B126,Instruções!$F$13:$J$17,5,0)&amp;" as "&amp;VLOOKUP(B126,Instruções!$F$13:$J$17,5,0)&amp;"_"&amp;$F$2&amp;","&amp;E126&amp;" as "&amp;F126&amp;" FROM "&amp;C126&amp;" WHERE "&amp;Instruções!$D$20&amp;") A ")</f>
        <v xml:space="preserve">(SELECT instrmnt_id as instrmnt_id_, annlsd_agrd_rt as annlsd_agrd_rt_as_is FROM cd_loan_tapes_bce.lt002_instrument WHERE ref_date='2024-09-30' AND nome_perimetro='Individual Corporativo' AND segmento='ESTR' AND ambito='PM' AND entidade='00100' ) A </v>
      </c>
      <c r="I126" s="75" t="str">
        <f>IF(VLOOKUP(B126,Instruções!$F$13:$J$17,5,0)="",
"(SELECT "&amp;VLOOKUP(B126,Instruções!$F$13:$J$17,4,0)&amp;" as "&amp;VLOOKUP(B126,Instruções!$F$13:$J$17,4,0)&amp;"_"&amp;$G$2&amp;", "&amp;E126&amp;" as "&amp;G126&amp;" FROM "&amp;D126&amp;" WHERE "&amp;Instruções!$D$21&amp;") B ",
"(SELECT "&amp;VLOOKUP(B126,Instruções!$F$13:$J$17,4,0)&amp;" as "&amp;VLOOKUP(B126,Instruções!$F$13:$J$17,4,0)&amp;"_"&amp;$G$2&amp;", "&amp;VLOOKUP(B126,Instruções!$F$13:$J$17,5,0)&amp;" as "&amp;VLOOKUP(B126,Instruções!$F$13:$J$17,5,0)&amp;"_"&amp;$G$2&amp;","&amp;E126&amp;" as "&amp;G126&amp;" FROM "&amp;D126&amp;" WHERE "&amp;Instruções!$D$21&amp;") B ")</f>
        <v xml:space="preserve">(SELECT instrmnt_id as instrmnt_id_, annlsd_agrd_rt as annlsd_agrd_rt_to_be FROM bu_loantape_work.lt002_instrument WHERE ref_date='2024-09-30' AND nome_perimetro='Individual Corporativo' AND segmento='ESTR' AND ambito='PM' AND entidade='00100' ) B </v>
      </c>
      <c r="J126" s="75" t="str">
        <f>+IF(VLOOKUP(B126,Instruções!$F$13:$J$17,5,0)="", "ON "&amp;VLOOKUP(B126,Instruções!$F$13:$J$17,4,0)&amp;"_"&amp;$F$7&amp;"="&amp;VLOOKUP(B126,Instruções!$F$13:$J$17,4,0)&amp;"_"&amp;$G$7&amp;" ", "ON "&amp;VLOOKUP(B126,Instruções!$F$13:$J$17,4,0)&amp;"_"&amp;$F$7&amp;"="&amp;VLOOKUP(B126,Instruções!$F$13:$J$17,4,0)&amp;"_"&amp;$G$7&amp;" AND "&amp;VLOOKUP(B126,Instruções!$F$13:$J$17,5,0)&amp;"_"&amp;$F$7&amp;"="&amp;VLOOKUP(B126,Instruções!$F$13:$J$17,5,0)&amp;"_"&amp;$G$7&amp;" ")</f>
        <v xml:space="preserve">ON instrmnt_id_as_is=instrmnt_id_to_be </v>
      </c>
      <c r="K126" s="75" t="str">
        <f t="shared" si="18"/>
        <v xml:space="preserve">WHERE coalesce(cast(annlsd_agrd_rt_as_is AS string),'')&lt;&gt;coalesce(cast(annlsd_agrd_rt_to_be AS string),'') </v>
      </c>
      <c r="L126" s="75" t="str">
        <f t="shared" si="19"/>
        <v xml:space="preserve">SELECT count(*) AS NUM_REG_DIF FROM (SELECT instrmnt_id as instrmnt_id_, annlsd_agrd_rt as annlsd_agrd_rt_as_is FROM cd_loan_tapes_bce.lt002_instrument WHERE ref_date='2024-09-30' AND nome_perimetro='Individual Corporativo' AND segmento='ESTR' AND ambito='PM' AND entidade='00100' ) A  Inner join (SELECT instrmnt_id as instrmnt_id_, annlsd_agrd_rt as annlsd_agrd_rt_to_be FROM bu_loantape_work.lt002_instrument WHERE ref_date='2024-09-30' AND nome_perimetro='Individual Corporativo' AND segmento='ESTR' AND ambito='PM' AND entidade='00100' ) B ON instrmnt_id_as_is=instrmnt_id_to_be WHERE coalesce(cast(annlsd_agrd_rt_as_is AS string),'')&lt;&gt;coalesce(cast(annlsd_agrd_rt_to_be AS string),'') </v>
      </c>
      <c r="M126" s="75" t="s">
        <v>55</v>
      </c>
      <c r="N126" s="75" t="str">
        <f>"SELECT 'Validação de campos' as tipologia_teste, '"&amp;VLOOKUP(B126,Instruções!$F$13:$J$17,3,0)&amp;"' AS TABELA, '"&amp;E126&amp;"' AS CAMPO, '"&amp;Instruções!$D$15&amp;"' as ref_date, coalesce(NUM_REG_DIF, 0) AS NUM_REG_DIF FROM ("&amp;L126&amp;") A "</f>
        <v xml:space="preserve">SELECT 'Validação de campos' as tipologia_teste, 'lt002_instrument' AS TABELA, 'annlsd_agrd_rt' AS CAMPO, '2024-09-30' as ref_date, coalesce(NUM_REG_DIF, 0) AS NUM_REG_DIF FROM (SELECT count(*) AS NUM_REG_DIF FROM (SELECT instrmnt_id as instrmnt_id_, annlsd_agrd_rt as annlsd_agrd_rt_as_is FROM cd_loan_tapes_bce.lt002_instrument WHERE ref_date='2024-09-30' AND nome_perimetro='Individual Corporativo' AND segmento='ESTR' AND ambito='PM' AND entidade='00100' ) A  Inner join (SELECT instrmnt_id as instrmnt_id_, annlsd_agrd_rt as annlsd_agrd_rt_to_be FROM bu_loantape_work.lt002_instrument WHERE ref_date='2024-09-30' AND nome_perimetro='Individual Corporativo' AND segmento='ESTR' AND ambito='PM' AND entidade='00100' ) B ON instrmnt_id_as_is=instrmnt_id_to_be WHERE coalesce(cast(annlsd_agrd_rt_as_is AS string),'')&lt;&gt;coalesce(cast(annlsd_agrd_rt_to_be AS string),'') ) A </v>
      </c>
      <c r="O126" s="76" t="str">
        <f t="shared" si="20"/>
        <v>SELECT 'Validação de campos' as tipologia_teste, 'lt002_instrument' AS TABELA, 'annlsd_agrd_rt' AS CAMPO, '2024-09-30' as ref_date, coalesce(NUM_REG_DIF, 0) AS NUM_REG_DIF FROM (SELECT count(*) AS NUM_REG_DIF FROM (SELECT instrmnt_id as instrmnt_id_, annlsd_agrd_rt as annlsd_agrd_rt_as_is FROM cd_loan_tapes_bce.lt002_instrument WHERE ref_date='2024-09-30' AND nome_perimetro='Individual Corporativo' AND segmento='ESTR' AND ambito='PM' AND entidade='00100' ) A  Inner join (SELECT instrmnt_id as instrmnt_id_, annlsd_agrd_rt as annlsd_agrd_rt_to_be FROM bu_loantape_work.lt002_instrument WHERE ref_date='2024-09-30' AND nome_perimetro='Individual Corporativo' AND segmento='ESTR' AND ambito='PM' AND entidade='00100' ) B ON instrmnt_id_as_is=instrmnt_id_to_be WHERE coalesce(cast(annlsd_agrd_rt_as_is AS string),'')&lt;&gt;coalesce(cast(annlsd_agrd_rt_to_be AS string),'') ) A Union all</v>
      </c>
      <c r="P126" s="75">
        <f t="shared" si="21"/>
        <v>16</v>
      </c>
    </row>
    <row r="127" spans="2:16" s="63" customFormat="1" ht="18" customHeight="1">
      <c r="B127" s="75" t="s">
        <v>26</v>
      </c>
      <c r="C127" s="75" t="str">
        <f>_xlfn.CONCAT(Instruções!$D$13,".",VLOOKUP(B127,Instruções!$F$12:$H$17,2,0))</f>
        <v>cd_loan_tapes_bce.lt002_instrument</v>
      </c>
      <c r="D127" s="75" t="str">
        <f>_xlfn.CONCAT(Instruções!$D$14,".",VLOOKUP(B127,Instruções!$F$12:$H$17,3,0))</f>
        <v>bu_loantape_work.lt002_instrument</v>
      </c>
      <c r="E127" s="75" t="s">
        <v>169</v>
      </c>
      <c r="F127" s="75" t="str">
        <f t="shared" si="16"/>
        <v>arrrs_instrmnt_12m_as_is</v>
      </c>
      <c r="G127" s="75" t="str">
        <f t="shared" si="17"/>
        <v>arrrs_instrmnt_12m_to_be</v>
      </c>
      <c r="H127" s="75" t="str">
        <f>IF(VLOOKUP(B127,Instruções!$F$13:$J$17,5,0)="",
"(SELECT "&amp;VLOOKUP(B127,Instruções!$F$13:$J$17,4,0)&amp;" as "&amp;VLOOKUP(B127,Instruções!$F$13:$J$17,4,0)&amp;"_"&amp;$F$2&amp;", "&amp;E127&amp;" as "&amp;F127&amp;" FROM "&amp;C127&amp;" WHERE "&amp;Instruções!$D$20&amp;") A ",
"(SELECT "&amp;VLOOKUP(B127,Instruções!$F$13:$J$17,4,0)&amp;" as "&amp;VLOOKUP(B127,Instruções!$F$13:$J$17,4,0)&amp;"_"&amp;$F$2&amp;", "&amp;VLOOKUP(B127,Instruções!$F$13:$J$17,5,0)&amp;" as "&amp;VLOOKUP(B127,Instruções!$F$13:$J$17,5,0)&amp;"_"&amp;$F$2&amp;","&amp;E127&amp;" as "&amp;F127&amp;" FROM "&amp;C127&amp;" WHERE "&amp;Instruções!$D$20&amp;") A ")</f>
        <v xml:space="preserve">(SELECT instrmnt_id as instrmnt_id_, arrrs_instrmnt_12m as arrrs_instrmnt_12m_as_is FROM cd_loan_tapes_bce.lt002_instrument WHERE ref_date='2024-09-30' AND nome_perimetro='Individual Corporativo' AND segmento='ESTR' AND ambito='PM' AND entidade='00100' ) A </v>
      </c>
      <c r="I127" s="75" t="str">
        <f>IF(VLOOKUP(B127,Instruções!$F$13:$J$17,5,0)="",
"(SELECT "&amp;VLOOKUP(B127,Instruções!$F$13:$J$17,4,0)&amp;" as "&amp;VLOOKUP(B127,Instruções!$F$13:$J$17,4,0)&amp;"_"&amp;$G$2&amp;", "&amp;E127&amp;" as "&amp;G127&amp;" FROM "&amp;D127&amp;" WHERE "&amp;Instruções!$D$21&amp;") B ",
"(SELECT "&amp;VLOOKUP(B127,Instruções!$F$13:$J$17,4,0)&amp;" as "&amp;VLOOKUP(B127,Instruções!$F$13:$J$17,4,0)&amp;"_"&amp;$G$2&amp;", "&amp;VLOOKUP(B127,Instruções!$F$13:$J$17,5,0)&amp;" as "&amp;VLOOKUP(B127,Instruções!$F$13:$J$17,5,0)&amp;"_"&amp;$G$2&amp;","&amp;E127&amp;" as "&amp;G127&amp;" FROM "&amp;D127&amp;" WHERE "&amp;Instruções!$D$21&amp;") B ")</f>
        <v xml:space="preserve">(SELECT instrmnt_id as instrmnt_id_, arrrs_instrmnt_12m as arrrs_instrmnt_12m_to_be FROM bu_loantape_work.lt002_instrument WHERE ref_date='2024-09-30' AND nome_perimetro='Individual Corporativo' AND segmento='ESTR' AND ambito='PM' AND entidade='00100' ) B </v>
      </c>
      <c r="J127" s="75" t="str">
        <f>+IF(VLOOKUP(B127,Instruções!$F$13:$J$17,5,0)="", "ON "&amp;VLOOKUP(B127,Instruções!$F$13:$J$17,4,0)&amp;"_"&amp;$F$7&amp;"="&amp;VLOOKUP(B127,Instruções!$F$13:$J$17,4,0)&amp;"_"&amp;$G$7&amp;" ", "ON "&amp;VLOOKUP(B127,Instruções!$F$13:$J$17,4,0)&amp;"_"&amp;$F$7&amp;"="&amp;VLOOKUP(B127,Instruções!$F$13:$J$17,4,0)&amp;"_"&amp;$G$7&amp;" AND "&amp;VLOOKUP(B127,Instruções!$F$13:$J$17,5,0)&amp;"_"&amp;$F$7&amp;"="&amp;VLOOKUP(B127,Instruções!$F$13:$J$17,5,0)&amp;"_"&amp;$G$7&amp;" ")</f>
        <v xml:space="preserve">ON instrmnt_id_as_is=instrmnt_id_to_be </v>
      </c>
      <c r="K127" s="75" t="str">
        <f t="shared" si="18"/>
        <v xml:space="preserve">WHERE coalesce(cast(arrrs_instrmnt_12m_as_is AS string),'')&lt;&gt;coalesce(cast(arrrs_instrmnt_12m_to_be AS string),'') </v>
      </c>
      <c r="L127" s="75" t="str">
        <f t="shared" si="19"/>
        <v xml:space="preserve">SELECT count(*) AS NUM_REG_DIF FROM (SELECT instrmnt_id as instrmnt_id_, arrrs_instrmnt_12m as arrrs_instrmnt_12m_as_is FROM cd_loan_tapes_bce.lt002_instrument WHERE ref_date='2024-09-30' AND nome_perimetro='Individual Corporativo' AND segmento='ESTR' AND ambito='PM' AND entidade='00100' ) A  Inner join (SELECT instrmnt_id as instrmnt_id_, arrrs_instrmnt_12m as arrrs_instrmnt_12m_to_be FROM bu_loantape_work.lt002_instrument WHERE ref_date='2024-09-30' AND nome_perimetro='Individual Corporativo' AND segmento='ESTR' AND ambito='PM' AND entidade='00100' ) B ON instrmnt_id_as_is=instrmnt_id_to_be WHERE coalesce(cast(arrrs_instrmnt_12m_as_is AS string),'')&lt;&gt;coalesce(cast(arrrs_instrmnt_12m_to_be AS string),'') </v>
      </c>
      <c r="M127" s="75" t="s">
        <v>55</v>
      </c>
      <c r="N127" s="75" t="str">
        <f>"SELECT 'Validação de campos' as tipologia_teste, '"&amp;VLOOKUP(B127,Instruções!$F$13:$J$17,3,0)&amp;"' AS TABELA, '"&amp;E127&amp;"' AS CAMPO, '"&amp;Instruções!$D$15&amp;"' as ref_date, coalesce(NUM_REG_DIF, 0) AS NUM_REG_DIF FROM ("&amp;L127&amp;") A "</f>
        <v xml:space="preserve">SELECT 'Validação de campos' as tipologia_teste, 'lt002_instrument' AS TABELA, 'arrrs_instrmnt_12m' AS CAMPO, '2024-09-30' as ref_date, coalesce(NUM_REG_DIF, 0) AS NUM_REG_DIF FROM (SELECT count(*) AS NUM_REG_DIF FROM (SELECT instrmnt_id as instrmnt_id_, arrrs_instrmnt_12m as arrrs_instrmnt_12m_as_is FROM cd_loan_tapes_bce.lt002_instrument WHERE ref_date='2024-09-30' AND nome_perimetro='Individual Corporativo' AND segmento='ESTR' AND ambito='PM' AND entidade='00100' ) A  Inner join (SELECT instrmnt_id as instrmnt_id_, arrrs_instrmnt_12m as arrrs_instrmnt_12m_to_be FROM bu_loantape_work.lt002_instrument WHERE ref_date='2024-09-30' AND nome_perimetro='Individual Corporativo' AND segmento='ESTR' AND ambito='PM' AND entidade='00100' ) B ON instrmnt_id_as_is=instrmnt_id_to_be WHERE coalesce(cast(arrrs_instrmnt_12m_as_is AS string),'')&lt;&gt;coalesce(cast(arrrs_instrmnt_12m_to_be AS string),'') ) A </v>
      </c>
      <c r="O127" s="76" t="str">
        <f t="shared" si="20"/>
        <v>SELECT 'Validação de campos' as tipologia_teste, 'lt002_instrument' AS TABELA, 'arrrs_instrmnt_12m' AS CAMPO, '2024-09-30' as ref_date, coalesce(NUM_REG_DIF, 0) AS NUM_REG_DIF FROM (SELECT count(*) AS NUM_REG_DIF FROM (SELECT instrmnt_id as instrmnt_id_, arrrs_instrmnt_12m as arrrs_instrmnt_12m_as_is FROM cd_loan_tapes_bce.lt002_instrument WHERE ref_date='2024-09-30' AND nome_perimetro='Individual Corporativo' AND segmento='ESTR' AND ambito='PM' AND entidade='00100' ) A  Inner join (SELECT instrmnt_id as instrmnt_id_, arrrs_instrmnt_12m as arrrs_instrmnt_12m_to_be FROM bu_loantape_work.lt002_instrument WHERE ref_date='2024-09-30' AND nome_perimetro='Individual Corporativo' AND segmento='ESTR' AND ambito='PM' AND entidade='00100' ) B ON instrmnt_id_as_is=instrmnt_id_to_be WHERE coalesce(cast(arrrs_instrmnt_12m_as_is AS string),'')&lt;&gt;coalesce(cast(arrrs_instrmnt_12m_to_be AS string),'') ) A Union all</v>
      </c>
      <c r="P127" s="75">
        <f t="shared" si="21"/>
        <v>17</v>
      </c>
    </row>
    <row r="128" spans="2:16" s="63" customFormat="1" ht="18" customHeight="1">
      <c r="B128" s="75" t="s">
        <v>26</v>
      </c>
      <c r="C128" s="75" t="str">
        <f>_xlfn.CONCAT(Instruções!$D$13,".",VLOOKUP(B128,Instruções!$F$12:$H$17,2,0))</f>
        <v>cd_loan_tapes_bce.lt002_instrument</v>
      </c>
      <c r="D128" s="75" t="str">
        <f>_xlfn.CONCAT(Instruções!$D$14,".",VLOOKUP(B128,Instruções!$F$12:$H$17,3,0))</f>
        <v>bu_loantape_work.lt002_instrument</v>
      </c>
      <c r="E128" s="75" t="s">
        <v>170</v>
      </c>
      <c r="F128" s="75" t="str">
        <f t="shared" si="16"/>
        <v>arrrs_instrmnt_as_is</v>
      </c>
      <c r="G128" s="75" t="str">
        <f t="shared" si="17"/>
        <v>arrrs_instrmnt_to_be</v>
      </c>
      <c r="H128" s="75" t="str">
        <f>IF(VLOOKUP(B128,Instruções!$F$13:$J$17,5,0)="",
"(SELECT "&amp;VLOOKUP(B128,Instruções!$F$13:$J$17,4,0)&amp;" as "&amp;VLOOKUP(B128,Instruções!$F$13:$J$17,4,0)&amp;"_"&amp;$F$2&amp;", "&amp;E128&amp;" as "&amp;F128&amp;" FROM "&amp;C128&amp;" WHERE "&amp;Instruções!$D$20&amp;") A ",
"(SELECT "&amp;VLOOKUP(B128,Instruções!$F$13:$J$17,4,0)&amp;" as "&amp;VLOOKUP(B128,Instruções!$F$13:$J$17,4,0)&amp;"_"&amp;$F$2&amp;", "&amp;VLOOKUP(B128,Instruções!$F$13:$J$17,5,0)&amp;" as "&amp;VLOOKUP(B128,Instruções!$F$13:$J$17,5,0)&amp;"_"&amp;$F$2&amp;","&amp;E128&amp;" as "&amp;F128&amp;" FROM "&amp;C128&amp;" WHERE "&amp;Instruções!$D$20&amp;") A ")</f>
        <v xml:space="preserve">(SELECT instrmnt_id as instrmnt_id_, arrrs_instrmnt as arrrs_instrmnt_as_is FROM cd_loan_tapes_bce.lt002_instrument WHERE ref_date='2024-09-30' AND nome_perimetro='Individual Corporativo' AND segmento='ESTR' AND ambito='PM' AND entidade='00100' ) A </v>
      </c>
      <c r="I128" s="75" t="str">
        <f>IF(VLOOKUP(B128,Instruções!$F$13:$J$17,5,0)="",
"(SELECT "&amp;VLOOKUP(B128,Instruções!$F$13:$J$17,4,0)&amp;" as "&amp;VLOOKUP(B128,Instruções!$F$13:$J$17,4,0)&amp;"_"&amp;$G$2&amp;", "&amp;E128&amp;" as "&amp;G128&amp;" FROM "&amp;D128&amp;" WHERE "&amp;Instruções!$D$21&amp;") B ",
"(SELECT "&amp;VLOOKUP(B128,Instruções!$F$13:$J$17,4,0)&amp;" as "&amp;VLOOKUP(B128,Instruções!$F$13:$J$17,4,0)&amp;"_"&amp;$G$2&amp;", "&amp;VLOOKUP(B128,Instruções!$F$13:$J$17,5,0)&amp;" as "&amp;VLOOKUP(B128,Instruções!$F$13:$J$17,5,0)&amp;"_"&amp;$G$2&amp;","&amp;E128&amp;" as "&amp;G128&amp;" FROM "&amp;D128&amp;" WHERE "&amp;Instruções!$D$21&amp;") B ")</f>
        <v xml:space="preserve">(SELECT instrmnt_id as instrmnt_id_, arrrs_instrmnt as arrrs_instrmnt_to_be FROM bu_loantape_work.lt002_instrument WHERE ref_date='2024-09-30' AND nome_perimetro='Individual Corporativo' AND segmento='ESTR' AND ambito='PM' AND entidade='00100' ) B </v>
      </c>
      <c r="J128" s="75" t="str">
        <f>+IF(VLOOKUP(B128,Instruções!$F$13:$J$17,5,0)="", "ON "&amp;VLOOKUP(B128,Instruções!$F$13:$J$17,4,0)&amp;"_"&amp;$F$7&amp;"="&amp;VLOOKUP(B128,Instruções!$F$13:$J$17,4,0)&amp;"_"&amp;$G$7&amp;" ", "ON "&amp;VLOOKUP(B128,Instruções!$F$13:$J$17,4,0)&amp;"_"&amp;$F$7&amp;"="&amp;VLOOKUP(B128,Instruções!$F$13:$J$17,4,0)&amp;"_"&amp;$G$7&amp;" AND "&amp;VLOOKUP(B128,Instruções!$F$13:$J$17,5,0)&amp;"_"&amp;$F$7&amp;"="&amp;VLOOKUP(B128,Instruções!$F$13:$J$17,5,0)&amp;"_"&amp;$G$7&amp;" ")</f>
        <v xml:space="preserve">ON instrmnt_id_as_is=instrmnt_id_to_be </v>
      </c>
      <c r="K128" s="75" t="str">
        <f t="shared" si="18"/>
        <v xml:space="preserve">WHERE coalesce(cast(arrrs_instrmnt_as_is AS string),'')&lt;&gt;coalesce(cast(arrrs_instrmnt_to_be AS string),'') </v>
      </c>
      <c r="L128" s="75" t="str">
        <f t="shared" si="19"/>
        <v xml:space="preserve">SELECT count(*) AS NUM_REG_DIF FROM (SELECT instrmnt_id as instrmnt_id_, arrrs_instrmnt as arrrs_instrmnt_as_is FROM cd_loan_tapes_bce.lt002_instrument WHERE ref_date='2024-09-30' AND nome_perimetro='Individual Corporativo' AND segmento='ESTR' AND ambito='PM' AND entidade='00100' ) A  Inner join (SELECT instrmnt_id as instrmnt_id_, arrrs_instrmnt as arrrs_instrmnt_to_be FROM bu_loantape_work.lt002_instrument WHERE ref_date='2024-09-30' AND nome_perimetro='Individual Corporativo' AND segmento='ESTR' AND ambito='PM' AND entidade='00100' ) B ON instrmnt_id_as_is=instrmnt_id_to_be WHERE coalesce(cast(arrrs_instrmnt_as_is AS string),'')&lt;&gt;coalesce(cast(arrrs_instrmnt_to_be AS string),'') </v>
      </c>
      <c r="M128" s="75" t="s">
        <v>55</v>
      </c>
      <c r="N128" s="75" t="str">
        <f>"SELECT 'Validação de campos' as tipologia_teste, '"&amp;VLOOKUP(B128,Instruções!$F$13:$J$17,3,0)&amp;"' AS TABELA, '"&amp;E128&amp;"' AS CAMPO, '"&amp;Instruções!$D$15&amp;"' as ref_date, coalesce(NUM_REG_DIF, 0) AS NUM_REG_DIF FROM ("&amp;L128&amp;") A "</f>
        <v xml:space="preserve">SELECT 'Validação de campos' as tipologia_teste, 'lt002_instrument' AS TABELA, 'arrrs_instrmnt' AS CAMPO, '2024-09-30' as ref_date, coalesce(NUM_REG_DIF, 0) AS NUM_REG_DIF FROM (SELECT count(*) AS NUM_REG_DIF FROM (SELECT instrmnt_id as instrmnt_id_, arrrs_instrmnt as arrrs_instrmnt_as_is FROM cd_loan_tapes_bce.lt002_instrument WHERE ref_date='2024-09-30' AND nome_perimetro='Individual Corporativo' AND segmento='ESTR' AND ambito='PM' AND entidade='00100' ) A  Inner join (SELECT instrmnt_id as instrmnt_id_, arrrs_instrmnt as arrrs_instrmnt_to_be FROM bu_loantape_work.lt002_instrument WHERE ref_date='2024-09-30' AND nome_perimetro='Individual Corporativo' AND segmento='ESTR' AND ambito='PM' AND entidade='00100' ) B ON instrmnt_id_as_is=instrmnt_id_to_be WHERE coalesce(cast(arrrs_instrmnt_as_is AS string),'')&lt;&gt;coalesce(cast(arrrs_instrmnt_to_be AS string),'') ) A </v>
      </c>
      <c r="O128" s="76" t="str">
        <f t="shared" si="20"/>
        <v>SELECT 'Validação de campos' as tipologia_teste, 'lt002_instrument' AS TABELA, 'arrrs_instrmnt' AS CAMPO, '2024-09-30' as ref_date, coalesce(NUM_REG_DIF, 0) AS NUM_REG_DIF FROM (SELECT count(*) AS NUM_REG_DIF FROM (SELECT instrmnt_id as instrmnt_id_, arrrs_instrmnt as arrrs_instrmnt_as_is FROM cd_loan_tapes_bce.lt002_instrument WHERE ref_date='2024-09-30' AND nome_perimetro='Individual Corporativo' AND segmento='ESTR' AND ambito='PM' AND entidade='00100' ) A  Inner join (SELECT instrmnt_id as instrmnt_id_, arrrs_instrmnt as arrrs_instrmnt_to_be FROM bu_loantape_work.lt002_instrument WHERE ref_date='2024-09-30' AND nome_perimetro='Individual Corporativo' AND segmento='ESTR' AND ambito='PM' AND entidade='00100' ) B ON instrmnt_id_as_is=instrmnt_id_to_be WHERE coalesce(cast(arrrs_instrmnt_as_is AS string),'')&lt;&gt;coalesce(cast(arrrs_instrmnt_to_be AS string),'') ) A Union all</v>
      </c>
      <c r="P128" s="75">
        <f t="shared" si="21"/>
        <v>18</v>
      </c>
    </row>
    <row r="129" spans="2:16" s="63" customFormat="1" ht="18" customHeight="1">
      <c r="B129" s="75" t="s">
        <v>26</v>
      </c>
      <c r="C129" s="75" t="str">
        <f>_xlfn.CONCAT(Instruções!$D$13,".",VLOOKUP(B129,Instruções!$F$12:$H$17,2,0))</f>
        <v>cd_loan_tapes_bce.lt002_instrument</v>
      </c>
      <c r="D129" s="75" t="str">
        <f>_xlfn.CONCAT(Instruções!$D$14,".",VLOOKUP(B129,Instruções!$F$12:$H$17,3,0))</f>
        <v>bu_loantape_work.lt002_instrument</v>
      </c>
      <c r="E129" s="75" t="s">
        <v>171</v>
      </c>
      <c r="F129" s="75" t="str">
        <f t="shared" si="16"/>
        <v>asst_scrt_clss_as_is</v>
      </c>
      <c r="G129" s="75" t="str">
        <f t="shared" si="17"/>
        <v>asst_scrt_clss_to_be</v>
      </c>
      <c r="H129" s="75" t="str">
        <f>IF(VLOOKUP(B129,Instruções!$F$13:$J$17,5,0)="",
"(SELECT "&amp;VLOOKUP(B129,Instruções!$F$13:$J$17,4,0)&amp;" as "&amp;VLOOKUP(B129,Instruções!$F$13:$J$17,4,0)&amp;"_"&amp;$F$2&amp;", "&amp;E129&amp;" as "&amp;F129&amp;" FROM "&amp;C129&amp;" WHERE "&amp;Instruções!$D$20&amp;") A ",
"(SELECT "&amp;VLOOKUP(B129,Instruções!$F$13:$J$17,4,0)&amp;" as "&amp;VLOOKUP(B129,Instruções!$F$13:$J$17,4,0)&amp;"_"&amp;$F$2&amp;", "&amp;VLOOKUP(B129,Instruções!$F$13:$J$17,5,0)&amp;" as "&amp;VLOOKUP(B129,Instruções!$F$13:$J$17,5,0)&amp;"_"&amp;$F$2&amp;","&amp;E129&amp;" as "&amp;F129&amp;" FROM "&amp;C129&amp;" WHERE "&amp;Instruções!$D$20&amp;") A ")</f>
        <v xml:space="preserve">(SELECT instrmnt_id as instrmnt_id_, asst_scrt_clss as asst_scrt_clss_as_is FROM cd_loan_tapes_bce.lt002_instrument WHERE ref_date='2024-09-30' AND nome_perimetro='Individual Corporativo' AND segmento='ESTR' AND ambito='PM' AND entidade='00100' ) A </v>
      </c>
      <c r="I129" s="75" t="str">
        <f>IF(VLOOKUP(B129,Instruções!$F$13:$J$17,5,0)="",
"(SELECT "&amp;VLOOKUP(B129,Instruções!$F$13:$J$17,4,0)&amp;" as "&amp;VLOOKUP(B129,Instruções!$F$13:$J$17,4,0)&amp;"_"&amp;$G$2&amp;", "&amp;E129&amp;" as "&amp;G129&amp;" FROM "&amp;D129&amp;" WHERE "&amp;Instruções!$D$21&amp;") B ",
"(SELECT "&amp;VLOOKUP(B129,Instruções!$F$13:$J$17,4,0)&amp;" as "&amp;VLOOKUP(B129,Instruções!$F$13:$J$17,4,0)&amp;"_"&amp;$G$2&amp;", "&amp;VLOOKUP(B129,Instruções!$F$13:$J$17,5,0)&amp;" as "&amp;VLOOKUP(B129,Instruções!$F$13:$J$17,5,0)&amp;"_"&amp;$G$2&amp;","&amp;E129&amp;" as "&amp;G129&amp;" FROM "&amp;D129&amp;" WHERE "&amp;Instruções!$D$21&amp;") B ")</f>
        <v xml:space="preserve">(SELECT instrmnt_id as instrmnt_id_, asst_scrt_clss as asst_scrt_clss_to_be FROM bu_loantape_work.lt002_instrument WHERE ref_date='2024-09-30' AND nome_perimetro='Individual Corporativo' AND segmento='ESTR' AND ambito='PM' AND entidade='00100' ) B </v>
      </c>
      <c r="J129" s="75" t="str">
        <f>+IF(VLOOKUP(B129,Instruções!$F$13:$J$17,5,0)="", "ON "&amp;VLOOKUP(B129,Instruções!$F$13:$J$17,4,0)&amp;"_"&amp;$F$7&amp;"="&amp;VLOOKUP(B129,Instruções!$F$13:$J$17,4,0)&amp;"_"&amp;$G$7&amp;" ", "ON "&amp;VLOOKUP(B129,Instruções!$F$13:$J$17,4,0)&amp;"_"&amp;$F$7&amp;"="&amp;VLOOKUP(B129,Instruções!$F$13:$J$17,4,0)&amp;"_"&amp;$G$7&amp;" AND "&amp;VLOOKUP(B129,Instruções!$F$13:$J$17,5,0)&amp;"_"&amp;$F$7&amp;"="&amp;VLOOKUP(B129,Instruções!$F$13:$J$17,5,0)&amp;"_"&amp;$G$7&amp;" ")</f>
        <v xml:space="preserve">ON instrmnt_id_as_is=instrmnt_id_to_be </v>
      </c>
      <c r="K129" s="75" t="str">
        <f t="shared" si="18"/>
        <v xml:space="preserve">WHERE coalesce(cast(asst_scrt_clss_as_is AS string),'')&lt;&gt;coalesce(cast(asst_scrt_clss_to_be AS string),'') </v>
      </c>
      <c r="L129" s="75" t="str">
        <f t="shared" si="19"/>
        <v xml:space="preserve">SELECT count(*) AS NUM_REG_DIF FROM (SELECT instrmnt_id as instrmnt_id_, asst_scrt_clss as asst_scrt_clss_as_is FROM cd_loan_tapes_bce.lt002_instrument WHERE ref_date='2024-09-30' AND nome_perimetro='Individual Corporativo' AND segmento='ESTR' AND ambito='PM' AND entidade='00100' ) A  Inner join (SELECT instrmnt_id as instrmnt_id_, asst_scrt_clss as asst_scrt_clss_to_be FROM bu_loantape_work.lt002_instrument WHERE ref_date='2024-09-30' AND nome_perimetro='Individual Corporativo' AND segmento='ESTR' AND ambito='PM' AND entidade='00100' ) B ON instrmnt_id_as_is=instrmnt_id_to_be WHERE coalesce(cast(asst_scrt_clss_as_is AS string),'')&lt;&gt;coalesce(cast(asst_scrt_clss_to_be AS string),'') </v>
      </c>
      <c r="M129" s="75" t="s">
        <v>55</v>
      </c>
      <c r="N129" s="75" t="str">
        <f>"SELECT 'Validação de campos' as tipologia_teste, '"&amp;VLOOKUP(B129,Instruções!$F$13:$J$17,3,0)&amp;"' AS TABELA, '"&amp;E129&amp;"' AS CAMPO, '"&amp;Instruções!$D$15&amp;"' as ref_date, coalesce(NUM_REG_DIF, 0) AS NUM_REG_DIF FROM ("&amp;L129&amp;") A "</f>
        <v xml:space="preserve">SELECT 'Validação de campos' as tipologia_teste, 'lt002_instrument' AS TABELA, 'asst_scrt_clss' AS CAMPO, '2024-09-30' as ref_date, coalesce(NUM_REG_DIF, 0) AS NUM_REG_DIF FROM (SELECT count(*) AS NUM_REG_DIF FROM (SELECT instrmnt_id as instrmnt_id_, asst_scrt_clss as asst_scrt_clss_as_is FROM cd_loan_tapes_bce.lt002_instrument WHERE ref_date='2024-09-30' AND nome_perimetro='Individual Corporativo' AND segmento='ESTR' AND ambito='PM' AND entidade='00100' ) A  Inner join (SELECT instrmnt_id as instrmnt_id_, asst_scrt_clss as asst_scrt_clss_to_be FROM bu_loantape_work.lt002_instrument WHERE ref_date='2024-09-30' AND nome_perimetro='Individual Corporativo' AND segmento='ESTR' AND ambito='PM' AND entidade='00100' ) B ON instrmnt_id_as_is=instrmnt_id_to_be WHERE coalesce(cast(asst_scrt_clss_as_is AS string),'')&lt;&gt;coalesce(cast(asst_scrt_clss_to_be AS string),'') ) A </v>
      </c>
      <c r="O129" s="76" t="str">
        <f t="shared" si="20"/>
        <v>SELECT 'Validação de campos' as tipologia_teste, 'lt002_instrument' AS TABELA, 'asst_scrt_clss' AS CAMPO, '2024-09-30' as ref_date, coalesce(NUM_REG_DIF, 0) AS NUM_REG_DIF FROM (SELECT count(*) AS NUM_REG_DIF FROM (SELECT instrmnt_id as instrmnt_id_, asst_scrt_clss as asst_scrt_clss_as_is FROM cd_loan_tapes_bce.lt002_instrument WHERE ref_date='2024-09-30' AND nome_perimetro='Individual Corporativo' AND segmento='ESTR' AND ambito='PM' AND entidade='00100' ) A  Inner join (SELECT instrmnt_id as instrmnt_id_, asst_scrt_clss as asst_scrt_clss_to_be FROM bu_loantape_work.lt002_instrument WHERE ref_date='2024-09-30' AND nome_perimetro='Individual Corporativo' AND segmento='ESTR' AND ambito='PM' AND entidade='00100' ) B ON instrmnt_id_as_is=instrmnt_id_to_be WHERE coalesce(cast(asst_scrt_clss_as_is AS string),'')&lt;&gt;coalesce(cast(asst_scrt_clss_to_be AS string),'') ) A Union all</v>
      </c>
      <c r="P129" s="75">
        <f t="shared" si="21"/>
        <v>19</v>
      </c>
    </row>
    <row r="130" spans="2:16" s="63" customFormat="1" ht="18" customHeight="1">
      <c r="B130" s="75" t="s">
        <v>26</v>
      </c>
      <c r="C130" s="75" t="str">
        <f>_xlfn.CONCAT(Instruções!$D$13,".",VLOOKUP(B130,Instruções!$F$12:$H$17,2,0))</f>
        <v>cd_loan_tapes_bce.lt002_instrument</v>
      </c>
      <c r="D130" s="75" t="str">
        <f>_xlfn.CONCAT(Instruções!$D$14,".",VLOOKUP(B130,Instruções!$F$12:$H$17,3,0))</f>
        <v>bu_loantape_work.lt002_instrument</v>
      </c>
      <c r="E130" s="75" t="s">
        <v>172</v>
      </c>
      <c r="F130" s="75" t="str">
        <f t="shared" si="16"/>
        <v>brchd_cvnnts_as_is</v>
      </c>
      <c r="G130" s="75" t="str">
        <f t="shared" si="17"/>
        <v>brchd_cvnnts_to_be</v>
      </c>
      <c r="H130" s="75" t="str">
        <f>IF(VLOOKUP(B130,Instruções!$F$13:$J$17,5,0)="",
"(SELECT "&amp;VLOOKUP(B130,Instruções!$F$13:$J$17,4,0)&amp;" as "&amp;VLOOKUP(B130,Instruções!$F$13:$J$17,4,0)&amp;"_"&amp;$F$2&amp;", "&amp;E130&amp;" as "&amp;F130&amp;" FROM "&amp;C130&amp;" WHERE "&amp;Instruções!$D$20&amp;") A ",
"(SELECT "&amp;VLOOKUP(B130,Instruções!$F$13:$J$17,4,0)&amp;" as "&amp;VLOOKUP(B130,Instruções!$F$13:$J$17,4,0)&amp;"_"&amp;$F$2&amp;", "&amp;VLOOKUP(B130,Instruções!$F$13:$J$17,5,0)&amp;" as "&amp;VLOOKUP(B130,Instruções!$F$13:$J$17,5,0)&amp;"_"&amp;$F$2&amp;","&amp;E130&amp;" as "&amp;F130&amp;" FROM "&amp;C130&amp;" WHERE "&amp;Instruções!$D$20&amp;") A ")</f>
        <v xml:space="preserve">(SELECT instrmnt_id as instrmnt_id_, brchd_cvnnts as brchd_cvnnts_as_is FROM cd_loan_tapes_bce.lt002_instrument WHERE ref_date='2024-09-30' AND nome_perimetro='Individual Corporativo' AND segmento='ESTR' AND ambito='PM' AND entidade='00100' ) A </v>
      </c>
      <c r="I130" s="75" t="str">
        <f>IF(VLOOKUP(B130,Instruções!$F$13:$J$17,5,0)="",
"(SELECT "&amp;VLOOKUP(B130,Instruções!$F$13:$J$17,4,0)&amp;" as "&amp;VLOOKUP(B130,Instruções!$F$13:$J$17,4,0)&amp;"_"&amp;$G$2&amp;", "&amp;E130&amp;" as "&amp;G130&amp;" FROM "&amp;D130&amp;" WHERE "&amp;Instruções!$D$21&amp;") B ",
"(SELECT "&amp;VLOOKUP(B130,Instruções!$F$13:$J$17,4,0)&amp;" as "&amp;VLOOKUP(B130,Instruções!$F$13:$J$17,4,0)&amp;"_"&amp;$G$2&amp;", "&amp;VLOOKUP(B130,Instruções!$F$13:$J$17,5,0)&amp;" as "&amp;VLOOKUP(B130,Instruções!$F$13:$J$17,5,0)&amp;"_"&amp;$G$2&amp;","&amp;E130&amp;" as "&amp;G130&amp;" FROM "&amp;D130&amp;" WHERE "&amp;Instruções!$D$21&amp;") B ")</f>
        <v xml:space="preserve">(SELECT instrmnt_id as instrmnt_id_, brchd_cvnnts as brchd_cvnnts_to_be FROM bu_loantape_work.lt002_instrument WHERE ref_date='2024-09-30' AND nome_perimetro='Individual Corporativo' AND segmento='ESTR' AND ambito='PM' AND entidade='00100' ) B </v>
      </c>
      <c r="J130" s="75" t="str">
        <f>+IF(VLOOKUP(B130,Instruções!$F$13:$J$17,5,0)="", "ON "&amp;VLOOKUP(B130,Instruções!$F$13:$J$17,4,0)&amp;"_"&amp;$F$7&amp;"="&amp;VLOOKUP(B130,Instruções!$F$13:$J$17,4,0)&amp;"_"&amp;$G$7&amp;" ", "ON "&amp;VLOOKUP(B130,Instruções!$F$13:$J$17,4,0)&amp;"_"&amp;$F$7&amp;"="&amp;VLOOKUP(B130,Instruções!$F$13:$J$17,4,0)&amp;"_"&amp;$G$7&amp;" AND "&amp;VLOOKUP(B130,Instruções!$F$13:$J$17,5,0)&amp;"_"&amp;$F$7&amp;"="&amp;VLOOKUP(B130,Instruções!$F$13:$J$17,5,0)&amp;"_"&amp;$G$7&amp;" ")</f>
        <v xml:space="preserve">ON instrmnt_id_as_is=instrmnt_id_to_be </v>
      </c>
      <c r="K130" s="75" t="str">
        <f t="shared" si="18"/>
        <v xml:space="preserve">WHERE coalesce(cast(brchd_cvnnts_as_is AS string),'')&lt;&gt;coalesce(cast(brchd_cvnnts_to_be AS string),'') </v>
      </c>
      <c r="L130" s="75" t="str">
        <f t="shared" si="19"/>
        <v xml:space="preserve">SELECT count(*) AS NUM_REG_DIF FROM (SELECT instrmnt_id as instrmnt_id_, brchd_cvnnts as brchd_cvnnts_as_is FROM cd_loan_tapes_bce.lt002_instrument WHERE ref_date='2024-09-30' AND nome_perimetro='Individual Corporativo' AND segmento='ESTR' AND ambito='PM' AND entidade='00100' ) A  Inner join (SELECT instrmnt_id as instrmnt_id_, brchd_cvnnts as brchd_cvnnts_to_be FROM bu_loantape_work.lt002_instrument WHERE ref_date='2024-09-30' AND nome_perimetro='Individual Corporativo' AND segmento='ESTR' AND ambito='PM' AND entidade='00100' ) B ON instrmnt_id_as_is=instrmnt_id_to_be WHERE coalesce(cast(brchd_cvnnts_as_is AS string),'')&lt;&gt;coalesce(cast(brchd_cvnnts_to_be AS string),'') </v>
      </c>
      <c r="M130" s="75" t="s">
        <v>55</v>
      </c>
      <c r="N130" s="75" t="str">
        <f>"SELECT 'Validação de campos' as tipologia_teste, '"&amp;VLOOKUP(B130,Instruções!$F$13:$J$17,3,0)&amp;"' AS TABELA, '"&amp;E130&amp;"' AS CAMPO, '"&amp;Instruções!$D$15&amp;"' as ref_date, coalesce(NUM_REG_DIF, 0) AS NUM_REG_DIF FROM ("&amp;L130&amp;") A "</f>
        <v xml:space="preserve">SELECT 'Validação de campos' as tipologia_teste, 'lt002_instrument' AS TABELA, 'brchd_cvnnts' AS CAMPO, '2024-09-30' as ref_date, coalesce(NUM_REG_DIF, 0) AS NUM_REG_DIF FROM (SELECT count(*) AS NUM_REG_DIF FROM (SELECT instrmnt_id as instrmnt_id_, brchd_cvnnts as brchd_cvnnts_as_is FROM cd_loan_tapes_bce.lt002_instrument WHERE ref_date='2024-09-30' AND nome_perimetro='Individual Corporativo' AND segmento='ESTR' AND ambito='PM' AND entidade='00100' ) A  Inner join (SELECT instrmnt_id as instrmnt_id_, brchd_cvnnts as brchd_cvnnts_to_be FROM bu_loantape_work.lt002_instrument WHERE ref_date='2024-09-30' AND nome_perimetro='Individual Corporativo' AND segmento='ESTR' AND ambito='PM' AND entidade='00100' ) B ON instrmnt_id_as_is=instrmnt_id_to_be WHERE coalesce(cast(brchd_cvnnts_as_is AS string),'')&lt;&gt;coalesce(cast(brchd_cvnnts_to_be AS string),'') ) A </v>
      </c>
      <c r="O130" s="76" t="str">
        <f t="shared" si="20"/>
        <v>SELECT 'Validação de campos' as tipologia_teste, 'lt002_instrument' AS TABELA, 'brchd_cvnnts' AS CAMPO, '2024-09-30' as ref_date, coalesce(NUM_REG_DIF, 0) AS NUM_REG_DIF FROM (SELECT count(*) AS NUM_REG_DIF FROM (SELECT instrmnt_id as instrmnt_id_, brchd_cvnnts as brchd_cvnnts_as_is FROM cd_loan_tapes_bce.lt002_instrument WHERE ref_date='2024-09-30' AND nome_perimetro='Individual Corporativo' AND segmento='ESTR' AND ambito='PM' AND entidade='00100' ) A  Inner join (SELECT instrmnt_id as instrmnt_id_, brchd_cvnnts as brchd_cvnnts_to_be FROM bu_loantape_work.lt002_instrument WHERE ref_date='2024-09-30' AND nome_perimetro='Individual Corporativo' AND segmento='ESTR' AND ambito='PM' AND entidade='00100' ) B ON instrmnt_id_as_is=instrmnt_id_to_be WHERE coalesce(cast(brchd_cvnnts_as_is AS string),'')&lt;&gt;coalesce(cast(brchd_cvnnts_to_be AS string),'') ) A Union all</v>
      </c>
      <c r="P130" s="75">
        <f t="shared" si="21"/>
        <v>20</v>
      </c>
    </row>
    <row r="131" spans="2:16" s="63" customFormat="1" ht="18" customHeight="1">
      <c r="B131" s="75" t="s">
        <v>26</v>
      </c>
      <c r="C131" s="75" t="str">
        <f>_xlfn.CONCAT(Instruções!$D$13,".",VLOOKUP(B131,Instruções!$F$12:$H$17,2,0))</f>
        <v>cd_loan_tapes_bce.lt002_instrument</v>
      </c>
      <c r="D131" s="75" t="str">
        <f>_xlfn.CONCAT(Instruções!$D$14,".",VLOOKUP(B131,Instruções!$F$12:$H$17,3,0))</f>
        <v>bu_loantape_work.lt002_instrument</v>
      </c>
      <c r="E131" s="75" t="s">
        <v>173</v>
      </c>
      <c r="F131" s="75" t="str">
        <f t="shared" si="16"/>
        <v>ccf_as_is</v>
      </c>
      <c r="G131" s="75" t="str">
        <f t="shared" si="17"/>
        <v>ccf_to_be</v>
      </c>
      <c r="H131" s="75" t="str">
        <f>IF(VLOOKUP(B131,Instruções!$F$13:$J$17,5,0)="",
"(SELECT "&amp;VLOOKUP(B131,Instruções!$F$13:$J$17,4,0)&amp;" as "&amp;VLOOKUP(B131,Instruções!$F$13:$J$17,4,0)&amp;"_"&amp;$F$2&amp;", "&amp;E131&amp;" as "&amp;F131&amp;" FROM "&amp;C131&amp;" WHERE "&amp;Instruções!$D$20&amp;") A ",
"(SELECT "&amp;VLOOKUP(B131,Instruções!$F$13:$J$17,4,0)&amp;" as "&amp;VLOOKUP(B131,Instruções!$F$13:$J$17,4,0)&amp;"_"&amp;$F$2&amp;", "&amp;VLOOKUP(B131,Instruções!$F$13:$J$17,5,0)&amp;" as "&amp;VLOOKUP(B131,Instruções!$F$13:$J$17,5,0)&amp;"_"&amp;$F$2&amp;","&amp;E131&amp;" as "&amp;F131&amp;" FROM "&amp;C131&amp;" WHERE "&amp;Instruções!$D$20&amp;") A ")</f>
        <v xml:space="preserve">(SELECT instrmnt_id as instrmnt_id_, ccf as ccf_as_is FROM cd_loan_tapes_bce.lt002_instrument WHERE ref_date='2024-09-30' AND nome_perimetro='Individual Corporativo' AND segmento='ESTR' AND ambito='PM' AND entidade='00100' ) A </v>
      </c>
      <c r="I131" s="75" t="str">
        <f>IF(VLOOKUP(B131,Instruções!$F$13:$J$17,5,0)="",
"(SELECT "&amp;VLOOKUP(B131,Instruções!$F$13:$J$17,4,0)&amp;" as "&amp;VLOOKUP(B131,Instruções!$F$13:$J$17,4,0)&amp;"_"&amp;$G$2&amp;", "&amp;E131&amp;" as "&amp;G131&amp;" FROM "&amp;D131&amp;" WHERE "&amp;Instruções!$D$21&amp;") B ",
"(SELECT "&amp;VLOOKUP(B131,Instruções!$F$13:$J$17,4,0)&amp;" as "&amp;VLOOKUP(B131,Instruções!$F$13:$J$17,4,0)&amp;"_"&amp;$G$2&amp;", "&amp;VLOOKUP(B131,Instruções!$F$13:$J$17,5,0)&amp;" as "&amp;VLOOKUP(B131,Instruções!$F$13:$J$17,5,0)&amp;"_"&amp;$G$2&amp;","&amp;E131&amp;" as "&amp;G131&amp;" FROM "&amp;D131&amp;" WHERE "&amp;Instruções!$D$21&amp;") B ")</f>
        <v xml:space="preserve">(SELECT instrmnt_id as instrmnt_id_, ccf as ccf_to_be FROM bu_loantape_work.lt002_instrument WHERE ref_date='2024-09-30' AND nome_perimetro='Individual Corporativo' AND segmento='ESTR' AND ambito='PM' AND entidade='00100' ) B </v>
      </c>
      <c r="J131" s="75" t="str">
        <f>+IF(VLOOKUP(B131,Instruções!$F$13:$J$17,5,0)="", "ON "&amp;VLOOKUP(B131,Instruções!$F$13:$J$17,4,0)&amp;"_"&amp;$F$7&amp;"="&amp;VLOOKUP(B131,Instruções!$F$13:$J$17,4,0)&amp;"_"&amp;$G$7&amp;" ", "ON "&amp;VLOOKUP(B131,Instruções!$F$13:$J$17,4,0)&amp;"_"&amp;$F$7&amp;"="&amp;VLOOKUP(B131,Instruções!$F$13:$J$17,4,0)&amp;"_"&amp;$G$7&amp;" AND "&amp;VLOOKUP(B131,Instruções!$F$13:$J$17,5,0)&amp;"_"&amp;$F$7&amp;"="&amp;VLOOKUP(B131,Instruções!$F$13:$J$17,5,0)&amp;"_"&amp;$G$7&amp;" ")</f>
        <v xml:space="preserve">ON instrmnt_id_as_is=instrmnt_id_to_be </v>
      </c>
      <c r="K131" s="75" t="str">
        <f t="shared" si="18"/>
        <v xml:space="preserve">WHERE coalesce(cast(ccf_as_is AS string),'')&lt;&gt;coalesce(cast(ccf_to_be AS string),'') </v>
      </c>
      <c r="L131" s="75" t="str">
        <f t="shared" si="19"/>
        <v xml:space="preserve">SELECT count(*) AS NUM_REG_DIF FROM (SELECT instrmnt_id as instrmnt_id_, ccf as ccf_as_is FROM cd_loan_tapes_bce.lt002_instrument WHERE ref_date='2024-09-30' AND nome_perimetro='Individual Corporativo' AND segmento='ESTR' AND ambito='PM' AND entidade='00100' ) A  Inner join (SELECT instrmnt_id as instrmnt_id_, ccf as ccf_to_be FROM bu_loantape_work.lt002_instrument WHERE ref_date='2024-09-30' AND nome_perimetro='Individual Corporativo' AND segmento='ESTR' AND ambito='PM' AND entidade='00100' ) B ON instrmnt_id_as_is=instrmnt_id_to_be WHERE coalesce(cast(ccf_as_is AS string),'')&lt;&gt;coalesce(cast(ccf_to_be AS string),'') </v>
      </c>
      <c r="M131" s="75" t="s">
        <v>55</v>
      </c>
      <c r="N131" s="75" t="str">
        <f>"SELECT 'Validação de campos' as tipologia_teste, '"&amp;VLOOKUP(B131,Instruções!$F$13:$J$17,3,0)&amp;"' AS TABELA, '"&amp;E131&amp;"' AS CAMPO, '"&amp;Instruções!$D$15&amp;"' as ref_date, coalesce(NUM_REG_DIF, 0) AS NUM_REG_DIF FROM ("&amp;L131&amp;") A "</f>
        <v xml:space="preserve">SELECT 'Validação de campos' as tipologia_teste, 'lt002_instrument' AS TABELA, 'ccf' AS CAMPO, '2024-09-30' as ref_date, coalesce(NUM_REG_DIF, 0) AS NUM_REG_DIF FROM (SELECT count(*) AS NUM_REG_DIF FROM (SELECT instrmnt_id as instrmnt_id_, ccf as ccf_as_is FROM cd_loan_tapes_bce.lt002_instrument WHERE ref_date='2024-09-30' AND nome_perimetro='Individual Corporativo' AND segmento='ESTR' AND ambito='PM' AND entidade='00100' ) A  Inner join (SELECT instrmnt_id as instrmnt_id_, ccf as ccf_to_be FROM bu_loantape_work.lt002_instrument WHERE ref_date='2024-09-30' AND nome_perimetro='Individual Corporativo' AND segmento='ESTR' AND ambito='PM' AND entidade='00100' ) B ON instrmnt_id_as_is=instrmnt_id_to_be WHERE coalesce(cast(ccf_as_is AS string),'')&lt;&gt;coalesce(cast(ccf_to_be AS string),'') ) A </v>
      </c>
      <c r="O131" s="76" t="str">
        <f t="shared" si="20"/>
        <v>SELECT 'Validação de campos' as tipologia_teste, 'lt002_instrument' AS TABELA, 'ccf' AS CAMPO, '2024-09-30' as ref_date, coalesce(NUM_REG_DIF, 0) AS NUM_REG_DIF FROM (SELECT count(*) AS NUM_REG_DIF FROM (SELECT instrmnt_id as instrmnt_id_, ccf as ccf_as_is FROM cd_loan_tapes_bce.lt002_instrument WHERE ref_date='2024-09-30' AND nome_perimetro='Individual Corporativo' AND segmento='ESTR' AND ambito='PM' AND entidade='00100' ) A  Inner join (SELECT instrmnt_id as instrmnt_id_, ccf as ccf_to_be FROM bu_loantape_work.lt002_instrument WHERE ref_date='2024-09-30' AND nome_perimetro='Individual Corporativo' AND segmento='ESTR' AND ambito='PM' AND entidade='00100' ) B ON instrmnt_id_as_is=instrmnt_id_to_be WHERE coalesce(cast(ccf_as_is AS string),'')&lt;&gt;coalesce(cast(ccf_to_be AS string),'') ) A Union all</v>
      </c>
      <c r="P131" s="75">
        <f t="shared" si="21"/>
        <v>21</v>
      </c>
    </row>
    <row r="132" spans="2:16" s="63" customFormat="1" ht="18" customHeight="1">
      <c r="B132" s="75" t="s">
        <v>26</v>
      </c>
      <c r="C132" s="75" t="str">
        <f>_xlfn.CONCAT(Instruções!$D$13,".",VLOOKUP(B132,Instruções!$F$12:$H$17,2,0))</f>
        <v>cd_loan_tapes_bce.lt002_instrument</v>
      </c>
      <c r="D132" s="75" t="str">
        <f>_xlfn.CONCAT(Instruções!$D$14,".",VLOOKUP(B132,Instruções!$F$12:$H$17,3,0))</f>
        <v>bu_loantape_work.lt002_instrument</v>
      </c>
      <c r="E132" s="75" t="s">
        <v>174</v>
      </c>
      <c r="F132" s="75" t="str">
        <f t="shared" si="16"/>
        <v>chnnl_orgntn_as_is</v>
      </c>
      <c r="G132" s="75" t="str">
        <f t="shared" si="17"/>
        <v>chnnl_orgntn_to_be</v>
      </c>
      <c r="H132" s="75" t="str">
        <f>IF(VLOOKUP(B132,Instruções!$F$13:$J$17,5,0)="",
"(SELECT "&amp;VLOOKUP(B132,Instruções!$F$13:$J$17,4,0)&amp;" as "&amp;VLOOKUP(B132,Instruções!$F$13:$J$17,4,0)&amp;"_"&amp;$F$2&amp;", "&amp;E132&amp;" as "&amp;F132&amp;" FROM "&amp;C132&amp;" WHERE "&amp;Instruções!$D$20&amp;") A ",
"(SELECT "&amp;VLOOKUP(B132,Instruções!$F$13:$J$17,4,0)&amp;" as "&amp;VLOOKUP(B132,Instruções!$F$13:$J$17,4,0)&amp;"_"&amp;$F$2&amp;", "&amp;VLOOKUP(B132,Instruções!$F$13:$J$17,5,0)&amp;" as "&amp;VLOOKUP(B132,Instruções!$F$13:$J$17,5,0)&amp;"_"&amp;$F$2&amp;","&amp;E132&amp;" as "&amp;F132&amp;" FROM "&amp;C132&amp;" WHERE "&amp;Instruções!$D$20&amp;") A ")</f>
        <v xml:space="preserve">(SELECT instrmnt_id as instrmnt_id_, chnnl_orgntn as chnnl_orgntn_as_is FROM cd_loan_tapes_bce.lt002_instrument WHERE ref_date='2024-09-30' AND nome_perimetro='Individual Corporativo' AND segmento='ESTR' AND ambito='PM' AND entidade='00100' ) A </v>
      </c>
      <c r="I132" s="75" t="str">
        <f>IF(VLOOKUP(B132,Instruções!$F$13:$J$17,5,0)="",
"(SELECT "&amp;VLOOKUP(B132,Instruções!$F$13:$J$17,4,0)&amp;" as "&amp;VLOOKUP(B132,Instruções!$F$13:$J$17,4,0)&amp;"_"&amp;$G$2&amp;", "&amp;E132&amp;" as "&amp;G132&amp;" FROM "&amp;D132&amp;" WHERE "&amp;Instruções!$D$21&amp;") B ",
"(SELECT "&amp;VLOOKUP(B132,Instruções!$F$13:$J$17,4,0)&amp;" as "&amp;VLOOKUP(B132,Instruções!$F$13:$J$17,4,0)&amp;"_"&amp;$G$2&amp;", "&amp;VLOOKUP(B132,Instruções!$F$13:$J$17,5,0)&amp;" as "&amp;VLOOKUP(B132,Instruções!$F$13:$J$17,5,0)&amp;"_"&amp;$G$2&amp;","&amp;E132&amp;" as "&amp;G132&amp;" FROM "&amp;D132&amp;" WHERE "&amp;Instruções!$D$21&amp;") B ")</f>
        <v xml:space="preserve">(SELECT instrmnt_id as instrmnt_id_, chnnl_orgntn as chnnl_orgntn_to_be FROM bu_loantape_work.lt002_instrument WHERE ref_date='2024-09-30' AND nome_perimetro='Individual Corporativo' AND segmento='ESTR' AND ambito='PM' AND entidade='00100' ) B </v>
      </c>
      <c r="J132" s="75" t="str">
        <f>+IF(VLOOKUP(B132,Instruções!$F$13:$J$17,5,0)="", "ON "&amp;VLOOKUP(B132,Instruções!$F$13:$J$17,4,0)&amp;"_"&amp;$F$7&amp;"="&amp;VLOOKUP(B132,Instruções!$F$13:$J$17,4,0)&amp;"_"&amp;$G$7&amp;" ", "ON "&amp;VLOOKUP(B132,Instruções!$F$13:$J$17,4,0)&amp;"_"&amp;$F$7&amp;"="&amp;VLOOKUP(B132,Instruções!$F$13:$J$17,4,0)&amp;"_"&amp;$G$7&amp;" AND "&amp;VLOOKUP(B132,Instruções!$F$13:$J$17,5,0)&amp;"_"&amp;$F$7&amp;"="&amp;VLOOKUP(B132,Instruções!$F$13:$J$17,5,0)&amp;"_"&amp;$G$7&amp;" ")</f>
        <v xml:space="preserve">ON instrmnt_id_as_is=instrmnt_id_to_be </v>
      </c>
      <c r="K132" s="75" t="str">
        <f t="shared" si="18"/>
        <v xml:space="preserve">WHERE coalesce(cast(chnnl_orgntn_as_is AS string),'')&lt;&gt;coalesce(cast(chnnl_orgntn_to_be AS string),'') </v>
      </c>
      <c r="L132" s="75" t="str">
        <f t="shared" si="19"/>
        <v xml:space="preserve">SELECT count(*) AS NUM_REG_DIF FROM (SELECT instrmnt_id as instrmnt_id_, chnnl_orgntn as chnnl_orgntn_as_is FROM cd_loan_tapes_bce.lt002_instrument WHERE ref_date='2024-09-30' AND nome_perimetro='Individual Corporativo' AND segmento='ESTR' AND ambito='PM' AND entidade='00100' ) A  Inner join (SELECT instrmnt_id as instrmnt_id_, chnnl_orgntn as chnnl_orgntn_to_be FROM bu_loantape_work.lt002_instrument WHERE ref_date='2024-09-30' AND nome_perimetro='Individual Corporativo' AND segmento='ESTR' AND ambito='PM' AND entidade='00100' ) B ON instrmnt_id_as_is=instrmnt_id_to_be WHERE coalesce(cast(chnnl_orgntn_as_is AS string),'')&lt;&gt;coalesce(cast(chnnl_orgntn_to_be AS string),'') </v>
      </c>
      <c r="M132" s="75" t="s">
        <v>55</v>
      </c>
      <c r="N132" s="75" t="str">
        <f>"SELECT 'Validação de campos' as tipologia_teste, '"&amp;VLOOKUP(B132,Instruções!$F$13:$J$17,3,0)&amp;"' AS TABELA, '"&amp;E132&amp;"' AS CAMPO, '"&amp;Instruções!$D$15&amp;"' as ref_date, coalesce(NUM_REG_DIF, 0) AS NUM_REG_DIF FROM ("&amp;L132&amp;") A "</f>
        <v xml:space="preserve">SELECT 'Validação de campos' as tipologia_teste, 'lt002_instrument' AS TABELA, 'chnnl_orgntn' AS CAMPO, '2024-09-30' as ref_date, coalesce(NUM_REG_DIF, 0) AS NUM_REG_DIF FROM (SELECT count(*) AS NUM_REG_DIF FROM (SELECT instrmnt_id as instrmnt_id_, chnnl_orgntn as chnnl_orgntn_as_is FROM cd_loan_tapes_bce.lt002_instrument WHERE ref_date='2024-09-30' AND nome_perimetro='Individual Corporativo' AND segmento='ESTR' AND ambito='PM' AND entidade='00100' ) A  Inner join (SELECT instrmnt_id as instrmnt_id_, chnnl_orgntn as chnnl_orgntn_to_be FROM bu_loantape_work.lt002_instrument WHERE ref_date='2024-09-30' AND nome_perimetro='Individual Corporativo' AND segmento='ESTR' AND ambito='PM' AND entidade='00100' ) B ON instrmnt_id_as_is=instrmnt_id_to_be WHERE coalesce(cast(chnnl_orgntn_as_is AS string),'')&lt;&gt;coalesce(cast(chnnl_orgntn_to_be AS string),'') ) A </v>
      </c>
      <c r="O132" s="76" t="str">
        <f t="shared" si="20"/>
        <v>SELECT 'Validação de campos' as tipologia_teste, 'lt002_instrument' AS TABELA, 'chnnl_orgntn' AS CAMPO, '2024-09-30' as ref_date, coalesce(NUM_REG_DIF, 0) AS NUM_REG_DIF FROM (SELECT count(*) AS NUM_REG_DIF FROM (SELECT instrmnt_id as instrmnt_id_, chnnl_orgntn as chnnl_orgntn_as_is FROM cd_loan_tapes_bce.lt002_instrument WHERE ref_date='2024-09-30' AND nome_perimetro='Individual Corporativo' AND segmento='ESTR' AND ambito='PM' AND entidade='00100' ) A  Inner join (SELECT instrmnt_id as instrmnt_id_, chnnl_orgntn as chnnl_orgntn_to_be FROM bu_loantape_work.lt002_instrument WHERE ref_date='2024-09-30' AND nome_perimetro='Individual Corporativo' AND segmento='ESTR' AND ambito='PM' AND entidade='00100' ) B ON instrmnt_id_as_is=instrmnt_id_to_be WHERE coalesce(cast(chnnl_orgntn_as_is AS string),'')&lt;&gt;coalesce(cast(chnnl_orgntn_to_be AS string),'') ) A Union all</v>
      </c>
      <c r="P132" s="75">
        <f t="shared" si="21"/>
        <v>22</v>
      </c>
    </row>
    <row r="133" spans="2:16" s="63" customFormat="1" ht="18" customHeight="1">
      <c r="B133" s="75" t="s">
        <v>26</v>
      </c>
      <c r="C133" s="75" t="str">
        <f>_xlfn.CONCAT(Instruções!$D$13,".",VLOOKUP(B133,Instruções!$F$12:$H$17,2,0))</f>
        <v>cd_loan_tapes_bce.lt002_instrument</v>
      </c>
      <c r="D133" s="75" t="str">
        <f>_xlfn.CONCAT(Instruções!$D$14,".",VLOOKUP(B133,Instruções!$F$12:$H$17,3,0))</f>
        <v>bu_loantape_work.lt002_instrument</v>
      </c>
      <c r="E133" s="75" t="s">
        <v>175</v>
      </c>
      <c r="F133" s="75" t="str">
        <f t="shared" si="16"/>
        <v>cmltv_rcvrs_snc_dflt_instrmnt_as_is</v>
      </c>
      <c r="G133" s="75" t="str">
        <f t="shared" si="17"/>
        <v>cmltv_rcvrs_snc_dflt_instrmnt_to_be</v>
      </c>
      <c r="H133" s="75" t="str">
        <f>IF(VLOOKUP(B133,Instruções!$F$13:$J$17,5,0)="",
"(SELECT "&amp;VLOOKUP(B133,Instruções!$F$13:$J$17,4,0)&amp;" as "&amp;VLOOKUP(B133,Instruções!$F$13:$J$17,4,0)&amp;"_"&amp;$F$2&amp;", "&amp;E133&amp;" as "&amp;F133&amp;" FROM "&amp;C133&amp;" WHERE "&amp;Instruções!$D$20&amp;") A ",
"(SELECT "&amp;VLOOKUP(B133,Instruções!$F$13:$J$17,4,0)&amp;" as "&amp;VLOOKUP(B133,Instruções!$F$13:$J$17,4,0)&amp;"_"&amp;$F$2&amp;", "&amp;VLOOKUP(B133,Instruções!$F$13:$J$17,5,0)&amp;" as "&amp;VLOOKUP(B133,Instruções!$F$13:$J$17,5,0)&amp;"_"&amp;$F$2&amp;","&amp;E133&amp;" as "&amp;F133&amp;" FROM "&amp;C133&amp;" WHERE "&amp;Instruções!$D$20&amp;") A ")</f>
        <v xml:space="preserve">(SELECT instrmnt_id as instrmnt_id_, cmltv_rcvrs_snc_dflt_instrmnt as cmltv_rcvrs_snc_dflt_instrmnt_as_is FROM cd_loan_tapes_bce.lt002_instrument WHERE ref_date='2024-09-30' AND nome_perimetro='Individual Corporativo' AND segmento='ESTR' AND ambito='PM' AND entidade='00100' ) A </v>
      </c>
      <c r="I133" s="75" t="str">
        <f>IF(VLOOKUP(B133,Instruções!$F$13:$J$17,5,0)="",
"(SELECT "&amp;VLOOKUP(B133,Instruções!$F$13:$J$17,4,0)&amp;" as "&amp;VLOOKUP(B133,Instruções!$F$13:$J$17,4,0)&amp;"_"&amp;$G$2&amp;", "&amp;E133&amp;" as "&amp;G133&amp;" FROM "&amp;D133&amp;" WHERE "&amp;Instruções!$D$21&amp;") B ",
"(SELECT "&amp;VLOOKUP(B133,Instruções!$F$13:$J$17,4,0)&amp;" as "&amp;VLOOKUP(B133,Instruções!$F$13:$J$17,4,0)&amp;"_"&amp;$G$2&amp;", "&amp;VLOOKUP(B133,Instruções!$F$13:$J$17,5,0)&amp;" as "&amp;VLOOKUP(B133,Instruções!$F$13:$J$17,5,0)&amp;"_"&amp;$G$2&amp;","&amp;E133&amp;" as "&amp;G133&amp;" FROM "&amp;D133&amp;" WHERE "&amp;Instruções!$D$21&amp;") B ")</f>
        <v xml:space="preserve">(SELECT instrmnt_id as instrmnt_id_, cmltv_rcvrs_snc_dflt_instrmnt as cmltv_rcvrs_snc_dflt_instrmnt_to_be FROM bu_loantape_work.lt002_instrument WHERE ref_date='2024-09-30' AND nome_perimetro='Individual Corporativo' AND segmento='ESTR' AND ambito='PM' AND entidade='00100' ) B </v>
      </c>
      <c r="J133" s="75" t="str">
        <f>+IF(VLOOKUP(B133,Instruções!$F$13:$J$17,5,0)="", "ON "&amp;VLOOKUP(B133,Instruções!$F$13:$J$17,4,0)&amp;"_"&amp;$F$7&amp;"="&amp;VLOOKUP(B133,Instruções!$F$13:$J$17,4,0)&amp;"_"&amp;$G$7&amp;" ", "ON "&amp;VLOOKUP(B133,Instruções!$F$13:$J$17,4,0)&amp;"_"&amp;$F$7&amp;"="&amp;VLOOKUP(B133,Instruções!$F$13:$J$17,4,0)&amp;"_"&amp;$G$7&amp;" AND "&amp;VLOOKUP(B133,Instruções!$F$13:$J$17,5,0)&amp;"_"&amp;$F$7&amp;"="&amp;VLOOKUP(B133,Instruções!$F$13:$J$17,5,0)&amp;"_"&amp;$G$7&amp;" ")</f>
        <v xml:space="preserve">ON instrmnt_id_as_is=instrmnt_id_to_be </v>
      </c>
      <c r="K133" s="75" t="str">
        <f t="shared" si="18"/>
        <v xml:space="preserve">WHERE coalesce(cast(cmltv_rcvrs_snc_dflt_instrmnt_as_is AS string),'')&lt;&gt;coalesce(cast(cmltv_rcvrs_snc_dflt_instrmnt_to_be AS string),'') </v>
      </c>
      <c r="L133" s="75" t="str">
        <f t="shared" si="19"/>
        <v xml:space="preserve">SELECT count(*) AS NUM_REG_DIF FROM (SELECT instrmnt_id as instrmnt_id_,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instrmnt_id_, cmltv_rcvrs_snc_dflt_instrmnt as cmltv_rcvrs_snc_dflt_instrmnt_to_be FROM bu_loantape_work.lt002_instrument WHERE ref_date='2024-09-30' AND nome_perimetro='Individual Corporativo' AND segmento='ESTR' AND ambito='PM' AND entidade='00100' ) B ON instrmnt_id_as_is=instrmnt_id_to_be WHERE coalesce(cast(cmltv_rcvrs_snc_dflt_instrmnt_as_is AS string),'')&lt;&gt;coalesce(cast(cmltv_rcvrs_snc_dflt_instrmnt_to_be AS string),'') </v>
      </c>
      <c r="M133" s="75" t="s">
        <v>55</v>
      </c>
      <c r="N133" s="75" t="str">
        <f>"SELECT 'Validação de campos' as tipologia_teste, '"&amp;VLOOKUP(B133,Instruções!$F$13:$J$17,3,0)&amp;"' AS TABELA, '"&amp;E133&amp;"' AS CAMPO, '"&amp;Instruções!$D$15&amp;"' as ref_date, coalesce(NUM_REG_DIF, 0) AS NUM_REG_DIF FROM ("&amp;L133&amp;") A "</f>
        <v xml:space="preserve">SELECT 'Validação de campos' as tipologia_teste, 'lt002_instrument' AS TABELA, 'cmltv_rcvrs_snc_dflt_instrmnt' AS CAMPO, '2024-09-30' as ref_date, coalesce(NUM_REG_DIF, 0) AS NUM_REG_DIF FROM (SELECT count(*) AS NUM_REG_DIF FROM (SELECT instrmnt_id as instrmnt_id_,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instrmnt_id_, cmltv_rcvrs_snc_dflt_instrmnt as cmltv_rcvrs_snc_dflt_instrmnt_to_be FROM bu_loantape_work.lt002_instrument WHERE ref_date='2024-09-30' AND nome_perimetro='Individual Corporativo' AND segmento='ESTR' AND ambito='PM' AND entidade='00100' ) B ON instrmnt_id_as_is=instrmnt_id_to_be WHERE coalesce(cast(cmltv_rcvrs_snc_dflt_instrmnt_as_is AS string),'')&lt;&gt;coalesce(cast(cmltv_rcvrs_snc_dflt_instrmnt_to_be AS string),'') ) A </v>
      </c>
      <c r="O133" s="76" t="str">
        <f t="shared" si="20"/>
        <v>SELECT 'Validação de campos' as tipologia_teste, 'lt002_instrument' AS TABELA, 'cmltv_rcvrs_snc_dflt_instrmnt' AS CAMPO, '2024-09-30' as ref_date, coalesce(NUM_REG_DIF, 0) AS NUM_REG_DIF FROM (SELECT count(*) AS NUM_REG_DIF FROM (SELECT instrmnt_id as instrmnt_id_,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instrmnt_id_, cmltv_rcvrs_snc_dflt_instrmnt as cmltv_rcvrs_snc_dflt_instrmnt_to_be FROM bu_loantape_work.lt002_instrument WHERE ref_date='2024-09-30' AND nome_perimetro='Individual Corporativo' AND segmento='ESTR' AND ambito='PM' AND entidade='00100' ) B ON instrmnt_id_as_is=instrmnt_id_to_be WHERE coalesce(cast(cmltv_rcvrs_snc_dflt_instrmnt_as_is AS string),'')&lt;&gt;coalesce(cast(cmltv_rcvrs_snc_dflt_instrmnt_to_be AS string),'') ) A Union all</v>
      </c>
      <c r="P133" s="75">
        <f t="shared" si="21"/>
        <v>23</v>
      </c>
    </row>
    <row r="134" spans="2:16" s="63" customFormat="1" ht="18" customHeight="1">
      <c r="B134" s="75" t="s">
        <v>26</v>
      </c>
      <c r="C134" s="75" t="str">
        <f>_xlfn.CONCAT(Instruções!$D$13,".",VLOOKUP(B134,Instruções!$F$12:$H$17,2,0))</f>
        <v>cd_loan_tapes_bce.lt002_instrument</v>
      </c>
      <c r="D134" s="75" t="str">
        <f>_xlfn.CONCAT(Instruções!$D$14,".",VLOOKUP(B134,Instruções!$F$12:$H$17,3,0))</f>
        <v>bu_loantape_work.lt002_instrument</v>
      </c>
      <c r="E134" s="75" t="s">
        <v>176</v>
      </c>
      <c r="F134" s="75" t="str">
        <f t="shared" si="16"/>
        <v>cmmtmnt_incptn_instrmnt_as_is</v>
      </c>
      <c r="G134" s="75" t="str">
        <f t="shared" si="17"/>
        <v>cmmtmnt_incptn_instrmnt_to_be</v>
      </c>
      <c r="H134" s="75" t="str">
        <f>IF(VLOOKUP(B134,Instruções!$F$13:$J$17,5,0)="",
"(SELECT "&amp;VLOOKUP(B134,Instruções!$F$13:$J$17,4,0)&amp;" as "&amp;VLOOKUP(B134,Instruções!$F$13:$J$17,4,0)&amp;"_"&amp;$F$2&amp;", "&amp;E134&amp;" as "&amp;F134&amp;" FROM "&amp;C134&amp;" WHERE "&amp;Instruções!$D$20&amp;") A ",
"(SELECT "&amp;VLOOKUP(B134,Instruções!$F$13:$J$17,4,0)&amp;" as "&amp;VLOOKUP(B134,Instruções!$F$13:$J$17,4,0)&amp;"_"&amp;$F$2&amp;", "&amp;VLOOKUP(B134,Instruções!$F$13:$J$17,5,0)&amp;" as "&amp;VLOOKUP(B134,Instruções!$F$13:$J$17,5,0)&amp;"_"&amp;$F$2&amp;","&amp;E134&amp;" as "&amp;F134&amp;" FROM "&amp;C134&amp;" WHERE "&amp;Instruções!$D$20&amp;") A ")</f>
        <v xml:space="preserve">(SELECT instrmnt_id as instrmnt_id_, cmmtmnt_incptn_instrmnt as cmmtmnt_incptn_instrmnt_as_is FROM cd_loan_tapes_bce.lt002_instrument WHERE ref_date='2024-09-30' AND nome_perimetro='Individual Corporativo' AND segmento='ESTR' AND ambito='PM' AND entidade='00100' ) A </v>
      </c>
      <c r="I134" s="75" t="str">
        <f>IF(VLOOKUP(B134,Instruções!$F$13:$J$17,5,0)="",
"(SELECT "&amp;VLOOKUP(B134,Instruções!$F$13:$J$17,4,0)&amp;" as "&amp;VLOOKUP(B134,Instruções!$F$13:$J$17,4,0)&amp;"_"&amp;$G$2&amp;", "&amp;E134&amp;" as "&amp;G134&amp;" FROM "&amp;D134&amp;" WHERE "&amp;Instruções!$D$21&amp;") B ",
"(SELECT "&amp;VLOOKUP(B134,Instruções!$F$13:$J$17,4,0)&amp;" as "&amp;VLOOKUP(B134,Instruções!$F$13:$J$17,4,0)&amp;"_"&amp;$G$2&amp;", "&amp;VLOOKUP(B134,Instruções!$F$13:$J$17,5,0)&amp;" as "&amp;VLOOKUP(B134,Instruções!$F$13:$J$17,5,0)&amp;"_"&amp;$G$2&amp;","&amp;E134&amp;" as "&amp;G134&amp;" FROM "&amp;D134&amp;" WHERE "&amp;Instruções!$D$21&amp;") B ")</f>
        <v xml:space="preserve">(SELECT instrmnt_id as instrmnt_id_, cmmtmnt_incptn_instrmnt as cmmtmnt_incptn_instrmnt_to_be FROM bu_loantape_work.lt002_instrument WHERE ref_date='2024-09-30' AND nome_perimetro='Individual Corporativo' AND segmento='ESTR' AND ambito='PM' AND entidade='00100' ) B </v>
      </c>
      <c r="J134" s="75" t="str">
        <f>+IF(VLOOKUP(B134,Instruções!$F$13:$J$17,5,0)="", "ON "&amp;VLOOKUP(B134,Instruções!$F$13:$J$17,4,0)&amp;"_"&amp;$F$7&amp;"="&amp;VLOOKUP(B134,Instruções!$F$13:$J$17,4,0)&amp;"_"&amp;$G$7&amp;" ", "ON "&amp;VLOOKUP(B134,Instruções!$F$13:$J$17,4,0)&amp;"_"&amp;$F$7&amp;"="&amp;VLOOKUP(B134,Instruções!$F$13:$J$17,4,0)&amp;"_"&amp;$G$7&amp;" AND "&amp;VLOOKUP(B134,Instruções!$F$13:$J$17,5,0)&amp;"_"&amp;$F$7&amp;"="&amp;VLOOKUP(B134,Instruções!$F$13:$J$17,5,0)&amp;"_"&amp;$G$7&amp;" ")</f>
        <v xml:space="preserve">ON instrmnt_id_as_is=instrmnt_id_to_be </v>
      </c>
      <c r="K134" s="75" t="str">
        <f t="shared" si="18"/>
        <v xml:space="preserve">WHERE coalesce(cast(cmmtmnt_incptn_instrmnt_as_is AS string),'')&lt;&gt;coalesce(cast(cmmtmnt_incptn_instrmnt_to_be AS string),'') </v>
      </c>
      <c r="L134" s="75" t="str">
        <f t="shared" si="19"/>
        <v xml:space="preserve">SELECT count(*) AS NUM_REG_DIF FROM (SELECT instrmnt_id as instrmnt_id_, cmmtmnt_incptn_instrmnt as cmmtmnt_incptn_instrmnt_as_is FROM cd_loan_tapes_bce.lt002_instrument WHERE ref_date='2024-09-30' AND nome_perimetro='Individual Corporativo' AND segmento='ESTR' AND ambito='PM' AND entidade='00100' ) A  Inner join (SELECT instrmnt_id as instrmnt_id_, cmmtmnt_incptn_instrmnt as cmmtmnt_incptn_instrmnt_to_be FROM bu_loantape_work.lt002_instrument WHERE ref_date='2024-09-30' AND nome_perimetro='Individual Corporativo' AND segmento='ESTR' AND ambito='PM' AND entidade='00100' ) B ON instrmnt_id_as_is=instrmnt_id_to_be WHERE coalesce(cast(cmmtmnt_incptn_instrmnt_as_is AS string),'')&lt;&gt;coalesce(cast(cmmtmnt_incptn_instrmnt_to_be AS string),'') </v>
      </c>
      <c r="M134" s="75" t="s">
        <v>55</v>
      </c>
      <c r="N134" s="75" t="str">
        <f>"SELECT 'Validação de campos' as tipologia_teste, '"&amp;VLOOKUP(B134,Instruções!$F$13:$J$17,3,0)&amp;"' AS TABELA, '"&amp;E134&amp;"' AS CAMPO, '"&amp;Instruções!$D$15&amp;"' as ref_date, coalesce(NUM_REG_DIF, 0) AS NUM_REG_DIF FROM ("&amp;L134&amp;") A "</f>
        <v xml:space="preserve">SELECT 'Validação de campos' as tipologia_teste, 'lt002_instrument' AS TABELA, 'cmmtmnt_incptn_instrmnt' AS CAMPO, '2024-09-30' as ref_date, coalesce(NUM_REG_DIF, 0) AS NUM_REG_DIF FROM (SELECT count(*) AS NUM_REG_DIF FROM (SELECT instrmnt_id as instrmnt_id_, cmmtmnt_incptn_instrmnt as cmmtmnt_incptn_instrmnt_as_is FROM cd_loan_tapes_bce.lt002_instrument WHERE ref_date='2024-09-30' AND nome_perimetro='Individual Corporativo' AND segmento='ESTR' AND ambito='PM' AND entidade='00100' ) A  Inner join (SELECT instrmnt_id as instrmnt_id_, cmmtmnt_incptn_instrmnt as cmmtmnt_incptn_instrmnt_to_be FROM bu_loantape_work.lt002_instrument WHERE ref_date='2024-09-30' AND nome_perimetro='Individual Corporativo' AND segmento='ESTR' AND ambito='PM' AND entidade='00100' ) B ON instrmnt_id_as_is=instrmnt_id_to_be WHERE coalesce(cast(cmmtmnt_incptn_instrmnt_as_is AS string),'')&lt;&gt;coalesce(cast(cmmtmnt_incptn_instrmnt_to_be AS string),'') ) A </v>
      </c>
      <c r="O134" s="76" t="str">
        <f t="shared" si="20"/>
        <v>SELECT 'Validação de campos' as tipologia_teste, 'lt002_instrument' AS TABELA, 'cmmtmnt_incptn_instrmnt' AS CAMPO, '2024-09-30' as ref_date, coalesce(NUM_REG_DIF, 0) AS NUM_REG_DIF FROM (SELECT count(*) AS NUM_REG_DIF FROM (SELECT instrmnt_id as instrmnt_id_, cmmtmnt_incptn_instrmnt as cmmtmnt_incptn_instrmnt_as_is FROM cd_loan_tapes_bce.lt002_instrument WHERE ref_date='2024-09-30' AND nome_perimetro='Individual Corporativo' AND segmento='ESTR' AND ambito='PM' AND entidade='00100' ) A  Inner join (SELECT instrmnt_id as instrmnt_id_, cmmtmnt_incptn_instrmnt as cmmtmnt_incptn_instrmnt_to_be FROM bu_loantape_work.lt002_instrument WHERE ref_date='2024-09-30' AND nome_perimetro='Individual Corporativo' AND segmento='ESTR' AND ambito='PM' AND entidade='00100' ) B ON instrmnt_id_as_is=instrmnt_id_to_be WHERE coalesce(cast(cmmtmnt_incptn_instrmnt_as_is AS string),'')&lt;&gt;coalesce(cast(cmmtmnt_incptn_instrmnt_to_be AS string),'') ) A Union all</v>
      </c>
      <c r="P134" s="75">
        <f t="shared" si="21"/>
        <v>24</v>
      </c>
    </row>
    <row r="135" spans="2:16" s="63" customFormat="1" ht="18" customHeight="1">
      <c r="B135" s="75" t="s">
        <v>26</v>
      </c>
      <c r="C135" s="75" t="str">
        <f>_xlfn.CONCAT(Instruções!$D$13,".",VLOOKUP(B135,Instruções!$F$12:$H$17,2,0))</f>
        <v>cd_loan_tapes_bce.lt002_instrument</v>
      </c>
      <c r="D135" s="75" t="str">
        <f>_xlfn.CONCAT(Instruções!$D$14,".",VLOOKUP(B135,Instruções!$F$12:$H$17,3,0))</f>
        <v>bu_loantape_work.lt002_instrument</v>
      </c>
      <c r="E135" s="75" t="s">
        <v>177</v>
      </c>
      <c r="F135" s="75" t="str">
        <f t="shared" si="16"/>
        <v>cmmtmnt_instrmnt_as_is</v>
      </c>
      <c r="G135" s="75" t="str">
        <f t="shared" si="17"/>
        <v>cmmtmnt_instrmnt_to_be</v>
      </c>
      <c r="H135" s="75" t="str">
        <f>IF(VLOOKUP(B135,Instruções!$F$13:$J$17,5,0)="",
"(SELECT "&amp;VLOOKUP(B135,Instruções!$F$13:$J$17,4,0)&amp;" as "&amp;VLOOKUP(B135,Instruções!$F$13:$J$17,4,0)&amp;"_"&amp;$F$2&amp;", "&amp;E135&amp;" as "&amp;F135&amp;" FROM "&amp;C135&amp;" WHERE "&amp;Instruções!$D$20&amp;") A ",
"(SELECT "&amp;VLOOKUP(B135,Instruções!$F$13:$J$17,4,0)&amp;" as "&amp;VLOOKUP(B135,Instruções!$F$13:$J$17,4,0)&amp;"_"&amp;$F$2&amp;", "&amp;VLOOKUP(B135,Instruções!$F$13:$J$17,5,0)&amp;" as "&amp;VLOOKUP(B135,Instruções!$F$13:$J$17,5,0)&amp;"_"&amp;$F$2&amp;","&amp;E135&amp;" as "&amp;F135&amp;" FROM "&amp;C135&amp;" WHERE "&amp;Instruções!$D$20&amp;") A ")</f>
        <v xml:space="preserve">(SELECT instrmnt_id as instrmnt_id_, cmmtmnt_instrmnt as cmmtmnt_instrmnt_as_is FROM cd_loan_tapes_bce.lt002_instrument WHERE ref_date='2024-09-30' AND nome_perimetro='Individual Corporativo' AND segmento='ESTR' AND ambito='PM' AND entidade='00100' ) A </v>
      </c>
      <c r="I135" s="75" t="str">
        <f>IF(VLOOKUP(B135,Instruções!$F$13:$J$17,5,0)="",
"(SELECT "&amp;VLOOKUP(B135,Instruções!$F$13:$J$17,4,0)&amp;" as "&amp;VLOOKUP(B135,Instruções!$F$13:$J$17,4,0)&amp;"_"&amp;$G$2&amp;", "&amp;E135&amp;" as "&amp;G135&amp;" FROM "&amp;D135&amp;" WHERE "&amp;Instruções!$D$21&amp;") B ",
"(SELECT "&amp;VLOOKUP(B135,Instruções!$F$13:$J$17,4,0)&amp;" as "&amp;VLOOKUP(B135,Instruções!$F$13:$J$17,4,0)&amp;"_"&amp;$G$2&amp;", "&amp;VLOOKUP(B135,Instruções!$F$13:$J$17,5,0)&amp;" as "&amp;VLOOKUP(B135,Instruções!$F$13:$J$17,5,0)&amp;"_"&amp;$G$2&amp;","&amp;E135&amp;" as "&amp;G135&amp;" FROM "&amp;D135&amp;" WHERE "&amp;Instruções!$D$21&amp;") B ")</f>
        <v xml:space="preserve">(SELECT instrmnt_id as instrmnt_id_, cmmtmnt_instrmnt as cmmtmnt_instrmnt_to_be FROM bu_loantape_work.lt002_instrument WHERE ref_date='2024-09-30' AND nome_perimetro='Individual Corporativo' AND segmento='ESTR' AND ambito='PM' AND entidade='00100' ) B </v>
      </c>
      <c r="J135" s="75" t="str">
        <f>+IF(VLOOKUP(B135,Instruções!$F$13:$J$17,5,0)="", "ON "&amp;VLOOKUP(B135,Instruções!$F$13:$J$17,4,0)&amp;"_"&amp;$F$7&amp;"="&amp;VLOOKUP(B135,Instruções!$F$13:$J$17,4,0)&amp;"_"&amp;$G$7&amp;" ", "ON "&amp;VLOOKUP(B135,Instruções!$F$13:$J$17,4,0)&amp;"_"&amp;$F$7&amp;"="&amp;VLOOKUP(B135,Instruções!$F$13:$J$17,4,0)&amp;"_"&amp;$G$7&amp;" AND "&amp;VLOOKUP(B135,Instruções!$F$13:$J$17,5,0)&amp;"_"&amp;$F$7&amp;"="&amp;VLOOKUP(B135,Instruções!$F$13:$J$17,5,0)&amp;"_"&amp;$G$7&amp;" ")</f>
        <v xml:space="preserve">ON instrmnt_id_as_is=instrmnt_id_to_be </v>
      </c>
      <c r="K135" s="75" t="str">
        <f t="shared" si="18"/>
        <v xml:space="preserve">WHERE coalesce(cast(cmmtmnt_instrmnt_as_is AS string),'')&lt;&gt;coalesce(cast(cmmtmnt_instrmnt_to_be AS string),'') </v>
      </c>
      <c r="L135" s="75" t="str">
        <f t="shared" si="19"/>
        <v xml:space="preserve">SELECT count(*) AS NUM_REG_DIF FROM (SELECT instrmnt_id as instrmnt_id_, cmmtmnt_instrmnt as cmmtmnt_instrmnt_as_is FROM cd_loan_tapes_bce.lt002_instrument WHERE ref_date='2024-09-30' AND nome_perimetro='Individual Corporativo' AND segmento='ESTR' AND ambito='PM' AND entidade='00100' ) A  Inner join (SELECT instrmnt_id as instrmnt_id_, cmmtmnt_instrmnt as cmmtmnt_instrmnt_to_be FROM bu_loantape_work.lt002_instrument WHERE ref_date='2024-09-30' AND nome_perimetro='Individual Corporativo' AND segmento='ESTR' AND ambito='PM' AND entidade='00100' ) B ON instrmnt_id_as_is=instrmnt_id_to_be WHERE coalesce(cast(cmmtmnt_instrmnt_as_is AS string),'')&lt;&gt;coalesce(cast(cmmtmnt_instrmnt_to_be AS string),'') </v>
      </c>
      <c r="M135" s="75" t="s">
        <v>55</v>
      </c>
      <c r="N135" s="75" t="str">
        <f>"SELECT 'Validação de campos' as tipologia_teste, '"&amp;VLOOKUP(B135,Instruções!$F$13:$J$17,3,0)&amp;"' AS TABELA, '"&amp;E135&amp;"' AS CAMPO, '"&amp;Instruções!$D$15&amp;"' as ref_date, coalesce(NUM_REG_DIF, 0) AS NUM_REG_DIF FROM ("&amp;L135&amp;") A "</f>
        <v xml:space="preserve">SELECT 'Validação de campos' as tipologia_teste, 'lt002_instrument' AS TABELA, 'cmmtmnt_instrmnt' AS CAMPO, '2024-09-30' as ref_date, coalesce(NUM_REG_DIF, 0) AS NUM_REG_DIF FROM (SELECT count(*) AS NUM_REG_DIF FROM (SELECT instrmnt_id as instrmnt_id_, cmmtmnt_instrmnt as cmmtmnt_instrmnt_as_is FROM cd_loan_tapes_bce.lt002_instrument WHERE ref_date='2024-09-30' AND nome_perimetro='Individual Corporativo' AND segmento='ESTR' AND ambito='PM' AND entidade='00100' ) A  Inner join (SELECT instrmnt_id as instrmnt_id_, cmmtmnt_instrmnt as cmmtmnt_instrmnt_to_be FROM bu_loantape_work.lt002_instrument WHERE ref_date='2024-09-30' AND nome_perimetro='Individual Corporativo' AND segmento='ESTR' AND ambito='PM' AND entidade='00100' ) B ON instrmnt_id_as_is=instrmnt_id_to_be WHERE coalesce(cast(cmmtmnt_instrmnt_as_is AS string),'')&lt;&gt;coalesce(cast(cmmtmnt_instrmnt_to_be AS string),'') ) A </v>
      </c>
      <c r="O135" s="76" t="str">
        <f t="shared" si="20"/>
        <v>SELECT 'Validação de campos' as tipologia_teste, 'lt002_instrument' AS TABELA, 'cmmtmnt_instrmnt' AS CAMPO, '2024-09-30' as ref_date, coalesce(NUM_REG_DIF, 0) AS NUM_REG_DIF FROM (SELECT count(*) AS NUM_REG_DIF FROM (SELECT instrmnt_id as instrmnt_id_, cmmtmnt_instrmnt as cmmtmnt_instrmnt_as_is FROM cd_loan_tapes_bce.lt002_instrument WHERE ref_date='2024-09-30' AND nome_perimetro='Individual Corporativo' AND segmento='ESTR' AND ambito='PM' AND entidade='00100' ) A  Inner join (SELECT instrmnt_id as instrmnt_id_, cmmtmnt_instrmnt as cmmtmnt_instrmnt_to_be FROM bu_loantape_work.lt002_instrument WHERE ref_date='2024-09-30' AND nome_perimetro='Individual Corporativo' AND segmento='ESTR' AND ambito='PM' AND entidade='00100' ) B ON instrmnt_id_as_is=instrmnt_id_to_be WHERE coalesce(cast(cmmtmnt_instrmnt_as_is AS string),'')&lt;&gt;coalesce(cast(cmmtmnt_instrmnt_to_be AS string),'') ) A Union all</v>
      </c>
      <c r="P135" s="75">
        <f t="shared" si="21"/>
        <v>25</v>
      </c>
    </row>
    <row r="136" spans="2:16" s="63" customFormat="1" ht="18" customHeight="1">
      <c r="B136" s="75" t="s">
        <v>26</v>
      </c>
      <c r="C136" s="75" t="str">
        <f>_xlfn.CONCAT(Instruções!$D$13,".",VLOOKUP(B136,Instruções!$F$12:$H$17,2,0))</f>
        <v>cd_loan_tapes_bce.lt002_instrument</v>
      </c>
      <c r="D136" s="75" t="str">
        <f>_xlfn.CONCAT(Instruções!$D$14,".",VLOOKUP(B136,Instruções!$F$12:$H$17,3,0))</f>
        <v>bu_loantape_work.lt002_instrument</v>
      </c>
      <c r="E136" s="75" t="s">
        <v>178</v>
      </c>
      <c r="F136" s="75" t="str">
        <f t="shared" si="16"/>
        <v>cmplnt_mrtr_c19_nm_as_is</v>
      </c>
      <c r="G136" s="75" t="str">
        <f t="shared" si="17"/>
        <v>cmplnt_mrtr_c19_nm_to_be</v>
      </c>
      <c r="H136" s="75" t="str">
        <f>IF(VLOOKUP(B136,Instruções!$F$13:$J$17,5,0)="",
"(SELECT "&amp;VLOOKUP(B136,Instruções!$F$13:$J$17,4,0)&amp;" as "&amp;VLOOKUP(B136,Instruções!$F$13:$J$17,4,0)&amp;"_"&amp;$F$2&amp;", "&amp;E136&amp;" as "&amp;F136&amp;" FROM "&amp;C136&amp;" WHERE "&amp;Instruções!$D$20&amp;") A ",
"(SELECT "&amp;VLOOKUP(B136,Instruções!$F$13:$J$17,4,0)&amp;" as "&amp;VLOOKUP(B136,Instruções!$F$13:$J$17,4,0)&amp;"_"&amp;$F$2&amp;", "&amp;VLOOKUP(B136,Instruções!$F$13:$J$17,5,0)&amp;" as "&amp;VLOOKUP(B136,Instruções!$F$13:$J$17,5,0)&amp;"_"&amp;$F$2&amp;","&amp;E136&amp;" as "&amp;F136&amp;" FROM "&amp;C136&amp;" WHERE "&amp;Instruções!$D$20&amp;") A ")</f>
        <v xml:space="preserve">(SELECT instrmnt_id as instrmnt_id_, cmplnt_mrtr_c19_nm as cmplnt_mrtr_c19_nm_as_is FROM cd_loan_tapes_bce.lt002_instrument WHERE ref_date='2024-09-30' AND nome_perimetro='Individual Corporativo' AND segmento='ESTR' AND ambito='PM' AND entidade='00100' ) A </v>
      </c>
      <c r="I136" s="75" t="str">
        <f>IF(VLOOKUP(B136,Instruções!$F$13:$J$17,5,0)="",
"(SELECT "&amp;VLOOKUP(B136,Instruções!$F$13:$J$17,4,0)&amp;" as "&amp;VLOOKUP(B136,Instruções!$F$13:$J$17,4,0)&amp;"_"&amp;$G$2&amp;", "&amp;E136&amp;" as "&amp;G136&amp;" FROM "&amp;D136&amp;" WHERE "&amp;Instruções!$D$21&amp;") B ",
"(SELECT "&amp;VLOOKUP(B136,Instruções!$F$13:$J$17,4,0)&amp;" as "&amp;VLOOKUP(B136,Instruções!$F$13:$J$17,4,0)&amp;"_"&amp;$G$2&amp;", "&amp;VLOOKUP(B136,Instruções!$F$13:$J$17,5,0)&amp;" as "&amp;VLOOKUP(B136,Instruções!$F$13:$J$17,5,0)&amp;"_"&amp;$G$2&amp;","&amp;E136&amp;" as "&amp;G136&amp;" FROM "&amp;D136&amp;" WHERE "&amp;Instruções!$D$21&amp;") B ")</f>
        <v xml:space="preserve">(SELECT instrmnt_id as instrmnt_id_, cmplnt_mrtr_c19_nm as cmplnt_mrtr_c19_nm_to_be FROM bu_loantape_work.lt002_instrument WHERE ref_date='2024-09-30' AND nome_perimetro='Individual Corporativo' AND segmento='ESTR' AND ambito='PM' AND entidade='00100' ) B </v>
      </c>
      <c r="J136" s="75" t="str">
        <f>+IF(VLOOKUP(B136,Instruções!$F$13:$J$17,5,0)="", "ON "&amp;VLOOKUP(B136,Instruções!$F$13:$J$17,4,0)&amp;"_"&amp;$F$7&amp;"="&amp;VLOOKUP(B136,Instruções!$F$13:$J$17,4,0)&amp;"_"&amp;$G$7&amp;" ", "ON "&amp;VLOOKUP(B136,Instruções!$F$13:$J$17,4,0)&amp;"_"&amp;$F$7&amp;"="&amp;VLOOKUP(B136,Instruções!$F$13:$J$17,4,0)&amp;"_"&amp;$G$7&amp;" AND "&amp;VLOOKUP(B136,Instruções!$F$13:$J$17,5,0)&amp;"_"&amp;$F$7&amp;"="&amp;VLOOKUP(B136,Instruções!$F$13:$J$17,5,0)&amp;"_"&amp;$G$7&amp;" ")</f>
        <v xml:space="preserve">ON instrmnt_id_as_is=instrmnt_id_to_be </v>
      </c>
      <c r="K136" s="75" t="str">
        <f t="shared" si="18"/>
        <v xml:space="preserve">WHERE coalesce(cast(cmplnt_mrtr_c19_nm_as_is AS string),'')&lt;&gt;coalesce(cast(cmplnt_mrtr_c19_nm_to_be AS string),'') </v>
      </c>
      <c r="L136" s="75" t="str">
        <f t="shared" si="19"/>
        <v xml:space="preserve">SELECT count(*) AS NUM_REG_DIF FROM (SELECT instrmnt_id as instrmnt_id_, cmplnt_mrtr_c19_nm as cmplnt_mrtr_c19_nm_as_is FROM cd_loan_tapes_bce.lt002_instrument WHERE ref_date='2024-09-30' AND nome_perimetro='Individual Corporativo' AND segmento='ESTR' AND ambito='PM' AND entidade='00100' ) A  Inner join (SELECT instrmnt_id as instrmnt_id_, cmplnt_mrtr_c19_nm as cmplnt_mrtr_c19_nm_to_be FROM bu_loantape_work.lt002_instrument WHERE ref_date='2024-09-30' AND nome_perimetro='Individual Corporativo' AND segmento='ESTR' AND ambito='PM' AND entidade='00100' ) B ON instrmnt_id_as_is=instrmnt_id_to_be WHERE coalesce(cast(cmplnt_mrtr_c19_nm_as_is AS string),'')&lt;&gt;coalesce(cast(cmplnt_mrtr_c19_nm_to_be AS string),'') </v>
      </c>
      <c r="M136" s="75" t="s">
        <v>55</v>
      </c>
      <c r="N136" s="75" t="str">
        <f>"SELECT 'Validação de campos' as tipologia_teste, '"&amp;VLOOKUP(B136,Instruções!$F$13:$J$17,3,0)&amp;"' AS TABELA, '"&amp;E136&amp;"' AS CAMPO, '"&amp;Instruções!$D$15&amp;"' as ref_date, coalesce(NUM_REG_DIF, 0) AS NUM_REG_DIF FROM ("&amp;L136&amp;") A "</f>
        <v xml:space="preserve">SELECT 'Validação de campos' as tipologia_teste, 'lt002_instrument' AS TABELA, 'cmplnt_mrtr_c19_nm' AS CAMPO, '2024-09-30' as ref_date, coalesce(NUM_REG_DIF, 0) AS NUM_REG_DIF FROM (SELECT count(*) AS NUM_REG_DIF FROM (SELECT instrmnt_id as instrmnt_id_, cmplnt_mrtr_c19_nm as cmplnt_mrtr_c19_nm_as_is FROM cd_loan_tapes_bce.lt002_instrument WHERE ref_date='2024-09-30' AND nome_perimetro='Individual Corporativo' AND segmento='ESTR' AND ambito='PM' AND entidade='00100' ) A  Inner join (SELECT instrmnt_id as instrmnt_id_, cmplnt_mrtr_c19_nm as cmplnt_mrtr_c19_nm_to_be FROM bu_loantape_work.lt002_instrument WHERE ref_date='2024-09-30' AND nome_perimetro='Individual Corporativo' AND segmento='ESTR' AND ambito='PM' AND entidade='00100' ) B ON instrmnt_id_as_is=instrmnt_id_to_be WHERE coalesce(cast(cmplnt_mrtr_c19_nm_as_is AS string),'')&lt;&gt;coalesce(cast(cmplnt_mrtr_c19_nm_to_be AS string),'') ) A </v>
      </c>
      <c r="O136" s="76" t="str">
        <f t="shared" si="20"/>
        <v>SELECT 'Validação de campos' as tipologia_teste, 'lt002_instrument' AS TABELA, 'cmplnt_mrtr_c19_nm' AS CAMPO, '2024-09-30' as ref_date, coalesce(NUM_REG_DIF, 0) AS NUM_REG_DIF FROM (SELECT count(*) AS NUM_REG_DIF FROM (SELECT instrmnt_id as instrmnt_id_, cmplnt_mrtr_c19_nm as cmplnt_mrtr_c19_nm_as_is FROM cd_loan_tapes_bce.lt002_instrument WHERE ref_date='2024-09-30' AND nome_perimetro='Individual Corporativo' AND segmento='ESTR' AND ambito='PM' AND entidade='00100' ) A  Inner join (SELECT instrmnt_id as instrmnt_id_, cmplnt_mrtr_c19_nm as cmplnt_mrtr_c19_nm_to_be FROM bu_loantape_work.lt002_instrument WHERE ref_date='2024-09-30' AND nome_perimetro='Individual Corporativo' AND segmento='ESTR' AND ambito='PM' AND entidade='00100' ) B ON instrmnt_id_as_is=instrmnt_id_to_be WHERE coalesce(cast(cmplnt_mrtr_c19_nm_as_is AS string),'')&lt;&gt;coalesce(cast(cmplnt_mrtr_c19_nm_to_be AS string),'') ) A Union all</v>
      </c>
      <c r="P136" s="75">
        <f t="shared" si="21"/>
        <v>26</v>
      </c>
    </row>
    <row r="137" spans="2:16" s="63" customFormat="1" ht="18" customHeight="1">
      <c r="B137" s="75" t="s">
        <v>26</v>
      </c>
      <c r="C137" s="75" t="str">
        <f>_xlfn.CONCAT(Instruções!$D$13,".",VLOOKUP(B137,Instruções!$F$12:$H$17,2,0))</f>
        <v>cd_loan_tapes_bce.lt002_instrument</v>
      </c>
      <c r="D137" s="75" t="str">
        <f>_xlfn.CONCAT(Instruções!$D$14,".",VLOOKUP(B137,Instruções!$F$12:$H$17,3,0))</f>
        <v>bu_loantape_work.lt002_instrument</v>
      </c>
      <c r="E137" s="75" t="s">
        <v>179</v>
      </c>
      <c r="F137" s="75" t="str">
        <f t="shared" si="16"/>
        <v>cnsmptn_fnrp18_as_is</v>
      </c>
      <c r="G137" s="75" t="str">
        <f t="shared" si="17"/>
        <v>cnsmptn_fnrp18_to_be</v>
      </c>
      <c r="H137" s="75" t="str">
        <f>IF(VLOOKUP(B137,Instruções!$F$13:$J$17,5,0)="",
"(SELECT "&amp;VLOOKUP(B137,Instruções!$F$13:$J$17,4,0)&amp;" as "&amp;VLOOKUP(B137,Instruções!$F$13:$J$17,4,0)&amp;"_"&amp;$F$2&amp;", "&amp;E137&amp;" as "&amp;F137&amp;" FROM "&amp;C137&amp;" WHERE "&amp;Instruções!$D$20&amp;") A ",
"(SELECT "&amp;VLOOKUP(B137,Instruções!$F$13:$J$17,4,0)&amp;" as "&amp;VLOOKUP(B137,Instruções!$F$13:$J$17,4,0)&amp;"_"&amp;$F$2&amp;", "&amp;VLOOKUP(B137,Instruções!$F$13:$J$17,5,0)&amp;" as "&amp;VLOOKUP(B137,Instruções!$F$13:$J$17,5,0)&amp;"_"&amp;$F$2&amp;","&amp;E137&amp;" as "&amp;F137&amp;" FROM "&amp;C137&amp;" WHERE "&amp;Instruções!$D$20&amp;") A ")</f>
        <v xml:space="preserve">(SELECT instrmnt_id as instrmnt_id_, cnsmptn_fnrp18 as cnsmptn_fnrp18_as_is FROM cd_loan_tapes_bce.lt002_instrument WHERE ref_date='2024-09-30' AND nome_perimetro='Individual Corporativo' AND segmento='ESTR' AND ambito='PM' AND entidade='00100' ) A </v>
      </c>
      <c r="I137" s="75" t="str">
        <f>IF(VLOOKUP(B137,Instruções!$F$13:$J$17,5,0)="",
"(SELECT "&amp;VLOOKUP(B137,Instruções!$F$13:$J$17,4,0)&amp;" as "&amp;VLOOKUP(B137,Instruções!$F$13:$J$17,4,0)&amp;"_"&amp;$G$2&amp;", "&amp;E137&amp;" as "&amp;G137&amp;" FROM "&amp;D137&amp;" WHERE "&amp;Instruções!$D$21&amp;") B ",
"(SELECT "&amp;VLOOKUP(B137,Instruções!$F$13:$J$17,4,0)&amp;" as "&amp;VLOOKUP(B137,Instruções!$F$13:$J$17,4,0)&amp;"_"&amp;$G$2&amp;", "&amp;VLOOKUP(B137,Instruções!$F$13:$J$17,5,0)&amp;" as "&amp;VLOOKUP(B137,Instruções!$F$13:$J$17,5,0)&amp;"_"&amp;$G$2&amp;","&amp;E137&amp;" as "&amp;G137&amp;" FROM "&amp;D137&amp;" WHERE "&amp;Instruções!$D$21&amp;") B ")</f>
        <v xml:space="preserve">(SELECT instrmnt_id as instrmnt_id_, cnsmptn_fnrp18 as cnsmptn_fnrp18_to_be FROM bu_loantape_work.lt002_instrument WHERE ref_date='2024-09-30' AND nome_perimetro='Individual Corporativo' AND segmento='ESTR' AND ambito='PM' AND entidade='00100' ) B </v>
      </c>
      <c r="J137" s="75" t="str">
        <f>+IF(VLOOKUP(B137,Instruções!$F$13:$J$17,5,0)="", "ON "&amp;VLOOKUP(B137,Instruções!$F$13:$J$17,4,0)&amp;"_"&amp;$F$7&amp;"="&amp;VLOOKUP(B137,Instruções!$F$13:$J$17,4,0)&amp;"_"&amp;$G$7&amp;" ", "ON "&amp;VLOOKUP(B137,Instruções!$F$13:$J$17,4,0)&amp;"_"&amp;$F$7&amp;"="&amp;VLOOKUP(B137,Instruções!$F$13:$J$17,4,0)&amp;"_"&amp;$G$7&amp;" AND "&amp;VLOOKUP(B137,Instruções!$F$13:$J$17,5,0)&amp;"_"&amp;$F$7&amp;"="&amp;VLOOKUP(B137,Instruções!$F$13:$J$17,5,0)&amp;"_"&amp;$G$7&amp;" ")</f>
        <v xml:space="preserve">ON instrmnt_id_as_is=instrmnt_id_to_be </v>
      </c>
      <c r="K137" s="75" t="str">
        <f t="shared" si="18"/>
        <v xml:space="preserve">WHERE coalesce(cast(cnsmptn_fnrp18_as_is AS string),'')&lt;&gt;coalesce(cast(cnsmptn_fnrp18_to_be AS string),'') </v>
      </c>
      <c r="L137" s="75" t="str">
        <f t="shared" si="19"/>
        <v xml:space="preserve">SELECT count(*) AS NUM_REG_DIF FROM (SELECT instrmnt_id as instrmnt_id_, cnsmptn_fnrp18 as cnsmptn_fnrp18_as_is FROM cd_loan_tapes_bce.lt002_instrument WHERE ref_date='2024-09-30' AND nome_perimetro='Individual Corporativo' AND segmento='ESTR' AND ambito='PM' AND entidade='00100' ) A  Inner join (SELECT instrmnt_id as instrmnt_id_, cnsmptn_fnrp18 as cnsmptn_fnrp18_to_be FROM bu_loantape_work.lt002_instrument WHERE ref_date='2024-09-30' AND nome_perimetro='Individual Corporativo' AND segmento='ESTR' AND ambito='PM' AND entidade='00100' ) B ON instrmnt_id_as_is=instrmnt_id_to_be WHERE coalesce(cast(cnsmptn_fnrp18_as_is AS string),'')&lt;&gt;coalesce(cast(cnsmptn_fnrp18_to_be AS string),'') </v>
      </c>
      <c r="M137" s="75" t="s">
        <v>55</v>
      </c>
      <c r="N137" s="75" t="str">
        <f>"SELECT 'Validação de campos' as tipologia_teste, '"&amp;VLOOKUP(B137,Instruções!$F$13:$J$17,3,0)&amp;"' AS TABELA, '"&amp;E137&amp;"' AS CAMPO, '"&amp;Instruções!$D$15&amp;"' as ref_date, coalesce(NUM_REG_DIF, 0) AS NUM_REG_DIF FROM ("&amp;L137&amp;") A "</f>
        <v xml:space="preserve">SELECT 'Validação de campos' as tipologia_teste, 'lt002_instrument' AS TABELA, 'cnsmptn_fnrp18' AS CAMPO, '2024-09-30' as ref_date, coalesce(NUM_REG_DIF, 0) AS NUM_REG_DIF FROM (SELECT count(*) AS NUM_REG_DIF FROM (SELECT instrmnt_id as instrmnt_id_, cnsmptn_fnrp18 as cnsmptn_fnrp18_as_is FROM cd_loan_tapes_bce.lt002_instrument WHERE ref_date='2024-09-30' AND nome_perimetro='Individual Corporativo' AND segmento='ESTR' AND ambito='PM' AND entidade='00100' ) A  Inner join (SELECT instrmnt_id as instrmnt_id_, cnsmptn_fnrp18 as cnsmptn_fnrp18_to_be FROM bu_loantape_work.lt002_instrument WHERE ref_date='2024-09-30' AND nome_perimetro='Individual Corporativo' AND segmento='ESTR' AND ambito='PM' AND entidade='00100' ) B ON instrmnt_id_as_is=instrmnt_id_to_be WHERE coalesce(cast(cnsmptn_fnrp18_as_is AS string),'')&lt;&gt;coalesce(cast(cnsmptn_fnrp18_to_be AS string),'') ) A </v>
      </c>
      <c r="O137" s="76" t="str">
        <f t="shared" si="20"/>
        <v>SELECT 'Validação de campos' as tipologia_teste, 'lt002_instrument' AS TABELA, 'cnsmptn_fnrp18' AS CAMPO, '2024-09-30' as ref_date, coalesce(NUM_REG_DIF, 0) AS NUM_REG_DIF FROM (SELECT count(*) AS NUM_REG_DIF FROM (SELECT instrmnt_id as instrmnt_id_, cnsmptn_fnrp18 as cnsmptn_fnrp18_as_is FROM cd_loan_tapes_bce.lt002_instrument WHERE ref_date='2024-09-30' AND nome_perimetro='Individual Corporativo' AND segmento='ESTR' AND ambito='PM' AND entidade='00100' ) A  Inner join (SELECT instrmnt_id as instrmnt_id_, cnsmptn_fnrp18 as cnsmptn_fnrp18_to_be FROM bu_loantape_work.lt002_instrument WHERE ref_date='2024-09-30' AND nome_perimetro='Individual Corporativo' AND segmento='ESTR' AND ambito='PM' AND entidade='00100' ) B ON instrmnt_id_as_is=instrmnt_id_to_be WHERE coalesce(cast(cnsmptn_fnrp18_as_is AS string),'')&lt;&gt;coalesce(cast(cnsmptn_fnrp18_to_be AS string),'') ) A Union all</v>
      </c>
      <c r="P137" s="75">
        <f t="shared" si="21"/>
        <v>27</v>
      </c>
    </row>
    <row r="138" spans="2:16" s="63" customFormat="1" ht="18" customHeight="1">
      <c r="B138" s="75" t="s">
        <v>26</v>
      </c>
      <c r="C138" s="75" t="str">
        <f>_xlfn.CONCAT(Instruções!$D$13,".",VLOOKUP(B138,Instruções!$F$12:$H$17,2,0))</f>
        <v>cd_loan_tapes_bce.lt002_instrument</v>
      </c>
      <c r="D138" s="75" t="str">
        <f>_xlfn.CONCAT(Instruções!$D$14,".",VLOOKUP(B138,Instruções!$F$12:$H$17,3,0))</f>
        <v>bu_loantape_work.lt002_instrument</v>
      </c>
      <c r="E138" s="75" t="s">
        <v>180</v>
      </c>
      <c r="F138" s="75" t="str">
        <f t="shared" si="16"/>
        <v>cntrct_id_as_is</v>
      </c>
      <c r="G138" s="75" t="str">
        <f t="shared" si="17"/>
        <v>cntrct_id_to_be</v>
      </c>
      <c r="H138" s="75" t="str">
        <f>IF(VLOOKUP(B138,Instruções!$F$13:$J$17,5,0)="",
"(SELECT "&amp;VLOOKUP(B138,Instruções!$F$13:$J$17,4,0)&amp;" as "&amp;VLOOKUP(B138,Instruções!$F$13:$J$17,4,0)&amp;"_"&amp;$F$2&amp;", "&amp;E138&amp;" as "&amp;F138&amp;" FROM "&amp;C138&amp;" WHERE "&amp;Instruções!$D$20&amp;") A ",
"(SELECT "&amp;VLOOKUP(B138,Instruções!$F$13:$J$17,4,0)&amp;" as "&amp;VLOOKUP(B138,Instruções!$F$13:$J$17,4,0)&amp;"_"&amp;$F$2&amp;", "&amp;VLOOKUP(B138,Instruções!$F$13:$J$17,5,0)&amp;" as "&amp;VLOOKUP(B138,Instruções!$F$13:$J$17,5,0)&amp;"_"&amp;$F$2&amp;","&amp;E138&amp;" as "&amp;F138&amp;" FROM "&amp;C138&amp;" WHERE "&amp;Instruções!$D$20&amp;") A ")</f>
        <v xml:space="preserve">(SELECT instrmnt_id as instrmnt_id_, cntrct_id as cntrct_id_as_is FROM cd_loan_tapes_bce.lt002_instrument WHERE ref_date='2024-09-30' AND nome_perimetro='Individual Corporativo' AND segmento='ESTR' AND ambito='PM' AND entidade='00100' ) A </v>
      </c>
      <c r="I138" s="75" t="str">
        <f>IF(VLOOKUP(B138,Instruções!$F$13:$J$17,5,0)="",
"(SELECT "&amp;VLOOKUP(B138,Instruções!$F$13:$J$17,4,0)&amp;" as "&amp;VLOOKUP(B138,Instruções!$F$13:$J$17,4,0)&amp;"_"&amp;$G$2&amp;", "&amp;E138&amp;" as "&amp;G138&amp;" FROM "&amp;D138&amp;" WHERE "&amp;Instruções!$D$21&amp;") B ",
"(SELECT "&amp;VLOOKUP(B138,Instruções!$F$13:$J$17,4,0)&amp;" as "&amp;VLOOKUP(B138,Instruções!$F$13:$J$17,4,0)&amp;"_"&amp;$G$2&amp;", "&amp;VLOOKUP(B138,Instruções!$F$13:$J$17,5,0)&amp;" as "&amp;VLOOKUP(B138,Instruções!$F$13:$J$17,5,0)&amp;"_"&amp;$G$2&amp;","&amp;E138&amp;" as "&amp;G138&amp;" FROM "&amp;D138&amp;" WHERE "&amp;Instruções!$D$21&amp;") B ")</f>
        <v xml:space="preserve">(SELECT instrmnt_id as instrmnt_id_, cntrct_id as cntrct_id_to_be FROM bu_loantape_work.lt002_instrument WHERE ref_date='2024-09-30' AND nome_perimetro='Individual Corporativo' AND segmento='ESTR' AND ambito='PM' AND entidade='00100' ) B </v>
      </c>
      <c r="J138" s="75" t="str">
        <f>+IF(VLOOKUP(B138,Instruções!$F$13:$J$17,5,0)="", "ON "&amp;VLOOKUP(B138,Instruções!$F$13:$J$17,4,0)&amp;"_"&amp;$F$7&amp;"="&amp;VLOOKUP(B138,Instruções!$F$13:$J$17,4,0)&amp;"_"&amp;$G$7&amp;" ", "ON "&amp;VLOOKUP(B138,Instruções!$F$13:$J$17,4,0)&amp;"_"&amp;$F$7&amp;"="&amp;VLOOKUP(B138,Instruções!$F$13:$J$17,4,0)&amp;"_"&amp;$G$7&amp;" AND "&amp;VLOOKUP(B138,Instruções!$F$13:$J$17,5,0)&amp;"_"&amp;$F$7&amp;"="&amp;VLOOKUP(B138,Instruções!$F$13:$J$17,5,0)&amp;"_"&amp;$G$7&amp;" ")</f>
        <v xml:space="preserve">ON instrmnt_id_as_is=instrmnt_id_to_be </v>
      </c>
      <c r="K138" s="75" t="str">
        <f t="shared" si="18"/>
        <v xml:space="preserve">WHERE coalesce(cast(cntrct_id_as_is AS string),'')&lt;&gt;coalesce(cast(cntrct_id_to_be AS string),'') </v>
      </c>
      <c r="L138" s="75" t="str">
        <f t="shared" si="19"/>
        <v xml:space="preserve">SELECT count(*) AS NUM_REG_DIF FROM (SELECT instrmnt_id as instrmnt_id_, cntrct_id as cntrct_id_as_is FROM cd_loan_tapes_bce.lt002_instrument WHERE ref_date='2024-09-30' AND nome_perimetro='Individual Corporativo' AND segmento='ESTR' AND ambito='PM' AND entidade='00100' ) A  Inner join (SELECT instrmnt_id as instrmnt_id_, cntrct_id as cntrct_id_to_be FROM bu_loantape_work.lt002_instrument WHERE ref_date='2024-09-30' AND nome_perimetro='Individual Corporativo' AND segmento='ESTR' AND ambito='PM' AND entidade='00100' ) B ON instrmnt_id_as_is=instrmnt_id_to_be WHERE coalesce(cast(cntrct_id_as_is AS string),'')&lt;&gt;coalesce(cast(cntrct_id_to_be AS string),'') </v>
      </c>
      <c r="M138" s="75" t="s">
        <v>55</v>
      </c>
      <c r="N138" s="75" t="str">
        <f>"SELECT 'Validação de campos' as tipologia_teste, '"&amp;VLOOKUP(B138,Instruções!$F$13:$J$17,3,0)&amp;"' AS TABELA, '"&amp;E138&amp;"' AS CAMPO, '"&amp;Instruções!$D$15&amp;"' as ref_date, coalesce(NUM_REG_DIF, 0) AS NUM_REG_DIF FROM ("&amp;L138&amp;") A "</f>
        <v xml:space="preserve">SELECT 'Validação de campos' as tipologia_teste, 'lt002_instrument' AS TABELA, 'cntrct_id' AS CAMPO, '2024-09-30' as ref_date, coalesce(NUM_REG_DIF, 0) AS NUM_REG_DIF FROM (SELECT count(*) AS NUM_REG_DIF FROM (SELECT instrmnt_id as instrmnt_id_, cntrct_id as cntrct_id_as_is FROM cd_loan_tapes_bce.lt002_instrument WHERE ref_date='2024-09-30' AND nome_perimetro='Individual Corporativo' AND segmento='ESTR' AND ambito='PM' AND entidade='00100' ) A  Inner join (SELECT instrmnt_id as instrmnt_id_, cntrct_id as cntrct_id_to_be FROM bu_loantape_work.lt002_instrument WHERE ref_date='2024-09-30' AND nome_perimetro='Individual Corporativo' AND segmento='ESTR' AND ambito='PM' AND entidade='00100' ) B ON instrmnt_id_as_is=instrmnt_id_to_be WHERE coalesce(cast(cntrct_id_as_is AS string),'')&lt;&gt;coalesce(cast(cntrct_id_to_be AS string),'') ) A </v>
      </c>
      <c r="O138" s="76" t="str">
        <f t="shared" si="20"/>
        <v>SELECT 'Validação de campos' as tipologia_teste, 'lt002_instrument' AS TABELA, 'cntrct_id' AS CAMPO, '2024-09-30' as ref_date, coalesce(NUM_REG_DIF, 0) AS NUM_REG_DIF FROM (SELECT count(*) AS NUM_REG_DIF FROM (SELECT instrmnt_id as instrmnt_id_, cntrct_id as cntrct_id_as_is FROM cd_loan_tapes_bce.lt002_instrument WHERE ref_date='2024-09-30' AND nome_perimetro='Individual Corporativo' AND segmento='ESTR' AND ambito='PM' AND entidade='00100' ) A  Inner join (SELECT instrmnt_id as instrmnt_id_, cntrct_id as cntrct_id_to_be FROM bu_loantape_work.lt002_instrument WHERE ref_date='2024-09-30' AND nome_perimetro='Individual Corporativo' AND segmento='ESTR' AND ambito='PM' AND entidade='00100' ) B ON instrmnt_id_as_is=instrmnt_id_to_be WHERE coalesce(cast(cntrct_id_as_is AS string),'')&lt;&gt;coalesce(cast(cntrct_id_to_be AS string),'') ) A Union all</v>
      </c>
      <c r="P138" s="75">
        <f t="shared" si="21"/>
        <v>28</v>
      </c>
    </row>
    <row r="139" spans="2:16" s="63" customFormat="1" ht="18" customHeight="1">
      <c r="B139" s="75" t="s">
        <v>26</v>
      </c>
      <c r="C139" s="75" t="str">
        <f>_xlfn.CONCAT(Instruções!$D$13,".",VLOOKUP(B139,Instruções!$F$12:$H$17,2,0))</f>
        <v>cd_loan_tapes_bce.lt002_instrument</v>
      </c>
      <c r="D139" s="75" t="str">
        <f>_xlfn.CONCAT(Instruções!$D$14,".",VLOOKUP(B139,Instruções!$F$12:$H$17,3,0))</f>
        <v>bu_loantape_work.lt002_instrument</v>
      </c>
      <c r="E139" s="75" t="s">
        <v>181</v>
      </c>
      <c r="F139" s="75" t="str">
        <f t="shared" si="16"/>
        <v>cntrct_id_bdr_as_is</v>
      </c>
      <c r="G139" s="75" t="str">
        <f t="shared" si="17"/>
        <v>cntrct_id_bdr_to_be</v>
      </c>
      <c r="H139" s="75" t="str">
        <f>IF(VLOOKUP(B139,Instruções!$F$13:$J$17,5,0)="",
"(SELECT "&amp;VLOOKUP(B139,Instruções!$F$13:$J$17,4,0)&amp;" as "&amp;VLOOKUP(B139,Instruções!$F$13:$J$17,4,0)&amp;"_"&amp;$F$2&amp;", "&amp;E139&amp;" as "&amp;F139&amp;" FROM "&amp;C139&amp;" WHERE "&amp;Instruções!$D$20&amp;") A ",
"(SELECT "&amp;VLOOKUP(B139,Instruções!$F$13:$J$17,4,0)&amp;" as "&amp;VLOOKUP(B139,Instruções!$F$13:$J$17,4,0)&amp;"_"&amp;$F$2&amp;", "&amp;VLOOKUP(B139,Instruções!$F$13:$J$17,5,0)&amp;" as "&amp;VLOOKUP(B139,Instruções!$F$13:$J$17,5,0)&amp;"_"&amp;$F$2&amp;","&amp;E139&amp;" as "&amp;F139&amp;" FROM "&amp;C139&amp;" WHERE "&amp;Instruções!$D$20&amp;") A ")</f>
        <v xml:space="preserve">(SELECT instrmnt_id as instrmnt_id_, cntrct_id_bdr as cntrct_id_bdr_as_is FROM cd_loan_tapes_bce.lt002_instrument WHERE ref_date='2024-09-30' AND nome_perimetro='Individual Corporativo' AND segmento='ESTR' AND ambito='PM' AND entidade='00100' ) A </v>
      </c>
      <c r="I139" s="75" t="str">
        <f>IF(VLOOKUP(B139,Instruções!$F$13:$J$17,5,0)="",
"(SELECT "&amp;VLOOKUP(B139,Instruções!$F$13:$J$17,4,0)&amp;" as "&amp;VLOOKUP(B139,Instruções!$F$13:$J$17,4,0)&amp;"_"&amp;$G$2&amp;", "&amp;E139&amp;" as "&amp;G139&amp;" FROM "&amp;D139&amp;" WHERE "&amp;Instruções!$D$21&amp;") B ",
"(SELECT "&amp;VLOOKUP(B139,Instruções!$F$13:$J$17,4,0)&amp;" as "&amp;VLOOKUP(B139,Instruções!$F$13:$J$17,4,0)&amp;"_"&amp;$G$2&amp;", "&amp;VLOOKUP(B139,Instruções!$F$13:$J$17,5,0)&amp;" as "&amp;VLOOKUP(B139,Instruções!$F$13:$J$17,5,0)&amp;"_"&amp;$G$2&amp;","&amp;E139&amp;" as "&amp;G139&amp;" FROM "&amp;D139&amp;" WHERE "&amp;Instruções!$D$21&amp;") B ")</f>
        <v xml:space="preserve">(SELECT instrmnt_id as instrmnt_id_, cntrct_id_bdr as cntrct_id_bdr_to_be FROM bu_loantape_work.lt002_instrument WHERE ref_date='2024-09-30' AND nome_perimetro='Individual Corporativo' AND segmento='ESTR' AND ambito='PM' AND entidade='00100' ) B </v>
      </c>
      <c r="J139" s="75" t="str">
        <f>+IF(VLOOKUP(B139,Instruções!$F$13:$J$17,5,0)="", "ON "&amp;VLOOKUP(B139,Instruções!$F$13:$J$17,4,0)&amp;"_"&amp;$F$7&amp;"="&amp;VLOOKUP(B139,Instruções!$F$13:$J$17,4,0)&amp;"_"&amp;$G$7&amp;" ", "ON "&amp;VLOOKUP(B139,Instruções!$F$13:$J$17,4,0)&amp;"_"&amp;$F$7&amp;"="&amp;VLOOKUP(B139,Instruções!$F$13:$J$17,4,0)&amp;"_"&amp;$G$7&amp;" AND "&amp;VLOOKUP(B139,Instruções!$F$13:$J$17,5,0)&amp;"_"&amp;$F$7&amp;"="&amp;VLOOKUP(B139,Instruções!$F$13:$J$17,5,0)&amp;"_"&amp;$G$7&amp;" ")</f>
        <v xml:space="preserve">ON instrmnt_id_as_is=instrmnt_id_to_be </v>
      </c>
      <c r="K139" s="75" t="str">
        <f t="shared" si="18"/>
        <v xml:space="preserve">WHERE coalesce(cast(cntrct_id_bdr_as_is AS string),'')&lt;&gt;coalesce(cast(cntrct_id_bdr_to_be AS string),'') </v>
      </c>
      <c r="L139" s="75" t="str">
        <f t="shared" si="19"/>
        <v xml:space="preserve">SELECT count(*) AS NUM_REG_DIF FROM (SELECT instrmnt_id as instrmnt_id_, cntrct_id_bdr as cntrct_id_bdr_as_is FROM cd_loan_tapes_bce.lt002_instrument WHERE ref_date='2024-09-30' AND nome_perimetro='Individual Corporativo' AND segmento='ESTR' AND ambito='PM' AND entidade='00100' ) A  Inner join (SELECT instrmnt_id as instrmnt_id_, cntrct_id_bdr as cntrct_id_bdr_to_be FROM bu_loantape_work.lt002_instrument WHERE ref_date='2024-09-30' AND nome_perimetro='Individual Corporativo' AND segmento='ESTR' AND ambito='PM' AND entidade='00100' ) B ON instrmnt_id_as_is=instrmnt_id_to_be WHERE coalesce(cast(cntrct_id_bdr_as_is AS string),'')&lt;&gt;coalesce(cast(cntrct_id_bdr_to_be AS string),'') </v>
      </c>
      <c r="M139" s="75" t="s">
        <v>55</v>
      </c>
      <c r="N139" s="75" t="str">
        <f>"SELECT 'Validação de campos' as tipologia_teste, '"&amp;VLOOKUP(B139,Instruções!$F$13:$J$17,3,0)&amp;"' AS TABELA, '"&amp;E139&amp;"' AS CAMPO, '"&amp;Instruções!$D$15&amp;"' as ref_date, coalesce(NUM_REG_DIF, 0) AS NUM_REG_DIF FROM ("&amp;L139&amp;") A "</f>
        <v xml:space="preserve">SELECT 'Validação de campos' as tipologia_teste, 'lt002_instrument' AS TABELA, 'cntrct_id_bdr' AS CAMPO, '2024-09-30' as ref_date, coalesce(NUM_REG_DIF, 0) AS NUM_REG_DIF FROM (SELECT count(*) AS NUM_REG_DIF FROM (SELECT instrmnt_id as instrmnt_id_, cntrct_id_bdr as cntrct_id_bdr_as_is FROM cd_loan_tapes_bce.lt002_instrument WHERE ref_date='2024-09-30' AND nome_perimetro='Individual Corporativo' AND segmento='ESTR' AND ambito='PM' AND entidade='00100' ) A  Inner join (SELECT instrmnt_id as instrmnt_id_, cntrct_id_bdr as cntrct_id_bdr_to_be FROM bu_loantape_work.lt002_instrument WHERE ref_date='2024-09-30' AND nome_perimetro='Individual Corporativo' AND segmento='ESTR' AND ambito='PM' AND entidade='00100' ) B ON instrmnt_id_as_is=instrmnt_id_to_be WHERE coalesce(cast(cntrct_id_bdr_as_is AS string),'')&lt;&gt;coalesce(cast(cntrct_id_bdr_to_be AS string),'') ) A </v>
      </c>
      <c r="O139" s="76" t="str">
        <f t="shared" si="20"/>
        <v>SELECT 'Validação de campos' as tipologia_teste, 'lt002_instrument' AS TABELA, 'cntrct_id_bdr' AS CAMPO, '2024-09-30' as ref_date, coalesce(NUM_REG_DIF, 0) AS NUM_REG_DIF FROM (SELECT count(*) AS NUM_REG_DIF FROM (SELECT instrmnt_id as instrmnt_id_, cntrct_id_bdr as cntrct_id_bdr_as_is FROM cd_loan_tapes_bce.lt002_instrument WHERE ref_date='2024-09-30' AND nome_perimetro='Individual Corporativo' AND segmento='ESTR' AND ambito='PM' AND entidade='00100' ) A  Inner join (SELECT instrmnt_id as instrmnt_id_, cntrct_id_bdr as cntrct_id_bdr_to_be FROM bu_loantape_work.lt002_instrument WHERE ref_date='2024-09-30' AND nome_perimetro='Individual Corporativo' AND segmento='ESTR' AND ambito='PM' AND entidade='00100' ) B ON instrmnt_id_as_is=instrmnt_id_to_be WHERE coalesce(cast(cntrct_id_bdr_as_is AS string),'')&lt;&gt;coalesce(cast(cntrct_id_bdr_to_be AS string),'') ) A Union all</v>
      </c>
      <c r="P139" s="75">
        <f t="shared" si="21"/>
        <v>29</v>
      </c>
    </row>
    <row r="140" spans="2:16" s="63" customFormat="1" ht="18" customHeight="1">
      <c r="B140" s="75" t="s">
        <v>26</v>
      </c>
      <c r="C140" s="75" t="str">
        <f>_xlfn.CONCAT(Instruções!$D$13,".",VLOOKUP(B140,Instruções!$F$12:$H$17,2,0))</f>
        <v>cd_loan_tapes_bce.lt002_instrument</v>
      </c>
      <c r="D140" s="75" t="str">
        <f>_xlfn.CONCAT(Instruções!$D$14,".",VLOOKUP(B140,Instruções!$F$12:$H$17,3,0))</f>
        <v>bu_loantape_work.lt002_instrument</v>
      </c>
      <c r="E140" s="75" t="s">
        <v>64</v>
      </c>
      <c r="F140" s="75" t="str">
        <f t="shared" si="16"/>
        <v>cod_soc_as_is</v>
      </c>
      <c r="G140" s="75" t="str">
        <f t="shared" si="17"/>
        <v>cod_soc_to_be</v>
      </c>
      <c r="H140" s="75" t="str">
        <f>IF(VLOOKUP(B140,Instruções!$F$13:$J$17,5,0)="",
"(SELECT "&amp;VLOOKUP(B140,Instruções!$F$13:$J$17,4,0)&amp;" as "&amp;VLOOKUP(B140,Instruções!$F$13:$J$17,4,0)&amp;"_"&amp;$F$2&amp;", "&amp;E140&amp;" as "&amp;F140&amp;" FROM "&amp;C140&amp;" WHERE "&amp;Instruções!$D$20&amp;") A ",
"(SELECT "&amp;VLOOKUP(B140,Instruções!$F$13:$J$17,4,0)&amp;" as "&amp;VLOOKUP(B140,Instruções!$F$13:$J$17,4,0)&amp;"_"&amp;$F$2&amp;", "&amp;VLOOKUP(B140,Instruções!$F$13:$J$17,5,0)&amp;" as "&amp;VLOOKUP(B140,Instruções!$F$13:$J$17,5,0)&amp;"_"&amp;$F$2&amp;","&amp;E140&amp;" as "&amp;F140&amp;" FROM "&amp;C140&amp;" WHERE "&amp;Instruções!$D$20&amp;") A ")</f>
        <v xml:space="preserve">(SELECT instrmnt_id as instrmnt_id_, cod_soc as cod_soc_as_is FROM cd_loan_tapes_bce.lt002_instrument WHERE ref_date='2024-09-30' AND nome_perimetro='Individual Corporativo' AND segmento='ESTR' AND ambito='PM' AND entidade='00100' ) A </v>
      </c>
      <c r="I140" s="75" t="str">
        <f>IF(VLOOKUP(B140,Instruções!$F$13:$J$17,5,0)="",
"(SELECT "&amp;VLOOKUP(B140,Instruções!$F$13:$J$17,4,0)&amp;" as "&amp;VLOOKUP(B140,Instruções!$F$13:$J$17,4,0)&amp;"_"&amp;$G$2&amp;", "&amp;E140&amp;" as "&amp;G140&amp;" FROM "&amp;D140&amp;" WHERE "&amp;Instruções!$D$21&amp;") B ",
"(SELECT "&amp;VLOOKUP(B140,Instruções!$F$13:$J$17,4,0)&amp;" as "&amp;VLOOKUP(B140,Instruções!$F$13:$J$17,4,0)&amp;"_"&amp;$G$2&amp;", "&amp;VLOOKUP(B140,Instruções!$F$13:$J$17,5,0)&amp;" as "&amp;VLOOKUP(B140,Instruções!$F$13:$J$17,5,0)&amp;"_"&amp;$G$2&amp;","&amp;E140&amp;" as "&amp;G140&amp;" FROM "&amp;D140&amp;" WHERE "&amp;Instruções!$D$21&amp;") B ")</f>
        <v xml:space="preserve">(SELECT instrmnt_id as instrmnt_id_, cod_soc as cod_soc_to_be FROM bu_loantape_work.lt002_instrument WHERE ref_date='2024-09-30' AND nome_perimetro='Individual Corporativo' AND segmento='ESTR' AND ambito='PM' AND entidade='00100' ) B </v>
      </c>
      <c r="J140" s="75" t="str">
        <f>+IF(VLOOKUP(B140,Instruções!$F$13:$J$17,5,0)="", "ON "&amp;VLOOKUP(B140,Instruções!$F$13:$J$17,4,0)&amp;"_"&amp;$F$7&amp;"="&amp;VLOOKUP(B140,Instruções!$F$13:$J$17,4,0)&amp;"_"&amp;$G$7&amp;" ", "ON "&amp;VLOOKUP(B140,Instruções!$F$13:$J$17,4,0)&amp;"_"&amp;$F$7&amp;"="&amp;VLOOKUP(B140,Instruções!$F$13:$J$17,4,0)&amp;"_"&amp;$G$7&amp;" AND "&amp;VLOOKUP(B140,Instruções!$F$13:$J$17,5,0)&amp;"_"&amp;$F$7&amp;"="&amp;VLOOKUP(B140,Instruções!$F$13:$J$17,5,0)&amp;"_"&amp;$G$7&amp;" ")</f>
        <v xml:space="preserve">ON instrmnt_id_as_is=instrmnt_id_to_be </v>
      </c>
      <c r="K140" s="75" t="str">
        <f t="shared" si="18"/>
        <v xml:space="preserve">WHERE coalesce(cast(cod_soc_as_is AS string),'')&lt;&gt;coalesce(cast(cod_soc_to_be AS string),'') </v>
      </c>
      <c r="L140" s="75" t="str">
        <f t="shared" si="19"/>
        <v xml:space="preserve">SELECT count(*) AS NUM_REG_DIF FROM (SELECT instrmnt_id as instrmnt_id_, cod_soc as cod_soc_as_is FROM cd_loan_tapes_bce.lt002_instrument WHERE ref_date='2024-09-30' AND nome_perimetro='Individual Corporativo' AND segmento='ESTR' AND ambito='PM' AND entidade='00100' ) A  Inner join (SELECT instrmnt_id as instrmnt_id_, cod_soc as cod_soc_to_be FROM bu_loantape_work.lt002_instrument WHERE ref_date='2024-09-30' AND nome_perimetro='Individual Corporativo' AND segmento='ESTR' AND ambito='PM' AND entidade='00100' ) B ON instrmnt_id_as_is=instrmnt_id_to_be WHERE coalesce(cast(cod_soc_as_is AS string),'')&lt;&gt;coalesce(cast(cod_soc_to_be AS string),'') </v>
      </c>
      <c r="M140" s="75" t="s">
        <v>55</v>
      </c>
      <c r="N140" s="75" t="str">
        <f>"SELECT 'Validação de campos' as tipologia_teste, '"&amp;VLOOKUP(B140,Instruções!$F$13:$J$17,3,0)&amp;"' AS TABELA, '"&amp;E140&amp;"' AS CAMPO, '"&amp;Instruções!$D$15&amp;"' as ref_date, coalesce(NUM_REG_DIF, 0) AS NUM_REG_DIF FROM ("&amp;L140&amp;") A "</f>
        <v xml:space="preserve">SELECT 'Validação de campos' as tipologia_teste, 'lt002_instrument' AS TABELA, 'cod_soc' AS CAMPO, '2024-09-30' as ref_date, coalesce(NUM_REG_DIF, 0) AS NUM_REG_DIF FROM (SELECT count(*) AS NUM_REG_DIF FROM (SELECT instrmnt_id as instrmnt_id_, cod_soc as cod_soc_as_is FROM cd_loan_tapes_bce.lt002_instrument WHERE ref_date='2024-09-30' AND nome_perimetro='Individual Corporativo' AND segmento='ESTR' AND ambito='PM' AND entidade='00100' ) A  Inner join (SELECT instrmnt_id as instrmnt_id_, cod_soc as cod_soc_to_be FROM bu_loantape_work.lt002_instrument WHERE ref_date='2024-09-30' AND nome_perimetro='Individual Corporativo' AND segmento='ESTR' AND ambito='PM' AND entidade='00100' ) B ON instrmnt_id_as_is=instrmnt_id_to_be WHERE coalesce(cast(cod_soc_as_is AS string),'')&lt;&gt;coalesce(cast(cod_soc_to_be AS string),'') ) A </v>
      </c>
      <c r="O140" s="76" t="str">
        <f t="shared" si="20"/>
        <v>SELECT 'Validação de campos' as tipologia_teste, 'lt002_instrument' AS TABELA, 'cod_soc' AS CAMPO, '2024-09-30' as ref_date, coalesce(NUM_REG_DIF, 0) AS NUM_REG_DIF FROM (SELECT count(*) AS NUM_REG_DIF FROM (SELECT instrmnt_id as instrmnt_id_, cod_soc as cod_soc_as_is FROM cd_loan_tapes_bce.lt002_instrument WHERE ref_date='2024-09-30' AND nome_perimetro='Individual Corporativo' AND segmento='ESTR' AND ambito='PM' AND entidade='00100' ) A  Inner join (SELECT instrmnt_id as instrmnt_id_, cod_soc as cod_soc_to_be FROM bu_loantape_work.lt002_instrument WHERE ref_date='2024-09-30' AND nome_perimetro='Individual Corporativo' AND segmento='ESTR' AND ambito='PM' AND entidade='00100' ) B ON instrmnt_id_as_is=instrmnt_id_to_be WHERE coalesce(cast(cod_soc_as_is AS string),'')&lt;&gt;coalesce(cast(cod_soc_to_be AS string),'') ) A Union all</v>
      </c>
      <c r="P140" s="75">
        <f t="shared" si="21"/>
        <v>30</v>
      </c>
    </row>
    <row r="141" spans="2:16" s="63" customFormat="1" ht="18" customHeight="1">
      <c r="B141" s="75" t="s">
        <v>26</v>
      </c>
      <c r="C141" s="75" t="str">
        <f>_xlfn.CONCAT(Instruções!$D$13,".",VLOOKUP(B141,Instruções!$F$12:$H$17,2,0))</f>
        <v>cd_loan_tapes_bce.lt002_instrument</v>
      </c>
      <c r="D141" s="75" t="str">
        <f>_xlfn.CONCAT(Instruções!$D$14,".",VLOOKUP(B141,Instruções!$F$12:$H$17,3,0))</f>
        <v>bu_loantape_work.lt002_instrument</v>
      </c>
      <c r="E141" s="75" t="s">
        <v>182</v>
      </c>
      <c r="F141" s="75" t="str">
        <f t="shared" si="16"/>
        <v>cod_soc_intrgrp_as_is</v>
      </c>
      <c r="G141" s="75" t="str">
        <f t="shared" si="17"/>
        <v>cod_soc_intrgrp_to_be</v>
      </c>
      <c r="H141" s="75" t="str">
        <f>IF(VLOOKUP(B141,Instruções!$F$13:$J$17,5,0)="",
"(SELECT "&amp;VLOOKUP(B141,Instruções!$F$13:$J$17,4,0)&amp;" as "&amp;VLOOKUP(B141,Instruções!$F$13:$J$17,4,0)&amp;"_"&amp;$F$2&amp;", "&amp;E141&amp;" as "&amp;F141&amp;" FROM "&amp;C141&amp;" WHERE "&amp;Instruções!$D$20&amp;") A ",
"(SELECT "&amp;VLOOKUP(B141,Instruções!$F$13:$J$17,4,0)&amp;" as "&amp;VLOOKUP(B141,Instruções!$F$13:$J$17,4,0)&amp;"_"&amp;$F$2&amp;", "&amp;VLOOKUP(B141,Instruções!$F$13:$J$17,5,0)&amp;" as "&amp;VLOOKUP(B141,Instruções!$F$13:$J$17,5,0)&amp;"_"&amp;$F$2&amp;","&amp;E141&amp;" as "&amp;F141&amp;" FROM "&amp;C141&amp;" WHERE "&amp;Instruções!$D$20&amp;") A ")</f>
        <v xml:space="preserve">(SELECT instrmnt_id as instrmnt_id_, cod_soc_intrgrp as cod_soc_intrgrp_as_is FROM cd_loan_tapes_bce.lt002_instrument WHERE ref_date='2024-09-30' AND nome_perimetro='Individual Corporativo' AND segmento='ESTR' AND ambito='PM' AND entidade='00100' ) A </v>
      </c>
      <c r="I141" s="75" t="str">
        <f>IF(VLOOKUP(B141,Instruções!$F$13:$J$17,5,0)="",
"(SELECT "&amp;VLOOKUP(B141,Instruções!$F$13:$J$17,4,0)&amp;" as "&amp;VLOOKUP(B141,Instruções!$F$13:$J$17,4,0)&amp;"_"&amp;$G$2&amp;", "&amp;E141&amp;" as "&amp;G141&amp;" FROM "&amp;D141&amp;" WHERE "&amp;Instruções!$D$21&amp;") B ",
"(SELECT "&amp;VLOOKUP(B141,Instruções!$F$13:$J$17,4,0)&amp;" as "&amp;VLOOKUP(B141,Instruções!$F$13:$J$17,4,0)&amp;"_"&amp;$G$2&amp;", "&amp;VLOOKUP(B141,Instruções!$F$13:$J$17,5,0)&amp;" as "&amp;VLOOKUP(B141,Instruções!$F$13:$J$17,5,0)&amp;"_"&amp;$G$2&amp;","&amp;E141&amp;" as "&amp;G141&amp;" FROM "&amp;D141&amp;" WHERE "&amp;Instruções!$D$21&amp;") B ")</f>
        <v xml:space="preserve">(SELECT instrmnt_id as instrmnt_id_, cod_soc_intrgrp as cod_soc_intrgrp_to_be FROM bu_loantape_work.lt002_instrument WHERE ref_date='2024-09-30' AND nome_perimetro='Individual Corporativo' AND segmento='ESTR' AND ambito='PM' AND entidade='00100' ) B </v>
      </c>
      <c r="J141" s="75" t="str">
        <f>+IF(VLOOKUP(B141,Instruções!$F$13:$J$17,5,0)="", "ON "&amp;VLOOKUP(B141,Instruções!$F$13:$J$17,4,0)&amp;"_"&amp;$F$7&amp;"="&amp;VLOOKUP(B141,Instruções!$F$13:$J$17,4,0)&amp;"_"&amp;$G$7&amp;" ", "ON "&amp;VLOOKUP(B141,Instruções!$F$13:$J$17,4,0)&amp;"_"&amp;$F$7&amp;"="&amp;VLOOKUP(B141,Instruções!$F$13:$J$17,4,0)&amp;"_"&amp;$G$7&amp;" AND "&amp;VLOOKUP(B141,Instruções!$F$13:$J$17,5,0)&amp;"_"&amp;$F$7&amp;"="&amp;VLOOKUP(B141,Instruções!$F$13:$J$17,5,0)&amp;"_"&amp;$G$7&amp;" ")</f>
        <v xml:space="preserve">ON instrmnt_id_as_is=instrmnt_id_to_be </v>
      </c>
      <c r="K141" s="75" t="str">
        <f t="shared" si="18"/>
        <v xml:space="preserve">WHERE coalesce(cast(cod_soc_intrgrp_as_is AS string),'')&lt;&gt;coalesce(cast(cod_soc_intrgrp_to_be AS string),'') </v>
      </c>
      <c r="L141" s="75" t="str">
        <f t="shared" si="19"/>
        <v xml:space="preserve">SELECT count(*) AS NUM_REG_DIF FROM (SELECT instrmnt_id as instrmnt_id_, cod_soc_intrgrp as cod_soc_intrgrp_as_is FROM cd_loan_tapes_bce.lt002_instrument WHERE ref_date='2024-09-30' AND nome_perimetro='Individual Corporativo' AND segmento='ESTR' AND ambito='PM' AND entidade='00100' ) A  Inner join (SELECT instrmnt_id as instrmnt_id_, cod_soc_intrgrp as cod_soc_intrgrp_to_be FROM bu_loantape_work.lt002_instrument WHERE ref_date='2024-09-30' AND nome_perimetro='Individual Corporativo' AND segmento='ESTR' AND ambito='PM' AND entidade='00100' ) B ON instrmnt_id_as_is=instrmnt_id_to_be WHERE coalesce(cast(cod_soc_intrgrp_as_is AS string),'')&lt;&gt;coalesce(cast(cod_soc_intrgrp_to_be AS string),'') </v>
      </c>
      <c r="M141" s="75" t="s">
        <v>55</v>
      </c>
      <c r="N141" s="75" t="str">
        <f>"SELECT 'Validação de campos' as tipologia_teste, '"&amp;VLOOKUP(B141,Instruções!$F$13:$J$17,3,0)&amp;"' AS TABELA, '"&amp;E141&amp;"' AS CAMPO, '"&amp;Instruções!$D$15&amp;"' as ref_date, coalesce(NUM_REG_DIF, 0) AS NUM_REG_DIF FROM ("&amp;L141&amp;") A "</f>
        <v xml:space="preserve">SELECT 'Validação de campos' as tipologia_teste, 'lt002_instrument' AS TABELA, 'cod_soc_intrgrp' AS CAMPO, '2024-09-30' as ref_date, coalesce(NUM_REG_DIF, 0) AS NUM_REG_DIF FROM (SELECT count(*) AS NUM_REG_DIF FROM (SELECT instrmnt_id as instrmnt_id_, cod_soc_intrgrp as cod_soc_intrgrp_as_is FROM cd_loan_tapes_bce.lt002_instrument WHERE ref_date='2024-09-30' AND nome_perimetro='Individual Corporativo' AND segmento='ESTR' AND ambito='PM' AND entidade='00100' ) A  Inner join (SELECT instrmnt_id as instrmnt_id_, cod_soc_intrgrp as cod_soc_intrgrp_to_be FROM bu_loantape_work.lt002_instrument WHERE ref_date='2024-09-30' AND nome_perimetro='Individual Corporativo' AND segmento='ESTR' AND ambito='PM' AND entidade='00100' ) B ON instrmnt_id_as_is=instrmnt_id_to_be WHERE coalesce(cast(cod_soc_intrgrp_as_is AS string),'')&lt;&gt;coalesce(cast(cod_soc_intrgrp_to_be AS string),'') ) A </v>
      </c>
      <c r="O141" s="76" t="str">
        <f t="shared" si="20"/>
        <v>SELECT 'Validação de campos' as tipologia_teste, 'lt002_instrument' AS TABELA, 'cod_soc_intrgrp' AS CAMPO, '2024-09-30' as ref_date, coalesce(NUM_REG_DIF, 0) AS NUM_REG_DIF FROM (SELECT count(*) AS NUM_REG_DIF FROM (SELECT instrmnt_id as instrmnt_id_, cod_soc_intrgrp as cod_soc_intrgrp_as_is FROM cd_loan_tapes_bce.lt002_instrument WHERE ref_date='2024-09-30' AND nome_perimetro='Individual Corporativo' AND segmento='ESTR' AND ambito='PM' AND entidade='00100' ) A  Inner join (SELECT instrmnt_id as instrmnt_id_, cod_soc_intrgrp as cod_soc_intrgrp_to_be FROM bu_loantape_work.lt002_instrument WHERE ref_date='2024-09-30' AND nome_perimetro='Individual Corporativo' AND segmento='ESTR' AND ambito='PM' AND entidade='00100' ) B ON instrmnt_id_as_is=instrmnt_id_to_be WHERE coalesce(cast(cod_soc_intrgrp_as_is AS string),'')&lt;&gt;coalesce(cast(cod_soc_intrgrp_to_be AS string),'') ) A Union all</v>
      </c>
      <c r="P141" s="75">
        <f t="shared" ref="P141:P160" si="22">P140+1</f>
        <v>31</v>
      </c>
    </row>
    <row r="142" spans="2:16" s="63" customFormat="1" ht="18" customHeight="1">
      <c r="B142" s="75" t="s">
        <v>26</v>
      </c>
      <c r="C142" s="75" t="str">
        <f>_xlfn.CONCAT(Instruções!$D$13,".",VLOOKUP(B142,Instruções!$F$12:$H$17,2,0))</f>
        <v>cd_loan_tapes_bce.lt002_instrument</v>
      </c>
      <c r="D142" s="75" t="str">
        <f>_xlfn.CONCAT(Instruções!$D$14,".",VLOOKUP(B142,Instruções!$F$12:$H$17,3,0))</f>
        <v>bu_loantape_work.lt002_instrument</v>
      </c>
      <c r="E142" s="75" t="s">
        <v>183</v>
      </c>
      <c r="F142" s="75" t="str">
        <f t="shared" si="16"/>
        <v>cpn_crrncy_as_is</v>
      </c>
      <c r="G142" s="75" t="str">
        <f t="shared" si="17"/>
        <v>cpn_crrncy_to_be</v>
      </c>
      <c r="H142" s="75" t="str">
        <f>IF(VLOOKUP(B142,Instruções!$F$13:$J$17,5,0)="",
"(SELECT "&amp;VLOOKUP(B142,Instruções!$F$13:$J$17,4,0)&amp;" as "&amp;VLOOKUP(B142,Instruções!$F$13:$J$17,4,0)&amp;"_"&amp;$F$2&amp;", "&amp;E142&amp;" as "&amp;F142&amp;" FROM "&amp;C142&amp;" WHERE "&amp;Instruções!$D$20&amp;") A ",
"(SELECT "&amp;VLOOKUP(B142,Instruções!$F$13:$J$17,4,0)&amp;" as "&amp;VLOOKUP(B142,Instruções!$F$13:$J$17,4,0)&amp;"_"&amp;$F$2&amp;", "&amp;VLOOKUP(B142,Instruções!$F$13:$J$17,5,0)&amp;" as "&amp;VLOOKUP(B142,Instruções!$F$13:$J$17,5,0)&amp;"_"&amp;$F$2&amp;","&amp;E142&amp;" as "&amp;F142&amp;" FROM "&amp;C142&amp;" WHERE "&amp;Instruções!$D$20&amp;") A ")</f>
        <v xml:space="preserve">(SELECT instrmnt_id as instrmnt_id_, cpn_crrncy as cpn_crrncy_as_is FROM cd_loan_tapes_bce.lt002_instrument WHERE ref_date='2024-09-30' AND nome_perimetro='Individual Corporativo' AND segmento='ESTR' AND ambito='PM' AND entidade='00100' ) A </v>
      </c>
      <c r="I142" s="75" t="str">
        <f>IF(VLOOKUP(B142,Instruções!$F$13:$J$17,5,0)="",
"(SELECT "&amp;VLOOKUP(B142,Instruções!$F$13:$J$17,4,0)&amp;" as "&amp;VLOOKUP(B142,Instruções!$F$13:$J$17,4,0)&amp;"_"&amp;$G$2&amp;", "&amp;E142&amp;" as "&amp;G142&amp;" FROM "&amp;D142&amp;" WHERE "&amp;Instruções!$D$21&amp;") B ",
"(SELECT "&amp;VLOOKUP(B142,Instruções!$F$13:$J$17,4,0)&amp;" as "&amp;VLOOKUP(B142,Instruções!$F$13:$J$17,4,0)&amp;"_"&amp;$G$2&amp;", "&amp;VLOOKUP(B142,Instruções!$F$13:$J$17,5,0)&amp;" as "&amp;VLOOKUP(B142,Instruções!$F$13:$J$17,5,0)&amp;"_"&amp;$G$2&amp;","&amp;E142&amp;" as "&amp;G142&amp;" FROM "&amp;D142&amp;" WHERE "&amp;Instruções!$D$21&amp;") B ")</f>
        <v xml:space="preserve">(SELECT instrmnt_id as instrmnt_id_, cpn_crrncy as cpn_crrncy_to_be FROM bu_loantape_work.lt002_instrument WHERE ref_date='2024-09-30' AND nome_perimetro='Individual Corporativo' AND segmento='ESTR' AND ambito='PM' AND entidade='00100' ) B </v>
      </c>
      <c r="J142" s="75" t="str">
        <f>+IF(VLOOKUP(B142,Instruções!$F$13:$J$17,5,0)="", "ON "&amp;VLOOKUP(B142,Instruções!$F$13:$J$17,4,0)&amp;"_"&amp;$F$7&amp;"="&amp;VLOOKUP(B142,Instruções!$F$13:$J$17,4,0)&amp;"_"&amp;$G$7&amp;" ", "ON "&amp;VLOOKUP(B142,Instruções!$F$13:$J$17,4,0)&amp;"_"&amp;$F$7&amp;"="&amp;VLOOKUP(B142,Instruções!$F$13:$J$17,4,0)&amp;"_"&amp;$G$7&amp;" AND "&amp;VLOOKUP(B142,Instruções!$F$13:$J$17,5,0)&amp;"_"&amp;$F$7&amp;"="&amp;VLOOKUP(B142,Instruções!$F$13:$J$17,5,0)&amp;"_"&amp;$G$7&amp;" ")</f>
        <v xml:space="preserve">ON instrmnt_id_as_is=instrmnt_id_to_be </v>
      </c>
      <c r="K142" s="75" t="str">
        <f t="shared" si="18"/>
        <v xml:space="preserve">WHERE coalesce(cast(cpn_crrncy_as_is AS string),'')&lt;&gt;coalesce(cast(cpn_crrncy_to_be AS string),'') </v>
      </c>
      <c r="L142" s="75" t="str">
        <f t="shared" si="19"/>
        <v xml:space="preserve">SELECT count(*) AS NUM_REG_DIF FROM (SELECT instrmnt_id as instrmnt_id_, cpn_crrncy as cpn_crrncy_as_is FROM cd_loan_tapes_bce.lt002_instrument WHERE ref_date='2024-09-30' AND nome_perimetro='Individual Corporativo' AND segmento='ESTR' AND ambito='PM' AND entidade='00100' ) A  Inner join (SELECT instrmnt_id as instrmnt_id_, cpn_crrncy as cpn_crrncy_to_be FROM bu_loantape_work.lt002_instrument WHERE ref_date='2024-09-30' AND nome_perimetro='Individual Corporativo' AND segmento='ESTR' AND ambito='PM' AND entidade='00100' ) B ON instrmnt_id_as_is=instrmnt_id_to_be WHERE coalesce(cast(cpn_crrncy_as_is AS string),'')&lt;&gt;coalesce(cast(cpn_crrncy_to_be AS string),'') </v>
      </c>
      <c r="M142" s="75" t="s">
        <v>55</v>
      </c>
      <c r="N142" s="75" t="str">
        <f>"SELECT 'Validação de campos' as tipologia_teste, '"&amp;VLOOKUP(B142,Instruções!$F$13:$J$17,3,0)&amp;"' AS TABELA, '"&amp;E142&amp;"' AS CAMPO, '"&amp;Instruções!$D$15&amp;"' as ref_date, coalesce(NUM_REG_DIF, 0) AS NUM_REG_DIF FROM ("&amp;L142&amp;") A "</f>
        <v xml:space="preserve">SELECT 'Validação de campos' as tipologia_teste, 'lt002_instrument' AS TABELA, 'cpn_crrncy' AS CAMPO, '2024-09-30' as ref_date, coalesce(NUM_REG_DIF, 0) AS NUM_REG_DIF FROM (SELECT count(*) AS NUM_REG_DIF FROM (SELECT instrmnt_id as instrmnt_id_, cpn_crrncy as cpn_crrncy_as_is FROM cd_loan_tapes_bce.lt002_instrument WHERE ref_date='2024-09-30' AND nome_perimetro='Individual Corporativo' AND segmento='ESTR' AND ambito='PM' AND entidade='00100' ) A  Inner join (SELECT instrmnt_id as instrmnt_id_, cpn_crrncy as cpn_crrncy_to_be FROM bu_loantape_work.lt002_instrument WHERE ref_date='2024-09-30' AND nome_perimetro='Individual Corporativo' AND segmento='ESTR' AND ambito='PM' AND entidade='00100' ) B ON instrmnt_id_as_is=instrmnt_id_to_be WHERE coalesce(cast(cpn_crrncy_as_is AS string),'')&lt;&gt;coalesce(cast(cpn_crrncy_to_be AS string),'') ) A </v>
      </c>
      <c r="O142" s="76" t="str">
        <f t="shared" si="20"/>
        <v>SELECT 'Validação de campos' as tipologia_teste, 'lt002_instrument' AS TABELA, 'cpn_crrncy' AS CAMPO, '2024-09-30' as ref_date, coalesce(NUM_REG_DIF, 0) AS NUM_REG_DIF FROM (SELECT count(*) AS NUM_REG_DIF FROM (SELECT instrmnt_id as instrmnt_id_, cpn_crrncy as cpn_crrncy_as_is FROM cd_loan_tapes_bce.lt002_instrument WHERE ref_date='2024-09-30' AND nome_perimetro='Individual Corporativo' AND segmento='ESTR' AND ambito='PM' AND entidade='00100' ) A  Inner join (SELECT instrmnt_id as instrmnt_id_, cpn_crrncy as cpn_crrncy_to_be FROM bu_loantape_work.lt002_instrument WHERE ref_date='2024-09-30' AND nome_perimetro='Individual Corporativo' AND segmento='ESTR' AND ambito='PM' AND entidade='00100' ) B ON instrmnt_id_as_is=instrmnt_id_to_be WHERE coalesce(cast(cpn_crrncy_as_is AS string),'')&lt;&gt;coalesce(cast(cpn_crrncy_to_be AS string),'') ) A Union all</v>
      </c>
      <c r="P142" s="75">
        <f t="shared" si="22"/>
        <v>32</v>
      </c>
    </row>
    <row r="143" spans="2:16" s="63" customFormat="1" ht="18" customHeight="1">
      <c r="B143" s="75" t="s">
        <v>26</v>
      </c>
      <c r="C143" s="75" t="str">
        <f>_xlfn.CONCAT(Instruções!$D$13,".",VLOOKUP(B143,Instruções!$F$12:$H$17,2,0))</f>
        <v>cd_loan_tapes_bce.lt002_instrument</v>
      </c>
      <c r="D143" s="75" t="str">
        <f>_xlfn.CONCAT(Instruções!$D$14,".",VLOOKUP(B143,Instruções!$F$12:$H$17,3,0))</f>
        <v>bu_loantape_work.lt002_instrument</v>
      </c>
      <c r="E143" s="75" t="s">
        <v>184</v>
      </c>
      <c r="F143" s="75" t="str">
        <f t="shared" ref="F143:F160" si="23">E143&amp;"_"&amp;$F$7</f>
        <v>cpn_rt_as_is</v>
      </c>
      <c r="G143" s="75" t="str">
        <f t="shared" ref="G143:G160" si="24">E143&amp;"_"&amp;$G$7</f>
        <v>cpn_rt_to_be</v>
      </c>
      <c r="H143" s="75" t="str">
        <f>IF(VLOOKUP(B143,Instruções!$F$13:$J$17,5,0)="",
"(SELECT "&amp;VLOOKUP(B143,Instruções!$F$13:$J$17,4,0)&amp;" as "&amp;VLOOKUP(B143,Instruções!$F$13:$J$17,4,0)&amp;"_"&amp;$F$2&amp;", "&amp;E143&amp;" as "&amp;F143&amp;" FROM "&amp;C143&amp;" WHERE "&amp;Instruções!$D$20&amp;") A ",
"(SELECT "&amp;VLOOKUP(B143,Instruções!$F$13:$J$17,4,0)&amp;" as "&amp;VLOOKUP(B143,Instruções!$F$13:$J$17,4,0)&amp;"_"&amp;$F$2&amp;", "&amp;VLOOKUP(B143,Instruções!$F$13:$J$17,5,0)&amp;" as "&amp;VLOOKUP(B143,Instruções!$F$13:$J$17,5,0)&amp;"_"&amp;$F$2&amp;","&amp;E143&amp;" as "&amp;F143&amp;" FROM "&amp;C143&amp;" WHERE "&amp;Instruções!$D$20&amp;") A ")</f>
        <v xml:space="preserve">(SELECT instrmnt_id as instrmnt_id_, cpn_rt as cpn_rt_as_is FROM cd_loan_tapes_bce.lt002_instrument WHERE ref_date='2024-09-30' AND nome_perimetro='Individual Corporativo' AND segmento='ESTR' AND ambito='PM' AND entidade='00100' ) A </v>
      </c>
      <c r="I143" s="75" t="str">
        <f>IF(VLOOKUP(B143,Instruções!$F$13:$J$17,5,0)="",
"(SELECT "&amp;VLOOKUP(B143,Instruções!$F$13:$J$17,4,0)&amp;" as "&amp;VLOOKUP(B143,Instruções!$F$13:$J$17,4,0)&amp;"_"&amp;$G$2&amp;", "&amp;E143&amp;" as "&amp;G143&amp;" FROM "&amp;D143&amp;" WHERE "&amp;Instruções!$D$21&amp;") B ",
"(SELECT "&amp;VLOOKUP(B143,Instruções!$F$13:$J$17,4,0)&amp;" as "&amp;VLOOKUP(B143,Instruções!$F$13:$J$17,4,0)&amp;"_"&amp;$G$2&amp;", "&amp;VLOOKUP(B143,Instruções!$F$13:$J$17,5,0)&amp;" as "&amp;VLOOKUP(B143,Instruções!$F$13:$J$17,5,0)&amp;"_"&amp;$G$2&amp;","&amp;E143&amp;" as "&amp;G143&amp;" FROM "&amp;D143&amp;" WHERE "&amp;Instruções!$D$21&amp;") B ")</f>
        <v xml:space="preserve">(SELECT instrmnt_id as instrmnt_id_, cpn_rt as cpn_rt_to_be FROM bu_loantape_work.lt002_instrument WHERE ref_date='2024-09-30' AND nome_perimetro='Individual Corporativo' AND segmento='ESTR' AND ambito='PM' AND entidade='00100' ) B </v>
      </c>
      <c r="J143" s="75" t="str">
        <f>+IF(VLOOKUP(B143,Instruções!$F$13:$J$17,5,0)="", "ON "&amp;VLOOKUP(B143,Instruções!$F$13:$J$17,4,0)&amp;"_"&amp;$F$7&amp;"="&amp;VLOOKUP(B143,Instruções!$F$13:$J$17,4,0)&amp;"_"&amp;$G$7&amp;" ", "ON "&amp;VLOOKUP(B143,Instruções!$F$13:$J$17,4,0)&amp;"_"&amp;$F$7&amp;"="&amp;VLOOKUP(B143,Instruções!$F$13:$J$17,4,0)&amp;"_"&amp;$G$7&amp;" AND "&amp;VLOOKUP(B143,Instruções!$F$13:$J$17,5,0)&amp;"_"&amp;$F$7&amp;"="&amp;VLOOKUP(B143,Instruções!$F$13:$J$17,5,0)&amp;"_"&amp;$G$7&amp;" ")</f>
        <v xml:space="preserve">ON instrmnt_id_as_is=instrmnt_id_to_be </v>
      </c>
      <c r="K143" s="75" t="str">
        <f t="shared" si="18"/>
        <v xml:space="preserve">WHERE coalesce(cast(cpn_rt_as_is AS string),'')&lt;&gt;coalesce(cast(cpn_rt_to_be AS string),'') </v>
      </c>
      <c r="L143" s="75" t="str">
        <f t="shared" si="19"/>
        <v xml:space="preserve">SELECT count(*) AS NUM_REG_DIF FROM (SELECT instrmnt_id as instrmnt_id_, cpn_rt as cpn_rt_as_is FROM cd_loan_tapes_bce.lt002_instrument WHERE ref_date='2024-09-30' AND nome_perimetro='Individual Corporativo' AND segmento='ESTR' AND ambito='PM' AND entidade='00100' ) A  Inner join (SELECT instrmnt_id as instrmnt_id_, cpn_rt as cpn_rt_to_be FROM bu_loantape_work.lt002_instrument WHERE ref_date='2024-09-30' AND nome_perimetro='Individual Corporativo' AND segmento='ESTR' AND ambito='PM' AND entidade='00100' ) B ON instrmnt_id_as_is=instrmnt_id_to_be WHERE coalesce(cast(cpn_rt_as_is AS string),'')&lt;&gt;coalesce(cast(cpn_rt_to_be AS string),'') </v>
      </c>
      <c r="M143" s="75" t="s">
        <v>55</v>
      </c>
      <c r="N143" s="75" t="str">
        <f>"SELECT 'Validação de campos' as tipologia_teste, '"&amp;VLOOKUP(B143,Instruções!$F$13:$J$17,3,0)&amp;"' AS TABELA, '"&amp;E143&amp;"' AS CAMPO, '"&amp;Instruções!$D$15&amp;"' as ref_date, coalesce(NUM_REG_DIF, 0) AS NUM_REG_DIF FROM ("&amp;L143&amp;") A "</f>
        <v xml:space="preserve">SELECT 'Validação de campos' as tipologia_teste, 'lt002_instrument' AS TABELA, 'cpn_rt' AS CAMPO, '2024-09-30' as ref_date, coalesce(NUM_REG_DIF, 0) AS NUM_REG_DIF FROM (SELECT count(*) AS NUM_REG_DIF FROM (SELECT instrmnt_id as instrmnt_id_, cpn_rt as cpn_rt_as_is FROM cd_loan_tapes_bce.lt002_instrument WHERE ref_date='2024-09-30' AND nome_perimetro='Individual Corporativo' AND segmento='ESTR' AND ambito='PM' AND entidade='00100' ) A  Inner join (SELECT instrmnt_id as instrmnt_id_, cpn_rt as cpn_rt_to_be FROM bu_loantape_work.lt002_instrument WHERE ref_date='2024-09-30' AND nome_perimetro='Individual Corporativo' AND segmento='ESTR' AND ambito='PM' AND entidade='00100' ) B ON instrmnt_id_as_is=instrmnt_id_to_be WHERE coalesce(cast(cpn_rt_as_is AS string),'')&lt;&gt;coalesce(cast(cpn_rt_to_be AS string),'') ) A </v>
      </c>
      <c r="O143" s="76" t="str">
        <f t="shared" si="20"/>
        <v>SELECT 'Validação de campos' as tipologia_teste, 'lt002_instrument' AS TABELA, 'cpn_rt' AS CAMPO, '2024-09-30' as ref_date, coalesce(NUM_REG_DIF, 0) AS NUM_REG_DIF FROM (SELECT count(*) AS NUM_REG_DIF FROM (SELECT instrmnt_id as instrmnt_id_, cpn_rt as cpn_rt_as_is FROM cd_loan_tapes_bce.lt002_instrument WHERE ref_date='2024-09-30' AND nome_perimetro='Individual Corporativo' AND segmento='ESTR' AND ambito='PM' AND entidade='00100' ) A  Inner join (SELECT instrmnt_id as instrmnt_id_, cpn_rt as cpn_rt_to_be FROM bu_loantape_work.lt002_instrument WHERE ref_date='2024-09-30' AND nome_perimetro='Individual Corporativo' AND segmento='ESTR' AND ambito='PM' AND entidade='00100' ) B ON instrmnt_id_as_is=instrmnt_id_to_be WHERE coalesce(cast(cpn_rt_as_is AS string),'')&lt;&gt;coalesce(cast(cpn_rt_to_be AS string),'') ) A Union all</v>
      </c>
      <c r="P143" s="75">
        <f t="shared" si="22"/>
        <v>33</v>
      </c>
    </row>
    <row r="144" spans="2:16" s="63" customFormat="1" ht="18" customHeight="1">
      <c r="B144" s="75" t="s">
        <v>26</v>
      </c>
      <c r="C144" s="75" t="str">
        <f>_xlfn.CONCAT(Instruções!$D$13,".",VLOOKUP(B144,Instruções!$F$12:$H$17,2,0))</f>
        <v>cd_loan_tapes_bce.lt002_instrument</v>
      </c>
      <c r="D144" s="75" t="str">
        <f>_xlfn.CONCAT(Instruções!$D$14,".",VLOOKUP(B144,Instruções!$F$12:$H$17,3,0))</f>
        <v>bu_loantape_work.lt002_instrument</v>
      </c>
      <c r="E144" s="75" t="s">
        <v>185</v>
      </c>
      <c r="F144" s="75" t="str">
        <f t="shared" si="23"/>
        <v>cre_fnrp18_as_is</v>
      </c>
      <c r="G144" s="75" t="str">
        <f t="shared" si="24"/>
        <v>cre_fnrp18_to_be</v>
      </c>
      <c r="H144" s="75" t="str">
        <f>IF(VLOOKUP(B144,Instruções!$F$13:$J$17,5,0)="",
"(SELECT "&amp;VLOOKUP(B144,Instruções!$F$13:$J$17,4,0)&amp;" as "&amp;VLOOKUP(B144,Instruções!$F$13:$J$17,4,0)&amp;"_"&amp;$F$2&amp;", "&amp;E144&amp;" as "&amp;F144&amp;" FROM "&amp;C144&amp;" WHERE "&amp;Instruções!$D$20&amp;") A ",
"(SELECT "&amp;VLOOKUP(B144,Instruções!$F$13:$J$17,4,0)&amp;" as "&amp;VLOOKUP(B144,Instruções!$F$13:$J$17,4,0)&amp;"_"&amp;$F$2&amp;", "&amp;VLOOKUP(B144,Instruções!$F$13:$J$17,5,0)&amp;" as "&amp;VLOOKUP(B144,Instruções!$F$13:$J$17,5,0)&amp;"_"&amp;$F$2&amp;","&amp;E144&amp;" as "&amp;F144&amp;" FROM "&amp;C144&amp;" WHERE "&amp;Instruções!$D$20&amp;") A ")</f>
        <v xml:space="preserve">(SELECT instrmnt_id as instrmnt_id_, cre_fnrp18 as cre_fnrp18_as_is FROM cd_loan_tapes_bce.lt002_instrument WHERE ref_date='2024-09-30' AND nome_perimetro='Individual Corporativo' AND segmento='ESTR' AND ambito='PM' AND entidade='00100' ) A </v>
      </c>
      <c r="I144" s="75" t="str">
        <f>IF(VLOOKUP(B144,Instruções!$F$13:$J$17,5,0)="",
"(SELECT "&amp;VLOOKUP(B144,Instruções!$F$13:$J$17,4,0)&amp;" as "&amp;VLOOKUP(B144,Instruções!$F$13:$J$17,4,0)&amp;"_"&amp;$G$2&amp;", "&amp;E144&amp;" as "&amp;G144&amp;" FROM "&amp;D144&amp;" WHERE "&amp;Instruções!$D$21&amp;") B ",
"(SELECT "&amp;VLOOKUP(B144,Instruções!$F$13:$J$17,4,0)&amp;" as "&amp;VLOOKUP(B144,Instruções!$F$13:$J$17,4,0)&amp;"_"&amp;$G$2&amp;", "&amp;VLOOKUP(B144,Instruções!$F$13:$J$17,5,0)&amp;" as "&amp;VLOOKUP(B144,Instruções!$F$13:$J$17,5,0)&amp;"_"&amp;$G$2&amp;","&amp;E144&amp;" as "&amp;G144&amp;" FROM "&amp;D144&amp;" WHERE "&amp;Instruções!$D$21&amp;") B ")</f>
        <v xml:space="preserve">(SELECT instrmnt_id as instrmnt_id_, cre_fnrp18 as cre_fnrp18_to_be FROM bu_loantape_work.lt002_instrument WHERE ref_date='2024-09-30' AND nome_perimetro='Individual Corporativo' AND segmento='ESTR' AND ambito='PM' AND entidade='00100' ) B </v>
      </c>
      <c r="J144" s="75" t="str">
        <f>+IF(VLOOKUP(B144,Instruções!$F$13:$J$17,5,0)="", "ON "&amp;VLOOKUP(B144,Instruções!$F$13:$J$17,4,0)&amp;"_"&amp;$F$7&amp;"="&amp;VLOOKUP(B144,Instruções!$F$13:$J$17,4,0)&amp;"_"&amp;$G$7&amp;" ", "ON "&amp;VLOOKUP(B144,Instruções!$F$13:$J$17,4,0)&amp;"_"&amp;$F$7&amp;"="&amp;VLOOKUP(B144,Instruções!$F$13:$J$17,4,0)&amp;"_"&amp;$G$7&amp;" AND "&amp;VLOOKUP(B144,Instruções!$F$13:$J$17,5,0)&amp;"_"&amp;$F$7&amp;"="&amp;VLOOKUP(B144,Instruções!$F$13:$J$17,5,0)&amp;"_"&amp;$G$7&amp;" ")</f>
        <v xml:space="preserve">ON instrmnt_id_as_is=instrmnt_id_to_be </v>
      </c>
      <c r="K144" s="75" t="str">
        <f t="shared" si="18"/>
        <v xml:space="preserve">WHERE coalesce(cast(cre_fnrp18_as_is AS string),'')&lt;&gt;coalesce(cast(cre_fnrp18_to_be AS string),'') </v>
      </c>
      <c r="L144" s="75" t="str">
        <f t="shared" si="19"/>
        <v xml:space="preserve">SELECT count(*) AS NUM_REG_DIF FROM (SELECT instrmnt_id as instrmnt_id_, cre_fnrp18 as cre_fnrp18_as_is FROM cd_loan_tapes_bce.lt002_instrument WHERE ref_date='2024-09-30' AND nome_perimetro='Individual Corporativo' AND segmento='ESTR' AND ambito='PM' AND entidade='00100' ) A  Inner join (SELECT instrmnt_id as instrmnt_id_, cre_fnrp18 as cre_fnrp18_to_be FROM bu_loantape_work.lt002_instrument WHERE ref_date='2024-09-30' AND nome_perimetro='Individual Corporativo' AND segmento='ESTR' AND ambito='PM' AND entidade='00100' ) B ON instrmnt_id_as_is=instrmnt_id_to_be WHERE coalesce(cast(cre_fnrp18_as_is AS string),'')&lt;&gt;coalesce(cast(cre_fnrp18_to_be AS string),'') </v>
      </c>
      <c r="M144" s="75" t="s">
        <v>55</v>
      </c>
      <c r="N144" s="75" t="str">
        <f>"SELECT 'Validação de campos' as tipologia_teste, '"&amp;VLOOKUP(B144,Instruções!$F$13:$J$17,3,0)&amp;"' AS TABELA, '"&amp;E144&amp;"' AS CAMPO, '"&amp;Instruções!$D$15&amp;"' as ref_date, coalesce(NUM_REG_DIF, 0) AS NUM_REG_DIF FROM ("&amp;L144&amp;") A "</f>
        <v xml:space="preserve">SELECT 'Validação de campos' as tipologia_teste, 'lt002_instrument' AS TABELA, 'cre_fnrp18' AS CAMPO, '2024-09-30' as ref_date, coalesce(NUM_REG_DIF, 0) AS NUM_REG_DIF FROM (SELECT count(*) AS NUM_REG_DIF FROM (SELECT instrmnt_id as instrmnt_id_, cre_fnrp18 as cre_fnrp18_as_is FROM cd_loan_tapes_bce.lt002_instrument WHERE ref_date='2024-09-30' AND nome_perimetro='Individual Corporativo' AND segmento='ESTR' AND ambito='PM' AND entidade='00100' ) A  Inner join (SELECT instrmnt_id as instrmnt_id_, cre_fnrp18 as cre_fnrp18_to_be FROM bu_loantape_work.lt002_instrument WHERE ref_date='2024-09-30' AND nome_perimetro='Individual Corporativo' AND segmento='ESTR' AND ambito='PM' AND entidade='00100' ) B ON instrmnt_id_as_is=instrmnt_id_to_be WHERE coalesce(cast(cre_fnrp18_as_is AS string),'')&lt;&gt;coalesce(cast(cre_fnrp18_to_be AS string),'') ) A </v>
      </c>
      <c r="O144" s="76" t="str">
        <f t="shared" si="20"/>
        <v>SELECT 'Validação de campos' as tipologia_teste, 'lt002_instrument' AS TABELA, 'cre_fnrp18' AS CAMPO, '2024-09-30' as ref_date, coalesce(NUM_REG_DIF, 0) AS NUM_REG_DIF FROM (SELECT count(*) AS NUM_REG_DIF FROM (SELECT instrmnt_id as instrmnt_id_, cre_fnrp18 as cre_fnrp18_as_is FROM cd_loan_tapes_bce.lt002_instrument WHERE ref_date='2024-09-30' AND nome_perimetro='Individual Corporativo' AND segmento='ESTR' AND ambito='PM' AND entidade='00100' ) A  Inner join (SELECT instrmnt_id as instrmnt_id_, cre_fnrp18 as cre_fnrp18_to_be FROM bu_loantape_work.lt002_instrument WHERE ref_date='2024-09-30' AND nome_perimetro='Individual Corporativo' AND segmento='ESTR' AND ambito='PM' AND entidade='00100' ) B ON instrmnt_id_as_is=instrmnt_id_to_be WHERE coalesce(cast(cre_fnrp18_as_is AS string),'')&lt;&gt;coalesce(cast(cre_fnrp18_to_be AS string),'') ) A Union all</v>
      </c>
      <c r="P144" s="75">
        <f t="shared" si="22"/>
        <v>34</v>
      </c>
    </row>
    <row r="145" spans="2:16" s="63" customFormat="1" ht="18" customHeight="1">
      <c r="B145" s="75" t="s">
        <v>26</v>
      </c>
      <c r="C145" s="75" t="str">
        <f>_xlfn.CONCAT(Instruções!$D$13,".",VLOOKUP(B145,Instruções!$F$12:$H$17,2,0))</f>
        <v>cd_loan_tapes_bce.lt002_instrument</v>
      </c>
      <c r="D145" s="75" t="str">
        <f>_xlfn.CONCAT(Instruções!$D$14,".",VLOOKUP(B145,Instruções!$F$12:$H$17,3,0))</f>
        <v>bu_loantape_work.lt002_instrument</v>
      </c>
      <c r="E145" s="75" t="s">
        <v>186</v>
      </c>
      <c r="F145" s="75" t="str">
        <f t="shared" si="23"/>
        <v>crrltn_cffcnt_as_is</v>
      </c>
      <c r="G145" s="75" t="str">
        <f t="shared" si="24"/>
        <v>crrltn_cffcnt_to_be</v>
      </c>
      <c r="H145" s="75" t="str">
        <f>IF(VLOOKUP(B145,Instruções!$F$13:$J$17,5,0)="",
"(SELECT "&amp;VLOOKUP(B145,Instruções!$F$13:$J$17,4,0)&amp;" as "&amp;VLOOKUP(B145,Instruções!$F$13:$J$17,4,0)&amp;"_"&amp;$F$2&amp;", "&amp;E145&amp;" as "&amp;F145&amp;" FROM "&amp;C145&amp;" WHERE "&amp;Instruções!$D$20&amp;") A ",
"(SELECT "&amp;VLOOKUP(B145,Instruções!$F$13:$J$17,4,0)&amp;" as "&amp;VLOOKUP(B145,Instruções!$F$13:$J$17,4,0)&amp;"_"&amp;$F$2&amp;", "&amp;VLOOKUP(B145,Instruções!$F$13:$J$17,5,0)&amp;" as "&amp;VLOOKUP(B145,Instruções!$F$13:$J$17,5,0)&amp;"_"&amp;$F$2&amp;","&amp;E145&amp;" as "&amp;F145&amp;" FROM "&amp;C145&amp;" WHERE "&amp;Instruções!$D$20&amp;") A ")</f>
        <v xml:space="preserve">(SELECT instrmnt_id as instrmnt_id_, crrltn_cffcnt as crrltn_cffcnt_as_is FROM cd_loan_tapes_bce.lt002_instrument WHERE ref_date='2024-09-30' AND nome_perimetro='Individual Corporativo' AND segmento='ESTR' AND ambito='PM' AND entidade='00100' ) A </v>
      </c>
      <c r="I145" s="75" t="str">
        <f>IF(VLOOKUP(B145,Instruções!$F$13:$J$17,5,0)="",
"(SELECT "&amp;VLOOKUP(B145,Instruções!$F$13:$J$17,4,0)&amp;" as "&amp;VLOOKUP(B145,Instruções!$F$13:$J$17,4,0)&amp;"_"&amp;$G$2&amp;", "&amp;E145&amp;" as "&amp;G145&amp;" FROM "&amp;D145&amp;" WHERE "&amp;Instruções!$D$21&amp;") B ",
"(SELECT "&amp;VLOOKUP(B145,Instruções!$F$13:$J$17,4,0)&amp;" as "&amp;VLOOKUP(B145,Instruções!$F$13:$J$17,4,0)&amp;"_"&amp;$G$2&amp;", "&amp;VLOOKUP(B145,Instruções!$F$13:$J$17,5,0)&amp;" as "&amp;VLOOKUP(B145,Instruções!$F$13:$J$17,5,0)&amp;"_"&amp;$G$2&amp;","&amp;E145&amp;" as "&amp;G145&amp;" FROM "&amp;D145&amp;" WHERE "&amp;Instruções!$D$21&amp;") B ")</f>
        <v xml:space="preserve">(SELECT instrmnt_id as instrmnt_id_, crrltn_cffcnt as crrltn_cffcnt_to_be FROM bu_loantape_work.lt002_instrument WHERE ref_date='2024-09-30' AND nome_perimetro='Individual Corporativo' AND segmento='ESTR' AND ambito='PM' AND entidade='00100' ) B </v>
      </c>
      <c r="J145" s="75" t="str">
        <f>+IF(VLOOKUP(B145,Instruções!$F$13:$J$17,5,0)="", "ON "&amp;VLOOKUP(B145,Instruções!$F$13:$J$17,4,0)&amp;"_"&amp;$F$7&amp;"="&amp;VLOOKUP(B145,Instruções!$F$13:$J$17,4,0)&amp;"_"&amp;$G$7&amp;" ", "ON "&amp;VLOOKUP(B145,Instruções!$F$13:$J$17,4,0)&amp;"_"&amp;$F$7&amp;"="&amp;VLOOKUP(B145,Instruções!$F$13:$J$17,4,0)&amp;"_"&amp;$G$7&amp;" AND "&amp;VLOOKUP(B145,Instruções!$F$13:$J$17,5,0)&amp;"_"&amp;$F$7&amp;"="&amp;VLOOKUP(B145,Instruções!$F$13:$J$17,5,0)&amp;"_"&amp;$G$7&amp;" ")</f>
        <v xml:space="preserve">ON instrmnt_id_as_is=instrmnt_id_to_be </v>
      </c>
      <c r="K145" s="75" t="str">
        <f t="shared" si="18"/>
        <v xml:space="preserve">WHERE coalesce(cast(crrltn_cffcnt_as_is AS string),'')&lt;&gt;coalesce(cast(crrltn_cffcnt_to_be AS string),'') </v>
      </c>
      <c r="L145" s="75" t="str">
        <f t="shared" si="19"/>
        <v xml:space="preserve">SELECT count(*) AS NUM_REG_DIF FROM (SELECT instrmnt_id as instrmnt_id_, crrltn_cffcnt as crrltn_cffcnt_as_is FROM cd_loan_tapes_bce.lt002_instrument WHERE ref_date='2024-09-30' AND nome_perimetro='Individual Corporativo' AND segmento='ESTR' AND ambito='PM' AND entidade='00100' ) A  Inner join (SELECT instrmnt_id as instrmnt_id_, crrltn_cffcnt as crrltn_cffcnt_to_be FROM bu_loantape_work.lt002_instrument WHERE ref_date='2024-09-30' AND nome_perimetro='Individual Corporativo' AND segmento='ESTR' AND ambito='PM' AND entidade='00100' ) B ON instrmnt_id_as_is=instrmnt_id_to_be WHERE coalesce(cast(crrltn_cffcnt_as_is AS string),'')&lt;&gt;coalesce(cast(crrltn_cffcnt_to_be AS string),'') </v>
      </c>
      <c r="M145" s="75" t="s">
        <v>55</v>
      </c>
      <c r="N145" s="75" t="str">
        <f>"SELECT 'Validação de campos' as tipologia_teste, '"&amp;VLOOKUP(B145,Instruções!$F$13:$J$17,3,0)&amp;"' AS TABELA, '"&amp;E145&amp;"' AS CAMPO, '"&amp;Instruções!$D$15&amp;"' as ref_date, coalesce(NUM_REG_DIF, 0) AS NUM_REG_DIF FROM ("&amp;L145&amp;") A "</f>
        <v xml:space="preserve">SELECT 'Validação de campos' as tipologia_teste, 'lt002_instrument' AS TABELA, 'crrltn_cffcnt' AS CAMPO, '2024-09-30' as ref_date, coalesce(NUM_REG_DIF, 0) AS NUM_REG_DIF FROM (SELECT count(*) AS NUM_REG_DIF FROM (SELECT instrmnt_id as instrmnt_id_, crrltn_cffcnt as crrltn_cffcnt_as_is FROM cd_loan_tapes_bce.lt002_instrument WHERE ref_date='2024-09-30' AND nome_perimetro='Individual Corporativo' AND segmento='ESTR' AND ambito='PM' AND entidade='00100' ) A  Inner join (SELECT instrmnt_id as instrmnt_id_, crrltn_cffcnt as crrltn_cffcnt_to_be FROM bu_loantape_work.lt002_instrument WHERE ref_date='2024-09-30' AND nome_perimetro='Individual Corporativo' AND segmento='ESTR' AND ambito='PM' AND entidade='00100' ) B ON instrmnt_id_as_is=instrmnt_id_to_be WHERE coalesce(cast(crrltn_cffcnt_as_is AS string),'')&lt;&gt;coalesce(cast(crrltn_cffcnt_to_be AS string),'') ) A </v>
      </c>
      <c r="O145" s="76" t="str">
        <f t="shared" si="20"/>
        <v>SELECT 'Validação de campos' as tipologia_teste, 'lt002_instrument' AS TABELA, 'crrltn_cffcnt' AS CAMPO, '2024-09-30' as ref_date, coalesce(NUM_REG_DIF, 0) AS NUM_REG_DIF FROM (SELECT count(*) AS NUM_REG_DIF FROM (SELECT instrmnt_id as instrmnt_id_, crrltn_cffcnt as crrltn_cffcnt_as_is FROM cd_loan_tapes_bce.lt002_instrument WHERE ref_date='2024-09-30' AND nome_perimetro='Individual Corporativo' AND segmento='ESTR' AND ambito='PM' AND entidade='00100' ) A  Inner join (SELECT instrmnt_id as instrmnt_id_, crrltn_cffcnt as crrltn_cffcnt_to_be FROM bu_loantape_work.lt002_instrument WHERE ref_date='2024-09-30' AND nome_perimetro='Individual Corporativo' AND segmento='ESTR' AND ambito='PM' AND entidade='00100' ) B ON instrmnt_id_as_is=instrmnt_id_to_be WHERE coalesce(cast(crrltn_cffcnt_as_is AS string),'')&lt;&gt;coalesce(cast(crrltn_cffcnt_to_be AS string),'') ) A Union all</v>
      </c>
      <c r="P145" s="75">
        <f t="shared" si="22"/>
        <v>35</v>
      </c>
    </row>
    <row r="146" spans="2:16" s="63" customFormat="1" ht="18" customHeight="1">
      <c r="B146" s="75" t="s">
        <v>26</v>
      </c>
      <c r="C146" s="75" t="str">
        <f>_xlfn.CONCAT(Instruções!$D$13,".",VLOOKUP(B146,Instruções!$F$12:$H$17,2,0))</f>
        <v>cd_loan_tapes_bce.lt002_instrument</v>
      </c>
      <c r="D146" s="75" t="str">
        <f>_xlfn.CONCAT(Instruções!$D$14,".",VLOOKUP(B146,Instruções!$F$12:$H$17,3,0))</f>
        <v>bu_loantape_work.lt002_instrument</v>
      </c>
      <c r="E146" s="75" t="s">
        <v>187</v>
      </c>
      <c r="F146" s="75" t="str">
        <f t="shared" si="23"/>
        <v>crrncy_dnmntn_as_is</v>
      </c>
      <c r="G146" s="75" t="str">
        <f t="shared" si="24"/>
        <v>crrncy_dnmntn_to_be</v>
      </c>
      <c r="H146" s="75" t="str">
        <f>IF(VLOOKUP(B146,Instruções!$F$13:$J$17,5,0)="",
"(SELECT "&amp;VLOOKUP(B146,Instruções!$F$13:$J$17,4,0)&amp;" as "&amp;VLOOKUP(B146,Instruções!$F$13:$J$17,4,0)&amp;"_"&amp;$F$2&amp;", "&amp;E146&amp;" as "&amp;F146&amp;" FROM "&amp;C146&amp;" WHERE "&amp;Instruções!$D$20&amp;") A ",
"(SELECT "&amp;VLOOKUP(B146,Instruções!$F$13:$J$17,4,0)&amp;" as "&amp;VLOOKUP(B146,Instruções!$F$13:$J$17,4,0)&amp;"_"&amp;$F$2&amp;", "&amp;VLOOKUP(B146,Instruções!$F$13:$J$17,5,0)&amp;" as "&amp;VLOOKUP(B146,Instruções!$F$13:$J$17,5,0)&amp;"_"&amp;$F$2&amp;","&amp;E146&amp;" as "&amp;F146&amp;" FROM "&amp;C146&amp;" WHERE "&amp;Instruções!$D$20&amp;") A ")</f>
        <v xml:space="preserve">(SELECT instrmnt_id as instrmnt_id_, crrncy_dnmntn as crrncy_dnmntn_as_is FROM cd_loan_tapes_bce.lt002_instrument WHERE ref_date='2024-09-30' AND nome_perimetro='Individual Corporativo' AND segmento='ESTR' AND ambito='PM' AND entidade='00100' ) A </v>
      </c>
      <c r="I146" s="75" t="str">
        <f>IF(VLOOKUP(B146,Instruções!$F$13:$J$17,5,0)="",
"(SELECT "&amp;VLOOKUP(B146,Instruções!$F$13:$J$17,4,0)&amp;" as "&amp;VLOOKUP(B146,Instruções!$F$13:$J$17,4,0)&amp;"_"&amp;$G$2&amp;", "&amp;E146&amp;" as "&amp;G146&amp;" FROM "&amp;D146&amp;" WHERE "&amp;Instruções!$D$21&amp;") B ",
"(SELECT "&amp;VLOOKUP(B146,Instruções!$F$13:$J$17,4,0)&amp;" as "&amp;VLOOKUP(B146,Instruções!$F$13:$J$17,4,0)&amp;"_"&amp;$G$2&amp;", "&amp;VLOOKUP(B146,Instruções!$F$13:$J$17,5,0)&amp;" as "&amp;VLOOKUP(B146,Instruções!$F$13:$J$17,5,0)&amp;"_"&amp;$G$2&amp;","&amp;E146&amp;" as "&amp;G146&amp;" FROM "&amp;D146&amp;" WHERE "&amp;Instruções!$D$21&amp;") B ")</f>
        <v xml:space="preserve">(SELECT instrmnt_id as instrmnt_id_, crrncy_dnmntn as crrncy_dnmntn_to_be FROM bu_loantape_work.lt002_instrument WHERE ref_date='2024-09-30' AND nome_perimetro='Individual Corporativo' AND segmento='ESTR' AND ambito='PM' AND entidade='00100' ) B </v>
      </c>
      <c r="J146" s="75" t="str">
        <f>+IF(VLOOKUP(B146,Instruções!$F$13:$J$17,5,0)="", "ON "&amp;VLOOKUP(B146,Instruções!$F$13:$J$17,4,0)&amp;"_"&amp;$F$7&amp;"="&amp;VLOOKUP(B146,Instruções!$F$13:$J$17,4,0)&amp;"_"&amp;$G$7&amp;" ", "ON "&amp;VLOOKUP(B146,Instruções!$F$13:$J$17,4,0)&amp;"_"&amp;$F$7&amp;"="&amp;VLOOKUP(B146,Instruções!$F$13:$J$17,4,0)&amp;"_"&amp;$G$7&amp;" AND "&amp;VLOOKUP(B146,Instruções!$F$13:$J$17,5,0)&amp;"_"&amp;$F$7&amp;"="&amp;VLOOKUP(B146,Instruções!$F$13:$J$17,5,0)&amp;"_"&amp;$G$7&amp;" ")</f>
        <v xml:space="preserve">ON instrmnt_id_as_is=instrmnt_id_to_be </v>
      </c>
      <c r="K146" s="75" t="str">
        <f t="shared" si="18"/>
        <v xml:space="preserve">WHERE coalesce(cast(crrncy_dnmntn_as_is AS string),'')&lt;&gt;coalesce(cast(crrncy_dnmntn_to_be AS string),'') </v>
      </c>
      <c r="L146" s="75" t="str">
        <f t="shared" si="19"/>
        <v xml:space="preserve">SELECT count(*) AS NUM_REG_DIF FROM (SELECT instrmnt_id as instrmnt_id_, crrncy_dnmntn as crrncy_dnmntn_as_is FROM cd_loan_tapes_bce.lt002_instrument WHERE ref_date='2024-09-30' AND nome_perimetro='Individual Corporativo' AND segmento='ESTR' AND ambito='PM' AND entidade='00100' ) A  Inner join (SELECT instrmnt_id as instrmnt_id_, crrncy_dnmntn as crrncy_dnmntn_to_be FROM bu_loantape_work.lt002_instrument WHERE ref_date='2024-09-30' AND nome_perimetro='Individual Corporativo' AND segmento='ESTR' AND ambito='PM' AND entidade='00100' ) B ON instrmnt_id_as_is=instrmnt_id_to_be WHERE coalesce(cast(crrncy_dnmntn_as_is AS string),'')&lt;&gt;coalesce(cast(crrncy_dnmntn_to_be AS string),'') </v>
      </c>
      <c r="M146" s="75" t="s">
        <v>55</v>
      </c>
      <c r="N146" s="75" t="str">
        <f>"SELECT 'Validação de campos' as tipologia_teste, '"&amp;VLOOKUP(B146,Instruções!$F$13:$J$17,3,0)&amp;"' AS TABELA, '"&amp;E146&amp;"' AS CAMPO, '"&amp;Instruções!$D$15&amp;"' as ref_date, coalesce(NUM_REG_DIF, 0) AS NUM_REG_DIF FROM ("&amp;L146&amp;") A "</f>
        <v xml:space="preserve">SELECT 'Validação de campos' as tipologia_teste, 'lt002_instrument' AS TABELA, 'crrncy_dnmntn' AS CAMPO, '2024-09-30' as ref_date, coalesce(NUM_REG_DIF, 0) AS NUM_REG_DIF FROM (SELECT count(*) AS NUM_REG_DIF FROM (SELECT instrmnt_id as instrmnt_id_, crrncy_dnmntn as crrncy_dnmntn_as_is FROM cd_loan_tapes_bce.lt002_instrument WHERE ref_date='2024-09-30' AND nome_perimetro='Individual Corporativo' AND segmento='ESTR' AND ambito='PM' AND entidade='00100' ) A  Inner join (SELECT instrmnt_id as instrmnt_id_, crrncy_dnmntn as crrncy_dnmntn_to_be FROM bu_loantape_work.lt002_instrument WHERE ref_date='2024-09-30' AND nome_perimetro='Individual Corporativo' AND segmento='ESTR' AND ambito='PM' AND entidade='00100' ) B ON instrmnt_id_as_is=instrmnt_id_to_be WHERE coalesce(cast(crrncy_dnmntn_as_is AS string),'')&lt;&gt;coalesce(cast(crrncy_dnmntn_to_be AS string),'') ) A </v>
      </c>
      <c r="O146" s="76" t="str">
        <f t="shared" si="20"/>
        <v>SELECT 'Validação de campos' as tipologia_teste, 'lt002_instrument' AS TABELA, 'crrncy_dnmntn' AS CAMPO, '2024-09-30' as ref_date, coalesce(NUM_REG_DIF, 0) AS NUM_REG_DIF FROM (SELECT count(*) AS NUM_REG_DIF FROM (SELECT instrmnt_id as instrmnt_id_, crrncy_dnmntn as crrncy_dnmntn_as_is FROM cd_loan_tapes_bce.lt002_instrument WHERE ref_date='2024-09-30' AND nome_perimetro='Individual Corporativo' AND segmento='ESTR' AND ambito='PM' AND entidade='00100' ) A  Inner join (SELECT instrmnt_id as instrmnt_id_, crrncy_dnmntn as crrncy_dnmntn_to_be FROM bu_loantape_work.lt002_instrument WHERE ref_date='2024-09-30' AND nome_perimetro='Individual Corporativo' AND segmento='ESTR' AND ambito='PM' AND entidade='00100' ) B ON instrmnt_id_as_is=instrmnt_id_to_be WHERE coalesce(cast(crrncy_dnmntn_as_is AS string),'')&lt;&gt;coalesce(cast(crrncy_dnmntn_to_be AS string),'') ) A Union all</v>
      </c>
      <c r="P146" s="75">
        <f t="shared" si="22"/>
        <v>36</v>
      </c>
    </row>
    <row r="147" spans="2:16" s="63" customFormat="1" ht="18" customHeight="1">
      <c r="B147" s="75" t="s">
        <v>26</v>
      </c>
      <c r="C147" s="75" t="str">
        <f>_xlfn.CONCAT(Instruções!$D$13,".",VLOOKUP(B147,Instruções!$F$12:$H$17,2,0))</f>
        <v>cd_loan_tapes_bce.lt002_instrument</v>
      </c>
      <c r="D147" s="75" t="str">
        <f>_xlfn.CONCAT(Instruções!$D$14,".",VLOOKUP(B147,Instruções!$F$12:$H$17,3,0))</f>
        <v>bu_loantape_work.lt002_instrument</v>
      </c>
      <c r="E147" s="75" t="s">
        <v>188</v>
      </c>
      <c r="F147" s="75" t="str">
        <f t="shared" si="23"/>
        <v>crryng_amnt_instrmnt_as_is</v>
      </c>
      <c r="G147" s="75" t="str">
        <f t="shared" si="24"/>
        <v>crryng_amnt_instrmnt_to_be</v>
      </c>
      <c r="H147" s="75" t="str">
        <f>IF(VLOOKUP(B147,Instruções!$F$13:$J$17,5,0)="",
"(SELECT "&amp;VLOOKUP(B147,Instruções!$F$13:$J$17,4,0)&amp;" as "&amp;VLOOKUP(B147,Instruções!$F$13:$J$17,4,0)&amp;"_"&amp;$F$2&amp;", "&amp;E147&amp;" as "&amp;F147&amp;" FROM "&amp;C147&amp;" WHERE "&amp;Instruções!$D$20&amp;") A ",
"(SELECT "&amp;VLOOKUP(B147,Instruções!$F$13:$J$17,4,0)&amp;" as "&amp;VLOOKUP(B147,Instruções!$F$13:$J$17,4,0)&amp;"_"&amp;$F$2&amp;", "&amp;VLOOKUP(B147,Instruções!$F$13:$J$17,5,0)&amp;" as "&amp;VLOOKUP(B147,Instruções!$F$13:$J$17,5,0)&amp;"_"&amp;$F$2&amp;","&amp;E147&amp;" as "&amp;F147&amp;" FROM "&amp;C147&amp;" WHERE "&amp;Instruções!$D$20&amp;") A ")</f>
        <v xml:space="preserve">(SELECT instrmnt_id as instrmnt_id_, crryng_amnt_instrmnt as crryng_amnt_instrmnt_as_is FROM cd_loan_tapes_bce.lt002_instrument WHERE ref_date='2024-09-30' AND nome_perimetro='Individual Corporativo' AND segmento='ESTR' AND ambito='PM' AND entidade='00100' ) A </v>
      </c>
      <c r="I147" s="75" t="str">
        <f>IF(VLOOKUP(B147,Instruções!$F$13:$J$17,5,0)="",
"(SELECT "&amp;VLOOKUP(B147,Instruções!$F$13:$J$17,4,0)&amp;" as "&amp;VLOOKUP(B147,Instruções!$F$13:$J$17,4,0)&amp;"_"&amp;$G$2&amp;", "&amp;E147&amp;" as "&amp;G147&amp;" FROM "&amp;D147&amp;" WHERE "&amp;Instruções!$D$21&amp;") B ",
"(SELECT "&amp;VLOOKUP(B147,Instruções!$F$13:$J$17,4,0)&amp;" as "&amp;VLOOKUP(B147,Instruções!$F$13:$J$17,4,0)&amp;"_"&amp;$G$2&amp;", "&amp;VLOOKUP(B147,Instruções!$F$13:$J$17,5,0)&amp;" as "&amp;VLOOKUP(B147,Instruções!$F$13:$J$17,5,0)&amp;"_"&amp;$G$2&amp;","&amp;E147&amp;" as "&amp;G147&amp;" FROM "&amp;D147&amp;" WHERE "&amp;Instruções!$D$21&amp;") B ")</f>
        <v xml:space="preserve">(SELECT instrmnt_id as instrmnt_id_, crryng_amnt_instrmnt as crryng_amnt_instrmnt_to_be FROM bu_loantape_work.lt002_instrument WHERE ref_date='2024-09-30' AND nome_perimetro='Individual Corporativo' AND segmento='ESTR' AND ambito='PM' AND entidade='00100' ) B </v>
      </c>
      <c r="J147" s="75" t="str">
        <f>+IF(VLOOKUP(B147,Instruções!$F$13:$J$17,5,0)="", "ON "&amp;VLOOKUP(B147,Instruções!$F$13:$J$17,4,0)&amp;"_"&amp;$F$7&amp;"="&amp;VLOOKUP(B147,Instruções!$F$13:$J$17,4,0)&amp;"_"&amp;$G$7&amp;" ", "ON "&amp;VLOOKUP(B147,Instruções!$F$13:$J$17,4,0)&amp;"_"&amp;$F$7&amp;"="&amp;VLOOKUP(B147,Instruções!$F$13:$J$17,4,0)&amp;"_"&amp;$G$7&amp;" AND "&amp;VLOOKUP(B147,Instruções!$F$13:$J$17,5,0)&amp;"_"&amp;$F$7&amp;"="&amp;VLOOKUP(B147,Instruções!$F$13:$J$17,5,0)&amp;"_"&amp;$G$7&amp;" ")</f>
        <v xml:space="preserve">ON instrmnt_id_as_is=instrmnt_id_to_be </v>
      </c>
      <c r="K147" s="75" t="str">
        <f t="shared" si="18"/>
        <v xml:space="preserve">WHERE coalesce(cast(crryng_amnt_instrmnt_as_is AS string),'')&lt;&gt;coalesce(cast(crryng_amnt_instrmnt_to_be AS string),'') </v>
      </c>
      <c r="L147" s="75" t="str">
        <f t="shared" si="19"/>
        <v xml:space="preserve">SELECT count(*) AS NUM_REG_DIF FROM (SELECT instrmnt_id as instrmnt_id_, crryng_amnt_instrmnt as crryng_amnt_instrmnt_as_is FROM cd_loan_tapes_bce.lt002_instrument WHERE ref_date='2024-09-30' AND nome_perimetro='Individual Corporativo' AND segmento='ESTR' AND ambito='PM' AND entidade='00100' ) A  Inner join (SELECT instrmnt_id as instrmnt_id_, crryng_amnt_instrmnt as crryng_amnt_instrmnt_to_be FROM bu_loantape_work.lt002_instrument WHERE ref_date='2024-09-30' AND nome_perimetro='Individual Corporativo' AND segmento='ESTR' AND ambito='PM' AND entidade='00100' ) B ON instrmnt_id_as_is=instrmnt_id_to_be WHERE coalesce(cast(crryng_amnt_instrmnt_as_is AS string),'')&lt;&gt;coalesce(cast(crryng_amnt_instrmnt_to_be AS string),'') </v>
      </c>
      <c r="M147" s="75" t="s">
        <v>55</v>
      </c>
      <c r="N147" s="75" t="str">
        <f>"SELECT 'Validação de campos' as tipologia_teste, '"&amp;VLOOKUP(B147,Instruções!$F$13:$J$17,3,0)&amp;"' AS TABELA, '"&amp;E147&amp;"' AS CAMPO, '"&amp;Instruções!$D$15&amp;"' as ref_date, coalesce(NUM_REG_DIF, 0) AS NUM_REG_DIF FROM ("&amp;L147&amp;") A "</f>
        <v xml:space="preserve">SELECT 'Validação de campos' as tipologia_teste, 'lt002_instrument' AS TABELA, 'crryng_amnt_instrmnt' AS CAMPO, '2024-09-30' as ref_date, coalesce(NUM_REG_DIF, 0) AS NUM_REG_DIF FROM (SELECT count(*) AS NUM_REG_DIF FROM (SELECT instrmnt_id as instrmnt_id_, crryng_amnt_instrmnt as crryng_amnt_instrmnt_as_is FROM cd_loan_tapes_bce.lt002_instrument WHERE ref_date='2024-09-30' AND nome_perimetro='Individual Corporativo' AND segmento='ESTR' AND ambito='PM' AND entidade='00100' ) A  Inner join (SELECT instrmnt_id as instrmnt_id_, crryng_amnt_instrmnt as crryng_amnt_instrmnt_to_be FROM bu_loantape_work.lt002_instrument WHERE ref_date='2024-09-30' AND nome_perimetro='Individual Corporativo' AND segmento='ESTR' AND ambito='PM' AND entidade='00100' ) B ON instrmnt_id_as_is=instrmnt_id_to_be WHERE coalesce(cast(crryng_amnt_instrmnt_as_is AS string),'')&lt;&gt;coalesce(cast(crryng_amnt_instrmnt_to_be AS string),'') ) A </v>
      </c>
      <c r="O147" s="76" t="str">
        <f t="shared" si="20"/>
        <v>SELECT 'Validação de campos' as tipologia_teste, 'lt002_instrument' AS TABELA, 'crryng_amnt_instrmnt' AS CAMPO, '2024-09-30' as ref_date, coalesce(NUM_REG_DIF, 0) AS NUM_REG_DIF FROM (SELECT count(*) AS NUM_REG_DIF FROM (SELECT instrmnt_id as instrmnt_id_, crryng_amnt_instrmnt as crryng_amnt_instrmnt_as_is FROM cd_loan_tapes_bce.lt002_instrument WHERE ref_date='2024-09-30' AND nome_perimetro='Individual Corporativo' AND segmento='ESTR' AND ambito='PM' AND entidade='00100' ) A  Inner join (SELECT instrmnt_id as instrmnt_id_, crryng_amnt_instrmnt as crryng_amnt_instrmnt_to_be FROM bu_loantape_work.lt002_instrument WHERE ref_date='2024-09-30' AND nome_perimetro='Individual Corporativo' AND segmento='ESTR' AND ambito='PM' AND entidade='00100' ) B ON instrmnt_id_as_is=instrmnt_id_to_be WHERE coalesce(cast(crryng_amnt_instrmnt_as_is AS string),'')&lt;&gt;coalesce(cast(crryng_amnt_instrmnt_to_be AS string),'') ) A Union all</v>
      </c>
      <c r="P147" s="75">
        <f t="shared" si="22"/>
        <v>37</v>
      </c>
    </row>
    <row r="148" spans="2:16" s="63" customFormat="1" ht="18" customHeight="1">
      <c r="B148" s="75" t="s">
        <v>26</v>
      </c>
      <c r="C148" s="75" t="str">
        <f>_xlfn.CONCAT(Instruções!$D$13,".",VLOOKUP(B148,Instruções!$F$12:$H$17,2,0))</f>
        <v>cd_loan_tapes_bce.lt002_instrument</v>
      </c>
      <c r="D148" s="75" t="str">
        <f>_xlfn.CONCAT(Instruções!$D$14,".",VLOOKUP(B148,Instruções!$F$12:$H$17,3,0))</f>
        <v>bu_loantape_work.lt002_instrument</v>
      </c>
      <c r="E148" s="75" t="s">
        <v>189</v>
      </c>
      <c r="F148" s="75" t="str">
        <f t="shared" si="23"/>
        <v>csh_swp_trp_as_is</v>
      </c>
      <c r="G148" s="75" t="str">
        <f t="shared" si="24"/>
        <v>csh_swp_trp_to_be</v>
      </c>
      <c r="H148" s="75" t="str">
        <f>IF(VLOOKUP(B148,Instruções!$F$13:$J$17,5,0)="",
"(SELECT "&amp;VLOOKUP(B148,Instruções!$F$13:$J$17,4,0)&amp;" as "&amp;VLOOKUP(B148,Instruções!$F$13:$J$17,4,0)&amp;"_"&amp;$F$2&amp;", "&amp;E148&amp;" as "&amp;F148&amp;" FROM "&amp;C148&amp;" WHERE "&amp;Instruções!$D$20&amp;") A ",
"(SELECT "&amp;VLOOKUP(B148,Instruções!$F$13:$J$17,4,0)&amp;" as "&amp;VLOOKUP(B148,Instruções!$F$13:$J$17,4,0)&amp;"_"&amp;$F$2&amp;", "&amp;VLOOKUP(B148,Instruções!$F$13:$J$17,5,0)&amp;" as "&amp;VLOOKUP(B148,Instruções!$F$13:$J$17,5,0)&amp;"_"&amp;$F$2&amp;","&amp;E148&amp;" as "&amp;F148&amp;" FROM "&amp;C148&amp;" WHERE "&amp;Instruções!$D$20&amp;") A ")</f>
        <v xml:space="preserve">(SELECT instrmnt_id as instrmnt_id_, csh_swp_trp as csh_swp_trp_as_is FROM cd_loan_tapes_bce.lt002_instrument WHERE ref_date='2024-09-30' AND nome_perimetro='Individual Corporativo' AND segmento='ESTR' AND ambito='PM' AND entidade='00100' ) A </v>
      </c>
      <c r="I148" s="75" t="str">
        <f>IF(VLOOKUP(B148,Instruções!$F$13:$J$17,5,0)="",
"(SELECT "&amp;VLOOKUP(B148,Instruções!$F$13:$J$17,4,0)&amp;" as "&amp;VLOOKUP(B148,Instruções!$F$13:$J$17,4,0)&amp;"_"&amp;$G$2&amp;", "&amp;E148&amp;" as "&amp;G148&amp;" FROM "&amp;D148&amp;" WHERE "&amp;Instruções!$D$21&amp;") B ",
"(SELECT "&amp;VLOOKUP(B148,Instruções!$F$13:$J$17,4,0)&amp;" as "&amp;VLOOKUP(B148,Instruções!$F$13:$J$17,4,0)&amp;"_"&amp;$G$2&amp;", "&amp;VLOOKUP(B148,Instruções!$F$13:$J$17,5,0)&amp;" as "&amp;VLOOKUP(B148,Instruções!$F$13:$J$17,5,0)&amp;"_"&amp;$G$2&amp;","&amp;E148&amp;" as "&amp;G148&amp;" FROM "&amp;D148&amp;" WHERE "&amp;Instruções!$D$21&amp;") B ")</f>
        <v xml:space="preserve">(SELECT instrmnt_id as instrmnt_id_, csh_swp_trp as csh_swp_trp_to_be FROM bu_loantape_work.lt002_instrument WHERE ref_date='2024-09-30' AND nome_perimetro='Individual Corporativo' AND segmento='ESTR' AND ambito='PM' AND entidade='00100' ) B </v>
      </c>
      <c r="J148" s="75" t="str">
        <f>+IF(VLOOKUP(B148,Instruções!$F$13:$J$17,5,0)="", "ON "&amp;VLOOKUP(B148,Instruções!$F$13:$J$17,4,0)&amp;"_"&amp;$F$7&amp;"="&amp;VLOOKUP(B148,Instruções!$F$13:$J$17,4,0)&amp;"_"&amp;$G$7&amp;" ", "ON "&amp;VLOOKUP(B148,Instruções!$F$13:$J$17,4,0)&amp;"_"&amp;$F$7&amp;"="&amp;VLOOKUP(B148,Instruções!$F$13:$J$17,4,0)&amp;"_"&amp;$G$7&amp;" AND "&amp;VLOOKUP(B148,Instruções!$F$13:$J$17,5,0)&amp;"_"&amp;$F$7&amp;"="&amp;VLOOKUP(B148,Instruções!$F$13:$J$17,5,0)&amp;"_"&amp;$G$7&amp;" ")</f>
        <v xml:space="preserve">ON instrmnt_id_as_is=instrmnt_id_to_be </v>
      </c>
      <c r="K148" s="75" t="str">
        <f t="shared" si="18"/>
        <v xml:space="preserve">WHERE coalesce(cast(csh_swp_trp_as_is AS string),'')&lt;&gt;coalesce(cast(csh_swp_trp_to_be AS string),'') </v>
      </c>
      <c r="L148" s="75" t="str">
        <f t="shared" si="19"/>
        <v xml:space="preserve">SELECT count(*) AS NUM_REG_DIF FROM (SELECT instrmnt_id as instrmnt_id_, csh_swp_trp as csh_swp_trp_as_is FROM cd_loan_tapes_bce.lt002_instrument WHERE ref_date='2024-09-30' AND nome_perimetro='Individual Corporativo' AND segmento='ESTR' AND ambito='PM' AND entidade='00100' ) A  Inner join (SELECT instrmnt_id as instrmnt_id_, csh_swp_trp as csh_swp_trp_to_be FROM bu_loantape_work.lt002_instrument WHERE ref_date='2024-09-30' AND nome_perimetro='Individual Corporativo' AND segmento='ESTR' AND ambito='PM' AND entidade='00100' ) B ON instrmnt_id_as_is=instrmnt_id_to_be WHERE coalesce(cast(csh_swp_trp_as_is AS string),'')&lt;&gt;coalesce(cast(csh_swp_trp_to_be AS string),'') </v>
      </c>
      <c r="M148" s="75" t="s">
        <v>55</v>
      </c>
      <c r="N148" s="75" t="str">
        <f>"SELECT 'Validação de campos' as tipologia_teste, '"&amp;VLOOKUP(B148,Instruções!$F$13:$J$17,3,0)&amp;"' AS TABELA, '"&amp;E148&amp;"' AS CAMPO, '"&amp;Instruções!$D$15&amp;"' as ref_date, coalesce(NUM_REG_DIF, 0) AS NUM_REG_DIF FROM ("&amp;L148&amp;") A "</f>
        <v xml:space="preserve">SELECT 'Validação de campos' as tipologia_teste, 'lt002_instrument' AS TABELA, 'csh_swp_trp' AS CAMPO, '2024-09-30' as ref_date, coalesce(NUM_REG_DIF, 0) AS NUM_REG_DIF FROM (SELECT count(*) AS NUM_REG_DIF FROM (SELECT instrmnt_id as instrmnt_id_, csh_swp_trp as csh_swp_trp_as_is FROM cd_loan_tapes_bce.lt002_instrument WHERE ref_date='2024-09-30' AND nome_perimetro='Individual Corporativo' AND segmento='ESTR' AND ambito='PM' AND entidade='00100' ) A  Inner join (SELECT instrmnt_id as instrmnt_id_, csh_swp_trp as csh_swp_trp_to_be FROM bu_loantape_work.lt002_instrument WHERE ref_date='2024-09-30' AND nome_perimetro='Individual Corporativo' AND segmento='ESTR' AND ambito='PM' AND entidade='00100' ) B ON instrmnt_id_as_is=instrmnt_id_to_be WHERE coalesce(cast(csh_swp_trp_as_is AS string),'')&lt;&gt;coalesce(cast(csh_swp_trp_to_be AS string),'') ) A </v>
      </c>
      <c r="O148" s="76" t="str">
        <f t="shared" si="20"/>
        <v>SELECT 'Validação de campos' as tipologia_teste, 'lt002_instrument' AS TABELA, 'csh_swp_trp' AS CAMPO, '2024-09-30' as ref_date, coalesce(NUM_REG_DIF, 0) AS NUM_REG_DIF FROM (SELECT count(*) AS NUM_REG_DIF FROM (SELECT instrmnt_id as instrmnt_id_, csh_swp_trp as csh_swp_trp_as_is FROM cd_loan_tapes_bce.lt002_instrument WHERE ref_date='2024-09-30' AND nome_perimetro='Individual Corporativo' AND segmento='ESTR' AND ambito='PM' AND entidade='00100' ) A  Inner join (SELECT instrmnt_id as instrmnt_id_, csh_swp_trp as csh_swp_trp_to_be FROM bu_loantape_work.lt002_instrument WHERE ref_date='2024-09-30' AND nome_perimetro='Individual Corporativo' AND segmento='ESTR' AND ambito='PM' AND entidade='00100' ) B ON instrmnt_id_as_is=instrmnt_id_to_be WHERE coalesce(cast(csh_swp_trp_as_is AS string),'')&lt;&gt;coalesce(cast(csh_swp_trp_to_be AS string),'') ) A Union all</v>
      </c>
      <c r="P148" s="75">
        <f t="shared" si="22"/>
        <v>38</v>
      </c>
    </row>
    <row r="149" spans="2:16" s="63" customFormat="1" ht="18" customHeight="1">
      <c r="B149" s="75" t="s">
        <v>26</v>
      </c>
      <c r="C149" s="75" t="str">
        <f>_xlfn.CONCAT(Instruções!$D$13,".",VLOOKUP(B149,Instruções!$F$12:$H$17,2,0))</f>
        <v>cd_loan_tapes_bce.lt002_instrument</v>
      </c>
      <c r="D149" s="75" t="str">
        <f>_xlfn.CONCAT(Instruções!$D$14,".",VLOOKUP(B149,Instruções!$F$12:$H$17,3,0))</f>
        <v>bu_loantape_work.lt002_instrument</v>
      </c>
      <c r="E149" s="75" t="s">
        <v>190</v>
      </c>
      <c r="F149" s="75" t="str">
        <f t="shared" si="23"/>
        <v>cvnnt_stts_as_is</v>
      </c>
      <c r="G149" s="75" t="str">
        <f t="shared" si="24"/>
        <v>cvnnt_stts_to_be</v>
      </c>
      <c r="H149" s="75" t="str">
        <f>IF(VLOOKUP(B149,Instruções!$F$13:$J$17,5,0)="",
"(SELECT "&amp;VLOOKUP(B149,Instruções!$F$13:$J$17,4,0)&amp;" as "&amp;VLOOKUP(B149,Instruções!$F$13:$J$17,4,0)&amp;"_"&amp;$F$2&amp;", "&amp;E149&amp;" as "&amp;F149&amp;" FROM "&amp;C149&amp;" WHERE "&amp;Instruções!$D$20&amp;") A ",
"(SELECT "&amp;VLOOKUP(B149,Instruções!$F$13:$J$17,4,0)&amp;" as "&amp;VLOOKUP(B149,Instruções!$F$13:$J$17,4,0)&amp;"_"&amp;$F$2&amp;", "&amp;VLOOKUP(B149,Instruções!$F$13:$J$17,5,0)&amp;" as "&amp;VLOOKUP(B149,Instruções!$F$13:$J$17,5,0)&amp;"_"&amp;$F$2&amp;","&amp;E149&amp;" as "&amp;F149&amp;" FROM "&amp;C149&amp;" WHERE "&amp;Instruções!$D$20&amp;") A ")</f>
        <v xml:space="preserve">(SELECT instrmnt_id as instrmnt_id_, cvnnt_stts as cvnnt_stts_as_is FROM cd_loan_tapes_bce.lt002_instrument WHERE ref_date='2024-09-30' AND nome_perimetro='Individual Corporativo' AND segmento='ESTR' AND ambito='PM' AND entidade='00100' ) A </v>
      </c>
      <c r="I149" s="75" t="str">
        <f>IF(VLOOKUP(B149,Instruções!$F$13:$J$17,5,0)="",
"(SELECT "&amp;VLOOKUP(B149,Instruções!$F$13:$J$17,4,0)&amp;" as "&amp;VLOOKUP(B149,Instruções!$F$13:$J$17,4,0)&amp;"_"&amp;$G$2&amp;", "&amp;E149&amp;" as "&amp;G149&amp;" FROM "&amp;D149&amp;" WHERE "&amp;Instruções!$D$21&amp;") B ",
"(SELECT "&amp;VLOOKUP(B149,Instruções!$F$13:$J$17,4,0)&amp;" as "&amp;VLOOKUP(B149,Instruções!$F$13:$J$17,4,0)&amp;"_"&amp;$G$2&amp;", "&amp;VLOOKUP(B149,Instruções!$F$13:$J$17,5,0)&amp;" as "&amp;VLOOKUP(B149,Instruções!$F$13:$J$17,5,0)&amp;"_"&amp;$G$2&amp;","&amp;E149&amp;" as "&amp;G149&amp;" FROM "&amp;D149&amp;" WHERE "&amp;Instruções!$D$21&amp;") B ")</f>
        <v xml:space="preserve">(SELECT instrmnt_id as instrmnt_id_, cvnnt_stts as cvnnt_stts_to_be FROM bu_loantape_work.lt002_instrument WHERE ref_date='2024-09-30' AND nome_perimetro='Individual Corporativo' AND segmento='ESTR' AND ambito='PM' AND entidade='00100' ) B </v>
      </c>
      <c r="J149" s="75" t="str">
        <f>+IF(VLOOKUP(B149,Instruções!$F$13:$J$17,5,0)="", "ON "&amp;VLOOKUP(B149,Instruções!$F$13:$J$17,4,0)&amp;"_"&amp;$F$7&amp;"="&amp;VLOOKUP(B149,Instruções!$F$13:$J$17,4,0)&amp;"_"&amp;$G$7&amp;" ", "ON "&amp;VLOOKUP(B149,Instruções!$F$13:$J$17,4,0)&amp;"_"&amp;$F$7&amp;"="&amp;VLOOKUP(B149,Instruções!$F$13:$J$17,4,0)&amp;"_"&amp;$G$7&amp;" AND "&amp;VLOOKUP(B149,Instruções!$F$13:$J$17,5,0)&amp;"_"&amp;$F$7&amp;"="&amp;VLOOKUP(B149,Instruções!$F$13:$J$17,5,0)&amp;"_"&amp;$G$7&amp;" ")</f>
        <v xml:space="preserve">ON instrmnt_id_as_is=instrmnt_id_to_be </v>
      </c>
      <c r="K149" s="75" t="str">
        <f t="shared" si="18"/>
        <v xml:space="preserve">WHERE coalesce(cast(cvnnt_stts_as_is AS string),'')&lt;&gt;coalesce(cast(cvnnt_stts_to_be AS string),'') </v>
      </c>
      <c r="L149" s="75" t="str">
        <f t="shared" si="19"/>
        <v xml:space="preserve">SELECT count(*) AS NUM_REG_DIF FROM (SELECT instrmnt_id as instrmnt_id_, cvnnt_stts as cvnnt_stts_as_is FROM cd_loan_tapes_bce.lt002_instrument WHERE ref_date='2024-09-30' AND nome_perimetro='Individual Corporativo' AND segmento='ESTR' AND ambito='PM' AND entidade='00100' ) A  Inner join (SELECT instrmnt_id as instrmnt_id_, cvnnt_stts as cvnnt_stts_to_be FROM bu_loantape_work.lt002_instrument WHERE ref_date='2024-09-30' AND nome_perimetro='Individual Corporativo' AND segmento='ESTR' AND ambito='PM' AND entidade='00100' ) B ON instrmnt_id_as_is=instrmnt_id_to_be WHERE coalesce(cast(cvnnt_stts_as_is AS string),'')&lt;&gt;coalesce(cast(cvnnt_stts_to_be AS string),'') </v>
      </c>
      <c r="M149" s="75" t="s">
        <v>55</v>
      </c>
      <c r="N149" s="75" t="str">
        <f>"SELECT 'Validação de campos' as tipologia_teste, '"&amp;VLOOKUP(B149,Instruções!$F$13:$J$17,3,0)&amp;"' AS TABELA, '"&amp;E149&amp;"' AS CAMPO, '"&amp;Instruções!$D$15&amp;"' as ref_date, coalesce(NUM_REG_DIF, 0) AS NUM_REG_DIF FROM ("&amp;L149&amp;") A "</f>
        <v xml:space="preserve">SELECT 'Validação de campos' as tipologia_teste, 'lt002_instrument' AS TABELA, 'cvnnt_stts' AS CAMPO, '2024-09-30' as ref_date, coalesce(NUM_REG_DIF, 0) AS NUM_REG_DIF FROM (SELECT count(*) AS NUM_REG_DIF FROM (SELECT instrmnt_id as instrmnt_id_, cvnnt_stts as cvnnt_stts_as_is FROM cd_loan_tapes_bce.lt002_instrument WHERE ref_date='2024-09-30' AND nome_perimetro='Individual Corporativo' AND segmento='ESTR' AND ambito='PM' AND entidade='00100' ) A  Inner join (SELECT instrmnt_id as instrmnt_id_, cvnnt_stts as cvnnt_stts_to_be FROM bu_loantape_work.lt002_instrument WHERE ref_date='2024-09-30' AND nome_perimetro='Individual Corporativo' AND segmento='ESTR' AND ambito='PM' AND entidade='00100' ) B ON instrmnt_id_as_is=instrmnt_id_to_be WHERE coalesce(cast(cvnnt_stts_as_is AS string),'')&lt;&gt;coalesce(cast(cvnnt_stts_to_be AS string),'') ) A </v>
      </c>
      <c r="O149" s="76" t="str">
        <f t="shared" si="20"/>
        <v>SELECT 'Validação de campos' as tipologia_teste, 'lt002_instrument' AS TABELA, 'cvnnt_stts' AS CAMPO, '2024-09-30' as ref_date, coalesce(NUM_REG_DIF, 0) AS NUM_REG_DIF FROM (SELECT count(*) AS NUM_REG_DIF FROM (SELECT instrmnt_id as instrmnt_id_, cvnnt_stts as cvnnt_stts_as_is FROM cd_loan_tapes_bce.lt002_instrument WHERE ref_date='2024-09-30' AND nome_perimetro='Individual Corporativo' AND segmento='ESTR' AND ambito='PM' AND entidade='00100' ) A  Inner join (SELECT instrmnt_id as instrmnt_id_, cvnnt_stts as cvnnt_stts_to_be FROM bu_loantape_work.lt002_instrument WHERE ref_date='2024-09-30' AND nome_perimetro='Individual Corporativo' AND segmento='ESTR' AND ambito='PM' AND entidade='00100' ) B ON instrmnt_id_as_is=instrmnt_id_to_be WHERE coalesce(cast(cvnnt_stts_as_is AS string),'')&lt;&gt;coalesce(cast(cvnnt_stts_to_be AS string),'') ) A Union all</v>
      </c>
      <c r="P149" s="75">
        <f t="shared" si="22"/>
        <v>39</v>
      </c>
    </row>
    <row r="150" spans="2:16" s="63" customFormat="1" ht="18" customHeight="1">
      <c r="B150" s="75" t="s">
        <v>26</v>
      </c>
      <c r="C150" s="75" t="str">
        <f>_xlfn.CONCAT(Instruções!$D$13,".",VLOOKUP(B150,Instruções!$F$12:$H$17,2,0))</f>
        <v>cd_loan_tapes_bce.lt002_instrument</v>
      </c>
      <c r="D150" s="75" t="str">
        <f>_xlfn.CONCAT(Instruções!$D$14,".",VLOOKUP(B150,Instruções!$F$12:$H$17,3,0))</f>
        <v>bu_loantape_work.lt002_instrument</v>
      </c>
      <c r="E150" s="75" t="s">
        <v>191</v>
      </c>
      <c r="F150" s="75" t="str">
        <f t="shared" si="23"/>
        <v>cvnnt_typ_as_is</v>
      </c>
      <c r="G150" s="75" t="str">
        <f t="shared" si="24"/>
        <v>cvnnt_typ_to_be</v>
      </c>
      <c r="H150" s="75" t="str">
        <f>IF(VLOOKUP(B150,Instruções!$F$13:$J$17,5,0)="",
"(SELECT "&amp;VLOOKUP(B150,Instruções!$F$13:$J$17,4,0)&amp;" as "&amp;VLOOKUP(B150,Instruções!$F$13:$J$17,4,0)&amp;"_"&amp;$F$2&amp;", "&amp;E150&amp;" as "&amp;F150&amp;" FROM "&amp;C150&amp;" WHERE "&amp;Instruções!$D$20&amp;") A ",
"(SELECT "&amp;VLOOKUP(B150,Instruções!$F$13:$J$17,4,0)&amp;" as "&amp;VLOOKUP(B150,Instruções!$F$13:$J$17,4,0)&amp;"_"&amp;$F$2&amp;", "&amp;VLOOKUP(B150,Instruções!$F$13:$J$17,5,0)&amp;" as "&amp;VLOOKUP(B150,Instruções!$F$13:$J$17,5,0)&amp;"_"&amp;$F$2&amp;","&amp;E150&amp;" as "&amp;F150&amp;" FROM "&amp;C150&amp;" WHERE "&amp;Instruções!$D$20&amp;") A ")</f>
        <v xml:space="preserve">(SELECT instrmnt_id as instrmnt_id_, cvnnt_typ as cvnnt_typ_as_is FROM cd_loan_tapes_bce.lt002_instrument WHERE ref_date='2024-09-30' AND nome_perimetro='Individual Corporativo' AND segmento='ESTR' AND ambito='PM' AND entidade='00100' ) A </v>
      </c>
      <c r="I150" s="75" t="str">
        <f>IF(VLOOKUP(B150,Instruções!$F$13:$J$17,5,0)="",
"(SELECT "&amp;VLOOKUP(B150,Instruções!$F$13:$J$17,4,0)&amp;" as "&amp;VLOOKUP(B150,Instruções!$F$13:$J$17,4,0)&amp;"_"&amp;$G$2&amp;", "&amp;E150&amp;" as "&amp;G150&amp;" FROM "&amp;D150&amp;" WHERE "&amp;Instruções!$D$21&amp;") B ",
"(SELECT "&amp;VLOOKUP(B150,Instruções!$F$13:$J$17,4,0)&amp;" as "&amp;VLOOKUP(B150,Instruções!$F$13:$J$17,4,0)&amp;"_"&amp;$G$2&amp;", "&amp;VLOOKUP(B150,Instruções!$F$13:$J$17,5,0)&amp;" as "&amp;VLOOKUP(B150,Instruções!$F$13:$J$17,5,0)&amp;"_"&amp;$G$2&amp;","&amp;E150&amp;" as "&amp;G150&amp;" FROM "&amp;D150&amp;" WHERE "&amp;Instruções!$D$21&amp;") B ")</f>
        <v xml:space="preserve">(SELECT instrmnt_id as instrmnt_id_, cvnnt_typ as cvnnt_typ_to_be FROM bu_loantape_work.lt002_instrument WHERE ref_date='2024-09-30' AND nome_perimetro='Individual Corporativo' AND segmento='ESTR' AND ambito='PM' AND entidade='00100' ) B </v>
      </c>
      <c r="J150" s="75" t="str">
        <f>+IF(VLOOKUP(B150,Instruções!$F$13:$J$17,5,0)="", "ON "&amp;VLOOKUP(B150,Instruções!$F$13:$J$17,4,0)&amp;"_"&amp;$F$7&amp;"="&amp;VLOOKUP(B150,Instruções!$F$13:$J$17,4,0)&amp;"_"&amp;$G$7&amp;" ", "ON "&amp;VLOOKUP(B150,Instruções!$F$13:$J$17,4,0)&amp;"_"&amp;$F$7&amp;"="&amp;VLOOKUP(B150,Instruções!$F$13:$J$17,4,0)&amp;"_"&amp;$G$7&amp;" AND "&amp;VLOOKUP(B150,Instruções!$F$13:$J$17,5,0)&amp;"_"&amp;$F$7&amp;"="&amp;VLOOKUP(B150,Instruções!$F$13:$J$17,5,0)&amp;"_"&amp;$G$7&amp;" ")</f>
        <v xml:space="preserve">ON instrmnt_id_as_is=instrmnt_id_to_be </v>
      </c>
      <c r="K150" s="75" t="str">
        <f t="shared" si="18"/>
        <v xml:space="preserve">WHERE coalesce(cast(cvnnt_typ_as_is AS string),'')&lt;&gt;coalesce(cast(cvnnt_typ_to_be AS string),'') </v>
      </c>
      <c r="L150" s="75" t="str">
        <f t="shared" si="19"/>
        <v xml:space="preserve">SELECT count(*) AS NUM_REG_DIF FROM (SELECT instrmnt_id as instrmnt_id_, cvnnt_typ as cvnnt_typ_as_is FROM cd_loan_tapes_bce.lt002_instrument WHERE ref_date='2024-09-30' AND nome_perimetro='Individual Corporativo' AND segmento='ESTR' AND ambito='PM' AND entidade='00100' ) A  Inner join (SELECT instrmnt_id as instrmnt_id_, cvnnt_typ as cvnnt_typ_to_be FROM bu_loantape_work.lt002_instrument WHERE ref_date='2024-09-30' AND nome_perimetro='Individual Corporativo' AND segmento='ESTR' AND ambito='PM' AND entidade='00100' ) B ON instrmnt_id_as_is=instrmnt_id_to_be WHERE coalesce(cast(cvnnt_typ_as_is AS string),'')&lt;&gt;coalesce(cast(cvnnt_typ_to_be AS string),'') </v>
      </c>
      <c r="M150" s="75" t="s">
        <v>55</v>
      </c>
      <c r="N150" s="75" t="str">
        <f>"SELECT 'Validação de campos' as tipologia_teste, '"&amp;VLOOKUP(B150,Instruções!$F$13:$J$17,3,0)&amp;"' AS TABELA, '"&amp;E150&amp;"' AS CAMPO, '"&amp;Instruções!$D$15&amp;"' as ref_date, coalesce(NUM_REG_DIF, 0) AS NUM_REG_DIF FROM ("&amp;L150&amp;") A "</f>
        <v xml:space="preserve">SELECT 'Validação de campos' as tipologia_teste, 'lt002_instrument' AS TABELA, 'cvnnt_typ' AS CAMPO, '2024-09-30' as ref_date, coalesce(NUM_REG_DIF, 0) AS NUM_REG_DIF FROM (SELECT count(*) AS NUM_REG_DIF FROM (SELECT instrmnt_id as instrmnt_id_, cvnnt_typ as cvnnt_typ_as_is FROM cd_loan_tapes_bce.lt002_instrument WHERE ref_date='2024-09-30' AND nome_perimetro='Individual Corporativo' AND segmento='ESTR' AND ambito='PM' AND entidade='00100' ) A  Inner join (SELECT instrmnt_id as instrmnt_id_, cvnnt_typ as cvnnt_typ_to_be FROM bu_loantape_work.lt002_instrument WHERE ref_date='2024-09-30' AND nome_perimetro='Individual Corporativo' AND segmento='ESTR' AND ambito='PM' AND entidade='00100' ) B ON instrmnt_id_as_is=instrmnt_id_to_be WHERE coalesce(cast(cvnnt_typ_as_is AS string),'')&lt;&gt;coalesce(cast(cvnnt_typ_to_be AS string),'') ) A </v>
      </c>
      <c r="O150" s="76" t="str">
        <f t="shared" si="20"/>
        <v>SELECT 'Validação de campos' as tipologia_teste, 'lt002_instrument' AS TABELA, 'cvnnt_typ' AS CAMPO, '2024-09-30' as ref_date, coalesce(NUM_REG_DIF, 0) AS NUM_REG_DIF FROM (SELECT count(*) AS NUM_REG_DIF FROM (SELECT instrmnt_id as instrmnt_id_, cvnnt_typ as cvnnt_typ_as_is FROM cd_loan_tapes_bce.lt002_instrument WHERE ref_date='2024-09-30' AND nome_perimetro='Individual Corporativo' AND segmento='ESTR' AND ambito='PM' AND entidade='00100' ) A  Inner join (SELECT instrmnt_id as instrmnt_id_, cvnnt_typ as cvnnt_typ_to_be FROM bu_loantape_work.lt002_instrument WHERE ref_date='2024-09-30' AND nome_perimetro='Individual Corporativo' AND segmento='ESTR' AND ambito='PM' AND entidade='00100' ) B ON instrmnt_id_as_is=instrmnt_id_to_be WHERE coalesce(cast(cvnnt_typ_as_is AS string),'')&lt;&gt;coalesce(cast(cvnnt_typ_to_be AS string),'') ) A Union all</v>
      </c>
      <c r="P150" s="75">
        <f t="shared" si="22"/>
        <v>40</v>
      </c>
    </row>
    <row r="151" spans="2:16" s="63" customFormat="1" ht="18" customHeight="1">
      <c r="B151" s="75" t="s">
        <v>26</v>
      </c>
      <c r="C151" s="75" t="str">
        <f>_xlfn.CONCAT(Instruções!$D$13,".",VLOOKUP(B151,Instruções!$F$12:$H$17,2,0))</f>
        <v>cd_loan_tapes_bce.lt002_instrument</v>
      </c>
      <c r="D151" s="75" t="str">
        <f>_xlfn.CONCAT(Instruções!$D$14,".",VLOOKUP(B151,Instruções!$F$12:$H$17,3,0))</f>
        <v>bu_loantape_work.lt002_instrument</v>
      </c>
      <c r="E151" s="75" t="s">
        <v>192</v>
      </c>
      <c r="F151" s="75" t="str">
        <f t="shared" si="23"/>
        <v>dbt_yld_as_is</v>
      </c>
      <c r="G151" s="75" t="str">
        <f t="shared" si="24"/>
        <v>dbt_yld_to_be</v>
      </c>
      <c r="H151" s="75" t="str">
        <f>IF(VLOOKUP(B151,Instruções!$F$13:$J$17,5,0)="",
"(SELECT "&amp;VLOOKUP(B151,Instruções!$F$13:$J$17,4,0)&amp;" as "&amp;VLOOKUP(B151,Instruções!$F$13:$J$17,4,0)&amp;"_"&amp;$F$2&amp;", "&amp;E151&amp;" as "&amp;F151&amp;" FROM "&amp;C151&amp;" WHERE "&amp;Instruções!$D$20&amp;") A ",
"(SELECT "&amp;VLOOKUP(B151,Instruções!$F$13:$J$17,4,0)&amp;" as "&amp;VLOOKUP(B151,Instruções!$F$13:$J$17,4,0)&amp;"_"&amp;$F$2&amp;", "&amp;VLOOKUP(B151,Instruções!$F$13:$J$17,5,0)&amp;" as "&amp;VLOOKUP(B151,Instruções!$F$13:$J$17,5,0)&amp;"_"&amp;$F$2&amp;","&amp;E151&amp;" as "&amp;F151&amp;" FROM "&amp;C151&amp;" WHERE "&amp;Instruções!$D$20&amp;") A ")</f>
        <v xml:space="preserve">(SELECT instrmnt_id as instrmnt_id_, dbt_yld as dbt_yld_as_is FROM cd_loan_tapes_bce.lt002_instrument WHERE ref_date='2024-09-30' AND nome_perimetro='Individual Corporativo' AND segmento='ESTR' AND ambito='PM' AND entidade='00100' ) A </v>
      </c>
      <c r="I151" s="75" t="str">
        <f>IF(VLOOKUP(B151,Instruções!$F$13:$J$17,5,0)="",
"(SELECT "&amp;VLOOKUP(B151,Instruções!$F$13:$J$17,4,0)&amp;" as "&amp;VLOOKUP(B151,Instruções!$F$13:$J$17,4,0)&amp;"_"&amp;$G$2&amp;", "&amp;E151&amp;" as "&amp;G151&amp;" FROM "&amp;D151&amp;" WHERE "&amp;Instruções!$D$21&amp;") B ",
"(SELECT "&amp;VLOOKUP(B151,Instruções!$F$13:$J$17,4,0)&amp;" as "&amp;VLOOKUP(B151,Instruções!$F$13:$J$17,4,0)&amp;"_"&amp;$G$2&amp;", "&amp;VLOOKUP(B151,Instruções!$F$13:$J$17,5,0)&amp;" as "&amp;VLOOKUP(B151,Instruções!$F$13:$J$17,5,0)&amp;"_"&amp;$G$2&amp;","&amp;E151&amp;" as "&amp;G151&amp;" FROM "&amp;D151&amp;" WHERE "&amp;Instruções!$D$21&amp;") B ")</f>
        <v xml:space="preserve">(SELECT instrmnt_id as instrmnt_id_, dbt_yld as dbt_yld_to_be FROM bu_loantape_work.lt002_instrument WHERE ref_date='2024-09-30' AND nome_perimetro='Individual Corporativo' AND segmento='ESTR' AND ambito='PM' AND entidade='00100' ) B </v>
      </c>
      <c r="J151" s="75" t="str">
        <f>+IF(VLOOKUP(B151,Instruções!$F$13:$J$17,5,0)="", "ON "&amp;VLOOKUP(B151,Instruções!$F$13:$J$17,4,0)&amp;"_"&amp;$F$7&amp;"="&amp;VLOOKUP(B151,Instruções!$F$13:$J$17,4,0)&amp;"_"&amp;$G$7&amp;" ", "ON "&amp;VLOOKUP(B151,Instruções!$F$13:$J$17,4,0)&amp;"_"&amp;$F$7&amp;"="&amp;VLOOKUP(B151,Instruções!$F$13:$J$17,4,0)&amp;"_"&amp;$G$7&amp;" AND "&amp;VLOOKUP(B151,Instruções!$F$13:$J$17,5,0)&amp;"_"&amp;$F$7&amp;"="&amp;VLOOKUP(B151,Instruções!$F$13:$J$17,5,0)&amp;"_"&amp;$G$7&amp;" ")</f>
        <v xml:space="preserve">ON instrmnt_id_as_is=instrmnt_id_to_be </v>
      </c>
      <c r="K151" s="75" t="str">
        <f t="shared" si="18"/>
        <v xml:space="preserve">WHERE coalesce(cast(dbt_yld_as_is AS string),'')&lt;&gt;coalesce(cast(dbt_yld_to_be AS string),'') </v>
      </c>
      <c r="L151" s="75" t="str">
        <f t="shared" si="19"/>
        <v xml:space="preserve">SELECT count(*) AS NUM_REG_DIF FROM (SELECT instrmnt_id as instrmnt_id_, dbt_yld as dbt_yld_as_is FROM cd_loan_tapes_bce.lt002_instrument WHERE ref_date='2024-09-30' AND nome_perimetro='Individual Corporativo' AND segmento='ESTR' AND ambito='PM' AND entidade='00100' ) A  Inner join (SELECT instrmnt_id as instrmnt_id_, dbt_yld as dbt_yld_to_be FROM bu_loantape_work.lt002_instrument WHERE ref_date='2024-09-30' AND nome_perimetro='Individual Corporativo' AND segmento='ESTR' AND ambito='PM' AND entidade='00100' ) B ON instrmnt_id_as_is=instrmnt_id_to_be WHERE coalesce(cast(dbt_yld_as_is AS string),'')&lt;&gt;coalesce(cast(dbt_yld_to_be AS string),'') </v>
      </c>
      <c r="M151" s="75" t="s">
        <v>55</v>
      </c>
      <c r="N151" s="75" t="str">
        <f>"SELECT 'Validação de campos' as tipologia_teste, '"&amp;VLOOKUP(B151,Instruções!$F$13:$J$17,3,0)&amp;"' AS TABELA, '"&amp;E151&amp;"' AS CAMPO, '"&amp;Instruções!$D$15&amp;"' as ref_date, coalesce(NUM_REG_DIF, 0) AS NUM_REG_DIF FROM ("&amp;L151&amp;") A "</f>
        <v xml:space="preserve">SELECT 'Validação de campos' as tipologia_teste, 'lt002_instrument' AS TABELA, 'dbt_yld' AS CAMPO, '2024-09-30' as ref_date, coalesce(NUM_REG_DIF, 0) AS NUM_REG_DIF FROM (SELECT count(*) AS NUM_REG_DIF FROM (SELECT instrmnt_id as instrmnt_id_, dbt_yld as dbt_yld_as_is FROM cd_loan_tapes_bce.lt002_instrument WHERE ref_date='2024-09-30' AND nome_perimetro='Individual Corporativo' AND segmento='ESTR' AND ambito='PM' AND entidade='00100' ) A  Inner join (SELECT instrmnt_id as instrmnt_id_, dbt_yld as dbt_yld_to_be FROM bu_loantape_work.lt002_instrument WHERE ref_date='2024-09-30' AND nome_perimetro='Individual Corporativo' AND segmento='ESTR' AND ambito='PM' AND entidade='00100' ) B ON instrmnt_id_as_is=instrmnt_id_to_be WHERE coalesce(cast(dbt_yld_as_is AS string),'')&lt;&gt;coalesce(cast(dbt_yld_to_be AS string),'') ) A </v>
      </c>
      <c r="O151" s="76" t="str">
        <f t="shared" si="20"/>
        <v>SELECT 'Validação de campos' as tipologia_teste, 'lt002_instrument' AS TABELA, 'dbt_yld' AS CAMPO, '2024-09-30' as ref_date, coalesce(NUM_REG_DIF, 0) AS NUM_REG_DIF FROM (SELECT count(*) AS NUM_REG_DIF FROM (SELECT instrmnt_id as instrmnt_id_, dbt_yld as dbt_yld_as_is FROM cd_loan_tapes_bce.lt002_instrument WHERE ref_date='2024-09-30' AND nome_perimetro='Individual Corporativo' AND segmento='ESTR' AND ambito='PM' AND entidade='00100' ) A  Inner join (SELECT instrmnt_id as instrmnt_id_, dbt_yld as dbt_yld_to_be FROM bu_loantape_work.lt002_instrument WHERE ref_date='2024-09-30' AND nome_perimetro='Individual Corporativo' AND segmento='ESTR' AND ambito='PM' AND entidade='00100' ) B ON instrmnt_id_as_is=instrmnt_id_to_be WHERE coalesce(cast(dbt_yld_as_is AS string),'')&lt;&gt;coalesce(cast(dbt_yld_to_be AS string),'') ) A Union all</v>
      </c>
      <c r="P151" s="75">
        <f t="shared" si="22"/>
        <v>41</v>
      </c>
    </row>
    <row r="152" spans="2:16" s="63" customFormat="1" ht="18" customHeight="1">
      <c r="B152" s="75" t="s">
        <v>26</v>
      </c>
      <c r="C152" s="75" t="str">
        <f>_xlfn.CONCAT(Instruções!$D$13,".",VLOOKUP(B152,Instruções!$F$12:$H$17,2,0))</f>
        <v>cd_loan_tapes_bce.lt002_instrument</v>
      </c>
      <c r="D152" s="75" t="str">
        <f>_xlfn.CONCAT(Instruções!$D$14,".",VLOOKUP(B152,Instruções!$F$12:$H$17,3,0))</f>
        <v>bu_loantape_work.lt002_instrument</v>
      </c>
      <c r="E152" s="75" t="s">
        <v>193</v>
      </c>
      <c r="F152" s="75" t="str">
        <f t="shared" si="23"/>
        <v>dflt_stts_instrmnt_as_is</v>
      </c>
      <c r="G152" s="75" t="str">
        <f t="shared" si="24"/>
        <v>dflt_stts_instrmnt_to_be</v>
      </c>
      <c r="H152" s="75" t="str">
        <f>IF(VLOOKUP(B152,Instruções!$F$13:$J$17,5,0)="",
"(SELECT "&amp;VLOOKUP(B152,Instruções!$F$13:$J$17,4,0)&amp;" as "&amp;VLOOKUP(B152,Instruções!$F$13:$J$17,4,0)&amp;"_"&amp;$F$2&amp;", "&amp;E152&amp;" as "&amp;F152&amp;" FROM "&amp;C152&amp;" WHERE "&amp;Instruções!$D$20&amp;") A ",
"(SELECT "&amp;VLOOKUP(B152,Instruções!$F$13:$J$17,4,0)&amp;" as "&amp;VLOOKUP(B152,Instruções!$F$13:$J$17,4,0)&amp;"_"&amp;$F$2&amp;", "&amp;VLOOKUP(B152,Instruções!$F$13:$J$17,5,0)&amp;" as "&amp;VLOOKUP(B152,Instruções!$F$13:$J$17,5,0)&amp;"_"&amp;$F$2&amp;","&amp;E152&amp;" as "&amp;F152&amp;" FROM "&amp;C152&amp;" WHERE "&amp;Instruções!$D$20&amp;") A ")</f>
        <v xml:space="preserve">(SELECT instrmnt_id as instrmnt_id_, dflt_stts_instrmnt as dflt_stts_instrmnt_as_is FROM cd_loan_tapes_bce.lt002_instrument WHERE ref_date='2024-09-30' AND nome_perimetro='Individual Corporativo' AND segmento='ESTR' AND ambito='PM' AND entidade='00100' ) A </v>
      </c>
      <c r="I152" s="75" t="str">
        <f>IF(VLOOKUP(B152,Instruções!$F$13:$J$17,5,0)="",
"(SELECT "&amp;VLOOKUP(B152,Instruções!$F$13:$J$17,4,0)&amp;" as "&amp;VLOOKUP(B152,Instruções!$F$13:$J$17,4,0)&amp;"_"&amp;$G$2&amp;", "&amp;E152&amp;" as "&amp;G152&amp;" FROM "&amp;D152&amp;" WHERE "&amp;Instruções!$D$21&amp;") B ",
"(SELECT "&amp;VLOOKUP(B152,Instruções!$F$13:$J$17,4,0)&amp;" as "&amp;VLOOKUP(B152,Instruções!$F$13:$J$17,4,0)&amp;"_"&amp;$G$2&amp;", "&amp;VLOOKUP(B152,Instruções!$F$13:$J$17,5,0)&amp;" as "&amp;VLOOKUP(B152,Instruções!$F$13:$J$17,5,0)&amp;"_"&amp;$G$2&amp;","&amp;E152&amp;" as "&amp;G152&amp;" FROM "&amp;D152&amp;" WHERE "&amp;Instruções!$D$21&amp;") B ")</f>
        <v xml:space="preserve">(SELECT instrmnt_id as instrmnt_id_, dflt_stts_instrmnt as dflt_stts_instrmnt_to_be FROM bu_loantape_work.lt002_instrument WHERE ref_date='2024-09-30' AND nome_perimetro='Individual Corporativo' AND segmento='ESTR' AND ambito='PM' AND entidade='00100' ) B </v>
      </c>
      <c r="J152" s="75" t="str">
        <f>+IF(VLOOKUP(B152,Instruções!$F$13:$J$17,5,0)="", "ON "&amp;VLOOKUP(B152,Instruções!$F$13:$J$17,4,0)&amp;"_"&amp;$F$7&amp;"="&amp;VLOOKUP(B152,Instruções!$F$13:$J$17,4,0)&amp;"_"&amp;$G$7&amp;" ", "ON "&amp;VLOOKUP(B152,Instruções!$F$13:$J$17,4,0)&amp;"_"&amp;$F$7&amp;"="&amp;VLOOKUP(B152,Instruções!$F$13:$J$17,4,0)&amp;"_"&amp;$G$7&amp;" AND "&amp;VLOOKUP(B152,Instruções!$F$13:$J$17,5,0)&amp;"_"&amp;$F$7&amp;"="&amp;VLOOKUP(B152,Instruções!$F$13:$J$17,5,0)&amp;"_"&amp;$G$7&amp;" ")</f>
        <v xml:space="preserve">ON instrmnt_id_as_is=instrmnt_id_to_be </v>
      </c>
      <c r="K152" s="75" t="str">
        <f t="shared" si="18"/>
        <v xml:space="preserve">WHERE coalesce(cast(dflt_stts_instrmnt_as_is AS string),'')&lt;&gt;coalesce(cast(dflt_stts_instrmnt_to_be AS string),'') </v>
      </c>
      <c r="L152" s="75" t="str">
        <f t="shared" si="19"/>
        <v xml:space="preserve">SELECT count(*) AS NUM_REG_DIF FROM (SELECT instrmnt_id as instrmnt_id_, dflt_stts_instrmnt as dflt_stts_instrmnt_as_is FROM cd_loan_tapes_bce.lt002_instrument WHERE ref_date='2024-09-30' AND nome_perimetro='Individual Corporativo' AND segmento='ESTR' AND ambito='PM' AND entidade='00100' ) A  Inner join (SELECT instrmnt_id as instrmnt_id_, dflt_stts_instrmnt as dflt_stts_instrmnt_to_be FROM bu_loantape_work.lt002_instrument WHERE ref_date='2024-09-30' AND nome_perimetro='Individual Corporativo' AND segmento='ESTR' AND ambito='PM' AND entidade='00100' ) B ON instrmnt_id_as_is=instrmnt_id_to_be WHERE coalesce(cast(dflt_stts_instrmnt_as_is AS string),'')&lt;&gt;coalesce(cast(dflt_stts_instrmnt_to_be AS string),'') </v>
      </c>
      <c r="M152" s="75" t="s">
        <v>55</v>
      </c>
      <c r="N152" s="75" t="str">
        <f>"SELECT 'Validação de campos' as tipologia_teste, '"&amp;VLOOKUP(B152,Instruções!$F$13:$J$17,3,0)&amp;"' AS TABELA, '"&amp;E152&amp;"' AS CAMPO, '"&amp;Instruções!$D$15&amp;"' as ref_date, coalesce(NUM_REG_DIF, 0) AS NUM_REG_DIF FROM ("&amp;L152&amp;") A "</f>
        <v xml:space="preserve">SELECT 'Validação de campos' as tipologia_teste, 'lt002_instrument' AS TABELA, 'dflt_stts_instrmnt' AS CAMPO, '2024-09-30' as ref_date, coalesce(NUM_REG_DIF, 0) AS NUM_REG_DIF FROM (SELECT count(*) AS NUM_REG_DIF FROM (SELECT instrmnt_id as instrmnt_id_, dflt_stts_instrmnt as dflt_stts_instrmnt_as_is FROM cd_loan_tapes_bce.lt002_instrument WHERE ref_date='2024-09-30' AND nome_perimetro='Individual Corporativo' AND segmento='ESTR' AND ambito='PM' AND entidade='00100' ) A  Inner join (SELECT instrmnt_id as instrmnt_id_, dflt_stts_instrmnt as dflt_stts_instrmnt_to_be FROM bu_loantape_work.lt002_instrument WHERE ref_date='2024-09-30' AND nome_perimetro='Individual Corporativo' AND segmento='ESTR' AND ambito='PM' AND entidade='00100' ) B ON instrmnt_id_as_is=instrmnt_id_to_be WHERE coalesce(cast(dflt_stts_instrmnt_as_is AS string),'')&lt;&gt;coalesce(cast(dflt_stts_instrmnt_to_be AS string),'') ) A </v>
      </c>
      <c r="O152" s="76" t="str">
        <f t="shared" si="20"/>
        <v>SELECT 'Validação de campos' as tipologia_teste, 'lt002_instrument' AS TABELA, 'dflt_stts_instrmnt' AS CAMPO, '2024-09-30' as ref_date, coalesce(NUM_REG_DIF, 0) AS NUM_REG_DIF FROM (SELECT count(*) AS NUM_REG_DIF FROM (SELECT instrmnt_id as instrmnt_id_, dflt_stts_instrmnt as dflt_stts_instrmnt_as_is FROM cd_loan_tapes_bce.lt002_instrument WHERE ref_date='2024-09-30' AND nome_perimetro='Individual Corporativo' AND segmento='ESTR' AND ambito='PM' AND entidade='00100' ) A  Inner join (SELECT instrmnt_id as instrmnt_id_, dflt_stts_instrmnt as dflt_stts_instrmnt_to_be FROM bu_loantape_work.lt002_instrument WHERE ref_date='2024-09-30' AND nome_perimetro='Individual Corporativo' AND segmento='ESTR' AND ambito='PM' AND entidade='00100' ) B ON instrmnt_id_as_is=instrmnt_id_to_be WHERE coalesce(cast(dflt_stts_instrmnt_as_is AS string),'')&lt;&gt;coalesce(cast(dflt_stts_instrmnt_to_be AS string),'') ) A Union all</v>
      </c>
      <c r="P152" s="75">
        <f t="shared" si="22"/>
        <v>42</v>
      </c>
    </row>
    <row r="153" spans="2:16" s="63" customFormat="1" ht="18" customHeight="1">
      <c r="B153" s="75" t="s">
        <v>26</v>
      </c>
      <c r="C153" s="75" t="str">
        <f>_xlfn.CONCAT(Instruções!$D$13,".",VLOOKUP(B153,Instruções!$F$12:$H$17,2,0))</f>
        <v>cd_loan_tapes_bce.lt002_instrument</v>
      </c>
      <c r="D153" s="75" t="str">
        <f>_xlfn.CONCAT(Instruções!$D$14,".",VLOOKUP(B153,Instruções!$F$12:$H$17,3,0))</f>
        <v>bu_loantape_work.lt002_instrument</v>
      </c>
      <c r="E153" s="75" t="s">
        <v>194</v>
      </c>
      <c r="F153" s="75" t="str">
        <f t="shared" si="23"/>
        <v>dpd_12m_as_is</v>
      </c>
      <c r="G153" s="75" t="str">
        <f t="shared" si="24"/>
        <v>dpd_12m_to_be</v>
      </c>
      <c r="H153" s="75" t="str">
        <f>IF(VLOOKUP(B153,Instruções!$F$13:$J$17,5,0)="",
"(SELECT "&amp;VLOOKUP(B153,Instruções!$F$13:$J$17,4,0)&amp;" as "&amp;VLOOKUP(B153,Instruções!$F$13:$J$17,4,0)&amp;"_"&amp;$F$2&amp;", "&amp;E153&amp;" as "&amp;F153&amp;" FROM "&amp;C153&amp;" WHERE "&amp;Instruções!$D$20&amp;") A ",
"(SELECT "&amp;VLOOKUP(B153,Instruções!$F$13:$J$17,4,0)&amp;" as "&amp;VLOOKUP(B153,Instruções!$F$13:$J$17,4,0)&amp;"_"&amp;$F$2&amp;", "&amp;VLOOKUP(B153,Instruções!$F$13:$J$17,5,0)&amp;" as "&amp;VLOOKUP(B153,Instruções!$F$13:$J$17,5,0)&amp;"_"&amp;$F$2&amp;","&amp;E153&amp;" as "&amp;F153&amp;" FROM "&amp;C153&amp;" WHERE "&amp;Instruções!$D$20&amp;") A ")</f>
        <v xml:space="preserve">(SELECT instrmnt_id as instrmnt_id_, dpd_12m as dpd_12m_as_is FROM cd_loan_tapes_bce.lt002_instrument WHERE ref_date='2024-09-30' AND nome_perimetro='Individual Corporativo' AND segmento='ESTR' AND ambito='PM' AND entidade='00100' ) A </v>
      </c>
      <c r="I153" s="75" t="str">
        <f>IF(VLOOKUP(B153,Instruções!$F$13:$J$17,5,0)="",
"(SELECT "&amp;VLOOKUP(B153,Instruções!$F$13:$J$17,4,0)&amp;" as "&amp;VLOOKUP(B153,Instruções!$F$13:$J$17,4,0)&amp;"_"&amp;$G$2&amp;", "&amp;E153&amp;" as "&amp;G153&amp;" FROM "&amp;D153&amp;" WHERE "&amp;Instruções!$D$21&amp;") B ",
"(SELECT "&amp;VLOOKUP(B153,Instruções!$F$13:$J$17,4,0)&amp;" as "&amp;VLOOKUP(B153,Instruções!$F$13:$J$17,4,0)&amp;"_"&amp;$G$2&amp;", "&amp;VLOOKUP(B153,Instruções!$F$13:$J$17,5,0)&amp;" as "&amp;VLOOKUP(B153,Instruções!$F$13:$J$17,5,0)&amp;"_"&amp;$G$2&amp;","&amp;E153&amp;" as "&amp;G153&amp;" FROM "&amp;D153&amp;" WHERE "&amp;Instruções!$D$21&amp;") B ")</f>
        <v xml:space="preserve">(SELECT instrmnt_id as instrmnt_id_, dpd_12m as dpd_12m_to_be FROM bu_loantape_work.lt002_instrument WHERE ref_date='2024-09-30' AND nome_perimetro='Individual Corporativo' AND segmento='ESTR' AND ambito='PM' AND entidade='00100' ) B </v>
      </c>
      <c r="J153" s="75" t="str">
        <f>+IF(VLOOKUP(B153,Instruções!$F$13:$J$17,5,0)="", "ON "&amp;VLOOKUP(B153,Instruções!$F$13:$J$17,4,0)&amp;"_"&amp;$F$7&amp;"="&amp;VLOOKUP(B153,Instruções!$F$13:$J$17,4,0)&amp;"_"&amp;$G$7&amp;" ", "ON "&amp;VLOOKUP(B153,Instruções!$F$13:$J$17,4,0)&amp;"_"&amp;$F$7&amp;"="&amp;VLOOKUP(B153,Instruções!$F$13:$J$17,4,0)&amp;"_"&amp;$G$7&amp;" AND "&amp;VLOOKUP(B153,Instruções!$F$13:$J$17,5,0)&amp;"_"&amp;$F$7&amp;"="&amp;VLOOKUP(B153,Instruções!$F$13:$J$17,5,0)&amp;"_"&amp;$G$7&amp;" ")</f>
        <v xml:space="preserve">ON instrmnt_id_as_is=instrmnt_id_to_be </v>
      </c>
      <c r="K153" s="75" t="str">
        <f t="shared" si="18"/>
        <v xml:space="preserve">WHERE coalesce(cast(dpd_12m_as_is AS string),'')&lt;&gt;coalesce(cast(dpd_12m_to_be AS string),'') </v>
      </c>
      <c r="L153" s="75" t="str">
        <f t="shared" si="19"/>
        <v xml:space="preserve">SELECT count(*) AS NUM_REG_DIF FROM (SELECT instrmnt_id as instrmnt_id_, dpd_12m as dpd_12m_as_is FROM cd_loan_tapes_bce.lt002_instrument WHERE ref_date='2024-09-30' AND nome_perimetro='Individual Corporativo' AND segmento='ESTR' AND ambito='PM' AND entidade='00100' ) A  Inner join (SELECT instrmnt_id as instrmnt_id_, dpd_12m as dpd_12m_to_be FROM bu_loantape_work.lt002_instrument WHERE ref_date='2024-09-30' AND nome_perimetro='Individual Corporativo' AND segmento='ESTR' AND ambito='PM' AND entidade='00100' ) B ON instrmnt_id_as_is=instrmnt_id_to_be WHERE coalesce(cast(dpd_12m_as_is AS string),'')&lt;&gt;coalesce(cast(dpd_12m_to_be AS string),'') </v>
      </c>
      <c r="M153" s="75" t="s">
        <v>55</v>
      </c>
      <c r="N153" s="75" t="str">
        <f>"SELECT 'Validação de campos' as tipologia_teste, '"&amp;VLOOKUP(B153,Instruções!$F$13:$J$17,3,0)&amp;"' AS TABELA, '"&amp;E153&amp;"' AS CAMPO, '"&amp;Instruções!$D$15&amp;"' as ref_date, coalesce(NUM_REG_DIF, 0) AS NUM_REG_DIF FROM ("&amp;L153&amp;") A "</f>
        <v xml:space="preserve">SELECT 'Validação de campos' as tipologia_teste, 'lt002_instrument' AS TABELA, 'dpd_12m' AS CAMPO, '2024-09-30' as ref_date, coalesce(NUM_REG_DIF, 0) AS NUM_REG_DIF FROM (SELECT count(*) AS NUM_REG_DIF FROM (SELECT instrmnt_id as instrmnt_id_, dpd_12m as dpd_12m_as_is FROM cd_loan_tapes_bce.lt002_instrument WHERE ref_date='2024-09-30' AND nome_perimetro='Individual Corporativo' AND segmento='ESTR' AND ambito='PM' AND entidade='00100' ) A  Inner join (SELECT instrmnt_id as instrmnt_id_, dpd_12m as dpd_12m_to_be FROM bu_loantape_work.lt002_instrument WHERE ref_date='2024-09-30' AND nome_perimetro='Individual Corporativo' AND segmento='ESTR' AND ambito='PM' AND entidade='00100' ) B ON instrmnt_id_as_is=instrmnt_id_to_be WHERE coalesce(cast(dpd_12m_as_is AS string),'')&lt;&gt;coalesce(cast(dpd_12m_to_be AS string),'') ) A </v>
      </c>
      <c r="O153" s="76" t="str">
        <f t="shared" si="20"/>
        <v>SELECT 'Validação de campos' as tipologia_teste, 'lt002_instrument' AS TABELA, 'dpd_12m' AS CAMPO, '2024-09-30' as ref_date, coalesce(NUM_REG_DIF, 0) AS NUM_REG_DIF FROM (SELECT count(*) AS NUM_REG_DIF FROM (SELECT instrmnt_id as instrmnt_id_, dpd_12m as dpd_12m_as_is FROM cd_loan_tapes_bce.lt002_instrument WHERE ref_date='2024-09-30' AND nome_perimetro='Individual Corporativo' AND segmento='ESTR' AND ambito='PM' AND entidade='00100' ) A  Inner join (SELECT instrmnt_id as instrmnt_id_, dpd_12m as dpd_12m_to_be FROM bu_loantape_work.lt002_instrument WHERE ref_date='2024-09-30' AND nome_perimetro='Individual Corporativo' AND segmento='ESTR' AND ambito='PM' AND entidade='00100' ) B ON instrmnt_id_as_is=instrmnt_id_to_be WHERE coalesce(cast(dpd_12m_as_is AS string),'')&lt;&gt;coalesce(cast(dpd_12m_to_be AS string),'') ) A Union all</v>
      </c>
      <c r="P153" s="75">
        <f t="shared" si="22"/>
        <v>43</v>
      </c>
    </row>
    <row r="154" spans="2:16" s="63" customFormat="1" ht="18" customHeight="1">
      <c r="B154" s="75" t="s">
        <v>26</v>
      </c>
      <c r="C154" s="75" t="str">
        <f>_xlfn.CONCAT(Instruções!$D$13,".",VLOOKUP(B154,Instruções!$F$12:$H$17,2,0))</f>
        <v>cd_loan_tapes_bce.lt002_instrument</v>
      </c>
      <c r="D154" s="75" t="str">
        <f>_xlfn.CONCAT(Instruções!$D$14,".",VLOOKUP(B154,Instruções!$F$12:$H$17,3,0))</f>
        <v>bu_loantape_work.lt002_instrument</v>
      </c>
      <c r="E154" s="75" t="s">
        <v>195</v>
      </c>
      <c r="F154" s="75" t="str">
        <f t="shared" si="23"/>
        <v>dpd_12m_frbrnc_stts_as_is</v>
      </c>
      <c r="G154" s="75" t="str">
        <f t="shared" si="24"/>
        <v>dpd_12m_frbrnc_stts_to_be</v>
      </c>
      <c r="H154" s="75" t="str">
        <f>IF(VLOOKUP(B154,Instruções!$F$13:$J$17,5,0)="",
"(SELECT "&amp;VLOOKUP(B154,Instruções!$F$13:$J$17,4,0)&amp;" as "&amp;VLOOKUP(B154,Instruções!$F$13:$J$17,4,0)&amp;"_"&amp;$F$2&amp;", "&amp;E154&amp;" as "&amp;F154&amp;" FROM "&amp;C154&amp;" WHERE "&amp;Instruções!$D$20&amp;") A ",
"(SELECT "&amp;VLOOKUP(B154,Instruções!$F$13:$J$17,4,0)&amp;" as "&amp;VLOOKUP(B154,Instruções!$F$13:$J$17,4,0)&amp;"_"&amp;$F$2&amp;", "&amp;VLOOKUP(B154,Instruções!$F$13:$J$17,5,0)&amp;" as "&amp;VLOOKUP(B154,Instruções!$F$13:$J$17,5,0)&amp;"_"&amp;$F$2&amp;","&amp;E154&amp;" as "&amp;F154&amp;" FROM "&amp;C154&amp;" WHERE "&amp;Instruções!$D$20&amp;") A ")</f>
        <v xml:space="preserve">(SELECT instrmnt_id as instrmnt_id_, dpd_12m_frbrnc_stts as dpd_12m_frbrnc_stts_as_is FROM cd_loan_tapes_bce.lt002_instrument WHERE ref_date='2024-09-30' AND nome_perimetro='Individual Corporativo' AND segmento='ESTR' AND ambito='PM' AND entidade='00100' ) A </v>
      </c>
      <c r="I154" s="75" t="str">
        <f>IF(VLOOKUP(B154,Instruções!$F$13:$J$17,5,0)="",
"(SELECT "&amp;VLOOKUP(B154,Instruções!$F$13:$J$17,4,0)&amp;" as "&amp;VLOOKUP(B154,Instruções!$F$13:$J$17,4,0)&amp;"_"&amp;$G$2&amp;", "&amp;E154&amp;" as "&amp;G154&amp;" FROM "&amp;D154&amp;" WHERE "&amp;Instruções!$D$21&amp;") B ",
"(SELECT "&amp;VLOOKUP(B154,Instruções!$F$13:$J$17,4,0)&amp;" as "&amp;VLOOKUP(B154,Instruções!$F$13:$J$17,4,0)&amp;"_"&amp;$G$2&amp;", "&amp;VLOOKUP(B154,Instruções!$F$13:$J$17,5,0)&amp;" as "&amp;VLOOKUP(B154,Instruções!$F$13:$J$17,5,0)&amp;"_"&amp;$G$2&amp;","&amp;E154&amp;" as "&amp;G154&amp;" FROM "&amp;D154&amp;" WHERE "&amp;Instruções!$D$21&amp;") B ")</f>
        <v xml:space="preserve">(SELECT instrmnt_id as instrmnt_id_, dpd_12m_frbrnc_stts as dpd_12m_frbrnc_stts_to_be FROM bu_loantape_work.lt002_instrument WHERE ref_date='2024-09-30' AND nome_perimetro='Individual Corporativo' AND segmento='ESTR' AND ambito='PM' AND entidade='00100' ) B </v>
      </c>
      <c r="J154" s="75" t="str">
        <f>+IF(VLOOKUP(B154,Instruções!$F$13:$J$17,5,0)="", "ON "&amp;VLOOKUP(B154,Instruções!$F$13:$J$17,4,0)&amp;"_"&amp;$F$7&amp;"="&amp;VLOOKUP(B154,Instruções!$F$13:$J$17,4,0)&amp;"_"&amp;$G$7&amp;" ", "ON "&amp;VLOOKUP(B154,Instruções!$F$13:$J$17,4,0)&amp;"_"&amp;$F$7&amp;"="&amp;VLOOKUP(B154,Instruções!$F$13:$J$17,4,0)&amp;"_"&amp;$G$7&amp;" AND "&amp;VLOOKUP(B154,Instruções!$F$13:$J$17,5,0)&amp;"_"&amp;$F$7&amp;"="&amp;VLOOKUP(B154,Instruções!$F$13:$J$17,5,0)&amp;"_"&amp;$G$7&amp;" ")</f>
        <v xml:space="preserve">ON instrmnt_id_as_is=instrmnt_id_to_be </v>
      </c>
      <c r="K154" s="75" t="str">
        <f t="shared" si="18"/>
        <v xml:space="preserve">WHERE coalesce(cast(dpd_12m_frbrnc_stts_as_is AS string),'')&lt;&gt;coalesce(cast(dpd_12m_frbrnc_stts_to_be AS string),'') </v>
      </c>
      <c r="L154" s="75" t="str">
        <f t="shared" si="19"/>
        <v xml:space="preserve">SELECT count(*) AS NUM_REG_DIF FROM (SELECT instrmnt_id as instrmnt_id_, dpd_12m_frbrnc_stts as dpd_12m_frbrnc_stts_as_is FROM cd_loan_tapes_bce.lt002_instrument WHERE ref_date='2024-09-30' AND nome_perimetro='Individual Corporativo' AND segmento='ESTR' AND ambito='PM' AND entidade='00100' ) A  Inner join (SELECT instrmnt_id as instrmnt_id_, dpd_12m_frbrnc_stts as dpd_12m_frbrnc_stts_to_be FROM bu_loantape_work.lt002_instrument WHERE ref_date='2024-09-30' AND nome_perimetro='Individual Corporativo' AND segmento='ESTR' AND ambito='PM' AND entidade='00100' ) B ON instrmnt_id_as_is=instrmnt_id_to_be WHERE coalesce(cast(dpd_12m_frbrnc_stts_as_is AS string),'')&lt;&gt;coalesce(cast(dpd_12m_frbrnc_stts_to_be AS string),'') </v>
      </c>
      <c r="M154" s="75" t="s">
        <v>55</v>
      </c>
      <c r="N154" s="75" t="str">
        <f>"SELECT 'Validação de campos' as tipologia_teste, '"&amp;VLOOKUP(B154,Instruções!$F$13:$J$17,3,0)&amp;"' AS TABELA, '"&amp;E154&amp;"' AS CAMPO, '"&amp;Instruções!$D$15&amp;"' as ref_date, coalesce(NUM_REG_DIF, 0) AS NUM_REG_DIF FROM ("&amp;L154&amp;") A "</f>
        <v xml:space="preserve">SELECT 'Validação de campos' as tipologia_teste, 'lt002_instrument' AS TABELA, 'dpd_12m_frbrnc_stts' AS CAMPO, '2024-09-30' as ref_date, coalesce(NUM_REG_DIF, 0) AS NUM_REG_DIF FROM (SELECT count(*) AS NUM_REG_DIF FROM (SELECT instrmnt_id as instrmnt_id_, dpd_12m_frbrnc_stts as dpd_12m_frbrnc_stts_as_is FROM cd_loan_tapes_bce.lt002_instrument WHERE ref_date='2024-09-30' AND nome_perimetro='Individual Corporativo' AND segmento='ESTR' AND ambito='PM' AND entidade='00100' ) A  Inner join (SELECT instrmnt_id as instrmnt_id_, dpd_12m_frbrnc_stts as dpd_12m_frbrnc_stts_to_be FROM bu_loantape_work.lt002_instrument WHERE ref_date='2024-09-30' AND nome_perimetro='Individual Corporativo' AND segmento='ESTR' AND ambito='PM' AND entidade='00100' ) B ON instrmnt_id_as_is=instrmnt_id_to_be WHERE coalesce(cast(dpd_12m_frbrnc_stts_as_is AS string),'')&lt;&gt;coalesce(cast(dpd_12m_frbrnc_stts_to_be AS string),'') ) A </v>
      </c>
      <c r="O154" s="76" t="str">
        <f t="shared" si="20"/>
        <v>SELECT 'Validação de campos' as tipologia_teste, 'lt002_instrument' AS TABELA, 'dpd_12m_frbrnc_stts' AS CAMPO, '2024-09-30' as ref_date, coalesce(NUM_REG_DIF, 0) AS NUM_REG_DIF FROM (SELECT count(*) AS NUM_REG_DIF FROM (SELECT instrmnt_id as instrmnt_id_, dpd_12m_frbrnc_stts as dpd_12m_frbrnc_stts_as_is FROM cd_loan_tapes_bce.lt002_instrument WHERE ref_date='2024-09-30' AND nome_perimetro='Individual Corporativo' AND segmento='ESTR' AND ambito='PM' AND entidade='00100' ) A  Inner join (SELECT instrmnt_id as instrmnt_id_, dpd_12m_frbrnc_stts as dpd_12m_frbrnc_stts_to_be FROM bu_loantape_work.lt002_instrument WHERE ref_date='2024-09-30' AND nome_perimetro='Individual Corporativo' AND segmento='ESTR' AND ambito='PM' AND entidade='00100' ) B ON instrmnt_id_as_is=instrmnt_id_to_be WHERE coalesce(cast(dpd_12m_frbrnc_stts_as_is AS string),'')&lt;&gt;coalesce(cast(dpd_12m_frbrnc_stts_to_be AS string),'') ) A Union all</v>
      </c>
      <c r="P154" s="75">
        <f t="shared" si="22"/>
        <v>44</v>
      </c>
    </row>
    <row r="155" spans="2:16" s="63" customFormat="1" ht="18" customHeight="1">
      <c r="B155" s="75" t="s">
        <v>26</v>
      </c>
      <c r="C155" s="75" t="str">
        <f>_xlfn.CONCAT(Instruções!$D$13,".",VLOOKUP(B155,Instruções!$F$12:$H$17,2,0))</f>
        <v>cd_loan_tapes_bce.lt002_instrument</v>
      </c>
      <c r="D155" s="75" t="str">
        <f>_xlfn.CONCAT(Instruções!$D$14,".",VLOOKUP(B155,Instruções!$F$12:$H$17,3,0))</f>
        <v>bu_loantape_work.lt002_instrument</v>
      </c>
      <c r="E155" s="75" t="s">
        <v>196</v>
      </c>
      <c r="F155" s="75" t="str">
        <f t="shared" si="23"/>
        <v>dpd_12m_prfrmng_stts_as_is</v>
      </c>
      <c r="G155" s="75" t="str">
        <f t="shared" si="24"/>
        <v>dpd_12m_prfrmng_stts_to_be</v>
      </c>
      <c r="H155" s="75" t="str">
        <f>IF(VLOOKUP(B155,Instruções!$F$13:$J$17,5,0)="",
"(SELECT "&amp;VLOOKUP(B155,Instruções!$F$13:$J$17,4,0)&amp;" as "&amp;VLOOKUP(B155,Instruções!$F$13:$J$17,4,0)&amp;"_"&amp;$F$2&amp;", "&amp;E155&amp;" as "&amp;F155&amp;" FROM "&amp;C155&amp;" WHERE "&amp;Instruções!$D$20&amp;") A ",
"(SELECT "&amp;VLOOKUP(B155,Instruções!$F$13:$J$17,4,0)&amp;" as "&amp;VLOOKUP(B155,Instruções!$F$13:$J$17,4,0)&amp;"_"&amp;$F$2&amp;", "&amp;VLOOKUP(B155,Instruções!$F$13:$J$17,5,0)&amp;" as "&amp;VLOOKUP(B155,Instruções!$F$13:$J$17,5,0)&amp;"_"&amp;$F$2&amp;","&amp;E155&amp;" as "&amp;F155&amp;" FROM "&amp;C155&amp;" WHERE "&amp;Instruções!$D$20&amp;") A ")</f>
        <v xml:space="preserve">(SELECT instrmnt_id as instrmnt_id_, dpd_12m_prfrmng_stts as dpd_12m_prfrmng_stts_as_is FROM cd_loan_tapes_bce.lt002_instrument WHERE ref_date='2024-09-30' AND nome_perimetro='Individual Corporativo' AND segmento='ESTR' AND ambito='PM' AND entidade='00100' ) A </v>
      </c>
      <c r="I155" s="75" t="str">
        <f>IF(VLOOKUP(B155,Instruções!$F$13:$J$17,5,0)="",
"(SELECT "&amp;VLOOKUP(B155,Instruções!$F$13:$J$17,4,0)&amp;" as "&amp;VLOOKUP(B155,Instruções!$F$13:$J$17,4,0)&amp;"_"&amp;$G$2&amp;", "&amp;E155&amp;" as "&amp;G155&amp;" FROM "&amp;D155&amp;" WHERE "&amp;Instruções!$D$21&amp;") B ",
"(SELECT "&amp;VLOOKUP(B155,Instruções!$F$13:$J$17,4,0)&amp;" as "&amp;VLOOKUP(B155,Instruções!$F$13:$J$17,4,0)&amp;"_"&amp;$G$2&amp;", "&amp;VLOOKUP(B155,Instruções!$F$13:$J$17,5,0)&amp;" as "&amp;VLOOKUP(B155,Instruções!$F$13:$J$17,5,0)&amp;"_"&amp;$G$2&amp;","&amp;E155&amp;" as "&amp;G155&amp;" FROM "&amp;D155&amp;" WHERE "&amp;Instruções!$D$21&amp;") B ")</f>
        <v xml:space="preserve">(SELECT instrmnt_id as instrmnt_id_, dpd_12m_prfrmng_stts as dpd_12m_prfrmng_stts_to_be FROM bu_loantape_work.lt002_instrument WHERE ref_date='2024-09-30' AND nome_perimetro='Individual Corporativo' AND segmento='ESTR' AND ambito='PM' AND entidade='00100' ) B </v>
      </c>
      <c r="J155" s="75" t="str">
        <f>+IF(VLOOKUP(B155,Instruções!$F$13:$J$17,5,0)="", "ON "&amp;VLOOKUP(B155,Instruções!$F$13:$J$17,4,0)&amp;"_"&amp;$F$7&amp;"="&amp;VLOOKUP(B155,Instruções!$F$13:$J$17,4,0)&amp;"_"&amp;$G$7&amp;" ", "ON "&amp;VLOOKUP(B155,Instruções!$F$13:$J$17,4,0)&amp;"_"&amp;$F$7&amp;"="&amp;VLOOKUP(B155,Instruções!$F$13:$J$17,4,0)&amp;"_"&amp;$G$7&amp;" AND "&amp;VLOOKUP(B155,Instruções!$F$13:$J$17,5,0)&amp;"_"&amp;$F$7&amp;"="&amp;VLOOKUP(B155,Instruções!$F$13:$J$17,5,0)&amp;"_"&amp;$G$7&amp;" ")</f>
        <v xml:space="preserve">ON instrmnt_id_as_is=instrmnt_id_to_be </v>
      </c>
      <c r="K155" s="75" t="str">
        <f t="shared" si="18"/>
        <v xml:space="preserve">WHERE coalesce(cast(dpd_12m_prfrmng_stts_as_is AS string),'')&lt;&gt;coalesce(cast(dpd_12m_prfrmng_stts_to_be AS string),'') </v>
      </c>
      <c r="L155" s="75" t="str">
        <f t="shared" si="19"/>
        <v xml:space="preserve">SELECT count(*) AS NUM_REG_DIF FROM (SELECT instrmnt_id as instrmnt_id_, dpd_12m_prfrmng_stts as dpd_12m_prfrmng_stts_as_is FROM cd_loan_tapes_bce.lt002_instrument WHERE ref_date='2024-09-30' AND nome_perimetro='Individual Corporativo' AND segmento='ESTR' AND ambito='PM' AND entidade='00100' ) A  Inner join (SELECT instrmnt_id as instrmnt_id_, dpd_12m_prfrmng_stts as dpd_12m_prfrmng_stts_to_be FROM bu_loantape_work.lt002_instrument WHERE ref_date='2024-09-30' AND nome_perimetro='Individual Corporativo' AND segmento='ESTR' AND ambito='PM' AND entidade='00100' ) B ON instrmnt_id_as_is=instrmnt_id_to_be WHERE coalesce(cast(dpd_12m_prfrmng_stts_as_is AS string),'')&lt;&gt;coalesce(cast(dpd_12m_prfrmng_stts_to_be AS string),'') </v>
      </c>
      <c r="M155" s="75" t="s">
        <v>55</v>
      </c>
      <c r="N155" s="75" t="str">
        <f>"SELECT 'Validação de campos' as tipologia_teste, '"&amp;VLOOKUP(B155,Instruções!$F$13:$J$17,3,0)&amp;"' AS TABELA, '"&amp;E155&amp;"' AS CAMPO, '"&amp;Instruções!$D$15&amp;"' as ref_date, coalesce(NUM_REG_DIF, 0) AS NUM_REG_DIF FROM ("&amp;L155&amp;") A "</f>
        <v xml:space="preserve">SELECT 'Validação de campos' as tipologia_teste, 'lt002_instrument' AS TABELA, 'dpd_12m_prfrmng_stts' AS CAMPO, '2024-09-30' as ref_date, coalesce(NUM_REG_DIF, 0) AS NUM_REG_DIF FROM (SELECT count(*) AS NUM_REG_DIF FROM (SELECT instrmnt_id as instrmnt_id_, dpd_12m_prfrmng_stts as dpd_12m_prfrmng_stts_as_is FROM cd_loan_tapes_bce.lt002_instrument WHERE ref_date='2024-09-30' AND nome_perimetro='Individual Corporativo' AND segmento='ESTR' AND ambito='PM' AND entidade='00100' ) A  Inner join (SELECT instrmnt_id as instrmnt_id_, dpd_12m_prfrmng_stts as dpd_12m_prfrmng_stts_to_be FROM bu_loantape_work.lt002_instrument WHERE ref_date='2024-09-30' AND nome_perimetro='Individual Corporativo' AND segmento='ESTR' AND ambito='PM' AND entidade='00100' ) B ON instrmnt_id_as_is=instrmnt_id_to_be WHERE coalesce(cast(dpd_12m_prfrmng_stts_as_is AS string),'')&lt;&gt;coalesce(cast(dpd_12m_prfrmng_stts_to_be AS string),'') ) A </v>
      </c>
      <c r="O155" s="76" t="str">
        <f t="shared" si="20"/>
        <v>SELECT 'Validação de campos' as tipologia_teste, 'lt002_instrument' AS TABELA, 'dpd_12m_prfrmng_stts' AS CAMPO, '2024-09-30' as ref_date, coalesce(NUM_REG_DIF, 0) AS NUM_REG_DIF FROM (SELECT count(*) AS NUM_REG_DIF FROM (SELECT instrmnt_id as instrmnt_id_, dpd_12m_prfrmng_stts as dpd_12m_prfrmng_stts_as_is FROM cd_loan_tapes_bce.lt002_instrument WHERE ref_date='2024-09-30' AND nome_perimetro='Individual Corporativo' AND segmento='ESTR' AND ambito='PM' AND entidade='00100' ) A  Inner join (SELECT instrmnt_id as instrmnt_id_, dpd_12m_prfrmng_stts as dpd_12m_prfrmng_stts_to_be FROM bu_loantape_work.lt002_instrument WHERE ref_date='2024-09-30' AND nome_perimetro='Individual Corporativo' AND segmento='ESTR' AND ambito='PM' AND entidade='00100' ) B ON instrmnt_id_as_is=instrmnt_id_to_be WHERE coalesce(cast(dpd_12m_prfrmng_stts_as_is AS string),'')&lt;&gt;coalesce(cast(dpd_12m_prfrmng_stts_to_be AS string),'') ) A Union all</v>
      </c>
      <c r="P155" s="75">
        <f t="shared" si="22"/>
        <v>45</v>
      </c>
    </row>
    <row r="156" spans="2:16" s="63" customFormat="1" ht="18" customHeight="1">
      <c r="B156" s="75" t="s">
        <v>26</v>
      </c>
      <c r="C156" s="75" t="str">
        <f>_xlfn.CONCAT(Instruções!$D$13,".",VLOOKUP(B156,Instruções!$F$12:$H$17,2,0))</f>
        <v>cd_loan_tapes_bce.lt002_instrument</v>
      </c>
      <c r="D156" s="75" t="str">
        <f>_xlfn.CONCAT(Instruções!$D$14,".",VLOOKUP(B156,Instruções!$F$12:$H$17,3,0))</f>
        <v>bu_loantape_work.lt002_instrument</v>
      </c>
      <c r="E156" s="75" t="s">
        <v>197</v>
      </c>
      <c r="F156" s="75" t="str">
        <f t="shared" si="23"/>
        <v>dpd_24m_frbrnc_stts_as_is</v>
      </c>
      <c r="G156" s="75" t="str">
        <f t="shared" si="24"/>
        <v>dpd_24m_frbrnc_stts_to_be</v>
      </c>
      <c r="H156" s="75" t="str">
        <f>IF(VLOOKUP(B156,Instruções!$F$13:$J$17,5,0)="",
"(SELECT "&amp;VLOOKUP(B156,Instruções!$F$13:$J$17,4,0)&amp;" as "&amp;VLOOKUP(B156,Instruções!$F$13:$J$17,4,0)&amp;"_"&amp;$F$2&amp;", "&amp;E156&amp;" as "&amp;F156&amp;" FROM "&amp;C156&amp;" WHERE "&amp;Instruções!$D$20&amp;") A ",
"(SELECT "&amp;VLOOKUP(B156,Instruções!$F$13:$J$17,4,0)&amp;" as "&amp;VLOOKUP(B156,Instruções!$F$13:$J$17,4,0)&amp;"_"&amp;$F$2&amp;", "&amp;VLOOKUP(B156,Instruções!$F$13:$J$17,5,0)&amp;" as "&amp;VLOOKUP(B156,Instruções!$F$13:$J$17,5,0)&amp;"_"&amp;$F$2&amp;","&amp;E156&amp;" as "&amp;F156&amp;" FROM "&amp;C156&amp;" WHERE "&amp;Instruções!$D$20&amp;") A ")</f>
        <v xml:space="preserve">(SELECT instrmnt_id as instrmnt_id_, dpd_24m_frbrnc_stts as dpd_24m_frbrnc_stts_as_is FROM cd_loan_tapes_bce.lt002_instrument WHERE ref_date='2024-09-30' AND nome_perimetro='Individual Corporativo' AND segmento='ESTR' AND ambito='PM' AND entidade='00100' ) A </v>
      </c>
      <c r="I156" s="75" t="str">
        <f>IF(VLOOKUP(B156,Instruções!$F$13:$J$17,5,0)="",
"(SELECT "&amp;VLOOKUP(B156,Instruções!$F$13:$J$17,4,0)&amp;" as "&amp;VLOOKUP(B156,Instruções!$F$13:$J$17,4,0)&amp;"_"&amp;$G$2&amp;", "&amp;E156&amp;" as "&amp;G156&amp;" FROM "&amp;D156&amp;" WHERE "&amp;Instruções!$D$21&amp;") B ",
"(SELECT "&amp;VLOOKUP(B156,Instruções!$F$13:$J$17,4,0)&amp;" as "&amp;VLOOKUP(B156,Instruções!$F$13:$J$17,4,0)&amp;"_"&amp;$G$2&amp;", "&amp;VLOOKUP(B156,Instruções!$F$13:$J$17,5,0)&amp;" as "&amp;VLOOKUP(B156,Instruções!$F$13:$J$17,5,0)&amp;"_"&amp;$G$2&amp;","&amp;E156&amp;" as "&amp;G156&amp;" FROM "&amp;D156&amp;" WHERE "&amp;Instruções!$D$21&amp;") B ")</f>
        <v xml:space="preserve">(SELECT instrmnt_id as instrmnt_id_, dpd_24m_frbrnc_stts as dpd_24m_frbrnc_stts_to_be FROM bu_loantape_work.lt002_instrument WHERE ref_date='2024-09-30' AND nome_perimetro='Individual Corporativo' AND segmento='ESTR' AND ambito='PM' AND entidade='00100' ) B </v>
      </c>
      <c r="J156" s="75" t="str">
        <f>+IF(VLOOKUP(B156,Instruções!$F$13:$J$17,5,0)="", "ON "&amp;VLOOKUP(B156,Instruções!$F$13:$J$17,4,0)&amp;"_"&amp;$F$7&amp;"="&amp;VLOOKUP(B156,Instruções!$F$13:$J$17,4,0)&amp;"_"&amp;$G$7&amp;" ", "ON "&amp;VLOOKUP(B156,Instruções!$F$13:$J$17,4,0)&amp;"_"&amp;$F$7&amp;"="&amp;VLOOKUP(B156,Instruções!$F$13:$J$17,4,0)&amp;"_"&amp;$G$7&amp;" AND "&amp;VLOOKUP(B156,Instruções!$F$13:$J$17,5,0)&amp;"_"&amp;$F$7&amp;"="&amp;VLOOKUP(B156,Instruções!$F$13:$J$17,5,0)&amp;"_"&amp;$G$7&amp;" ")</f>
        <v xml:space="preserve">ON instrmnt_id_as_is=instrmnt_id_to_be </v>
      </c>
      <c r="K156" s="75" t="str">
        <f t="shared" si="18"/>
        <v xml:space="preserve">WHERE coalesce(cast(dpd_24m_frbrnc_stts_as_is AS string),'')&lt;&gt;coalesce(cast(dpd_24m_frbrnc_stts_to_be AS string),'') </v>
      </c>
      <c r="L156" s="75" t="str">
        <f t="shared" si="19"/>
        <v xml:space="preserve">SELECT count(*) AS NUM_REG_DIF FROM (SELECT instrmnt_id as instrmnt_id_, dpd_24m_frbrnc_stts as dpd_24m_frbrnc_stts_as_is FROM cd_loan_tapes_bce.lt002_instrument WHERE ref_date='2024-09-30' AND nome_perimetro='Individual Corporativo' AND segmento='ESTR' AND ambito='PM' AND entidade='00100' ) A  Inner join (SELECT instrmnt_id as instrmnt_id_, dpd_24m_frbrnc_stts as dpd_24m_frbrnc_stts_to_be FROM bu_loantape_work.lt002_instrument WHERE ref_date='2024-09-30' AND nome_perimetro='Individual Corporativo' AND segmento='ESTR' AND ambito='PM' AND entidade='00100' ) B ON instrmnt_id_as_is=instrmnt_id_to_be WHERE coalesce(cast(dpd_24m_frbrnc_stts_as_is AS string),'')&lt;&gt;coalesce(cast(dpd_24m_frbrnc_stts_to_be AS string),'') </v>
      </c>
      <c r="M156" s="75" t="s">
        <v>55</v>
      </c>
      <c r="N156" s="75" t="str">
        <f>"SELECT 'Validação de campos' as tipologia_teste, '"&amp;VLOOKUP(B156,Instruções!$F$13:$J$17,3,0)&amp;"' AS TABELA, '"&amp;E156&amp;"' AS CAMPO, '"&amp;Instruções!$D$15&amp;"' as ref_date, coalesce(NUM_REG_DIF, 0) AS NUM_REG_DIF FROM ("&amp;L156&amp;") A "</f>
        <v xml:space="preserve">SELECT 'Validação de campos' as tipologia_teste, 'lt002_instrument' AS TABELA, 'dpd_24m_frbrnc_stts' AS CAMPO, '2024-09-30' as ref_date, coalesce(NUM_REG_DIF, 0) AS NUM_REG_DIF FROM (SELECT count(*) AS NUM_REG_DIF FROM (SELECT instrmnt_id as instrmnt_id_, dpd_24m_frbrnc_stts as dpd_24m_frbrnc_stts_as_is FROM cd_loan_tapes_bce.lt002_instrument WHERE ref_date='2024-09-30' AND nome_perimetro='Individual Corporativo' AND segmento='ESTR' AND ambito='PM' AND entidade='00100' ) A  Inner join (SELECT instrmnt_id as instrmnt_id_, dpd_24m_frbrnc_stts as dpd_24m_frbrnc_stts_to_be FROM bu_loantape_work.lt002_instrument WHERE ref_date='2024-09-30' AND nome_perimetro='Individual Corporativo' AND segmento='ESTR' AND ambito='PM' AND entidade='00100' ) B ON instrmnt_id_as_is=instrmnt_id_to_be WHERE coalesce(cast(dpd_24m_frbrnc_stts_as_is AS string),'')&lt;&gt;coalesce(cast(dpd_24m_frbrnc_stts_to_be AS string),'') ) A </v>
      </c>
      <c r="O156" s="76" t="str">
        <f t="shared" si="20"/>
        <v>SELECT 'Validação de campos' as tipologia_teste, 'lt002_instrument' AS TABELA, 'dpd_24m_frbrnc_stts' AS CAMPO, '2024-09-30' as ref_date, coalesce(NUM_REG_DIF, 0) AS NUM_REG_DIF FROM (SELECT count(*) AS NUM_REG_DIF FROM (SELECT instrmnt_id as instrmnt_id_, dpd_24m_frbrnc_stts as dpd_24m_frbrnc_stts_as_is FROM cd_loan_tapes_bce.lt002_instrument WHERE ref_date='2024-09-30' AND nome_perimetro='Individual Corporativo' AND segmento='ESTR' AND ambito='PM' AND entidade='00100' ) A  Inner join (SELECT instrmnt_id as instrmnt_id_, dpd_24m_frbrnc_stts as dpd_24m_frbrnc_stts_to_be FROM bu_loantape_work.lt002_instrument WHERE ref_date='2024-09-30' AND nome_perimetro='Individual Corporativo' AND segmento='ESTR' AND ambito='PM' AND entidade='00100' ) B ON instrmnt_id_as_is=instrmnt_id_to_be WHERE coalesce(cast(dpd_24m_frbrnc_stts_as_is AS string),'')&lt;&gt;coalesce(cast(dpd_24m_frbrnc_stts_to_be AS string),'') ) A Union all</v>
      </c>
      <c r="P156" s="75">
        <f t="shared" si="22"/>
        <v>46</v>
      </c>
    </row>
    <row r="157" spans="2:16" s="63" customFormat="1" ht="18" customHeight="1">
      <c r="B157" s="75" t="s">
        <v>26</v>
      </c>
      <c r="C157" s="75" t="str">
        <f>_xlfn.CONCAT(Instruções!$D$13,".",VLOOKUP(B157,Instruções!$F$12:$H$17,2,0))</f>
        <v>cd_loan_tapes_bce.lt002_instrument</v>
      </c>
      <c r="D157" s="75" t="str">
        <f>_xlfn.CONCAT(Instruções!$D$14,".",VLOOKUP(B157,Instruções!$F$12:$H$17,3,0))</f>
        <v>bu_loantape_work.lt002_instrument</v>
      </c>
      <c r="E157" s="75" t="s">
        <v>198</v>
      </c>
      <c r="F157" s="75" t="str">
        <f t="shared" si="23"/>
        <v>dpd_24m_prfrmng_stts_as_is</v>
      </c>
      <c r="G157" s="75" t="str">
        <f t="shared" si="24"/>
        <v>dpd_24m_prfrmng_stts_to_be</v>
      </c>
      <c r="H157" s="75" t="str">
        <f>IF(VLOOKUP(B157,Instruções!$F$13:$J$17,5,0)="",
"(SELECT "&amp;VLOOKUP(B157,Instruções!$F$13:$J$17,4,0)&amp;" as "&amp;VLOOKUP(B157,Instruções!$F$13:$J$17,4,0)&amp;"_"&amp;$F$2&amp;", "&amp;E157&amp;" as "&amp;F157&amp;" FROM "&amp;C157&amp;" WHERE "&amp;Instruções!$D$20&amp;") A ",
"(SELECT "&amp;VLOOKUP(B157,Instruções!$F$13:$J$17,4,0)&amp;" as "&amp;VLOOKUP(B157,Instruções!$F$13:$J$17,4,0)&amp;"_"&amp;$F$2&amp;", "&amp;VLOOKUP(B157,Instruções!$F$13:$J$17,5,0)&amp;" as "&amp;VLOOKUP(B157,Instruções!$F$13:$J$17,5,0)&amp;"_"&amp;$F$2&amp;","&amp;E157&amp;" as "&amp;F157&amp;" FROM "&amp;C157&amp;" WHERE "&amp;Instruções!$D$20&amp;") A ")</f>
        <v xml:space="preserve">(SELECT instrmnt_id as instrmnt_id_, dpd_24m_prfrmng_stts as dpd_24m_prfrmng_stts_as_is FROM cd_loan_tapes_bce.lt002_instrument WHERE ref_date='2024-09-30' AND nome_perimetro='Individual Corporativo' AND segmento='ESTR' AND ambito='PM' AND entidade='00100' ) A </v>
      </c>
      <c r="I157" s="75" t="str">
        <f>IF(VLOOKUP(B157,Instruções!$F$13:$J$17,5,0)="",
"(SELECT "&amp;VLOOKUP(B157,Instruções!$F$13:$J$17,4,0)&amp;" as "&amp;VLOOKUP(B157,Instruções!$F$13:$J$17,4,0)&amp;"_"&amp;$G$2&amp;", "&amp;E157&amp;" as "&amp;G157&amp;" FROM "&amp;D157&amp;" WHERE "&amp;Instruções!$D$21&amp;") B ",
"(SELECT "&amp;VLOOKUP(B157,Instruções!$F$13:$J$17,4,0)&amp;" as "&amp;VLOOKUP(B157,Instruções!$F$13:$J$17,4,0)&amp;"_"&amp;$G$2&amp;", "&amp;VLOOKUP(B157,Instruções!$F$13:$J$17,5,0)&amp;" as "&amp;VLOOKUP(B157,Instruções!$F$13:$J$17,5,0)&amp;"_"&amp;$G$2&amp;","&amp;E157&amp;" as "&amp;G157&amp;" FROM "&amp;D157&amp;" WHERE "&amp;Instruções!$D$21&amp;") B ")</f>
        <v xml:space="preserve">(SELECT instrmnt_id as instrmnt_id_, dpd_24m_prfrmng_stts as dpd_24m_prfrmng_stts_to_be FROM bu_loantape_work.lt002_instrument WHERE ref_date='2024-09-30' AND nome_perimetro='Individual Corporativo' AND segmento='ESTR' AND ambito='PM' AND entidade='00100' ) B </v>
      </c>
      <c r="J157" s="75" t="str">
        <f>+IF(VLOOKUP(B157,Instruções!$F$13:$J$17,5,0)="", "ON "&amp;VLOOKUP(B157,Instruções!$F$13:$J$17,4,0)&amp;"_"&amp;$F$7&amp;"="&amp;VLOOKUP(B157,Instruções!$F$13:$J$17,4,0)&amp;"_"&amp;$G$7&amp;" ", "ON "&amp;VLOOKUP(B157,Instruções!$F$13:$J$17,4,0)&amp;"_"&amp;$F$7&amp;"="&amp;VLOOKUP(B157,Instruções!$F$13:$J$17,4,0)&amp;"_"&amp;$G$7&amp;" AND "&amp;VLOOKUP(B157,Instruções!$F$13:$J$17,5,0)&amp;"_"&amp;$F$7&amp;"="&amp;VLOOKUP(B157,Instruções!$F$13:$J$17,5,0)&amp;"_"&amp;$G$7&amp;" ")</f>
        <v xml:space="preserve">ON instrmnt_id_as_is=instrmnt_id_to_be </v>
      </c>
      <c r="K157" s="75" t="str">
        <f t="shared" si="18"/>
        <v xml:space="preserve">WHERE coalesce(cast(dpd_24m_prfrmng_stts_as_is AS string),'')&lt;&gt;coalesce(cast(dpd_24m_prfrmng_stts_to_be AS string),'') </v>
      </c>
      <c r="L157" s="75" t="str">
        <f t="shared" si="19"/>
        <v xml:space="preserve">SELECT count(*) AS NUM_REG_DIF FROM (SELECT instrmnt_id as instrmnt_id_, dpd_24m_prfrmng_stts as dpd_24m_prfrmng_stts_as_is FROM cd_loan_tapes_bce.lt002_instrument WHERE ref_date='2024-09-30' AND nome_perimetro='Individual Corporativo' AND segmento='ESTR' AND ambito='PM' AND entidade='00100' ) A  Inner join (SELECT instrmnt_id as instrmnt_id_, dpd_24m_prfrmng_stts as dpd_24m_prfrmng_stts_to_be FROM bu_loantape_work.lt002_instrument WHERE ref_date='2024-09-30' AND nome_perimetro='Individual Corporativo' AND segmento='ESTR' AND ambito='PM' AND entidade='00100' ) B ON instrmnt_id_as_is=instrmnt_id_to_be WHERE coalesce(cast(dpd_24m_prfrmng_stts_as_is AS string),'')&lt;&gt;coalesce(cast(dpd_24m_prfrmng_stts_to_be AS string),'') </v>
      </c>
      <c r="M157" s="75" t="s">
        <v>55</v>
      </c>
      <c r="N157" s="75" t="str">
        <f>"SELECT 'Validação de campos' as tipologia_teste, '"&amp;VLOOKUP(B157,Instruções!$F$13:$J$17,3,0)&amp;"' AS TABELA, '"&amp;E157&amp;"' AS CAMPO, '"&amp;Instruções!$D$15&amp;"' as ref_date, coalesce(NUM_REG_DIF, 0) AS NUM_REG_DIF FROM ("&amp;L157&amp;") A "</f>
        <v xml:space="preserve">SELECT 'Validação de campos' as tipologia_teste, 'lt002_instrument' AS TABELA, 'dpd_24m_prfrmng_stts' AS CAMPO, '2024-09-30' as ref_date, coalesce(NUM_REG_DIF, 0) AS NUM_REG_DIF FROM (SELECT count(*) AS NUM_REG_DIF FROM (SELECT instrmnt_id as instrmnt_id_, dpd_24m_prfrmng_stts as dpd_24m_prfrmng_stts_as_is FROM cd_loan_tapes_bce.lt002_instrument WHERE ref_date='2024-09-30' AND nome_perimetro='Individual Corporativo' AND segmento='ESTR' AND ambito='PM' AND entidade='00100' ) A  Inner join (SELECT instrmnt_id as instrmnt_id_, dpd_24m_prfrmng_stts as dpd_24m_prfrmng_stts_to_be FROM bu_loantape_work.lt002_instrument WHERE ref_date='2024-09-30' AND nome_perimetro='Individual Corporativo' AND segmento='ESTR' AND ambito='PM' AND entidade='00100' ) B ON instrmnt_id_as_is=instrmnt_id_to_be WHERE coalesce(cast(dpd_24m_prfrmng_stts_as_is AS string),'')&lt;&gt;coalesce(cast(dpd_24m_prfrmng_stts_to_be AS string),'') ) A </v>
      </c>
      <c r="O157" s="76" t="str">
        <f t="shared" si="20"/>
        <v>SELECT 'Validação de campos' as tipologia_teste, 'lt002_instrument' AS TABELA, 'dpd_24m_prfrmng_stts' AS CAMPO, '2024-09-30' as ref_date, coalesce(NUM_REG_DIF, 0) AS NUM_REG_DIF FROM (SELECT count(*) AS NUM_REG_DIF FROM (SELECT instrmnt_id as instrmnt_id_, dpd_24m_prfrmng_stts as dpd_24m_prfrmng_stts_as_is FROM cd_loan_tapes_bce.lt002_instrument WHERE ref_date='2024-09-30' AND nome_perimetro='Individual Corporativo' AND segmento='ESTR' AND ambito='PM' AND entidade='00100' ) A  Inner join (SELECT instrmnt_id as instrmnt_id_, dpd_24m_prfrmng_stts as dpd_24m_prfrmng_stts_to_be FROM bu_loantape_work.lt002_instrument WHERE ref_date='2024-09-30' AND nome_perimetro='Individual Corporativo' AND segmento='ESTR' AND ambito='PM' AND entidade='00100' ) B ON instrmnt_id_as_is=instrmnt_id_to_be WHERE coalesce(cast(dpd_24m_prfrmng_stts_as_is AS string),'')&lt;&gt;coalesce(cast(dpd_24m_prfrmng_stts_to_be AS string),'') ) A Union all</v>
      </c>
      <c r="P157" s="75">
        <f t="shared" si="22"/>
        <v>47</v>
      </c>
    </row>
    <row r="158" spans="2:16" s="63" customFormat="1" ht="18" customHeight="1">
      <c r="B158" s="75" t="s">
        <v>26</v>
      </c>
      <c r="C158" s="75" t="str">
        <f>_xlfn.CONCAT(Instruções!$D$13,".",VLOOKUP(B158,Instruções!$F$12:$H$17,2,0))</f>
        <v>cd_loan_tapes_bce.lt002_instrument</v>
      </c>
      <c r="D158" s="75" t="str">
        <f>_xlfn.CONCAT(Instruções!$D$14,".",VLOOKUP(B158,Instruções!$F$12:$H$17,3,0))</f>
        <v>bu_loantape_work.lt002_instrument</v>
      </c>
      <c r="E158" s="75" t="s">
        <v>199</v>
      </c>
      <c r="F158" s="75" t="str">
        <f t="shared" si="23"/>
        <v>dpd_as_is</v>
      </c>
      <c r="G158" s="75" t="str">
        <f t="shared" si="24"/>
        <v>dpd_to_be</v>
      </c>
      <c r="H158" s="75" t="str">
        <f>IF(VLOOKUP(B158,Instruções!$F$13:$J$17,5,0)="",
"(SELECT "&amp;VLOOKUP(B158,Instruções!$F$13:$J$17,4,0)&amp;" as "&amp;VLOOKUP(B158,Instruções!$F$13:$J$17,4,0)&amp;"_"&amp;$F$2&amp;", "&amp;E158&amp;" as "&amp;F158&amp;" FROM "&amp;C158&amp;" WHERE "&amp;Instruções!$D$20&amp;") A ",
"(SELECT "&amp;VLOOKUP(B158,Instruções!$F$13:$J$17,4,0)&amp;" as "&amp;VLOOKUP(B158,Instruções!$F$13:$J$17,4,0)&amp;"_"&amp;$F$2&amp;", "&amp;VLOOKUP(B158,Instruções!$F$13:$J$17,5,0)&amp;" as "&amp;VLOOKUP(B158,Instruções!$F$13:$J$17,5,0)&amp;"_"&amp;$F$2&amp;","&amp;E158&amp;" as "&amp;F158&amp;" FROM "&amp;C158&amp;" WHERE "&amp;Instruções!$D$20&amp;") A ")</f>
        <v xml:space="preserve">(SELECT instrmnt_id as instrmnt_id_, dpd as dpd_as_is FROM cd_loan_tapes_bce.lt002_instrument WHERE ref_date='2024-09-30' AND nome_perimetro='Individual Corporativo' AND segmento='ESTR' AND ambito='PM' AND entidade='00100' ) A </v>
      </c>
      <c r="I158" s="75" t="str">
        <f>IF(VLOOKUP(B158,Instruções!$F$13:$J$17,5,0)="",
"(SELECT "&amp;VLOOKUP(B158,Instruções!$F$13:$J$17,4,0)&amp;" as "&amp;VLOOKUP(B158,Instruções!$F$13:$J$17,4,0)&amp;"_"&amp;$G$2&amp;", "&amp;E158&amp;" as "&amp;G158&amp;" FROM "&amp;D158&amp;" WHERE "&amp;Instruções!$D$21&amp;") B ",
"(SELECT "&amp;VLOOKUP(B158,Instruções!$F$13:$J$17,4,0)&amp;" as "&amp;VLOOKUP(B158,Instruções!$F$13:$J$17,4,0)&amp;"_"&amp;$G$2&amp;", "&amp;VLOOKUP(B158,Instruções!$F$13:$J$17,5,0)&amp;" as "&amp;VLOOKUP(B158,Instruções!$F$13:$J$17,5,0)&amp;"_"&amp;$G$2&amp;","&amp;E158&amp;" as "&amp;G158&amp;" FROM "&amp;D158&amp;" WHERE "&amp;Instruções!$D$21&amp;") B ")</f>
        <v xml:space="preserve">(SELECT instrmnt_id as instrmnt_id_, dpd as dpd_to_be FROM bu_loantape_work.lt002_instrument WHERE ref_date='2024-09-30' AND nome_perimetro='Individual Corporativo' AND segmento='ESTR' AND ambito='PM' AND entidade='00100' ) B </v>
      </c>
      <c r="J158" s="75" t="str">
        <f>+IF(VLOOKUP(B158,Instruções!$F$13:$J$17,5,0)="", "ON "&amp;VLOOKUP(B158,Instruções!$F$13:$J$17,4,0)&amp;"_"&amp;$F$7&amp;"="&amp;VLOOKUP(B158,Instruções!$F$13:$J$17,4,0)&amp;"_"&amp;$G$7&amp;" ", "ON "&amp;VLOOKUP(B158,Instruções!$F$13:$J$17,4,0)&amp;"_"&amp;$F$7&amp;"="&amp;VLOOKUP(B158,Instruções!$F$13:$J$17,4,0)&amp;"_"&amp;$G$7&amp;" AND "&amp;VLOOKUP(B158,Instruções!$F$13:$J$17,5,0)&amp;"_"&amp;$F$7&amp;"="&amp;VLOOKUP(B158,Instruções!$F$13:$J$17,5,0)&amp;"_"&amp;$G$7&amp;" ")</f>
        <v xml:space="preserve">ON instrmnt_id_as_is=instrmnt_id_to_be </v>
      </c>
      <c r="K158" s="75" t="str">
        <f t="shared" si="18"/>
        <v xml:space="preserve">WHERE coalesce(cast(dpd_as_is AS string),'')&lt;&gt;coalesce(cast(dpd_to_be AS string),'') </v>
      </c>
      <c r="L158" s="75" t="str">
        <f t="shared" si="19"/>
        <v xml:space="preserve">SELECT count(*) AS NUM_REG_DIF FROM (SELECT instrmnt_id as instrmnt_id_, dpd as dpd_as_is FROM cd_loan_tapes_bce.lt002_instrument WHERE ref_date='2024-09-30' AND nome_perimetro='Individual Corporativo' AND segmento='ESTR' AND ambito='PM' AND entidade='00100' ) A  Inner join (SELECT instrmnt_id as instrmnt_id_, dpd as dpd_to_be FROM bu_loantape_work.lt002_instrument WHERE ref_date='2024-09-30' AND nome_perimetro='Individual Corporativo' AND segmento='ESTR' AND ambito='PM' AND entidade='00100' ) B ON instrmnt_id_as_is=instrmnt_id_to_be WHERE coalesce(cast(dpd_as_is AS string),'')&lt;&gt;coalesce(cast(dpd_to_be AS string),'') </v>
      </c>
      <c r="M158" s="75" t="s">
        <v>55</v>
      </c>
      <c r="N158" s="75" t="str">
        <f>"SELECT 'Validação de campos' as tipologia_teste, '"&amp;VLOOKUP(B158,Instruções!$F$13:$J$17,3,0)&amp;"' AS TABELA, '"&amp;E158&amp;"' AS CAMPO, '"&amp;Instruções!$D$15&amp;"' as ref_date, coalesce(NUM_REG_DIF, 0) AS NUM_REG_DIF FROM ("&amp;L158&amp;") A "</f>
        <v xml:space="preserve">SELECT 'Validação de campos' as tipologia_teste, 'lt002_instrument' AS TABELA, 'dpd' AS CAMPO, '2024-09-30' as ref_date, coalesce(NUM_REG_DIF, 0) AS NUM_REG_DIF FROM (SELECT count(*) AS NUM_REG_DIF FROM (SELECT instrmnt_id as instrmnt_id_, dpd as dpd_as_is FROM cd_loan_tapes_bce.lt002_instrument WHERE ref_date='2024-09-30' AND nome_perimetro='Individual Corporativo' AND segmento='ESTR' AND ambito='PM' AND entidade='00100' ) A  Inner join (SELECT instrmnt_id as instrmnt_id_, dpd as dpd_to_be FROM bu_loantape_work.lt002_instrument WHERE ref_date='2024-09-30' AND nome_perimetro='Individual Corporativo' AND segmento='ESTR' AND ambito='PM' AND entidade='00100' ) B ON instrmnt_id_as_is=instrmnt_id_to_be WHERE coalesce(cast(dpd_as_is AS string),'')&lt;&gt;coalesce(cast(dpd_to_be AS string),'') ) A </v>
      </c>
      <c r="O158" s="76" t="str">
        <f t="shared" si="20"/>
        <v>SELECT 'Validação de campos' as tipologia_teste, 'lt002_instrument' AS TABELA, 'dpd' AS CAMPO, '2024-09-30' as ref_date, coalesce(NUM_REG_DIF, 0) AS NUM_REG_DIF FROM (SELECT count(*) AS NUM_REG_DIF FROM (SELECT instrmnt_id as instrmnt_id_, dpd as dpd_as_is FROM cd_loan_tapes_bce.lt002_instrument WHERE ref_date='2024-09-30' AND nome_perimetro='Individual Corporativo' AND segmento='ESTR' AND ambito='PM' AND entidade='00100' ) A  Inner join (SELECT instrmnt_id as instrmnt_id_, dpd as dpd_to_be FROM bu_loantape_work.lt002_instrument WHERE ref_date='2024-09-30' AND nome_perimetro='Individual Corporativo' AND segmento='ESTR' AND ambito='PM' AND entidade='00100' ) B ON instrmnt_id_as_is=instrmnt_id_to_be WHERE coalesce(cast(dpd_as_is AS string),'')&lt;&gt;coalesce(cast(dpd_to_be AS string),'') ) A Union all</v>
      </c>
      <c r="P158" s="75">
        <f t="shared" si="22"/>
        <v>48</v>
      </c>
    </row>
    <row r="159" spans="2:16" s="63" customFormat="1" ht="18" customHeight="1">
      <c r="B159" s="75" t="s">
        <v>26</v>
      </c>
      <c r="C159" s="75" t="str">
        <f>_xlfn.CONCAT(Instruções!$D$13,".",VLOOKUP(B159,Instruções!$F$12:$H$17,2,0))</f>
        <v>cd_loan_tapes_bce.lt002_instrument</v>
      </c>
      <c r="D159" s="75" t="str">
        <f>_xlfn.CONCAT(Instruções!$D$14,".",VLOOKUP(B159,Instruções!$F$12:$H$17,3,0))</f>
        <v>bu_loantape_work.lt002_instrument</v>
      </c>
      <c r="E159" s="75" t="s">
        <v>200</v>
      </c>
      <c r="F159" s="75" t="str">
        <f t="shared" si="23"/>
        <v>dpd_frbrnc_stts_as_is</v>
      </c>
      <c r="G159" s="75" t="str">
        <f t="shared" si="24"/>
        <v>dpd_frbrnc_stts_to_be</v>
      </c>
      <c r="H159" s="75" t="str">
        <f>IF(VLOOKUP(B159,Instruções!$F$13:$J$17,5,0)="",
"(SELECT "&amp;VLOOKUP(B159,Instruções!$F$13:$J$17,4,0)&amp;" as "&amp;VLOOKUP(B159,Instruções!$F$13:$J$17,4,0)&amp;"_"&amp;$F$2&amp;", "&amp;E159&amp;" as "&amp;F159&amp;" FROM "&amp;C159&amp;" WHERE "&amp;Instruções!$D$20&amp;") A ",
"(SELECT "&amp;VLOOKUP(B159,Instruções!$F$13:$J$17,4,0)&amp;" as "&amp;VLOOKUP(B159,Instruções!$F$13:$J$17,4,0)&amp;"_"&amp;$F$2&amp;", "&amp;VLOOKUP(B159,Instruções!$F$13:$J$17,5,0)&amp;" as "&amp;VLOOKUP(B159,Instruções!$F$13:$J$17,5,0)&amp;"_"&amp;$F$2&amp;","&amp;E159&amp;" as "&amp;F159&amp;" FROM "&amp;C159&amp;" WHERE "&amp;Instruções!$D$20&amp;") A ")</f>
        <v xml:space="preserve">(SELECT instrmnt_id as instrmnt_id_, dpd_frbrnc_stts as dpd_frbrnc_stts_as_is FROM cd_loan_tapes_bce.lt002_instrument WHERE ref_date='2024-09-30' AND nome_perimetro='Individual Corporativo' AND segmento='ESTR' AND ambito='PM' AND entidade='00100' ) A </v>
      </c>
      <c r="I159" s="75" t="str">
        <f>IF(VLOOKUP(B159,Instruções!$F$13:$J$17,5,0)="",
"(SELECT "&amp;VLOOKUP(B159,Instruções!$F$13:$J$17,4,0)&amp;" as "&amp;VLOOKUP(B159,Instruções!$F$13:$J$17,4,0)&amp;"_"&amp;$G$2&amp;", "&amp;E159&amp;" as "&amp;G159&amp;" FROM "&amp;D159&amp;" WHERE "&amp;Instruções!$D$21&amp;") B ",
"(SELECT "&amp;VLOOKUP(B159,Instruções!$F$13:$J$17,4,0)&amp;" as "&amp;VLOOKUP(B159,Instruções!$F$13:$J$17,4,0)&amp;"_"&amp;$G$2&amp;", "&amp;VLOOKUP(B159,Instruções!$F$13:$J$17,5,0)&amp;" as "&amp;VLOOKUP(B159,Instruções!$F$13:$J$17,5,0)&amp;"_"&amp;$G$2&amp;","&amp;E159&amp;" as "&amp;G159&amp;" FROM "&amp;D159&amp;" WHERE "&amp;Instruções!$D$21&amp;") B ")</f>
        <v xml:space="preserve">(SELECT instrmnt_id as instrmnt_id_, dpd_frbrnc_stts as dpd_frbrnc_stts_to_be FROM bu_loantape_work.lt002_instrument WHERE ref_date='2024-09-30' AND nome_perimetro='Individual Corporativo' AND segmento='ESTR' AND ambito='PM' AND entidade='00100' ) B </v>
      </c>
      <c r="J159" s="75" t="str">
        <f>+IF(VLOOKUP(B159,Instruções!$F$13:$J$17,5,0)="", "ON "&amp;VLOOKUP(B159,Instruções!$F$13:$J$17,4,0)&amp;"_"&amp;$F$7&amp;"="&amp;VLOOKUP(B159,Instruções!$F$13:$J$17,4,0)&amp;"_"&amp;$G$7&amp;" ", "ON "&amp;VLOOKUP(B159,Instruções!$F$13:$J$17,4,0)&amp;"_"&amp;$F$7&amp;"="&amp;VLOOKUP(B159,Instruções!$F$13:$J$17,4,0)&amp;"_"&amp;$G$7&amp;" AND "&amp;VLOOKUP(B159,Instruções!$F$13:$J$17,5,0)&amp;"_"&amp;$F$7&amp;"="&amp;VLOOKUP(B159,Instruções!$F$13:$J$17,5,0)&amp;"_"&amp;$G$7&amp;" ")</f>
        <v xml:space="preserve">ON instrmnt_id_as_is=instrmnt_id_to_be </v>
      </c>
      <c r="K159" s="75" t="str">
        <f t="shared" si="18"/>
        <v xml:space="preserve">WHERE coalesce(cast(dpd_frbrnc_stts_as_is AS string),'')&lt;&gt;coalesce(cast(dpd_frbrnc_stts_to_be AS string),'') </v>
      </c>
      <c r="L159" s="75" t="str">
        <f t="shared" si="19"/>
        <v xml:space="preserve">SELECT count(*) AS NUM_REG_DIF FROM (SELECT instrmnt_id as instrmnt_id_, dpd_frbrnc_stts as dpd_frbrnc_stts_as_is FROM cd_loan_tapes_bce.lt002_instrument WHERE ref_date='2024-09-30' AND nome_perimetro='Individual Corporativo' AND segmento='ESTR' AND ambito='PM' AND entidade='00100' ) A  Inner join (SELECT instrmnt_id as instrmnt_id_, dpd_frbrnc_stts as dpd_frbrnc_stts_to_be FROM bu_loantape_work.lt002_instrument WHERE ref_date='2024-09-30' AND nome_perimetro='Individual Corporativo' AND segmento='ESTR' AND ambito='PM' AND entidade='00100' ) B ON instrmnt_id_as_is=instrmnt_id_to_be WHERE coalesce(cast(dpd_frbrnc_stts_as_is AS string),'')&lt;&gt;coalesce(cast(dpd_frbrnc_stts_to_be AS string),'') </v>
      </c>
      <c r="M159" s="75" t="s">
        <v>55</v>
      </c>
      <c r="N159" s="75" t="str">
        <f>"SELECT 'Validação de campos' as tipologia_teste, '"&amp;VLOOKUP(B159,Instruções!$F$13:$J$17,3,0)&amp;"' AS TABELA, '"&amp;E159&amp;"' AS CAMPO, '"&amp;Instruções!$D$15&amp;"' as ref_date, coalesce(NUM_REG_DIF, 0) AS NUM_REG_DIF FROM ("&amp;L159&amp;") A "</f>
        <v xml:space="preserve">SELECT 'Validação de campos' as tipologia_teste, 'lt002_instrument' AS TABELA, 'dpd_frbrnc_stts' AS CAMPO, '2024-09-30' as ref_date, coalesce(NUM_REG_DIF, 0) AS NUM_REG_DIF FROM (SELECT count(*) AS NUM_REG_DIF FROM (SELECT instrmnt_id as instrmnt_id_, dpd_frbrnc_stts as dpd_frbrnc_stts_as_is FROM cd_loan_tapes_bce.lt002_instrument WHERE ref_date='2024-09-30' AND nome_perimetro='Individual Corporativo' AND segmento='ESTR' AND ambito='PM' AND entidade='00100' ) A  Inner join (SELECT instrmnt_id as instrmnt_id_, dpd_frbrnc_stts as dpd_frbrnc_stts_to_be FROM bu_loantape_work.lt002_instrument WHERE ref_date='2024-09-30' AND nome_perimetro='Individual Corporativo' AND segmento='ESTR' AND ambito='PM' AND entidade='00100' ) B ON instrmnt_id_as_is=instrmnt_id_to_be WHERE coalesce(cast(dpd_frbrnc_stts_as_is AS string),'')&lt;&gt;coalesce(cast(dpd_frbrnc_stts_to_be AS string),'') ) A </v>
      </c>
      <c r="O159" s="76" t="str">
        <f t="shared" si="20"/>
        <v>SELECT 'Validação de campos' as tipologia_teste, 'lt002_instrument' AS TABELA, 'dpd_frbrnc_stts' AS CAMPO, '2024-09-30' as ref_date, coalesce(NUM_REG_DIF, 0) AS NUM_REG_DIF FROM (SELECT count(*) AS NUM_REG_DIF FROM (SELECT instrmnt_id as instrmnt_id_, dpd_frbrnc_stts as dpd_frbrnc_stts_as_is FROM cd_loan_tapes_bce.lt002_instrument WHERE ref_date='2024-09-30' AND nome_perimetro='Individual Corporativo' AND segmento='ESTR' AND ambito='PM' AND entidade='00100' ) A  Inner join (SELECT instrmnt_id as instrmnt_id_, dpd_frbrnc_stts as dpd_frbrnc_stts_to_be FROM bu_loantape_work.lt002_instrument WHERE ref_date='2024-09-30' AND nome_perimetro='Individual Corporativo' AND segmento='ESTR' AND ambito='PM' AND entidade='00100' ) B ON instrmnt_id_as_is=instrmnt_id_to_be WHERE coalesce(cast(dpd_frbrnc_stts_as_is AS string),'')&lt;&gt;coalesce(cast(dpd_frbrnc_stts_to_be AS string),'') ) A Union all</v>
      </c>
      <c r="P159" s="75">
        <f t="shared" si="22"/>
        <v>49</v>
      </c>
    </row>
    <row r="160" spans="2:16" s="63" customFormat="1" ht="18" customHeight="1">
      <c r="B160" s="75" t="s">
        <v>26</v>
      </c>
      <c r="C160" s="75" t="str">
        <f>_xlfn.CONCAT(Instruções!$D$13,".",VLOOKUP(B160,Instruções!$F$12:$H$17,2,0))</f>
        <v>cd_loan_tapes_bce.lt002_instrument</v>
      </c>
      <c r="D160" s="75" t="str">
        <f>_xlfn.CONCAT(Instruções!$D$14,".",VLOOKUP(B160,Instruções!$F$12:$H$17,3,0))</f>
        <v>bu_loantape_work.lt002_instrument</v>
      </c>
      <c r="E160" s="75" t="s">
        <v>201</v>
      </c>
      <c r="F160" s="75" t="str">
        <f t="shared" si="23"/>
        <v>dpd_prfrmng_stts_as_is</v>
      </c>
      <c r="G160" s="75" t="str">
        <f t="shared" si="24"/>
        <v>dpd_prfrmng_stts_to_be</v>
      </c>
      <c r="H160" s="75" t="str">
        <f>IF(VLOOKUP(B160,Instruções!$F$13:$J$17,5,0)="",
"(SELECT "&amp;VLOOKUP(B160,Instruções!$F$13:$J$17,4,0)&amp;" as "&amp;VLOOKUP(B160,Instruções!$F$13:$J$17,4,0)&amp;"_"&amp;$F$2&amp;", "&amp;E160&amp;" as "&amp;F160&amp;" FROM "&amp;C160&amp;" WHERE "&amp;Instruções!$D$20&amp;") A ",
"(SELECT "&amp;VLOOKUP(B160,Instruções!$F$13:$J$17,4,0)&amp;" as "&amp;VLOOKUP(B160,Instruções!$F$13:$J$17,4,0)&amp;"_"&amp;$F$2&amp;", "&amp;VLOOKUP(B160,Instruções!$F$13:$J$17,5,0)&amp;" as "&amp;VLOOKUP(B160,Instruções!$F$13:$J$17,5,0)&amp;"_"&amp;$F$2&amp;","&amp;E160&amp;" as "&amp;F160&amp;" FROM "&amp;C160&amp;" WHERE "&amp;Instruções!$D$20&amp;") A ")</f>
        <v xml:space="preserve">(SELECT instrmnt_id as instrmnt_id_, dpd_prfrmng_stts as dpd_prfrmng_stts_as_is FROM cd_loan_tapes_bce.lt002_instrument WHERE ref_date='2024-09-30' AND nome_perimetro='Individual Corporativo' AND segmento='ESTR' AND ambito='PM' AND entidade='00100' ) A </v>
      </c>
      <c r="I160" s="75" t="str">
        <f>IF(VLOOKUP(B160,Instruções!$F$13:$J$17,5,0)="",
"(SELECT "&amp;VLOOKUP(B160,Instruções!$F$13:$J$17,4,0)&amp;" as "&amp;VLOOKUP(B160,Instruções!$F$13:$J$17,4,0)&amp;"_"&amp;$G$2&amp;", "&amp;E160&amp;" as "&amp;G160&amp;" FROM "&amp;D160&amp;" WHERE "&amp;Instruções!$D$21&amp;") B ",
"(SELECT "&amp;VLOOKUP(B160,Instruções!$F$13:$J$17,4,0)&amp;" as "&amp;VLOOKUP(B160,Instruções!$F$13:$J$17,4,0)&amp;"_"&amp;$G$2&amp;", "&amp;VLOOKUP(B160,Instruções!$F$13:$J$17,5,0)&amp;" as "&amp;VLOOKUP(B160,Instruções!$F$13:$J$17,5,0)&amp;"_"&amp;$G$2&amp;","&amp;E160&amp;" as "&amp;G160&amp;" FROM "&amp;D160&amp;" WHERE "&amp;Instruções!$D$21&amp;") B ")</f>
        <v xml:space="preserve">(SELECT instrmnt_id as instrmnt_id_, dpd_prfrmng_stts as dpd_prfrmng_stts_to_be FROM bu_loantape_work.lt002_instrument WHERE ref_date='2024-09-30' AND nome_perimetro='Individual Corporativo' AND segmento='ESTR' AND ambito='PM' AND entidade='00100' ) B </v>
      </c>
      <c r="J160" s="75" t="str">
        <f>+IF(VLOOKUP(B160,Instruções!$F$13:$J$17,5,0)="", "ON "&amp;VLOOKUP(B160,Instruções!$F$13:$J$17,4,0)&amp;"_"&amp;$F$7&amp;"="&amp;VLOOKUP(B160,Instruções!$F$13:$J$17,4,0)&amp;"_"&amp;$G$7&amp;" ", "ON "&amp;VLOOKUP(B160,Instruções!$F$13:$J$17,4,0)&amp;"_"&amp;$F$7&amp;"="&amp;VLOOKUP(B160,Instruções!$F$13:$J$17,4,0)&amp;"_"&amp;$G$7&amp;" AND "&amp;VLOOKUP(B160,Instruções!$F$13:$J$17,5,0)&amp;"_"&amp;$F$7&amp;"="&amp;VLOOKUP(B160,Instruções!$F$13:$J$17,5,0)&amp;"_"&amp;$G$7&amp;" ")</f>
        <v xml:space="preserve">ON instrmnt_id_as_is=instrmnt_id_to_be </v>
      </c>
      <c r="K160" s="75" t="str">
        <f t="shared" si="18"/>
        <v xml:space="preserve">WHERE coalesce(cast(dpd_prfrmng_stts_as_is AS string),'')&lt;&gt;coalesce(cast(dpd_prfrmng_stts_to_be AS string),'') </v>
      </c>
      <c r="L160" s="75" t="str">
        <f t="shared" si="19"/>
        <v xml:space="preserve">SELECT count(*) AS NUM_REG_DIF FROM (SELECT instrmnt_id as instrmnt_id_, dpd_prfrmng_stts as dpd_prfrmng_stts_as_is FROM cd_loan_tapes_bce.lt002_instrument WHERE ref_date='2024-09-30' AND nome_perimetro='Individual Corporativo' AND segmento='ESTR' AND ambito='PM' AND entidade='00100' ) A  Inner join (SELECT instrmnt_id as instrmnt_id_, dpd_prfrmng_stts as dpd_prfrmng_stts_to_be FROM bu_loantape_work.lt002_instrument WHERE ref_date='2024-09-30' AND nome_perimetro='Individual Corporativo' AND segmento='ESTR' AND ambito='PM' AND entidade='00100' ) B ON instrmnt_id_as_is=instrmnt_id_to_be WHERE coalesce(cast(dpd_prfrmng_stts_as_is AS string),'')&lt;&gt;coalesce(cast(dpd_prfrmng_stts_to_be AS string),'') </v>
      </c>
      <c r="M160" s="75" t="s">
        <v>55</v>
      </c>
      <c r="N160" s="75" t="str">
        <f>"SELECT 'Validação de campos' as tipologia_teste, '"&amp;VLOOKUP(B160,Instruções!$F$13:$J$17,3,0)&amp;"' AS TABELA, '"&amp;E160&amp;"' AS CAMPO, '"&amp;Instruções!$D$15&amp;"' as ref_date, coalesce(NUM_REG_DIF, 0) AS NUM_REG_DIF FROM ("&amp;L160&amp;") A "</f>
        <v xml:space="preserve">SELECT 'Validação de campos' as tipologia_teste, 'lt002_instrument' AS TABELA, 'dpd_prfrmng_stts' AS CAMPO, '2024-09-30' as ref_date, coalesce(NUM_REG_DIF, 0) AS NUM_REG_DIF FROM (SELECT count(*) AS NUM_REG_DIF FROM (SELECT instrmnt_id as instrmnt_id_, dpd_prfrmng_stts as dpd_prfrmng_stts_as_is FROM cd_loan_tapes_bce.lt002_instrument WHERE ref_date='2024-09-30' AND nome_perimetro='Individual Corporativo' AND segmento='ESTR' AND ambito='PM' AND entidade='00100' ) A  Inner join (SELECT instrmnt_id as instrmnt_id_, dpd_prfrmng_stts as dpd_prfrmng_stts_to_be FROM bu_loantape_work.lt002_instrument WHERE ref_date='2024-09-30' AND nome_perimetro='Individual Corporativo' AND segmento='ESTR' AND ambito='PM' AND entidade='00100' ) B ON instrmnt_id_as_is=instrmnt_id_to_be WHERE coalesce(cast(dpd_prfrmng_stts_as_is AS string),'')&lt;&gt;coalesce(cast(dpd_prfrmng_stts_to_be AS string),'') ) A </v>
      </c>
      <c r="O160" s="76" t="str">
        <f>IF(O161="",N160,N160&amp;$O$8)</f>
        <v xml:space="preserve">SELECT 'Validação de campos' as tipologia_teste, 'lt002_instrument' AS TABELA, 'dpd_prfrmng_stts' AS CAMPO, '2024-09-30' as ref_date, coalesce(NUM_REG_DIF, 0) AS NUM_REG_DIF FROM (SELECT count(*) AS NUM_REG_DIF FROM (SELECT instrmnt_id as instrmnt_id_, dpd_prfrmng_stts as dpd_prfrmng_stts_as_is FROM cd_loan_tapes_bce.lt002_instrument WHERE ref_date='2024-09-30' AND nome_perimetro='Individual Corporativo' AND segmento='ESTR' AND ambito='PM' AND entidade='00100' ) A  Inner join (SELECT instrmnt_id as instrmnt_id_, dpd_prfrmng_stts as dpd_prfrmng_stts_to_be FROM bu_loantape_work.lt002_instrument WHERE ref_date='2024-09-30' AND nome_perimetro='Individual Corporativo' AND segmento='ESTR' AND ambito='PM' AND entidade='00100' ) B ON instrmnt_id_as_is=instrmnt_id_to_be WHERE coalesce(cast(dpd_prfrmng_stts_as_is AS string),'')&lt;&gt;coalesce(cast(dpd_prfrmng_stts_to_be AS string),'') ) A </v>
      </c>
      <c r="P160" s="75">
        <f t="shared" si="22"/>
        <v>50</v>
      </c>
    </row>
    <row r="161" spans="2:16" s="63" customFormat="1" ht="4.9000000000000004" customHeight="1">
      <c r="B161" s="78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0"/>
      <c r="P161" s="81"/>
    </row>
    <row r="162" spans="2:16" s="63" customFormat="1" ht="18" customHeight="1">
      <c r="B162" s="75" t="s">
        <v>26</v>
      </c>
      <c r="C162" s="75" t="str">
        <f>_xlfn.CONCAT(Instruções!$D$13,".",VLOOKUP(B162,Instruções!$F$12:$H$17,2,0))</f>
        <v>cd_loan_tapes_bce.lt002_instrument</v>
      </c>
      <c r="D162" s="75" t="str">
        <f>_xlfn.CONCAT(Instruções!$D$14,".",VLOOKUP(B162,Instruções!$F$12:$H$17,3,0))</f>
        <v>bu_loantape_work.lt002_instrument</v>
      </c>
      <c r="E162" s="75" t="s">
        <v>202</v>
      </c>
      <c r="F162" s="75" t="str">
        <f t="shared" ref="F162:F193" si="25">E162&amp;"_"&amp;$F$7</f>
        <v>dsti_as_is</v>
      </c>
      <c r="G162" s="75" t="str">
        <f t="shared" ref="G162:G193" si="26">E162&amp;"_"&amp;$G$7</f>
        <v>dsti_to_be</v>
      </c>
      <c r="H162" s="75" t="str">
        <f>IF(VLOOKUP(B162,Instruções!$F$13:$J$17,5,0)="",
"(SELECT "&amp;VLOOKUP(B162,Instruções!$F$13:$J$17,4,0)&amp;" as "&amp;VLOOKUP(B162,Instruções!$F$13:$J$17,4,0)&amp;"_"&amp;$F$2&amp;", "&amp;E162&amp;" as "&amp;F162&amp;" FROM "&amp;C162&amp;" WHERE "&amp;Instruções!$D$20&amp;") A ",
"(SELECT "&amp;VLOOKUP(B162,Instruções!$F$13:$J$17,4,0)&amp;" as "&amp;VLOOKUP(B162,Instruções!$F$13:$J$17,4,0)&amp;"_"&amp;$F$2&amp;", "&amp;VLOOKUP(B162,Instruções!$F$13:$J$17,5,0)&amp;" as "&amp;VLOOKUP(B162,Instruções!$F$13:$J$17,5,0)&amp;"_"&amp;$F$2&amp;","&amp;E162&amp;" as "&amp;F162&amp;" FROM "&amp;C162&amp;" WHERE "&amp;Instruções!$D$20&amp;") A ")</f>
        <v xml:space="preserve">(SELECT instrmnt_id as instrmnt_id_, dsti as dsti_as_is FROM cd_loan_tapes_bce.lt002_instrument WHERE ref_date='2024-09-30' AND nome_perimetro='Individual Corporativo' AND segmento='ESTR' AND ambito='PM' AND entidade='00100' ) A </v>
      </c>
      <c r="I162" s="75" t="str">
        <f>IF(VLOOKUP(B162,Instruções!$F$13:$J$17,5,0)="",
"(SELECT "&amp;VLOOKUP(B162,Instruções!$F$13:$J$17,4,0)&amp;" as "&amp;VLOOKUP(B162,Instruções!$F$13:$J$17,4,0)&amp;"_"&amp;$G$2&amp;", "&amp;E162&amp;" as "&amp;G162&amp;" FROM "&amp;D162&amp;" WHERE "&amp;Instruções!$D$21&amp;") B ",
"(SELECT "&amp;VLOOKUP(B162,Instruções!$F$13:$J$17,4,0)&amp;" as "&amp;VLOOKUP(B162,Instruções!$F$13:$J$17,4,0)&amp;"_"&amp;$G$2&amp;", "&amp;VLOOKUP(B162,Instruções!$F$13:$J$17,5,0)&amp;" as "&amp;VLOOKUP(B162,Instruções!$F$13:$J$17,5,0)&amp;"_"&amp;$G$2&amp;","&amp;E162&amp;" as "&amp;G162&amp;" FROM "&amp;D162&amp;" WHERE "&amp;Instruções!$D$21&amp;") B ")</f>
        <v xml:space="preserve">(SELECT instrmnt_id as instrmnt_id_, dsti as dsti_to_be FROM bu_loantape_work.lt002_instrument WHERE ref_date='2024-09-30' AND nome_perimetro='Individual Corporativo' AND segmento='ESTR' AND ambito='PM' AND entidade='00100' ) B </v>
      </c>
      <c r="J162" s="75" t="str">
        <f>+IF(VLOOKUP(B162,Instruções!$F$13:$J$17,5,0)="", "ON "&amp;VLOOKUP(B162,Instruções!$F$13:$J$17,4,0)&amp;"_"&amp;$F$7&amp;"="&amp;VLOOKUP(B162,Instruções!$F$13:$J$17,4,0)&amp;"_"&amp;$G$7&amp;" ", "ON "&amp;VLOOKUP(B162,Instruções!$F$13:$J$17,4,0)&amp;"_"&amp;$F$7&amp;"="&amp;VLOOKUP(B162,Instruções!$F$13:$J$17,4,0)&amp;"_"&amp;$G$7&amp;" AND "&amp;VLOOKUP(B162,Instruções!$F$13:$J$17,5,0)&amp;"_"&amp;$F$7&amp;"="&amp;VLOOKUP(B162,Instruções!$F$13:$J$17,5,0)&amp;"_"&amp;$G$7&amp;" ")</f>
        <v xml:space="preserve">ON instrmnt_id_as_is=instrmnt_id_to_be </v>
      </c>
      <c r="K162" s="75" t="str">
        <f t="shared" ref="K162:K211" si="27">"WHERE coalesce(cast("&amp;F162&amp;" AS string),'')&lt;&gt;coalesce(cast("&amp;G162&amp;" AS string),'') "</f>
        <v xml:space="preserve">WHERE coalesce(cast(dsti_as_is AS string),'')&lt;&gt;coalesce(cast(dsti_to_be AS string),'') </v>
      </c>
      <c r="L162" s="75" t="str">
        <f t="shared" ref="L162:L211" si="28">"SELECT count(*) AS NUM_REG_DIF FROM "&amp;H162&amp;" Inner join "&amp;I162&amp;J162&amp;K162</f>
        <v xml:space="preserve">SELECT count(*) AS NUM_REG_DIF FROM (SELECT instrmnt_id as instrmnt_id_, dsti as dsti_as_is FROM cd_loan_tapes_bce.lt002_instrument WHERE ref_date='2024-09-30' AND nome_perimetro='Individual Corporativo' AND segmento='ESTR' AND ambito='PM' AND entidade='00100' ) A  Inner join (SELECT instrmnt_id as instrmnt_id_, dsti as dsti_to_be FROM bu_loantape_work.lt002_instrument WHERE ref_date='2024-09-30' AND nome_perimetro='Individual Corporativo' AND segmento='ESTR' AND ambito='PM' AND entidade='00100' ) B ON instrmnt_id_as_is=instrmnt_id_to_be WHERE coalesce(cast(dsti_as_is AS string),'')&lt;&gt;coalesce(cast(dsti_to_be AS string),'') </v>
      </c>
      <c r="M162" s="75" t="s">
        <v>55</v>
      </c>
      <c r="N162" s="75" t="str">
        <f>"SELECT 'Validação de campos' as tipologia_teste, '"&amp;VLOOKUP(B162,Instruções!$F$13:$J$17,3,0)&amp;"' AS TABELA, '"&amp;E162&amp;"' AS CAMPO, '"&amp;Instruções!$D$15&amp;"' as ref_date, coalesce(NUM_REG_DIF, 0) AS NUM_REG_DIF FROM ("&amp;L162&amp;") A "</f>
        <v xml:space="preserve">SELECT 'Validação de campos' as tipologia_teste, 'lt002_instrument' AS TABELA, 'dsti' AS CAMPO, '2024-09-30' as ref_date, coalesce(NUM_REG_DIF, 0) AS NUM_REG_DIF FROM (SELECT count(*) AS NUM_REG_DIF FROM (SELECT instrmnt_id as instrmnt_id_, dsti as dsti_as_is FROM cd_loan_tapes_bce.lt002_instrument WHERE ref_date='2024-09-30' AND nome_perimetro='Individual Corporativo' AND segmento='ESTR' AND ambito='PM' AND entidade='00100' ) A  Inner join (SELECT instrmnt_id as instrmnt_id_, dsti as dsti_to_be FROM bu_loantape_work.lt002_instrument WHERE ref_date='2024-09-30' AND nome_perimetro='Individual Corporativo' AND segmento='ESTR' AND ambito='PM' AND entidade='00100' ) B ON instrmnt_id_as_is=instrmnt_id_to_be WHERE coalesce(cast(dsti_as_is AS string),'')&lt;&gt;coalesce(cast(dsti_to_be AS string),'') ) A </v>
      </c>
      <c r="O162" s="76" t="str">
        <f t="shared" ref="O162:O210" si="29">IF(O163="",N162,N162&amp;$O$8)</f>
        <v>SELECT 'Validação de campos' as tipologia_teste, 'lt002_instrument' AS TABELA, 'dsti' AS CAMPO, '2024-09-30' as ref_date, coalesce(NUM_REG_DIF, 0) AS NUM_REG_DIF FROM (SELECT count(*) AS NUM_REG_DIF FROM (SELECT instrmnt_id as instrmnt_id_, dsti as dsti_as_is FROM cd_loan_tapes_bce.lt002_instrument WHERE ref_date='2024-09-30' AND nome_perimetro='Individual Corporativo' AND segmento='ESTR' AND ambito='PM' AND entidade='00100' ) A  Inner join (SELECT instrmnt_id as instrmnt_id_, dsti as dsti_to_be FROM bu_loantape_work.lt002_instrument WHERE ref_date='2024-09-30' AND nome_perimetro='Individual Corporativo' AND segmento='ESTR' AND ambito='PM' AND entidade='00100' ) B ON instrmnt_id_as_is=instrmnt_id_to_be WHERE coalesce(cast(dsti_as_is AS string),'')&lt;&gt;coalesce(cast(dsti_to_be AS string),'') ) A Union all</v>
      </c>
      <c r="P162" s="75">
        <f>+P161+1</f>
        <v>1</v>
      </c>
    </row>
    <row r="163" spans="2:16" s="63" customFormat="1" ht="18" customHeight="1">
      <c r="B163" s="75" t="s">
        <v>26</v>
      </c>
      <c r="C163" s="75" t="str">
        <f>_xlfn.CONCAT(Instruções!$D$13,".",VLOOKUP(B163,Instruções!$F$12:$H$17,2,0))</f>
        <v>cd_loan_tapes_bce.lt002_instrument</v>
      </c>
      <c r="D163" s="75" t="str">
        <f>_xlfn.CONCAT(Instruções!$D$14,".",VLOOKUP(B163,Instruções!$F$12:$H$17,3,0))</f>
        <v>bu_loantape_work.lt002_instrument</v>
      </c>
      <c r="E163" s="75" t="s">
        <v>203</v>
      </c>
      <c r="F163" s="75" t="str">
        <f t="shared" si="25"/>
        <v>dstntn_fnds_as_is</v>
      </c>
      <c r="G163" s="75" t="str">
        <f t="shared" si="26"/>
        <v>dstntn_fnds_to_be</v>
      </c>
      <c r="H163" s="75" t="str">
        <f>IF(VLOOKUP(B163,Instruções!$F$13:$J$17,5,0)="",
"(SELECT "&amp;VLOOKUP(B163,Instruções!$F$13:$J$17,4,0)&amp;" as "&amp;VLOOKUP(B163,Instruções!$F$13:$J$17,4,0)&amp;"_"&amp;$F$2&amp;", "&amp;E163&amp;" as "&amp;F163&amp;" FROM "&amp;C163&amp;" WHERE "&amp;Instruções!$D$20&amp;") A ",
"(SELECT "&amp;VLOOKUP(B163,Instruções!$F$13:$J$17,4,0)&amp;" as "&amp;VLOOKUP(B163,Instruções!$F$13:$J$17,4,0)&amp;"_"&amp;$F$2&amp;", "&amp;VLOOKUP(B163,Instruções!$F$13:$J$17,5,0)&amp;" as "&amp;VLOOKUP(B163,Instruções!$F$13:$J$17,5,0)&amp;"_"&amp;$F$2&amp;","&amp;E163&amp;" as "&amp;F163&amp;" FROM "&amp;C163&amp;" WHERE "&amp;Instruções!$D$20&amp;") A ")</f>
        <v xml:space="preserve">(SELECT instrmnt_id as instrmnt_id_, dstntn_fnds as dstntn_fnds_as_is FROM cd_loan_tapes_bce.lt002_instrument WHERE ref_date='2024-09-30' AND nome_perimetro='Individual Corporativo' AND segmento='ESTR' AND ambito='PM' AND entidade='00100' ) A </v>
      </c>
      <c r="I163" s="75" t="str">
        <f>IF(VLOOKUP(B163,Instruções!$F$13:$J$17,5,0)="",
"(SELECT "&amp;VLOOKUP(B163,Instruções!$F$13:$J$17,4,0)&amp;" as "&amp;VLOOKUP(B163,Instruções!$F$13:$J$17,4,0)&amp;"_"&amp;$G$2&amp;", "&amp;E163&amp;" as "&amp;G163&amp;" FROM "&amp;D163&amp;" WHERE "&amp;Instruções!$D$21&amp;") B ",
"(SELECT "&amp;VLOOKUP(B163,Instruções!$F$13:$J$17,4,0)&amp;" as "&amp;VLOOKUP(B163,Instruções!$F$13:$J$17,4,0)&amp;"_"&amp;$G$2&amp;", "&amp;VLOOKUP(B163,Instruções!$F$13:$J$17,5,0)&amp;" as "&amp;VLOOKUP(B163,Instruções!$F$13:$J$17,5,0)&amp;"_"&amp;$G$2&amp;","&amp;E163&amp;" as "&amp;G163&amp;" FROM "&amp;D163&amp;" WHERE "&amp;Instruções!$D$21&amp;") B ")</f>
        <v xml:space="preserve">(SELECT instrmnt_id as instrmnt_id_, dstntn_fnds as dstntn_fnds_to_be FROM bu_loantape_work.lt002_instrument WHERE ref_date='2024-09-30' AND nome_perimetro='Individual Corporativo' AND segmento='ESTR' AND ambito='PM' AND entidade='00100' ) B </v>
      </c>
      <c r="J163" s="75" t="str">
        <f>+IF(VLOOKUP(B163,Instruções!$F$13:$J$17,5,0)="", "ON "&amp;VLOOKUP(B163,Instruções!$F$13:$J$17,4,0)&amp;"_"&amp;$F$7&amp;"="&amp;VLOOKUP(B163,Instruções!$F$13:$J$17,4,0)&amp;"_"&amp;$G$7&amp;" ", "ON "&amp;VLOOKUP(B163,Instruções!$F$13:$J$17,4,0)&amp;"_"&amp;$F$7&amp;"="&amp;VLOOKUP(B163,Instruções!$F$13:$J$17,4,0)&amp;"_"&amp;$G$7&amp;" AND "&amp;VLOOKUP(B163,Instruções!$F$13:$J$17,5,0)&amp;"_"&amp;$F$7&amp;"="&amp;VLOOKUP(B163,Instruções!$F$13:$J$17,5,0)&amp;"_"&amp;$G$7&amp;" ")</f>
        <v xml:space="preserve">ON instrmnt_id_as_is=instrmnt_id_to_be </v>
      </c>
      <c r="K163" s="75" t="str">
        <f t="shared" si="27"/>
        <v xml:space="preserve">WHERE coalesce(cast(dstntn_fnds_as_is AS string),'')&lt;&gt;coalesce(cast(dstntn_fnds_to_be AS string),'') </v>
      </c>
      <c r="L163" s="75" t="str">
        <f t="shared" si="28"/>
        <v xml:space="preserve">SELECT count(*) AS NUM_REG_DIF FROM (SELECT instrmnt_id as instrmnt_id_, dstntn_fnds as dstntn_fnds_as_is FROM cd_loan_tapes_bce.lt002_instrument WHERE ref_date='2024-09-30' AND nome_perimetro='Individual Corporativo' AND segmento='ESTR' AND ambito='PM' AND entidade='00100' ) A  Inner join (SELECT instrmnt_id as instrmnt_id_, dstntn_fnds as dstntn_fnds_to_be FROM bu_loantape_work.lt002_instrument WHERE ref_date='2024-09-30' AND nome_perimetro='Individual Corporativo' AND segmento='ESTR' AND ambito='PM' AND entidade='00100' ) B ON instrmnt_id_as_is=instrmnt_id_to_be WHERE coalesce(cast(dstntn_fnds_as_is AS string),'')&lt;&gt;coalesce(cast(dstntn_fnds_to_be AS string),'') </v>
      </c>
      <c r="M163" s="75" t="s">
        <v>55</v>
      </c>
      <c r="N163" s="75" t="str">
        <f>"SELECT 'Validação de campos' as tipologia_teste, '"&amp;VLOOKUP(B163,Instruções!$F$13:$J$17,3,0)&amp;"' AS TABELA, '"&amp;E163&amp;"' AS CAMPO, '"&amp;Instruções!$D$15&amp;"' as ref_date, coalesce(NUM_REG_DIF, 0) AS NUM_REG_DIF FROM ("&amp;L163&amp;") A "</f>
        <v xml:space="preserve">SELECT 'Validação de campos' as tipologia_teste, 'lt002_instrument' AS TABELA, 'dstntn_fnds' AS CAMPO, '2024-09-30' as ref_date, coalesce(NUM_REG_DIF, 0) AS NUM_REG_DIF FROM (SELECT count(*) AS NUM_REG_DIF FROM (SELECT instrmnt_id as instrmnt_id_, dstntn_fnds as dstntn_fnds_as_is FROM cd_loan_tapes_bce.lt002_instrument WHERE ref_date='2024-09-30' AND nome_perimetro='Individual Corporativo' AND segmento='ESTR' AND ambito='PM' AND entidade='00100' ) A  Inner join (SELECT instrmnt_id as instrmnt_id_, dstntn_fnds as dstntn_fnds_to_be FROM bu_loantape_work.lt002_instrument WHERE ref_date='2024-09-30' AND nome_perimetro='Individual Corporativo' AND segmento='ESTR' AND ambito='PM' AND entidade='00100' ) B ON instrmnt_id_as_is=instrmnt_id_to_be WHERE coalesce(cast(dstntn_fnds_as_is AS string),'')&lt;&gt;coalesce(cast(dstntn_fnds_to_be AS string),'') ) A </v>
      </c>
      <c r="O163" s="76" t="str">
        <f t="shared" si="29"/>
        <v>SELECT 'Validação de campos' as tipologia_teste, 'lt002_instrument' AS TABELA, 'dstntn_fnds' AS CAMPO, '2024-09-30' as ref_date, coalesce(NUM_REG_DIF, 0) AS NUM_REG_DIF FROM (SELECT count(*) AS NUM_REG_DIF FROM (SELECT instrmnt_id as instrmnt_id_, dstntn_fnds as dstntn_fnds_as_is FROM cd_loan_tapes_bce.lt002_instrument WHERE ref_date='2024-09-30' AND nome_perimetro='Individual Corporativo' AND segmento='ESTR' AND ambito='PM' AND entidade='00100' ) A  Inner join (SELECT instrmnt_id as instrmnt_id_, dstntn_fnds as dstntn_fnds_to_be FROM bu_loantape_work.lt002_instrument WHERE ref_date='2024-09-30' AND nome_perimetro='Individual Corporativo' AND segmento='ESTR' AND ambito='PM' AND entidade='00100' ) B ON instrmnt_id_as_is=instrmnt_id_to_be WHERE coalesce(cast(dstntn_fnds_as_is AS string),'')&lt;&gt;coalesce(cast(dstntn_fnds_to_be AS string),'') ) A Union all</v>
      </c>
      <c r="P163" s="75">
        <f t="shared" ref="P163:P191" si="30">+P162+1</f>
        <v>2</v>
      </c>
    </row>
    <row r="164" spans="2:16" s="63" customFormat="1" ht="18" customHeight="1">
      <c r="B164" s="75" t="s">
        <v>26</v>
      </c>
      <c r="C164" s="75" t="str">
        <f>_xlfn.CONCAT(Instruções!$D$13,".",VLOOKUP(B164,Instruções!$F$12:$H$17,2,0))</f>
        <v>cd_loan_tapes_bce.lt002_instrument</v>
      </c>
      <c r="D164" s="75" t="str">
        <f>_xlfn.CONCAT(Instruções!$D$14,".",VLOOKUP(B164,Instruções!$F$12:$H$17,3,0))</f>
        <v>bu_loantape_work.lt002_instrument</v>
      </c>
      <c r="E164" s="75" t="s">
        <v>204</v>
      </c>
      <c r="F164" s="75" t="str">
        <f t="shared" si="25"/>
        <v>dt_cmplnt_mrtr_stts_c19_as_is</v>
      </c>
      <c r="G164" s="75" t="str">
        <f t="shared" si="26"/>
        <v>dt_cmplnt_mrtr_stts_c19_to_be</v>
      </c>
      <c r="H164" s="75" t="str">
        <f>IF(VLOOKUP(B164,Instruções!$F$13:$J$17,5,0)="",
"(SELECT "&amp;VLOOKUP(B164,Instruções!$F$13:$J$17,4,0)&amp;" as "&amp;VLOOKUP(B164,Instruções!$F$13:$J$17,4,0)&amp;"_"&amp;$F$2&amp;", "&amp;E164&amp;" as "&amp;F164&amp;" FROM "&amp;C164&amp;" WHERE "&amp;Instruções!$D$20&amp;") A ",
"(SELECT "&amp;VLOOKUP(B164,Instruções!$F$13:$J$17,4,0)&amp;" as "&amp;VLOOKUP(B164,Instruções!$F$13:$J$17,4,0)&amp;"_"&amp;$F$2&amp;", "&amp;VLOOKUP(B164,Instruções!$F$13:$J$17,5,0)&amp;" as "&amp;VLOOKUP(B164,Instruções!$F$13:$J$17,5,0)&amp;"_"&amp;$F$2&amp;","&amp;E164&amp;" as "&amp;F164&amp;" FROM "&amp;C164&amp;" WHERE "&amp;Instruções!$D$20&amp;") A ")</f>
        <v xml:space="preserve">(SELECT instrmnt_id as instrmnt_id_, dt_cmplnt_mrtr_stts_c19 as dt_cmplnt_mrtr_stts_c19_as_is FROM cd_loan_tapes_bce.lt002_instrument WHERE ref_date='2024-09-30' AND nome_perimetro='Individual Corporativo' AND segmento='ESTR' AND ambito='PM' AND entidade='00100' ) A </v>
      </c>
      <c r="I164" s="75" t="str">
        <f>IF(VLOOKUP(B164,Instruções!$F$13:$J$17,5,0)="",
"(SELECT "&amp;VLOOKUP(B164,Instruções!$F$13:$J$17,4,0)&amp;" as "&amp;VLOOKUP(B164,Instruções!$F$13:$J$17,4,0)&amp;"_"&amp;$G$2&amp;", "&amp;E164&amp;" as "&amp;G164&amp;" FROM "&amp;D164&amp;" WHERE "&amp;Instruções!$D$21&amp;") B ",
"(SELECT "&amp;VLOOKUP(B164,Instruções!$F$13:$J$17,4,0)&amp;" as "&amp;VLOOKUP(B164,Instruções!$F$13:$J$17,4,0)&amp;"_"&amp;$G$2&amp;", "&amp;VLOOKUP(B164,Instruções!$F$13:$J$17,5,0)&amp;" as "&amp;VLOOKUP(B164,Instruções!$F$13:$J$17,5,0)&amp;"_"&amp;$G$2&amp;","&amp;E164&amp;" as "&amp;G164&amp;" FROM "&amp;D164&amp;" WHERE "&amp;Instruções!$D$21&amp;") B ")</f>
        <v xml:space="preserve">(SELECT instrmnt_id as instrmnt_id_, dt_cmplnt_mrtr_stts_c19 as dt_cmplnt_mrtr_stts_c19_to_be FROM bu_loantape_work.lt002_instrument WHERE ref_date='2024-09-30' AND nome_perimetro='Individual Corporativo' AND segmento='ESTR' AND ambito='PM' AND entidade='00100' ) B </v>
      </c>
      <c r="J164" s="75" t="str">
        <f>+IF(VLOOKUP(B164,Instruções!$F$13:$J$17,5,0)="", "ON "&amp;VLOOKUP(B164,Instruções!$F$13:$J$17,4,0)&amp;"_"&amp;$F$7&amp;"="&amp;VLOOKUP(B164,Instruções!$F$13:$J$17,4,0)&amp;"_"&amp;$G$7&amp;" ", "ON "&amp;VLOOKUP(B164,Instruções!$F$13:$J$17,4,0)&amp;"_"&amp;$F$7&amp;"="&amp;VLOOKUP(B164,Instruções!$F$13:$J$17,4,0)&amp;"_"&amp;$G$7&amp;" AND "&amp;VLOOKUP(B164,Instruções!$F$13:$J$17,5,0)&amp;"_"&amp;$F$7&amp;"="&amp;VLOOKUP(B164,Instruções!$F$13:$J$17,5,0)&amp;"_"&amp;$G$7&amp;" ")</f>
        <v xml:space="preserve">ON instrmnt_id_as_is=instrmnt_id_to_be </v>
      </c>
      <c r="K164" s="75" t="str">
        <f t="shared" si="27"/>
        <v xml:space="preserve">WHERE coalesce(cast(dt_cmplnt_mrtr_stts_c19_as_is AS string),'')&lt;&gt;coalesce(cast(dt_cmplnt_mrtr_stts_c19_to_be AS string),'') </v>
      </c>
      <c r="L164" s="75" t="str">
        <f t="shared" si="28"/>
        <v xml:space="preserve">SELECT count(*) AS NUM_REG_DIF FROM (SELECT instrmnt_id as instrmnt_id_, dt_cmplnt_mrtr_stts_c19 as dt_cmplnt_mrtr_stts_c19_as_is FROM cd_loan_tapes_bce.lt002_instrument WHERE ref_date='2024-09-30' AND nome_perimetro='Individual Corporativo' AND segmento='ESTR' AND ambito='PM' AND entidade='00100' ) A  Inner join (SELECT instrmnt_id as instrmnt_id_, dt_cmplnt_mrtr_stts_c19 as dt_cmplnt_mrtr_stts_c19_to_be FROM bu_loantape_work.lt002_instrument WHERE ref_date='2024-09-30' AND nome_perimetro='Individual Corporativo' AND segmento='ESTR' AND ambito='PM' AND entidade='00100' ) B ON instrmnt_id_as_is=instrmnt_id_to_be WHERE coalesce(cast(dt_cmplnt_mrtr_stts_c19_as_is AS string),'')&lt;&gt;coalesce(cast(dt_cmplnt_mrtr_stts_c19_to_be AS string),'') </v>
      </c>
      <c r="M164" s="75" t="s">
        <v>55</v>
      </c>
      <c r="N164" s="75" t="str">
        <f>"SELECT 'Validação de campos' as tipologia_teste, '"&amp;VLOOKUP(B164,Instruções!$F$13:$J$17,3,0)&amp;"' AS TABELA, '"&amp;E164&amp;"' AS CAMPO, '"&amp;Instruções!$D$15&amp;"' as ref_date, coalesce(NUM_REG_DIF, 0) AS NUM_REG_DIF FROM ("&amp;L164&amp;") A "</f>
        <v xml:space="preserve">SELECT 'Validação de campos' as tipologia_teste, 'lt002_instrument' AS TABELA, 'dt_cmplnt_mrtr_stts_c19' AS CAMPO, '2024-09-30' as ref_date, coalesce(NUM_REG_DIF, 0) AS NUM_REG_DIF FROM (SELECT count(*) AS NUM_REG_DIF FROM (SELECT instrmnt_id as instrmnt_id_, dt_cmplnt_mrtr_stts_c19 as dt_cmplnt_mrtr_stts_c19_as_is FROM cd_loan_tapes_bce.lt002_instrument WHERE ref_date='2024-09-30' AND nome_perimetro='Individual Corporativo' AND segmento='ESTR' AND ambito='PM' AND entidade='00100' ) A  Inner join (SELECT instrmnt_id as instrmnt_id_, dt_cmplnt_mrtr_stts_c19 as dt_cmplnt_mrtr_stts_c19_to_be FROM bu_loantape_work.lt002_instrument WHERE ref_date='2024-09-30' AND nome_perimetro='Individual Corporativo' AND segmento='ESTR' AND ambito='PM' AND entidade='00100' ) B ON instrmnt_id_as_is=instrmnt_id_to_be WHERE coalesce(cast(dt_cmplnt_mrtr_stts_c19_as_is AS string),'')&lt;&gt;coalesce(cast(dt_cmplnt_mrtr_stts_c19_to_be AS string),'') ) A </v>
      </c>
      <c r="O164" s="76" t="str">
        <f t="shared" si="29"/>
        <v>SELECT 'Validação de campos' as tipologia_teste, 'lt002_instrument' AS TABELA, 'dt_cmplnt_mrtr_stts_c19' AS CAMPO, '2024-09-30' as ref_date, coalesce(NUM_REG_DIF, 0) AS NUM_REG_DIF FROM (SELECT count(*) AS NUM_REG_DIF FROM (SELECT instrmnt_id as instrmnt_id_, dt_cmplnt_mrtr_stts_c19 as dt_cmplnt_mrtr_stts_c19_as_is FROM cd_loan_tapes_bce.lt002_instrument WHERE ref_date='2024-09-30' AND nome_perimetro='Individual Corporativo' AND segmento='ESTR' AND ambito='PM' AND entidade='00100' ) A  Inner join (SELECT instrmnt_id as instrmnt_id_, dt_cmplnt_mrtr_stts_c19 as dt_cmplnt_mrtr_stts_c19_to_be FROM bu_loantape_work.lt002_instrument WHERE ref_date='2024-09-30' AND nome_perimetro='Individual Corporativo' AND segmento='ESTR' AND ambito='PM' AND entidade='00100' ) B ON instrmnt_id_as_is=instrmnt_id_to_be WHERE coalesce(cast(dt_cmplnt_mrtr_stts_c19_as_is AS string),'')&lt;&gt;coalesce(cast(dt_cmplnt_mrtr_stts_c19_to_be AS string),'') ) A Union all</v>
      </c>
      <c r="P164" s="75">
        <f t="shared" si="30"/>
        <v>3</v>
      </c>
    </row>
    <row r="165" spans="2:16" s="63" customFormat="1" ht="18" customHeight="1">
      <c r="B165" s="75" t="s">
        <v>26</v>
      </c>
      <c r="C165" s="75" t="str">
        <f>_xlfn.CONCAT(Instruções!$D$13,".",VLOOKUP(B165,Instruções!$F$12:$H$17,2,0))</f>
        <v>cd_loan_tapes_bce.lt002_instrument</v>
      </c>
      <c r="D165" s="75" t="str">
        <f>_xlfn.CONCAT(Instruções!$D$14,".",VLOOKUP(B165,Instruções!$F$12:$H$17,3,0))</f>
        <v>bu_loantape_work.lt002_instrument</v>
      </c>
      <c r="E165" s="75" t="s">
        <v>205</v>
      </c>
      <c r="F165" s="75" t="str">
        <f t="shared" si="25"/>
        <v>dt_cmplnt_mrtr_stts_prvs_c19_as_is</v>
      </c>
      <c r="G165" s="75" t="str">
        <f t="shared" si="26"/>
        <v>dt_cmplnt_mrtr_stts_prvs_c19_to_be</v>
      </c>
      <c r="H165" s="75" t="str">
        <f>IF(VLOOKUP(B165,Instruções!$F$13:$J$17,5,0)="",
"(SELECT "&amp;VLOOKUP(B165,Instruções!$F$13:$J$17,4,0)&amp;" as "&amp;VLOOKUP(B165,Instruções!$F$13:$J$17,4,0)&amp;"_"&amp;$F$2&amp;", "&amp;E165&amp;" as "&amp;F165&amp;" FROM "&amp;C165&amp;" WHERE "&amp;Instruções!$D$20&amp;") A ",
"(SELECT "&amp;VLOOKUP(B165,Instruções!$F$13:$J$17,4,0)&amp;" as "&amp;VLOOKUP(B165,Instruções!$F$13:$J$17,4,0)&amp;"_"&amp;$F$2&amp;", "&amp;VLOOKUP(B165,Instruções!$F$13:$J$17,5,0)&amp;" as "&amp;VLOOKUP(B165,Instruções!$F$13:$J$17,5,0)&amp;"_"&amp;$F$2&amp;","&amp;E165&amp;" as "&amp;F165&amp;" FROM "&amp;C165&amp;" WHERE "&amp;Instruções!$D$20&amp;") A ")</f>
        <v xml:space="preserve">(SELECT instrmnt_id as instrmnt_id_, dt_cmplnt_mrtr_stts_prvs_c19 as dt_cmplnt_mrtr_stts_prvs_c19_as_is FROM cd_loan_tapes_bce.lt002_instrument WHERE ref_date='2024-09-30' AND nome_perimetro='Individual Corporativo' AND segmento='ESTR' AND ambito='PM' AND entidade='00100' ) A </v>
      </c>
      <c r="I165" s="75" t="str">
        <f>IF(VLOOKUP(B165,Instruções!$F$13:$J$17,5,0)="",
"(SELECT "&amp;VLOOKUP(B165,Instruções!$F$13:$J$17,4,0)&amp;" as "&amp;VLOOKUP(B165,Instruções!$F$13:$J$17,4,0)&amp;"_"&amp;$G$2&amp;", "&amp;E165&amp;" as "&amp;G165&amp;" FROM "&amp;D165&amp;" WHERE "&amp;Instruções!$D$21&amp;") B ",
"(SELECT "&amp;VLOOKUP(B165,Instruções!$F$13:$J$17,4,0)&amp;" as "&amp;VLOOKUP(B165,Instruções!$F$13:$J$17,4,0)&amp;"_"&amp;$G$2&amp;", "&amp;VLOOKUP(B165,Instruções!$F$13:$J$17,5,0)&amp;" as "&amp;VLOOKUP(B165,Instruções!$F$13:$J$17,5,0)&amp;"_"&amp;$G$2&amp;","&amp;E165&amp;" as "&amp;G165&amp;" FROM "&amp;D165&amp;" WHERE "&amp;Instruções!$D$21&amp;") B ")</f>
        <v xml:space="preserve">(SELECT instrmnt_id as instrmnt_id_, dt_cmplnt_mrtr_stts_prvs_c19 as dt_cmplnt_mrtr_stts_prvs_c19_to_be FROM bu_loantape_work.lt002_instrument WHERE ref_date='2024-09-30' AND nome_perimetro='Individual Corporativo' AND segmento='ESTR' AND ambito='PM' AND entidade='00100' ) B </v>
      </c>
      <c r="J165" s="75" t="str">
        <f>+IF(VLOOKUP(B165,Instruções!$F$13:$J$17,5,0)="", "ON "&amp;VLOOKUP(B165,Instruções!$F$13:$J$17,4,0)&amp;"_"&amp;$F$7&amp;"="&amp;VLOOKUP(B165,Instruções!$F$13:$J$17,4,0)&amp;"_"&amp;$G$7&amp;" ", "ON "&amp;VLOOKUP(B165,Instruções!$F$13:$J$17,4,0)&amp;"_"&amp;$F$7&amp;"="&amp;VLOOKUP(B165,Instruções!$F$13:$J$17,4,0)&amp;"_"&amp;$G$7&amp;" AND "&amp;VLOOKUP(B165,Instruções!$F$13:$J$17,5,0)&amp;"_"&amp;$F$7&amp;"="&amp;VLOOKUP(B165,Instruções!$F$13:$J$17,5,0)&amp;"_"&amp;$G$7&amp;" ")</f>
        <v xml:space="preserve">ON instrmnt_id_as_is=instrmnt_id_to_be </v>
      </c>
      <c r="K165" s="75" t="str">
        <f t="shared" si="27"/>
        <v xml:space="preserve">WHERE coalesce(cast(dt_cmplnt_mrtr_stts_prvs_c19_as_is AS string),'')&lt;&gt;coalesce(cast(dt_cmplnt_mrtr_stts_prvs_c19_to_be AS string),'') </v>
      </c>
      <c r="L165" s="75" t="str">
        <f t="shared" si="28"/>
        <v xml:space="preserve">SELECT count(*) AS NUM_REG_DIF FROM (SELECT instrmnt_id as instrmnt_id_,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instrmnt_id_, dt_cmplnt_mrtr_stts_prvs_c19 as dt_cmplnt_mrtr_stts_prvs_c19_to_be FROM bu_loantape_work.lt002_instrument WHERE ref_date='2024-09-30' AND nome_perimetro='Individual Corporativo' AND segmento='ESTR' AND ambito='PM' AND entidade='00100' ) B ON instrmnt_id_as_is=instrmnt_id_to_be WHERE coalesce(cast(dt_cmplnt_mrtr_stts_prvs_c19_as_is AS string),'')&lt;&gt;coalesce(cast(dt_cmplnt_mrtr_stts_prvs_c19_to_be AS string),'') </v>
      </c>
      <c r="M165" s="75" t="s">
        <v>55</v>
      </c>
      <c r="N165" s="75" t="str">
        <f>"SELECT 'Validação de campos' as tipologia_teste, '"&amp;VLOOKUP(B165,Instruções!$F$13:$J$17,3,0)&amp;"' AS TABELA, '"&amp;E165&amp;"' AS CAMPO, '"&amp;Instruções!$D$15&amp;"' as ref_date, coalesce(NUM_REG_DIF, 0) AS NUM_REG_DIF FROM ("&amp;L165&amp;") A "</f>
        <v xml:space="preserve">SELECT 'Validação de campos' as tipologia_teste, 'lt002_instrument' AS TABELA, 'dt_cmplnt_mrtr_stts_prvs_c19' AS CAMPO, '2024-09-30' as ref_date, coalesce(NUM_REG_DIF, 0) AS NUM_REG_DIF FROM (SELECT count(*) AS NUM_REG_DIF FROM (SELECT instrmnt_id as instrmnt_id_,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instrmnt_id_, dt_cmplnt_mrtr_stts_prvs_c19 as dt_cmplnt_mrtr_stts_prvs_c19_to_be FROM bu_loantape_work.lt002_instrument WHERE ref_date='2024-09-30' AND nome_perimetro='Individual Corporativo' AND segmento='ESTR' AND ambito='PM' AND entidade='00100' ) B ON instrmnt_id_as_is=instrmnt_id_to_be WHERE coalesce(cast(dt_cmplnt_mrtr_stts_prvs_c19_as_is AS string),'')&lt;&gt;coalesce(cast(dt_cmplnt_mrtr_stts_prvs_c19_to_be AS string),'') ) A </v>
      </c>
      <c r="O165" s="76" t="str">
        <f t="shared" si="29"/>
        <v>SELECT 'Validação de campos' as tipologia_teste, 'lt002_instrument' AS TABELA, 'dt_cmplnt_mrtr_stts_prvs_c19' AS CAMPO, '2024-09-30' as ref_date, coalesce(NUM_REG_DIF, 0) AS NUM_REG_DIF FROM (SELECT count(*) AS NUM_REG_DIF FROM (SELECT instrmnt_id as instrmnt_id_,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instrmnt_id_, dt_cmplnt_mrtr_stts_prvs_c19 as dt_cmplnt_mrtr_stts_prvs_c19_to_be FROM bu_loantape_work.lt002_instrument WHERE ref_date='2024-09-30' AND nome_perimetro='Individual Corporativo' AND segmento='ESTR' AND ambito='PM' AND entidade='00100' ) B ON instrmnt_id_as_is=instrmnt_id_to_be WHERE coalesce(cast(dt_cmplnt_mrtr_stts_prvs_c19_as_is AS string),'')&lt;&gt;coalesce(cast(dt_cmplnt_mrtr_stts_prvs_c19_to_be AS string),'') ) A Union all</v>
      </c>
      <c r="P165" s="75">
        <f t="shared" si="30"/>
        <v>4</v>
      </c>
    </row>
    <row r="166" spans="2:16" s="63" customFormat="1" ht="18" customHeight="1">
      <c r="B166" s="75" t="s">
        <v>26</v>
      </c>
      <c r="C166" s="75" t="str">
        <f>_xlfn.CONCAT(Instruções!$D$13,".",VLOOKUP(B166,Instruções!$F$12:$H$17,2,0))</f>
        <v>cd_loan_tapes_bce.lt002_instrument</v>
      </c>
      <c r="D166" s="75" t="str">
        <f>_xlfn.CONCAT(Instruções!$D$14,".",VLOOKUP(B166,Instruções!$F$12:$H$17,3,0))</f>
        <v>bu_loantape_work.lt002_instrument</v>
      </c>
      <c r="E166" s="75" t="s">
        <v>206</v>
      </c>
      <c r="F166" s="75" t="str">
        <f t="shared" si="25"/>
        <v>dt_dflt_stts_instrmnt_as_is</v>
      </c>
      <c r="G166" s="75" t="str">
        <f t="shared" si="26"/>
        <v>dt_dflt_stts_instrmnt_to_be</v>
      </c>
      <c r="H166" s="75" t="str">
        <f>IF(VLOOKUP(B166,Instruções!$F$13:$J$17,5,0)="",
"(SELECT "&amp;VLOOKUP(B166,Instruções!$F$13:$J$17,4,0)&amp;" as "&amp;VLOOKUP(B166,Instruções!$F$13:$J$17,4,0)&amp;"_"&amp;$F$2&amp;", "&amp;E166&amp;" as "&amp;F166&amp;" FROM "&amp;C166&amp;" WHERE "&amp;Instruções!$D$20&amp;") A ",
"(SELECT "&amp;VLOOKUP(B166,Instruções!$F$13:$J$17,4,0)&amp;" as "&amp;VLOOKUP(B166,Instruções!$F$13:$J$17,4,0)&amp;"_"&amp;$F$2&amp;", "&amp;VLOOKUP(B166,Instruções!$F$13:$J$17,5,0)&amp;" as "&amp;VLOOKUP(B166,Instruções!$F$13:$J$17,5,0)&amp;"_"&amp;$F$2&amp;","&amp;E166&amp;" as "&amp;F166&amp;" FROM "&amp;C166&amp;" WHERE "&amp;Instruções!$D$20&amp;") A ")</f>
        <v xml:space="preserve">(SELECT instrmnt_id as instrmnt_id_, dt_dflt_stts_instrmnt as dt_dflt_stts_instrmnt_as_is FROM cd_loan_tapes_bce.lt002_instrument WHERE ref_date='2024-09-30' AND nome_perimetro='Individual Corporativo' AND segmento='ESTR' AND ambito='PM' AND entidade='00100' ) A </v>
      </c>
      <c r="I166" s="75" t="str">
        <f>IF(VLOOKUP(B166,Instruções!$F$13:$J$17,5,0)="",
"(SELECT "&amp;VLOOKUP(B166,Instruções!$F$13:$J$17,4,0)&amp;" as "&amp;VLOOKUP(B166,Instruções!$F$13:$J$17,4,0)&amp;"_"&amp;$G$2&amp;", "&amp;E166&amp;" as "&amp;G166&amp;" FROM "&amp;D166&amp;" WHERE "&amp;Instruções!$D$21&amp;") B ",
"(SELECT "&amp;VLOOKUP(B166,Instruções!$F$13:$J$17,4,0)&amp;" as "&amp;VLOOKUP(B166,Instruções!$F$13:$J$17,4,0)&amp;"_"&amp;$G$2&amp;", "&amp;VLOOKUP(B166,Instruções!$F$13:$J$17,5,0)&amp;" as "&amp;VLOOKUP(B166,Instruções!$F$13:$J$17,5,0)&amp;"_"&amp;$G$2&amp;","&amp;E166&amp;" as "&amp;G166&amp;" FROM "&amp;D166&amp;" WHERE "&amp;Instruções!$D$21&amp;") B ")</f>
        <v xml:space="preserve">(SELECT instrmnt_id as instrmnt_id_, dt_dflt_stts_instrmnt as dt_dflt_stts_instrmnt_to_be FROM bu_loantape_work.lt002_instrument WHERE ref_date='2024-09-30' AND nome_perimetro='Individual Corporativo' AND segmento='ESTR' AND ambito='PM' AND entidade='00100' ) B </v>
      </c>
      <c r="J166" s="75" t="str">
        <f>+IF(VLOOKUP(B166,Instruções!$F$13:$J$17,5,0)="", "ON "&amp;VLOOKUP(B166,Instruções!$F$13:$J$17,4,0)&amp;"_"&amp;$F$7&amp;"="&amp;VLOOKUP(B166,Instruções!$F$13:$J$17,4,0)&amp;"_"&amp;$G$7&amp;" ", "ON "&amp;VLOOKUP(B166,Instruções!$F$13:$J$17,4,0)&amp;"_"&amp;$F$7&amp;"="&amp;VLOOKUP(B166,Instruções!$F$13:$J$17,4,0)&amp;"_"&amp;$G$7&amp;" AND "&amp;VLOOKUP(B166,Instruções!$F$13:$J$17,5,0)&amp;"_"&amp;$F$7&amp;"="&amp;VLOOKUP(B166,Instruções!$F$13:$J$17,5,0)&amp;"_"&amp;$G$7&amp;" ")</f>
        <v xml:space="preserve">ON instrmnt_id_as_is=instrmnt_id_to_be </v>
      </c>
      <c r="K166" s="75" t="str">
        <f t="shared" si="27"/>
        <v xml:space="preserve">WHERE coalesce(cast(dt_dflt_stts_instrmnt_as_is AS string),'')&lt;&gt;coalesce(cast(dt_dflt_stts_instrmnt_to_be AS string),'') </v>
      </c>
      <c r="L166" s="75" t="str">
        <f t="shared" si="28"/>
        <v xml:space="preserve">SELECT count(*) AS NUM_REG_DIF FROM (SELECT instrmnt_id as instrmnt_id_, dt_dflt_stts_instrmnt as dt_dflt_stts_instrmnt_as_is FROM cd_loan_tapes_bce.lt002_instrument WHERE ref_date='2024-09-30' AND nome_perimetro='Individual Corporativo' AND segmento='ESTR' AND ambito='PM' AND entidade='00100' ) A  Inner join (SELECT instrmnt_id as instrmnt_id_, dt_dflt_stts_instrmnt as dt_dflt_stts_instrmnt_to_be FROM bu_loantape_work.lt002_instrument WHERE ref_date='2024-09-30' AND nome_perimetro='Individual Corporativo' AND segmento='ESTR' AND ambito='PM' AND entidade='00100' ) B ON instrmnt_id_as_is=instrmnt_id_to_be WHERE coalesce(cast(dt_dflt_stts_instrmnt_as_is AS string),'')&lt;&gt;coalesce(cast(dt_dflt_stts_instrmnt_to_be AS string),'') </v>
      </c>
      <c r="M166" s="75" t="s">
        <v>55</v>
      </c>
      <c r="N166" s="75" t="str">
        <f>"SELECT 'Validação de campos' as tipologia_teste, '"&amp;VLOOKUP(B166,Instruções!$F$13:$J$17,3,0)&amp;"' AS TABELA, '"&amp;E166&amp;"' AS CAMPO, '"&amp;Instruções!$D$15&amp;"' as ref_date, coalesce(NUM_REG_DIF, 0) AS NUM_REG_DIF FROM ("&amp;L166&amp;") A "</f>
        <v xml:space="preserve">SELECT 'Validação de campos' as tipologia_teste, 'lt002_instrument' AS TABELA, 'dt_dflt_stts_instrmnt' AS CAMPO, '2024-09-30' as ref_date, coalesce(NUM_REG_DIF, 0) AS NUM_REG_DIF FROM (SELECT count(*) AS NUM_REG_DIF FROM (SELECT instrmnt_id as instrmnt_id_, dt_dflt_stts_instrmnt as dt_dflt_stts_instrmnt_as_is FROM cd_loan_tapes_bce.lt002_instrument WHERE ref_date='2024-09-30' AND nome_perimetro='Individual Corporativo' AND segmento='ESTR' AND ambito='PM' AND entidade='00100' ) A  Inner join (SELECT instrmnt_id as instrmnt_id_, dt_dflt_stts_instrmnt as dt_dflt_stts_instrmnt_to_be FROM bu_loantape_work.lt002_instrument WHERE ref_date='2024-09-30' AND nome_perimetro='Individual Corporativo' AND segmento='ESTR' AND ambito='PM' AND entidade='00100' ) B ON instrmnt_id_as_is=instrmnt_id_to_be WHERE coalesce(cast(dt_dflt_stts_instrmnt_as_is AS string),'')&lt;&gt;coalesce(cast(dt_dflt_stts_instrmnt_to_be AS string),'') ) A </v>
      </c>
      <c r="O166" s="76" t="str">
        <f t="shared" si="29"/>
        <v>SELECT 'Validação de campos' as tipologia_teste, 'lt002_instrument' AS TABELA, 'dt_dflt_stts_instrmnt' AS CAMPO, '2024-09-30' as ref_date, coalesce(NUM_REG_DIF, 0) AS NUM_REG_DIF FROM (SELECT count(*) AS NUM_REG_DIF FROM (SELECT instrmnt_id as instrmnt_id_, dt_dflt_stts_instrmnt as dt_dflt_stts_instrmnt_as_is FROM cd_loan_tapes_bce.lt002_instrument WHERE ref_date='2024-09-30' AND nome_perimetro='Individual Corporativo' AND segmento='ESTR' AND ambito='PM' AND entidade='00100' ) A  Inner join (SELECT instrmnt_id as instrmnt_id_, dt_dflt_stts_instrmnt as dt_dflt_stts_instrmnt_to_be FROM bu_loantape_work.lt002_instrument WHERE ref_date='2024-09-30' AND nome_perimetro='Individual Corporativo' AND segmento='ESTR' AND ambito='PM' AND entidade='00100' ) B ON instrmnt_id_as_is=instrmnt_id_to_be WHERE coalesce(cast(dt_dflt_stts_instrmnt_as_is AS string),'')&lt;&gt;coalesce(cast(dt_dflt_stts_instrmnt_to_be AS string),'') ) A Union all</v>
      </c>
      <c r="P166" s="75">
        <f t="shared" si="30"/>
        <v>5</v>
      </c>
    </row>
    <row r="167" spans="2:16" s="63" customFormat="1" ht="18" customHeight="1">
      <c r="B167" s="75" t="s">
        <v>26</v>
      </c>
      <c r="C167" s="75" t="str">
        <f>_xlfn.CONCAT(Instruções!$D$13,".",VLOOKUP(B167,Instruções!$F$12:$H$17,2,0))</f>
        <v>cd_loan_tapes_bce.lt002_instrument</v>
      </c>
      <c r="D167" s="75" t="str">
        <f>_xlfn.CONCAT(Instruções!$D$14,".",VLOOKUP(B167,Instruções!$F$12:$H$17,3,0))</f>
        <v>bu_loantape_work.lt002_instrument</v>
      </c>
      <c r="E167" s="75" t="s">
        <v>207</v>
      </c>
      <c r="F167" s="75" t="str">
        <f t="shared" si="25"/>
        <v>dt_end_gp_ppal_as_is</v>
      </c>
      <c r="G167" s="75" t="str">
        <f t="shared" si="26"/>
        <v>dt_end_gp_ppal_to_be</v>
      </c>
      <c r="H167" s="75" t="str">
        <f>IF(VLOOKUP(B167,Instruções!$F$13:$J$17,5,0)="",
"(SELECT "&amp;VLOOKUP(B167,Instruções!$F$13:$J$17,4,0)&amp;" as "&amp;VLOOKUP(B167,Instruções!$F$13:$J$17,4,0)&amp;"_"&amp;$F$2&amp;", "&amp;E167&amp;" as "&amp;F167&amp;" FROM "&amp;C167&amp;" WHERE "&amp;Instruções!$D$20&amp;") A ",
"(SELECT "&amp;VLOOKUP(B167,Instruções!$F$13:$J$17,4,0)&amp;" as "&amp;VLOOKUP(B167,Instruções!$F$13:$J$17,4,0)&amp;"_"&amp;$F$2&amp;", "&amp;VLOOKUP(B167,Instruções!$F$13:$J$17,5,0)&amp;" as "&amp;VLOOKUP(B167,Instruções!$F$13:$J$17,5,0)&amp;"_"&amp;$F$2&amp;","&amp;E167&amp;" as "&amp;F167&amp;" FROM "&amp;C167&amp;" WHERE "&amp;Instruções!$D$20&amp;") A ")</f>
        <v xml:space="preserve">(SELECT instrmnt_id as instrmnt_id_, dt_end_gp_ppal as dt_end_gp_ppal_as_is FROM cd_loan_tapes_bce.lt002_instrument WHERE ref_date='2024-09-30' AND nome_perimetro='Individual Corporativo' AND segmento='ESTR' AND ambito='PM' AND entidade='00100' ) A </v>
      </c>
      <c r="I167" s="75" t="str">
        <f>IF(VLOOKUP(B167,Instruções!$F$13:$J$17,5,0)="",
"(SELECT "&amp;VLOOKUP(B167,Instruções!$F$13:$J$17,4,0)&amp;" as "&amp;VLOOKUP(B167,Instruções!$F$13:$J$17,4,0)&amp;"_"&amp;$G$2&amp;", "&amp;E167&amp;" as "&amp;G167&amp;" FROM "&amp;D167&amp;" WHERE "&amp;Instruções!$D$21&amp;") B ",
"(SELECT "&amp;VLOOKUP(B167,Instruções!$F$13:$J$17,4,0)&amp;" as "&amp;VLOOKUP(B167,Instruções!$F$13:$J$17,4,0)&amp;"_"&amp;$G$2&amp;", "&amp;VLOOKUP(B167,Instruções!$F$13:$J$17,5,0)&amp;" as "&amp;VLOOKUP(B167,Instruções!$F$13:$J$17,5,0)&amp;"_"&amp;$G$2&amp;","&amp;E167&amp;" as "&amp;G167&amp;" FROM "&amp;D167&amp;" WHERE "&amp;Instruções!$D$21&amp;") B ")</f>
        <v xml:space="preserve">(SELECT instrmnt_id as instrmnt_id_, dt_end_gp_ppal as dt_end_gp_ppal_to_be FROM bu_loantape_work.lt002_instrument WHERE ref_date='2024-09-30' AND nome_perimetro='Individual Corporativo' AND segmento='ESTR' AND ambito='PM' AND entidade='00100' ) B </v>
      </c>
      <c r="J167" s="75" t="str">
        <f>+IF(VLOOKUP(B167,Instruções!$F$13:$J$17,5,0)="", "ON "&amp;VLOOKUP(B167,Instruções!$F$13:$J$17,4,0)&amp;"_"&amp;$F$7&amp;"="&amp;VLOOKUP(B167,Instruções!$F$13:$J$17,4,0)&amp;"_"&amp;$G$7&amp;" ", "ON "&amp;VLOOKUP(B167,Instruções!$F$13:$J$17,4,0)&amp;"_"&amp;$F$7&amp;"="&amp;VLOOKUP(B167,Instruções!$F$13:$J$17,4,0)&amp;"_"&amp;$G$7&amp;" AND "&amp;VLOOKUP(B167,Instruções!$F$13:$J$17,5,0)&amp;"_"&amp;$F$7&amp;"="&amp;VLOOKUP(B167,Instruções!$F$13:$J$17,5,0)&amp;"_"&amp;$G$7&amp;" ")</f>
        <v xml:space="preserve">ON instrmnt_id_as_is=instrmnt_id_to_be </v>
      </c>
      <c r="K167" s="75" t="str">
        <f t="shared" si="27"/>
        <v xml:space="preserve">WHERE coalesce(cast(dt_end_gp_ppal_as_is AS string),'')&lt;&gt;coalesce(cast(dt_end_gp_ppal_to_be AS string),'') </v>
      </c>
      <c r="L167" s="75" t="str">
        <f t="shared" si="28"/>
        <v xml:space="preserve">SELECT count(*) AS NUM_REG_DIF FROM (SELECT instrmnt_id as instrmnt_id_, dt_end_gp_ppal as dt_end_gp_ppal_as_is FROM cd_loan_tapes_bce.lt002_instrument WHERE ref_date='2024-09-30' AND nome_perimetro='Individual Corporativo' AND segmento='ESTR' AND ambito='PM' AND entidade='00100' ) A  Inner join (SELECT instrmnt_id as instrmnt_id_, dt_end_gp_ppal as dt_end_gp_ppal_to_be FROM bu_loantape_work.lt002_instrument WHERE ref_date='2024-09-30' AND nome_perimetro='Individual Corporativo' AND segmento='ESTR' AND ambito='PM' AND entidade='00100' ) B ON instrmnt_id_as_is=instrmnt_id_to_be WHERE coalesce(cast(dt_end_gp_ppal_as_is AS string),'')&lt;&gt;coalesce(cast(dt_end_gp_ppal_to_be AS string),'') </v>
      </c>
      <c r="M167" s="75" t="s">
        <v>55</v>
      </c>
      <c r="N167" s="75" t="str">
        <f>"SELECT 'Validação de campos' as tipologia_teste, '"&amp;VLOOKUP(B167,Instruções!$F$13:$J$17,3,0)&amp;"' AS TABELA, '"&amp;E167&amp;"' AS CAMPO, '"&amp;Instruções!$D$15&amp;"' as ref_date, coalesce(NUM_REG_DIF, 0) AS NUM_REG_DIF FROM ("&amp;L167&amp;") A "</f>
        <v xml:space="preserve">SELECT 'Validação de campos' as tipologia_teste, 'lt002_instrument' AS TABELA, 'dt_end_gp_ppal' AS CAMPO, '2024-09-30' as ref_date, coalesce(NUM_REG_DIF, 0) AS NUM_REG_DIF FROM (SELECT count(*) AS NUM_REG_DIF FROM (SELECT instrmnt_id as instrmnt_id_, dt_end_gp_ppal as dt_end_gp_ppal_as_is FROM cd_loan_tapes_bce.lt002_instrument WHERE ref_date='2024-09-30' AND nome_perimetro='Individual Corporativo' AND segmento='ESTR' AND ambito='PM' AND entidade='00100' ) A  Inner join (SELECT instrmnt_id as instrmnt_id_, dt_end_gp_ppal as dt_end_gp_ppal_to_be FROM bu_loantape_work.lt002_instrument WHERE ref_date='2024-09-30' AND nome_perimetro='Individual Corporativo' AND segmento='ESTR' AND ambito='PM' AND entidade='00100' ) B ON instrmnt_id_as_is=instrmnt_id_to_be WHERE coalesce(cast(dt_end_gp_ppal_as_is AS string),'')&lt;&gt;coalesce(cast(dt_end_gp_ppal_to_be AS string),'') ) A </v>
      </c>
      <c r="O167" s="76" t="str">
        <f t="shared" si="29"/>
        <v>SELECT 'Validação de campos' as tipologia_teste, 'lt002_instrument' AS TABELA, 'dt_end_gp_ppal' AS CAMPO, '2024-09-30' as ref_date, coalesce(NUM_REG_DIF, 0) AS NUM_REG_DIF FROM (SELECT count(*) AS NUM_REG_DIF FROM (SELECT instrmnt_id as instrmnt_id_, dt_end_gp_ppal as dt_end_gp_ppal_as_is FROM cd_loan_tapes_bce.lt002_instrument WHERE ref_date='2024-09-30' AND nome_perimetro='Individual Corporativo' AND segmento='ESTR' AND ambito='PM' AND entidade='00100' ) A  Inner join (SELECT instrmnt_id as instrmnt_id_, dt_end_gp_ppal as dt_end_gp_ppal_to_be FROM bu_loantape_work.lt002_instrument WHERE ref_date='2024-09-30' AND nome_perimetro='Individual Corporativo' AND segmento='ESTR' AND ambito='PM' AND entidade='00100' ) B ON instrmnt_id_as_is=instrmnt_id_to_be WHERE coalesce(cast(dt_end_gp_ppal_as_is AS string),'')&lt;&gt;coalesce(cast(dt_end_gp_ppal_to_be AS string),'') ) A Union all</v>
      </c>
      <c r="P167" s="75">
        <f t="shared" si="30"/>
        <v>6</v>
      </c>
    </row>
    <row r="168" spans="2:16" s="63" customFormat="1" ht="18" customHeight="1">
      <c r="B168" s="75" t="s">
        <v>26</v>
      </c>
      <c r="C168" s="75" t="str">
        <f>_xlfn.CONCAT(Instruções!$D$13,".",VLOOKUP(B168,Instruções!$F$12:$H$17,2,0))</f>
        <v>cd_loan_tapes_bce.lt002_instrument</v>
      </c>
      <c r="D168" s="75" t="str">
        <f>_xlfn.CONCAT(Instruções!$D$14,".",VLOOKUP(B168,Instruções!$F$12:$H$17,3,0))</f>
        <v>bu_loantape_work.lt002_instrument</v>
      </c>
      <c r="E168" s="75" t="s">
        <v>208</v>
      </c>
      <c r="F168" s="75" t="str">
        <f t="shared" si="25"/>
        <v>dt_end_gp_ppal_c19_as_is</v>
      </c>
      <c r="G168" s="75" t="str">
        <f t="shared" si="26"/>
        <v>dt_end_gp_ppal_c19_to_be</v>
      </c>
      <c r="H168" s="75" t="str">
        <f>IF(VLOOKUP(B168,Instruções!$F$13:$J$17,5,0)="",
"(SELECT "&amp;VLOOKUP(B168,Instruções!$F$13:$J$17,4,0)&amp;" as "&amp;VLOOKUP(B168,Instruções!$F$13:$J$17,4,0)&amp;"_"&amp;$F$2&amp;", "&amp;E168&amp;" as "&amp;F168&amp;" FROM "&amp;C168&amp;" WHERE "&amp;Instruções!$D$20&amp;") A ",
"(SELECT "&amp;VLOOKUP(B168,Instruções!$F$13:$J$17,4,0)&amp;" as "&amp;VLOOKUP(B168,Instruções!$F$13:$J$17,4,0)&amp;"_"&amp;$F$2&amp;", "&amp;VLOOKUP(B168,Instruções!$F$13:$J$17,5,0)&amp;" as "&amp;VLOOKUP(B168,Instruções!$F$13:$J$17,5,0)&amp;"_"&amp;$F$2&amp;","&amp;E168&amp;" as "&amp;F168&amp;" FROM "&amp;C168&amp;" WHERE "&amp;Instruções!$D$20&amp;") A ")</f>
        <v xml:space="preserve">(SELECT instrmnt_id as instrmnt_id_, dt_end_gp_ppal_c19 as dt_end_gp_ppal_c19_as_is FROM cd_loan_tapes_bce.lt002_instrument WHERE ref_date='2024-09-30' AND nome_perimetro='Individual Corporativo' AND segmento='ESTR' AND ambito='PM' AND entidade='00100' ) A </v>
      </c>
      <c r="I168" s="75" t="str">
        <f>IF(VLOOKUP(B168,Instruções!$F$13:$J$17,5,0)="",
"(SELECT "&amp;VLOOKUP(B168,Instruções!$F$13:$J$17,4,0)&amp;" as "&amp;VLOOKUP(B168,Instruções!$F$13:$J$17,4,0)&amp;"_"&amp;$G$2&amp;", "&amp;E168&amp;" as "&amp;G168&amp;" FROM "&amp;D168&amp;" WHERE "&amp;Instruções!$D$21&amp;") B ",
"(SELECT "&amp;VLOOKUP(B168,Instruções!$F$13:$J$17,4,0)&amp;" as "&amp;VLOOKUP(B168,Instruções!$F$13:$J$17,4,0)&amp;"_"&amp;$G$2&amp;", "&amp;VLOOKUP(B168,Instruções!$F$13:$J$17,5,0)&amp;" as "&amp;VLOOKUP(B168,Instruções!$F$13:$J$17,5,0)&amp;"_"&amp;$G$2&amp;","&amp;E168&amp;" as "&amp;G168&amp;" FROM "&amp;D168&amp;" WHERE "&amp;Instruções!$D$21&amp;") B ")</f>
        <v xml:space="preserve">(SELECT instrmnt_id as instrmnt_id_, dt_end_gp_ppal_c19 as dt_end_gp_ppal_c19_to_be FROM bu_loantape_work.lt002_instrument WHERE ref_date='2024-09-30' AND nome_perimetro='Individual Corporativo' AND segmento='ESTR' AND ambito='PM' AND entidade='00100' ) B </v>
      </c>
      <c r="J168" s="75" t="str">
        <f>+IF(VLOOKUP(B168,Instruções!$F$13:$J$17,5,0)="", "ON "&amp;VLOOKUP(B168,Instruções!$F$13:$J$17,4,0)&amp;"_"&amp;$F$7&amp;"="&amp;VLOOKUP(B168,Instruções!$F$13:$J$17,4,0)&amp;"_"&amp;$G$7&amp;" ", "ON "&amp;VLOOKUP(B168,Instruções!$F$13:$J$17,4,0)&amp;"_"&amp;$F$7&amp;"="&amp;VLOOKUP(B168,Instruções!$F$13:$J$17,4,0)&amp;"_"&amp;$G$7&amp;" AND "&amp;VLOOKUP(B168,Instruções!$F$13:$J$17,5,0)&amp;"_"&amp;$F$7&amp;"="&amp;VLOOKUP(B168,Instruções!$F$13:$J$17,5,0)&amp;"_"&amp;$G$7&amp;" ")</f>
        <v xml:space="preserve">ON instrmnt_id_as_is=instrmnt_id_to_be </v>
      </c>
      <c r="K168" s="75" t="str">
        <f t="shared" si="27"/>
        <v xml:space="preserve">WHERE coalesce(cast(dt_end_gp_ppal_c19_as_is AS string),'')&lt;&gt;coalesce(cast(dt_end_gp_ppal_c19_to_be AS string),'') </v>
      </c>
      <c r="L168" s="75" t="str">
        <f t="shared" si="28"/>
        <v xml:space="preserve">SELECT count(*) AS NUM_REG_DIF FROM (SELECT instrmnt_id as instrmnt_id_, dt_end_gp_ppal_c19 as dt_end_gp_ppal_c19_as_is FROM cd_loan_tapes_bce.lt002_instrument WHERE ref_date='2024-09-30' AND nome_perimetro='Individual Corporativo' AND segmento='ESTR' AND ambito='PM' AND entidade='00100' ) A  Inner join (SELECT instrmnt_id as instrmnt_id_, dt_end_gp_ppal_c19 as dt_end_gp_ppal_c19_to_be FROM bu_loantape_work.lt002_instrument WHERE ref_date='2024-09-30' AND nome_perimetro='Individual Corporativo' AND segmento='ESTR' AND ambito='PM' AND entidade='00100' ) B ON instrmnt_id_as_is=instrmnt_id_to_be WHERE coalesce(cast(dt_end_gp_ppal_c19_as_is AS string),'')&lt;&gt;coalesce(cast(dt_end_gp_ppal_c19_to_be AS string),'') </v>
      </c>
      <c r="M168" s="75" t="s">
        <v>55</v>
      </c>
      <c r="N168" s="75" t="str">
        <f>"SELECT 'Validação de campos' as tipologia_teste, '"&amp;VLOOKUP(B168,Instruções!$F$13:$J$17,3,0)&amp;"' AS TABELA, '"&amp;E168&amp;"' AS CAMPO, '"&amp;Instruções!$D$15&amp;"' as ref_date, coalesce(NUM_REG_DIF, 0) AS NUM_REG_DIF FROM ("&amp;L168&amp;") A "</f>
        <v xml:space="preserve">SELECT 'Validação de campos' as tipologia_teste, 'lt002_instrument' AS TABELA, 'dt_end_gp_ppal_c19' AS CAMPO, '2024-09-30' as ref_date, coalesce(NUM_REG_DIF, 0) AS NUM_REG_DIF FROM (SELECT count(*) AS NUM_REG_DIF FROM (SELECT instrmnt_id as instrmnt_id_, dt_end_gp_ppal_c19 as dt_end_gp_ppal_c19_as_is FROM cd_loan_tapes_bce.lt002_instrument WHERE ref_date='2024-09-30' AND nome_perimetro='Individual Corporativo' AND segmento='ESTR' AND ambito='PM' AND entidade='00100' ) A  Inner join (SELECT instrmnt_id as instrmnt_id_, dt_end_gp_ppal_c19 as dt_end_gp_ppal_c19_to_be FROM bu_loantape_work.lt002_instrument WHERE ref_date='2024-09-30' AND nome_perimetro='Individual Corporativo' AND segmento='ESTR' AND ambito='PM' AND entidade='00100' ) B ON instrmnt_id_as_is=instrmnt_id_to_be WHERE coalesce(cast(dt_end_gp_ppal_c19_as_is AS string),'')&lt;&gt;coalesce(cast(dt_end_gp_ppal_c19_to_be AS string),'') ) A </v>
      </c>
      <c r="O168" s="76" t="str">
        <f t="shared" si="29"/>
        <v>SELECT 'Validação de campos' as tipologia_teste, 'lt002_instrument' AS TABELA, 'dt_end_gp_ppal_c19' AS CAMPO, '2024-09-30' as ref_date, coalesce(NUM_REG_DIF, 0) AS NUM_REG_DIF FROM (SELECT count(*) AS NUM_REG_DIF FROM (SELECT instrmnt_id as instrmnt_id_, dt_end_gp_ppal_c19 as dt_end_gp_ppal_c19_as_is FROM cd_loan_tapes_bce.lt002_instrument WHERE ref_date='2024-09-30' AND nome_perimetro='Individual Corporativo' AND segmento='ESTR' AND ambito='PM' AND entidade='00100' ) A  Inner join (SELECT instrmnt_id as instrmnt_id_, dt_end_gp_ppal_c19 as dt_end_gp_ppal_c19_to_be FROM bu_loantape_work.lt002_instrument WHERE ref_date='2024-09-30' AND nome_perimetro='Individual Corporativo' AND segmento='ESTR' AND ambito='PM' AND entidade='00100' ) B ON instrmnt_id_as_is=instrmnt_id_to_be WHERE coalesce(cast(dt_end_gp_ppal_c19_as_is AS string),'')&lt;&gt;coalesce(cast(dt_end_gp_ppal_c19_to_be AS string),'') ) A Union all</v>
      </c>
      <c r="P168" s="75">
        <f t="shared" si="30"/>
        <v>7</v>
      </c>
    </row>
    <row r="169" spans="2:16" s="63" customFormat="1" ht="18" customHeight="1">
      <c r="B169" s="75" t="s">
        <v>26</v>
      </c>
      <c r="C169" s="75" t="str">
        <f>_xlfn.CONCAT(Instruções!$D$13,".",VLOOKUP(B169,Instruções!$F$12:$H$17,2,0))</f>
        <v>cd_loan_tapes_bce.lt002_instrument</v>
      </c>
      <c r="D169" s="75" t="str">
        <f>_xlfn.CONCAT(Instruções!$D$14,".",VLOOKUP(B169,Instruções!$F$12:$H$17,3,0))</f>
        <v>bu_loantape_work.lt002_instrument</v>
      </c>
      <c r="E169" s="75" t="s">
        <v>209</v>
      </c>
      <c r="F169" s="75" t="str">
        <f t="shared" si="25"/>
        <v>dt_end_intrst_only_as_is</v>
      </c>
      <c r="G169" s="75" t="str">
        <f t="shared" si="26"/>
        <v>dt_end_intrst_only_to_be</v>
      </c>
      <c r="H169" s="75" t="str">
        <f>IF(VLOOKUP(B169,Instruções!$F$13:$J$17,5,0)="",
"(SELECT "&amp;VLOOKUP(B169,Instruções!$F$13:$J$17,4,0)&amp;" as "&amp;VLOOKUP(B169,Instruções!$F$13:$J$17,4,0)&amp;"_"&amp;$F$2&amp;", "&amp;E169&amp;" as "&amp;F169&amp;" FROM "&amp;C169&amp;" WHERE "&amp;Instruções!$D$20&amp;") A ",
"(SELECT "&amp;VLOOKUP(B169,Instruções!$F$13:$J$17,4,0)&amp;" as "&amp;VLOOKUP(B169,Instruções!$F$13:$J$17,4,0)&amp;"_"&amp;$F$2&amp;", "&amp;VLOOKUP(B169,Instruções!$F$13:$J$17,5,0)&amp;" as "&amp;VLOOKUP(B169,Instruções!$F$13:$J$17,5,0)&amp;"_"&amp;$F$2&amp;","&amp;E169&amp;" as "&amp;F169&amp;" FROM "&amp;C169&amp;" WHERE "&amp;Instruções!$D$20&amp;") A ")</f>
        <v xml:space="preserve">(SELECT instrmnt_id as instrmnt_id_, dt_end_intrst_only as dt_end_intrst_only_as_is FROM cd_loan_tapes_bce.lt002_instrument WHERE ref_date='2024-09-30' AND nome_perimetro='Individual Corporativo' AND segmento='ESTR' AND ambito='PM' AND entidade='00100' ) A </v>
      </c>
      <c r="I169" s="75" t="str">
        <f>IF(VLOOKUP(B169,Instruções!$F$13:$J$17,5,0)="",
"(SELECT "&amp;VLOOKUP(B169,Instruções!$F$13:$J$17,4,0)&amp;" as "&amp;VLOOKUP(B169,Instruções!$F$13:$J$17,4,0)&amp;"_"&amp;$G$2&amp;", "&amp;E169&amp;" as "&amp;G169&amp;" FROM "&amp;D169&amp;" WHERE "&amp;Instruções!$D$21&amp;") B ",
"(SELECT "&amp;VLOOKUP(B169,Instruções!$F$13:$J$17,4,0)&amp;" as "&amp;VLOOKUP(B169,Instruções!$F$13:$J$17,4,0)&amp;"_"&amp;$G$2&amp;", "&amp;VLOOKUP(B169,Instruções!$F$13:$J$17,5,0)&amp;" as "&amp;VLOOKUP(B169,Instruções!$F$13:$J$17,5,0)&amp;"_"&amp;$G$2&amp;","&amp;E169&amp;" as "&amp;G169&amp;" FROM "&amp;D169&amp;" WHERE "&amp;Instruções!$D$21&amp;") B ")</f>
        <v xml:space="preserve">(SELECT instrmnt_id as instrmnt_id_, dt_end_intrst_only as dt_end_intrst_only_to_be FROM bu_loantape_work.lt002_instrument WHERE ref_date='2024-09-30' AND nome_perimetro='Individual Corporativo' AND segmento='ESTR' AND ambito='PM' AND entidade='00100' ) B </v>
      </c>
      <c r="J169" s="75" t="str">
        <f>+IF(VLOOKUP(B169,Instruções!$F$13:$J$17,5,0)="", "ON "&amp;VLOOKUP(B169,Instruções!$F$13:$J$17,4,0)&amp;"_"&amp;$F$7&amp;"="&amp;VLOOKUP(B169,Instruções!$F$13:$J$17,4,0)&amp;"_"&amp;$G$7&amp;" ", "ON "&amp;VLOOKUP(B169,Instruções!$F$13:$J$17,4,0)&amp;"_"&amp;$F$7&amp;"="&amp;VLOOKUP(B169,Instruções!$F$13:$J$17,4,0)&amp;"_"&amp;$G$7&amp;" AND "&amp;VLOOKUP(B169,Instruções!$F$13:$J$17,5,0)&amp;"_"&amp;$F$7&amp;"="&amp;VLOOKUP(B169,Instruções!$F$13:$J$17,5,0)&amp;"_"&amp;$G$7&amp;" ")</f>
        <v xml:space="preserve">ON instrmnt_id_as_is=instrmnt_id_to_be </v>
      </c>
      <c r="K169" s="75" t="str">
        <f t="shared" si="27"/>
        <v xml:space="preserve">WHERE coalesce(cast(dt_end_intrst_only_as_is AS string),'')&lt;&gt;coalesce(cast(dt_end_intrst_only_to_be AS string),'') </v>
      </c>
      <c r="L169" s="75" t="str">
        <f t="shared" si="28"/>
        <v xml:space="preserve">SELECT count(*) AS NUM_REG_DIF FROM (SELECT instrmnt_id as instrmnt_id_, dt_end_intrst_only as dt_end_intrst_only_as_is FROM cd_loan_tapes_bce.lt002_instrument WHERE ref_date='2024-09-30' AND nome_perimetro='Individual Corporativo' AND segmento='ESTR' AND ambito='PM' AND entidade='00100' ) A  Inner join (SELECT instrmnt_id as instrmnt_id_, dt_end_intrst_only as dt_end_intrst_only_to_be FROM bu_loantape_work.lt002_instrument WHERE ref_date='2024-09-30' AND nome_perimetro='Individual Corporativo' AND segmento='ESTR' AND ambito='PM' AND entidade='00100' ) B ON instrmnt_id_as_is=instrmnt_id_to_be WHERE coalesce(cast(dt_end_intrst_only_as_is AS string),'')&lt;&gt;coalesce(cast(dt_end_intrst_only_to_be AS string),'') </v>
      </c>
      <c r="M169" s="75" t="s">
        <v>55</v>
      </c>
      <c r="N169" s="75" t="str">
        <f>"SELECT 'Validação de campos' as tipologia_teste, '"&amp;VLOOKUP(B169,Instruções!$F$13:$J$17,3,0)&amp;"' AS TABELA, '"&amp;E169&amp;"' AS CAMPO, '"&amp;Instruções!$D$15&amp;"' as ref_date, coalesce(NUM_REG_DIF, 0) AS NUM_REG_DIF FROM ("&amp;L169&amp;") A "</f>
        <v xml:space="preserve">SELECT 'Validação de campos' as tipologia_teste, 'lt002_instrument' AS TABELA, 'dt_end_intrst_only' AS CAMPO, '2024-09-30' as ref_date, coalesce(NUM_REG_DIF, 0) AS NUM_REG_DIF FROM (SELECT count(*) AS NUM_REG_DIF FROM (SELECT instrmnt_id as instrmnt_id_, dt_end_intrst_only as dt_end_intrst_only_as_is FROM cd_loan_tapes_bce.lt002_instrument WHERE ref_date='2024-09-30' AND nome_perimetro='Individual Corporativo' AND segmento='ESTR' AND ambito='PM' AND entidade='00100' ) A  Inner join (SELECT instrmnt_id as instrmnt_id_, dt_end_intrst_only as dt_end_intrst_only_to_be FROM bu_loantape_work.lt002_instrument WHERE ref_date='2024-09-30' AND nome_perimetro='Individual Corporativo' AND segmento='ESTR' AND ambito='PM' AND entidade='00100' ) B ON instrmnt_id_as_is=instrmnt_id_to_be WHERE coalesce(cast(dt_end_intrst_only_as_is AS string),'')&lt;&gt;coalesce(cast(dt_end_intrst_only_to_be AS string),'') ) A </v>
      </c>
      <c r="O169" s="76" t="str">
        <f t="shared" si="29"/>
        <v>SELECT 'Validação de campos' as tipologia_teste, 'lt002_instrument' AS TABELA, 'dt_end_intrst_only' AS CAMPO, '2024-09-30' as ref_date, coalesce(NUM_REG_DIF, 0) AS NUM_REG_DIF FROM (SELECT count(*) AS NUM_REG_DIF FROM (SELECT instrmnt_id as instrmnt_id_, dt_end_intrst_only as dt_end_intrst_only_as_is FROM cd_loan_tapes_bce.lt002_instrument WHERE ref_date='2024-09-30' AND nome_perimetro='Individual Corporativo' AND segmento='ESTR' AND ambito='PM' AND entidade='00100' ) A  Inner join (SELECT instrmnt_id as instrmnt_id_, dt_end_intrst_only as dt_end_intrst_only_to_be FROM bu_loantape_work.lt002_instrument WHERE ref_date='2024-09-30' AND nome_perimetro='Individual Corporativo' AND segmento='ESTR' AND ambito='PM' AND entidade='00100' ) B ON instrmnt_id_as_is=instrmnt_id_to_be WHERE coalesce(cast(dt_end_intrst_only_as_is AS string),'')&lt;&gt;coalesce(cast(dt_end_intrst_only_to_be AS string),'') ) A Union all</v>
      </c>
      <c r="P169" s="75">
        <f t="shared" si="30"/>
        <v>8</v>
      </c>
    </row>
    <row r="170" spans="2:16" s="63" customFormat="1" ht="18" customHeight="1">
      <c r="B170" s="75" t="s">
        <v>26</v>
      </c>
      <c r="C170" s="75" t="str">
        <f>_xlfn.CONCAT(Instruções!$D$13,".",VLOOKUP(B170,Instruções!$F$12:$H$17,2,0))</f>
        <v>cd_loan_tapes_bce.lt002_instrument</v>
      </c>
      <c r="D170" s="75" t="str">
        <f>_xlfn.CONCAT(Instruções!$D$14,".",VLOOKUP(B170,Instruções!$F$12:$H$17,3,0))</f>
        <v>bu_loantape_work.lt002_instrument</v>
      </c>
      <c r="E170" s="75" t="s">
        <v>210</v>
      </c>
      <c r="F170" s="75" t="str">
        <f t="shared" si="25"/>
        <v>dt_end_intrst_only_c19_as_is</v>
      </c>
      <c r="G170" s="75" t="str">
        <f t="shared" si="26"/>
        <v>dt_end_intrst_only_c19_to_be</v>
      </c>
      <c r="H170" s="75" t="str">
        <f>IF(VLOOKUP(B170,Instruções!$F$13:$J$17,5,0)="",
"(SELECT "&amp;VLOOKUP(B170,Instruções!$F$13:$J$17,4,0)&amp;" as "&amp;VLOOKUP(B170,Instruções!$F$13:$J$17,4,0)&amp;"_"&amp;$F$2&amp;", "&amp;E170&amp;" as "&amp;F170&amp;" FROM "&amp;C170&amp;" WHERE "&amp;Instruções!$D$20&amp;") A ",
"(SELECT "&amp;VLOOKUP(B170,Instruções!$F$13:$J$17,4,0)&amp;" as "&amp;VLOOKUP(B170,Instruções!$F$13:$J$17,4,0)&amp;"_"&amp;$F$2&amp;", "&amp;VLOOKUP(B170,Instruções!$F$13:$J$17,5,0)&amp;" as "&amp;VLOOKUP(B170,Instruções!$F$13:$J$17,5,0)&amp;"_"&amp;$F$2&amp;","&amp;E170&amp;" as "&amp;F170&amp;" FROM "&amp;C170&amp;" WHERE "&amp;Instruções!$D$20&amp;") A ")</f>
        <v xml:space="preserve">(SELECT instrmnt_id as instrmnt_id_, dt_end_intrst_only_c19 as dt_end_intrst_only_c19_as_is FROM cd_loan_tapes_bce.lt002_instrument WHERE ref_date='2024-09-30' AND nome_perimetro='Individual Corporativo' AND segmento='ESTR' AND ambito='PM' AND entidade='00100' ) A </v>
      </c>
      <c r="I170" s="75" t="str">
        <f>IF(VLOOKUP(B170,Instruções!$F$13:$J$17,5,0)="",
"(SELECT "&amp;VLOOKUP(B170,Instruções!$F$13:$J$17,4,0)&amp;" as "&amp;VLOOKUP(B170,Instruções!$F$13:$J$17,4,0)&amp;"_"&amp;$G$2&amp;", "&amp;E170&amp;" as "&amp;G170&amp;" FROM "&amp;D170&amp;" WHERE "&amp;Instruções!$D$21&amp;") B ",
"(SELECT "&amp;VLOOKUP(B170,Instruções!$F$13:$J$17,4,0)&amp;" as "&amp;VLOOKUP(B170,Instruções!$F$13:$J$17,4,0)&amp;"_"&amp;$G$2&amp;", "&amp;VLOOKUP(B170,Instruções!$F$13:$J$17,5,0)&amp;" as "&amp;VLOOKUP(B170,Instruções!$F$13:$J$17,5,0)&amp;"_"&amp;$G$2&amp;","&amp;E170&amp;" as "&amp;G170&amp;" FROM "&amp;D170&amp;" WHERE "&amp;Instruções!$D$21&amp;") B ")</f>
        <v xml:space="preserve">(SELECT instrmnt_id as instrmnt_id_, dt_end_intrst_only_c19 as dt_end_intrst_only_c19_to_be FROM bu_loantape_work.lt002_instrument WHERE ref_date='2024-09-30' AND nome_perimetro='Individual Corporativo' AND segmento='ESTR' AND ambito='PM' AND entidade='00100' ) B </v>
      </c>
      <c r="J170" s="75" t="str">
        <f>+IF(VLOOKUP(B170,Instruções!$F$13:$J$17,5,0)="", "ON "&amp;VLOOKUP(B170,Instruções!$F$13:$J$17,4,0)&amp;"_"&amp;$F$7&amp;"="&amp;VLOOKUP(B170,Instruções!$F$13:$J$17,4,0)&amp;"_"&amp;$G$7&amp;" ", "ON "&amp;VLOOKUP(B170,Instruções!$F$13:$J$17,4,0)&amp;"_"&amp;$F$7&amp;"="&amp;VLOOKUP(B170,Instruções!$F$13:$J$17,4,0)&amp;"_"&amp;$G$7&amp;" AND "&amp;VLOOKUP(B170,Instruções!$F$13:$J$17,5,0)&amp;"_"&amp;$F$7&amp;"="&amp;VLOOKUP(B170,Instruções!$F$13:$J$17,5,0)&amp;"_"&amp;$G$7&amp;" ")</f>
        <v xml:space="preserve">ON instrmnt_id_as_is=instrmnt_id_to_be </v>
      </c>
      <c r="K170" s="75" t="str">
        <f t="shared" si="27"/>
        <v xml:space="preserve">WHERE coalesce(cast(dt_end_intrst_only_c19_as_is AS string),'')&lt;&gt;coalesce(cast(dt_end_intrst_only_c19_to_be AS string),'') </v>
      </c>
      <c r="L170" s="75" t="str">
        <f t="shared" si="28"/>
        <v xml:space="preserve">SELECT count(*) AS NUM_REG_DIF FROM (SELECT instrmnt_id as instrmnt_id_, dt_end_intrst_only_c19 as dt_end_intrst_only_c19_as_is FROM cd_loan_tapes_bce.lt002_instrument WHERE ref_date='2024-09-30' AND nome_perimetro='Individual Corporativo' AND segmento='ESTR' AND ambito='PM' AND entidade='00100' ) A  Inner join (SELECT instrmnt_id as instrmnt_id_, dt_end_intrst_only_c19 as dt_end_intrst_only_c19_to_be FROM bu_loantape_work.lt002_instrument WHERE ref_date='2024-09-30' AND nome_perimetro='Individual Corporativo' AND segmento='ESTR' AND ambito='PM' AND entidade='00100' ) B ON instrmnt_id_as_is=instrmnt_id_to_be WHERE coalesce(cast(dt_end_intrst_only_c19_as_is AS string),'')&lt;&gt;coalesce(cast(dt_end_intrst_only_c19_to_be AS string),'') </v>
      </c>
      <c r="M170" s="75" t="s">
        <v>55</v>
      </c>
      <c r="N170" s="75" t="str">
        <f>"SELECT 'Validação de campos' as tipologia_teste, '"&amp;VLOOKUP(B170,Instruções!$F$13:$J$17,3,0)&amp;"' AS TABELA, '"&amp;E170&amp;"' AS CAMPO, '"&amp;Instruções!$D$15&amp;"' as ref_date, coalesce(NUM_REG_DIF, 0) AS NUM_REG_DIF FROM ("&amp;L170&amp;") A "</f>
        <v xml:space="preserve">SELECT 'Validação de campos' as tipologia_teste, 'lt002_instrument' AS TABELA, 'dt_end_intrst_only_c19' AS CAMPO, '2024-09-30' as ref_date, coalesce(NUM_REG_DIF, 0) AS NUM_REG_DIF FROM (SELECT count(*) AS NUM_REG_DIF FROM (SELECT instrmnt_id as instrmnt_id_, dt_end_intrst_only_c19 as dt_end_intrst_only_c19_as_is FROM cd_loan_tapes_bce.lt002_instrument WHERE ref_date='2024-09-30' AND nome_perimetro='Individual Corporativo' AND segmento='ESTR' AND ambito='PM' AND entidade='00100' ) A  Inner join (SELECT instrmnt_id as instrmnt_id_, dt_end_intrst_only_c19 as dt_end_intrst_only_c19_to_be FROM bu_loantape_work.lt002_instrument WHERE ref_date='2024-09-30' AND nome_perimetro='Individual Corporativo' AND segmento='ESTR' AND ambito='PM' AND entidade='00100' ) B ON instrmnt_id_as_is=instrmnt_id_to_be WHERE coalesce(cast(dt_end_intrst_only_c19_as_is AS string),'')&lt;&gt;coalesce(cast(dt_end_intrst_only_c19_to_be AS string),'') ) A </v>
      </c>
      <c r="O170" s="76" t="str">
        <f t="shared" si="29"/>
        <v>SELECT 'Validação de campos' as tipologia_teste, 'lt002_instrument' AS TABELA, 'dt_end_intrst_only_c19' AS CAMPO, '2024-09-30' as ref_date, coalesce(NUM_REG_DIF, 0) AS NUM_REG_DIF FROM (SELECT count(*) AS NUM_REG_DIF FROM (SELECT instrmnt_id as instrmnt_id_, dt_end_intrst_only_c19 as dt_end_intrst_only_c19_as_is FROM cd_loan_tapes_bce.lt002_instrument WHERE ref_date='2024-09-30' AND nome_perimetro='Individual Corporativo' AND segmento='ESTR' AND ambito='PM' AND entidade='00100' ) A  Inner join (SELECT instrmnt_id as instrmnt_id_, dt_end_intrst_only_c19 as dt_end_intrst_only_c19_to_be FROM bu_loantape_work.lt002_instrument WHERE ref_date='2024-09-30' AND nome_perimetro='Individual Corporativo' AND segmento='ESTR' AND ambito='PM' AND entidade='00100' ) B ON instrmnt_id_as_is=instrmnt_id_to_be WHERE coalesce(cast(dt_end_intrst_only_c19_as_is AS string),'')&lt;&gt;coalesce(cast(dt_end_intrst_only_c19_to_be AS string),'') ) A Union all</v>
      </c>
      <c r="P170" s="75">
        <f t="shared" si="30"/>
        <v>9</v>
      </c>
    </row>
    <row r="171" spans="2:16" s="63" customFormat="1" ht="18" customHeight="1">
      <c r="B171" s="75" t="s">
        <v>26</v>
      </c>
      <c r="C171" s="75" t="str">
        <f>_xlfn.CONCAT(Instruções!$D$13,".",VLOOKUP(B171,Instruções!$F$12:$H$17,2,0))</f>
        <v>cd_loan_tapes_bce.lt002_instrument</v>
      </c>
      <c r="D171" s="75" t="str">
        <f>_xlfn.CONCAT(Instruções!$D$14,".",VLOOKUP(B171,Instruções!$F$12:$H$17,3,0))</f>
        <v>bu_loantape_work.lt002_instrument</v>
      </c>
      <c r="E171" s="75" t="s">
        <v>211</v>
      </c>
      <c r="F171" s="75" t="str">
        <f t="shared" si="25"/>
        <v>dt_frbrnc_stts_as_is</v>
      </c>
      <c r="G171" s="75" t="str">
        <f t="shared" si="26"/>
        <v>dt_frbrnc_stts_to_be</v>
      </c>
      <c r="H171" s="75" t="str">
        <f>IF(VLOOKUP(B171,Instruções!$F$13:$J$17,5,0)="",
"(SELECT "&amp;VLOOKUP(B171,Instruções!$F$13:$J$17,4,0)&amp;" as "&amp;VLOOKUP(B171,Instruções!$F$13:$J$17,4,0)&amp;"_"&amp;$F$2&amp;", "&amp;E171&amp;" as "&amp;F171&amp;" FROM "&amp;C171&amp;" WHERE "&amp;Instruções!$D$20&amp;") A ",
"(SELECT "&amp;VLOOKUP(B171,Instruções!$F$13:$J$17,4,0)&amp;" as "&amp;VLOOKUP(B171,Instruções!$F$13:$J$17,4,0)&amp;"_"&amp;$F$2&amp;", "&amp;VLOOKUP(B171,Instruções!$F$13:$J$17,5,0)&amp;" as "&amp;VLOOKUP(B171,Instruções!$F$13:$J$17,5,0)&amp;"_"&amp;$F$2&amp;","&amp;E171&amp;" as "&amp;F171&amp;" FROM "&amp;C171&amp;" WHERE "&amp;Instruções!$D$20&amp;") A ")</f>
        <v xml:space="preserve">(SELECT instrmnt_id as instrmnt_id_, dt_frbrnc_stts as dt_frbrnc_stts_as_is FROM cd_loan_tapes_bce.lt002_instrument WHERE ref_date='2024-09-30' AND nome_perimetro='Individual Corporativo' AND segmento='ESTR' AND ambito='PM' AND entidade='00100' ) A </v>
      </c>
      <c r="I171" s="75" t="str">
        <f>IF(VLOOKUP(B171,Instruções!$F$13:$J$17,5,0)="",
"(SELECT "&amp;VLOOKUP(B171,Instruções!$F$13:$J$17,4,0)&amp;" as "&amp;VLOOKUP(B171,Instruções!$F$13:$J$17,4,0)&amp;"_"&amp;$G$2&amp;", "&amp;E171&amp;" as "&amp;G171&amp;" FROM "&amp;D171&amp;" WHERE "&amp;Instruções!$D$21&amp;") B ",
"(SELECT "&amp;VLOOKUP(B171,Instruções!$F$13:$J$17,4,0)&amp;" as "&amp;VLOOKUP(B171,Instruções!$F$13:$J$17,4,0)&amp;"_"&amp;$G$2&amp;", "&amp;VLOOKUP(B171,Instruções!$F$13:$J$17,5,0)&amp;" as "&amp;VLOOKUP(B171,Instruções!$F$13:$J$17,5,0)&amp;"_"&amp;$G$2&amp;","&amp;E171&amp;" as "&amp;G171&amp;" FROM "&amp;D171&amp;" WHERE "&amp;Instruções!$D$21&amp;") B ")</f>
        <v xml:space="preserve">(SELECT instrmnt_id as instrmnt_id_, dt_frbrnc_stts as dt_frbrnc_stts_to_be FROM bu_loantape_work.lt002_instrument WHERE ref_date='2024-09-30' AND nome_perimetro='Individual Corporativo' AND segmento='ESTR' AND ambito='PM' AND entidade='00100' ) B </v>
      </c>
      <c r="J171" s="75" t="str">
        <f>+IF(VLOOKUP(B171,Instruções!$F$13:$J$17,5,0)="", "ON "&amp;VLOOKUP(B171,Instruções!$F$13:$J$17,4,0)&amp;"_"&amp;$F$7&amp;"="&amp;VLOOKUP(B171,Instruções!$F$13:$J$17,4,0)&amp;"_"&amp;$G$7&amp;" ", "ON "&amp;VLOOKUP(B171,Instruções!$F$13:$J$17,4,0)&amp;"_"&amp;$F$7&amp;"="&amp;VLOOKUP(B171,Instruções!$F$13:$J$17,4,0)&amp;"_"&amp;$G$7&amp;" AND "&amp;VLOOKUP(B171,Instruções!$F$13:$J$17,5,0)&amp;"_"&amp;$F$7&amp;"="&amp;VLOOKUP(B171,Instruções!$F$13:$J$17,5,0)&amp;"_"&amp;$G$7&amp;" ")</f>
        <v xml:space="preserve">ON instrmnt_id_as_is=instrmnt_id_to_be </v>
      </c>
      <c r="K171" s="75" t="str">
        <f t="shared" si="27"/>
        <v xml:space="preserve">WHERE coalesce(cast(dt_frbrnc_stts_as_is AS string),'')&lt;&gt;coalesce(cast(dt_frbrnc_stts_to_be AS string),'') </v>
      </c>
      <c r="L171" s="75" t="str">
        <f t="shared" si="28"/>
        <v xml:space="preserve">SELECT count(*) AS NUM_REG_DIF FROM (SELECT instrmnt_id as instrmnt_id_, dt_frbrnc_stts as dt_frbrnc_stts_as_is FROM cd_loan_tapes_bce.lt002_instrument WHERE ref_date='2024-09-30' AND nome_perimetro='Individual Corporativo' AND segmento='ESTR' AND ambito='PM' AND entidade='00100' ) A  Inner join (SELECT instrmnt_id as instrmnt_id_, dt_frbrnc_stts as dt_frbrnc_stts_to_be FROM bu_loantape_work.lt002_instrument WHERE ref_date='2024-09-30' AND nome_perimetro='Individual Corporativo' AND segmento='ESTR' AND ambito='PM' AND entidade='00100' ) B ON instrmnt_id_as_is=instrmnt_id_to_be WHERE coalesce(cast(dt_frbrnc_stts_as_is AS string),'')&lt;&gt;coalesce(cast(dt_frbrnc_stts_to_be AS string),'') </v>
      </c>
      <c r="M171" s="75" t="s">
        <v>55</v>
      </c>
      <c r="N171" s="75" t="str">
        <f>"SELECT 'Validação de campos' as tipologia_teste, '"&amp;VLOOKUP(B171,Instruções!$F$13:$J$17,3,0)&amp;"' AS TABELA, '"&amp;E171&amp;"' AS CAMPO, '"&amp;Instruções!$D$15&amp;"' as ref_date, coalesce(NUM_REG_DIF, 0) AS NUM_REG_DIF FROM ("&amp;L171&amp;") A "</f>
        <v xml:space="preserve">SELECT 'Validação de campos' as tipologia_teste, 'lt002_instrument' AS TABELA, 'dt_frbrnc_stts' AS CAMPO, '2024-09-30' as ref_date, coalesce(NUM_REG_DIF, 0) AS NUM_REG_DIF FROM (SELECT count(*) AS NUM_REG_DIF FROM (SELECT instrmnt_id as instrmnt_id_, dt_frbrnc_stts as dt_frbrnc_stts_as_is FROM cd_loan_tapes_bce.lt002_instrument WHERE ref_date='2024-09-30' AND nome_perimetro='Individual Corporativo' AND segmento='ESTR' AND ambito='PM' AND entidade='00100' ) A  Inner join (SELECT instrmnt_id as instrmnt_id_, dt_frbrnc_stts as dt_frbrnc_stts_to_be FROM bu_loantape_work.lt002_instrument WHERE ref_date='2024-09-30' AND nome_perimetro='Individual Corporativo' AND segmento='ESTR' AND ambito='PM' AND entidade='00100' ) B ON instrmnt_id_as_is=instrmnt_id_to_be WHERE coalesce(cast(dt_frbrnc_stts_as_is AS string),'')&lt;&gt;coalesce(cast(dt_frbrnc_stts_to_be AS string),'') ) A </v>
      </c>
      <c r="O171" s="76" t="str">
        <f t="shared" si="29"/>
        <v>SELECT 'Validação de campos' as tipologia_teste, 'lt002_instrument' AS TABELA, 'dt_frbrnc_stts' AS CAMPO, '2024-09-30' as ref_date, coalesce(NUM_REG_DIF, 0) AS NUM_REG_DIF FROM (SELECT count(*) AS NUM_REG_DIF FROM (SELECT instrmnt_id as instrmnt_id_, dt_frbrnc_stts as dt_frbrnc_stts_as_is FROM cd_loan_tapes_bce.lt002_instrument WHERE ref_date='2024-09-30' AND nome_perimetro='Individual Corporativo' AND segmento='ESTR' AND ambito='PM' AND entidade='00100' ) A  Inner join (SELECT instrmnt_id as instrmnt_id_, dt_frbrnc_stts as dt_frbrnc_stts_to_be FROM bu_loantape_work.lt002_instrument WHERE ref_date='2024-09-30' AND nome_perimetro='Individual Corporativo' AND segmento='ESTR' AND ambito='PM' AND entidade='00100' ) B ON instrmnt_id_as_is=instrmnt_id_to_be WHERE coalesce(cast(dt_frbrnc_stts_as_is AS string),'')&lt;&gt;coalesce(cast(dt_frbrnc_stts_to_be AS string),'') ) A Union all</v>
      </c>
      <c r="P171" s="75">
        <f t="shared" si="30"/>
        <v>10</v>
      </c>
    </row>
    <row r="172" spans="2:16" s="63" customFormat="1" ht="18" customHeight="1">
      <c r="B172" s="75" t="s">
        <v>26</v>
      </c>
      <c r="C172" s="75" t="str">
        <f>_xlfn.CONCAT(Instruções!$D$13,".",VLOOKUP(B172,Instruções!$F$12:$H$17,2,0))</f>
        <v>cd_loan_tapes_bce.lt002_instrument</v>
      </c>
      <c r="D172" s="75" t="str">
        <f>_xlfn.CONCAT(Instruções!$D$14,".",VLOOKUP(B172,Instruções!$F$12:$H$17,3,0))</f>
        <v>bu_loantape_work.lt002_instrument</v>
      </c>
      <c r="E172" s="75" t="s">
        <v>212</v>
      </c>
      <c r="F172" s="75" t="str">
        <f t="shared" si="25"/>
        <v>dt_frbrnc_stts_c19_as_is</v>
      </c>
      <c r="G172" s="75" t="str">
        <f t="shared" si="26"/>
        <v>dt_frbrnc_stts_c19_to_be</v>
      </c>
      <c r="H172" s="75" t="str">
        <f>IF(VLOOKUP(B172,Instruções!$F$13:$J$17,5,0)="",
"(SELECT "&amp;VLOOKUP(B172,Instruções!$F$13:$J$17,4,0)&amp;" as "&amp;VLOOKUP(B172,Instruções!$F$13:$J$17,4,0)&amp;"_"&amp;$F$2&amp;", "&amp;E172&amp;" as "&amp;F172&amp;" FROM "&amp;C172&amp;" WHERE "&amp;Instruções!$D$20&amp;") A ",
"(SELECT "&amp;VLOOKUP(B172,Instruções!$F$13:$J$17,4,0)&amp;" as "&amp;VLOOKUP(B172,Instruções!$F$13:$J$17,4,0)&amp;"_"&amp;$F$2&amp;", "&amp;VLOOKUP(B172,Instruções!$F$13:$J$17,5,0)&amp;" as "&amp;VLOOKUP(B172,Instruções!$F$13:$J$17,5,0)&amp;"_"&amp;$F$2&amp;","&amp;E172&amp;" as "&amp;F172&amp;" FROM "&amp;C172&amp;" WHERE "&amp;Instruções!$D$20&amp;") A ")</f>
        <v xml:space="preserve">(SELECT instrmnt_id as instrmnt_id_, dt_frbrnc_stts_c19 as dt_frbrnc_stts_c19_as_is FROM cd_loan_tapes_bce.lt002_instrument WHERE ref_date='2024-09-30' AND nome_perimetro='Individual Corporativo' AND segmento='ESTR' AND ambito='PM' AND entidade='00100' ) A </v>
      </c>
      <c r="I172" s="75" t="str">
        <f>IF(VLOOKUP(B172,Instruções!$F$13:$J$17,5,0)="",
"(SELECT "&amp;VLOOKUP(B172,Instruções!$F$13:$J$17,4,0)&amp;" as "&amp;VLOOKUP(B172,Instruções!$F$13:$J$17,4,0)&amp;"_"&amp;$G$2&amp;", "&amp;E172&amp;" as "&amp;G172&amp;" FROM "&amp;D172&amp;" WHERE "&amp;Instruções!$D$21&amp;") B ",
"(SELECT "&amp;VLOOKUP(B172,Instruções!$F$13:$J$17,4,0)&amp;" as "&amp;VLOOKUP(B172,Instruções!$F$13:$J$17,4,0)&amp;"_"&amp;$G$2&amp;", "&amp;VLOOKUP(B172,Instruções!$F$13:$J$17,5,0)&amp;" as "&amp;VLOOKUP(B172,Instruções!$F$13:$J$17,5,0)&amp;"_"&amp;$G$2&amp;","&amp;E172&amp;" as "&amp;G172&amp;" FROM "&amp;D172&amp;" WHERE "&amp;Instruções!$D$21&amp;") B ")</f>
        <v xml:space="preserve">(SELECT instrmnt_id as instrmnt_id_, dt_frbrnc_stts_c19 as dt_frbrnc_stts_c19_to_be FROM bu_loantape_work.lt002_instrument WHERE ref_date='2024-09-30' AND nome_perimetro='Individual Corporativo' AND segmento='ESTR' AND ambito='PM' AND entidade='00100' ) B </v>
      </c>
      <c r="J172" s="75" t="str">
        <f>+IF(VLOOKUP(B172,Instruções!$F$13:$J$17,5,0)="", "ON "&amp;VLOOKUP(B172,Instruções!$F$13:$J$17,4,0)&amp;"_"&amp;$F$7&amp;"="&amp;VLOOKUP(B172,Instruções!$F$13:$J$17,4,0)&amp;"_"&amp;$G$7&amp;" ", "ON "&amp;VLOOKUP(B172,Instruções!$F$13:$J$17,4,0)&amp;"_"&amp;$F$7&amp;"="&amp;VLOOKUP(B172,Instruções!$F$13:$J$17,4,0)&amp;"_"&amp;$G$7&amp;" AND "&amp;VLOOKUP(B172,Instruções!$F$13:$J$17,5,0)&amp;"_"&amp;$F$7&amp;"="&amp;VLOOKUP(B172,Instruções!$F$13:$J$17,5,0)&amp;"_"&amp;$G$7&amp;" ")</f>
        <v xml:space="preserve">ON instrmnt_id_as_is=instrmnt_id_to_be </v>
      </c>
      <c r="K172" s="75" t="str">
        <f t="shared" si="27"/>
        <v xml:space="preserve">WHERE coalesce(cast(dt_frbrnc_stts_c19_as_is AS string),'')&lt;&gt;coalesce(cast(dt_frbrnc_stts_c19_to_be AS string),'') </v>
      </c>
      <c r="L172" s="75" t="str">
        <f t="shared" si="28"/>
        <v xml:space="preserve">SELECT count(*) AS NUM_REG_DIF FROM (SELECT instrmnt_id as instrmnt_id_, dt_frbrnc_stts_c19 as dt_frbrnc_stts_c19_as_is FROM cd_loan_tapes_bce.lt002_instrument WHERE ref_date='2024-09-30' AND nome_perimetro='Individual Corporativo' AND segmento='ESTR' AND ambito='PM' AND entidade='00100' ) A  Inner join (SELECT instrmnt_id as instrmnt_id_, dt_frbrnc_stts_c19 as dt_frbrnc_stts_c19_to_be FROM bu_loantape_work.lt002_instrument WHERE ref_date='2024-09-30' AND nome_perimetro='Individual Corporativo' AND segmento='ESTR' AND ambito='PM' AND entidade='00100' ) B ON instrmnt_id_as_is=instrmnt_id_to_be WHERE coalesce(cast(dt_frbrnc_stts_c19_as_is AS string),'')&lt;&gt;coalesce(cast(dt_frbrnc_stts_c19_to_be AS string),'') </v>
      </c>
      <c r="M172" s="75" t="s">
        <v>55</v>
      </c>
      <c r="N172" s="75" t="str">
        <f>"SELECT 'Validação de campos' as tipologia_teste, '"&amp;VLOOKUP(B172,Instruções!$F$13:$J$17,3,0)&amp;"' AS TABELA, '"&amp;E172&amp;"' AS CAMPO, '"&amp;Instruções!$D$15&amp;"' as ref_date, coalesce(NUM_REG_DIF, 0) AS NUM_REG_DIF FROM ("&amp;L172&amp;") A "</f>
        <v xml:space="preserve">SELECT 'Validação de campos' as tipologia_teste, 'lt002_instrument' AS TABELA, 'dt_frbrnc_stts_c19' AS CAMPO, '2024-09-30' as ref_date, coalesce(NUM_REG_DIF, 0) AS NUM_REG_DIF FROM (SELECT count(*) AS NUM_REG_DIF FROM (SELECT instrmnt_id as instrmnt_id_, dt_frbrnc_stts_c19 as dt_frbrnc_stts_c19_as_is FROM cd_loan_tapes_bce.lt002_instrument WHERE ref_date='2024-09-30' AND nome_perimetro='Individual Corporativo' AND segmento='ESTR' AND ambito='PM' AND entidade='00100' ) A  Inner join (SELECT instrmnt_id as instrmnt_id_, dt_frbrnc_stts_c19 as dt_frbrnc_stts_c19_to_be FROM bu_loantape_work.lt002_instrument WHERE ref_date='2024-09-30' AND nome_perimetro='Individual Corporativo' AND segmento='ESTR' AND ambito='PM' AND entidade='00100' ) B ON instrmnt_id_as_is=instrmnt_id_to_be WHERE coalesce(cast(dt_frbrnc_stts_c19_as_is AS string),'')&lt;&gt;coalesce(cast(dt_frbrnc_stts_c19_to_be AS string),'') ) A </v>
      </c>
      <c r="O172" s="76" t="str">
        <f t="shared" si="29"/>
        <v>SELECT 'Validação de campos' as tipologia_teste, 'lt002_instrument' AS TABELA, 'dt_frbrnc_stts_c19' AS CAMPO, '2024-09-30' as ref_date, coalesce(NUM_REG_DIF, 0) AS NUM_REG_DIF FROM (SELECT count(*) AS NUM_REG_DIF FROM (SELECT instrmnt_id as instrmnt_id_, dt_frbrnc_stts_c19 as dt_frbrnc_stts_c19_as_is FROM cd_loan_tapes_bce.lt002_instrument WHERE ref_date='2024-09-30' AND nome_perimetro='Individual Corporativo' AND segmento='ESTR' AND ambito='PM' AND entidade='00100' ) A  Inner join (SELECT instrmnt_id as instrmnt_id_, dt_frbrnc_stts_c19 as dt_frbrnc_stts_c19_to_be FROM bu_loantape_work.lt002_instrument WHERE ref_date='2024-09-30' AND nome_perimetro='Individual Corporativo' AND segmento='ESTR' AND ambito='PM' AND entidade='00100' ) B ON instrmnt_id_as_is=instrmnt_id_to_be WHERE coalesce(cast(dt_frbrnc_stts_c19_as_is AS string),'')&lt;&gt;coalesce(cast(dt_frbrnc_stts_c19_to_be AS string),'') ) A Union all</v>
      </c>
      <c r="P172" s="75">
        <f t="shared" si="30"/>
        <v>11</v>
      </c>
    </row>
    <row r="173" spans="2:16" s="63" customFormat="1" ht="18" customHeight="1">
      <c r="B173" s="75" t="s">
        <v>26</v>
      </c>
      <c r="C173" s="75" t="str">
        <f>_xlfn.CONCAT(Instruções!$D$13,".",VLOOKUP(B173,Instruções!$F$12:$H$17,2,0))</f>
        <v>cd_loan_tapes_bce.lt002_instrument</v>
      </c>
      <c r="D173" s="75" t="str">
        <f>_xlfn.CONCAT(Instruções!$D$14,".",VLOOKUP(B173,Instruções!$F$12:$H$17,3,0))</f>
        <v>bu_loantape_work.lt002_instrument</v>
      </c>
      <c r="E173" s="75" t="s">
        <v>213</v>
      </c>
      <c r="F173" s="75" t="str">
        <f t="shared" si="25"/>
        <v>dt_frbrnc_stts_prvs_as_is</v>
      </c>
      <c r="G173" s="75" t="str">
        <f t="shared" si="26"/>
        <v>dt_frbrnc_stts_prvs_to_be</v>
      </c>
      <c r="H173" s="75" t="str">
        <f>IF(VLOOKUP(B173,Instruções!$F$13:$J$17,5,0)="",
"(SELECT "&amp;VLOOKUP(B173,Instruções!$F$13:$J$17,4,0)&amp;" as "&amp;VLOOKUP(B173,Instruções!$F$13:$J$17,4,0)&amp;"_"&amp;$F$2&amp;", "&amp;E173&amp;" as "&amp;F173&amp;" FROM "&amp;C173&amp;" WHERE "&amp;Instruções!$D$20&amp;") A ",
"(SELECT "&amp;VLOOKUP(B173,Instruções!$F$13:$J$17,4,0)&amp;" as "&amp;VLOOKUP(B173,Instruções!$F$13:$J$17,4,0)&amp;"_"&amp;$F$2&amp;", "&amp;VLOOKUP(B173,Instruções!$F$13:$J$17,5,0)&amp;" as "&amp;VLOOKUP(B173,Instruções!$F$13:$J$17,5,0)&amp;"_"&amp;$F$2&amp;","&amp;E173&amp;" as "&amp;F173&amp;" FROM "&amp;C173&amp;" WHERE "&amp;Instruções!$D$20&amp;") A ")</f>
        <v xml:space="preserve">(SELECT instrmnt_id as instrmnt_id_, dt_frbrnc_stts_prvs as dt_frbrnc_stts_prvs_as_is FROM cd_loan_tapes_bce.lt002_instrument WHERE ref_date='2024-09-30' AND nome_perimetro='Individual Corporativo' AND segmento='ESTR' AND ambito='PM' AND entidade='00100' ) A </v>
      </c>
      <c r="I173" s="75" t="str">
        <f>IF(VLOOKUP(B173,Instruções!$F$13:$J$17,5,0)="",
"(SELECT "&amp;VLOOKUP(B173,Instruções!$F$13:$J$17,4,0)&amp;" as "&amp;VLOOKUP(B173,Instruções!$F$13:$J$17,4,0)&amp;"_"&amp;$G$2&amp;", "&amp;E173&amp;" as "&amp;G173&amp;" FROM "&amp;D173&amp;" WHERE "&amp;Instruções!$D$21&amp;") B ",
"(SELECT "&amp;VLOOKUP(B173,Instruções!$F$13:$J$17,4,0)&amp;" as "&amp;VLOOKUP(B173,Instruções!$F$13:$J$17,4,0)&amp;"_"&amp;$G$2&amp;", "&amp;VLOOKUP(B173,Instruções!$F$13:$J$17,5,0)&amp;" as "&amp;VLOOKUP(B173,Instruções!$F$13:$J$17,5,0)&amp;"_"&amp;$G$2&amp;","&amp;E173&amp;" as "&amp;G173&amp;" FROM "&amp;D173&amp;" WHERE "&amp;Instruções!$D$21&amp;") B ")</f>
        <v xml:space="preserve">(SELECT instrmnt_id as instrmnt_id_, dt_frbrnc_stts_prvs as dt_frbrnc_stts_prvs_to_be FROM bu_loantape_work.lt002_instrument WHERE ref_date='2024-09-30' AND nome_perimetro='Individual Corporativo' AND segmento='ESTR' AND ambito='PM' AND entidade='00100' ) B </v>
      </c>
      <c r="J173" s="75" t="str">
        <f>+IF(VLOOKUP(B173,Instruções!$F$13:$J$17,5,0)="", "ON "&amp;VLOOKUP(B173,Instruções!$F$13:$J$17,4,0)&amp;"_"&amp;$F$7&amp;"="&amp;VLOOKUP(B173,Instruções!$F$13:$J$17,4,0)&amp;"_"&amp;$G$7&amp;" ", "ON "&amp;VLOOKUP(B173,Instruções!$F$13:$J$17,4,0)&amp;"_"&amp;$F$7&amp;"="&amp;VLOOKUP(B173,Instruções!$F$13:$J$17,4,0)&amp;"_"&amp;$G$7&amp;" AND "&amp;VLOOKUP(B173,Instruções!$F$13:$J$17,5,0)&amp;"_"&amp;$F$7&amp;"="&amp;VLOOKUP(B173,Instruções!$F$13:$J$17,5,0)&amp;"_"&amp;$G$7&amp;" ")</f>
        <v xml:space="preserve">ON instrmnt_id_as_is=instrmnt_id_to_be </v>
      </c>
      <c r="K173" s="75" t="str">
        <f t="shared" si="27"/>
        <v xml:space="preserve">WHERE coalesce(cast(dt_frbrnc_stts_prvs_as_is AS string),'')&lt;&gt;coalesce(cast(dt_frbrnc_stts_prvs_to_be AS string),'') </v>
      </c>
      <c r="L173" s="75" t="str">
        <f t="shared" si="28"/>
        <v xml:space="preserve">SELECT count(*) AS NUM_REG_DIF FROM (SELECT instrmnt_id as instrmnt_id_, dt_frbrnc_stts_prvs as dt_frbrnc_stts_prvs_as_is FROM cd_loan_tapes_bce.lt002_instrument WHERE ref_date='2024-09-30' AND nome_perimetro='Individual Corporativo' AND segmento='ESTR' AND ambito='PM' AND entidade='00100' ) A  Inner join (SELECT instrmnt_id as instrmnt_id_, dt_frbrnc_stts_prvs as dt_frbrnc_stts_prvs_to_be FROM bu_loantape_work.lt002_instrument WHERE ref_date='2024-09-30' AND nome_perimetro='Individual Corporativo' AND segmento='ESTR' AND ambito='PM' AND entidade='00100' ) B ON instrmnt_id_as_is=instrmnt_id_to_be WHERE coalesce(cast(dt_frbrnc_stts_prvs_as_is AS string),'')&lt;&gt;coalesce(cast(dt_frbrnc_stts_prvs_to_be AS string),'') </v>
      </c>
      <c r="M173" s="75" t="s">
        <v>55</v>
      </c>
      <c r="N173" s="75" t="str">
        <f>"SELECT 'Validação de campos' as tipologia_teste, '"&amp;VLOOKUP(B173,Instruções!$F$13:$J$17,3,0)&amp;"' AS TABELA, '"&amp;E173&amp;"' AS CAMPO, '"&amp;Instruções!$D$15&amp;"' as ref_date, coalesce(NUM_REG_DIF, 0) AS NUM_REG_DIF FROM ("&amp;L173&amp;") A "</f>
        <v xml:space="preserve">SELECT 'Validação de campos' as tipologia_teste, 'lt002_instrument' AS TABELA, 'dt_frbrnc_stts_prvs' AS CAMPO, '2024-09-30' as ref_date, coalesce(NUM_REG_DIF, 0) AS NUM_REG_DIF FROM (SELECT count(*) AS NUM_REG_DIF FROM (SELECT instrmnt_id as instrmnt_id_, dt_frbrnc_stts_prvs as dt_frbrnc_stts_prvs_as_is FROM cd_loan_tapes_bce.lt002_instrument WHERE ref_date='2024-09-30' AND nome_perimetro='Individual Corporativo' AND segmento='ESTR' AND ambito='PM' AND entidade='00100' ) A  Inner join (SELECT instrmnt_id as instrmnt_id_, dt_frbrnc_stts_prvs as dt_frbrnc_stts_prvs_to_be FROM bu_loantape_work.lt002_instrument WHERE ref_date='2024-09-30' AND nome_perimetro='Individual Corporativo' AND segmento='ESTR' AND ambito='PM' AND entidade='00100' ) B ON instrmnt_id_as_is=instrmnt_id_to_be WHERE coalesce(cast(dt_frbrnc_stts_prvs_as_is AS string),'')&lt;&gt;coalesce(cast(dt_frbrnc_stts_prvs_to_be AS string),'') ) A </v>
      </c>
      <c r="O173" s="76" t="str">
        <f t="shared" si="29"/>
        <v>SELECT 'Validação de campos' as tipologia_teste, 'lt002_instrument' AS TABELA, 'dt_frbrnc_stts_prvs' AS CAMPO, '2024-09-30' as ref_date, coalesce(NUM_REG_DIF, 0) AS NUM_REG_DIF FROM (SELECT count(*) AS NUM_REG_DIF FROM (SELECT instrmnt_id as instrmnt_id_, dt_frbrnc_stts_prvs as dt_frbrnc_stts_prvs_as_is FROM cd_loan_tapes_bce.lt002_instrument WHERE ref_date='2024-09-30' AND nome_perimetro='Individual Corporativo' AND segmento='ESTR' AND ambito='PM' AND entidade='00100' ) A  Inner join (SELECT instrmnt_id as instrmnt_id_, dt_frbrnc_stts_prvs as dt_frbrnc_stts_prvs_to_be FROM bu_loantape_work.lt002_instrument WHERE ref_date='2024-09-30' AND nome_perimetro='Individual Corporativo' AND segmento='ESTR' AND ambito='PM' AND entidade='00100' ) B ON instrmnt_id_as_is=instrmnt_id_to_be WHERE coalesce(cast(dt_frbrnc_stts_prvs_as_is AS string),'')&lt;&gt;coalesce(cast(dt_frbrnc_stts_prvs_to_be AS string),'') ) A Union all</v>
      </c>
      <c r="P173" s="75">
        <f t="shared" si="30"/>
        <v>12</v>
      </c>
    </row>
    <row r="174" spans="2:16" s="63" customFormat="1" ht="18" customHeight="1">
      <c r="B174" s="75" t="s">
        <v>26</v>
      </c>
      <c r="C174" s="75" t="str">
        <f>_xlfn.CONCAT(Instruções!$D$13,".",VLOOKUP(B174,Instruções!$F$12:$H$17,2,0))</f>
        <v>cd_loan_tapes_bce.lt002_instrument</v>
      </c>
      <c r="D174" s="75" t="str">
        <f>_xlfn.CONCAT(Instruções!$D$14,".",VLOOKUP(B174,Instruções!$F$12:$H$17,3,0))</f>
        <v>bu_loantape_work.lt002_instrument</v>
      </c>
      <c r="E174" s="75" t="s">
        <v>214</v>
      </c>
      <c r="F174" s="75" t="str">
        <f t="shared" si="25"/>
        <v>dt_frbrnc_stts_prvs_c19_as_is</v>
      </c>
      <c r="G174" s="75" t="str">
        <f t="shared" si="26"/>
        <v>dt_frbrnc_stts_prvs_c19_to_be</v>
      </c>
      <c r="H174" s="75" t="str">
        <f>IF(VLOOKUP(B174,Instruções!$F$13:$J$17,5,0)="",
"(SELECT "&amp;VLOOKUP(B174,Instruções!$F$13:$J$17,4,0)&amp;" as "&amp;VLOOKUP(B174,Instruções!$F$13:$J$17,4,0)&amp;"_"&amp;$F$2&amp;", "&amp;E174&amp;" as "&amp;F174&amp;" FROM "&amp;C174&amp;" WHERE "&amp;Instruções!$D$20&amp;") A ",
"(SELECT "&amp;VLOOKUP(B174,Instruções!$F$13:$J$17,4,0)&amp;" as "&amp;VLOOKUP(B174,Instruções!$F$13:$J$17,4,0)&amp;"_"&amp;$F$2&amp;", "&amp;VLOOKUP(B174,Instruções!$F$13:$J$17,5,0)&amp;" as "&amp;VLOOKUP(B174,Instruções!$F$13:$J$17,5,0)&amp;"_"&amp;$F$2&amp;","&amp;E174&amp;" as "&amp;F174&amp;" FROM "&amp;C174&amp;" WHERE "&amp;Instruções!$D$20&amp;") A ")</f>
        <v xml:space="preserve">(SELECT instrmnt_id as instrmnt_id_, dt_frbrnc_stts_prvs_c19 as dt_frbrnc_stts_prvs_c19_as_is FROM cd_loan_tapes_bce.lt002_instrument WHERE ref_date='2024-09-30' AND nome_perimetro='Individual Corporativo' AND segmento='ESTR' AND ambito='PM' AND entidade='00100' ) A </v>
      </c>
      <c r="I174" s="75" t="str">
        <f>IF(VLOOKUP(B174,Instruções!$F$13:$J$17,5,0)="",
"(SELECT "&amp;VLOOKUP(B174,Instruções!$F$13:$J$17,4,0)&amp;" as "&amp;VLOOKUP(B174,Instruções!$F$13:$J$17,4,0)&amp;"_"&amp;$G$2&amp;", "&amp;E174&amp;" as "&amp;G174&amp;" FROM "&amp;D174&amp;" WHERE "&amp;Instruções!$D$21&amp;") B ",
"(SELECT "&amp;VLOOKUP(B174,Instruções!$F$13:$J$17,4,0)&amp;" as "&amp;VLOOKUP(B174,Instruções!$F$13:$J$17,4,0)&amp;"_"&amp;$G$2&amp;", "&amp;VLOOKUP(B174,Instruções!$F$13:$J$17,5,0)&amp;" as "&amp;VLOOKUP(B174,Instruções!$F$13:$J$17,5,0)&amp;"_"&amp;$G$2&amp;","&amp;E174&amp;" as "&amp;G174&amp;" FROM "&amp;D174&amp;" WHERE "&amp;Instruções!$D$21&amp;") B ")</f>
        <v xml:space="preserve">(SELECT instrmnt_id as instrmnt_id_, dt_frbrnc_stts_prvs_c19 as dt_frbrnc_stts_prvs_c19_to_be FROM bu_loantape_work.lt002_instrument WHERE ref_date='2024-09-30' AND nome_perimetro='Individual Corporativo' AND segmento='ESTR' AND ambito='PM' AND entidade='00100' ) B </v>
      </c>
      <c r="J174" s="75" t="str">
        <f>+IF(VLOOKUP(B174,Instruções!$F$13:$J$17,5,0)="", "ON "&amp;VLOOKUP(B174,Instruções!$F$13:$J$17,4,0)&amp;"_"&amp;$F$7&amp;"="&amp;VLOOKUP(B174,Instruções!$F$13:$J$17,4,0)&amp;"_"&amp;$G$7&amp;" ", "ON "&amp;VLOOKUP(B174,Instruções!$F$13:$J$17,4,0)&amp;"_"&amp;$F$7&amp;"="&amp;VLOOKUP(B174,Instruções!$F$13:$J$17,4,0)&amp;"_"&amp;$G$7&amp;" AND "&amp;VLOOKUP(B174,Instruções!$F$13:$J$17,5,0)&amp;"_"&amp;$F$7&amp;"="&amp;VLOOKUP(B174,Instruções!$F$13:$J$17,5,0)&amp;"_"&amp;$G$7&amp;" ")</f>
        <v xml:space="preserve">ON instrmnt_id_as_is=instrmnt_id_to_be </v>
      </c>
      <c r="K174" s="75" t="str">
        <f t="shared" si="27"/>
        <v xml:space="preserve">WHERE coalesce(cast(dt_frbrnc_stts_prvs_c19_as_is AS string),'')&lt;&gt;coalesce(cast(dt_frbrnc_stts_prvs_c19_to_be AS string),'') </v>
      </c>
      <c r="L174" s="75" t="str">
        <f t="shared" si="28"/>
        <v xml:space="preserve">SELECT count(*) AS NUM_REG_DIF FROM (SELECT instrmnt_id as instrmnt_id_, dt_frbrnc_stts_prvs_c19 as dt_frbrnc_stts_prvs_c19_as_is FROM cd_loan_tapes_bce.lt002_instrument WHERE ref_date='2024-09-30' AND nome_perimetro='Individual Corporativo' AND segmento='ESTR' AND ambito='PM' AND entidade='00100' ) A  Inner join (SELECT instrmnt_id as instrmnt_id_, dt_frbrnc_stts_prvs_c19 as dt_frbrnc_stts_prvs_c19_to_be FROM bu_loantape_work.lt002_instrument WHERE ref_date='2024-09-30' AND nome_perimetro='Individual Corporativo' AND segmento='ESTR' AND ambito='PM' AND entidade='00100' ) B ON instrmnt_id_as_is=instrmnt_id_to_be WHERE coalesce(cast(dt_frbrnc_stts_prvs_c19_as_is AS string),'')&lt;&gt;coalesce(cast(dt_frbrnc_stts_prvs_c19_to_be AS string),'') </v>
      </c>
      <c r="M174" s="75" t="s">
        <v>55</v>
      </c>
      <c r="N174" s="75" t="str">
        <f>"SELECT 'Validação de campos' as tipologia_teste, '"&amp;VLOOKUP(B174,Instruções!$F$13:$J$17,3,0)&amp;"' AS TABELA, '"&amp;E174&amp;"' AS CAMPO, '"&amp;Instruções!$D$15&amp;"' as ref_date, coalesce(NUM_REG_DIF, 0) AS NUM_REG_DIF FROM ("&amp;L174&amp;") A "</f>
        <v xml:space="preserve">SELECT 'Validação de campos' as tipologia_teste, 'lt002_instrument' AS TABELA, 'dt_frbrnc_stts_prvs_c19' AS CAMPO, '2024-09-30' as ref_date, coalesce(NUM_REG_DIF, 0) AS NUM_REG_DIF FROM (SELECT count(*) AS NUM_REG_DIF FROM (SELECT instrmnt_id as instrmnt_id_, dt_frbrnc_stts_prvs_c19 as dt_frbrnc_stts_prvs_c19_as_is FROM cd_loan_tapes_bce.lt002_instrument WHERE ref_date='2024-09-30' AND nome_perimetro='Individual Corporativo' AND segmento='ESTR' AND ambito='PM' AND entidade='00100' ) A  Inner join (SELECT instrmnt_id as instrmnt_id_, dt_frbrnc_stts_prvs_c19 as dt_frbrnc_stts_prvs_c19_to_be FROM bu_loantape_work.lt002_instrument WHERE ref_date='2024-09-30' AND nome_perimetro='Individual Corporativo' AND segmento='ESTR' AND ambito='PM' AND entidade='00100' ) B ON instrmnt_id_as_is=instrmnt_id_to_be WHERE coalesce(cast(dt_frbrnc_stts_prvs_c19_as_is AS string),'')&lt;&gt;coalesce(cast(dt_frbrnc_stts_prvs_c19_to_be AS string),'') ) A </v>
      </c>
      <c r="O174" s="76" t="str">
        <f t="shared" si="29"/>
        <v>SELECT 'Validação de campos' as tipologia_teste, 'lt002_instrument' AS TABELA, 'dt_frbrnc_stts_prvs_c19' AS CAMPO, '2024-09-30' as ref_date, coalesce(NUM_REG_DIF, 0) AS NUM_REG_DIF FROM (SELECT count(*) AS NUM_REG_DIF FROM (SELECT instrmnt_id as instrmnt_id_, dt_frbrnc_stts_prvs_c19 as dt_frbrnc_stts_prvs_c19_as_is FROM cd_loan_tapes_bce.lt002_instrument WHERE ref_date='2024-09-30' AND nome_perimetro='Individual Corporativo' AND segmento='ESTR' AND ambito='PM' AND entidade='00100' ) A  Inner join (SELECT instrmnt_id as instrmnt_id_, dt_frbrnc_stts_prvs_c19 as dt_frbrnc_stts_prvs_c19_to_be FROM bu_loantape_work.lt002_instrument WHERE ref_date='2024-09-30' AND nome_perimetro='Individual Corporativo' AND segmento='ESTR' AND ambito='PM' AND entidade='00100' ) B ON instrmnt_id_as_is=instrmnt_id_to_be WHERE coalesce(cast(dt_frbrnc_stts_prvs_c19_as_is AS string),'')&lt;&gt;coalesce(cast(dt_frbrnc_stts_prvs_c19_to_be AS string),'') ) A Union all</v>
      </c>
      <c r="P174" s="75">
        <f t="shared" si="30"/>
        <v>13</v>
      </c>
    </row>
    <row r="175" spans="2:16" s="63" customFormat="1" ht="18" customHeight="1">
      <c r="B175" s="75" t="s">
        <v>26</v>
      </c>
      <c r="C175" s="75" t="str">
        <f>_xlfn.CONCAT(Instruções!$D$13,".",VLOOKUP(B175,Instruções!$F$12:$H$17,2,0))</f>
        <v>cd_loan_tapes_bce.lt002_instrument</v>
      </c>
      <c r="D175" s="75" t="str">
        <f>_xlfn.CONCAT(Instruções!$D$14,".",VLOOKUP(B175,Instruções!$F$12:$H$17,3,0))</f>
        <v>bu_loantape_work.lt002_instrument</v>
      </c>
      <c r="E175" s="75" t="s">
        <v>215</v>
      </c>
      <c r="F175" s="75" t="str">
        <f t="shared" si="25"/>
        <v>dt_imprmnt_stts_as_is</v>
      </c>
      <c r="G175" s="75" t="str">
        <f t="shared" si="26"/>
        <v>dt_imprmnt_stts_to_be</v>
      </c>
      <c r="H175" s="75" t="str">
        <f>IF(VLOOKUP(B175,Instruções!$F$13:$J$17,5,0)="",
"(SELECT "&amp;VLOOKUP(B175,Instruções!$F$13:$J$17,4,0)&amp;" as "&amp;VLOOKUP(B175,Instruções!$F$13:$J$17,4,0)&amp;"_"&amp;$F$2&amp;", "&amp;E175&amp;" as "&amp;F175&amp;" FROM "&amp;C175&amp;" WHERE "&amp;Instruções!$D$20&amp;") A ",
"(SELECT "&amp;VLOOKUP(B175,Instruções!$F$13:$J$17,4,0)&amp;" as "&amp;VLOOKUP(B175,Instruções!$F$13:$J$17,4,0)&amp;"_"&amp;$F$2&amp;", "&amp;VLOOKUP(B175,Instruções!$F$13:$J$17,5,0)&amp;" as "&amp;VLOOKUP(B175,Instruções!$F$13:$J$17,5,0)&amp;"_"&amp;$F$2&amp;","&amp;E175&amp;" as "&amp;F175&amp;" FROM "&amp;C175&amp;" WHERE "&amp;Instruções!$D$20&amp;") A ")</f>
        <v xml:space="preserve">(SELECT instrmnt_id as instrmnt_id_, dt_imprmnt_stts as dt_imprmnt_stts_as_is FROM cd_loan_tapes_bce.lt002_instrument WHERE ref_date='2024-09-30' AND nome_perimetro='Individual Corporativo' AND segmento='ESTR' AND ambito='PM' AND entidade='00100' ) A </v>
      </c>
      <c r="I175" s="75" t="str">
        <f>IF(VLOOKUP(B175,Instruções!$F$13:$J$17,5,0)="",
"(SELECT "&amp;VLOOKUP(B175,Instruções!$F$13:$J$17,4,0)&amp;" as "&amp;VLOOKUP(B175,Instruções!$F$13:$J$17,4,0)&amp;"_"&amp;$G$2&amp;", "&amp;E175&amp;" as "&amp;G175&amp;" FROM "&amp;D175&amp;" WHERE "&amp;Instruções!$D$21&amp;") B ",
"(SELECT "&amp;VLOOKUP(B175,Instruções!$F$13:$J$17,4,0)&amp;" as "&amp;VLOOKUP(B175,Instruções!$F$13:$J$17,4,0)&amp;"_"&amp;$G$2&amp;", "&amp;VLOOKUP(B175,Instruções!$F$13:$J$17,5,0)&amp;" as "&amp;VLOOKUP(B175,Instruções!$F$13:$J$17,5,0)&amp;"_"&amp;$G$2&amp;","&amp;E175&amp;" as "&amp;G175&amp;" FROM "&amp;D175&amp;" WHERE "&amp;Instruções!$D$21&amp;") B ")</f>
        <v xml:space="preserve">(SELECT instrmnt_id as instrmnt_id_, dt_imprmnt_stts as dt_imprmnt_stts_to_be FROM bu_loantape_work.lt002_instrument WHERE ref_date='2024-09-30' AND nome_perimetro='Individual Corporativo' AND segmento='ESTR' AND ambito='PM' AND entidade='00100' ) B </v>
      </c>
      <c r="J175" s="75" t="str">
        <f>+IF(VLOOKUP(B175,Instruções!$F$13:$J$17,5,0)="", "ON "&amp;VLOOKUP(B175,Instruções!$F$13:$J$17,4,0)&amp;"_"&amp;$F$7&amp;"="&amp;VLOOKUP(B175,Instruções!$F$13:$J$17,4,0)&amp;"_"&amp;$G$7&amp;" ", "ON "&amp;VLOOKUP(B175,Instruções!$F$13:$J$17,4,0)&amp;"_"&amp;$F$7&amp;"="&amp;VLOOKUP(B175,Instruções!$F$13:$J$17,4,0)&amp;"_"&amp;$G$7&amp;" AND "&amp;VLOOKUP(B175,Instruções!$F$13:$J$17,5,0)&amp;"_"&amp;$F$7&amp;"="&amp;VLOOKUP(B175,Instruções!$F$13:$J$17,5,0)&amp;"_"&amp;$G$7&amp;" ")</f>
        <v xml:space="preserve">ON instrmnt_id_as_is=instrmnt_id_to_be </v>
      </c>
      <c r="K175" s="75" t="str">
        <f t="shared" si="27"/>
        <v xml:space="preserve">WHERE coalesce(cast(dt_imprmnt_stts_as_is AS string),'')&lt;&gt;coalesce(cast(dt_imprmnt_stts_to_be AS string),'') </v>
      </c>
      <c r="L175" s="75" t="str">
        <f t="shared" si="28"/>
        <v xml:space="preserve">SELECT count(*) AS NUM_REG_DIF FROM (SELECT instrmnt_id as instrmnt_id_, dt_imprmnt_stts as dt_imprmnt_stts_as_is FROM cd_loan_tapes_bce.lt002_instrument WHERE ref_date='2024-09-30' AND nome_perimetro='Individual Corporativo' AND segmento='ESTR' AND ambito='PM' AND entidade='00100' ) A  Inner join (SELECT instrmnt_id as instrmnt_id_, dt_imprmnt_stts as dt_imprmnt_stts_to_be FROM bu_loantape_work.lt002_instrument WHERE ref_date='2024-09-30' AND nome_perimetro='Individual Corporativo' AND segmento='ESTR' AND ambito='PM' AND entidade='00100' ) B ON instrmnt_id_as_is=instrmnt_id_to_be WHERE coalesce(cast(dt_imprmnt_stts_as_is AS string),'')&lt;&gt;coalesce(cast(dt_imprmnt_stts_to_be AS string),'') </v>
      </c>
      <c r="M175" s="75" t="s">
        <v>55</v>
      </c>
      <c r="N175" s="75" t="str">
        <f>"SELECT 'Validação de campos' as tipologia_teste, '"&amp;VLOOKUP(B175,Instruções!$F$13:$J$17,3,0)&amp;"' AS TABELA, '"&amp;E175&amp;"' AS CAMPO, '"&amp;Instruções!$D$15&amp;"' as ref_date, coalesce(NUM_REG_DIF, 0) AS NUM_REG_DIF FROM ("&amp;L175&amp;") A "</f>
        <v xml:space="preserve">SELECT 'Validação de campos' as tipologia_teste, 'lt002_instrument' AS TABELA, 'dt_imprmnt_stts' AS CAMPO, '2024-09-30' as ref_date, coalesce(NUM_REG_DIF, 0) AS NUM_REG_DIF FROM (SELECT count(*) AS NUM_REG_DIF FROM (SELECT instrmnt_id as instrmnt_id_, dt_imprmnt_stts as dt_imprmnt_stts_as_is FROM cd_loan_tapes_bce.lt002_instrument WHERE ref_date='2024-09-30' AND nome_perimetro='Individual Corporativo' AND segmento='ESTR' AND ambito='PM' AND entidade='00100' ) A  Inner join (SELECT instrmnt_id as instrmnt_id_, dt_imprmnt_stts as dt_imprmnt_stts_to_be FROM bu_loantape_work.lt002_instrument WHERE ref_date='2024-09-30' AND nome_perimetro='Individual Corporativo' AND segmento='ESTR' AND ambito='PM' AND entidade='00100' ) B ON instrmnt_id_as_is=instrmnt_id_to_be WHERE coalesce(cast(dt_imprmnt_stts_as_is AS string),'')&lt;&gt;coalesce(cast(dt_imprmnt_stts_to_be AS string),'') ) A </v>
      </c>
      <c r="O175" s="76" t="str">
        <f t="shared" si="29"/>
        <v>SELECT 'Validação de campos' as tipologia_teste, 'lt002_instrument' AS TABELA, 'dt_imprmnt_stts' AS CAMPO, '2024-09-30' as ref_date, coalesce(NUM_REG_DIF, 0) AS NUM_REG_DIF FROM (SELECT count(*) AS NUM_REG_DIF FROM (SELECT instrmnt_id as instrmnt_id_, dt_imprmnt_stts as dt_imprmnt_stts_as_is FROM cd_loan_tapes_bce.lt002_instrument WHERE ref_date='2024-09-30' AND nome_perimetro='Individual Corporativo' AND segmento='ESTR' AND ambito='PM' AND entidade='00100' ) A  Inner join (SELECT instrmnt_id as instrmnt_id_, dt_imprmnt_stts as dt_imprmnt_stts_to_be FROM bu_loantape_work.lt002_instrument WHERE ref_date='2024-09-30' AND nome_perimetro='Individual Corporativo' AND segmento='ESTR' AND ambito='PM' AND entidade='00100' ) B ON instrmnt_id_as_is=instrmnt_id_to_be WHERE coalesce(cast(dt_imprmnt_stts_as_is AS string),'')&lt;&gt;coalesce(cast(dt_imprmnt_stts_to_be AS string),'') ) A Union all</v>
      </c>
      <c r="P175" s="75">
        <f t="shared" si="30"/>
        <v>14</v>
      </c>
    </row>
    <row r="176" spans="2:16" s="63" customFormat="1" ht="18" customHeight="1">
      <c r="B176" s="75" t="s">
        <v>26</v>
      </c>
      <c r="C176" s="75" t="str">
        <f>_xlfn.CONCAT(Instruções!$D$13,".",VLOOKUP(B176,Instruções!$F$12:$H$17,2,0))</f>
        <v>cd_loan_tapes_bce.lt002_instrument</v>
      </c>
      <c r="D176" s="75" t="str">
        <f>_xlfn.CONCAT(Instruções!$D$14,".",VLOOKUP(B176,Instruções!$F$12:$H$17,3,0))</f>
        <v>bu_loantape_work.lt002_instrument</v>
      </c>
      <c r="E176" s="75" t="s">
        <v>216</v>
      </c>
      <c r="F176" s="75" t="str">
        <f t="shared" si="25"/>
        <v>dt_imprmnt_stts_prvs_as_is</v>
      </c>
      <c r="G176" s="75" t="str">
        <f t="shared" si="26"/>
        <v>dt_imprmnt_stts_prvs_to_be</v>
      </c>
      <c r="H176" s="75" t="str">
        <f>IF(VLOOKUP(B176,Instruções!$F$13:$J$17,5,0)="",
"(SELECT "&amp;VLOOKUP(B176,Instruções!$F$13:$J$17,4,0)&amp;" as "&amp;VLOOKUP(B176,Instruções!$F$13:$J$17,4,0)&amp;"_"&amp;$F$2&amp;", "&amp;E176&amp;" as "&amp;F176&amp;" FROM "&amp;C176&amp;" WHERE "&amp;Instruções!$D$20&amp;") A ",
"(SELECT "&amp;VLOOKUP(B176,Instruções!$F$13:$J$17,4,0)&amp;" as "&amp;VLOOKUP(B176,Instruções!$F$13:$J$17,4,0)&amp;"_"&amp;$F$2&amp;", "&amp;VLOOKUP(B176,Instruções!$F$13:$J$17,5,0)&amp;" as "&amp;VLOOKUP(B176,Instruções!$F$13:$J$17,5,0)&amp;"_"&amp;$F$2&amp;","&amp;E176&amp;" as "&amp;F176&amp;" FROM "&amp;C176&amp;" WHERE "&amp;Instruções!$D$20&amp;") A ")</f>
        <v xml:space="preserve">(SELECT instrmnt_id as instrmnt_id_, dt_imprmnt_stts_prvs as dt_imprmnt_stts_prvs_as_is FROM cd_loan_tapes_bce.lt002_instrument WHERE ref_date='2024-09-30' AND nome_perimetro='Individual Corporativo' AND segmento='ESTR' AND ambito='PM' AND entidade='00100' ) A </v>
      </c>
      <c r="I176" s="75" t="str">
        <f>IF(VLOOKUP(B176,Instruções!$F$13:$J$17,5,0)="",
"(SELECT "&amp;VLOOKUP(B176,Instruções!$F$13:$J$17,4,0)&amp;" as "&amp;VLOOKUP(B176,Instruções!$F$13:$J$17,4,0)&amp;"_"&amp;$G$2&amp;", "&amp;E176&amp;" as "&amp;G176&amp;" FROM "&amp;D176&amp;" WHERE "&amp;Instruções!$D$21&amp;") B ",
"(SELECT "&amp;VLOOKUP(B176,Instruções!$F$13:$J$17,4,0)&amp;" as "&amp;VLOOKUP(B176,Instruções!$F$13:$J$17,4,0)&amp;"_"&amp;$G$2&amp;", "&amp;VLOOKUP(B176,Instruções!$F$13:$J$17,5,0)&amp;" as "&amp;VLOOKUP(B176,Instruções!$F$13:$J$17,5,0)&amp;"_"&amp;$G$2&amp;","&amp;E176&amp;" as "&amp;G176&amp;" FROM "&amp;D176&amp;" WHERE "&amp;Instruções!$D$21&amp;") B ")</f>
        <v xml:space="preserve">(SELECT instrmnt_id as instrmnt_id_, dt_imprmnt_stts_prvs as dt_imprmnt_stts_prvs_to_be FROM bu_loantape_work.lt002_instrument WHERE ref_date='2024-09-30' AND nome_perimetro='Individual Corporativo' AND segmento='ESTR' AND ambito='PM' AND entidade='00100' ) B </v>
      </c>
      <c r="J176" s="75" t="str">
        <f>+IF(VLOOKUP(B176,Instruções!$F$13:$J$17,5,0)="", "ON "&amp;VLOOKUP(B176,Instruções!$F$13:$J$17,4,0)&amp;"_"&amp;$F$7&amp;"="&amp;VLOOKUP(B176,Instruções!$F$13:$J$17,4,0)&amp;"_"&amp;$G$7&amp;" ", "ON "&amp;VLOOKUP(B176,Instruções!$F$13:$J$17,4,0)&amp;"_"&amp;$F$7&amp;"="&amp;VLOOKUP(B176,Instruções!$F$13:$J$17,4,0)&amp;"_"&amp;$G$7&amp;" AND "&amp;VLOOKUP(B176,Instruções!$F$13:$J$17,5,0)&amp;"_"&amp;$F$7&amp;"="&amp;VLOOKUP(B176,Instruções!$F$13:$J$17,5,0)&amp;"_"&amp;$G$7&amp;" ")</f>
        <v xml:space="preserve">ON instrmnt_id_as_is=instrmnt_id_to_be </v>
      </c>
      <c r="K176" s="75" t="str">
        <f t="shared" si="27"/>
        <v xml:space="preserve">WHERE coalesce(cast(dt_imprmnt_stts_prvs_as_is AS string),'')&lt;&gt;coalesce(cast(dt_imprmnt_stts_prvs_to_be AS string),'') </v>
      </c>
      <c r="L176" s="75" t="str">
        <f t="shared" si="28"/>
        <v xml:space="preserve">SELECT count(*) AS NUM_REG_DIF FROM (SELECT instrmnt_id as instrmnt_id_, dt_imprmnt_stts_prvs as dt_imprmnt_stts_prvs_as_is FROM cd_loan_tapes_bce.lt002_instrument WHERE ref_date='2024-09-30' AND nome_perimetro='Individual Corporativo' AND segmento='ESTR' AND ambito='PM' AND entidade='00100' ) A  Inner join (SELECT instrmnt_id as instrmnt_id_, dt_imprmnt_stts_prvs as dt_imprmnt_stts_prvs_to_be FROM bu_loantape_work.lt002_instrument WHERE ref_date='2024-09-30' AND nome_perimetro='Individual Corporativo' AND segmento='ESTR' AND ambito='PM' AND entidade='00100' ) B ON instrmnt_id_as_is=instrmnt_id_to_be WHERE coalesce(cast(dt_imprmnt_stts_prvs_as_is AS string),'')&lt;&gt;coalesce(cast(dt_imprmnt_stts_prvs_to_be AS string),'') </v>
      </c>
      <c r="M176" s="75" t="s">
        <v>55</v>
      </c>
      <c r="N176" s="75" t="str">
        <f>"SELECT 'Validação de campos' as tipologia_teste, '"&amp;VLOOKUP(B176,Instruções!$F$13:$J$17,3,0)&amp;"' AS TABELA, '"&amp;E176&amp;"' AS CAMPO, '"&amp;Instruções!$D$15&amp;"' as ref_date, coalesce(NUM_REG_DIF, 0) AS NUM_REG_DIF FROM ("&amp;L176&amp;") A "</f>
        <v xml:space="preserve">SELECT 'Validação de campos' as tipologia_teste, 'lt002_instrument' AS TABELA, 'dt_imprmnt_stts_prvs' AS CAMPO, '2024-09-30' as ref_date, coalesce(NUM_REG_DIF, 0) AS NUM_REG_DIF FROM (SELECT count(*) AS NUM_REG_DIF FROM (SELECT instrmnt_id as instrmnt_id_, dt_imprmnt_stts_prvs as dt_imprmnt_stts_prvs_as_is FROM cd_loan_tapes_bce.lt002_instrument WHERE ref_date='2024-09-30' AND nome_perimetro='Individual Corporativo' AND segmento='ESTR' AND ambito='PM' AND entidade='00100' ) A  Inner join (SELECT instrmnt_id as instrmnt_id_, dt_imprmnt_stts_prvs as dt_imprmnt_stts_prvs_to_be FROM bu_loantape_work.lt002_instrument WHERE ref_date='2024-09-30' AND nome_perimetro='Individual Corporativo' AND segmento='ESTR' AND ambito='PM' AND entidade='00100' ) B ON instrmnt_id_as_is=instrmnt_id_to_be WHERE coalesce(cast(dt_imprmnt_stts_prvs_as_is AS string),'')&lt;&gt;coalesce(cast(dt_imprmnt_stts_prvs_to_be AS string),'') ) A </v>
      </c>
      <c r="O176" s="76" t="str">
        <f t="shared" si="29"/>
        <v>SELECT 'Validação de campos' as tipologia_teste, 'lt002_instrument' AS TABELA, 'dt_imprmnt_stts_prvs' AS CAMPO, '2024-09-30' as ref_date, coalesce(NUM_REG_DIF, 0) AS NUM_REG_DIF FROM (SELECT count(*) AS NUM_REG_DIF FROM (SELECT instrmnt_id as instrmnt_id_, dt_imprmnt_stts_prvs as dt_imprmnt_stts_prvs_as_is FROM cd_loan_tapes_bce.lt002_instrument WHERE ref_date='2024-09-30' AND nome_perimetro='Individual Corporativo' AND segmento='ESTR' AND ambito='PM' AND entidade='00100' ) A  Inner join (SELECT instrmnt_id as instrmnt_id_, dt_imprmnt_stts_prvs as dt_imprmnt_stts_prvs_to_be FROM bu_loantape_work.lt002_instrument WHERE ref_date='2024-09-30' AND nome_perimetro='Individual Corporativo' AND segmento='ESTR' AND ambito='PM' AND entidade='00100' ) B ON instrmnt_id_as_is=instrmnt_id_to_be WHERE coalesce(cast(dt_imprmnt_stts_prvs_as_is AS string),'')&lt;&gt;coalesce(cast(dt_imprmnt_stts_prvs_to_be AS string),'') ) A Union all</v>
      </c>
      <c r="P176" s="75">
        <f t="shared" si="30"/>
        <v>15</v>
      </c>
    </row>
    <row r="177" spans="2:16" s="63" customFormat="1" ht="18" customHeight="1">
      <c r="B177" s="75" t="s">
        <v>26</v>
      </c>
      <c r="C177" s="75" t="str">
        <f>_xlfn.CONCAT(Instruções!$D$13,".",VLOOKUP(B177,Instruções!$F$12:$H$17,2,0))</f>
        <v>cd_loan_tapes_bce.lt002_instrument</v>
      </c>
      <c r="D177" s="75" t="str">
        <f>_xlfn.CONCAT(Instruções!$D$14,".",VLOOKUP(B177,Instruções!$F$12:$H$17,3,0))</f>
        <v>bu_loantape_work.lt002_instrument</v>
      </c>
      <c r="E177" s="75" t="s">
        <v>217</v>
      </c>
      <c r="F177" s="75" t="str">
        <f t="shared" si="25"/>
        <v>dt_incptn_as_is</v>
      </c>
      <c r="G177" s="75" t="str">
        <f t="shared" si="26"/>
        <v>dt_incptn_to_be</v>
      </c>
      <c r="H177" s="75" t="str">
        <f>IF(VLOOKUP(B177,Instruções!$F$13:$J$17,5,0)="",
"(SELECT "&amp;VLOOKUP(B177,Instruções!$F$13:$J$17,4,0)&amp;" as "&amp;VLOOKUP(B177,Instruções!$F$13:$J$17,4,0)&amp;"_"&amp;$F$2&amp;", "&amp;E177&amp;" as "&amp;F177&amp;" FROM "&amp;C177&amp;" WHERE "&amp;Instruções!$D$20&amp;") A ",
"(SELECT "&amp;VLOOKUP(B177,Instruções!$F$13:$J$17,4,0)&amp;" as "&amp;VLOOKUP(B177,Instruções!$F$13:$J$17,4,0)&amp;"_"&amp;$F$2&amp;", "&amp;VLOOKUP(B177,Instruções!$F$13:$J$17,5,0)&amp;" as "&amp;VLOOKUP(B177,Instruções!$F$13:$J$17,5,0)&amp;"_"&amp;$F$2&amp;","&amp;E177&amp;" as "&amp;F177&amp;" FROM "&amp;C177&amp;" WHERE "&amp;Instruções!$D$20&amp;") A ")</f>
        <v xml:space="preserve">(SELECT instrmnt_id as instrmnt_id_, dt_incptn as dt_incptn_as_is FROM cd_loan_tapes_bce.lt002_instrument WHERE ref_date='2024-09-30' AND nome_perimetro='Individual Corporativo' AND segmento='ESTR' AND ambito='PM' AND entidade='00100' ) A </v>
      </c>
      <c r="I177" s="75" t="str">
        <f>IF(VLOOKUP(B177,Instruções!$F$13:$J$17,5,0)="",
"(SELECT "&amp;VLOOKUP(B177,Instruções!$F$13:$J$17,4,0)&amp;" as "&amp;VLOOKUP(B177,Instruções!$F$13:$J$17,4,0)&amp;"_"&amp;$G$2&amp;", "&amp;E177&amp;" as "&amp;G177&amp;" FROM "&amp;D177&amp;" WHERE "&amp;Instruções!$D$21&amp;") B ",
"(SELECT "&amp;VLOOKUP(B177,Instruções!$F$13:$J$17,4,0)&amp;" as "&amp;VLOOKUP(B177,Instruções!$F$13:$J$17,4,0)&amp;"_"&amp;$G$2&amp;", "&amp;VLOOKUP(B177,Instruções!$F$13:$J$17,5,0)&amp;" as "&amp;VLOOKUP(B177,Instruções!$F$13:$J$17,5,0)&amp;"_"&amp;$G$2&amp;","&amp;E177&amp;" as "&amp;G177&amp;" FROM "&amp;D177&amp;" WHERE "&amp;Instruções!$D$21&amp;") B ")</f>
        <v xml:space="preserve">(SELECT instrmnt_id as instrmnt_id_, dt_incptn as dt_incptn_to_be FROM bu_loantape_work.lt002_instrument WHERE ref_date='2024-09-30' AND nome_perimetro='Individual Corporativo' AND segmento='ESTR' AND ambito='PM' AND entidade='00100' ) B </v>
      </c>
      <c r="J177" s="75" t="str">
        <f>+IF(VLOOKUP(B177,Instruções!$F$13:$J$17,5,0)="", "ON "&amp;VLOOKUP(B177,Instruções!$F$13:$J$17,4,0)&amp;"_"&amp;$F$7&amp;"="&amp;VLOOKUP(B177,Instruções!$F$13:$J$17,4,0)&amp;"_"&amp;$G$7&amp;" ", "ON "&amp;VLOOKUP(B177,Instruções!$F$13:$J$17,4,0)&amp;"_"&amp;$F$7&amp;"="&amp;VLOOKUP(B177,Instruções!$F$13:$J$17,4,0)&amp;"_"&amp;$G$7&amp;" AND "&amp;VLOOKUP(B177,Instruções!$F$13:$J$17,5,0)&amp;"_"&amp;$F$7&amp;"="&amp;VLOOKUP(B177,Instruções!$F$13:$J$17,5,0)&amp;"_"&amp;$G$7&amp;" ")</f>
        <v xml:space="preserve">ON instrmnt_id_as_is=instrmnt_id_to_be </v>
      </c>
      <c r="K177" s="75" t="str">
        <f t="shared" si="27"/>
        <v xml:space="preserve">WHERE coalesce(cast(dt_incptn_as_is AS string),'')&lt;&gt;coalesce(cast(dt_incptn_to_be AS string),'') </v>
      </c>
      <c r="L177" s="75" t="str">
        <f t="shared" si="28"/>
        <v xml:space="preserve">SELECT count(*) AS NUM_REG_DIF FROM (SELECT instrmnt_id as instrmnt_id_, dt_incptn as dt_incptn_as_is FROM cd_loan_tapes_bce.lt002_instrument WHERE ref_date='2024-09-30' AND nome_perimetro='Individual Corporativo' AND segmento='ESTR' AND ambito='PM' AND entidade='00100' ) A  Inner join (SELECT instrmnt_id as instrmnt_id_, dt_incptn as dt_incptn_to_be FROM bu_loantape_work.lt002_instrument WHERE ref_date='2024-09-30' AND nome_perimetro='Individual Corporativo' AND segmento='ESTR' AND ambito='PM' AND entidade='00100' ) B ON instrmnt_id_as_is=instrmnt_id_to_be WHERE coalesce(cast(dt_incptn_as_is AS string),'')&lt;&gt;coalesce(cast(dt_incptn_to_be AS string),'') </v>
      </c>
      <c r="M177" s="75" t="s">
        <v>55</v>
      </c>
      <c r="N177" s="75" t="str">
        <f>"SELECT 'Validação de campos' as tipologia_teste, '"&amp;VLOOKUP(B177,Instruções!$F$13:$J$17,3,0)&amp;"' AS TABELA, '"&amp;E177&amp;"' AS CAMPO, '"&amp;Instruções!$D$15&amp;"' as ref_date, coalesce(NUM_REG_DIF, 0) AS NUM_REG_DIF FROM ("&amp;L177&amp;") A "</f>
        <v xml:space="preserve">SELECT 'Validação de campos' as tipologia_teste, 'lt002_instrument' AS TABELA, 'dt_incptn' AS CAMPO, '2024-09-30' as ref_date, coalesce(NUM_REG_DIF, 0) AS NUM_REG_DIF FROM (SELECT count(*) AS NUM_REG_DIF FROM (SELECT instrmnt_id as instrmnt_id_, dt_incptn as dt_incptn_as_is FROM cd_loan_tapes_bce.lt002_instrument WHERE ref_date='2024-09-30' AND nome_perimetro='Individual Corporativo' AND segmento='ESTR' AND ambito='PM' AND entidade='00100' ) A  Inner join (SELECT instrmnt_id as instrmnt_id_, dt_incptn as dt_incptn_to_be FROM bu_loantape_work.lt002_instrument WHERE ref_date='2024-09-30' AND nome_perimetro='Individual Corporativo' AND segmento='ESTR' AND ambito='PM' AND entidade='00100' ) B ON instrmnt_id_as_is=instrmnt_id_to_be WHERE coalesce(cast(dt_incptn_as_is AS string),'')&lt;&gt;coalesce(cast(dt_incptn_to_be AS string),'') ) A </v>
      </c>
      <c r="O177" s="76" t="str">
        <f t="shared" si="29"/>
        <v>SELECT 'Validação de campos' as tipologia_teste, 'lt002_instrument' AS TABELA, 'dt_incptn' AS CAMPO, '2024-09-30' as ref_date, coalesce(NUM_REG_DIF, 0) AS NUM_REG_DIF FROM (SELECT count(*) AS NUM_REG_DIF FROM (SELECT instrmnt_id as instrmnt_id_, dt_incptn as dt_incptn_as_is FROM cd_loan_tapes_bce.lt002_instrument WHERE ref_date='2024-09-30' AND nome_perimetro='Individual Corporativo' AND segmento='ESTR' AND ambito='PM' AND entidade='00100' ) A  Inner join (SELECT instrmnt_id as instrmnt_id_, dt_incptn as dt_incptn_to_be FROM bu_loantape_work.lt002_instrument WHERE ref_date='2024-09-30' AND nome_perimetro='Individual Corporativo' AND segmento='ESTR' AND ambito='PM' AND entidade='00100' ) B ON instrmnt_id_as_is=instrmnt_id_to_be WHERE coalesce(cast(dt_incptn_as_is AS string),'')&lt;&gt;coalesce(cast(dt_incptn_to_be AS string),'') ) A Union all</v>
      </c>
      <c r="P177" s="75">
        <f t="shared" si="30"/>
        <v>16</v>
      </c>
    </row>
    <row r="178" spans="2:16" s="63" customFormat="1" ht="18" customHeight="1">
      <c r="B178" s="75" t="s">
        <v>26</v>
      </c>
      <c r="C178" s="75" t="str">
        <f>_xlfn.CONCAT(Instruções!$D$13,".",VLOOKUP(B178,Instruções!$F$12:$H$17,2,0))</f>
        <v>cd_loan_tapes_bce.lt002_instrument</v>
      </c>
      <c r="D178" s="75" t="str">
        <f>_xlfn.CONCAT(Instruções!$D$14,".",VLOOKUP(B178,Instruções!$F$12:$H$17,3,0))</f>
        <v>bu_loantape_work.lt002_instrument</v>
      </c>
      <c r="E178" s="75" t="s">
        <v>79</v>
      </c>
      <c r="F178" s="75" t="str">
        <f t="shared" si="25"/>
        <v>dt_intrnl_rtng_as_is</v>
      </c>
      <c r="G178" s="75" t="str">
        <f t="shared" si="26"/>
        <v>dt_intrnl_rtng_to_be</v>
      </c>
      <c r="H178" s="75" t="str">
        <f>IF(VLOOKUP(B178,Instruções!$F$13:$J$17,5,0)="",
"(SELECT "&amp;VLOOKUP(B178,Instruções!$F$13:$J$17,4,0)&amp;" as "&amp;VLOOKUP(B178,Instruções!$F$13:$J$17,4,0)&amp;"_"&amp;$F$2&amp;", "&amp;E178&amp;" as "&amp;F178&amp;" FROM "&amp;C178&amp;" WHERE "&amp;Instruções!$D$20&amp;") A ",
"(SELECT "&amp;VLOOKUP(B178,Instruções!$F$13:$J$17,4,0)&amp;" as "&amp;VLOOKUP(B178,Instruções!$F$13:$J$17,4,0)&amp;"_"&amp;$F$2&amp;", "&amp;VLOOKUP(B178,Instruções!$F$13:$J$17,5,0)&amp;" as "&amp;VLOOKUP(B178,Instruções!$F$13:$J$17,5,0)&amp;"_"&amp;$F$2&amp;","&amp;E178&amp;" as "&amp;F178&amp;" FROM "&amp;C178&amp;" WHERE "&amp;Instruções!$D$20&amp;") A ")</f>
        <v xml:space="preserve">(SELECT instrmnt_id as instrmnt_id_, dt_intrnl_rtng as dt_intrnl_rtng_as_is FROM cd_loan_tapes_bce.lt002_instrument WHERE ref_date='2024-09-30' AND nome_perimetro='Individual Corporativo' AND segmento='ESTR' AND ambito='PM' AND entidade='00100' ) A </v>
      </c>
      <c r="I178" s="75" t="str">
        <f>IF(VLOOKUP(B178,Instruções!$F$13:$J$17,5,0)="",
"(SELECT "&amp;VLOOKUP(B178,Instruções!$F$13:$J$17,4,0)&amp;" as "&amp;VLOOKUP(B178,Instruções!$F$13:$J$17,4,0)&amp;"_"&amp;$G$2&amp;", "&amp;E178&amp;" as "&amp;G178&amp;" FROM "&amp;D178&amp;" WHERE "&amp;Instruções!$D$21&amp;") B ",
"(SELECT "&amp;VLOOKUP(B178,Instruções!$F$13:$J$17,4,0)&amp;" as "&amp;VLOOKUP(B178,Instruções!$F$13:$J$17,4,0)&amp;"_"&amp;$G$2&amp;", "&amp;VLOOKUP(B178,Instruções!$F$13:$J$17,5,0)&amp;" as "&amp;VLOOKUP(B178,Instruções!$F$13:$J$17,5,0)&amp;"_"&amp;$G$2&amp;","&amp;E178&amp;" as "&amp;G178&amp;" FROM "&amp;D178&amp;" WHERE "&amp;Instruções!$D$21&amp;") B ")</f>
        <v xml:space="preserve">(SELECT instrmnt_id as instrmnt_id_, dt_intrnl_rtng as dt_intrnl_rtng_to_be FROM bu_loantape_work.lt002_instrument WHERE ref_date='2024-09-30' AND nome_perimetro='Individual Corporativo' AND segmento='ESTR' AND ambito='PM' AND entidade='00100' ) B </v>
      </c>
      <c r="J178" s="75" t="str">
        <f>+IF(VLOOKUP(B178,Instruções!$F$13:$J$17,5,0)="", "ON "&amp;VLOOKUP(B178,Instruções!$F$13:$J$17,4,0)&amp;"_"&amp;$F$7&amp;"="&amp;VLOOKUP(B178,Instruções!$F$13:$J$17,4,0)&amp;"_"&amp;$G$7&amp;" ", "ON "&amp;VLOOKUP(B178,Instruções!$F$13:$J$17,4,0)&amp;"_"&amp;$F$7&amp;"="&amp;VLOOKUP(B178,Instruções!$F$13:$J$17,4,0)&amp;"_"&amp;$G$7&amp;" AND "&amp;VLOOKUP(B178,Instruções!$F$13:$J$17,5,0)&amp;"_"&amp;$F$7&amp;"="&amp;VLOOKUP(B178,Instruções!$F$13:$J$17,5,0)&amp;"_"&amp;$G$7&amp;" ")</f>
        <v xml:space="preserve">ON instrmnt_id_as_is=instrmnt_id_to_be </v>
      </c>
      <c r="K178" s="75" t="str">
        <f t="shared" si="27"/>
        <v xml:space="preserve">WHERE coalesce(cast(dt_intrnl_rtng_as_is AS string),'')&lt;&gt;coalesce(cast(dt_intrnl_rtng_to_be AS string),'') </v>
      </c>
      <c r="L178" s="75" t="str">
        <f t="shared" si="28"/>
        <v xml:space="preserve">SELECT count(*) AS NUM_REG_DIF FROM (SELECT instrmnt_id as instrmnt_id_, dt_intrnl_rtng as dt_intrnl_rtng_as_is FROM cd_loan_tapes_bce.lt002_instrument WHERE ref_date='2024-09-30' AND nome_perimetro='Individual Corporativo' AND segmento='ESTR' AND ambito='PM' AND entidade='00100' ) A  Inner join (SELECT instrmnt_id as instrmnt_id_, dt_intrnl_rtng as dt_intrnl_rtng_to_be FROM bu_loantape_work.lt002_instrument WHERE ref_date='2024-09-30' AND nome_perimetro='Individual Corporativo' AND segmento='ESTR' AND ambito='PM' AND entidade='00100' ) B ON instrmnt_id_as_is=instrmnt_id_to_be WHERE coalesce(cast(dt_intrnl_rtng_as_is AS string),'')&lt;&gt;coalesce(cast(dt_intrnl_rtng_to_be AS string),'') </v>
      </c>
      <c r="M178" s="75" t="s">
        <v>55</v>
      </c>
      <c r="N178" s="75" t="str">
        <f>"SELECT 'Validação de campos' as tipologia_teste, '"&amp;VLOOKUP(B178,Instruções!$F$13:$J$17,3,0)&amp;"' AS TABELA, '"&amp;E178&amp;"' AS CAMPO, '"&amp;Instruções!$D$15&amp;"' as ref_date, coalesce(NUM_REG_DIF, 0) AS NUM_REG_DIF FROM ("&amp;L178&amp;") A "</f>
        <v xml:space="preserve">SELECT 'Validação de campos' as tipologia_teste, 'lt002_instrument' AS TABELA, 'dt_intrnl_rtng' AS CAMPO, '2024-09-30' as ref_date, coalesce(NUM_REG_DIF, 0) AS NUM_REG_DIF FROM (SELECT count(*) AS NUM_REG_DIF FROM (SELECT instrmnt_id as instrmnt_id_, dt_intrnl_rtng as dt_intrnl_rtng_as_is FROM cd_loan_tapes_bce.lt002_instrument WHERE ref_date='2024-09-30' AND nome_perimetro='Individual Corporativo' AND segmento='ESTR' AND ambito='PM' AND entidade='00100' ) A  Inner join (SELECT instrmnt_id as instrmnt_id_, dt_intrnl_rtng as dt_intrnl_rtng_to_be FROM bu_loantape_work.lt002_instrument WHERE ref_date='2024-09-30' AND nome_perimetro='Individual Corporativo' AND segmento='ESTR' AND ambito='PM' AND entidade='00100' ) B ON instrmnt_id_as_is=instrmnt_id_to_be WHERE coalesce(cast(dt_intrnl_rtng_as_is AS string),'')&lt;&gt;coalesce(cast(dt_intrnl_rtng_to_be AS string),'') ) A </v>
      </c>
      <c r="O178" s="76" t="str">
        <f t="shared" si="29"/>
        <v>SELECT 'Validação de campos' as tipologia_teste, 'lt002_instrument' AS TABELA, 'dt_intrnl_rtng' AS CAMPO, '2024-09-30' as ref_date, coalesce(NUM_REG_DIF, 0) AS NUM_REG_DIF FROM (SELECT count(*) AS NUM_REG_DIF FROM (SELECT instrmnt_id as instrmnt_id_, dt_intrnl_rtng as dt_intrnl_rtng_as_is FROM cd_loan_tapes_bce.lt002_instrument WHERE ref_date='2024-09-30' AND nome_perimetro='Individual Corporativo' AND segmento='ESTR' AND ambito='PM' AND entidade='00100' ) A  Inner join (SELECT instrmnt_id as instrmnt_id_, dt_intrnl_rtng as dt_intrnl_rtng_to_be FROM bu_loantape_work.lt002_instrument WHERE ref_date='2024-09-30' AND nome_perimetro='Individual Corporativo' AND segmento='ESTR' AND ambito='PM' AND entidade='00100' ) B ON instrmnt_id_as_is=instrmnt_id_to_be WHERE coalesce(cast(dt_intrnl_rtng_as_is AS string),'')&lt;&gt;coalesce(cast(dt_intrnl_rtng_to_be AS string),'') ) A Union all</v>
      </c>
      <c r="P178" s="75">
        <f t="shared" si="30"/>
        <v>17</v>
      </c>
    </row>
    <row r="179" spans="2:16" s="63" customFormat="1" ht="18" customHeight="1">
      <c r="B179" s="75" t="s">
        <v>26</v>
      </c>
      <c r="C179" s="75" t="str">
        <f>_xlfn.CONCAT(Instruções!$D$13,".",VLOOKUP(B179,Instruções!$F$12:$H$17,2,0))</f>
        <v>cd_loan_tapes_bce.lt002_instrument</v>
      </c>
      <c r="D179" s="75" t="str">
        <f>_xlfn.CONCAT(Instruções!$D$14,".",VLOOKUP(B179,Instruções!$F$12:$H$17,3,0))</f>
        <v>bu_loantape_work.lt002_instrument</v>
      </c>
      <c r="E179" s="75" t="s">
        <v>218</v>
      </c>
      <c r="F179" s="75" t="str">
        <f t="shared" si="25"/>
        <v>dt_lgl_fnl_mtrty_as_is</v>
      </c>
      <c r="G179" s="75" t="str">
        <f t="shared" si="26"/>
        <v>dt_lgl_fnl_mtrty_to_be</v>
      </c>
      <c r="H179" s="75" t="str">
        <f>IF(VLOOKUP(B179,Instruções!$F$13:$J$17,5,0)="",
"(SELECT "&amp;VLOOKUP(B179,Instruções!$F$13:$J$17,4,0)&amp;" as "&amp;VLOOKUP(B179,Instruções!$F$13:$J$17,4,0)&amp;"_"&amp;$F$2&amp;", "&amp;E179&amp;" as "&amp;F179&amp;" FROM "&amp;C179&amp;" WHERE "&amp;Instruções!$D$20&amp;") A ",
"(SELECT "&amp;VLOOKUP(B179,Instruções!$F$13:$J$17,4,0)&amp;" as "&amp;VLOOKUP(B179,Instruções!$F$13:$J$17,4,0)&amp;"_"&amp;$F$2&amp;", "&amp;VLOOKUP(B179,Instruções!$F$13:$J$17,5,0)&amp;" as "&amp;VLOOKUP(B179,Instruções!$F$13:$J$17,5,0)&amp;"_"&amp;$F$2&amp;","&amp;E179&amp;" as "&amp;F179&amp;" FROM "&amp;C179&amp;" WHERE "&amp;Instruções!$D$20&amp;") A ")</f>
        <v xml:space="preserve">(SELECT instrmnt_id as instrmnt_id_, dt_lgl_fnl_mtrty as dt_lgl_fnl_mtrty_as_is FROM cd_loan_tapes_bce.lt002_instrument WHERE ref_date='2024-09-30' AND nome_perimetro='Individual Corporativo' AND segmento='ESTR' AND ambito='PM' AND entidade='00100' ) A </v>
      </c>
      <c r="I179" s="75" t="str">
        <f>IF(VLOOKUP(B179,Instruções!$F$13:$J$17,5,0)="",
"(SELECT "&amp;VLOOKUP(B179,Instruções!$F$13:$J$17,4,0)&amp;" as "&amp;VLOOKUP(B179,Instruções!$F$13:$J$17,4,0)&amp;"_"&amp;$G$2&amp;", "&amp;E179&amp;" as "&amp;G179&amp;" FROM "&amp;D179&amp;" WHERE "&amp;Instruções!$D$21&amp;") B ",
"(SELECT "&amp;VLOOKUP(B179,Instruções!$F$13:$J$17,4,0)&amp;" as "&amp;VLOOKUP(B179,Instruções!$F$13:$J$17,4,0)&amp;"_"&amp;$G$2&amp;", "&amp;VLOOKUP(B179,Instruções!$F$13:$J$17,5,0)&amp;" as "&amp;VLOOKUP(B179,Instruções!$F$13:$J$17,5,0)&amp;"_"&amp;$G$2&amp;","&amp;E179&amp;" as "&amp;G179&amp;" FROM "&amp;D179&amp;" WHERE "&amp;Instruções!$D$21&amp;") B ")</f>
        <v xml:space="preserve">(SELECT instrmnt_id as instrmnt_id_, dt_lgl_fnl_mtrty as dt_lgl_fnl_mtrty_to_be FROM bu_loantape_work.lt002_instrument WHERE ref_date='2024-09-30' AND nome_perimetro='Individual Corporativo' AND segmento='ESTR' AND ambito='PM' AND entidade='00100' ) B </v>
      </c>
      <c r="J179" s="75" t="str">
        <f>+IF(VLOOKUP(B179,Instruções!$F$13:$J$17,5,0)="", "ON "&amp;VLOOKUP(B179,Instruções!$F$13:$J$17,4,0)&amp;"_"&amp;$F$7&amp;"="&amp;VLOOKUP(B179,Instruções!$F$13:$J$17,4,0)&amp;"_"&amp;$G$7&amp;" ", "ON "&amp;VLOOKUP(B179,Instruções!$F$13:$J$17,4,0)&amp;"_"&amp;$F$7&amp;"="&amp;VLOOKUP(B179,Instruções!$F$13:$J$17,4,0)&amp;"_"&amp;$G$7&amp;" AND "&amp;VLOOKUP(B179,Instruções!$F$13:$J$17,5,0)&amp;"_"&amp;$F$7&amp;"="&amp;VLOOKUP(B179,Instruções!$F$13:$J$17,5,0)&amp;"_"&amp;$G$7&amp;" ")</f>
        <v xml:space="preserve">ON instrmnt_id_as_is=instrmnt_id_to_be </v>
      </c>
      <c r="K179" s="75" t="str">
        <f t="shared" si="27"/>
        <v xml:space="preserve">WHERE coalesce(cast(dt_lgl_fnl_mtrty_as_is AS string),'')&lt;&gt;coalesce(cast(dt_lgl_fnl_mtrty_to_be AS string),'') </v>
      </c>
      <c r="L179" s="75" t="str">
        <f t="shared" si="28"/>
        <v xml:space="preserve">SELECT count(*) AS NUM_REG_DIF FROM (SELECT instrmnt_id as instrmnt_id_, dt_lgl_fnl_mtrty as dt_lgl_fnl_mtrty_as_is FROM cd_loan_tapes_bce.lt002_instrument WHERE ref_date='2024-09-30' AND nome_perimetro='Individual Corporativo' AND segmento='ESTR' AND ambito='PM' AND entidade='00100' ) A  Inner join (SELECT instrmnt_id as instrmnt_id_, dt_lgl_fnl_mtrty as dt_lgl_fnl_mtrty_to_be FROM bu_loantape_work.lt002_instrument WHERE ref_date='2024-09-30' AND nome_perimetro='Individual Corporativo' AND segmento='ESTR' AND ambito='PM' AND entidade='00100' ) B ON instrmnt_id_as_is=instrmnt_id_to_be WHERE coalesce(cast(dt_lgl_fnl_mtrty_as_is AS string),'')&lt;&gt;coalesce(cast(dt_lgl_fnl_mtrty_to_be AS string),'') </v>
      </c>
      <c r="M179" s="75" t="s">
        <v>55</v>
      </c>
      <c r="N179" s="75" t="str">
        <f>"SELECT 'Validação de campos' as tipologia_teste, '"&amp;VLOOKUP(B179,Instruções!$F$13:$J$17,3,0)&amp;"' AS TABELA, '"&amp;E179&amp;"' AS CAMPO, '"&amp;Instruções!$D$15&amp;"' as ref_date, coalesce(NUM_REG_DIF, 0) AS NUM_REG_DIF FROM ("&amp;L179&amp;") A "</f>
        <v xml:space="preserve">SELECT 'Validação de campos' as tipologia_teste, 'lt002_instrument' AS TABELA, 'dt_lgl_fnl_mtrty' AS CAMPO, '2024-09-30' as ref_date, coalesce(NUM_REG_DIF, 0) AS NUM_REG_DIF FROM (SELECT count(*) AS NUM_REG_DIF FROM (SELECT instrmnt_id as instrmnt_id_, dt_lgl_fnl_mtrty as dt_lgl_fnl_mtrty_as_is FROM cd_loan_tapes_bce.lt002_instrument WHERE ref_date='2024-09-30' AND nome_perimetro='Individual Corporativo' AND segmento='ESTR' AND ambito='PM' AND entidade='00100' ) A  Inner join (SELECT instrmnt_id as instrmnt_id_, dt_lgl_fnl_mtrty as dt_lgl_fnl_mtrty_to_be FROM bu_loantape_work.lt002_instrument WHERE ref_date='2024-09-30' AND nome_perimetro='Individual Corporativo' AND segmento='ESTR' AND ambito='PM' AND entidade='00100' ) B ON instrmnt_id_as_is=instrmnt_id_to_be WHERE coalesce(cast(dt_lgl_fnl_mtrty_as_is AS string),'')&lt;&gt;coalesce(cast(dt_lgl_fnl_mtrty_to_be AS string),'') ) A </v>
      </c>
      <c r="O179" s="76" t="str">
        <f t="shared" si="29"/>
        <v>SELECT 'Validação de campos' as tipologia_teste, 'lt002_instrument' AS TABELA, 'dt_lgl_fnl_mtrty' AS CAMPO, '2024-09-30' as ref_date, coalesce(NUM_REG_DIF, 0) AS NUM_REG_DIF FROM (SELECT count(*) AS NUM_REG_DIF FROM (SELECT instrmnt_id as instrmnt_id_, dt_lgl_fnl_mtrty as dt_lgl_fnl_mtrty_as_is FROM cd_loan_tapes_bce.lt002_instrument WHERE ref_date='2024-09-30' AND nome_perimetro='Individual Corporativo' AND segmento='ESTR' AND ambito='PM' AND entidade='00100' ) A  Inner join (SELECT instrmnt_id as instrmnt_id_, dt_lgl_fnl_mtrty as dt_lgl_fnl_mtrty_to_be FROM bu_loantape_work.lt002_instrument WHERE ref_date='2024-09-30' AND nome_perimetro='Individual Corporativo' AND segmento='ESTR' AND ambito='PM' AND entidade='00100' ) B ON instrmnt_id_as_is=instrmnt_id_to_be WHERE coalesce(cast(dt_lgl_fnl_mtrty_as_is AS string),'')&lt;&gt;coalesce(cast(dt_lgl_fnl_mtrty_to_be AS string),'') ) A Union all</v>
      </c>
      <c r="P179" s="75">
        <f t="shared" si="30"/>
        <v>18</v>
      </c>
    </row>
    <row r="180" spans="2:16" s="63" customFormat="1" ht="18" customHeight="1">
      <c r="B180" s="75" t="s">
        <v>26</v>
      </c>
      <c r="C180" s="75" t="str">
        <f>_xlfn.CONCAT(Instruções!$D$13,".",VLOOKUP(B180,Instruções!$F$12:$H$17,2,0))</f>
        <v>cd_loan_tapes_bce.lt002_instrument</v>
      </c>
      <c r="D180" s="75" t="str">
        <f>_xlfn.CONCAT(Instruções!$D$14,".",VLOOKUP(B180,Instruções!$F$12:$H$17,3,0))</f>
        <v>bu_loantape_work.lt002_instrument</v>
      </c>
      <c r="E180" s="75" t="s">
        <v>219</v>
      </c>
      <c r="F180" s="75" t="str">
        <f t="shared" si="25"/>
        <v>dt_nxt_intrst_rt_rst_as_is</v>
      </c>
      <c r="G180" s="75" t="str">
        <f t="shared" si="26"/>
        <v>dt_nxt_intrst_rt_rst_to_be</v>
      </c>
      <c r="H180" s="75" t="str">
        <f>IF(VLOOKUP(B180,Instruções!$F$13:$J$17,5,0)="",
"(SELECT "&amp;VLOOKUP(B180,Instruções!$F$13:$J$17,4,0)&amp;" as "&amp;VLOOKUP(B180,Instruções!$F$13:$J$17,4,0)&amp;"_"&amp;$F$2&amp;", "&amp;E180&amp;" as "&amp;F180&amp;" FROM "&amp;C180&amp;" WHERE "&amp;Instruções!$D$20&amp;") A ",
"(SELECT "&amp;VLOOKUP(B180,Instruções!$F$13:$J$17,4,0)&amp;" as "&amp;VLOOKUP(B180,Instruções!$F$13:$J$17,4,0)&amp;"_"&amp;$F$2&amp;", "&amp;VLOOKUP(B180,Instruções!$F$13:$J$17,5,0)&amp;" as "&amp;VLOOKUP(B180,Instruções!$F$13:$J$17,5,0)&amp;"_"&amp;$F$2&amp;","&amp;E180&amp;" as "&amp;F180&amp;" FROM "&amp;C180&amp;" WHERE "&amp;Instruções!$D$20&amp;") A ")</f>
        <v xml:space="preserve">(SELECT instrmnt_id as instrmnt_id_, dt_nxt_intrst_rt_rst as dt_nxt_intrst_rt_rst_as_is FROM cd_loan_tapes_bce.lt002_instrument WHERE ref_date='2024-09-30' AND nome_perimetro='Individual Corporativo' AND segmento='ESTR' AND ambito='PM' AND entidade='00100' ) A </v>
      </c>
      <c r="I180" s="75" t="str">
        <f>IF(VLOOKUP(B180,Instruções!$F$13:$J$17,5,0)="",
"(SELECT "&amp;VLOOKUP(B180,Instruções!$F$13:$J$17,4,0)&amp;" as "&amp;VLOOKUP(B180,Instruções!$F$13:$J$17,4,0)&amp;"_"&amp;$G$2&amp;", "&amp;E180&amp;" as "&amp;G180&amp;" FROM "&amp;D180&amp;" WHERE "&amp;Instruções!$D$21&amp;") B ",
"(SELECT "&amp;VLOOKUP(B180,Instruções!$F$13:$J$17,4,0)&amp;" as "&amp;VLOOKUP(B180,Instruções!$F$13:$J$17,4,0)&amp;"_"&amp;$G$2&amp;", "&amp;VLOOKUP(B180,Instruções!$F$13:$J$17,5,0)&amp;" as "&amp;VLOOKUP(B180,Instruções!$F$13:$J$17,5,0)&amp;"_"&amp;$G$2&amp;","&amp;E180&amp;" as "&amp;G180&amp;" FROM "&amp;D180&amp;" WHERE "&amp;Instruções!$D$21&amp;") B ")</f>
        <v xml:space="preserve">(SELECT instrmnt_id as instrmnt_id_, dt_nxt_intrst_rt_rst as dt_nxt_intrst_rt_rst_to_be FROM bu_loantape_work.lt002_instrument WHERE ref_date='2024-09-30' AND nome_perimetro='Individual Corporativo' AND segmento='ESTR' AND ambito='PM' AND entidade='00100' ) B </v>
      </c>
      <c r="J180" s="75" t="str">
        <f>+IF(VLOOKUP(B180,Instruções!$F$13:$J$17,5,0)="", "ON "&amp;VLOOKUP(B180,Instruções!$F$13:$J$17,4,0)&amp;"_"&amp;$F$7&amp;"="&amp;VLOOKUP(B180,Instruções!$F$13:$J$17,4,0)&amp;"_"&amp;$G$7&amp;" ", "ON "&amp;VLOOKUP(B180,Instruções!$F$13:$J$17,4,0)&amp;"_"&amp;$F$7&amp;"="&amp;VLOOKUP(B180,Instruções!$F$13:$J$17,4,0)&amp;"_"&amp;$G$7&amp;" AND "&amp;VLOOKUP(B180,Instruções!$F$13:$J$17,5,0)&amp;"_"&amp;$F$7&amp;"="&amp;VLOOKUP(B180,Instruções!$F$13:$J$17,5,0)&amp;"_"&amp;$G$7&amp;" ")</f>
        <v xml:space="preserve">ON instrmnt_id_as_is=instrmnt_id_to_be </v>
      </c>
      <c r="K180" s="75" t="str">
        <f t="shared" si="27"/>
        <v xml:space="preserve">WHERE coalesce(cast(dt_nxt_intrst_rt_rst_as_is AS string),'')&lt;&gt;coalesce(cast(dt_nxt_intrst_rt_rst_to_be AS string),'') </v>
      </c>
      <c r="L180" s="75" t="str">
        <f t="shared" si="28"/>
        <v xml:space="preserve">SELECT count(*) AS NUM_REG_DIF FROM (SELECT instrmnt_id as instrmnt_id_, dt_nxt_intrst_rt_rst as dt_nxt_intrst_rt_rst_as_is FROM cd_loan_tapes_bce.lt002_instrument WHERE ref_date='2024-09-30' AND nome_perimetro='Individual Corporativo' AND segmento='ESTR' AND ambito='PM' AND entidade='00100' ) A  Inner join (SELECT instrmnt_id as instrmnt_id_, dt_nxt_intrst_rt_rst as dt_nxt_intrst_rt_rst_to_be FROM bu_loantape_work.lt002_instrument WHERE ref_date='2024-09-30' AND nome_perimetro='Individual Corporativo' AND segmento='ESTR' AND ambito='PM' AND entidade='00100' ) B ON instrmnt_id_as_is=instrmnt_id_to_be WHERE coalesce(cast(dt_nxt_intrst_rt_rst_as_is AS string),'')&lt;&gt;coalesce(cast(dt_nxt_intrst_rt_rst_to_be AS string),'') </v>
      </c>
      <c r="M180" s="75" t="s">
        <v>55</v>
      </c>
      <c r="N180" s="75" t="str">
        <f>"SELECT 'Validação de campos' as tipologia_teste, '"&amp;VLOOKUP(B180,Instruções!$F$13:$J$17,3,0)&amp;"' AS TABELA, '"&amp;E180&amp;"' AS CAMPO, '"&amp;Instruções!$D$15&amp;"' as ref_date, coalesce(NUM_REG_DIF, 0) AS NUM_REG_DIF FROM ("&amp;L180&amp;") A "</f>
        <v xml:space="preserve">SELECT 'Validação de campos' as tipologia_teste, 'lt002_instrument' AS TABELA, 'dt_nxt_intrst_rt_rst' AS CAMPO, '2024-09-30' as ref_date, coalesce(NUM_REG_DIF, 0) AS NUM_REG_DIF FROM (SELECT count(*) AS NUM_REG_DIF FROM (SELECT instrmnt_id as instrmnt_id_, dt_nxt_intrst_rt_rst as dt_nxt_intrst_rt_rst_as_is FROM cd_loan_tapes_bce.lt002_instrument WHERE ref_date='2024-09-30' AND nome_perimetro='Individual Corporativo' AND segmento='ESTR' AND ambito='PM' AND entidade='00100' ) A  Inner join (SELECT instrmnt_id as instrmnt_id_, dt_nxt_intrst_rt_rst as dt_nxt_intrst_rt_rst_to_be FROM bu_loantape_work.lt002_instrument WHERE ref_date='2024-09-30' AND nome_perimetro='Individual Corporativo' AND segmento='ESTR' AND ambito='PM' AND entidade='00100' ) B ON instrmnt_id_as_is=instrmnt_id_to_be WHERE coalesce(cast(dt_nxt_intrst_rt_rst_as_is AS string),'')&lt;&gt;coalesce(cast(dt_nxt_intrst_rt_rst_to_be AS string),'') ) A </v>
      </c>
      <c r="O180" s="76" t="str">
        <f t="shared" si="29"/>
        <v>SELECT 'Validação de campos' as tipologia_teste, 'lt002_instrument' AS TABELA, 'dt_nxt_intrst_rt_rst' AS CAMPO, '2024-09-30' as ref_date, coalesce(NUM_REG_DIF, 0) AS NUM_REG_DIF FROM (SELECT count(*) AS NUM_REG_DIF FROM (SELECT instrmnt_id as instrmnt_id_, dt_nxt_intrst_rt_rst as dt_nxt_intrst_rt_rst_as_is FROM cd_loan_tapes_bce.lt002_instrument WHERE ref_date='2024-09-30' AND nome_perimetro='Individual Corporativo' AND segmento='ESTR' AND ambito='PM' AND entidade='00100' ) A  Inner join (SELECT instrmnt_id as instrmnt_id_, dt_nxt_intrst_rt_rst as dt_nxt_intrst_rt_rst_to_be FROM bu_loantape_work.lt002_instrument WHERE ref_date='2024-09-30' AND nome_perimetro='Individual Corporativo' AND segmento='ESTR' AND ambito='PM' AND entidade='00100' ) B ON instrmnt_id_as_is=instrmnt_id_to_be WHERE coalesce(cast(dt_nxt_intrst_rt_rst_as_is AS string),'')&lt;&gt;coalesce(cast(dt_nxt_intrst_rt_rst_to_be AS string),'') ) A Union all</v>
      </c>
      <c r="P180" s="75">
        <f t="shared" si="30"/>
        <v>19</v>
      </c>
    </row>
    <row r="181" spans="2:16" s="63" customFormat="1" ht="18" customHeight="1">
      <c r="B181" s="75" t="s">
        <v>26</v>
      </c>
      <c r="C181" s="75" t="str">
        <f>_xlfn.CONCAT(Instruções!$D$13,".",VLOOKUP(B181,Instruções!$F$12:$H$17,2,0))</f>
        <v>cd_loan_tapes_bce.lt002_instrument</v>
      </c>
      <c r="D181" s="75" t="str">
        <f>_xlfn.CONCAT(Instruções!$D$14,".",VLOOKUP(B181,Instruções!$F$12:$H$17,3,0))</f>
        <v>bu_loantape_work.lt002_instrument</v>
      </c>
      <c r="E181" s="75" t="s">
        <v>220</v>
      </c>
      <c r="F181" s="75" t="str">
        <f t="shared" si="25"/>
        <v>dt_orgnl_mtrty_as_is</v>
      </c>
      <c r="G181" s="75" t="str">
        <f t="shared" si="26"/>
        <v>dt_orgnl_mtrty_to_be</v>
      </c>
      <c r="H181" s="75" t="str">
        <f>IF(VLOOKUP(B181,Instruções!$F$13:$J$17,5,0)="",
"(SELECT "&amp;VLOOKUP(B181,Instruções!$F$13:$J$17,4,0)&amp;" as "&amp;VLOOKUP(B181,Instruções!$F$13:$J$17,4,0)&amp;"_"&amp;$F$2&amp;", "&amp;E181&amp;" as "&amp;F181&amp;" FROM "&amp;C181&amp;" WHERE "&amp;Instruções!$D$20&amp;") A ",
"(SELECT "&amp;VLOOKUP(B181,Instruções!$F$13:$J$17,4,0)&amp;" as "&amp;VLOOKUP(B181,Instruções!$F$13:$J$17,4,0)&amp;"_"&amp;$F$2&amp;", "&amp;VLOOKUP(B181,Instruções!$F$13:$J$17,5,0)&amp;" as "&amp;VLOOKUP(B181,Instruções!$F$13:$J$17,5,0)&amp;"_"&amp;$F$2&amp;","&amp;E181&amp;" as "&amp;F181&amp;" FROM "&amp;C181&amp;" WHERE "&amp;Instruções!$D$20&amp;") A ")</f>
        <v xml:space="preserve">(SELECT instrmnt_id as instrmnt_id_, dt_orgnl_mtrty as dt_orgnl_mtrty_as_is FROM cd_loan_tapes_bce.lt002_instrument WHERE ref_date='2024-09-30' AND nome_perimetro='Individual Corporativo' AND segmento='ESTR' AND ambito='PM' AND entidade='00100' ) A </v>
      </c>
      <c r="I181" s="75" t="str">
        <f>IF(VLOOKUP(B181,Instruções!$F$13:$J$17,5,0)="",
"(SELECT "&amp;VLOOKUP(B181,Instruções!$F$13:$J$17,4,0)&amp;" as "&amp;VLOOKUP(B181,Instruções!$F$13:$J$17,4,0)&amp;"_"&amp;$G$2&amp;", "&amp;E181&amp;" as "&amp;G181&amp;" FROM "&amp;D181&amp;" WHERE "&amp;Instruções!$D$21&amp;") B ",
"(SELECT "&amp;VLOOKUP(B181,Instruções!$F$13:$J$17,4,0)&amp;" as "&amp;VLOOKUP(B181,Instruções!$F$13:$J$17,4,0)&amp;"_"&amp;$G$2&amp;", "&amp;VLOOKUP(B181,Instruções!$F$13:$J$17,5,0)&amp;" as "&amp;VLOOKUP(B181,Instruções!$F$13:$J$17,5,0)&amp;"_"&amp;$G$2&amp;","&amp;E181&amp;" as "&amp;G181&amp;" FROM "&amp;D181&amp;" WHERE "&amp;Instruções!$D$21&amp;") B ")</f>
        <v xml:space="preserve">(SELECT instrmnt_id as instrmnt_id_, dt_orgnl_mtrty as dt_orgnl_mtrty_to_be FROM bu_loantape_work.lt002_instrument WHERE ref_date='2024-09-30' AND nome_perimetro='Individual Corporativo' AND segmento='ESTR' AND ambito='PM' AND entidade='00100' ) B </v>
      </c>
      <c r="J181" s="75" t="str">
        <f>+IF(VLOOKUP(B181,Instruções!$F$13:$J$17,5,0)="", "ON "&amp;VLOOKUP(B181,Instruções!$F$13:$J$17,4,0)&amp;"_"&amp;$F$7&amp;"="&amp;VLOOKUP(B181,Instruções!$F$13:$J$17,4,0)&amp;"_"&amp;$G$7&amp;" ", "ON "&amp;VLOOKUP(B181,Instruções!$F$13:$J$17,4,0)&amp;"_"&amp;$F$7&amp;"="&amp;VLOOKUP(B181,Instruções!$F$13:$J$17,4,0)&amp;"_"&amp;$G$7&amp;" AND "&amp;VLOOKUP(B181,Instruções!$F$13:$J$17,5,0)&amp;"_"&amp;$F$7&amp;"="&amp;VLOOKUP(B181,Instruções!$F$13:$J$17,5,0)&amp;"_"&amp;$G$7&amp;" ")</f>
        <v xml:space="preserve">ON instrmnt_id_as_is=instrmnt_id_to_be </v>
      </c>
      <c r="K181" s="75" t="str">
        <f t="shared" si="27"/>
        <v xml:space="preserve">WHERE coalesce(cast(dt_orgnl_mtrty_as_is AS string),'')&lt;&gt;coalesce(cast(dt_orgnl_mtrty_to_be AS string),'') </v>
      </c>
      <c r="L181" s="75" t="str">
        <f t="shared" si="28"/>
        <v xml:space="preserve">SELECT count(*) AS NUM_REG_DIF FROM (SELECT instrmnt_id as instrmnt_id_, dt_orgnl_mtrty as dt_orgnl_mtrty_as_is FROM cd_loan_tapes_bce.lt002_instrument WHERE ref_date='2024-09-30' AND nome_perimetro='Individual Corporativo' AND segmento='ESTR' AND ambito='PM' AND entidade='00100' ) A  Inner join (SELECT instrmnt_id as instrmnt_id_, dt_orgnl_mtrty as dt_orgnl_mtrty_to_be FROM bu_loantape_work.lt002_instrument WHERE ref_date='2024-09-30' AND nome_perimetro='Individual Corporativo' AND segmento='ESTR' AND ambito='PM' AND entidade='00100' ) B ON instrmnt_id_as_is=instrmnt_id_to_be WHERE coalesce(cast(dt_orgnl_mtrty_as_is AS string),'')&lt;&gt;coalesce(cast(dt_orgnl_mtrty_to_be AS string),'') </v>
      </c>
      <c r="M181" s="75" t="s">
        <v>55</v>
      </c>
      <c r="N181" s="75" t="str">
        <f>"SELECT 'Validação de campos' as tipologia_teste, '"&amp;VLOOKUP(B181,Instruções!$F$13:$J$17,3,0)&amp;"' AS TABELA, '"&amp;E181&amp;"' AS CAMPO, '"&amp;Instruções!$D$15&amp;"' as ref_date, coalesce(NUM_REG_DIF, 0) AS NUM_REG_DIF FROM ("&amp;L181&amp;") A "</f>
        <v xml:space="preserve">SELECT 'Validação de campos' as tipologia_teste, 'lt002_instrument' AS TABELA, 'dt_orgnl_mtrty' AS CAMPO, '2024-09-30' as ref_date, coalesce(NUM_REG_DIF, 0) AS NUM_REG_DIF FROM (SELECT count(*) AS NUM_REG_DIF FROM (SELECT instrmnt_id as instrmnt_id_, dt_orgnl_mtrty as dt_orgnl_mtrty_as_is FROM cd_loan_tapes_bce.lt002_instrument WHERE ref_date='2024-09-30' AND nome_perimetro='Individual Corporativo' AND segmento='ESTR' AND ambito='PM' AND entidade='00100' ) A  Inner join (SELECT instrmnt_id as instrmnt_id_, dt_orgnl_mtrty as dt_orgnl_mtrty_to_be FROM bu_loantape_work.lt002_instrument WHERE ref_date='2024-09-30' AND nome_perimetro='Individual Corporativo' AND segmento='ESTR' AND ambito='PM' AND entidade='00100' ) B ON instrmnt_id_as_is=instrmnt_id_to_be WHERE coalesce(cast(dt_orgnl_mtrty_as_is AS string),'')&lt;&gt;coalesce(cast(dt_orgnl_mtrty_to_be AS string),'') ) A </v>
      </c>
      <c r="O181" s="76" t="str">
        <f t="shared" si="29"/>
        <v>SELECT 'Validação de campos' as tipologia_teste, 'lt002_instrument' AS TABELA, 'dt_orgnl_mtrty' AS CAMPO, '2024-09-30' as ref_date, coalesce(NUM_REG_DIF, 0) AS NUM_REG_DIF FROM (SELECT count(*) AS NUM_REG_DIF FROM (SELECT instrmnt_id as instrmnt_id_, dt_orgnl_mtrty as dt_orgnl_mtrty_as_is FROM cd_loan_tapes_bce.lt002_instrument WHERE ref_date='2024-09-30' AND nome_perimetro='Individual Corporativo' AND segmento='ESTR' AND ambito='PM' AND entidade='00100' ) A  Inner join (SELECT instrmnt_id as instrmnt_id_, dt_orgnl_mtrty as dt_orgnl_mtrty_to_be FROM bu_loantape_work.lt002_instrument WHERE ref_date='2024-09-30' AND nome_perimetro='Individual Corporativo' AND segmento='ESTR' AND ambito='PM' AND entidade='00100' ) B ON instrmnt_id_as_is=instrmnt_id_to_be WHERE coalesce(cast(dt_orgnl_mtrty_as_is AS string),'')&lt;&gt;coalesce(cast(dt_orgnl_mtrty_to_be AS string),'') ) A Union all</v>
      </c>
      <c r="P181" s="75">
        <f t="shared" si="30"/>
        <v>20</v>
      </c>
    </row>
    <row r="182" spans="2:16" s="63" customFormat="1" ht="18" customHeight="1">
      <c r="B182" s="75" t="s">
        <v>26</v>
      </c>
      <c r="C182" s="75" t="str">
        <f>_xlfn.CONCAT(Instruções!$D$13,".",VLOOKUP(B182,Instruções!$F$12:$H$17,2,0))</f>
        <v>cd_loan_tapes_bce.lt002_instrument</v>
      </c>
      <c r="D182" s="75" t="str">
        <f>_xlfn.CONCAT(Instruções!$D$14,".",VLOOKUP(B182,Instruções!$F$12:$H$17,3,0))</f>
        <v>bu_loantape_work.lt002_instrument</v>
      </c>
      <c r="E182" s="75" t="s">
        <v>221</v>
      </c>
      <c r="F182" s="75" t="str">
        <f t="shared" si="25"/>
        <v>dt_prfrmng_stts_as_is</v>
      </c>
      <c r="G182" s="75" t="str">
        <f t="shared" si="26"/>
        <v>dt_prfrmng_stts_to_be</v>
      </c>
      <c r="H182" s="75" t="str">
        <f>IF(VLOOKUP(B182,Instruções!$F$13:$J$17,5,0)="",
"(SELECT "&amp;VLOOKUP(B182,Instruções!$F$13:$J$17,4,0)&amp;" as "&amp;VLOOKUP(B182,Instruções!$F$13:$J$17,4,0)&amp;"_"&amp;$F$2&amp;", "&amp;E182&amp;" as "&amp;F182&amp;" FROM "&amp;C182&amp;" WHERE "&amp;Instruções!$D$20&amp;") A ",
"(SELECT "&amp;VLOOKUP(B182,Instruções!$F$13:$J$17,4,0)&amp;" as "&amp;VLOOKUP(B182,Instruções!$F$13:$J$17,4,0)&amp;"_"&amp;$F$2&amp;", "&amp;VLOOKUP(B182,Instruções!$F$13:$J$17,5,0)&amp;" as "&amp;VLOOKUP(B182,Instruções!$F$13:$J$17,5,0)&amp;"_"&amp;$F$2&amp;","&amp;E182&amp;" as "&amp;F182&amp;" FROM "&amp;C182&amp;" WHERE "&amp;Instruções!$D$20&amp;") A ")</f>
        <v xml:space="preserve">(SELECT instrmnt_id as instrmnt_id_, dt_prfrmng_stts as dt_prfrmng_stts_as_is FROM cd_loan_tapes_bce.lt002_instrument WHERE ref_date='2024-09-30' AND nome_perimetro='Individual Corporativo' AND segmento='ESTR' AND ambito='PM' AND entidade='00100' ) A </v>
      </c>
      <c r="I182" s="75" t="str">
        <f>IF(VLOOKUP(B182,Instruções!$F$13:$J$17,5,0)="",
"(SELECT "&amp;VLOOKUP(B182,Instruções!$F$13:$J$17,4,0)&amp;" as "&amp;VLOOKUP(B182,Instruções!$F$13:$J$17,4,0)&amp;"_"&amp;$G$2&amp;", "&amp;E182&amp;" as "&amp;G182&amp;" FROM "&amp;D182&amp;" WHERE "&amp;Instruções!$D$21&amp;") B ",
"(SELECT "&amp;VLOOKUP(B182,Instruções!$F$13:$J$17,4,0)&amp;" as "&amp;VLOOKUP(B182,Instruções!$F$13:$J$17,4,0)&amp;"_"&amp;$G$2&amp;", "&amp;VLOOKUP(B182,Instruções!$F$13:$J$17,5,0)&amp;" as "&amp;VLOOKUP(B182,Instruções!$F$13:$J$17,5,0)&amp;"_"&amp;$G$2&amp;","&amp;E182&amp;" as "&amp;G182&amp;" FROM "&amp;D182&amp;" WHERE "&amp;Instruções!$D$21&amp;") B ")</f>
        <v xml:space="preserve">(SELECT instrmnt_id as instrmnt_id_, dt_prfrmng_stts as dt_prfrmng_stts_to_be FROM bu_loantape_work.lt002_instrument WHERE ref_date='2024-09-30' AND nome_perimetro='Individual Corporativo' AND segmento='ESTR' AND ambito='PM' AND entidade='00100' ) B </v>
      </c>
      <c r="J182" s="75" t="str">
        <f>+IF(VLOOKUP(B182,Instruções!$F$13:$J$17,5,0)="", "ON "&amp;VLOOKUP(B182,Instruções!$F$13:$J$17,4,0)&amp;"_"&amp;$F$7&amp;"="&amp;VLOOKUP(B182,Instruções!$F$13:$J$17,4,0)&amp;"_"&amp;$G$7&amp;" ", "ON "&amp;VLOOKUP(B182,Instruções!$F$13:$J$17,4,0)&amp;"_"&amp;$F$7&amp;"="&amp;VLOOKUP(B182,Instruções!$F$13:$J$17,4,0)&amp;"_"&amp;$G$7&amp;" AND "&amp;VLOOKUP(B182,Instruções!$F$13:$J$17,5,0)&amp;"_"&amp;$F$7&amp;"="&amp;VLOOKUP(B182,Instruções!$F$13:$J$17,5,0)&amp;"_"&amp;$G$7&amp;" ")</f>
        <v xml:space="preserve">ON instrmnt_id_as_is=instrmnt_id_to_be </v>
      </c>
      <c r="K182" s="75" t="str">
        <f t="shared" si="27"/>
        <v xml:space="preserve">WHERE coalesce(cast(dt_prfrmng_stts_as_is AS string),'')&lt;&gt;coalesce(cast(dt_prfrmng_stts_to_be AS string),'') </v>
      </c>
      <c r="L182" s="75" t="str">
        <f t="shared" si="28"/>
        <v xml:space="preserve">SELECT count(*) AS NUM_REG_DIF FROM (SELECT instrmnt_id as instrmnt_id_, dt_prfrmng_stts as dt_prfrmng_stts_as_is FROM cd_loan_tapes_bce.lt002_instrument WHERE ref_date='2024-09-30' AND nome_perimetro='Individual Corporativo' AND segmento='ESTR' AND ambito='PM' AND entidade='00100' ) A  Inner join (SELECT instrmnt_id as instrmnt_id_, dt_prfrmng_stts as dt_prfrmng_stts_to_be FROM bu_loantape_work.lt002_instrument WHERE ref_date='2024-09-30' AND nome_perimetro='Individual Corporativo' AND segmento='ESTR' AND ambito='PM' AND entidade='00100' ) B ON instrmnt_id_as_is=instrmnt_id_to_be WHERE coalesce(cast(dt_prfrmng_stts_as_is AS string),'')&lt;&gt;coalesce(cast(dt_prfrmng_stts_to_be AS string),'') </v>
      </c>
      <c r="M182" s="75" t="s">
        <v>55</v>
      </c>
      <c r="N182" s="75" t="str">
        <f>"SELECT 'Validação de campos' as tipologia_teste, '"&amp;VLOOKUP(B182,Instruções!$F$13:$J$17,3,0)&amp;"' AS TABELA, '"&amp;E182&amp;"' AS CAMPO, '"&amp;Instruções!$D$15&amp;"' as ref_date, coalesce(NUM_REG_DIF, 0) AS NUM_REG_DIF FROM ("&amp;L182&amp;") A "</f>
        <v xml:space="preserve">SELECT 'Validação de campos' as tipologia_teste, 'lt002_instrument' AS TABELA, 'dt_prfrmng_stts' AS CAMPO, '2024-09-30' as ref_date, coalesce(NUM_REG_DIF, 0) AS NUM_REG_DIF FROM (SELECT count(*) AS NUM_REG_DIF FROM (SELECT instrmnt_id as instrmnt_id_, dt_prfrmng_stts as dt_prfrmng_stts_as_is FROM cd_loan_tapes_bce.lt002_instrument WHERE ref_date='2024-09-30' AND nome_perimetro='Individual Corporativo' AND segmento='ESTR' AND ambito='PM' AND entidade='00100' ) A  Inner join (SELECT instrmnt_id as instrmnt_id_, dt_prfrmng_stts as dt_prfrmng_stts_to_be FROM bu_loantape_work.lt002_instrument WHERE ref_date='2024-09-30' AND nome_perimetro='Individual Corporativo' AND segmento='ESTR' AND ambito='PM' AND entidade='00100' ) B ON instrmnt_id_as_is=instrmnt_id_to_be WHERE coalesce(cast(dt_prfrmng_stts_as_is AS string),'')&lt;&gt;coalesce(cast(dt_prfrmng_stts_to_be AS string),'') ) A </v>
      </c>
      <c r="O182" s="76" t="str">
        <f t="shared" si="29"/>
        <v>SELECT 'Validação de campos' as tipologia_teste, 'lt002_instrument' AS TABELA, 'dt_prfrmng_stts' AS CAMPO, '2024-09-30' as ref_date, coalesce(NUM_REG_DIF, 0) AS NUM_REG_DIF FROM (SELECT count(*) AS NUM_REG_DIF FROM (SELECT instrmnt_id as instrmnt_id_, dt_prfrmng_stts as dt_prfrmng_stts_as_is FROM cd_loan_tapes_bce.lt002_instrument WHERE ref_date='2024-09-30' AND nome_perimetro='Individual Corporativo' AND segmento='ESTR' AND ambito='PM' AND entidade='00100' ) A  Inner join (SELECT instrmnt_id as instrmnt_id_, dt_prfrmng_stts as dt_prfrmng_stts_to_be FROM bu_loantape_work.lt002_instrument WHERE ref_date='2024-09-30' AND nome_perimetro='Individual Corporativo' AND segmento='ESTR' AND ambito='PM' AND entidade='00100' ) B ON instrmnt_id_as_is=instrmnt_id_to_be WHERE coalesce(cast(dt_prfrmng_stts_as_is AS string),'')&lt;&gt;coalesce(cast(dt_prfrmng_stts_to_be AS string),'') ) A Union all</v>
      </c>
      <c r="P182" s="75">
        <f t="shared" si="30"/>
        <v>21</v>
      </c>
    </row>
    <row r="183" spans="2:16" s="63" customFormat="1" ht="18" customHeight="1">
      <c r="B183" s="75" t="s">
        <v>26</v>
      </c>
      <c r="C183" s="75" t="str">
        <f>_xlfn.CONCAT(Instruções!$D$13,".",VLOOKUP(B183,Instruções!$F$12:$H$17,2,0))</f>
        <v>cd_loan_tapes_bce.lt002_instrument</v>
      </c>
      <c r="D183" s="75" t="str">
        <f>_xlfn.CONCAT(Instruções!$D$14,".",VLOOKUP(B183,Instruções!$F$12:$H$17,3,0))</f>
        <v>bu_loantape_work.lt002_instrument</v>
      </c>
      <c r="E183" s="75" t="s">
        <v>222</v>
      </c>
      <c r="F183" s="75" t="str">
        <f t="shared" si="25"/>
        <v>dt_prfrmng_stts_prvs_as_is</v>
      </c>
      <c r="G183" s="75" t="str">
        <f t="shared" si="26"/>
        <v>dt_prfrmng_stts_prvs_to_be</v>
      </c>
      <c r="H183" s="75" t="str">
        <f>IF(VLOOKUP(B183,Instruções!$F$13:$J$17,5,0)="",
"(SELECT "&amp;VLOOKUP(B183,Instruções!$F$13:$J$17,4,0)&amp;" as "&amp;VLOOKUP(B183,Instruções!$F$13:$J$17,4,0)&amp;"_"&amp;$F$2&amp;", "&amp;E183&amp;" as "&amp;F183&amp;" FROM "&amp;C183&amp;" WHERE "&amp;Instruções!$D$20&amp;") A ",
"(SELECT "&amp;VLOOKUP(B183,Instruções!$F$13:$J$17,4,0)&amp;" as "&amp;VLOOKUP(B183,Instruções!$F$13:$J$17,4,0)&amp;"_"&amp;$F$2&amp;", "&amp;VLOOKUP(B183,Instruções!$F$13:$J$17,5,0)&amp;" as "&amp;VLOOKUP(B183,Instruções!$F$13:$J$17,5,0)&amp;"_"&amp;$F$2&amp;","&amp;E183&amp;" as "&amp;F183&amp;" FROM "&amp;C183&amp;" WHERE "&amp;Instruções!$D$20&amp;") A ")</f>
        <v xml:space="preserve">(SELECT instrmnt_id as instrmnt_id_, dt_prfrmng_stts_prvs as dt_prfrmng_stts_prvs_as_is FROM cd_loan_tapes_bce.lt002_instrument WHERE ref_date='2024-09-30' AND nome_perimetro='Individual Corporativo' AND segmento='ESTR' AND ambito='PM' AND entidade='00100' ) A </v>
      </c>
      <c r="I183" s="75" t="str">
        <f>IF(VLOOKUP(B183,Instruções!$F$13:$J$17,5,0)="",
"(SELECT "&amp;VLOOKUP(B183,Instruções!$F$13:$J$17,4,0)&amp;" as "&amp;VLOOKUP(B183,Instruções!$F$13:$J$17,4,0)&amp;"_"&amp;$G$2&amp;", "&amp;E183&amp;" as "&amp;G183&amp;" FROM "&amp;D183&amp;" WHERE "&amp;Instruções!$D$21&amp;") B ",
"(SELECT "&amp;VLOOKUP(B183,Instruções!$F$13:$J$17,4,0)&amp;" as "&amp;VLOOKUP(B183,Instruções!$F$13:$J$17,4,0)&amp;"_"&amp;$G$2&amp;", "&amp;VLOOKUP(B183,Instruções!$F$13:$J$17,5,0)&amp;" as "&amp;VLOOKUP(B183,Instruções!$F$13:$J$17,5,0)&amp;"_"&amp;$G$2&amp;","&amp;E183&amp;" as "&amp;G183&amp;" FROM "&amp;D183&amp;" WHERE "&amp;Instruções!$D$21&amp;") B ")</f>
        <v xml:space="preserve">(SELECT instrmnt_id as instrmnt_id_, dt_prfrmng_stts_prvs as dt_prfrmng_stts_prvs_to_be FROM bu_loantape_work.lt002_instrument WHERE ref_date='2024-09-30' AND nome_perimetro='Individual Corporativo' AND segmento='ESTR' AND ambito='PM' AND entidade='00100' ) B </v>
      </c>
      <c r="J183" s="75" t="str">
        <f>+IF(VLOOKUP(B183,Instruções!$F$13:$J$17,5,0)="", "ON "&amp;VLOOKUP(B183,Instruções!$F$13:$J$17,4,0)&amp;"_"&amp;$F$7&amp;"="&amp;VLOOKUP(B183,Instruções!$F$13:$J$17,4,0)&amp;"_"&amp;$G$7&amp;" ", "ON "&amp;VLOOKUP(B183,Instruções!$F$13:$J$17,4,0)&amp;"_"&amp;$F$7&amp;"="&amp;VLOOKUP(B183,Instruções!$F$13:$J$17,4,0)&amp;"_"&amp;$G$7&amp;" AND "&amp;VLOOKUP(B183,Instruções!$F$13:$J$17,5,0)&amp;"_"&amp;$F$7&amp;"="&amp;VLOOKUP(B183,Instruções!$F$13:$J$17,5,0)&amp;"_"&amp;$G$7&amp;" ")</f>
        <v xml:space="preserve">ON instrmnt_id_as_is=instrmnt_id_to_be </v>
      </c>
      <c r="K183" s="75" t="str">
        <f t="shared" si="27"/>
        <v xml:space="preserve">WHERE coalesce(cast(dt_prfrmng_stts_prvs_as_is AS string),'')&lt;&gt;coalesce(cast(dt_prfrmng_stts_prvs_to_be AS string),'') </v>
      </c>
      <c r="L183" s="75" t="str">
        <f t="shared" si="28"/>
        <v xml:space="preserve">SELECT count(*) AS NUM_REG_DIF FROM (SELECT instrmnt_id as instrmnt_id_, dt_prfrmng_stts_prvs as dt_prfrmng_stts_prvs_as_is FROM cd_loan_tapes_bce.lt002_instrument WHERE ref_date='2024-09-30' AND nome_perimetro='Individual Corporativo' AND segmento='ESTR' AND ambito='PM' AND entidade='00100' ) A  Inner join (SELECT instrmnt_id as instrmnt_id_, dt_prfrmng_stts_prvs as dt_prfrmng_stts_prvs_to_be FROM bu_loantape_work.lt002_instrument WHERE ref_date='2024-09-30' AND nome_perimetro='Individual Corporativo' AND segmento='ESTR' AND ambito='PM' AND entidade='00100' ) B ON instrmnt_id_as_is=instrmnt_id_to_be WHERE coalesce(cast(dt_prfrmng_stts_prvs_as_is AS string),'')&lt;&gt;coalesce(cast(dt_prfrmng_stts_prvs_to_be AS string),'') </v>
      </c>
      <c r="M183" s="75" t="s">
        <v>55</v>
      </c>
      <c r="N183" s="75" t="str">
        <f>"SELECT 'Validação de campos' as tipologia_teste, '"&amp;VLOOKUP(B183,Instruções!$F$13:$J$17,3,0)&amp;"' AS TABELA, '"&amp;E183&amp;"' AS CAMPO, '"&amp;Instruções!$D$15&amp;"' as ref_date, coalesce(NUM_REG_DIF, 0) AS NUM_REG_DIF FROM ("&amp;L183&amp;") A "</f>
        <v xml:space="preserve">SELECT 'Validação de campos' as tipologia_teste, 'lt002_instrument' AS TABELA, 'dt_prfrmng_stts_prvs' AS CAMPO, '2024-09-30' as ref_date, coalesce(NUM_REG_DIF, 0) AS NUM_REG_DIF FROM (SELECT count(*) AS NUM_REG_DIF FROM (SELECT instrmnt_id as instrmnt_id_, dt_prfrmng_stts_prvs as dt_prfrmng_stts_prvs_as_is FROM cd_loan_tapes_bce.lt002_instrument WHERE ref_date='2024-09-30' AND nome_perimetro='Individual Corporativo' AND segmento='ESTR' AND ambito='PM' AND entidade='00100' ) A  Inner join (SELECT instrmnt_id as instrmnt_id_, dt_prfrmng_stts_prvs as dt_prfrmng_stts_prvs_to_be FROM bu_loantape_work.lt002_instrument WHERE ref_date='2024-09-30' AND nome_perimetro='Individual Corporativo' AND segmento='ESTR' AND ambito='PM' AND entidade='00100' ) B ON instrmnt_id_as_is=instrmnt_id_to_be WHERE coalesce(cast(dt_prfrmng_stts_prvs_as_is AS string),'')&lt;&gt;coalesce(cast(dt_prfrmng_stts_prvs_to_be AS string),'') ) A </v>
      </c>
      <c r="O183" s="76" t="str">
        <f t="shared" si="29"/>
        <v>SELECT 'Validação de campos' as tipologia_teste, 'lt002_instrument' AS TABELA, 'dt_prfrmng_stts_prvs' AS CAMPO, '2024-09-30' as ref_date, coalesce(NUM_REG_DIF, 0) AS NUM_REG_DIF FROM (SELECT count(*) AS NUM_REG_DIF FROM (SELECT instrmnt_id as instrmnt_id_, dt_prfrmng_stts_prvs as dt_prfrmng_stts_prvs_as_is FROM cd_loan_tapes_bce.lt002_instrument WHERE ref_date='2024-09-30' AND nome_perimetro='Individual Corporativo' AND segmento='ESTR' AND ambito='PM' AND entidade='00100' ) A  Inner join (SELECT instrmnt_id as instrmnt_id_, dt_prfrmng_stts_prvs as dt_prfrmng_stts_prvs_to_be FROM bu_loantape_work.lt002_instrument WHERE ref_date='2024-09-30' AND nome_perimetro='Individual Corporativo' AND segmento='ESTR' AND ambito='PM' AND entidade='00100' ) B ON instrmnt_id_as_is=instrmnt_id_to_be WHERE coalesce(cast(dt_prfrmng_stts_prvs_as_is AS string),'')&lt;&gt;coalesce(cast(dt_prfrmng_stts_prvs_to_be AS string),'') ) A Union all</v>
      </c>
      <c r="P183" s="75">
        <f t="shared" si="30"/>
        <v>22</v>
      </c>
    </row>
    <row r="184" spans="2:16" s="63" customFormat="1" ht="18" customHeight="1">
      <c r="B184" s="75" t="s">
        <v>26</v>
      </c>
      <c r="C184" s="75" t="str">
        <f>_xlfn.CONCAT(Instruções!$D$13,".",VLOOKUP(B184,Instruções!$F$12:$H$17,2,0))</f>
        <v>cd_loan_tapes_bce.lt002_instrument</v>
      </c>
      <c r="D184" s="75" t="str">
        <f>_xlfn.CONCAT(Instruções!$D$14,".",VLOOKUP(B184,Instruções!$F$12:$H$17,3,0))</f>
        <v>bu_loantape_work.lt002_instrument</v>
      </c>
      <c r="E184" s="75" t="s">
        <v>223</v>
      </c>
      <c r="F184" s="75" t="str">
        <f t="shared" si="25"/>
        <v>dt_pst_d_as_is</v>
      </c>
      <c r="G184" s="75" t="str">
        <f t="shared" si="26"/>
        <v>dt_pst_d_to_be</v>
      </c>
      <c r="H184" s="75" t="str">
        <f>IF(VLOOKUP(B184,Instruções!$F$13:$J$17,5,0)="",
"(SELECT "&amp;VLOOKUP(B184,Instruções!$F$13:$J$17,4,0)&amp;" as "&amp;VLOOKUP(B184,Instruções!$F$13:$J$17,4,0)&amp;"_"&amp;$F$2&amp;", "&amp;E184&amp;" as "&amp;F184&amp;" FROM "&amp;C184&amp;" WHERE "&amp;Instruções!$D$20&amp;") A ",
"(SELECT "&amp;VLOOKUP(B184,Instruções!$F$13:$J$17,4,0)&amp;" as "&amp;VLOOKUP(B184,Instruções!$F$13:$J$17,4,0)&amp;"_"&amp;$F$2&amp;", "&amp;VLOOKUP(B184,Instruções!$F$13:$J$17,5,0)&amp;" as "&amp;VLOOKUP(B184,Instruções!$F$13:$J$17,5,0)&amp;"_"&amp;$F$2&amp;","&amp;E184&amp;" as "&amp;F184&amp;" FROM "&amp;C184&amp;" WHERE "&amp;Instruções!$D$20&amp;") A ")</f>
        <v xml:space="preserve">(SELECT instrmnt_id as instrmnt_id_, dt_pst_d as dt_pst_d_as_is FROM cd_loan_tapes_bce.lt002_instrument WHERE ref_date='2024-09-30' AND nome_perimetro='Individual Corporativo' AND segmento='ESTR' AND ambito='PM' AND entidade='00100' ) A </v>
      </c>
      <c r="I184" s="75" t="str">
        <f>IF(VLOOKUP(B184,Instruções!$F$13:$J$17,5,0)="",
"(SELECT "&amp;VLOOKUP(B184,Instruções!$F$13:$J$17,4,0)&amp;" as "&amp;VLOOKUP(B184,Instruções!$F$13:$J$17,4,0)&amp;"_"&amp;$G$2&amp;", "&amp;E184&amp;" as "&amp;G184&amp;" FROM "&amp;D184&amp;" WHERE "&amp;Instruções!$D$21&amp;") B ",
"(SELECT "&amp;VLOOKUP(B184,Instruções!$F$13:$J$17,4,0)&amp;" as "&amp;VLOOKUP(B184,Instruções!$F$13:$J$17,4,0)&amp;"_"&amp;$G$2&amp;", "&amp;VLOOKUP(B184,Instruções!$F$13:$J$17,5,0)&amp;" as "&amp;VLOOKUP(B184,Instruções!$F$13:$J$17,5,0)&amp;"_"&amp;$G$2&amp;","&amp;E184&amp;" as "&amp;G184&amp;" FROM "&amp;D184&amp;" WHERE "&amp;Instruções!$D$21&amp;") B ")</f>
        <v xml:space="preserve">(SELECT instrmnt_id as instrmnt_id_, dt_pst_d as dt_pst_d_to_be FROM bu_loantape_work.lt002_instrument WHERE ref_date='2024-09-30' AND nome_perimetro='Individual Corporativo' AND segmento='ESTR' AND ambito='PM' AND entidade='00100' ) B </v>
      </c>
      <c r="J184" s="75" t="str">
        <f>+IF(VLOOKUP(B184,Instruções!$F$13:$J$17,5,0)="", "ON "&amp;VLOOKUP(B184,Instruções!$F$13:$J$17,4,0)&amp;"_"&amp;$F$7&amp;"="&amp;VLOOKUP(B184,Instruções!$F$13:$J$17,4,0)&amp;"_"&amp;$G$7&amp;" ", "ON "&amp;VLOOKUP(B184,Instruções!$F$13:$J$17,4,0)&amp;"_"&amp;$F$7&amp;"="&amp;VLOOKUP(B184,Instruções!$F$13:$J$17,4,0)&amp;"_"&amp;$G$7&amp;" AND "&amp;VLOOKUP(B184,Instruções!$F$13:$J$17,5,0)&amp;"_"&amp;$F$7&amp;"="&amp;VLOOKUP(B184,Instruções!$F$13:$J$17,5,0)&amp;"_"&amp;$G$7&amp;" ")</f>
        <v xml:space="preserve">ON instrmnt_id_as_is=instrmnt_id_to_be </v>
      </c>
      <c r="K184" s="75" t="str">
        <f t="shared" si="27"/>
        <v xml:space="preserve">WHERE coalesce(cast(dt_pst_d_as_is AS string),'')&lt;&gt;coalesce(cast(dt_pst_d_to_be AS string),'') </v>
      </c>
      <c r="L184" s="75" t="str">
        <f t="shared" si="28"/>
        <v xml:space="preserve">SELECT count(*) AS NUM_REG_DIF FROM (SELECT instrmnt_id as instrmnt_id_, dt_pst_d as dt_pst_d_as_is FROM cd_loan_tapes_bce.lt002_instrument WHERE ref_date='2024-09-30' AND nome_perimetro='Individual Corporativo' AND segmento='ESTR' AND ambito='PM' AND entidade='00100' ) A  Inner join (SELECT instrmnt_id as instrmnt_id_, dt_pst_d as dt_pst_d_to_be FROM bu_loantape_work.lt002_instrument WHERE ref_date='2024-09-30' AND nome_perimetro='Individual Corporativo' AND segmento='ESTR' AND ambito='PM' AND entidade='00100' ) B ON instrmnt_id_as_is=instrmnt_id_to_be WHERE coalesce(cast(dt_pst_d_as_is AS string),'')&lt;&gt;coalesce(cast(dt_pst_d_to_be AS string),'') </v>
      </c>
      <c r="M184" s="75" t="s">
        <v>55</v>
      </c>
      <c r="N184" s="75" t="str">
        <f>"SELECT 'Validação de campos' as tipologia_teste, '"&amp;VLOOKUP(B184,Instruções!$F$13:$J$17,3,0)&amp;"' AS TABELA, '"&amp;E184&amp;"' AS CAMPO, '"&amp;Instruções!$D$15&amp;"' as ref_date, coalesce(NUM_REG_DIF, 0) AS NUM_REG_DIF FROM ("&amp;L184&amp;") A "</f>
        <v xml:space="preserve">SELECT 'Validação de campos' as tipologia_teste, 'lt002_instrument' AS TABELA, 'dt_pst_d' AS CAMPO, '2024-09-30' as ref_date, coalesce(NUM_REG_DIF, 0) AS NUM_REG_DIF FROM (SELECT count(*) AS NUM_REG_DIF FROM (SELECT instrmnt_id as instrmnt_id_, dt_pst_d as dt_pst_d_as_is FROM cd_loan_tapes_bce.lt002_instrument WHERE ref_date='2024-09-30' AND nome_perimetro='Individual Corporativo' AND segmento='ESTR' AND ambito='PM' AND entidade='00100' ) A  Inner join (SELECT instrmnt_id as instrmnt_id_, dt_pst_d as dt_pst_d_to_be FROM bu_loantape_work.lt002_instrument WHERE ref_date='2024-09-30' AND nome_perimetro='Individual Corporativo' AND segmento='ESTR' AND ambito='PM' AND entidade='00100' ) B ON instrmnt_id_as_is=instrmnt_id_to_be WHERE coalesce(cast(dt_pst_d_as_is AS string),'')&lt;&gt;coalesce(cast(dt_pst_d_to_be AS string),'') ) A </v>
      </c>
      <c r="O184" s="76" t="str">
        <f t="shared" si="29"/>
        <v>SELECT 'Validação de campos' as tipologia_teste, 'lt002_instrument' AS TABELA, 'dt_pst_d' AS CAMPO, '2024-09-30' as ref_date, coalesce(NUM_REG_DIF, 0) AS NUM_REG_DIF FROM (SELECT count(*) AS NUM_REG_DIF FROM (SELECT instrmnt_id as instrmnt_id_, dt_pst_d as dt_pst_d_as_is FROM cd_loan_tapes_bce.lt002_instrument WHERE ref_date='2024-09-30' AND nome_perimetro='Individual Corporativo' AND segmento='ESTR' AND ambito='PM' AND entidade='00100' ) A  Inner join (SELECT instrmnt_id as instrmnt_id_, dt_pst_d as dt_pst_d_to_be FROM bu_loantape_work.lt002_instrument WHERE ref_date='2024-09-30' AND nome_perimetro='Individual Corporativo' AND segmento='ESTR' AND ambito='PM' AND entidade='00100' ) B ON instrmnt_id_as_is=instrmnt_id_to_be WHERE coalesce(cast(dt_pst_d_as_is AS string),'')&lt;&gt;coalesce(cast(dt_pst_d_to_be AS string),'') ) A Union all</v>
      </c>
      <c r="P184" s="75">
        <f t="shared" si="30"/>
        <v>23</v>
      </c>
    </row>
    <row r="185" spans="2:16" s="63" customFormat="1" ht="18" customHeight="1">
      <c r="B185" s="75" t="s">
        <v>26</v>
      </c>
      <c r="C185" s="75" t="str">
        <f>_xlfn.CONCAT(Instruções!$D$13,".",VLOOKUP(B185,Instruções!$F$12:$H$17,2,0))</f>
        <v>cd_loan_tapes_bce.lt002_instrument</v>
      </c>
      <c r="D185" s="75" t="str">
        <f>_xlfn.CONCAT(Instruções!$D$14,".",VLOOKUP(B185,Instruções!$F$12:$H$17,3,0))</f>
        <v>bu_loantape_work.lt002_instrument</v>
      </c>
      <c r="E185" s="75" t="s">
        <v>224</v>
      </c>
      <c r="F185" s="75" t="str">
        <f t="shared" si="25"/>
        <v>dt_strt_gp_ppal_as_is</v>
      </c>
      <c r="G185" s="75" t="str">
        <f t="shared" si="26"/>
        <v>dt_strt_gp_ppal_to_be</v>
      </c>
      <c r="H185" s="75" t="str">
        <f>IF(VLOOKUP(B185,Instruções!$F$13:$J$17,5,0)="",
"(SELECT "&amp;VLOOKUP(B185,Instruções!$F$13:$J$17,4,0)&amp;" as "&amp;VLOOKUP(B185,Instruções!$F$13:$J$17,4,0)&amp;"_"&amp;$F$2&amp;", "&amp;E185&amp;" as "&amp;F185&amp;" FROM "&amp;C185&amp;" WHERE "&amp;Instruções!$D$20&amp;") A ",
"(SELECT "&amp;VLOOKUP(B185,Instruções!$F$13:$J$17,4,0)&amp;" as "&amp;VLOOKUP(B185,Instruções!$F$13:$J$17,4,0)&amp;"_"&amp;$F$2&amp;", "&amp;VLOOKUP(B185,Instruções!$F$13:$J$17,5,0)&amp;" as "&amp;VLOOKUP(B185,Instruções!$F$13:$J$17,5,0)&amp;"_"&amp;$F$2&amp;","&amp;E185&amp;" as "&amp;F185&amp;" FROM "&amp;C185&amp;" WHERE "&amp;Instruções!$D$20&amp;") A ")</f>
        <v xml:space="preserve">(SELECT instrmnt_id as instrmnt_id_, dt_strt_gp_ppal as dt_strt_gp_ppal_as_is FROM cd_loan_tapes_bce.lt002_instrument WHERE ref_date='2024-09-30' AND nome_perimetro='Individual Corporativo' AND segmento='ESTR' AND ambito='PM' AND entidade='00100' ) A </v>
      </c>
      <c r="I185" s="75" t="str">
        <f>IF(VLOOKUP(B185,Instruções!$F$13:$J$17,5,0)="",
"(SELECT "&amp;VLOOKUP(B185,Instruções!$F$13:$J$17,4,0)&amp;" as "&amp;VLOOKUP(B185,Instruções!$F$13:$J$17,4,0)&amp;"_"&amp;$G$2&amp;", "&amp;E185&amp;" as "&amp;G185&amp;" FROM "&amp;D185&amp;" WHERE "&amp;Instruções!$D$21&amp;") B ",
"(SELECT "&amp;VLOOKUP(B185,Instruções!$F$13:$J$17,4,0)&amp;" as "&amp;VLOOKUP(B185,Instruções!$F$13:$J$17,4,0)&amp;"_"&amp;$G$2&amp;", "&amp;VLOOKUP(B185,Instruções!$F$13:$J$17,5,0)&amp;" as "&amp;VLOOKUP(B185,Instruções!$F$13:$J$17,5,0)&amp;"_"&amp;$G$2&amp;","&amp;E185&amp;" as "&amp;G185&amp;" FROM "&amp;D185&amp;" WHERE "&amp;Instruções!$D$21&amp;") B ")</f>
        <v xml:space="preserve">(SELECT instrmnt_id as instrmnt_id_, dt_strt_gp_ppal as dt_strt_gp_ppal_to_be FROM bu_loantape_work.lt002_instrument WHERE ref_date='2024-09-30' AND nome_perimetro='Individual Corporativo' AND segmento='ESTR' AND ambito='PM' AND entidade='00100' ) B </v>
      </c>
      <c r="J185" s="75" t="str">
        <f>+IF(VLOOKUP(B185,Instruções!$F$13:$J$17,5,0)="", "ON "&amp;VLOOKUP(B185,Instruções!$F$13:$J$17,4,0)&amp;"_"&amp;$F$7&amp;"="&amp;VLOOKUP(B185,Instruções!$F$13:$J$17,4,0)&amp;"_"&amp;$G$7&amp;" ", "ON "&amp;VLOOKUP(B185,Instruções!$F$13:$J$17,4,0)&amp;"_"&amp;$F$7&amp;"="&amp;VLOOKUP(B185,Instruções!$F$13:$J$17,4,0)&amp;"_"&amp;$G$7&amp;" AND "&amp;VLOOKUP(B185,Instruções!$F$13:$J$17,5,0)&amp;"_"&amp;$F$7&amp;"="&amp;VLOOKUP(B185,Instruções!$F$13:$J$17,5,0)&amp;"_"&amp;$G$7&amp;" ")</f>
        <v xml:space="preserve">ON instrmnt_id_as_is=instrmnt_id_to_be </v>
      </c>
      <c r="K185" s="75" t="str">
        <f t="shared" si="27"/>
        <v xml:space="preserve">WHERE coalesce(cast(dt_strt_gp_ppal_as_is AS string),'')&lt;&gt;coalesce(cast(dt_strt_gp_ppal_to_be AS string),'') </v>
      </c>
      <c r="L185" s="75" t="str">
        <f t="shared" si="28"/>
        <v xml:space="preserve">SELECT count(*) AS NUM_REG_DIF FROM (SELECT instrmnt_id as instrmnt_id_, dt_strt_gp_ppal as dt_strt_gp_ppal_as_is FROM cd_loan_tapes_bce.lt002_instrument WHERE ref_date='2024-09-30' AND nome_perimetro='Individual Corporativo' AND segmento='ESTR' AND ambito='PM' AND entidade='00100' ) A  Inner join (SELECT instrmnt_id as instrmnt_id_, dt_strt_gp_ppal as dt_strt_gp_ppal_to_be FROM bu_loantape_work.lt002_instrument WHERE ref_date='2024-09-30' AND nome_perimetro='Individual Corporativo' AND segmento='ESTR' AND ambito='PM' AND entidade='00100' ) B ON instrmnt_id_as_is=instrmnt_id_to_be WHERE coalesce(cast(dt_strt_gp_ppal_as_is AS string),'')&lt;&gt;coalesce(cast(dt_strt_gp_ppal_to_be AS string),'') </v>
      </c>
      <c r="M185" s="75" t="s">
        <v>55</v>
      </c>
      <c r="N185" s="75" t="str">
        <f>"SELECT 'Validação de campos' as tipologia_teste, '"&amp;VLOOKUP(B185,Instruções!$F$13:$J$17,3,0)&amp;"' AS TABELA, '"&amp;E185&amp;"' AS CAMPO, '"&amp;Instruções!$D$15&amp;"' as ref_date, coalesce(NUM_REG_DIF, 0) AS NUM_REG_DIF FROM ("&amp;L185&amp;") A "</f>
        <v xml:space="preserve">SELECT 'Validação de campos' as tipologia_teste, 'lt002_instrument' AS TABELA, 'dt_strt_gp_ppal' AS CAMPO, '2024-09-30' as ref_date, coalesce(NUM_REG_DIF, 0) AS NUM_REG_DIF FROM (SELECT count(*) AS NUM_REG_DIF FROM (SELECT instrmnt_id as instrmnt_id_, dt_strt_gp_ppal as dt_strt_gp_ppal_as_is FROM cd_loan_tapes_bce.lt002_instrument WHERE ref_date='2024-09-30' AND nome_perimetro='Individual Corporativo' AND segmento='ESTR' AND ambito='PM' AND entidade='00100' ) A  Inner join (SELECT instrmnt_id as instrmnt_id_, dt_strt_gp_ppal as dt_strt_gp_ppal_to_be FROM bu_loantape_work.lt002_instrument WHERE ref_date='2024-09-30' AND nome_perimetro='Individual Corporativo' AND segmento='ESTR' AND ambito='PM' AND entidade='00100' ) B ON instrmnt_id_as_is=instrmnt_id_to_be WHERE coalesce(cast(dt_strt_gp_ppal_as_is AS string),'')&lt;&gt;coalesce(cast(dt_strt_gp_ppal_to_be AS string),'') ) A </v>
      </c>
      <c r="O185" s="76" t="str">
        <f t="shared" si="29"/>
        <v>SELECT 'Validação de campos' as tipologia_teste, 'lt002_instrument' AS TABELA, 'dt_strt_gp_ppal' AS CAMPO, '2024-09-30' as ref_date, coalesce(NUM_REG_DIF, 0) AS NUM_REG_DIF FROM (SELECT count(*) AS NUM_REG_DIF FROM (SELECT instrmnt_id as instrmnt_id_, dt_strt_gp_ppal as dt_strt_gp_ppal_as_is FROM cd_loan_tapes_bce.lt002_instrument WHERE ref_date='2024-09-30' AND nome_perimetro='Individual Corporativo' AND segmento='ESTR' AND ambito='PM' AND entidade='00100' ) A  Inner join (SELECT instrmnt_id as instrmnt_id_, dt_strt_gp_ppal as dt_strt_gp_ppal_to_be FROM bu_loantape_work.lt002_instrument WHERE ref_date='2024-09-30' AND nome_perimetro='Individual Corporativo' AND segmento='ESTR' AND ambito='PM' AND entidade='00100' ) B ON instrmnt_id_as_is=instrmnt_id_to_be WHERE coalesce(cast(dt_strt_gp_ppal_as_is AS string),'')&lt;&gt;coalesce(cast(dt_strt_gp_ppal_to_be AS string),'') ) A Union all</v>
      </c>
      <c r="P185" s="75">
        <f t="shared" si="30"/>
        <v>24</v>
      </c>
    </row>
    <row r="186" spans="2:16" s="63" customFormat="1" ht="18" customHeight="1">
      <c r="B186" s="75" t="s">
        <v>26</v>
      </c>
      <c r="C186" s="75" t="str">
        <f>_xlfn.CONCAT(Instruções!$D$13,".",VLOOKUP(B186,Instruções!$F$12:$H$17,2,0))</f>
        <v>cd_loan_tapes_bce.lt002_instrument</v>
      </c>
      <c r="D186" s="75" t="str">
        <f>_xlfn.CONCAT(Instruções!$D$14,".",VLOOKUP(B186,Instruções!$F$12:$H$17,3,0))</f>
        <v>bu_loantape_work.lt002_instrument</v>
      </c>
      <c r="E186" s="75" t="s">
        <v>225</v>
      </c>
      <c r="F186" s="75" t="str">
        <f t="shared" si="25"/>
        <v>dt_strt_intrst_only_as_is</v>
      </c>
      <c r="G186" s="75" t="str">
        <f t="shared" si="26"/>
        <v>dt_strt_intrst_only_to_be</v>
      </c>
      <c r="H186" s="75" t="str">
        <f>IF(VLOOKUP(B186,Instruções!$F$13:$J$17,5,0)="",
"(SELECT "&amp;VLOOKUP(B186,Instruções!$F$13:$J$17,4,0)&amp;" as "&amp;VLOOKUP(B186,Instruções!$F$13:$J$17,4,0)&amp;"_"&amp;$F$2&amp;", "&amp;E186&amp;" as "&amp;F186&amp;" FROM "&amp;C186&amp;" WHERE "&amp;Instruções!$D$20&amp;") A ",
"(SELECT "&amp;VLOOKUP(B186,Instruções!$F$13:$J$17,4,0)&amp;" as "&amp;VLOOKUP(B186,Instruções!$F$13:$J$17,4,0)&amp;"_"&amp;$F$2&amp;", "&amp;VLOOKUP(B186,Instruções!$F$13:$J$17,5,0)&amp;" as "&amp;VLOOKUP(B186,Instruções!$F$13:$J$17,5,0)&amp;"_"&amp;$F$2&amp;","&amp;E186&amp;" as "&amp;F186&amp;" FROM "&amp;C186&amp;" WHERE "&amp;Instruções!$D$20&amp;") A ")</f>
        <v xml:space="preserve">(SELECT instrmnt_id as instrmnt_id_, dt_strt_intrst_only as dt_strt_intrst_only_as_is FROM cd_loan_tapes_bce.lt002_instrument WHERE ref_date='2024-09-30' AND nome_perimetro='Individual Corporativo' AND segmento='ESTR' AND ambito='PM' AND entidade='00100' ) A </v>
      </c>
      <c r="I186" s="75" t="str">
        <f>IF(VLOOKUP(B186,Instruções!$F$13:$J$17,5,0)="",
"(SELECT "&amp;VLOOKUP(B186,Instruções!$F$13:$J$17,4,0)&amp;" as "&amp;VLOOKUP(B186,Instruções!$F$13:$J$17,4,0)&amp;"_"&amp;$G$2&amp;", "&amp;E186&amp;" as "&amp;G186&amp;" FROM "&amp;D186&amp;" WHERE "&amp;Instruções!$D$21&amp;") B ",
"(SELECT "&amp;VLOOKUP(B186,Instruções!$F$13:$J$17,4,0)&amp;" as "&amp;VLOOKUP(B186,Instruções!$F$13:$J$17,4,0)&amp;"_"&amp;$G$2&amp;", "&amp;VLOOKUP(B186,Instruções!$F$13:$J$17,5,0)&amp;" as "&amp;VLOOKUP(B186,Instruções!$F$13:$J$17,5,0)&amp;"_"&amp;$G$2&amp;","&amp;E186&amp;" as "&amp;G186&amp;" FROM "&amp;D186&amp;" WHERE "&amp;Instruções!$D$21&amp;") B ")</f>
        <v xml:space="preserve">(SELECT instrmnt_id as instrmnt_id_, dt_strt_intrst_only as dt_strt_intrst_only_to_be FROM bu_loantape_work.lt002_instrument WHERE ref_date='2024-09-30' AND nome_perimetro='Individual Corporativo' AND segmento='ESTR' AND ambito='PM' AND entidade='00100' ) B </v>
      </c>
      <c r="J186" s="75" t="str">
        <f>+IF(VLOOKUP(B186,Instruções!$F$13:$J$17,5,0)="", "ON "&amp;VLOOKUP(B186,Instruções!$F$13:$J$17,4,0)&amp;"_"&amp;$F$7&amp;"="&amp;VLOOKUP(B186,Instruções!$F$13:$J$17,4,0)&amp;"_"&amp;$G$7&amp;" ", "ON "&amp;VLOOKUP(B186,Instruções!$F$13:$J$17,4,0)&amp;"_"&amp;$F$7&amp;"="&amp;VLOOKUP(B186,Instruções!$F$13:$J$17,4,0)&amp;"_"&amp;$G$7&amp;" AND "&amp;VLOOKUP(B186,Instruções!$F$13:$J$17,5,0)&amp;"_"&amp;$F$7&amp;"="&amp;VLOOKUP(B186,Instruções!$F$13:$J$17,5,0)&amp;"_"&amp;$G$7&amp;" ")</f>
        <v xml:space="preserve">ON instrmnt_id_as_is=instrmnt_id_to_be </v>
      </c>
      <c r="K186" s="75" t="str">
        <f t="shared" si="27"/>
        <v xml:space="preserve">WHERE coalesce(cast(dt_strt_intrst_only_as_is AS string),'')&lt;&gt;coalesce(cast(dt_strt_intrst_only_to_be AS string),'') </v>
      </c>
      <c r="L186" s="75" t="str">
        <f t="shared" si="28"/>
        <v xml:space="preserve">SELECT count(*) AS NUM_REG_DIF FROM (SELECT instrmnt_id as instrmnt_id_, dt_strt_intrst_only as dt_strt_intrst_only_as_is FROM cd_loan_tapes_bce.lt002_instrument WHERE ref_date='2024-09-30' AND nome_perimetro='Individual Corporativo' AND segmento='ESTR' AND ambito='PM' AND entidade='00100' ) A  Inner join (SELECT instrmnt_id as instrmnt_id_, dt_strt_intrst_only as dt_strt_intrst_only_to_be FROM bu_loantape_work.lt002_instrument WHERE ref_date='2024-09-30' AND nome_perimetro='Individual Corporativo' AND segmento='ESTR' AND ambito='PM' AND entidade='00100' ) B ON instrmnt_id_as_is=instrmnt_id_to_be WHERE coalesce(cast(dt_strt_intrst_only_as_is AS string),'')&lt;&gt;coalesce(cast(dt_strt_intrst_only_to_be AS string),'') </v>
      </c>
      <c r="M186" s="75" t="s">
        <v>55</v>
      </c>
      <c r="N186" s="75" t="str">
        <f>"SELECT 'Validação de campos' as tipologia_teste, '"&amp;VLOOKUP(B186,Instruções!$F$13:$J$17,3,0)&amp;"' AS TABELA, '"&amp;E186&amp;"' AS CAMPO, '"&amp;Instruções!$D$15&amp;"' as ref_date, coalesce(NUM_REG_DIF, 0) AS NUM_REG_DIF FROM ("&amp;L186&amp;") A "</f>
        <v xml:space="preserve">SELECT 'Validação de campos' as tipologia_teste, 'lt002_instrument' AS TABELA, 'dt_strt_intrst_only' AS CAMPO, '2024-09-30' as ref_date, coalesce(NUM_REG_DIF, 0) AS NUM_REG_DIF FROM (SELECT count(*) AS NUM_REG_DIF FROM (SELECT instrmnt_id as instrmnt_id_, dt_strt_intrst_only as dt_strt_intrst_only_as_is FROM cd_loan_tapes_bce.lt002_instrument WHERE ref_date='2024-09-30' AND nome_perimetro='Individual Corporativo' AND segmento='ESTR' AND ambito='PM' AND entidade='00100' ) A  Inner join (SELECT instrmnt_id as instrmnt_id_, dt_strt_intrst_only as dt_strt_intrst_only_to_be FROM bu_loantape_work.lt002_instrument WHERE ref_date='2024-09-30' AND nome_perimetro='Individual Corporativo' AND segmento='ESTR' AND ambito='PM' AND entidade='00100' ) B ON instrmnt_id_as_is=instrmnt_id_to_be WHERE coalesce(cast(dt_strt_intrst_only_as_is AS string),'')&lt;&gt;coalesce(cast(dt_strt_intrst_only_to_be AS string),'') ) A </v>
      </c>
      <c r="O186" s="76" t="str">
        <f t="shared" si="29"/>
        <v>SELECT 'Validação de campos' as tipologia_teste, 'lt002_instrument' AS TABELA, 'dt_strt_intrst_only' AS CAMPO, '2024-09-30' as ref_date, coalesce(NUM_REG_DIF, 0) AS NUM_REG_DIF FROM (SELECT count(*) AS NUM_REG_DIF FROM (SELECT instrmnt_id as instrmnt_id_, dt_strt_intrst_only as dt_strt_intrst_only_as_is FROM cd_loan_tapes_bce.lt002_instrument WHERE ref_date='2024-09-30' AND nome_perimetro='Individual Corporativo' AND segmento='ESTR' AND ambito='PM' AND entidade='00100' ) A  Inner join (SELECT instrmnt_id as instrmnt_id_, dt_strt_intrst_only as dt_strt_intrst_only_to_be FROM bu_loantape_work.lt002_instrument WHERE ref_date='2024-09-30' AND nome_perimetro='Individual Corporativo' AND segmento='ESTR' AND ambito='PM' AND entidade='00100' ) B ON instrmnt_id_as_is=instrmnt_id_to_be WHERE coalesce(cast(dt_strt_intrst_only_as_is AS string),'')&lt;&gt;coalesce(cast(dt_strt_intrst_only_to_be AS string),'') ) A Union all</v>
      </c>
      <c r="P186" s="75">
        <f t="shared" si="30"/>
        <v>25</v>
      </c>
    </row>
    <row r="187" spans="2:16" s="63" customFormat="1" ht="18" customHeight="1">
      <c r="B187" s="75" t="s">
        <v>26</v>
      </c>
      <c r="C187" s="75" t="str">
        <f>_xlfn.CONCAT(Instruções!$D$13,".",VLOOKUP(B187,Instruções!$F$12:$H$17,2,0))</f>
        <v>cd_loan_tapes_bce.lt002_instrument</v>
      </c>
      <c r="D187" s="75" t="str">
        <f>_xlfn.CONCAT(Instruções!$D$14,".",VLOOKUP(B187,Instruções!$F$12:$H$17,3,0))</f>
        <v>bu_loantape_work.lt002_instrument</v>
      </c>
      <c r="E187" s="75" t="s">
        <v>226</v>
      </c>
      <c r="F187" s="75" t="str">
        <f t="shared" si="25"/>
        <v>dt_vltn_as_is</v>
      </c>
      <c r="G187" s="75" t="str">
        <f t="shared" si="26"/>
        <v>dt_vltn_to_be</v>
      </c>
      <c r="H187" s="75" t="str">
        <f>IF(VLOOKUP(B187,Instruções!$F$13:$J$17,5,0)="",
"(SELECT "&amp;VLOOKUP(B187,Instruções!$F$13:$J$17,4,0)&amp;" as "&amp;VLOOKUP(B187,Instruções!$F$13:$J$17,4,0)&amp;"_"&amp;$F$2&amp;", "&amp;E187&amp;" as "&amp;F187&amp;" FROM "&amp;C187&amp;" WHERE "&amp;Instruções!$D$20&amp;") A ",
"(SELECT "&amp;VLOOKUP(B187,Instruções!$F$13:$J$17,4,0)&amp;" as "&amp;VLOOKUP(B187,Instruções!$F$13:$J$17,4,0)&amp;"_"&amp;$F$2&amp;", "&amp;VLOOKUP(B187,Instruções!$F$13:$J$17,5,0)&amp;" as "&amp;VLOOKUP(B187,Instruções!$F$13:$J$17,5,0)&amp;"_"&amp;$F$2&amp;","&amp;E187&amp;" as "&amp;F187&amp;" FROM "&amp;C187&amp;" WHERE "&amp;Instruções!$D$20&amp;") A ")</f>
        <v xml:space="preserve">(SELECT instrmnt_id as instrmnt_id_, dt_vltn as dt_vltn_as_is FROM cd_loan_tapes_bce.lt002_instrument WHERE ref_date='2024-09-30' AND nome_perimetro='Individual Corporativo' AND segmento='ESTR' AND ambito='PM' AND entidade='00100' ) A </v>
      </c>
      <c r="I187" s="75" t="str">
        <f>IF(VLOOKUP(B187,Instruções!$F$13:$J$17,5,0)="",
"(SELECT "&amp;VLOOKUP(B187,Instruções!$F$13:$J$17,4,0)&amp;" as "&amp;VLOOKUP(B187,Instruções!$F$13:$J$17,4,0)&amp;"_"&amp;$G$2&amp;", "&amp;E187&amp;" as "&amp;G187&amp;" FROM "&amp;D187&amp;" WHERE "&amp;Instruções!$D$21&amp;") B ",
"(SELECT "&amp;VLOOKUP(B187,Instruções!$F$13:$J$17,4,0)&amp;" as "&amp;VLOOKUP(B187,Instruções!$F$13:$J$17,4,0)&amp;"_"&amp;$G$2&amp;", "&amp;VLOOKUP(B187,Instruções!$F$13:$J$17,5,0)&amp;" as "&amp;VLOOKUP(B187,Instruções!$F$13:$J$17,5,0)&amp;"_"&amp;$G$2&amp;","&amp;E187&amp;" as "&amp;G187&amp;" FROM "&amp;D187&amp;" WHERE "&amp;Instruções!$D$21&amp;") B ")</f>
        <v xml:space="preserve">(SELECT instrmnt_id as instrmnt_id_, dt_vltn as dt_vltn_to_be FROM bu_loantape_work.lt002_instrument WHERE ref_date='2024-09-30' AND nome_perimetro='Individual Corporativo' AND segmento='ESTR' AND ambito='PM' AND entidade='00100' ) B </v>
      </c>
      <c r="J187" s="75" t="str">
        <f>+IF(VLOOKUP(B187,Instruções!$F$13:$J$17,5,0)="", "ON "&amp;VLOOKUP(B187,Instruções!$F$13:$J$17,4,0)&amp;"_"&amp;$F$7&amp;"="&amp;VLOOKUP(B187,Instruções!$F$13:$J$17,4,0)&amp;"_"&amp;$G$7&amp;" ", "ON "&amp;VLOOKUP(B187,Instruções!$F$13:$J$17,4,0)&amp;"_"&amp;$F$7&amp;"="&amp;VLOOKUP(B187,Instruções!$F$13:$J$17,4,0)&amp;"_"&amp;$G$7&amp;" AND "&amp;VLOOKUP(B187,Instruções!$F$13:$J$17,5,0)&amp;"_"&amp;$F$7&amp;"="&amp;VLOOKUP(B187,Instruções!$F$13:$J$17,5,0)&amp;"_"&amp;$G$7&amp;" ")</f>
        <v xml:space="preserve">ON instrmnt_id_as_is=instrmnt_id_to_be </v>
      </c>
      <c r="K187" s="75" t="str">
        <f t="shared" si="27"/>
        <v xml:space="preserve">WHERE coalesce(cast(dt_vltn_as_is AS string),'')&lt;&gt;coalesce(cast(dt_vltn_to_be AS string),'') </v>
      </c>
      <c r="L187" s="75" t="str">
        <f t="shared" si="28"/>
        <v xml:space="preserve">SELECT count(*) AS NUM_REG_DIF FROM (SELECT instrmnt_id as instrmnt_id_, dt_vltn as dt_vltn_as_is FROM cd_loan_tapes_bce.lt002_instrument WHERE ref_date='2024-09-30' AND nome_perimetro='Individual Corporativo' AND segmento='ESTR' AND ambito='PM' AND entidade='00100' ) A  Inner join (SELECT instrmnt_id as instrmnt_id_, dt_vltn as dt_vltn_to_be FROM bu_loantape_work.lt002_instrument WHERE ref_date='2024-09-30' AND nome_perimetro='Individual Corporativo' AND segmento='ESTR' AND ambito='PM' AND entidade='00100' ) B ON instrmnt_id_as_is=instrmnt_id_to_be WHERE coalesce(cast(dt_vltn_as_is AS string),'')&lt;&gt;coalesce(cast(dt_vltn_to_be AS string),'') </v>
      </c>
      <c r="M187" s="75" t="s">
        <v>55</v>
      </c>
      <c r="N187" s="75" t="str">
        <f>"SELECT 'Validação de campos' as tipologia_teste, '"&amp;VLOOKUP(B187,Instruções!$F$13:$J$17,3,0)&amp;"' AS TABELA, '"&amp;E187&amp;"' AS CAMPO, '"&amp;Instruções!$D$15&amp;"' as ref_date, coalesce(NUM_REG_DIF, 0) AS NUM_REG_DIF FROM ("&amp;L187&amp;") A "</f>
        <v xml:space="preserve">SELECT 'Validação de campos' as tipologia_teste, 'lt002_instrument' AS TABELA, 'dt_vltn' AS CAMPO, '2024-09-30' as ref_date, coalesce(NUM_REG_DIF, 0) AS NUM_REG_DIF FROM (SELECT count(*) AS NUM_REG_DIF FROM (SELECT instrmnt_id as instrmnt_id_, dt_vltn as dt_vltn_as_is FROM cd_loan_tapes_bce.lt002_instrument WHERE ref_date='2024-09-30' AND nome_perimetro='Individual Corporativo' AND segmento='ESTR' AND ambito='PM' AND entidade='00100' ) A  Inner join (SELECT instrmnt_id as instrmnt_id_, dt_vltn as dt_vltn_to_be FROM bu_loantape_work.lt002_instrument WHERE ref_date='2024-09-30' AND nome_perimetro='Individual Corporativo' AND segmento='ESTR' AND ambito='PM' AND entidade='00100' ) B ON instrmnt_id_as_is=instrmnt_id_to_be WHERE coalesce(cast(dt_vltn_as_is AS string),'')&lt;&gt;coalesce(cast(dt_vltn_to_be AS string),'') ) A </v>
      </c>
      <c r="O187" s="76" t="str">
        <f t="shared" si="29"/>
        <v>SELECT 'Validação de campos' as tipologia_teste, 'lt002_instrument' AS TABELA, 'dt_vltn' AS CAMPO, '2024-09-30' as ref_date, coalesce(NUM_REG_DIF, 0) AS NUM_REG_DIF FROM (SELECT count(*) AS NUM_REG_DIF FROM (SELECT instrmnt_id as instrmnt_id_, dt_vltn as dt_vltn_as_is FROM cd_loan_tapes_bce.lt002_instrument WHERE ref_date='2024-09-30' AND nome_perimetro='Individual Corporativo' AND segmento='ESTR' AND ambito='PM' AND entidade='00100' ) A  Inner join (SELECT instrmnt_id as instrmnt_id_, dt_vltn as dt_vltn_to_be FROM bu_loantape_work.lt002_instrument WHERE ref_date='2024-09-30' AND nome_perimetro='Individual Corporativo' AND segmento='ESTR' AND ambito='PM' AND entidade='00100' ) B ON instrmnt_id_as_is=instrmnt_id_to_be WHERE coalesce(cast(dt_vltn_as_is AS string),'')&lt;&gt;coalesce(cast(dt_vltn_to_be AS string),'') ) A Union all</v>
      </c>
      <c r="P187" s="75">
        <f t="shared" si="30"/>
        <v>26</v>
      </c>
    </row>
    <row r="188" spans="2:16" s="63" customFormat="1" ht="18" customHeight="1">
      <c r="B188" s="75" t="s">
        <v>26</v>
      </c>
      <c r="C188" s="75" t="str">
        <f>_xlfn.CONCAT(Instruções!$D$13,".",VLOOKUP(B188,Instruções!$F$12:$H$17,2,0))</f>
        <v>cd_loan_tapes_bce.lt002_instrument</v>
      </c>
      <c r="D188" s="75" t="str">
        <f>_xlfn.CONCAT(Instruções!$D$14,".",VLOOKUP(B188,Instruções!$F$12:$H$17,3,0))</f>
        <v>bu_loantape_work.lt002_instrument</v>
      </c>
      <c r="E188" s="75" t="s">
        <v>227</v>
      </c>
      <c r="F188" s="75" t="str">
        <f t="shared" si="25"/>
        <v>ead_as_is</v>
      </c>
      <c r="G188" s="75" t="str">
        <f t="shared" si="26"/>
        <v>ead_to_be</v>
      </c>
      <c r="H188" s="75" t="str">
        <f>IF(VLOOKUP(B188,Instruções!$F$13:$J$17,5,0)="",
"(SELECT "&amp;VLOOKUP(B188,Instruções!$F$13:$J$17,4,0)&amp;" as "&amp;VLOOKUP(B188,Instruções!$F$13:$J$17,4,0)&amp;"_"&amp;$F$2&amp;", "&amp;E188&amp;" as "&amp;F188&amp;" FROM "&amp;C188&amp;" WHERE "&amp;Instruções!$D$20&amp;") A ",
"(SELECT "&amp;VLOOKUP(B188,Instruções!$F$13:$J$17,4,0)&amp;" as "&amp;VLOOKUP(B188,Instruções!$F$13:$J$17,4,0)&amp;"_"&amp;$F$2&amp;", "&amp;VLOOKUP(B188,Instruções!$F$13:$J$17,5,0)&amp;" as "&amp;VLOOKUP(B188,Instruções!$F$13:$J$17,5,0)&amp;"_"&amp;$F$2&amp;","&amp;E188&amp;" as "&amp;F188&amp;" FROM "&amp;C188&amp;" WHERE "&amp;Instruções!$D$20&amp;") A ")</f>
        <v xml:space="preserve">(SELECT instrmnt_id as instrmnt_id_, ead as ead_as_is FROM cd_loan_tapes_bce.lt002_instrument WHERE ref_date='2024-09-30' AND nome_perimetro='Individual Corporativo' AND segmento='ESTR' AND ambito='PM' AND entidade='00100' ) A </v>
      </c>
      <c r="I188" s="75" t="str">
        <f>IF(VLOOKUP(B188,Instruções!$F$13:$J$17,5,0)="",
"(SELECT "&amp;VLOOKUP(B188,Instruções!$F$13:$J$17,4,0)&amp;" as "&amp;VLOOKUP(B188,Instruções!$F$13:$J$17,4,0)&amp;"_"&amp;$G$2&amp;", "&amp;E188&amp;" as "&amp;G188&amp;" FROM "&amp;D188&amp;" WHERE "&amp;Instruções!$D$21&amp;") B ",
"(SELECT "&amp;VLOOKUP(B188,Instruções!$F$13:$J$17,4,0)&amp;" as "&amp;VLOOKUP(B188,Instruções!$F$13:$J$17,4,0)&amp;"_"&amp;$G$2&amp;", "&amp;VLOOKUP(B188,Instruções!$F$13:$J$17,5,0)&amp;" as "&amp;VLOOKUP(B188,Instruções!$F$13:$J$17,5,0)&amp;"_"&amp;$G$2&amp;","&amp;E188&amp;" as "&amp;G188&amp;" FROM "&amp;D188&amp;" WHERE "&amp;Instruções!$D$21&amp;") B ")</f>
        <v xml:space="preserve">(SELECT instrmnt_id as instrmnt_id_, ead as ead_to_be FROM bu_loantape_work.lt002_instrument WHERE ref_date='2024-09-30' AND nome_perimetro='Individual Corporativo' AND segmento='ESTR' AND ambito='PM' AND entidade='00100' ) B </v>
      </c>
      <c r="J188" s="75" t="str">
        <f>+IF(VLOOKUP(B188,Instruções!$F$13:$J$17,5,0)="", "ON "&amp;VLOOKUP(B188,Instruções!$F$13:$J$17,4,0)&amp;"_"&amp;$F$7&amp;"="&amp;VLOOKUP(B188,Instruções!$F$13:$J$17,4,0)&amp;"_"&amp;$G$7&amp;" ", "ON "&amp;VLOOKUP(B188,Instruções!$F$13:$J$17,4,0)&amp;"_"&amp;$F$7&amp;"="&amp;VLOOKUP(B188,Instruções!$F$13:$J$17,4,0)&amp;"_"&amp;$G$7&amp;" AND "&amp;VLOOKUP(B188,Instruções!$F$13:$J$17,5,0)&amp;"_"&amp;$F$7&amp;"="&amp;VLOOKUP(B188,Instruções!$F$13:$J$17,5,0)&amp;"_"&amp;$G$7&amp;" ")</f>
        <v xml:space="preserve">ON instrmnt_id_as_is=instrmnt_id_to_be </v>
      </c>
      <c r="K188" s="75" t="str">
        <f t="shared" si="27"/>
        <v xml:space="preserve">WHERE coalesce(cast(ead_as_is AS string),'')&lt;&gt;coalesce(cast(ead_to_be AS string),'') </v>
      </c>
      <c r="L188" s="75" t="str">
        <f t="shared" si="28"/>
        <v xml:space="preserve">SELECT count(*) AS NUM_REG_DIF FROM (SELECT instrmnt_id as instrmnt_id_, ead as ead_as_is FROM cd_loan_tapes_bce.lt002_instrument WHERE ref_date='2024-09-30' AND nome_perimetro='Individual Corporativo' AND segmento='ESTR' AND ambito='PM' AND entidade='00100' ) A  Inner join (SELECT instrmnt_id as instrmnt_id_, ead as ead_to_be FROM bu_loantape_work.lt002_instrument WHERE ref_date='2024-09-30' AND nome_perimetro='Individual Corporativo' AND segmento='ESTR' AND ambito='PM' AND entidade='00100' ) B ON instrmnt_id_as_is=instrmnt_id_to_be WHERE coalesce(cast(ead_as_is AS string),'')&lt;&gt;coalesce(cast(ead_to_be AS string),'') </v>
      </c>
      <c r="M188" s="75" t="s">
        <v>55</v>
      </c>
      <c r="N188" s="75" t="str">
        <f>"SELECT 'Validação de campos' as tipologia_teste, '"&amp;VLOOKUP(B188,Instruções!$F$13:$J$17,3,0)&amp;"' AS TABELA, '"&amp;E188&amp;"' AS CAMPO, '"&amp;Instruções!$D$15&amp;"' as ref_date, coalesce(NUM_REG_DIF, 0) AS NUM_REG_DIF FROM ("&amp;L188&amp;") A "</f>
        <v xml:space="preserve">SELECT 'Validação de campos' as tipologia_teste, 'lt002_instrument' AS TABELA, 'ead' AS CAMPO, '2024-09-30' as ref_date, coalesce(NUM_REG_DIF, 0) AS NUM_REG_DIF FROM (SELECT count(*) AS NUM_REG_DIF FROM (SELECT instrmnt_id as instrmnt_id_, ead as ead_as_is FROM cd_loan_tapes_bce.lt002_instrument WHERE ref_date='2024-09-30' AND nome_perimetro='Individual Corporativo' AND segmento='ESTR' AND ambito='PM' AND entidade='00100' ) A  Inner join (SELECT instrmnt_id as instrmnt_id_, ead as ead_to_be FROM bu_loantape_work.lt002_instrument WHERE ref_date='2024-09-30' AND nome_perimetro='Individual Corporativo' AND segmento='ESTR' AND ambito='PM' AND entidade='00100' ) B ON instrmnt_id_as_is=instrmnt_id_to_be WHERE coalesce(cast(ead_as_is AS string),'')&lt;&gt;coalesce(cast(ead_to_be AS string),'') ) A </v>
      </c>
      <c r="O188" s="76" t="str">
        <f t="shared" si="29"/>
        <v>SELECT 'Validação de campos' as tipologia_teste, 'lt002_instrument' AS TABELA, 'ead' AS CAMPO, '2024-09-30' as ref_date, coalesce(NUM_REG_DIF, 0) AS NUM_REG_DIF FROM (SELECT count(*) AS NUM_REG_DIF FROM (SELECT instrmnt_id as instrmnt_id_, ead as ead_as_is FROM cd_loan_tapes_bce.lt002_instrument WHERE ref_date='2024-09-30' AND nome_perimetro='Individual Corporativo' AND segmento='ESTR' AND ambito='PM' AND entidade='00100' ) A  Inner join (SELECT instrmnt_id as instrmnt_id_, ead as ead_to_be FROM bu_loantape_work.lt002_instrument WHERE ref_date='2024-09-30' AND nome_perimetro='Individual Corporativo' AND segmento='ESTR' AND ambito='PM' AND entidade='00100' ) B ON instrmnt_id_as_is=instrmnt_id_to_be WHERE coalesce(cast(ead_as_is AS string),'')&lt;&gt;coalesce(cast(ead_to_be AS string),'') ) A Union all</v>
      </c>
      <c r="P188" s="75">
        <f t="shared" si="30"/>
        <v>27</v>
      </c>
    </row>
    <row r="189" spans="2:16" s="63" customFormat="1" ht="18" customHeight="1">
      <c r="B189" s="75" t="s">
        <v>26</v>
      </c>
      <c r="C189" s="75" t="str">
        <f>_xlfn.CONCAT(Instruções!$D$13,".",VLOOKUP(B189,Instruções!$F$12:$H$17,2,0))</f>
        <v>cd_loan_tapes_bce.lt002_instrument</v>
      </c>
      <c r="D189" s="75" t="str">
        <f>_xlfn.CONCAT(Instruções!$D$14,".",VLOOKUP(B189,Instruções!$F$12:$H$17,3,0))</f>
        <v>bu_loantape_work.lt002_instrument</v>
      </c>
      <c r="E189" s="75" t="s">
        <v>228</v>
      </c>
      <c r="F189" s="75" t="str">
        <f t="shared" si="25"/>
        <v>eba_cmplnt_mrtr_st_c19_as_is</v>
      </c>
      <c r="G189" s="75" t="str">
        <f t="shared" si="26"/>
        <v>eba_cmplnt_mrtr_st_c19_to_be</v>
      </c>
      <c r="H189" s="75" t="str">
        <f>IF(VLOOKUP(B189,Instruções!$F$13:$J$17,5,0)="",
"(SELECT "&amp;VLOOKUP(B189,Instruções!$F$13:$J$17,4,0)&amp;" as "&amp;VLOOKUP(B189,Instruções!$F$13:$J$17,4,0)&amp;"_"&amp;$F$2&amp;", "&amp;E189&amp;" as "&amp;F189&amp;" FROM "&amp;C189&amp;" WHERE "&amp;Instruções!$D$20&amp;") A ",
"(SELECT "&amp;VLOOKUP(B189,Instruções!$F$13:$J$17,4,0)&amp;" as "&amp;VLOOKUP(B189,Instruções!$F$13:$J$17,4,0)&amp;"_"&amp;$F$2&amp;", "&amp;VLOOKUP(B189,Instruções!$F$13:$J$17,5,0)&amp;" as "&amp;VLOOKUP(B189,Instruções!$F$13:$J$17,5,0)&amp;"_"&amp;$F$2&amp;","&amp;E189&amp;" as "&amp;F189&amp;" FROM "&amp;C189&amp;" WHERE "&amp;Instruções!$D$20&amp;") A ")</f>
        <v xml:space="preserve">(SELECT instrmnt_id as instrmnt_id_, eba_cmplnt_mrtr_st_c19 as eba_cmplnt_mrtr_st_c19_as_is FROM cd_loan_tapes_bce.lt002_instrument WHERE ref_date='2024-09-30' AND nome_perimetro='Individual Corporativo' AND segmento='ESTR' AND ambito='PM' AND entidade='00100' ) A </v>
      </c>
      <c r="I189" s="75" t="str">
        <f>IF(VLOOKUP(B189,Instruções!$F$13:$J$17,5,0)="",
"(SELECT "&amp;VLOOKUP(B189,Instruções!$F$13:$J$17,4,0)&amp;" as "&amp;VLOOKUP(B189,Instruções!$F$13:$J$17,4,0)&amp;"_"&amp;$G$2&amp;", "&amp;E189&amp;" as "&amp;G189&amp;" FROM "&amp;D189&amp;" WHERE "&amp;Instruções!$D$21&amp;") B ",
"(SELECT "&amp;VLOOKUP(B189,Instruções!$F$13:$J$17,4,0)&amp;" as "&amp;VLOOKUP(B189,Instruções!$F$13:$J$17,4,0)&amp;"_"&amp;$G$2&amp;", "&amp;VLOOKUP(B189,Instruções!$F$13:$J$17,5,0)&amp;" as "&amp;VLOOKUP(B189,Instruções!$F$13:$J$17,5,0)&amp;"_"&amp;$G$2&amp;","&amp;E189&amp;" as "&amp;G189&amp;" FROM "&amp;D189&amp;" WHERE "&amp;Instruções!$D$21&amp;") B ")</f>
        <v xml:space="preserve">(SELECT instrmnt_id as instrmnt_id_, eba_cmplnt_mrtr_st_c19 as eba_cmplnt_mrtr_st_c19_to_be FROM bu_loantape_work.lt002_instrument WHERE ref_date='2024-09-30' AND nome_perimetro='Individual Corporativo' AND segmento='ESTR' AND ambito='PM' AND entidade='00100' ) B </v>
      </c>
      <c r="J189" s="75" t="str">
        <f>+IF(VLOOKUP(B189,Instruções!$F$13:$J$17,5,0)="", "ON "&amp;VLOOKUP(B189,Instruções!$F$13:$J$17,4,0)&amp;"_"&amp;$F$7&amp;"="&amp;VLOOKUP(B189,Instruções!$F$13:$J$17,4,0)&amp;"_"&amp;$G$7&amp;" ", "ON "&amp;VLOOKUP(B189,Instruções!$F$13:$J$17,4,0)&amp;"_"&amp;$F$7&amp;"="&amp;VLOOKUP(B189,Instruções!$F$13:$J$17,4,0)&amp;"_"&amp;$G$7&amp;" AND "&amp;VLOOKUP(B189,Instruções!$F$13:$J$17,5,0)&amp;"_"&amp;$F$7&amp;"="&amp;VLOOKUP(B189,Instruções!$F$13:$J$17,5,0)&amp;"_"&amp;$G$7&amp;" ")</f>
        <v xml:space="preserve">ON instrmnt_id_as_is=instrmnt_id_to_be </v>
      </c>
      <c r="K189" s="75" t="str">
        <f t="shared" si="27"/>
        <v xml:space="preserve">WHERE coalesce(cast(eba_cmplnt_mrtr_st_c19_as_is AS string),'')&lt;&gt;coalesce(cast(eba_cmplnt_mrtr_st_c19_to_be AS string),'') </v>
      </c>
      <c r="L189" s="75" t="str">
        <f t="shared" si="28"/>
        <v xml:space="preserve">SELECT count(*) AS NUM_REG_DIF FROM (SELECT instrmnt_id as instrmnt_id_, eba_cmplnt_mrtr_st_c19 as eba_cmplnt_mrtr_st_c19_as_is FROM cd_loan_tapes_bce.lt002_instrument WHERE ref_date='2024-09-30' AND nome_perimetro='Individual Corporativo' AND segmento='ESTR' AND ambito='PM' AND entidade='00100' ) A  Inner join (SELECT instrmnt_id as instrmnt_id_, eba_cmplnt_mrtr_st_c19 as eba_cmplnt_mrtr_st_c19_to_be FROM bu_loantape_work.lt002_instrument WHERE ref_date='2024-09-30' AND nome_perimetro='Individual Corporativo' AND segmento='ESTR' AND ambito='PM' AND entidade='00100' ) B ON instrmnt_id_as_is=instrmnt_id_to_be WHERE coalesce(cast(eba_cmplnt_mrtr_st_c19_as_is AS string),'')&lt;&gt;coalesce(cast(eba_cmplnt_mrtr_st_c19_to_be AS string),'') </v>
      </c>
      <c r="M189" s="75" t="s">
        <v>55</v>
      </c>
      <c r="N189" s="75" t="str">
        <f>"SELECT 'Validação de campos' as tipologia_teste, '"&amp;VLOOKUP(B189,Instruções!$F$13:$J$17,3,0)&amp;"' AS TABELA, '"&amp;E189&amp;"' AS CAMPO, '"&amp;Instruções!$D$15&amp;"' as ref_date, coalesce(NUM_REG_DIF, 0) AS NUM_REG_DIF FROM ("&amp;L189&amp;") A "</f>
        <v xml:space="preserve">SELECT 'Validação de campos' as tipologia_teste, 'lt002_instrument' AS TABELA, 'eba_cmplnt_mrtr_st_c19' AS CAMPO, '2024-09-30' as ref_date, coalesce(NUM_REG_DIF, 0) AS NUM_REG_DIF FROM (SELECT count(*) AS NUM_REG_DIF FROM (SELECT instrmnt_id as instrmnt_id_, eba_cmplnt_mrtr_st_c19 as eba_cmplnt_mrtr_st_c19_as_is FROM cd_loan_tapes_bce.lt002_instrument WHERE ref_date='2024-09-30' AND nome_perimetro='Individual Corporativo' AND segmento='ESTR' AND ambito='PM' AND entidade='00100' ) A  Inner join (SELECT instrmnt_id as instrmnt_id_, eba_cmplnt_mrtr_st_c19 as eba_cmplnt_mrtr_st_c19_to_be FROM bu_loantape_work.lt002_instrument WHERE ref_date='2024-09-30' AND nome_perimetro='Individual Corporativo' AND segmento='ESTR' AND ambito='PM' AND entidade='00100' ) B ON instrmnt_id_as_is=instrmnt_id_to_be WHERE coalesce(cast(eba_cmplnt_mrtr_st_c19_as_is AS string),'')&lt;&gt;coalesce(cast(eba_cmplnt_mrtr_st_c19_to_be AS string),'') ) A </v>
      </c>
      <c r="O189" s="76" t="str">
        <f t="shared" si="29"/>
        <v>SELECT 'Validação de campos' as tipologia_teste, 'lt002_instrument' AS TABELA, 'eba_cmplnt_mrtr_st_c19' AS CAMPO, '2024-09-30' as ref_date, coalesce(NUM_REG_DIF, 0) AS NUM_REG_DIF FROM (SELECT count(*) AS NUM_REG_DIF FROM (SELECT instrmnt_id as instrmnt_id_, eba_cmplnt_mrtr_st_c19 as eba_cmplnt_mrtr_st_c19_as_is FROM cd_loan_tapes_bce.lt002_instrument WHERE ref_date='2024-09-30' AND nome_perimetro='Individual Corporativo' AND segmento='ESTR' AND ambito='PM' AND entidade='00100' ) A  Inner join (SELECT instrmnt_id as instrmnt_id_, eba_cmplnt_mrtr_st_c19 as eba_cmplnt_mrtr_st_c19_to_be FROM bu_loantape_work.lt002_instrument WHERE ref_date='2024-09-30' AND nome_perimetro='Individual Corporativo' AND segmento='ESTR' AND ambito='PM' AND entidade='00100' ) B ON instrmnt_id_as_is=instrmnt_id_to_be WHERE coalesce(cast(eba_cmplnt_mrtr_st_c19_as_is AS string),'')&lt;&gt;coalesce(cast(eba_cmplnt_mrtr_st_c19_to_be AS string),'') ) A Union all</v>
      </c>
      <c r="P189" s="75">
        <f t="shared" si="30"/>
        <v>28</v>
      </c>
    </row>
    <row r="190" spans="2:16" s="63" customFormat="1" ht="18" customHeight="1">
      <c r="B190" s="75" t="s">
        <v>26</v>
      </c>
      <c r="C190" s="75" t="str">
        <f>_xlfn.CONCAT(Instruções!$D$13,".",VLOOKUP(B190,Instruções!$F$12:$H$17,2,0))</f>
        <v>cd_loan_tapes_bce.lt002_instrument</v>
      </c>
      <c r="D190" s="75" t="str">
        <f>_xlfn.CONCAT(Instruções!$D$14,".",VLOOKUP(B190,Instruções!$F$12:$H$17,3,0))</f>
        <v>bu_loantape_work.lt002_instrument</v>
      </c>
      <c r="E190" s="75" t="s">
        <v>229</v>
      </c>
      <c r="F190" s="75" t="str">
        <f t="shared" si="25"/>
        <v>eir_as_is</v>
      </c>
      <c r="G190" s="75" t="str">
        <f t="shared" si="26"/>
        <v>eir_to_be</v>
      </c>
      <c r="H190" s="75" t="str">
        <f>IF(VLOOKUP(B190,Instruções!$F$13:$J$17,5,0)="",
"(SELECT "&amp;VLOOKUP(B190,Instruções!$F$13:$J$17,4,0)&amp;" as "&amp;VLOOKUP(B190,Instruções!$F$13:$J$17,4,0)&amp;"_"&amp;$F$2&amp;", "&amp;E190&amp;" as "&amp;F190&amp;" FROM "&amp;C190&amp;" WHERE "&amp;Instruções!$D$20&amp;") A ",
"(SELECT "&amp;VLOOKUP(B190,Instruções!$F$13:$J$17,4,0)&amp;" as "&amp;VLOOKUP(B190,Instruções!$F$13:$J$17,4,0)&amp;"_"&amp;$F$2&amp;", "&amp;VLOOKUP(B190,Instruções!$F$13:$J$17,5,0)&amp;" as "&amp;VLOOKUP(B190,Instruções!$F$13:$J$17,5,0)&amp;"_"&amp;$F$2&amp;","&amp;E190&amp;" as "&amp;F190&amp;" FROM "&amp;C190&amp;" WHERE "&amp;Instruções!$D$20&amp;") A ")</f>
        <v xml:space="preserve">(SELECT instrmnt_id as instrmnt_id_, eir as eir_as_is FROM cd_loan_tapes_bce.lt002_instrument WHERE ref_date='2024-09-30' AND nome_perimetro='Individual Corporativo' AND segmento='ESTR' AND ambito='PM' AND entidade='00100' ) A </v>
      </c>
      <c r="I190" s="75" t="str">
        <f>IF(VLOOKUP(B190,Instruções!$F$13:$J$17,5,0)="",
"(SELECT "&amp;VLOOKUP(B190,Instruções!$F$13:$J$17,4,0)&amp;" as "&amp;VLOOKUP(B190,Instruções!$F$13:$J$17,4,0)&amp;"_"&amp;$G$2&amp;", "&amp;E190&amp;" as "&amp;G190&amp;" FROM "&amp;D190&amp;" WHERE "&amp;Instruções!$D$21&amp;") B ",
"(SELECT "&amp;VLOOKUP(B190,Instruções!$F$13:$J$17,4,0)&amp;" as "&amp;VLOOKUP(B190,Instruções!$F$13:$J$17,4,0)&amp;"_"&amp;$G$2&amp;", "&amp;VLOOKUP(B190,Instruções!$F$13:$J$17,5,0)&amp;" as "&amp;VLOOKUP(B190,Instruções!$F$13:$J$17,5,0)&amp;"_"&amp;$G$2&amp;","&amp;E190&amp;" as "&amp;G190&amp;" FROM "&amp;D190&amp;" WHERE "&amp;Instruções!$D$21&amp;") B ")</f>
        <v xml:space="preserve">(SELECT instrmnt_id as instrmnt_id_, eir as eir_to_be FROM bu_loantape_work.lt002_instrument WHERE ref_date='2024-09-30' AND nome_perimetro='Individual Corporativo' AND segmento='ESTR' AND ambito='PM' AND entidade='00100' ) B </v>
      </c>
      <c r="J190" s="75" t="str">
        <f>+IF(VLOOKUP(B190,Instruções!$F$13:$J$17,5,0)="", "ON "&amp;VLOOKUP(B190,Instruções!$F$13:$J$17,4,0)&amp;"_"&amp;$F$7&amp;"="&amp;VLOOKUP(B190,Instruções!$F$13:$J$17,4,0)&amp;"_"&amp;$G$7&amp;" ", "ON "&amp;VLOOKUP(B190,Instruções!$F$13:$J$17,4,0)&amp;"_"&amp;$F$7&amp;"="&amp;VLOOKUP(B190,Instruções!$F$13:$J$17,4,0)&amp;"_"&amp;$G$7&amp;" AND "&amp;VLOOKUP(B190,Instruções!$F$13:$J$17,5,0)&amp;"_"&amp;$F$7&amp;"="&amp;VLOOKUP(B190,Instruções!$F$13:$J$17,5,0)&amp;"_"&amp;$G$7&amp;" ")</f>
        <v xml:space="preserve">ON instrmnt_id_as_is=instrmnt_id_to_be </v>
      </c>
      <c r="K190" s="75" t="str">
        <f t="shared" si="27"/>
        <v xml:space="preserve">WHERE coalesce(cast(eir_as_is AS string),'')&lt;&gt;coalesce(cast(eir_to_be AS string),'') </v>
      </c>
      <c r="L190" s="75" t="str">
        <f t="shared" si="28"/>
        <v xml:space="preserve">SELECT count(*) AS NUM_REG_DIF FROM (SELECT instrmnt_id as instrmnt_id_, eir as eir_as_is FROM cd_loan_tapes_bce.lt002_instrument WHERE ref_date='2024-09-30' AND nome_perimetro='Individual Corporativo' AND segmento='ESTR' AND ambito='PM' AND entidade='00100' ) A  Inner join (SELECT instrmnt_id as instrmnt_id_, eir as eir_to_be FROM bu_loantape_work.lt002_instrument WHERE ref_date='2024-09-30' AND nome_perimetro='Individual Corporativo' AND segmento='ESTR' AND ambito='PM' AND entidade='00100' ) B ON instrmnt_id_as_is=instrmnt_id_to_be WHERE coalesce(cast(eir_as_is AS string),'')&lt;&gt;coalesce(cast(eir_to_be AS string),'') </v>
      </c>
      <c r="M190" s="75" t="s">
        <v>55</v>
      </c>
      <c r="N190" s="75" t="str">
        <f>"SELECT 'Validação de campos' as tipologia_teste, '"&amp;VLOOKUP(B190,Instruções!$F$13:$J$17,3,0)&amp;"' AS TABELA, '"&amp;E190&amp;"' AS CAMPO, '"&amp;Instruções!$D$15&amp;"' as ref_date, coalesce(NUM_REG_DIF, 0) AS NUM_REG_DIF FROM ("&amp;L190&amp;") A "</f>
        <v xml:space="preserve">SELECT 'Validação de campos' as tipologia_teste, 'lt002_instrument' AS TABELA, 'eir' AS CAMPO, '2024-09-30' as ref_date, coalesce(NUM_REG_DIF, 0) AS NUM_REG_DIF FROM (SELECT count(*) AS NUM_REG_DIF FROM (SELECT instrmnt_id as instrmnt_id_, eir as eir_as_is FROM cd_loan_tapes_bce.lt002_instrument WHERE ref_date='2024-09-30' AND nome_perimetro='Individual Corporativo' AND segmento='ESTR' AND ambito='PM' AND entidade='00100' ) A  Inner join (SELECT instrmnt_id as instrmnt_id_, eir as eir_to_be FROM bu_loantape_work.lt002_instrument WHERE ref_date='2024-09-30' AND nome_perimetro='Individual Corporativo' AND segmento='ESTR' AND ambito='PM' AND entidade='00100' ) B ON instrmnt_id_as_is=instrmnt_id_to_be WHERE coalesce(cast(eir_as_is AS string),'')&lt;&gt;coalesce(cast(eir_to_be AS string),'') ) A </v>
      </c>
      <c r="O190" s="76" t="str">
        <f t="shared" si="29"/>
        <v>SELECT 'Validação de campos' as tipologia_teste, 'lt002_instrument' AS TABELA, 'eir' AS CAMPO, '2024-09-30' as ref_date, coalesce(NUM_REG_DIF, 0) AS NUM_REG_DIF FROM (SELECT count(*) AS NUM_REG_DIF FROM (SELECT instrmnt_id as instrmnt_id_, eir as eir_as_is FROM cd_loan_tapes_bce.lt002_instrument WHERE ref_date='2024-09-30' AND nome_perimetro='Individual Corporativo' AND segmento='ESTR' AND ambito='PM' AND entidade='00100' ) A  Inner join (SELECT instrmnt_id as instrmnt_id_, eir as eir_to_be FROM bu_loantape_work.lt002_instrument WHERE ref_date='2024-09-30' AND nome_perimetro='Individual Corporativo' AND segmento='ESTR' AND ambito='PM' AND entidade='00100' ) B ON instrmnt_id_as_is=instrmnt_id_to_be WHERE coalesce(cast(eir_as_is AS string),'')&lt;&gt;coalesce(cast(eir_to_be AS string),'') ) A Union all</v>
      </c>
      <c r="P190" s="75">
        <f t="shared" si="30"/>
        <v>29</v>
      </c>
    </row>
    <row r="191" spans="2:16" s="63" customFormat="1" ht="18" customHeight="1">
      <c r="B191" s="75" t="s">
        <v>26</v>
      </c>
      <c r="C191" s="75" t="str">
        <f>_xlfn.CONCAT(Instruções!$D$13,".",VLOOKUP(B191,Instruções!$F$12:$H$17,2,0))</f>
        <v>cd_loan_tapes_bce.lt002_instrument</v>
      </c>
      <c r="D191" s="75" t="str">
        <f>_xlfn.CONCAT(Instruções!$D$14,".",VLOOKUP(B191,Instruções!$F$12:$H$17,3,0))</f>
        <v>bu_loantape_work.lt002_instrument</v>
      </c>
      <c r="E191" s="75" t="s">
        <v>230</v>
      </c>
      <c r="F191" s="75" t="str">
        <f t="shared" si="25"/>
        <v>eir_incptn_as_is</v>
      </c>
      <c r="G191" s="75" t="str">
        <f t="shared" si="26"/>
        <v>eir_incptn_to_be</v>
      </c>
      <c r="H191" s="75" t="str">
        <f>IF(VLOOKUP(B191,Instruções!$F$13:$J$17,5,0)="",
"(SELECT "&amp;VLOOKUP(B191,Instruções!$F$13:$J$17,4,0)&amp;" as "&amp;VLOOKUP(B191,Instruções!$F$13:$J$17,4,0)&amp;"_"&amp;$F$2&amp;", "&amp;E191&amp;" as "&amp;F191&amp;" FROM "&amp;C191&amp;" WHERE "&amp;Instruções!$D$20&amp;") A ",
"(SELECT "&amp;VLOOKUP(B191,Instruções!$F$13:$J$17,4,0)&amp;" as "&amp;VLOOKUP(B191,Instruções!$F$13:$J$17,4,0)&amp;"_"&amp;$F$2&amp;", "&amp;VLOOKUP(B191,Instruções!$F$13:$J$17,5,0)&amp;" as "&amp;VLOOKUP(B191,Instruções!$F$13:$J$17,5,0)&amp;"_"&amp;$F$2&amp;","&amp;E191&amp;" as "&amp;F191&amp;" FROM "&amp;C191&amp;" WHERE "&amp;Instruções!$D$20&amp;") A ")</f>
        <v xml:space="preserve">(SELECT instrmnt_id as instrmnt_id_, eir_incptn as eir_incptn_as_is FROM cd_loan_tapes_bce.lt002_instrument WHERE ref_date='2024-09-30' AND nome_perimetro='Individual Corporativo' AND segmento='ESTR' AND ambito='PM' AND entidade='00100' ) A </v>
      </c>
      <c r="I191" s="75" t="str">
        <f>IF(VLOOKUP(B191,Instruções!$F$13:$J$17,5,0)="",
"(SELECT "&amp;VLOOKUP(B191,Instruções!$F$13:$J$17,4,0)&amp;" as "&amp;VLOOKUP(B191,Instruções!$F$13:$J$17,4,0)&amp;"_"&amp;$G$2&amp;", "&amp;E191&amp;" as "&amp;G191&amp;" FROM "&amp;D191&amp;" WHERE "&amp;Instruções!$D$21&amp;") B ",
"(SELECT "&amp;VLOOKUP(B191,Instruções!$F$13:$J$17,4,0)&amp;" as "&amp;VLOOKUP(B191,Instruções!$F$13:$J$17,4,0)&amp;"_"&amp;$G$2&amp;", "&amp;VLOOKUP(B191,Instruções!$F$13:$J$17,5,0)&amp;" as "&amp;VLOOKUP(B191,Instruções!$F$13:$J$17,5,0)&amp;"_"&amp;$G$2&amp;","&amp;E191&amp;" as "&amp;G191&amp;" FROM "&amp;D191&amp;" WHERE "&amp;Instruções!$D$21&amp;") B ")</f>
        <v xml:space="preserve">(SELECT instrmnt_id as instrmnt_id_, eir_incptn as eir_incptn_to_be FROM bu_loantape_work.lt002_instrument WHERE ref_date='2024-09-30' AND nome_perimetro='Individual Corporativo' AND segmento='ESTR' AND ambito='PM' AND entidade='00100' ) B </v>
      </c>
      <c r="J191" s="75" t="str">
        <f>+IF(VLOOKUP(B191,Instruções!$F$13:$J$17,5,0)="", "ON "&amp;VLOOKUP(B191,Instruções!$F$13:$J$17,4,0)&amp;"_"&amp;$F$7&amp;"="&amp;VLOOKUP(B191,Instruções!$F$13:$J$17,4,0)&amp;"_"&amp;$G$7&amp;" ", "ON "&amp;VLOOKUP(B191,Instruções!$F$13:$J$17,4,0)&amp;"_"&amp;$F$7&amp;"="&amp;VLOOKUP(B191,Instruções!$F$13:$J$17,4,0)&amp;"_"&amp;$G$7&amp;" AND "&amp;VLOOKUP(B191,Instruções!$F$13:$J$17,5,0)&amp;"_"&amp;$F$7&amp;"="&amp;VLOOKUP(B191,Instruções!$F$13:$J$17,5,0)&amp;"_"&amp;$G$7&amp;" ")</f>
        <v xml:space="preserve">ON instrmnt_id_as_is=instrmnt_id_to_be </v>
      </c>
      <c r="K191" s="75" t="str">
        <f t="shared" si="27"/>
        <v xml:space="preserve">WHERE coalesce(cast(eir_incptn_as_is AS string),'')&lt;&gt;coalesce(cast(eir_incptn_to_be AS string),'') </v>
      </c>
      <c r="L191" s="75" t="str">
        <f t="shared" si="28"/>
        <v xml:space="preserve">SELECT count(*) AS NUM_REG_DIF FROM (SELECT instrmnt_id as instrmnt_id_, eir_incptn as eir_incptn_as_is FROM cd_loan_tapes_bce.lt002_instrument WHERE ref_date='2024-09-30' AND nome_perimetro='Individual Corporativo' AND segmento='ESTR' AND ambito='PM' AND entidade='00100' ) A  Inner join (SELECT instrmnt_id as instrmnt_id_, eir_incptn as eir_incptn_to_be FROM bu_loantape_work.lt002_instrument WHERE ref_date='2024-09-30' AND nome_perimetro='Individual Corporativo' AND segmento='ESTR' AND ambito='PM' AND entidade='00100' ) B ON instrmnt_id_as_is=instrmnt_id_to_be WHERE coalesce(cast(eir_incptn_as_is AS string),'')&lt;&gt;coalesce(cast(eir_incptn_to_be AS string),'') </v>
      </c>
      <c r="M191" s="75" t="s">
        <v>55</v>
      </c>
      <c r="N191" s="75" t="str">
        <f>"SELECT 'Validação de campos' as tipologia_teste, '"&amp;VLOOKUP(B191,Instruções!$F$13:$J$17,3,0)&amp;"' AS TABELA, '"&amp;E191&amp;"' AS CAMPO, '"&amp;Instruções!$D$15&amp;"' as ref_date, coalesce(NUM_REG_DIF, 0) AS NUM_REG_DIF FROM ("&amp;L191&amp;") A "</f>
        <v xml:space="preserve">SELECT 'Validação de campos' as tipologia_teste, 'lt002_instrument' AS TABELA, 'eir_incptn' AS CAMPO, '2024-09-30' as ref_date, coalesce(NUM_REG_DIF, 0) AS NUM_REG_DIF FROM (SELECT count(*) AS NUM_REG_DIF FROM (SELECT instrmnt_id as instrmnt_id_, eir_incptn as eir_incptn_as_is FROM cd_loan_tapes_bce.lt002_instrument WHERE ref_date='2024-09-30' AND nome_perimetro='Individual Corporativo' AND segmento='ESTR' AND ambito='PM' AND entidade='00100' ) A  Inner join (SELECT instrmnt_id as instrmnt_id_, eir_incptn as eir_incptn_to_be FROM bu_loantape_work.lt002_instrument WHERE ref_date='2024-09-30' AND nome_perimetro='Individual Corporativo' AND segmento='ESTR' AND ambito='PM' AND entidade='00100' ) B ON instrmnt_id_as_is=instrmnt_id_to_be WHERE coalesce(cast(eir_incptn_as_is AS string),'')&lt;&gt;coalesce(cast(eir_incptn_to_be AS string),'') ) A </v>
      </c>
      <c r="O191" s="76" t="str">
        <f t="shared" si="29"/>
        <v>SELECT 'Validação de campos' as tipologia_teste, 'lt002_instrument' AS TABELA, 'eir_incptn' AS CAMPO, '2024-09-30' as ref_date, coalesce(NUM_REG_DIF, 0) AS NUM_REG_DIF FROM (SELECT count(*) AS NUM_REG_DIF FROM (SELECT instrmnt_id as instrmnt_id_, eir_incptn as eir_incptn_as_is FROM cd_loan_tapes_bce.lt002_instrument WHERE ref_date='2024-09-30' AND nome_perimetro='Individual Corporativo' AND segmento='ESTR' AND ambito='PM' AND entidade='00100' ) A  Inner join (SELECT instrmnt_id as instrmnt_id_, eir_incptn as eir_incptn_to_be FROM bu_loantape_work.lt002_instrument WHERE ref_date='2024-09-30' AND nome_perimetro='Individual Corporativo' AND segmento='ESTR' AND ambito='PM' AND entidade='00100' ) B ON instrmnt_id_as_is=instrmnt_id_to_be WHERE coalesce(cast(eir_incptn_as_is AS string),'')&lt;&gt;coalesce(cast(eir_incptn_to_be AS string),'') ) A Union all</v>
      </c>
      <c r="P191" s="75">
        <f t="shared" si="30"/>
        <v>30</v>
      </c>
    </row>
    <row r="192" spans="2:16" s="63" customFormat="1" ht="18" customHeight="1">
      <c r="B192" s="75" t="s">
        <v>26</v>
      </c>
      <c r="C192" s="75" t="str">
        <f>_xlfn.CONCAT(Instruções!$D$13,".",VLOOKUP(B192,Instruções!$F$12:$H$17,2,0))</f>
        <v>cd_loan_tapes_bce.lt002_instrument</v>
      </c>
      <c r="D192" s="75" t="str">
        <f>_xlfn.CONCAT(Instruções!$D$14,".",VLOOKUP(B192,Instruções!$F$12:$H$17,3,0))</f>
        <v>bu_loantape_work.lt002_instrument</v>
      </c>
      <c r="E192" s="75" t="s">
        <v>231</v>
      </c>
      <c r="F192" s="75" t="str">
        <f t="shared" si="25"/>
        <v>elgblty_ecb_as_is</v>
      </c>
      <c r="G192" s="75" t="str">
        <f t="shared" si="26"/>
        <v>elgblty_ecb_to_be</v>
      </c>
      <c r="H192" s="75" t="str">
        <f>IF(VLOOKUP(B192,Instruções!$F$13:$J$17,5,0)="",
"(SELECT "&amp;VLOOKUP(B192,Instruções!$F$13:$J$17,4,0)&amp;" as "&amp;VLOOKUP(B192,Instruções!$F$13:$J$17,4,0)&amp;"_"&amp;$F$2&amp;", "&amp;E192&amp;" as "&amp;F192&amp;" FROM "&amp;C192&amp;" WHERE "&amp;Instruções!$D$20&amp;") A ",
"(SELECT "&amp;VLOOKUP(B192,Instruções!$F$13:$J$17,4,0)&amp;" as "&amp;VLOOKUP(B192,Instruções!$F$13:$J$17,4,0)&amp;"_"&amp;$F$2&amp;", "&amp;VLOOKUP(B192,Instruções!$F$13:$J$17,5,0)&amp;" as "&amp;VLOOKUP(B192,Instruções!$F$13:$J$17,5,0)&amp;"_"&amp;$F$2&amp;","&amp;E192&amp;" as "&amp;F192&amp;" FROM "&amp;C192&amp;" WHERE "&amp;Instruções!$D$20&amp;") A ")</f>
        <v xml:space="preserve">(SELECT instrmnt_id as instrmnt_id_, elgblty_ecb as elgblty_ecb_as_is FROM cd_loan_tapes_bce.lt002_instrument WHERE ref_date='2024-09-30' AND nome_perimetro='Individual Corporativo' AND segmento='ESTR' AND ambito='PM' AND entidade='00100' ) A </v>
      </c>
      <c r="I192" s="75" t="str">
        <f>IF(VLOOKUP(B192,Instruções!$F$13:$J$17,5,0)="",
"(SELECT "&amp;VLOOKUP(B192,Instruções!$F$13:$J$17,4,0)&amp;" as "&amp;VLOOKUP(B192,Instruções!$F$13:$J$17,4,0)&amp;"_"&amp;$G$2&amp;", "&amp;E192&amp;" as "&amp;G192&amp;" FROM "&amp;D192&amp;" WHERE "&amp;Instruções!$D$21&amp;") B ",
"(SELECT "&amp;VLOOKUP(B192,Instruções!$F$13:$J$17,4,0)&amp;" as "&amp;VLOOKUP(B192,Instruções!$F$13:$J$17,4,0)&amp;"_"&amp;$G$2&amp;", "&amp;VLOOKUP(B192,Instruções!$F$13:$J$17,5,0)&amp;" as "&amp;VLOOKUP(B192,Instruções!$F$13:$J$17,5,0)&amp;"_"&amp;$G$2&amp;","&amp;E192&amp;" as "&amp;G192&amp;" FROM "&amp;D192&amp;" WHERE "&amp;Instruções!$D$21&amp;") B ")</f>
        <v xml:space="preserve">(SELECT instrmnt_id as instrmnt_id_, elgblty_ecb as elgblty_ecb_to_be FROM bu_loantape_work.lt002_instrument WHERE ref_date='2024-09-30' AND nome_perimetro='Individual Corporativo' AND segmento='ESTR' AND ambito='PM' AND entidade='00100' ) B </v>
      </c>
      <c r="J192" s="75" t="str">
        <f>+IF(VLOOKUP(B192,Instruções!$F$13:$J$17,5,0)="", "ON "&amp;VLOOKUP(B192,Instruções!$F$13:$J$17,4,0)&amp;"_"&amp;$F$7&amp;"="&amp;VLOOKUP(B192,Instruções!$F$13:$J$17,4,0)&amp;"_"&amp;$G$7&amp;" ", "ON "&amp;VLOOKUP(B192,Instruções!$F$13:$J$17,4,0)&amp;"_"&amp;$F$7&amp;"="&amp;VLOOKUP(B192,Instruções!$F$13:$J$17,4,0)&amp;"_"&amp;$G$7&amp;" AND "&amp;VLOOKUP(B192,Instruções!$F$13:$J$17,5,0)&amp;"_"&amp;$F$7&amp;"="&amp;VLOOKUP(B192,Instruções!$F$13:$J$17,5,0)&amp;"_"&amp;$G$7&amp;" ")</f>
        <v xml:space="preserve">ON instrmnt_id_as_is=instrmnt_id_to_be </v>
      </c>
      <c r="K192" s="75" t="str">
        <f t="shared" si="27"/>
        <v xml:space="preserve">WHERE coalesce(cast(elgblty_ecb_as_is AS string),'')&lt;&gt;coalesce(cast(elgblty_ecb_to_be AS string),'') </v>
      </c>
      <c r="L192" s="75" t="str">
        <f t="shared" si="28"/>
        <v xml:space="preserve">SELECT count(*) AS NUM_REG_DIF FROM (SELECT instrmnt_id as instrmnt_id_, elgblty_ecb as elgblty_ecb_as_is FROM cd_loan_tapes_bce.lt002_instrument WHERE ref_date='2024-09-30' AND nome_perimetro='Individual Corporativo' AND segmento='ESTR' AND ambito='PM' AND entidade='00100' ) A  Inner join (SELECT instrmnt_id as instrmnt_id_, elgblty_ecb as elgblty_ecb_to_be FROM bu_loantape_work.lt002_instrument WHERE ref_date='2024-09-30' AND nome_perimetro='Individual Corporativo' AND segmento='ESTR' AND ambito='PM' AND entidade='00100' ) B ON instrmnt_id_as_is=instrmnt_id_to_be WHERE coalesce(cast(elgblty_ecb_as_is AS string),'')&lt;&gt;coalesce(cast(elgblty_ecb_to_be AS string),'') </v>
      </c>
      <c r="M192" s="75" t="s">
        <v>55</v>
      </c>
      <c r="N192" s="75" t="str">
        <f>"SELECT 'Validação de campos' as tipologia_teste, '"&amp;VLOOKUP(B192,Instruções!$F$13:$J$17,3,0)&amp;"' AS TABELA, '"&amp;E192&amp;"' AS CAMPO, '"&amp;Instruções!$D$15&amp;"' as ref_date, coalesce(NUM_REG_DIF, 0) AS NUM_REG_DIF FROM ("&amp;L192&amp;") A "</f>
        <v xml:space="preserve">SELECT 'Validação de campos' as tipologia_teste, 'lt002_instrument' AS TABELA, 'elgblty_ecb' AS CAMPO, '2024-09-30' as ref_date, coalesce(NUM_REG_DIF, 0) AS NUM_REG_DIF FROM (SELECT count(*) AS NUM_REG_DIF FROM (SELECT instrmnt_id as instrmnt_id_, elgblty_ecb as elgblty_ecb_as_is FROM cd_loan_tapes_bce.lt002_instrument WHERE ref_date='2024-09-30' AND nome_perimetro='Individual Corporativo' AND segmento='ESTR' AND ambito='PM' AND entidade='00100' ) A  Inner join (SELECT instrmnt_id as instrmnt_id_, elgblty_ecb as elgblty_ecb_to_be FROM bu_loantape_work.lt002_instrument WHERE ref_date='2024-09-30' AND nome_perimetro='Individual Corporativo' AND segmento='ESTR' AND ambito='PM' AND entidade='00100' ) B ON instrmnt_id_as_is=instrmnt_id_to_be WHERE coalesce(cast(elgblty_ecb_as_is AS string),'')&lt;&gt;coalesce(cast(elgblty_ecb_to_be AS string),'') ) A </v>
      </c>
      <c r="O192" s="76" t="str">
        <f t="shared" si="29"/>
        <v>SELECT 'Validação de campos' as tipologia_teste, 'lt002_instrument' AS TABELA, 'elgblty_ecb' AS CAMPO, '2024-09-30' as ref_date, coalesce(NUM_REG_DIF, 0) AS NUM_REG_DIF FROM (SELECT count(*) AS NUM_REG_DIF FROM (SELECT instrmnt_id as instrmnt_id_, elgblty_ecb as elgblty_ecb_as_is FROM cd_loan_tapes_bce.lt002_instrument WHERE ref_date='2024-09-30' AND nome_perimetro='Individual Corporativo' AND segmento='ESTR' AND ambito='PM' AND entidade='00100' ) A  Inner join (SELECT instrmnt_id as instrmnt_id_, elgblty_ecb as elgblty_ecb_to_be FROM bu_loantape_work.lt002_instrument WHERE ref_date='2024-09-30' AND nome_perimetro='Individual Corporativo' AND segmento='ESTR' AND ambito='PM' AND entidade='00100' ) B ON instrmnt_id_as_is=instrmnt_id_to_be WHERE coalesce(cast(elgblty_ecb_as_is AS string),'')&lt;&gt;coalesce(cast(elgblty_ecb_to_be AS string),'') ) A Union all</v>
      </c>
      <c r="P192" s="75">
        <f t="shared" ref="P192:P211" si="31">P191+1</f>
        <v>31</v>
      </c>
    </row>
    <row r="193" spans="2:16" s="63" customFormat="1" ht="18" customHeight="1">
      <c r="B193" s="75" t="s">
        <v>26</v>
      </c>
      <c r="C193" s="75" t="str">
        <f>_xlfn.CONCAT(Instruções!$D$13,".",VLOOKUP(B193,Instruções!$F$12:$H$17,2,0))</f>
        <v>cd_loan_tapes_bce.lt002_instrument</v>
      </c>
      <c r="D193" s="75" t="str">
        <f>_xlfn.CONCAT(Instruções!$D$14,".",VLOOKUP(B193,Instruções!$F$12:$H$17,3,0))</f>
        <v>bu_loantape_work.lt002_instrument</v>
      </c>
      <c r="E193" s="75" t="s">
        <v>232</v>
      </c>
      <c r="F193" s="75" t="str">
        <f t="shared" si="25"/>
        <v>excldd_lf_as_is</v>
      </c>
      <c r="G193" s="75" t="str">
        <f t="shared" si="26"/>
        <v>excldd_lf_to_be</v>
      </c>
      <c r="H193" s="75" t="str">
        <f>IF(VLOOKUP(B193,Instruções!$F$13:$J$17,5,0)="",
"(SELECT "&amp;VLOOKUP(B193,Instruções!$F$13:$J$17,4,0)&amp;" as "&amp;VLOOKUP(B193,Instruções!$F$13:$J$17,4,0)&amp;"_"&amp;$F$2&amp;", "&amp;E193&amp;" as "&amp;F193&amp;" FROM "&amp;C193&amp;" WHERE "&amp;Instruções!$D$20&amp;") A ",
"(SELECT "&amp;VLOOKUP(B193,Instruções!$F$13:$J$17,4,0)&amp;" as "&amp;VLOOKUP(B193,Instruções!$F$13:$J$17,4,0)&amp;"_"&amp;$F$2&amp;", "&amp;VLOOKUP(B193,Instruções!$F$13:$J$17,5,0)&amp;" as "&amp;VLOOKUP(B193,Instruções!$F$13:$J$17,5,0)&amp;"_"&amp;$F$2&amp;","&amp;E193&amp;" as "&amp;F193&amp;" FROM "&amp;C193&amp;" WHERE "&amp;Instruções!$D$20&amp;") A ")</f>
        <v xml:space="preserve">(SELECT instrmnt_id as instrmnt_id_, excldd_lf as excldd_lf_as_is FROM cd_loan_tapes_bce.lt002_instrument WHERE ref_date='2024-09-30' AND nome_perimetro='Individual Corporativo' AND segmento='ESTR' AND ambito='PM' AND entidade='00100' ) A </v>
      </c>
      <c r="I193" s="75" t="str">
        <f>IF(VLOOKUP(B193,Instruções!$F$13:$J$17,5,0)="",
"(SELECT "&amp;VLOOKUP(B193,Instruções!$F$13:$J$17,4,0)&amp;" as "&amp;VLOOKUP(B193,Instruções!$F$13:$J$17,4,0)&amp;"_"&amp;$G$2&amp;", "&amp;E193&amp;" as "&amp;G193&amp;" FROM "&amp;D193&amp;" WHERE "&amp;Instruções!$D$21&amp;") B ",
"(SELECT "&amp;VLOOKUP(B193,Instruções!$F$13:$J$17,4,0)&amp;" as "&amp;VLOOKUP(B193,Instruções!$F$13:$J$17,4,0)&amp;"_"&amp;$G$2&amp;", "&amp;VLOOKUP(B193,Instruções!$F$13:$J$17,5,0)&amp;" as "&amp;VLOOKUP(B193,Instruções!$F$13:$J$17,5,0)&amp;"_"&amp;$G$2&amp;","&amp;E193&amp;" as "&amp;G193&amp;" FROM "&amp;D193&amp;" WHERE "&amp;Instruções!$D$21&amp;") B ")</f>
        <v xml:space="preserve">(SELECT instrmnt_id as instrmnt_id_, excldd_lf as excldd_lf_to_be FROM bu_loantape_work.lt002_instrument WHERE ref_date='2024-09-30' AND nome_perimetro='Individual Corporativo' AND segmento='ESTR' AND ambito='PM' AND entidade='00100' ) B </v>
      </c>
      <c r="J193" s="75" t="str">
        <f>+IF(VLOOKUP(B193,Instruções!$F$13:$J$17,5,0)="", "ON "&amp;VLOOKUP(B193,Instruções!$F$13:$J$17,4,0)&amp;"_"&amp;$F$7&amp;"="&amp;VLOOKUP(B193,Instruções!$F$13:$J$17,4,0)&amp;"_"&amp;$G$7&amp;" ", "ON "&amp;VLOOKUP(B193,Instruções!$F$13:$J$17,4,0)&amp;"_"&amp;$F$7&amp;"="&amp;VLOOKUP(B193,Instruções!$F$13:$J$17,4,0)&amp;"_"&amp;$G$7&amp;" AND "&amp;VLOOKUP(B193,Instruções!$F$13:$J$17,5,0)&amp;"_"&amp;$F$7&amp;"="&amp;VLOOKUP(B193,Instruções!$F$13:$J$17,5,0)&amp;"_"&amp;$G$7&amp;" ")</f>
        <v xml:space="preserve">ON instrmnt_id_as_is=instrmnt_id_to_be </v>
      </c>
      <c r="K193" s="75" t="str">
        <f t="shared" si="27"/>
        <v xml:space="preserve">WHERE coalesce(cast(excldd_lf_as_is AS string),'')&lt;&gt;coalesce(cast(excldd_lf_to_be AS string),'') </v>
      </c>
      <c r="L193" s="75" t="str">
        <f t="shared" si="28"/>
        <v xml:space="preserve">SELECT count(*) AS NUM_REG_DIF FROM (SELECT instrmnt_id as instrmnt_id_, excldd_lf as excldd_lf_as_is FROM cd_loan_tapes_bce.lt002_instrument WHERE ref_date='2024-09-30' AND nome_perimetro='Individual Corporativo' AND segmento='ESTR' AND ambito='PM' AND entidade='00100' ) A  Inner join (SELECT instrmnt_id as instrmnt_id_, excldd_lf as excldd_lf_to_be FROM bu_loantape_work.lt002_instrument WHERE ref_date='2024-09-30' AND nome_perimetro='Individual Corporativo' AND segmento='ESTR' AND ambito='PM' AND entidade='00100' ) B ON instrmnt_id_as_is=instrmnt_id_to_be WHERE coalesce(cast(excldd_lf_as_is AS string),'')&lt;&gt;coalesce(cast(excldd_lf_to_be AS string),'') </v>
      </c>
      <c r="M193" s="75" t="s">
        <v>55</v>
      </c>
      <c r="N193" s="75" t="str">
        <f>"SELECT 'Validação de campos' as tipologia_teste, '"&amp;VLOOKUP(B193,Instruções!$F$13:$J$17,3,0)&amp;"' AS TABELA, '"&amp;E193&amp;"' AS CAMPO, '"&amp;Instruções!$D$15&amp;"' as ref_date, coalesce(NUM_REG_DIF, 0) AS NUM_REG_DIF FROM ("&amp;L193&amp;") A "</f>
        <v xml:space="preserve">SELECT 'Validação de campos' as tipologia_teste, 'lt002_instrument' AS TABELA, 'excldd_lf' AS CAMPO, '2024-09-30' as ref_date, coalesce(NUM_REG_DIF, 0) AS NUM_REG_DIF FROM (SELECT count(*) AS NUM_REG_DIF FROM (SELECT instrmnt_id as instrmnt_id_, excldd_lf as excldd_lf_as_is FROM cd_loan_tapes_bce.lt002_instrument WHERE ref_date='2024-09-30' AND nome_perimetro='Individual Corporativo' AND segmento='ESTR' AND ambito='PM' AND entidade='00100' ) A  Inner join (SELECT instrmnt_id as instrmnt_id_, excldd_lf as excldd_lf_to_be FROM bu_loantape_work.lt002_instrument WHERE ref_date='2024-09-30' AND nome_perimetro='Individual Corporativo' AND segmento='ESTR' AND ambito='PM' AND entidade='00100' ) B ON instrmnt_id_as_is=instrmnt_id_to_be WHERE coalesce(cast(excldd_lf_as_is AS string),'')&lt;&gt;coalesce(cast(excldd_lf_to_be AS string),'') ) A </v>
      </c>
      <c r="O193" s="76" t="str">
        <f t="shared" si="29"/>
        <v>SELECT 'Validação de campos' as tipologia_teste, 'lt002_instrument' AS TABELA, 'excldd_lf' AS CAMPO, '2024-09-30' as ref_date, coalesce(NUM_REG_DIF, 0) AS NUM_REG_DIF FROM (SELECT count(*) AS NUM_REG_DIF FROM (SELECT instrmnt_id as instrmnt_id_, excldd_lf as excldd_lf_as_is FROM cd_loan_tapes_bce.lt002_instrument WHERE ref_date='2024-09-30' AND nome_perimetro='Individual Corporativo' AND segmento='ESTR' AND ambito='PM' AND entidade='00100' ) A  Inner join (SELECT instrmnt_id as instrmnt_id_, excldd_lf as excldd_lf_to_be FROM bu_loantape_work.lt002_instrument WHERE ref_date='2024-09-30' AND nome_perimetro='Individual Corporativo' AND segmento='ESTR' AND ambito='PM' AND entidade='00100' ) B ON instrmnt_id_as_is=instrmnt_id_to_be WHERE coalesce(cast(excldd_lf_as_is AS string),'')&lt;&gt;coalesce(cast(excldd_lf_to_be AS string),'') ) A Union all</v>
      </c>
      <c r="P193" s="75">
        <f t="shared" si="31"/>
        <v>32</v>
      </c>
    </row>
    <row r="194" spans="2:16" s="63" customFormat="1" ht="18" customHeight="1">
      <c r="B194" s="75" t="s">
        <v>26</v>
      </c>
      <c r="C194" s="75" t="str">
        <f>_xlfn.CONCAT(Instruções!$D$13,".",VLOOKUP(B194,Instruções!$F$12:$H$17,2,0))</f>
        <v>cd_loan_tapes_bce.lt002_instrument</v>
      </c>
      <c r="D194" s="75" t="str">
        <f>_xlfn.CONCAT(Instruções!$D$14,".",VLOOKUP(B194,Instruções!$F$12:$H$17,3,0))</f>
        <v>bu_loantape_work.lt002_instrument</v>
      </c>
      <c r="E194" s="75" t="s">
        <v>233</v>
      </c>
      <c r="F194" s="75" t="str">
        <f t="shared" ref="F194:F211" si="32">E194&amp;"_"&amp;$F$7</f>
        <v>expctd_lss_crr_as_is</v>
      </c>
      <c r="G194" s="75" t="str">
        <f t="shared" ref="G194:G211" si="33">E194&amp;"_"&amp;$G$7</f>
        <v>expctd_lss_crr_to_be</v>
      </c>
      <c r="H194" s="75" t="str">
        <f>IF(VLOOKUP(B194,Instruções!$F$13:$J$17,5,0)="",
"(SELECT "&amp;VLOOKUP(B194,Instruções!$F$13:$J$17,4,0)&amp;" as "&amp;VLOOKUP(B194,Instruções!$F$13:$J$17,4,0)&amp;"_"&amp;$F$2&amp;", "&amp;E194&amp;" as "&amp;F194&amp;" FROM "&amp;C194&amp;" WHERE "&amp;Instruções!$D$20&amp;") A ",
"(SELECT "&amp;VLOOKUP(B194,Instruções!$F$13:$J$17,4,0)&amp;" as "&amp;VLOOKUP(B194,Instruções!$F$13:$J$17,4,0)&amp;"_"&amp;$F$2&amp;", "&amp;VLOOKUP(B194,Instruções!$F$13:$J$17,5,0)&amp;" as "&amp;VLOOKUP(B194,Instruções!$F$13:$J$17,5,0)&amp;"_"&amp;$F$2&amp;","&amp;E194&amp;" as "&amp;F194&amp;" FROM "&amp;C194&amp;" WHERE "&amp;Instruções!$D$20&amp;") A ")</f>
        <v xml:space="preserve">(SELECT instrmnt_id as instrmnt_id_, expctd_lss_crr as expctd_lss_crr_as_is FROM cd_loan_tapes_bce.lt002_instrument WHERE ref_date='2024-09-30' AND nome_perimetro='Individual Corporativo' AND segmento='ESTR' AND ambito='PM' AND entidade='00100' ) A </v>
      </c>
      <c r="I194" s="75" t="str">
        <f>IF(VLOOKUP(B194,Instruções!$F$13:$J$17,5,0)="",
"(SELECT "&amp;VLOOKUP(B194,Instruções!$F$13:$J$17,4,0)&amp;" as "&amp;VLOOKUP(B194,Instruções!$F$13:$J$17,4,0)&amp;"_"&amp;$G$2&amp;", "&amp;E194&amp;" as "&amp;G194&amp;" FROM "&amp;D194&amp;" WHERE "&amp;Instruções!$D$21&amp;") B ",
"(SELECT "&amp;VLOOKUP(B194,Instruções!$F$13:$J$17,4,0)&amp;" as "&amp;VLOOKUP(B194,Instruções!$F$13:$J$17,4,0)&amp;"_"&amp;$G$2&amp;", "&amp;VLOOKUP(B194,Instruções!$F$13:$J$17,5,0)&amp;" as "&amp;VLOOKUP(B194,Instruções!$F$13:$J$17,5,0)&amp;"_"&amp;$G$2&amp;","&amp;E194&amp;" as "&amp;G194&amp;" FROM "&amp;D194&amp;" WHERE "&amp;Instruções!$D$21&amp;") B ")</f>
        <v xml:space="preserve">(SELECT instrmnt_id as instrmnt_id_, expctd_lss_crr as expctd_lss_crr_to_be FROM bu_loantape_work.lt002_instrument WHERE ref_date='2024-09-30' AND nome_perimetro='Individual Corporativo' AND segmento='ESTR' AND ambito='PM' AND entidade='00100' ) B </v>
      </c>
      <c r="J194" s="75" t="str">
        <f>+IF(VLOOKUP(B194,Instruções!$F$13:$J$17,5,0)="", "ON "&amp;VLOOKUP(B194,Instruções!$F$13:$J$17,4,0)&amp;"_"&amp;$F$7&amp;"="&amp;VLOOKUP(B194,Instruções!$F$13:$J$17,4,0)&amp;"_"&amp;$G$7&amp;" ", "ON "&amp;VLOOKUP(B194,Instruções!$F$13:$J$17,4,0)&amp;"_"&amp;$F$7&amp;"="&amp;VLOOKUP(B194,Instruções!$F$13:$J$17,4,0)&amp;"_"&amp;$G$7&amp;" AND "&amp;VLOOKUP(B194,Instruções!$F$13:$J$17,5,0)&amp;"_"&amp;$F$7&amp;"="&amp;VLOOKUP(B194,Instruções!$F$13:$J$17,5,0)&amp;"_"&amp;$G$7&amp;" ")</f>
        <v xml:space="preserve">ON instrmnt_id_as_is=instrmnt_id_to_be </v>
      </c>
      <c r="K194" s="75" t="str">
        <f t="shared" si="27"/>
        <v xml:space="preserve">WHERE coalesce(cast(expctd_lss_crr_as_is AS string),'')&lt;&gt;coalesce(cast(expctd_lss_crr_to_be AS string),'') </v>
      </c>
      <c r="L194" s="75" t="str">
        <f t="shared" si="28"/>
        <v xml:space="preserve">SELECT count(*) AS NUM_REG_DIF FROM (SELECT instrmnt_id as instrmnt_id_, expctd_lss_crr as expctd_lss_crr_as_is FROM cd_loan_tapes_bce.lt002_instrument WHERE ref_date='2024-09-30' AND nome_perimetro='Individual Corporativo' AND segmento='ESTR' AND ambito='PM' AND entidade='00100' ) A  Inner join (SELECT instrmnt_id as instrmnt_id_, expctd_lss_crr as expctd_lss_crr_to_be FROM bu_loantape_work.lt002_instrument WHERE ref_date='2024-09-30' AND nome_perimetro='Individual Corporativo' AND segmento='ESTR' AND ambito='PM' AND entidade='00100' ) B ON instrmnt_id_as_is=instrmnt_id_to_be WHERE coalesce(cast(expctd_lss_crr_as_is AS string),'')&lt;&gt;coalesce(cast(expctd_lss_crr_to_be AS string),'') </v>
      </c>
      <c r="M194" s="75" t="s">
        <v>55</v>
      </c>
      <c r="N194" s="75" t="str">
        <f>"SELECT 'Validação de campos' as tipologia_teste, '"&amp;VLOOKUP(B194,Instruções!$F$13:$J$17,3,0)&amp;"' AS TABELA, '"&amp;E194&amp;"' AS CAMPO, '"&amp;Instruções!$D$15&amp;"' as ref_date, coalesce(NUM_REG_DIF, 0) AS NUM_REG_DIF FROM ("&amp;L194&amp;") A "</f>
        <v xml:space="preserve">SELECT 'Validação de campos' as tipologia_teste, 'lt002_instrument' AS TABELA, 'expctd_lss_crr' AS CAMPO, '2024-09-30' as ref_date, coalesce(NUM_REG_DIF, 0) AS NUM_REG_DIF FROM (SELECT count(*) AS NUM_REG_DIF FROM (SELECT instrmnt_id as instrmnt_id_, expctd_lss_crr as expctd_lss_crr_as_is FROM cd_loan_tapes_bce.lt002_instrument WHERE ref_date='2024-09-30' AND nome_perimetro='Individual Corporativo' AND segmento='ESTR' AND ambito='PM' AND entidade='00100' ) A  Inner join (SELECT instrmnt_id as instrmnt_id_, expctd_lss_crr as expctd_lss_crr_to_be FROM bu_loantape_work.lt002_instrument WHERE ref_date='2024-09-30' AND nome_perimetro='Individual Corporativo' AND segmento='ESTR' AND ambito='PM' AND entidade='00100' ) B ON instrmnt_id_as_is=instrmnt_id_to_be WHERE coalesce(cast(expctd_lss_crr_as_is AS string),'')&lt;&gt;coalesce(cast(expctd_lss_crr_to_be AS string),'') ) A </v>
      </c>
      <c r="O194" s="76" t="str">
        <f t="shared" si="29"/>
        <v>SELECT 'Validação de campos' as tipologia_teste, 'lt002_instrument' AS TABELA, 'expctd_lss_crr' AS CAMPO, '2024-09-30' as ref_date, coalesce(NUM_REG_DIF, 0) AS NUM_REG_DIF FROM (SELECT count(*) AS NUM_REG_DIF FROM (SELECT instrmnt_id as instrmnt_id_, expctd_lss_crr as expctd_lss_crr_as_is FROM cd_loan_tapes_bce.lt002_instrument WHERE ref_date='2024-09-30' AND nome_perimetro='Individual Corporativo' AND segmento='ESTR' AND ambito='PM' AND entidade='00100' ) A  Inner join (SELECT instrmnt_id as instrmnt_id_, expctd_lss_crr as expctd_lss_crr_to_be FROM bu_loantape_work.lt002_instrument WHERE ref_date='2024-09-30' AND nome_perimetro='Individual Corporativo' AND segmento='ESTR' AND ambito='PM' AND entidade='00100' ) B ON instrmnt_id_as_is=instrmnt_id_to_be WHERE coalesce(cast(expctd_lss_crr_as_is AS string),'')&lt;&gt;coalesce(cast(expctd_lss_crr_to_be AS string),'') ) A Union all</v>
      </c>
      <c r="P194" s="75">
        <f t="shared" si="31"/>
        <v>33</v>
      </c>
    </row>
    <row r="195" spans="2:16" s="63" customFormat="1" ht="18" customHeight="1">
      <c r="B195" s="75" t="s">
        <v>26</v>
      </c>
      <c r="C195" s="75" t="str">
        <f>_xlfn.CONCAT(Instruções!$D$13,".",VLOOKUP(B195,Instruções!$F$12:$H$17,2,0))</f>
        <v>cd_loan_tapes_bce.lt002_instrument</v>
      </c>
      <c r="D195" s="75" t="str">
        <f>_xlfn.CONCAT(Instruções!$D$14,".",VLOOKUP(B195,Instruções!$F$12:$H$17,3,0))</f>
        <v>bu_loantape_work.lt002_instrument</v>
      </c>
      <c r="E195" s="75" t="s">
        <v>234</v>
      </c>
      <c r="F195" s="75" t="str">
        <f t="shared" si="32"/>
        <v>expsr_in_scp_as_is</v>
      </c>
      <c r="G195" s="75" t="str">
        <f t="shared" si="33"/>
        <v>expsr_in_scp_to_be</v>
      </c>
      <c r="H195" s="75" t="str">
        <f>IF(VLOOKUP(B195,Instruções!$F$13:$J$17,5,0)="",
"(SELECT "&amp;VLOOKUP(B195,Instruções!$F$13:$J$17,4,0)&amp;" as "&amp;VLOOKUP(B195,Instruções!$F$13:$J$17,4,0)&amp;"_"&amp;$F$2&amp;", "&amp;E195&amp;" as "&amp;F195&amp;" FROM "&amp;C195&amp;" WHERE "&amp;Instruções!$D$20&amp;") A ",
"(SELECT "&amp;VLOOKUP(B195,Instruções!$F$13:$J$17,4,0)&amp;" as "&amp;VLOOKUP(B195,Instruções!$F$13:$J$17,4,0)&amp;"_"&amp;$F$2&amp;", "&amp;VLOOKUP(B195,Instruções!$F$13:$J$17,5,0)&amp;" as "&amp;VLOOKUP(B195,Instruções!$F$13:$J$17,5,0)&amp;"_"&amp;$F$2&amp;","&amp;E195&amp;" as "&amp;F195&amp;" FROM "&amp;C195&amp;" WHERE "&amp;Instruções!$D$20&amp;") A ")</f>
        <v xml:space="preserve">(SELECT instrmnt_id as instrmnt_id_, expsr_in_scp as expsr_in_scp_as_is FROM cd_loan_tapes_bce.lt002_instrument WHERE ref_date='2024-09-30' AND nome_perimetro='Individual Corporativo' AND segmento='ESTR' AND ambito='PM' AND entidade='00100' ) A </v>
      </c>
      <c r="I195" s="75" t="str">
        <f>IF(VLOOKUP(B195,Instruções!$F$13:$J$17,5,0)="",
"(SELECT "&amp;VLOOKUP(B195,Instruções!$F$13:$J$17,4,0)&amp;" as "&amp;VLOOKUP(B195,Instruções!$F$13:$J$17,4,0)&amp;"_"&amp;$G$2&amp;", "&amp;E195&amp;" as "&amp;G195&amp;" FROM "&amp;D195&amp;" WHERE "&amp;Instruções!$D$21&amp;") B ",
"(SELECT "&amp;VLOOKUP(B195,Instruções!$F$13:$J$17,4,0)&amp;" as "&amp;VLOOKUP(B195,Instruções!$F$13:$J$17,4,0)&amp;"_"&amp;$G$2&amp;", "&amp;VLOOKUP(B195,Instruções!$F$13:$J$17,5,0)&amp;" as "&amp;VLOOKUP(B195,Instruções!$F$13:$J$17,5,0)&amp;"_"&amp;$G$2&amp;","&amp;E195&amp;" as "&amp;G195&amp;" FROM "&amp;D195&amp;" WHERE "&amp;Instruções!$D$21&amp;") B ")</f>
        <v xml:space="preserve">(SELECT instrmnt_id as instrmnt_id_, expsr_in_scp as expsr_in_scp_to_be FROM bu_loantape_work.lt002_instrument WHERE ref_date='2024-09-30' AND nome_perimetro='Individual Corporativo' AND segmento='ESTR' AND ambito='PM' AND entidade='00100' ) B </v>
      </c>
      <c r="J195" s="75" t="str">
        <f>+IF(VLOOKUP(B195,Instruções!$F$13:$J$17,5,0)="", "ON "&amp;VLOOKUP(B195,Instruções!$F$13:$J$17,4,0)&amp;"_"&amp;$F$7&amp;"="&amp;VLOOKUP(B195,Instruções!$F$13:$J$17,4,0)&amp;"_"&amp;$G$7&amp;" ", "ON "&amp;VLOOKUP(B195,Instruções!$F$13:$J$17,4,0)&amp;"_"&amp;$F$7&amp;"="&amp;VLOOKUP(B195,Instruções!$F$13:$J$17,4,0)&amp;"_"&amp;$G$7&amp;" AND "&amp;VLOOKUP(B195,Instruções!$F$13:$J$17,5,0)&amp;"_"&amp;$F$7&amp;"="&amp;VLOOKUP(B195,Instruções!$F$13:$J$17,5,0)&amp;"_"&amp;$G$7&amp;" ")</f>
        <v xml:space="preserve">ON instrmnt_id_as_is=instrmnt_id_to_be </v>
      </c>
      <c r="K195" s="75" t="str">
        <f t="shared" si="27"/>
        <v xml:space="preserve">WHERE coalesce(cast(expsr_in_scp_as_is AS string),'')&lt;&gt;coalesce(cast(expsr_in_scp_to_be AS string),'') </v>
      </c>
      <c r="L195" s="75" t="str">
        <f t="shared" si="28"/>
        <v xml:space="preserve">SELECT count(*) AS NUM_REG_DIF FROM (SELECT instrmnt_id as instrmnt_id_, expsr_in_scp as expsr_in_scp_as_is FROM cd_loan_tapes_bce.lt002_instrument WHERE ref_date='2024-09-30' AND nome_perimetro='Individual Corporativo' AND segmento='ESTR' AND ambito='PM' AND entidade='00100' ) A  Inner join (SELECT instrmnt_id as instrmnt_id_, expsr_in_scp as expsr_in_scp_to_be FROM bu_loantape_work.lt002_instrument WHERE ref_date='2024-09-30' AND nome_perimetro='Individual Corporativo' AND segmento='ESTR' AND ambito='PM' AND entidade='00100' ) B ON instrmnt_id_as_is=instrmnt_id_to_be WHERE coalesce(cast(expsr_in_scp_as_is AS string),'')&lt;&gt;coalesce(cast(expsr_in_scp_to_be AS string),'') </v>
      </c>
      <c r="M195" s="75" t="s">
        <v>55</v>
      </c>
      <c r="N195" s="75" t="str">
        <f>"SELECT 'Validação de campos' as tipologia_teste, '"&amp;VLOOKUP(B195,Instruções!$F$13:$J$17,3,0)&amp;"' AS TABELA, '"&amp;E195&amp;"' AS CAMPO, '"&amp;Instruções!$D$15&amp;"' as ref_date, coalesce(NUM_REG_DIF, 0) AS NUM_REG_DIF FROM ("&amp;L195&amp;") A "</f>
        <v xml:space="preserve">SELECT 'Validação de campos' as tipologia_teste, 'lt002_instrument' AS TABELA, 'expsr_in_scp' AS CAMPO, '2024-09-30' as ref_date, coalesce(NUM_REG_DIF, 0) AS NUM_REG_DIF FROM (SELECT count(*) AS NUM_REG_DIF FROM (SELECT instrmnt_id as instrmnt_id_, expsr_in_scp as expsr_in_scp_as_is FROM cd_loan_tapes_bce.lt002_instrument WHERE ref_date='2024-09-30' AND nome_perimetro='Individual Corporativo' AND segmento='ESTR' AND ambito='PM' AND entidade='00100' ) A  Inner join (SELECT instrmnt_id as instrmnt_id_, expsr_in_scp as expsr_in_scp_to_be FROM bu_loantape_work.lt002_instrument WHERE ref_date='2024-09-30' AND nome_perimetro='Individual Corporativo' AND segmento='ESTR' AND ambito='PM' AND entidade='00100' ) B ON instrmnt_id_as_is=instrmnt_id_to_be WHERE coalesce(cast(expsr_in_scp_as_is AS string),'')&lt;&gt;coalesce(cast(expsr_in_scp_to_be AS string),'') ) A </v>
      </c>
      <c r="O195" s="76" t="str">
        <f t="shared" si="29"/>
        <v>SELECT 'Validação de campos' as tipologia_teste, 'lt002_instrument' AS TABELA, 'expsr_in_scp' AS CAMPO, '2024-09-30' as ref_date, coalesce(NUM_REG_DIF, 0) AS NUM_REG_DIF FROM (SELECT count(*) AS NUM_REG_DIF FROM (SELECT instrmnt_id as instrmnt_id_, expsr_in_scp as expsr_in_scp_as_is FROM cd_loan_tapes_bce.lt002_instrument WHERE ref_date='2024-09-30' AND nome_perimetro='Individual Corporativo' AND segmento='ESTR' AND ambito='PM' AND entidade='00100' ) A  Inner join (SELECT instrmnt_id as instrmnt_id_, expsr_in_scp as expsr_in_scp_to_be FROM bu_loantape_work.lt002_instrument WHERE ref_date='2024-09-30' AND nome_perimetro='Individual Corporativo' AND segmento='ESTR' AND ambito='PM' AND entidade='00100' ) B ON instrmnt_id_as_is=instrmnt_id_to_be WHERE coalesce(cast(expsr_in_scp_as_is AS string),'')&lt;&gt;coalesce(cast(expsr_in_scp_to_be AS string),'') ) A Union all</v>
      </c>
      <c r="P195" s="75">
        <f t="shared" si="31"/>
        <v>34</v>
      </c>
    </row>
    <row r="196" spans="2:16" s="63" customFormat="1" ht="18" customHeight="1">
      <c r="B196" s="75" t="s">
        <v>26</v>
      </c>
      <c r="C196" s="75" t="str">
        <f>_xlfn.CONCAT(Instruções!$D$13,".",VLOOKUP(B196,Instruções!$F$12:$H$17,2,0))</f>
        <v>cd_loan_tapes_bce.lt002_instrument</v>
      </c>
      <c r="D196" s="75" t="str">
        <f>_xlfn.CONCAT(Instruções!$D$14,".",VLOOKUP(B196,Instruções!$F$12:$H$17,3,0))</f>
        <v>bu_loantape_work.lt002_instrument</v>
      </c>
      <c r="E196" s="75" t="s">
        <v>235</v>
      </c>
      <c r="F196" s="75" t="str">
        <f t="shared" si="32"/>
        <v>fld_syndctn_as_is</v>
      </c>
      <c r="G196" s="75" t="str">
        <f t="shared" si="33"/>
        <v>fld_syndctn_to_be</v>
      </c>
      <c r="H196" s="75" t="str">
        <f>IF(VLOOKUP(B196,Instruções!$F$13:$J$17,5,0)="",
"(SELECT "&amp;VLOOKUP(B196,Instruções!$F$13:$J$17,4,0)&amp;" as "&amp;VLOOKUP(B196,Instruções!$F$13:$J$17,4,0)&amp;"_"&amp;$F$2&amp;", "&amp;E196&amp;" as "&amp;F196&amp;" FROM "&amp;C196&amp;" WHERE "&amp;Instruções!$D$20&amp;") A ",
"(SELECT "&amp;VLOOKUP(B196,Instruções!$F$13:$J$17,4,0)&amp;" as "&amp;VLOOKUP(B196,Instruções!$F$13:$J$17,4,0)&amp;"_"&amp;$F$2&amp;", "&amp;VLOOKUP(B196,Instruções!$F$13:$J$17,5,0)&amp;" as "&amp;VLOOKUP(B196,Instruções!$F$13:$J$17,5,0)&amp;"_"&amp;$F$2&amp;","&amp;E196&amp;" as "&amp;F196&amp;" FROM "&amp;C196&amp;" WHERE "&amp;Instruções!$D$20&amp;") A ")</f>
        <v xml:space="preserve">(SELECT instrmnt_id as instrmnt_id_, fld_syndctn as fld_syndctn_as_is FROM cd_loan_tapes_bce.lt002_instrument WHERE ref_date='2024-09-30' AND nome_perimetro='Individual Corporativo' AND segmento='ESTR' AND ambito='PM' AND entidade='00100' ) A </v>
      </c>
      <c r="I196" s="75" t="str">
        <f>IF(VLOOKUP(B196,Instruções!$F$13:$J$17,5,0)="",
"(SELECT "&amp;VLOOKUP(B196,Instruções!$F$13:$J$17,4,0)&amp;" as "&amp;VLOOKUP(B196,Instruções!$F$13:$J$17,4,0)&amp;"_"&amp;$G$2&amp;", "&amp;E196&amp;" as "&amp;G196&amp;" FROM "&amp;D196&amp;" WHERE "&amp;Instruções!$D$21&amp;") B ",
"(SELECT "&amp;VLOOKUP(B196,Instruções!$F$13:$J$17,4,0)&amp;" as "&amp;VLOOKUP(B196,Instruções!$F$13:$J$17,4,0)&amp;"_"&amp;$G$2&amp;", "&amp;VLOOKUP(B196,Instruções!$F$13:$J$17,5,0)&amp;" as "&amp;VLOOKUP(B196,Instruções!$F$13:$J$17,5,0)&amp;"_"&amp;$G$2&amp;","&amp;E196&amp;" as "&amp;G196&amp;" FROM "&amp;D196&amp;" WHERE "&amp;Instruções!$D$21&amp;") B ")</f>
        <v xml:space="preserve">(SELECT instrmnt_id as instrmnt_id_, fld_syndctn as fld_syndctn_to_be FROM bu_loantape_work.lt002_instrument WHERE ref_date='2024-09-30' AND nome_perimetro='Individual Corporativo' AND segmento='ESTR' AND ambito='PM' AND entidade='00100' ) B </v>
      </c>
      <c r="J196" s="75" t="str">
        <f>+IF(VLOOKUP(B196,Instruções!$F$13:$J$17,5,0)="", "ON "&amp;VLOOKUP(B196,Instruções!$F$13:$J$17,4,0)&amp;"_"&amp;$F$7&amp;"="&amp;VLOOKUP(B196,Instruções!$F$13:$J$17,4,0)&amp;"_"&amp;$G$7&amp;" ", "ON "&amp;VLOOKUP(B196,Instruções!$F$13:$J$17,4,0)&amp;"_"&amp;$F$7&amp;"="&amp;VLOOKUP(B196,Instruções!$F$13:$J$17,4,0)&amp;"_"&amp;$G$7&amp;" AND "&amp;VLOOKUP(B196,Instruções!$F$13:$J$17,5,0)&amp;"_"&amp;$F$7&amp;"="&amp;VLOOKUP(B196,Instruções!$F$13:$J$17,5,0)&amp;"_"&amp;$G$7&amp;" ")</f>
        <v xml:space="preserve">ON instrmnt_id_as_is=instrmnt_id_to_be </v>
      </c>
      <c r="K196" s="75" t="str">
        <f t="shared" si="27"/>
        <v xml:space="preserve">WHERE coalesce(cast(fld_syndctn_as_is AS string),'')&lt;&gt;coalesce(cast(fld_syndctn_to_be AS string),'') </v>
      </c>
      <c r="L196" s="75" t="str">
        <f t="shared" si="28"/>
        <v xml:space="preserve">SELECT count(*) AS NUM_REG_DIF FROM (SELECT instrmnt_id as instrmnt_id_, fld_syndctn as fld_syndctn_as_is FROM cd_loan_tapes_bce.lt002_instrument WHERE ref_date='2024-09-30' AND nome_perimetro='Individual Corporativo' AND segmento='ESTR' AND ambito='PM' AND entidade='00100' ) A  Inner join (SELECT instrmnt_id as instrmnt_id_, fld_syndctn as fld_syndctn_to_be FROM bu_loantape_work.lt002_instrument WHERE ref_date='2024-09-30' AND nome_perimetro='Individual Corporativo' AND segmento='ESTR' AND ambito='PM' AND entidade='00100' ) B ON instrmnt_id_as_is=instrmnt_id_to_be WHERE coalesce(cast(fld_syndctn_as_is AS string),'')&lt;&gt;coalesce(cast(fld_syndctn_to_be AS string),'') </v>
      </c>
      <c r="M196" s="75" t="s">
        <v>55</v>
      </c>
      <c r="N196" s="75" t="str">
        <f>"SELECT 'Validação de campos' as tipologia_teste, '"&amp;VLOOKUP(B196,Instruções!$F$13:$J$17,3,0)&amp;"' AS TABELA, '"&amp;E196&amp;"' AS CAMPO, '"&amp;Instruções!$D$15&amp;"' as ref_date, coalesce(NUM_REG_DIF, 0) AS NUM_REG_DIF FROM ("&amp;L196&amp;") A "</f>
        <v xml:space="preserve">SELECT 'Validação de campos' as tipologia_teste, 'lt002_instrument' AS TABELA, 'fld_syndctn' AS CAMPO, '2024-09-30' as ref_date, coalesce(NUM_REG_DIF, 0) AS NUM_REG_DIF FROM (SELECT count(*) AS NUM_REG_DIF FROM (SELECT instrmnt_id as instrmnt_id_, fld_syndctn as fld_syndctn_as_is FROM cd_loan_tapes_bce.lt002_instrument WHERE ref_date='2024-09-30' AND nome_perimetro='Individual Corporativo' AND segmento='ESTR' AND ambito='PM' AND entidade='00100' ) A  Inner join (SELECT instrmnt_id as instrmnt_id_, fld_syndctn as fld_syndctn_to_be FROM bu_loantape_work.lt002_instrument WHERE ref_date='2024-09-30' AND nome_perimetro='Individual Corporativo' AND segmento='ESTR' AND ambito='PM' AND entidade='00100' ) B ON instrmnt_id_as_is=instrmnt_id_to_be WHERE coalesce(cast(fld_syndctn_as_is AS string),'')&lt;&gt;coalesce(cast(fld_syndctn_to_be AS string),'') ) A </v>
      </c>
      <c r="O196" s="76" t="str">
        <f t="shared" si="29"/>
        <v>SELECT 'Validação de campos' as tipologia_teste, 'lt002_instrument' AS TABELA, 'fld_syndctn' AS CAMPO, '2024-09-30' as ref_date, coalesce(NUM_REG_DIF, 0) AS NUM_REG_DIF FROM (SELECT count(*) AS NUM_REG_DIF FROM (SELECT instrmnt_id as instrmnt_id_, fld_syndctn as fld_syndctn_as_is FROM cd_loan_tapes_bce.lt002_instrument WHERE ref_date='2024-09-30' AND nome_perimetro='Individual Corporativo' AND segmento='ESTR' AND ambito='PM' AND entidade='00100' ) A  Inner join (SELECT instrmnt_id as instrmnt_id_, fld_syndctn as fld_syndctn_to_be FROM bu_loantape_work.lt002_instrument WHERE ref_date='2024-09-30' AND nome_perimetro='Individual Corporativo' AND segmento='ESTR' AND ambito='PM' AND entidade='00100' ) B ON instrmnt_id_as_is=instrmnt_id_to_be WHERE coalesce(cast(fld_syndctn_as_is AS string),'')&lt;&gt;coalesce(cast(fld_syndctn_to_be AS string),'') ) A Union all</v>
      </c>
      <c r="P196" s="75">
        <f t="shared" si="31"/>
        <v>35</v>
      </c>
    </row>
    <row r="197" spans="2:16" s="63" customFormat="1" ht="18" customHeight="1">
      <c r="B197" s="75" t="s">
        <v>26</v>
      </c>
      <c r="C197" s="75" t="str">
        <f>_xlfn.CONCAT(Instruções!$D$13,".",VLOOKUP(B197,Instruções!$F$12:$H$17,2,0))</f>
        <v>cd_loan_tapes_bce.lt002_instrument</v>
      </c>
      <c r="D197" s="75" t="str">
        <f>_xlfn.CONCAT(Instruções!$D$14,".",VLOOKUP(B197,Instruções!$F$12:$H$17,3,0))</f>
        <v>bu_loantape_work.lt002_instrument</v>
      </c>
      <c r="E197" s="75" t="s">
        <v>236</v>
      </c>
      <c r="F197" s="75" t="str">
        <f t="shared" si="32"/>
        <v>flg_lbo_as_is</v>
      </c>
      <c r="G197" s="75" t="str">
        <f t="shared" si="33"/>
        <v>flg_lbo_to_be</v>
      </c>
      <c r="H197" s="75" t="str">
        <f>IF(VLOOKUP(B197,Instruções!$F$13:$J$17,5,0)="",
"(SELECT "&amp;VLOOKUP(B197,Instruções!$F$13:$J$17,4,0)&amp;" as "&amp;VLOOKUP(B197,Instruções!$F$13:$J$17,4,0)&amp;"_"&amp;$F$2&amp;", "&amp;E197&amp;" as "&amp;F197&amp;" FROM "&amp;C197&amp;" WHERE "&amp;Instruções!$D$20&amp;") A ",
"(SELECT "&amp;VLOOKUP(B197,Instruções!$F$13:$J$17,4,0)&amp;" as "&amp;VLOOKUP(B197,Instruções!$F$13:$J$17,4,0)&amp;"_"&amp;$F$2&amp;", "&amp;VLOOKUP(B197,Instruções!$F$13:$J$17,5,0)&amp;" as "&amp;VLOOKUP(B197,Instruções!$F$13:$J$17,5,0)&amp;"_"&amp;$F$2&amp;","&amp;E197&amp;" as "&amp;F197&amp;" FROM "&amp;C197&amp;" WHERE "&amp;Instruções!$D$20&amp;") A ")</f>
        <v xml:space="preserve">(SELECT instrmnt_id as instrmnt_id_, flg_lbo as flg_lbo_as_is FROM cd_loan_tapes_bce.lt002_instrument WHERE ref_date='2024-09-30' AND nome_perimetro='Individual Corporativo' AND segmento='ESTR' AND ambito='PM' AND entidade='00100' ) A </v>
      </c>
      <c r="I197" s="75" t="str">
        <f>IF(VLOOKUP(B197,Instruções!$F$13:$J$17,5,0)="",
"(SELECT "&amp;VLOOKUP(B197,Instruções!$F$13:$J$17,4,0)&amp;" as "&amp;VLOOKUP(B197,Instruções!$F$13:$J$17,4,0)&amp;"_"&amp;$G$2&amp;", "&amp;E197&amp;" as "&amp;G197&amp;" FROM "&amp;D197&amp;" WHERE "&amp;Instruções!$D$21&amp;") B ",
"(SELECT "&amp;VLOOKUP(B197,Instruções!$F$13:$J$17,4,0)&amp;" as "&amp;VLOOKUP(B197,Instruções!$F$13:$J$17,4,0)&amp;"_"&amp;$G$2&amp;", "&amp;VLOOKUP(B197,Instruções!$F$13:$J$17,5,0)&amp;" as "&amp;VLOOKUP(B197,Instruções!$F$13:$J$17,5,0)&amp;"_"&amp;$G$2&amp;","&amp;E197&amp;" as "&amp;G197&amp;" FROM "&amp;D197&amp;" WHERE "&amp;Instruções!$D$21&amp;") B ")</f>
        <v xml:space="preserve">(SELECT instrmnt_id as instrmnt_id_, flg_lbo as flg_lbo_to_be FROM bu_loantape_work.lt002_instrument WHERE ref_date='2024-09-30' AND nome_perimetro='Individual Corporativo' AND segmento='ESTR' AND ambito='PM' AND entidade='00100' ) B </v>
      </c>
      <c r="J197" s="75" t="str">
        <f>+IF(VLOOKUP(B197,Instruções!$F$13:$J$17,5,0)="", "ON "&amp;VLOOKUP(B197,Instruções!$F$13:$J$17,4,0)&amp;"_"&amp;$F$7&amp;"="&amp;VLOOKUP(B197,Instruções!$F$13:$J$17,4,0)&amp;"_"&amp;$G$7&amp;" ", "ON "&amp;VLOOKUP(B197,Instruções!$F$13:$J$17,4,0)&amp;"_"&amp;$F$7&amp;"="&amp;VLOOKUP(B197,Instruções!$F$13:$J$17,4,0)&amp;"_"&amp;$G$7&amp;" AND "&amp;VLOOKUP(B197,Instruções!$F$13:$J$17,5,0)&amp;"_"&amp;$F$7&amp;"="&amp;VLOOKUP(B197,Instruções!$F$13:$J$17,5,0)&amp;"_"&amp;$G$7&amp;" ")</f>
        <v xml:space="preserve">ON instrmnt_id_as_is=instrmnt_id_to_be </v>
      </c>
      <c r="K197" s="75" t="str">
        <f t="shared" si="27"/>
        <v xml:space="preserve">WHERE coalesce(cast(flg_lbo_as_is AS string),'')&lt;&gt;coalesce(cast(flg_lbo_to_be AS string),'') </v>
      </c>
      <c r="L197" s="75" t="str">
        <f t="shared" si="28"/>
        <v xml:space="preserve">SELECT count(*) AS NUM_REG_DIF FROM (SELECT instrmnt_id as instrmnt_id_, flg_lbo as flg_lbo_as_is FROM cd_loan_tapes_bce.lt002_instrument WHERE ref_date='2024-09-30' AND nome_perimetro='Individual Corporativo' AND segmento='ESTR' AND ambito='PM' AND entidade='00100' ) A  Inner join (SELECT instrmnt_id as instrmnt_id_, flg_lbo as flg_lbo_to_be FROM bu_loantape_work.lt002_instrument WHERE ref_date='2024-09-30' AND nome_perimetro='Individual Corporativo' AND segmento='ESTR' AND ambito='PM' AND entidade='00100' ) B ON instrmnt_id_as_is=instrmnt_id_to_be WHERE coalesce(cast(flg_lbo_as_is AS string),'')&lt;&gt;coalesce(cast(flg_lbo_to_be AS string),'') </v>
      </c>
      <c r="M197" s="75" t="s">
        <v>55</v>
      </c>
      <c r="N197" s="75" t="str">
        <f>"SELECT 'Validação de campos' as tipologia_teste, '"&amp;VLOOKUP(B197,Instruções!$F$13:$J$17,3,0)&amp;"' AS TABELA, '"&amp;E197&amp;"' AS CAMPO, '"&amp;Instruções!$D$15&amp;"' as ref_date, coalesce(NUM_REG_DIF, 0) AS NUM_REG_DIF FROM ("&amp;L197&amp;") A "</f>
        <v xml:space="preserve">SELECT 'Validação de campos' as tipologia_teste, 'lt002_instrument' AS TABELA, 'flg_lbo' AS CAMPO, '2024-09-30' as ref_date, coalesce(NUM_REG_DIF, 0) AS NUM_REG_DIF FROM (SELECT count(*) AS NUM_REG_DIF FROM (SELECT instrmnt_id as instrmnt_id_, flg_lbo as flg_lbo_as_is FROM cd_loan_tapes_bce.lt002_instrument WHERE ref_date='2024-09-30' AND nome_perimetro='Individual Corporativo' AND segmento='ESTR' AND ambito='PM' AND entidade='00100' ) A  Inner join (SELECT instrmnt_id as instrmnt_id_, flg_lbo as flg_lbo_to_be FROM bu_loantape_work.lt002_instrument WHERE ref_date='2024-09-30' AND nome_perimetro='Individual Corporativo' AND segmento='ESTR' AND ambito='PM' AND entidade='00100' ) B ON instrmnt_id_as_is=instrmnt_id_to_be WHERE coalesce(cast(flg_lbo_as_is AS string),'')&lt;&gt;coalesce(cast(flg_lbo_to_be AS string),'') ) A </v>
      </c>
      <c r="O197" s="76" t="str">
        <f t="shared" si="29"/>
        <v>SELECT 'Validação de campos' as tipologia_teste, 'lt002_instrument' AS TABELA, 'flg_lbo' AS CAMPO, '2024-09-30' as ref_date, coalesce(NUM_REG_DIF, 0) AS NUM_REG_DIF FROM (SELECT count(*) AS NUM_REG_DIF FROM (SELECT instrmnt_id as instrmnt_id_, flg_lbo as flg_lbo_as_is FROM cd_loan_tapes_bce.lt002_instrument WHERE ref_date='2024-09-30' AND nome_perimetro='Individual Corporativo' AND segmento='ESTR' AND ambito='PM' AND entidade='00100' ) A  Inner join (SELECT instrmnt_id as instrmnt_id_, flg_lbo as flg_lbo_to_be FROM bu_loantape_work.lt002_instrument WHERE ref_date='2024-09-30' AND nome_perimetro='Individual Corporativo' AND segmento='ESTR' AND ambito='PM' AND entidade='00100' ) B ON instrmnt_id_as_is=instrmnt_id_to_be WHERE coalesce(cast(flg_lbo_as_is AS string),'')&lt;&gt;coalesce(cast(flg_lbo_to_be AS string),'') ) A Union all</v>
      </c>
      <c r="P197" s="75">
        <f t="shared" si="31"/>
        <v>36</v>
      </c>
    </row>
    <row r="198" spans="2:16" s="63" customFormat="1" ht="18" customHeight="1">
      <c r="B198" s="75" t="s">
        <v>26</v>
      </c>
      <c r="C198" s="75" t="str">
        <f>_xlfn.CONCAT(Instruções!$D$13,".",VLOOKUP(B198,Instruções!$F$12:$H$17,2,0))</f>
        <v>cd_loan_tapes_bce.lt002_instrument</v>
      </c>
      <c r="D198" s="75" t="str">
        <f>_xlfn.CONCAT(Instruções!$D$14,".",VLOOKUP(B198,Instruções!$F$12:$H$17,3,0))</f>
        <v>bu_loantape_work.lt002_instrument</v>
      </c>
      <c r="E198" s="75" t="s">
        <v>237</v>
      </c>
      <c r="F198" s="75" t="str">
        <f t="shared" si="32"/>
        <v>frbrnc_stts_c19_as_is</v>
      </c>
      <c r="G198" s="75" t="str">
        <f t="shared" si="33"/>
        <v>frbrnc_stts_c19_to_be</v>
      </c>
      <c r="H198" s="75" t="str">
        <f>IF(VLOOKUP(B198,Instruções!$F$13:$J$17,5,0)="",
"(SELECT "&amp;VLOOKUP(B198,Instruções!$F$13:$J$17,4,0)&amp;" as "&amp;VLOOKUP(B198,Instruções!$F$13:$J$17,4,0)&amp;"_"&amp;$F$2&amp;", "&amp;E198&amp;" as "&amp;F198&amp;" FROM "&amp;C198&amp;" WHERE "&amp;Instruções!$D$20&amp;") A ",
"(SELECT "&amp;VLOOKUP(B198,Instruções!$F$13:$J$17,4,0)&amp;" as "&amp;VLOOKUP(B198,Instruções!$F$13:$J$17,4,0)&amp;"_"&amp;$F$2&amp;", "&amp;VLOOKUP(B198,Instruções!$F$13:$J$17,5,0)&amp;" as "&amp;VLOOKUP(B198,Instruções!$F$13:$J$17,5,0)&amp;"_"&amp;$F$2&amp;","&amp;E198&amp;" as "&amp;F198&amp;" FROM "&amp;C198&amp;" WHERE "&amp;Instruções!$D$20&amp;") A ")</f>
        <v xml:space="preserve">(SELECT instrmnt_id as instrmnt_id_, frbrnc_stts_c19 as frbrnc_stts_c19_as_is FROM cd_loan_tapes_bce.lt002_instrument WHERE ref_date='2024-09-30' AND nome_perimetro='Individual Corporativo' AND segmento='ESTR' AND ambito='PM' AND entidade='00100' ) A </v>
      </c>
      <c r="I198" s="75" t="str">
        <f>IF(VLOOKUP(B198,Instruções!$F$13:$J$17,5,0)="",
"(SELECT "&amp;VLOOKUP(B198,Instruções!$F$13:$J$17,4,0)&amp;" as "&amp;VLOOKUP(B198,Instruções!$F$13:$J$17,4,0)&amp;"_"&amp;$G$2&amp;", "&amp;E198&amp;" as "&amp;G198&amp;" FROM "&amp;D198&amp;" WHERE "&amp;Instruções!$D$21&amp;") B ",
"(SELECT "&amp;VLOOKUP(B198,Instruções!$F$13:$J$17,4,0)&amp;" as "&amp;VLOOKUP(B198,Instruções!$F$13:$J$17,4,0)&amp;"_"&amp;$G$2&amp;", "&amp;VLOOKUP(B198,Instruções!$F$13:$J$17,5,0)&amp;" as "&amp;VLOOKUP(B198,Instruções!$F$13:$J$17,5,0)&amp;"_"&amp;$G$2&amp;","&amp;E198&amp;" as "&amp;G198&amp;" FROM "&amp;D198&amp;" WHERE "&amp;Instruções!$D$21&amp;") B ")</f>
        <v xml:space="preserve">(SELECT instrmnt_id as instrmnt_id_, frbrnc_stts_c19 as frbrnc_stts_c19_to_be FROM bu_loantape_work.lt002_instrument WHERE ref_date='2024-09-30' AND nome_perimetro='Individual Corporativo' AND segmento='ESTR' AND ambito='PM' AND entidade='00100' ) B </v>
      </c>
      <c r="J198" s="75" t="str">
        <f>+IF(VLOOKUP(B198,Instruções!$F$13:$J$17,5,0)="", "ON "&amp;VLOOKUP(B198,Instruções!$F$13:$J$17,4,0)&amp;"_"&amp;$F$7&amp;"="&amp;VLOOKUP(B198,Instruções!$F$13:$J$17,4,0)&amp;"_"&amp;$G$7&amp;" ", "ON "&amp;VLOOKUP(B198,Instruções!$F$13:$J$17,4,0)&amp;"_"&amp;$F$7&amp;"="&amp;VLOOKUP(B198,Instruções!$F$13:$J$17,4,0)&amp;"_"&amp;$G$7&amp;" AND "&amp;VLOOKUP(B198,Instruções!$F$13:$J$17,5,0)&amp;"_"&amp;$F$7&amp;"="&amp;VLOOKUP(B198,Instruções!$F$13:$J$17,5,0)&amp;"_"&amp;$G$7&amp;" ")</f>
        <v xml:space="preserve">ON instrmnt_id_as_is=instrmnt_id_to_be </v>
      </c>
      <c r="K198" s="75" t="str">
        <f t="shared" si="27"/>
        <v xml:space="preserve">WHERE coalesce(cast(frbrnc_stts_c19_as_is AS string),'')&lt;&gt;coalesce(cast(frbrnc_stts_c19_to_be AS string),'') </v>
      </c>
      <c r="L198" s="75" t="str">
        <f t="shared" si="28"/>
        <v xml:space="preserve">SELECT count(*) AS NUM_REG_DIF FROM (SELECT instrmnt_id as instrmnt_id_, frbrnc_stts_c19 as frbrnc_stts_c19_as_is FROM cd_loan_tapes_bce.lt002_instrument WHERE ref_date='2024-09-30' AND nome_perimetro='Individual Corporativo' AND segmento='ESTR' AND ambito='PM' AND entidade='00100' ) A  Inner join (SELECT instrmnt_id as instrmnt_id_, frbrnc_stts_c19 as frbrnc_stts_c19_to_be FROM bu_loantape_work.lt002_instrument WHERE ref_date='2024-09-30' AND nome_perimetro='Individual Corporativo' AND segmento='ESTR' AND ambito='PM' AND entidade='00100' ) B ON instrmnt_id_as_is=instrmnt_id_to_be WHERE coalesce(cast(frbrnc_stts_c19_as_is AS string),'')&lt;&gt;coalesce(cast(frbrnc_stts_c19_to_be AS string),'') </v>
      </c>
      <c r="M198" s="75" t="s">
        <v>55</v>
      </c>
      <c r="N198" s="75" t="str">
        <f>"SELECT 'Validação de campos' as tipologia_teste, '"&amp;VLOOKUP(B198,Instruções!$F$13:$J$17,3,0)&amp;"' AS TABELA, '"&amp;E198&amp;"' AS CAMPO, '"&amp;Instruções!$D$15&amp;"' as ref_date, coalesce(NUM_REG_DIF, 0) AS NUM_REG_DIF FROM ("&amp;L198&amp;") A "</f>
        <v xml:space="preserve">SELECT 'Validação de campos' as tipologia_teste, 'lt002_instrument' AS TABELA, 'frbrnc_stts_c19' AS CAMPO, '2024-09-30' as ref_date, coalesce(NUM_REG_DIF, 0) AS NUM_REG_DIF FROM (SELECT count(*) AS NUM_REG_DIF FROM (SELECT instrmnt_id as instrmnt_id_, frbrnc_stts_c19 as frbrnc_stts_c19_as_is FROM cd_loan_tapes_bce.lt002_instrument WHERE ref_date='2024-09-30' AND nome_perimetro='Individual Corporativo' AND segmento='ESTR' AND ambito='PM' AND entidade='00100' ) A  Inner join (SELECT instrmnt_id as instrmnt_id_, frbrnc_stts_c19 as frbrnc_stts_c19_to_be FROM bu_loantape_work.lt002_instrument WHERE ref_date='2024-09-30' AND nome_perimetro='Individual Corporativo' AND segmento='ESTR' AND ambito='PM' AND entidade='00100' ) B ON instrmnt_id_as_is=instrmnt_id_to_be WHERE coalesce(cast(frbrnc_stts_c19_as_is AS string),'')&lt;&gt;coalesce(cast(frbrnc_stts_c19_to_be AS string),'') ) A </v>
      </c>
      <c r="O198" s="76" t="str">
        <f t="shared" si="29"/>
        <v>SELECT 'Validação de campos' as tipologia_teste, 'lt002_instrument' AS TABELA, 'frbrnc_stts_c19' AS CAMPO, '2024-09-30' as ref_date, coalesce(NUM_REG_DIF, 0) AS NUM_REG_DIF FROM (SELECT count(*) AS NUM_REG_DIF FROM (SELECT instrmnt_id as instrmnt_id_, frbrnc_stts_c19 as frbrnc_stts_c19_as_is FROM cd_loan_tapes_bce.lt002_instrument WHERE ref_date='2024-09-30' AND nome_perimetro='Individual Corporativo' AND segmento='ESTR' AND ambito='PM' AND entidade='00100' ) A  Inner join (SELECT instrmnt_id as instrmnt_id_, frbrnc_stts_c19 as frbrnc_stts_c19_to_be FROM bu_loantape_work.lt002_instrument WHERE ref_date='2024-09-30' AND nome_perimetro='Individual Corporativo' AND segmento='ESTR' AND ambito='PM' AND entidade='00100' ) B ON instrmnt_id_as_is=instrmnt_id_to_be WHERE coalesce(cast(frbrnc_stts_c19_as_is AS string),'')&lt;&gt;coalesce(cast(frbrnc_stts_c19_to_be AS string),'') ) A Union all</v>
      </c>
      <c r="P198" s="75">
        <f t="shared" si="31"/>
        <v>37</v>
      </c>
    </row>
    <row r="199" spans="2:16" s="63" customFormat="1" ht="18" customHeight="1">
      <c r="B199" s="75" t="s">
        <v>26</v>
      </c>
      <c r="C199" s="75" t="str">
        <f>_xlfn.CONCAT(Instruções!$D$13,".",VLOOKUP(B199,Instruções!$F$12:$H$17,2,0))</f>
        <v>cd_loan_tapes_bce.lt002_instrument</v>
      </c>
      <c r="D199" s="75" t="str">
        <f>_xlfn.CONCAT(Instruções!$D$14,".",VLOOKUP(B199,Instruções!$F$12:$H$17,3,0))</f>
        <v>bu_loantape_work.lt002_instrument</v>
      </c>
      <c r="E199" s="75" t="s">
        <v>238</v>
      </c>
      <c r="F199" s="75" t="str">
        <f t="shared" si="32"/>
        <v>frbrnc_stts_instrmnt_as_is</v>
      </c>
      <c r="G199" s="75" t="str">
        <f t="shared" si="33"/>
        <v>frbrnc_stts_instrmnt_to_be</v>
      </c>
      <c r="H199" s="75" t="str">
        <f>IF(VLOOKUP(B199,Instruções!$F$13:$J$17,5,0)="",
"(SELECT "&amp;VLOOKUP(B199,Instruções!$F$13:$J$17,4,0)&amp;" as "&amp;VLOOKUP(B199,Instruções!$F$13:$J$17,4,0)&amp;"_"&amp;$F$2&amp;", "&amp;E199&amp;" as "&amp;F199&amp;" FROM "&amp;C199&amp;" WHERE "&amp;Instruções!$D$20&amp;") A ",
"(SELECT "&amp;VLOOKUP(B199,Instruções!$F$13:$J$17,4,0)&amp;" as "&amp;VLOOKUP(B199,Instruções!$F$13:$J$17,4,0)&amp;"_"&amp;$F$2&amp;", "&amp;VLOOKUP(B199,Instruções!$F$13:$J$17,5,0)&amp;" as "&amp;VLOOKUP(B199,Instruções!$F$13:$J$17,5,0)&amp;"_"&amp;$F$2&amp;","&amp;E199&amp;" as "&amp;F199&amp;" FROM "&amp;C199&amp;" WHERE "&amp;Instruções!$D$20&amp;") A ")</f>
        <v xml:space="preserve">(SELECT instrmnt_id as instrmnt_id_, frbrnc_stts_instrmnt as frbrnc_stts_instrmnt_as_is FROM cd_loan_tapes_bce.lt002_instrument WHERE ref_date='2024-09-30' AND nome_perimetro='Individual Corporativo' AND segmento='ESTR' AND ambito='PM' AND entidade='00100' ) A </v>
      </c>
      <c r="I199" s="75" t="str">
        <f>IF(VLOOKUP(B199,Instruções!$F$13:$J$17,5,0)="",
"(SELECT "&amp;VLOOKUP(B199,Instruções!$F$13:$J$17,4,0)&amp;" as "&amp;VLOOKUP(B199,Instruções!$F$13:$J$17,4,0)&amp;"_"&amp;$G$2&amp;", "&amp;E199&amp;" as "&amp;G199&amp;" FROM "&amp;D199&amp;" WHERE "&amp;Instruções!$D$21&amp;") B ",
"(SELECT "&amp;VLOOKUP(B199,Instruções!$F$13:$J$17,4,0)&amp;" as "&amp;VLOOKUP(B199,Instruções!$F$13:$J$17,4,0)&amp;"_"&amp;$G$2&amp;", "&amp;VLOOKUP(B199,Instruções!$F$13:$J$17,5,0)&amp;" as "&amp;VLOOKUP(B199,Instruções!$F$13:$J$17,5,0)&amp;"_"&amp;$G$2&amp;","&amp;E199&amp;" as "&amp;G199&amp;" FROM "&amp;D199&amp;" WHERE "&amp;Instruções!$D$21&amp;") B ")</f>
        <v xml:space="preserve">(SELECT instrmnt_id as instrmnt_id_, frbrnc_stts_instrmnt as frbrnc_stts_instrmnt_to_be FROM bu_loantape_work.lt002_instrument WHERE ref_date='2024-09-30' AND nome_perimetro='Individual Corporativo' AND segmento='ESTR' AND ambito='PM' AND entidade='00100' ) B </v>
      </c>
      <c r="J199" s="75" t="str">
        <f>+IF(VLOOKUP(B199,Instruções!$F$13:$J$17,5,0)="", "ON "&amp;VLOOKUP(B199,Instruções!$F$13:$J$17,4,0)&amp;"_"&amp;$F$7&amp;"="&amp;VLOOKUP(B199,Instruções!$F$13:$J$17,4,0)&amp;"_"&amp;$G$7&amp;" ", "ON "&amp;VLOOKUP(B199,Instruções!$F$13:$J$17,4,0)&amp;"_"&amp;$F$7&amp;"="&amp;VLOOKUP(B199,Instruções!$F$13:$J$17,4,0)&amp;"_"&amp;$G$7&amp;" AND "&amp;VLOOKUP(B199,Instruções!$F$13:$J$17,5,0)&amp;"_"&amp;$F$7&amp;"="&amp;VLOOKUP(B199,Instruções!$F$13:$J$17,5,0)&amp;"_"&amp;$G$7&amp;" ")</f>
        <v xml:space="preserve">ON instrmnt_id_as_is=instrmnt_id_to_be </v>
      </c>
      <c r="K199" s="75" t="str">
        <f t="shared" si="27"/>
        <v xml:space="preserve">WHERE coalesce(cast(frbrnc_stts_instrmnt_as_is AS string),'')&lt;&gt;coalesce(cast(frbrnc_stts_instrmnt_to_be AS string),'') </v>
      </c>
      <c r="L199" s="75" t="str">
        <f t="shared" si="28"/>
        <v xml:space="preserve">SELECT count(*) AS NUM_REG_DIF FROM (SELECT instrmnt_id as instrmnt_id_, frbrnc_stts_instrmnt as frbrnc_stts_instrmnt_as_is FROM cd_loan_tapes_bce.lt002_instrument WHERE ref_date='2024-09-30' AND nome_perimetro='Individual Corporativo' AND segmento='ESTR' AND ambito='PM' AND entidade='00100' ) A  Inner join (SELECT instrmnt_id as instrmnt_id_, frbrnc_stts_instrmnt as frbrnc_stts_instrmnt_to_be FROM bu_loantape_work.lt002_instrument WHERE ref_date='2024-09-30' AND nome_perimetro='Individual Corporativo' AND segmento='ESTR' AND ambito='PM' AND entidade='00100' ) B ON instrmnt_id_as_is=instrmnt_id_to_be WHERE coalesce(cast(frbrnc_stts_instrmnt_as_is AS string),'')&lt;&gt;coalesce(cast(frbrnc_stts_instrmnt_to_be AS string),'') </v>
      </c>
      <c r="M199" s="75" t="s">
        <v>55</v>
      </c>
      <c r="N199" s="75" t="str">
        <f>"SELECT 'Validação de campos' as tipologia_teste, '"&amp;VLOOKUP(B199,Instruções!$F$13:$J$17,3,0)&amp;"' AS TABELA, '"&amp;E199&amp;"' AS CAMPO, '"&amp;Instruções!$D$15&amp;"' as ref_date, coalesce(NUM_REG_DIF, 0) AS NUM_REG_DIF FROM ("&amp;L199&amp;") A "</f>
        <v xml:space="preserve">SELECT 'Validação de campos' as tipologia_teste, 'lt002_instrument' AS TABELA, 'frbrnc_stts_instrmnt' AS CAMPO, '2024-09-30' as ref_date, coalesce(NUM_REG_DIF, 0) AS NUM_REG_DIF FROM (SELECT count(*) AS NUM_REG_DIF FROM (SELECT instrmnt_id as instrmnt_id_, frbrnc_stts_instrmnt as frbrnc_stts_instrmnt_as_is FROM cd_loan_tapes_bce.lt002_instrument WHERE ref_date='2024-09-30' AND nome_perimetro='Individual Corporativo' AND segmento='ESTR' AND ambito='PM' AND entidade='00100' ) A  Inner join (SELECT instrmnt_id as instrmnt_id_, frbrnc_stts_instrmnt as frbrnc_stts_instrmnt_to_be FROM bu_loantape_work.lt002_instrument WHERE ref_date='2024-09-30' AND nome_perimetro='Individual Corporativo' AND segmento='ESTR' AND ambito='PM' AND entidade='00100' ) B ON instrmnt_id_as_is=instrmnt_id_to_be WHERE coalesce(cast(frbrnc_stts_instrmnt_as_is AS string),'')&lt;&gt;coalesce(cast(frbrnc_stts_instrmnt_to_be AS string),'') ) A </v>
      </c>
      <c r="O199" s="76" t="str">
        <f t="shared" si="29"/>
        <v>SELECT 'Validação de campos' as tipologia_teste, 'lt002_instrument' AS TABELA, 'frbrnc_stts_instrmnt' AS CAMPO, '2024-09-30' as ref_date, coalesce(NUM_REG_DIF, 0) AS NUM_REG_DIF FROM (SELECT count(*) AS NUM_REG_DIF FROM (SELECT instrmnt_id as instrmnt_id_, frbrnc_stts_instrmnt as frbrnc_stts_instrmnt_as_is FROM cd_loan_tapes_bce.lt002_instrument WHERE ref_date='2024-09-30' AND nome_perimetro='Individual Corporativo' AND segmento='ESTR' AND ambito='PM' AND entidade='00100' ) A  Inner join (SELECT instrmnt_id as instrmnt_id_, frbrnc_stts_instrmnt as frbrnc_stts_instrmnt_to_be FROM bu_loantape_work.lt002_instrument WHERE ref_date='2024-09-30' AND nome_perimetro='Individual Corporativo' AND segmento='ESTR' AND ambito='PM' AND entidade='00100' ) B ON instrmnt_id_as_is=instrmnt_id_to_be WHERE coalesce(cast(frbrnc_stts_instrmnt_as_is AS string),'')&lt;&gt;coalesce(cast(frbrnc_stts_instrmnt_to_be AS string),'') ) A Union all</v>
      </c>
      <c r="P199" s="75">
        <f t="shared" si="31"/>
        <v>38</v>
      </c>
    </row>
    <row r="200" spans="2:16" s="63" customFormat="1" ht="18" customHeight="1">
      <c r="B200" s="75" t="s">
        <v>26</v>
      </c>
      <c r="C200" s="75" t="str">
        <f>_xlfn.CONCAT(Instruções!$D$13,".",VLOOKUP(B200,Instruções!$F$12:$H$17,2,0))</f>
        <v>cd_loan_tapes_bce.lt002_instrument</v>
      </c>
      <c r="D200" s="75" t="str">
        <f>_xlfn.CONCAT(Instruções!$D$14,".",VLOOKUP(B200,Instruções!$F$12:$H$17,3,0))</f>
        <v>bu_loantape_work.lt002_instrument</v>
      </c>
      <c r="E200" s="75" t="s">
        <v>239</v>
      </c>
      <c r="F200" s="75" t="str">
        <f t="shared" si="32"/>
        <v>grc_prd_cptl_intrst_c19_as_is</v>
      </c>
      <c r="G200" s="75" t="str">
        <f t="shared" si="33"/>
        <v>grc_prd_cptl_intrst_c19_to_be</v>
      </c>
      <c r="H200" s="75" t="str">
        <f>IF(VLOOKUP(B200,Instruções!$F$13:$J$17,5,0)="",
"(SELECT "&amp;VLOOKUP(B200,Instruções!$F$13:$J$17,4,0)&amp;" as "&amp;VLOOKUP(B200,Instruções!$F$13:$J$17,4,0)&amp;"_"&amp;$F$2&amp;", "&amp;E200&amp;" as "&amp;F200&amp;" FROM "&amp;C200&amp;" WHERE "&amp;Instruções!$D$20&amp;") A ",
"(SELECT "&amp;VLOOKUP(B200,Instruções!$F$13:$J$17,4,0)&amp;" as "&amp;VLOOKUP(B200,Instruções!$F$13:$J$17,4,0)&amp;"_"&amp;$F$2&amp;", "&amp;VLOOKUP(B200,Instruções!$F$13:$J$17,5,0)&amp;" as "&amp;VLOOKUP(B200,Instruções!$F$13:$J$17,5,0)&amp;"_"&amp;$F$2&amp;","&amp;E200&amp;" as "&amp;F200&amp;" FROM "&amp;C200&amp;" WHERE "&amp;Instruções!$D$20&amp;") A ")</f>
        <v xml:space="preserve">(SELECT instrmnt_id as instrmnt_id_, grc_prd_cptl_intrst_c19 as grc_prd_cptl_intrst_c19_as_is FROM cd_loan_tapes_bce.lt002_instrument WHERE ref_date='2024-09-30' AND nome_perimetro='Individual Corporativo' AND segmento='ESTR' AND ambito='PM' AND entidade='00100' ) A </v>
      </c>
      <c r="I200" s="75" t="str">
        <f>IF(VLOOKUP(B200,Instruções!$F$13:$J$17,5,0)="",
"(SELECT "&amp;VLOOKUP(B200,Instruções!$F$13:$J$17,4,0)&amp;" as "&amp;VLOOKUP(B200,Instruções!$F$13:$J$17,4,0)&amp;"_"&amp;$G$2&amp;", "&amp;E200&amp;" as "&amp;G200&amp;" FROM "&amp;D200&amp;" WHERE "&amp;Instruções!$D$21&amp;") B ",
"(SELECT "&amp;VLOOKUP(B200,Instruções!$F$13:$J$17,4,0)&amp;" as "&amp;VLOOKUP(B200,Instruções!$F$13:$J$17,4,0)&amp;"_"&amp;$G$2&amp;", "&amp;VLOOKUP(B200,Instruções!$F$13:$J$17,5,0)&amp;" as "&amp;VLOOKUP(B200,Instruções!$F$13:$J$17,5,0)&amp;"_"&amp;$G$2&amp;","&amp;E200&amp;" as "&amp;G200&amp;" FROM "&amp;D200&amp;" WHERE "&amp;Instruções!$D$21&amp;") B ")</f>
        <v xml:space="preserve">(SELECT instrmnt_id as instrmnt_id_, grc_prd_cptl_intrst_c19 as grc_prd_cptl_intrst_c19_to_be FROM bu_loantape_work.lt002_instrument WHERE ref_date='2024-09-30' AND nome_perimetro='Individual Corporativo' AND segmento='ESTR' AND ambito='PM' AND entidade='00100' ) B </v>
      </c>
      <c r="J200" s="75" t="str">
        <f>+IF(VLOOKUP(B200,Instruções!$F$13:$J$17,5,0)="", "ON "&amp;VLOOKUP(B200,Instruções!$F$13:$J$17,4,0)&amp;"_"&amp;$F$7&amp;"="&amp;VLOOKUP(B200,Instruções!$F$13:$J$17,4,0)&amp;"_"&amp;$G$7&amp;" ", "ON "&amp;VLOOKUP(B200,Instruções!$F$13:$J$17,4,0)&amp;"_"&amp;$F$7&amp;"="&amp;VLOOKUP(B200,Instruções!$F$13:$J$17,4,0)&amp;"_"&amp;$G$7&amp;" AND "&amp;VLOOKUP(B200,Instruções!$F$13:$J$17,5,0)&amp;"_"&amp;$F$7&amp;"="&amp;VLOOKUP(B200,Instruções!$F$13:$J$17,5,0)&amp;"_"&amp;$G$7&amp;" ")</f>
        <v xml:space="preserve">ON instrmnt_id_as_is=instrmnt_id_to_be </v>
      </c>
      <c r="K200" s="75" t="str">
        <f t="shared" si="27"/>
        <v xml:space="preserve">WHERE coalesce(cast(grc_prd_cptl_intrst_c19_as_is AS string),'')&lt;&gt;coalesce(cast(grc_prd_cptl_intrst_c19_to_be AS string),'') </v>
      </c>
      <c r="L200" s="75" t="str">
        <f t="shared" si="28"/>
        <v xml:space="preserve">SELECT count(*) AS NUM_REG_DIF FROM (SELECT instrmnt_id as instrmnt_id_, grc_prd_cptl_intrst_c19 as grc_prd_cptl_intrst_c19_as_is FROM cd_loan_tapes_bce.lt002_instrument WHERE ref_date='2024-09-30' AND nome_perimetro='Individual Corporativo' AND segmento='ESTR' AND ambito='PM' AND entidade='00100' ) A  Inner join (SELECT instrmnt_id as instrmnt_id_, grc_prd_cptl_intrst_c19 as grc_prd_cptl_intrst_c19_to_be FROM bu_loantape_work.lt002_instrument WHERE ref_date='2024-09-30' AND nome_perimetro='Individual Corporativo' AND segmento='ESTR' AND ambito='PM' AND entidade='00100' ) B ON instrmnt_id_as_is=instrmnt_id_to_be WHERE coalesce(cast(grc_prd_cptl_intrst_c19_as_is AS string),'')&lt;&gt;coalesce(cast(grc_prd_cptl_intrst_c19_to_be AS string),'') </v>
      </c>
      <c r="M200" s="75" t="s">
        <v>55</v>
      </c>
      <c r="N200" s="75" t="str">
        <f>"SELECT 'Validação de campos' as tipologia_teste, '"&amp;VLOOKUP(B200,Instruções!$F$13:$J$17,3,0)&amp;"' AS TABELA, '"&amp;E200&amp;"' AS CAMPO, '"&amp;Instruções!$D$15&amp;"' as ref_date, coalesce(NUM_REG_DIF, 0) AS NUM_REG_DIF FROM ("&amp;L200&amp;") A "</f>
        <v xml:space="preserve">SELECT 'Validação de campos' as tipologia_teste, 'lt002_instrument' AS TABELA, 'grc_prd_cptl_intrst_c19' AS CAMPO, '2024-09-30' as ref_date, coalesce(NUM_REG_DIF, 0) AS NUM_REG_DIF FROM (SELECT count(*) AS NUM_REG_DIF FROM (SELECT instrmnt_id as instrmnt_id_, grc_prd_cptl_intrst_c19 as grc_prd_cptl_intrst_c19_as_is FROM cd_loan_tapes_bce.lt002_instrument WHERE ref_date='2024-09-30' AND nome_perimetro='Individual Corporativo' AND segmento='ESTR' AND ambito='PM' AND entidade='00100' ) A  Inner join (SELECT instrmnt_id as instrmnt_id_, grc_prd_cptl_intrst_c19 as grc_prd_cptl_intrst_c19_to_be FROM bu_loantape_work.lt002_instrument WHERE ref_date='2024-09-30' AND nome_perimetro='Individual Corporativo' AND segmento='ESTR' AND ambito='PM' AND entidade='00100' ) B ON instrmnt_id_as_is=instrmnt_id_to_be WHERE coalesce(cast(grc_prd_cptl_intrst_c19_as_is AS string),'')&lt;&gt;coalesce(cast(grc_prd_cptl_intrst_c19_to_be AS string),'') ) A </v>
      </c>
      <c r="O200" s="76" t="str">
        <f t="shared" si="29"/>
        <v>SELECT 'Validação de campos' as tipologia_teste, 'lt002_instrument' AS TABELA, 'grc_prd_cptl_intrst_c19' AS CAMPO, '2024-09-30' as ref_date, coalesce(NUM_REG_DIF, 0) AS NUM_REG_DIF FROM (SELECT count(*) AS NUM_REG_DIF FROM (SELECT instrmnt_id as instrmnt_id_, grc_prd_cptl_intrst_c19 as grc_prd_cptl_intrst_c19_as_is FROM cd_loan_tapes_bce.lt002_instrument WHERE ref_date='2024-09-30' AND nome_perimetro='Individual Corporativo' AND segmento='ESTR' AND ambito='PM' AND entidade='00100' ) A  Inner join (SELECT instrmnt_id as instrmnt_id_, grc_prd_cptl_intrst_c19 as grc_prd_cptl_intrst_c19_to_be FROM bu_loantape_work.lt002_instrument WHERE ref_date='2024-09-30' AND nome_perimetro='Individual Corporativo' AND segmento='ESTR' AND ambito='PM' AND entidade='00100' ) B ON instrmnt_id_as_is=instrmnt_id_to_be WHERE coalesce(cast(grc_prd_cptl_intrst_c19_as_is AS string),'')&lt;&gt;coalesce(cast(grc_prd_cptl_intrst_c19_to_be AS string),'') ) A Union all</v>
      </c>
      <c r="P200" s="75">
        <f t="shared" si="31"/>
        <v>39</v>
      </c>
    </row>
    <row r="201" spans="2:16" s="63" customFormat="1" ht="18" customHeight="1">
      <c r="B201" s="75" t="s">
        <v>26</v>
      </c>
      <c r="C201" s="75" t="str">
        <f>_xlfn.CONCAT(Instruções!$D$13,".",VLOOKUP(B201,Instruções!$F$12:$H$17,2,0))</f>
        <v>cd_loan_tapes_bce.lt002_instrument</v>
      </c>
      <c r="D201" s="75" t="str">
        <f>_xlfn.CONCAT(Instruções!$D$14,".",VLOOKUP(B201,Instruções!$F$12:$H$17,3,0))</f>
        <v>bu_loantape_work.lt002_instrument</v>
      </c>
      <c r="E201" s="75" t="s">
        <v>240</v>
      </c>
      <c r="F201" s="75" t="str">
        <f t="shared" si="32"/>
        <v>grntr_id_as_is</v>
      </c>
      <c r="G201" s="75" t="str">
        <f t="shared" si="33"/>
        <v>grntr_id_to_be</v>
      </c>
      <c r="H201" s="75" t="str">
        <f>IF(VLOOKUP(B201,Instruções!$F$13:$J$17,5,0)="",
"(SELECT "&amp;VLOOKUP(B201,Instruções!$F$13:$J$17,4,0)&amp;" as "&amp;VLOOKUP(B201,Instruções!$F$13:$J$17,4,0)&amp;"_"&amp;$F$2&amp;", "&amp;E201&amp;" as "&amp;F201&amp;" FROM "&amp;C201&amp;" WHERE "&amp;Instruções!$D$20&amp;") A ",
"(SELECT "&amp;VLOOKUP(B201,Instruções!$F$13:$J$17,4,0)&amp;" as "&amp;VLOOKUP(B201,Instruções!$F$13:$J$17,4,0)&amp;"_"&amp;$F$2&amp;", "&amp;VLOOKUP(B201,Instruções!$F$13:$J$17,5,0)&amp;" as "&amp;VLOOKUP(B201,Instruções!$F$13:$J$17,5,0)&amp;"_"&amp;$F$2&amp;","&amp;E201&amp;" as "&amp;F201&amp;" FROM "&amp;C201&amp;" WHERE "&amp;Instruções!$D$20&amp;") A ")</f>
        <v xml:space="preserve">(SELECT instrmnt_id as instrmnt_id_, grntr_id as grntr_id_as_is FROM cd_loan_tapes_bce.lt002_instrument WHERE ref_date='2024-09-30' AND nome_perimetro='Individual Corporativo' AND segmento='ESTR' AND ambito='PM' AND entidade='00100' ) A </v>
      </c>
      <c r="I201" s="75" t="str">
        <f>IF(VLOOKUP(B201,Instruções!$F$13:$J$17,5,0)="",
"(SELECT "&amp;VLOOKUP(B201,Instruções!$F$13:$J$17,4,0)&amp;" as "&amp;VLOOKUP(B201,Instruções!$F$13:$J$17,4,0)&amp;"_"&amp;$G$2&amp;", "&amp;E201&amp;" as "&amp;G201&amp;" FROM "&amp;D201&amp;" WHERE "&amp;Instruções!$D$21&amp;") B ",
"(SELECT "&amp;VLOOKUP(B201,Instruções!$F$13:$J$17,4,0)&amp;" as "&amp;VLOOKUP(B201,Instruções!$F$13:$J$17,4,0)&amp;"_"&amp;$G$2&amp;", "&amp;VLOOKUP(B201,Instruções!$F$13:$J$17,5,0)&amp;" as "&amp;VLOOKUP(B201,Instruções!$F$13:$J$17,5,0)&amp;"_"&amp;$G$2&amp;","&amp;E201&amp;" as "&amp;G201&amp;" FROM "&amp;D201&amp;" WHERE "&amp;Instruções!$D$21&amp;") B ")</f>
        <v xml:space="preserve">(SELECT instrmnt_id as instrmnt_id_, grntr_id as grntr_id_to_be FROM bu_loantape_work.lt002_instrument WHERE ref_date='2024-09-30' AND nome_perimetro='Individual Corporativo' AND segmento='ESTR' AND ambito='PM' AND entidade='00100' ) B </v>
      </c>
      <c r="J201" s="75" t="str">
        <f>+IF(VLOOKUP(B201,Instruções!$F$13:$J$17,5,0)="", "ON "&amp;VLOOKUP(B201,Instruções!$F$13:$J$17,4,0)&amp;"_"&amp;$F$7&amp;"="&amp;VLOOKUP(B201,Instruções!$F$13:$J$17,4,0)&amp;"_"&amp;$G$7&amp;" ", "ON "&amp;VLOOKUP(B201,Instruções!$F$13:$J$17,4,0)&amp;"_"&amp;$F$7&amp;"="&amp;VLOOKUP(B201,Instruções!$F$13:$J$17,4,0)&amp;"_"&amp;$G$7&amp;" AND "&amp;VLOOKUP(B201,Instruções!$F$13:$J$17,5,0)&amp;"_"&amp;$F$7&amp;"="&amp;VLOOKUP(B201,Instruções!$F$13:$J$17,5,0)&amp;"_"&amp;$G$7&amp;" ")</f>
        <v xml:space="preserve">ON instrmnt_id_as_is=instrmnt_id_to_be </v>
      </c>
      <c r="K201" s="75" t="str">
        <f t="shared" si="27"/>
        <v xml:space="preserve">WHERE coalesce(cast(grntr_id_as_is AS string),'')&lt;&gt;coalesce(cast(grntr_id_to_be AS string),'') </v>
      </c>
      <c r="L201" s="75" t="str">
        <f t="shared" si="28"/>
        <v xml:space="preserve">SELECT count(*) AS NUM_REG_DIF FROM (SELECT instrmnt_id as instrmnt_id_, grntr_id as grntr_id_as_is FROM cd_loan_tapes_bce.lt002_instrument WHERE ref_date='2024-09-30' AND nome_perimetro='Individual Corporativo' AND segmento='ESTR' AND ambito='PM' AND entidade='00100' ) A  Inner join (SELECT instrmnt_id as instrmnt_id_, grntr_id as grntr_id_to_be FROM bu_loantape_work.lt002_instrument WHERE ref_date='2024-09-30' AND nome_perimetro='Individual Corporativo' AND segmento='ESTR' AND ambito='PM' AND entidade='00100' ) B ON instrmnt_id_as_is=instrmnt_id_to_be WHERE coalesce(cast(grntr_id_as_is AS string),'')&lt;&gt;coalesce(cast(grntr_id_to_be AS string),'') </v>
      </c>
      <c r="M201" s="75" t="s">
        <v>55</v>
      </c>
      <c r="N201" s="75" t="str">
        <f>"SELECT 'Validação de campos' as tipologia_teste, '"&amp;VLOOKUP(B201,Instruções!$F$13:$J$17,3,0)&amp;"' AS TABELA, '"&amp;E201&amp;"' AS CAMPO, '"&amp;Instruções!$D$15&amp;"' as ref_date, coalesce(NUM_REG_DIF, 0) AS NUM_REG_DIF FROM ("&amp;L201&amp;") A "</f>
        <v xml:space="preserve">SELECT 'Validação de campos' as tipologia_teste, 'lt002_instrument' AS TABELA, 'grntr_id' AS CAMPO, '2024-09-30' as ref_date, coalesce(NUM_REG_DIF, 0) AS NUM_REG_DIF FROM (SELECT count(*) AS NUM_REG_DIF FROM (SELECT instrmnt_id as instrmnt_id_, grntr_id as grntr_id_as_is FROM cd_loan_tapes_bce.lt002_instrument WHERE ref_date='2024-09-30' AND nome_perimetro='Individual Corporativo' AND segmento='ESTR' AND ambito='PM' AND entidade='00100' ) A  Inner join (SELECT instrmnt_id as instrmnt_id_, grntr_id as grntr_id_to_be FROM bu_loantape_work.lt002_instrument WHERE ref_date='2024-09-30' AND nome_perimetro='Individual Corporativo' AND segmento='ESTR' AND ambito='PM' AND entidade='00100' ) B ON instrmnt_id_as_is=instrmnt_id_to_be WHERE coalesce(cast(grntr_id_as_is AS string),'')&lt;&gt;coalesce(cast(grntr_id_to_be AS string),'') ) A </v>
      </c>
      <c r="O201" s="76" t="str">
        <f t="shared" si="29"/>
        <v>SELECT 'Validação de campos' as tipologia_teste, 'lt002_instrument' AS TABELA, 'grntr_id' AS CAMPO, '2024-09-30' as ref_date, coalesce(NUM_REG_DIF, 0) AS NUM_REG_DIF FROM (SELECT count(*) AS NUM_REG_DIF FROM (SELECT instrmnt_id as instrmnt_id_, grntr_id as grntr_id_as_is FROM cd_loan_tapes_bce.lt002_instrument WHERE ref_date='2024-09-30' AND nome_perimetro='Individual Corporativo' AND segmento='ESTR' AND ambito='PM' AND entidade='00100' ) A  Inner join (SELECT instrmnt_id as instrmnt_id_, grntr_id as grntr_id_to_be FROM bu_loantape_work.lt002_instrument WHERE ref_date='2024-09-30' AND nome_perimetro='Individual Corporativo' AND segmento='ESTR' AND ambito='PM' AND entidade='00100' ) B ON instrmnt_id_as_is=instrmnt_id_to_be WHERE coalesce(cast(grntr_id_as_is AS string),'')&lt;&gt;coalesce(cast(grntr_id_to_be AS string),'') ) A Union all</v>
      </c>
      <c r="P201" s="75">
        <f t="shared" si="31"/>
        <v>40</v>
      </c>
    </row>
    <row r="202" spans="2:16" s="63" customFormat="1" ht="18" customHeight="1">
      <c r="B202" s="75" t="s">
        <v>26</v>
      </c>
      <c r="C202" s="75" t="str">
        <f>_xlfn.CONCAT(Instruções!$D$13,".",VLOOKUP(B202,Instruções!$F$12:$H$17,2,0))</f>
        <v>cd_loan_tapes_bce.lt002_instrument</v>
      </c>
      <c r="D202" s="75" t="str">
        <f>_xlfn.CONCAT(Instruções!$D$14,".",VLOOKUP(B202,Instruções!$F$12:$H$17,3,0))</f>
        <v>bu_loantape_work.lt002_instrument</v>
      </c>
      <c r="E202" s="75" t="s">
        <v>241</v>
      </c>
      <c r="F202" s="75" t="str">
        <f t="shared" si="32"/>
        <v>grntr_id_typ_as_is</v>
      </c>
      <c r="G202" s="75" t="str">
        <f t="shared" si="33"/>
        <v>grntr_id_typ_to_be</v>
      </c>
      <c r="H202" s="75" t="str">
        <f>IF(VLOOKUP(B202,Instruções!$F$13:$J$17,5,0)="",
"(SELECT "&amp;VLOOKUP(B202,Instruções!$F$13:$J$17,4,0)&amp;" as "&amp;VLOOKUP(B202,Instruções!$F$13:$J$17,4,0)&amp;"_"&amp;$F$2&amp;", "&amp;E202&amp;" as "&amp;F202&amp;" FROM "&amp;C202&amp;" WHERE "&amp;Instruções!$D$20&amp;") A ",
"(SELECT "&amp;VLOOKUP(B202,Instruções!$F$13:$J$17,4,0)&amp;" as "&amp;VLOOKUP(B202,Instruções!$F$13:$J$17,4,0)&amp;"_"&amp;$F$2&amp;", "&amp;VLOOKUP(B202,Instruções!$F$13:$J$17,5,0)&amp;" as "&amp;VLOOKUP(B202,Instruções!$F$13:$J$17,5,0)&amp;"_"&amp;$F$2&amp;","&amp;E202&amp;" as "&amp;F202&amp;" FROM "&amp;C202&amp;" WHERE "&amp;Instruções!$D$20&amp;") A ")</f>
        <v xml:space="preserve">(SELECT instrmnt_id as instrmnt_id_, grntr_id_typ as grntr_id_typ_as_is FROM cd_loan_tapes_bce.lt002_instrument WHERE ref_date='2024-09-30' AND nome_perimetro='Individual Corporativo' AND segmento='ESTR' AND ambito='PM' AND entidade='00100' ) A </v>
      </c>
      <c r="I202" s="75" t="str">
        <f>IF(VLOOKUP(B202,Instruções!$F$13:$J$17,5,0)="",
"(SELECT "&amp;VLOOKUP(B202,Instruções!$F$13:$J$17,4,0)&amp;" as "&amp;VLOOKUP(B202,Instruções!$F$13:$J$17,4,0)&amp;"_"&amp;$G$2&amp;", "&amp;E202&amp;" as "&amp;G202&amp;" FROM "&amp;D202&amp;" WHERE "&amp;Instruções!$D$21&amp;") B ",
"(SELECT "&amp;VLOOKUP(B202,Instruções!$F$13:$J$17,4,0)&amp;" as "&amp;VLOOKUP(B202,Instruções!$F$13:$J$17,4,0)&amp;"_"&amp;$G$2&amp;", "&amp;VLOOKUP(B202,Instruções!$F$13:$J$17,5,0)&amp;" as "&amp;VLOOKUP(B202,Instruções!$F$13:$J$17,5,0)&amp;"_"&amp;$G$2&amp;","&amp;E202&amp;" as "&amp;G202&amp;" FROM "&amp;D202&amp;" WHERE "&amp;Instruções!$D$21&amp;") B ")</f>
        <v xml:space="preserve">(SELECT instrmnt_id as instrmnt_id_, grntr_id_typ as grntr_id_typ_to_be FROM bu_loantape_work.lt002_instrument WHERE ref_date='2024-09-30' AND nome_perimetro='Individual Corporativo' AND segmento='ESTR' AND ambito='PM' AND entidade='00100' ) B </v>
      </c>
      <c r="J202" s="75" t="str">
        <f>+IF(VLOOKUP(B202,Instruções!$F$13:$J$17,5,0)="", "ON "&amp;VLOOKUP(B202,Instruções!$F$13:$J$17,4,0)&amp;"_"&amp;$F$7&amp;"="&amp;VLOOKUP(B202,Instruções!$F$13:$J$17,4,0)&amp;"_"&amp;$G$7&amp;" ", "ON "&amp;VLOOKUP(B202,Instruções!$F$13:$J$17,4,0)&amp;"_"&amp;$F$7&amp;"="&amp;VLOOKUP(B202,Instruções!$F$13:$J$17,4,0)&amp;"_"&amp;$G$7&amp;" AND "&amp;VLOOKUP(B202,Instruções!$F$13:$J$17,5,0)&amp;"_"&amp;$F$7&amp;"="&amp;VLOOKUP(B202,Instruções!$F$13:$J$17,5,0)&amp;"_"&amp;$G$7&amp;" ")</f>
        <v xml:space="preserve">ON instrmnt_id_as_is=instrmnt_id_to_be </v>
      </c>
      <c r="K202" s="75" t="str">
        <f t="shared" si="27"/>
        <v xml:space="preserve">WHERE coalesce(cast(grntr_id_typ_as_is AS string),'')&lt;&gt;coalesce(cast(grntr_id_typ_to_be AS string),'') </v>
      </c>
      <c r="L202" s="75" t="str">
        <f t="shared" si="28"/>
        <v xml:space="preserve">SELECT count(*) AS NUM_REG_DIF FROM (SELECT instrmnt_id as instrmnt_id_, grntr_id_typ as grntr_id_typ_as_is FROM cd_loan_tapes_bce.lt002_instrument WHERE ref_date='2024-09-30' AND nome_perimetro='Individual Corporativo' AND segmento='ESTR' AND ambito='PM' AND entidade='00100' ) A  Inner join (SELECT instrmnt_id as instrmnt_id_, grntr_id_typ as grntr_id_typ_to_be FROM bu_loantape_work.lt002_instrument WHERE ref_date='2024-09-30' AND nome_perimetro='Individual Corporativo' AND segmento='ESTR' AND ambito='PM' AND entidade='00100' ) B ON instrmnt_id_as_is=instrmnt_id_to_be WHERE coalesce(cast(grntr_id_typ_as_is AS string),'')&lt;&gt;coalesce(cast(grntr_id_typ_to_be AS string),'') </v>
      </c>
      <c r="M202" s="75" t="s">
        <v>55</v>
      </c>
      <c r="N202" s="75" t="str">
        <f>"SELECT 'Validação de campos' as tipologia_teste, '"&amp;VLOOKUP(B202,Instruções!$F$13:$J$17,3,0)&amp;"' AS TABELA, '"&amp;E202&amp;"' AS CAMPO, '"&amp;Instruções!$D$15&amp;"' as ref_date, coalesce(NUM_REG_DIF, 0) AS NUM_REG_DIF FROM ("&amp;L202&amp;") A "</f>
        <v xml:space="preserve">SELECT 'Validação de campos' as tipologia_teste, 'lt002_instrument' AS TABELA, 'grntr_id_typ' AS CAMPO, '2024-09-30' as ref_date, coalesce(NUM_REG_DIF, 0) AS NUM_REG_DIF FROM (SELECT count(*) AS NUM_REG_DIF FROM (SELECT instrmnt_id as instrmnt_id_, grntr_id_typ as grntr_id_typ_as_is FROM cd_loan_tapes_bce.lt002_instrument WHERE ref_date='2024-09-30' AND nome_perimetro='Individual Corporativo' AND segmento='ESTR' AND ambito='PM' AND entidade='00100' ) A  Inner join (SELECT instrmnt_id as instrmnt_id_, grntr_id_typ as grntr_id_typ_to_be FROM bu_loantape_work.lt002_instrument WHERE ref_date='2024-09-30' AND nome_perimetro='Individual Corporativo' AND segmento='ESTR' AND ambito='PM' AND entidade='00100' ) B ON instrmnt_id_as_is=instrmnt_id_to_be WHERE coalesce(cast(grntr_id_typ_as_is AS string),'')&lt;&gt;coalesce(cast(grntr_id_typ_to_be AS string),'') ) A </v>
      </c>
      <c r="O202" s="76" t="str">
        <f t="shared" si="29"/>
        <v>SELECT 'Validação de campos' as tipologia_teste, 'lt002_instrument' AS TABELA, 'grntr_id_typ' AS CAMPO, '2024-09-30' as ref_date, coalesce(NUM_REG_DIF, 0) AS NUM_REG_DIF FROM (SELECT count(*) AS NUM_REG_DIF FROM (SELECT instrmnt_id as instrmnt_id_, grntr_id_typ as grntr_id_typ_as_is FROM cd_loan_tapes_bce.lt002_instrument WHERE ref_date='2024-09-30' AND nome_perimetro='Individual Corporativo' AND segmento='ESTR' AND ambito='PM' AND entidade='00100' ) A  Inner join (SELECT instrmnt_id as instrmnt_id_, grntr_id_typ as grntr_id_typ_to_be FROM bu_loantape_work.lt002_instrument WHERE ref_date='2024-09-30' AND nome_perimetro='Individual Corporativo' AND segmento='ESTR' AND ambito='PM' AND entidade='00100' ) B ON instrmnt_id_as_is=instrmnt_id_to_be WHERE coalesce(cast(grntr_id_typ_as_is AS string),'')&lt;&gt;coalesce(cast(grntr_id_typ_to_be AS string),'') ) A Union all</v>
      </c>
      <c r="P202" s="75">
        <f t="shared" si="31"/>
        <v>41</v>
      </c>
    </row>
    <row r="203" spans="2:16" s="63" customFormat="1" ht="18" customHeight="1">
      <c r="B203" s="75" t="s">
        <v>26</v>
      </c>
      <c r="C203" s="75" t="str">
        <f>_xlfn.CONCAT(Instruções!$D$13,".",VLOOKUP(B203,Instruções!$F$12:$H$17,2,0))</f>
        <v>cd_loan_tapes_bce.lt002_instrument</v>
      </c>
      <c r="D203" s="75" t="str">
        <f>_xlfn.CONCAT(Instruções!$D$14,".",VLOOKUP(B203,Instruções!$F$12:$H$17,3,0))</f>
        <v>bu_loantape_work.lt002_instrument</v>
      </c>
      <c r="E203" s="75" t="s">
        <v>242</v>
      </c>
      <c r="F203" s="75" t="str">
        <f t="shared" si="32"/>
        <v>grss_crryng_amnt_instrmnt_as_is</v>
      </c>
      <c r="G203" s="75" t="str">
        <f t="shared" si="33"/>
        <v>grss_crryng_amnt_instrmnt_to_be</v>
      </c>
      <c r="H203" s="75" t="str">
        <f>IF(VLOOKUP(B203,Instruções!$F$13:$J$17,5,0)="",
"(SELECT "&amp;VLOOKUP(B203,Instruções!$F$13:$J$17,4,0)&amp;" as "&amp;VLOOKUP(B203,Instruções!$F$13:$J$17,4,0)&amp;"_"&amp;$F$2&amp;", "&amp;E203&amp;" as "&amp;F203&amp;" FROM "&amp;C203&amp;" WHERE "&amp;Instruções!$D$20&amp;") A ",
"(SELECT "&amp;VLOOKUP(B203,Instruções!$F$13:$J$17,4,0)&amp;" as "&amp;VLOOKUP(B203,Instruções!$F$13:$J$17,4,0)&amp;"_"&amp;$F$2&amp;", "&amp;VLOOKUP(B203,Instruções!$F$13:$J$17,5,0)&amp;" as "&amp;VLOOKUP(B203,Instruções!$F$13:$J$17,5,0)&amp;"_"&amp;$F$2&amp;","&amp;E203&amp;" as "&amp;F203&amp;" FROM "&amp;C203&amp;" WHERE "&amp;Instruções!$D$20&amp;") A ")</f>
        <v xml:space="preserve">(SELECT instrmnt_id as instrmnt_id_, grss_crryng_amnt_instrmnt as grss_crryng_amnt_instrmnt_as_is FROM cd_loan_tapes_bce.lt002_instrument WHERE ref_date='2024-09-30' AND nome_perimetro='Individual Corporativo' AND segmento='ESTR' AND ambito='PM' AND entidade='00100' ) A </v>
      </c>
      <c r="I203" s="75" t="str">
        <f>IF(VLOOKUP(B203,Instruções!$F$13:$J$17,5,0)="",
"(SELECT "&amp;VLOOKUP(B203,Instruções!$F$13:$J$17,4,0)&amp;" as "&amp;VLOOKUP(B203,Instruções!$F$13:$J$17,4,0)&amp;"_"&amp;$G$2&amp;", "&amp;E203&amp;" as "&amp;G203&amp;" FROM "&amp;D203&amp;" WHERE "&amp;Instruções!$D$21&amp;") B ",
"(SELECT "&amp;VLOOKUP(B203,Instruções!$F$13:$J$17,4,0)&amp;" as "&amp;VLOOKUP(B203,Instruções!$F$13:$J$17,4,0)&amp;"_"&amp;$G$2&amp;", "&amp;VLOOKUP(B203,Instruções!$F$13:$J$17,5,0)&amp;" as "&amp;VLOOKUP(B203,Instruções!$F$13:$J$17,5,0)&amp;"_"&amp;$G$2&amp;","&amp;E203&amp;" as "&amp;G203&amp;" FROM "&amp;D203&amp;" WHERE "&amp;Instruções!$D$21&amp;") B ")</f>
        <v xml:space="preserve">(SELECT instrmnt_id as instrmnt_id_, grss_crryng_amnt_instrmnt as grss_crryng_amnt_instrmnt_to_be FROM bu_loantape_work.lt002_instrument WHERE ref_date='2024-09-30' AND nome_perimetro='Individual Corporativo' AND segmento='ESTR' AND ambito='PM' AND entidade='00100' ) B </v>
      </c>
      <c r="J203" s="75" t="str">
        <f>+IF(VLOOKUP(B203,Instruções!$F$13:$J$17,5,0)="", "ON "&amp;VLOOKUP(B203,Instruções!$F$13:$J$17,4,0)&amp;"_"&amp;$F$7&amp;"="&amp;VLOOKUP(B203,Instruções!$F$13:$J$17,4,0)&amp;"_"&amp;$G$7&amp;" ", "ON "&amp;VLOOKUP(B203,Instruções!$F$13:$J$17,4,0)&amp;"_"&amp;$F$7&amp;"="&amp;VLOOKUP(B203,Instruções!$F$13:$J$17,4,0)&amp;"_"&amp;$G$7&amp;" AND "&amp;VLOOKUP(B203,Instruções!$F$13:$J$17,5,0)&amp;"_"&amp;$F$7&amp;"="&amp;VLOOKUP(B203,Instruções!$F$13:$J$17,5,0)&amp;"_"&amp;$G$7&amp;" ")</f>
        <v xml:space="preserve">ON instrmnt_id_as_is=instrmnt_id_to_be </v>
      </c>
      <c r="K203" s="75" t="str">
        <f t="shared" si="27"/>
        <v xml:space="preserve">WHERE coalesce(cast(grss_crryng_amnt_instrmnt_as_is AS string),'')&lt;&gt;coalesce(cast(grss_crryng_amnt_instrmnt_to_be AS string),'') </v>
      </c>
      <c r="L203" s="75" t="str">
        <f t="shared" si="28"/>
        <v xml:space="preserve">SELECT count(*) AS NUM_REG_DIF FROM (SELECT instrmnt_id as instrmnt_id_,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instrmnt_id_, grss_crryng_amnt_instrmnt as grss_crryng_amnt_instrmnt_to_be FROM bu_loantape_work.lt002_instrument WHERE ref_date='2024-09-30' AND nome_perimetro='Individual Corporativo' AND segmento='ESTR' AND ambito='PM' AND entidade='00100' ) B ON instrmnt_id_as_is=instrmnt_id_to_be WHERE coalesce(cast(grss_crryng_amnt_instrmnt_as_is AS string),'')&lt;&gt;coalesce(cast(grss_crryng_amnt_instrmnt_to_be AS string),'') </v>
      </c>
      <c r="M203" s="75" t="s">
        <v>55</v>
      </c>
      <c r="N203" s="75" t="str">
        <f>"SELECT 'Validação de campos' as tipologia_teste, '"&amp;VLOOKUP(B203,Instruções!$F$13:$J$17,3,0)&amp;"' AS TABELA, '"&amp;E203&amp;"' AS CAMPO, '"&amp;Instruções!$D$15&amp;"' as ref_date, coalesce(NUM_REG_DIF, 0) AS NUM_REG_DIF FROM ("&amp;L203&amp;") A "</f>
        <v xml:space="preserve">SELECT 'Validação de campos' as tipologia_teste, 'lt002_instrument' AS TABELA, 'grss_crryng_amnt_instrmnt' AS CAMPO, '2024-09-30' as ref_date, coalesce(NUM_REG_DIF, 0) AS NUM_REG_DIF FROM (SELECT count(*) AS NUM_REG_DIF FROM (SELECT instrmnt_id as instrmnt_id_,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instrmnt_id_, grss_crryng_amnt_instrmnt as grss_crryng_amnt_instrmnt_to_be FROM bu_loantape_work.lt002_instrument WHERE ref_date='2024-09-30' AND nome_perimetro='Individual Corporativo' AND segmento='ESTR' AND ambito='PM' AND entidade='00100' ) B ON instrmnt_id_as_is=instrmnt_id_to_be WHERE coalesce(cast(grss_crryng_amnt_instrmnt_as_is AS string),'')&lt;&gt;coalesce(cast(grss_crryng_amnt_instrmnt_to_be AS string),'') ) A </v>
      </c>
      <c r="O203" s="76" t="str">
        <f t="shared" si="29"/>
        <v>SELECT 'Validação de campos' as tipologia_teste, 'lt002_instrument' AS TABELA, 'grss_crryng_amnt_instrmnt' AS CAMPO, '2024-09-30' as ref_date, coalesce(NUM_REG_DIF, 0) AS NUM_REG_DIF FROM (SELECT count(*) AS NUM_REG_DIF FROM (SELECT instrmnt_id as instrmnt_id_,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instrmnt_id_, grss_crryng_amnt_instrmnt as grss_crryng_amnt_instrmnt_to_be FROM bu_loantape_work.lt002_instrument WHERE ref_date='2024-09-30' AND nome_perimetro='Individual Corporativo' AND segmento='ESTR' AND ambito='PM' AND entidade='00100' ) B ON instrmnt_id_as_is=instrmnt_id_to_be WHERE coalesce(cast(grss_crryng_amnt_instrmnt_as_is AS string),'')&lt;&gt;coalesce(cast(grss_crryng_amnt_instrmnt_to_be AS string),'') ) A Union all</v>
      </c>
      <c r="P203" s="75">
        <f t="shared" si="31"/>
        <v>42</v>
      </c>
    </row>
    <row r="204" spans="2:16" s="63" customFormat="1" ht="18" customHeight="1">
      <c r="B204" s="75" t="s">
        <v>26</v>
      </c>
      <c r="C204" s="75" t="str">
        <f>_xlfn.CONCAT(Instruções!$D$13,".",VLOOKUP(B204,Instruções!$F$12:$H$17,2,0))</f>
        <v>cd_loan_tapes_bce.lt002_instrument</v>
      </c>
      <c r="D204" s="75" t="str">
        <f>_xlfn.CONCAT(Instruções!$D$14,".",VLOOKUP(B204,Instruções!$F$12:$H$17,3,0))</f>
        <v>bu_loantape_work.lt002_instrument</v>
      </c>
      <c r="E204" s="75" t="s">
        <v>243</v>
      </c>
      <c r="F204" s="75" t="str">
        <f t="shared" si="32"/>
        <v>hedge_id_as_is</v>
      </c>
      <c r="G204" s="75" t="str">
        <f t="shared" si="33"/>
        <v>hedge_id_to_be</v>
      </c>
      <c r="H204" s="75" t="str">
        <f>IF(VLOOKUP(B204,Instruções!$F$13:$J$17,5,0)="",
"(SELECT "&amp;VLOOKUP(B204,Instruções!$F$13:$J$17,4,0)&amp;" as "&amp;VLOOKUP(B204,Instruções!$F$13:$J$17,4,0)&amp;"_"&amp;$F$2&amp;", "&amp;E204&amp;" as "&amp;F204&amp;" FROM "&amp;C204&amp;" WHERE "&amp;Instruções!$D$20&amp;") A ",
"(SELECT "&amp;VLOOKUP(B204,Instruções!$F$13:$J$17,4,0)&amp;" as "&amp;VLOOKUP(B204,Instruções!$F$13:$J$17,4,0)&amp;"_"&amp;$F$2&amp;", "&amp;VLOOKUP(B204,Instruções!$F$13:$J$17,5,0)&amp;" as "&amp;VLOOKUP(B204,Instruções!$F$13:$J$17,5,0)&amp;"_"&amp;$F$2&amp;","&amp;E204&amp;" as "&amp;F204&amp;" FROM "&amp;C204&amp;" WHERE "&amp;Instruções!$D$20&amp;") A ")</f>
        <v xml:space="preserve">(SELECT instrmnt_id as instrmnt_id_, hedge_id as hedge_id_as_is FROM cd_loan_tapes_bce.lt002_instrument WHERE ref_date='2024-09-30' AND nome_perimetro='Individual Corporativo' AND segmento='ESTR' AND ambito='PM' AND entidade='00100' ) A </v>
      </c>
      <c r="I204" s="75" t="str">
        <f>IF(VLOOKUP(B204,Instruções!$F$13:$J$17,5,0)="",
"(SELECT "&amp;VLOOKUP(B204,Instruções!$F$13:$J$17,4,0)&amp;" as "&amp;VLOOKUP(B204,Instruções!$F$13:$J$17,4,0)&amp;"_"&amp;$G$2&amp;", "&amp;E204&amp;" as "&amp;G204&amp;" FROM "&amp;D204&amp;" WHERE "&amp;Instruções!$D$21&amp;") B ",
"(SELECT "&amp;VLOOKUP(B204,Instruções!$F$13:$J$17,4,0)&amp;" as "&amp;VLOOKUP(B204,Instruções!$F$13:$J$17,4,0)&amp;"_"&amp;$G$2&amp;", "&amp;VLOOKUP(B204,Instruções!$F$13:$J$17,5,0)&amp;" as "&amp;VLOOKUP(B204,Instruções!$F$13:$J$17,5,0)&amp;"_"&amp;$G$2&amp;","&amp;E204&amp;" as "&amp;G204&amp;" FROM "&amp;D204&amp;" WHERE "&amp;Instruções!$D$21&amp;") B ")</f>
        <v xml:space="preserve">(SELECT instrmnt_id as instrmnt_id_, hedge_id as hedge_id_to_be FROM bu_loantape_work.lt002_instrument WHERE ref_date='2024-09-30' AND nome_perimetro='Individual Corporativo' AND segmento='ESTR' AND ambito='PM' AND entidade='00100' ) B </v>
      </c>
      <c r="J204" s="75" t="str">
        <f>+IF(VLOOKUP(B204,Instruções!$F$13:$J$17,5,0)="", "ON "&amp;VLOOKUP(B204,Instruções!$F$13:$J$17,4,0)&amp;"_"&amp;$F$7&amp;"="&amp;VLOOKUP(B204,Instruções!$F$13:$J$17,4,0)&amp;"_"&amp;$G$7&amp;" ", "ON "&amp;VLOOKUP(B204,Instruções!$F$13:$J$17,4,0)&amp;"_"&amp;$F$7&amp;"="&amp;VLOOKUP(B204,Instruções!$F$13:$J$17,4,0)&amp;"_"&amp;$G$7&amp;" AND "&amp;VLOOKUP(B204,Instruções!$F$13:$J$17,5,0)&amp;"_"&amp;$F$7&amp;"="&amp;VLOOKUP(B204,Instruções!$F$13:$J$17,5,0)&amp;"_"&amp;$G$7&amp;" ")</f>
        <v xml:space="preserve">ON instrmnt_id_as_is=instrmnt_id_to_be </v>
      </c>
      <c r="K204" s="75" t="str">
        <f t="shared" si="27"/>
        <v xml:space="preserve">WHERE coalesce(cast(hedge_id_as_is AS string),'')&lt;&gt;coalesce(cast(hedge_id_to_be AS string),'') </v>
      </c>
      <c r="L204" s="75" t="str">
        <f t="shared" si="28"/>
        <v xml:space="preserve">SELECT count(*) AS NUM_REG_DIF FROM (SELECT instrmnt_id as instrmnt_id_, hedge_id as hedge_id_as_is FROM cd_loan_tapes_bce.lt002_instrument WHERE ref_date='2024-09-30' AND nome_perimetro='Individual Corporativo' AND segmento='ESTR' AND ambito='PM' AND entidade='00100' ) A  Inner join (SELECT instrmnt_id as instrmnt_id_, hedge_id as hedge_id_to_be FROM bu_loantape_work.lt002_instrument WHERE ref_date='2024-09-30' AND nome_perimetro='Individual Corporativo' AND segmento='ESTR' AND ambito='PM' AND entidade='00100' ) B ON instrmnt_id_as_is=instrmnt_id_to_be WHERE coalesce(cast(hedge_id_as_is AS string),'')&lt;&gt;coalesce(cast(hedge_id_to_be AS string),'') </v>
      </c>
      <c r="M204" s="75" t="s">
        <v>55</v>
      </c>
      <c r="N204" s="75" t="str">
        <f>"SELECT 'Validação de campos' as tipologia_teste, '"&amp;VLOOKUP(B204,Instruções!$F$13:$J$17,3,0)&amp;"' AS TABELA, '"&amp;E204&amp;"' AS CAMPO, '"&amp;Instruções!$D$15&amp;"' as ref_date, coalesce(NUM_REG_DIF, 0) AS NUM_REG_DIF FROM ("&amp;L204&amp;") A "</f>
        <v xml:space="preserve">SELECT 'Validação de campos' as tipologia_teste, 'lt002_instrument' AS TABELA, 'hedge_id' AS CAMPO, '2024-09-30' as ref_date, coalesce(NUM_REG_DIF, 0) AS NUM_REG_DIF FROM (SELECT count(*) AS NUM_REG_DIF FROM (SELECT instrmnt_id as instrmnt_id_, hedge_id as hedge_id_as_is FROM cd_loan_tapes_bce.lt002_instrument WHERE ref_date='2024-09-30' AND nome_perimetro='Individual Corporativo' AND segmento='ESTR' AND ambito='PM' AND entidade='00100' ) A  Inner join (SELECT instrmnt_id as instrmnt_id_, hedge_id as hedge_id_to_be FROM bu_loantape_work.lt002_instrument WHERE ref_date='2024-09-30' AND nome_perimetro='Individual Corporativo' AND segmento='ESTR' AND ambito='PM' AND entidade='00100' ) B ON instrmnt_id_as_is=instrmnt_id_to_be WHERE coalesce(cast(hedge_id_as_is AS string),'')&lt;&gt;coalesce(cast(hedge_id_to_be AS string),'') ) A </v>
      </c>
      <c r="O204" s="76" t="str">
        <f t="shared" si="29"/>
        <v>SELECT 'Validação de campos' as tipologia_teste, 'lt002_instrument' AS TABELA, 'hedge_id' AS CAMPO, '2024-09-30' as ref_date, coalesce(NUM_REG_DIF, 0) AS NUM_REG_DIF FROM (SELECT count(*) AS NUM_REG_DIF FROM (SELECT instrmnt_id as instrmnt_id_, hedge_id as hedge_id_as_is FROM cd_loan_tapes_bce.lt002_instrument WHERE ref_date='2024-09-30' AND nome_perimetro='Individual Corporativo' AND segmento='ESTR' AND ambito='PM' AND entidade='00100' ) A  Inner join (SELECT instrmnt_id as instrmnt_id_, hedge_id as hedge_id_to_be FROM bu_loantape_work.lt002_instrument WHERE ref_date='2024-09-30' AND nome_perimetro='Individual Corporativo' AND segmento='ESTR' AND ambito='PM' AND entidade='00100' ) B ON instrmnt_id_as_is=instrmnt_id_to_be WHERE coalesce(cast(hedge_id_as_is AS string),'')&lt;&gt;coalesce(cast(hedge_id_to_be AS string),'') ) A Union all</v>
      </c>
      <c r="P204" s="75">
        <f t="shared" si="31"/>
        <v>43</v>
      </c>
    </row>
    <row r="205" spans="2:16" s="63" customFormat="1" ht="18" customHeight="1">
      <c r="B205" s="75" t="s">
        <v>26</v>
      </c>
      <c r="C205" s="75" t="str">
        <f>_xlfn.CONCAT(Instruções!$D$13,".",VLOOKUP(B205,Instruções!$F$12:$H$17,2,0))</f>
        <v>cd_loan_tapes_bce.lt002_instrument</v>
      </c>
      <c r="D205" s="75" t="str">
        <f>_xlfn.CONCAT(Instruções!$D$14,".",VLOOKUP(B205,Instruções!$F$12:$H$17,3,0))</f>
        <v>bu_loantape_work.lt002_instrument</v>
      </c>
      <c r="E205" s="75" t="s">
        <v>244</v>
      </c>
      <c r="F205" s="75" t="str">
        <f t="shared" si="32"/>
        <v>idcmb_as_is</v>
      </c>
      <c r="G205" s="75" t="str">
        <f t="shared" si="33"/>
        <v>idcmb_to_be</v>
      </c>
      <c r="H205" s="75" t="str">
        <f>IF(VLOOKUP(B205,Instruções!$F$13:$J$17,5,0)="",
"(SELECT "&amp;VLOOKUP(B205,Instruções!$F$13:$J$17,4,0)&amp;" as "&amp;VLOOKUP(B205,Instruções!$F$13:$J$17,4,0)&amp;"_"&amp;$F$2&amp;", "&amp;E205&amp;" as "&amp;F205&amp;" FROM "&amp;C205&amp;" WHERE "&amp;Instruções!$D$20&amp;") A ",
"(SELECT "&amp;VLOOKUP(B205,Instruções!$F$13:$J$17,4,0)&amp;" as "&amp;VLOOKUP(B205,Instruções!$F$13:$J$17,4,0)&amp;"_"&amp;$F$2&amp;", "&amp;VLOOKUP(B205,Instruções!$F$13:$J$17,5,0)&amp;" as "&amp;VLOOKUP(B205,Instruções!$F$13:$J$17,5,0)&amp;"_"&amp;$F$2&amp;","&amp;E205&amp;" as "&amp;F205&amp;" FROM "&amp;C205&amp;" WHERE "&amp;Instruções!$D$20&amp;") A ")</f>
        <v xml:space="preserve">(SELECT instrmnt_id as instrmnt_id_, idcmb as idcmb_as_is FROM cd_loan_tapes_bce.lt002_instrument WHERE ref_date='2024-09-30' AND nome_perimetro='Individual Corporativo' AND segmento='ESTR' AND ambito='PM' AND entidade='00100' ) A </v>
      </c>
      <c r="I205" s="75" t="str">
        <f>IF(VLOOKUP(B205,Instruções!$F$13:$J$17,5,0)="",
"(SELECT "&amp;VLOOKUP(B205,Instruções!$F$13:$J$17,4,0)&amp;" as "&amp;VLOOKUP(B205,Instruções!$F$13:$J$17,4,0)&amp;"_"&amp;$G$2&amp;", "&amp;E205&amp;" as "&amp;G205&amp;" FROM "&amp;D205&amp;" WHERE "&amp;Instruções!$D$21&amp;") B ",
"(SELECT "&amp;VLOOKUP(B205,Instruções!$F$13:$J$17,4,0)&amp;" as "&amp;VLOOKUP(B205,Instruções!$F$13:$J$17,4,0)&amp;"_"&amp;$G$2&amp;", "&amp;VLOOKUP(B205,Instruções!$F$13:$J$17,5,0)&amp;" as "&amp;VLOOKUP(B205,Instruções!$F$13:$J$17,5,0)&amp;"_"&amp;$G$2&amp;","&amp;E205&amp;" as "&amp;G205&amp;" FROM "&amp;D205&amp;" WHERE "&amp;Instruções!$D$21&amp;") B ")</f>
        <v xml:space="preserve">(SELECT instrmnt_id as instrmnt_id_, idcmb as idcmb_to_be FROM bu_loantape_work.lt002_instrument WHERE ref_date='2024-09-30' AND nome_perimetro='Individual Corporativo' AND segmento='ESTR' AND ambito='PM' AND entidade='00100' ) B </v>
      </c>
      <c r="J205" s="75" t="str">
        <f>+IF(VLOOKUP(B205,Instruções!$F$13:$J$17,5,0)="", "ON "&amp;VLOOKUP(B205,Instruções!$F$13:$J$17,4,0)&amp;"_"&amp;$F$7&amp;"="&amp;VLOOKUP(B205,Instruções!$F$13:$J$17,4,0)&amp;"_"&amp;$G$7&amp;" ", "ON "&amp;VLOOKUP(B205,Instruções!$F$13:$J$17,4,0)&amp;"_"&amp;$F$7&amp;"="&amp;VLOOKUP(B205,Instruções!$F$13:$J$17,4,0)&amp;"_"&amp;$G$7&amp;" AND "&amp;VLOOKUP(B205,Instruções!$F$13:$J$17,5,0)&amp;"_"&amp;$F$7&amp;"="&amp;VLOOKUP(B205,Instruções!$F$13:$J$17,5,0)&amp;"_"&amp;$G$7&amp;" ")</f>
        <v xml:space="preserve">ON instrmnt_id_as_is=instrmnt_id_to_be </v>
      </c>
      <c r="K205" s="75" t="str">
        <f t="shared" si="27"/>
        <v xml:space="preserve">WHERE coalesce(cast(idcmb_as_is AS string),'')&lt;&gt;coalesce(cast(idcmb_to_be AS string),'') </v>
      </c>
      <c r="L205" s="75" t="str">
        <f t="shared" si="28"/>
        <v xml:space="preserve">SELECT count(*) AS NUM_REG_DIF FROM (SELECT instrmnt_id as instrmnt_id_, idcmb as idcmb_as_is FROM cd_loan_tapes_bce.lt002_instrument WHERE ref_date='2024-09-30' AND nome_perimetro='Individual Corporativo' AND segmento='ESTR' AND ambito='PM' AND entidade='00100' ) A  Inner join (SELECT instrmnt_id as instrmnt_id_, idcmb as idcmb_to_be FROM bu_loantape_work.lt002_instrument WHERE ref_date='2024-09-30' AND nome_perimetro='Individual Corporativo' AND segmento='ESTR' AND ambito='PM' AND entidade='00100' ) B ON instrmnt_id_as_is=instrmnt_id_to_be WHERE coalesce(cast(idcmb_as_is AS string),'')&lt;&gt;coalesce(cast(idcmb_to_be AS string),'') </v>
      </c>
      <c r="M205" s="75" t="s">
        <v>55</v>
      </c>
      <c r="N205" s="75" t="str">
        <f>"SELECT 'Validação de campos' as tipologia_teste, '"&amp;VLOOKUP(B205,Instruções!$F$13:$J$17,3,0)&amp;"' AS TABELA, '"&amp;E205&amp;"' AS CAMPO, '"&amp;Instruções!$D$15&amp;"' as ref_date, coalesce(NUM_REG_DIF, 0) AS NUM_REG_DIF FROM ("&amp;L205&amp;") A "</f>
        <v xml:space="preserve">SELECT 'Validação de campos' as tipologia_teste, 'lt002_instrument' AS TABELA, 'idcmb' AS CAMPO, '2024-09-30' as ref_date, coalesce(NUM_REG_DIF, 0) AS NUM_REG_DIF FROM (SELECT count(*) AS NUM_REG_DIF FROM (SELECT instrmnt_id as instrmnt_id_, idcmb as idcmb_as_is FROM cd_loan_tapes_bce.lt002_instrument WHERE ref_date='2024-09-30' AND nome_perimetro='Individual Corporativo' AND segmento='ESTR' AND ambito='PM' AND entidade='00100' ) A  Inner join (SELECT instrmnt_id as instrmnt_id_, idcmb as idcmb_to_be FROM bu_loantape_work.lt002_instrument WHERE ref_date='2024-09-30' AND nome_perimetro='Individual Corporativo' AND segmento='ESTR' AND ambito='PM' AND entidade='00100' ) B ON instrmnt_id_as_is=instrmnt_id_to_be WHERE coalesce(cast(idcmb_as_is AS string),'')&lt;&gt;coalesce(cast(idcmb_to_be AS string),'') ) A </v>
      </c>
      <c r="O205" s="76" t="str">
        <f t="shared" si="29"/>
        <v>SELECT 'Validação de campos' as tipologia_teste, 'lt002_instrument' AS TABELA, 'idcmb' AS CAMPO, '2024-09-30' as ref_date, coalesce(NUM_REG_DIF, 0) AS NUM_REG_DIF FROM (SELECT count(*) AS NUM_REG_DIF FROM (SELECT instrmnt_id as instrmnt_id_, idcmb as idcmb_as_is FROM cd_loan_tapes_bce.lt002_instrument WHERE ref_date='2024-09-30' AND nome_perimetro='Individual Corporativo' AND segmento='ESTR' AND ambito='PM' AND entidade='00100' ) A  Inner join (SELECT instrmnt_id as instrmnt_id_, idcmb as idcmb_to_be FROM bu_loantape_work.lt002_instrument WHERE ref_date='2024-09-30' AND nome_perimetro='Individual Corporativo' AND segmento='ESTR' AND ambito='PM' AND entidade='00100' ) B ON instrmnt_id_as_is=instrmnt_id_to_be WHERE coalesce(cast(idcmb_as_is AS string),'')&lt;&gt;coalesce(cast(idcmb_to_be AS string),'') ) A Union all</v>
      </c>
      <c r="P205" s="75">
        <f t="shared" si="31"/>
        <v>44</v>
      </c>
    </row>
    <row r="206" spans="2:16" s="63" customFormat="1" ht="18" customHeight="1">
      <c r="B206" s="75" t="s">
        <v>26</v>
      </c>
      <c r="C206" s="75" t="str">
        <f>_xlfn.CONCAT(Instruções!$D$13,".",VLOOKUP(B206,Instruções!$F$12:$H$17,2,0))</f>
        <v>cd_loan_tapes_bce.lt002_instrument</v>
      </c>
      <c r="D206" s="75" t="str">
        <f>_xlfn.CONCAT(Instruções!$D$14,".",VLOOKUP(B206,Instruções!$F$12:$H$17,3,0))</f>
        <v>bu_loantape_work.lt002_instrument</v>
      </c>
      <c r="E206" s="75" t="s">
        <v>245</v>
      </c>
      <c r="F206" s="75" t="str">
        <f t="shared" si="32"/>
        <v>ifrs9_bhvrl_mtrty_as_is</v>
      </c>
      <c r="G206" s="75" t="str">
        <f t="shared" si="33"/>
        <v>ifrs9_bhvrl_mtrty_to_be</v>
      </c>
      <c r="H206" s="75" t="str">
        <f>IF(VLOOKUP(B206,Instruções!$F$13:$J$17,5,0)="",
"(SELECT "&amp;VLOOKUP(B206,Instruções!$F$13:$J$17,4,0)&amp;" as "&amp;VLOOKUP(B206,Instruções!$F$13:$J$17,4,0)&amp;"_"&amp;$F$2&amp;", "&amp;E206&amp;" as "&amp;F206&amp;" FROM "&amp;C206&amp;" WHERE "&amp;Instruções!$D$20&amp;") A ",
"(SELECT "&amp;VLOOKUP(B206,Instruções!$F$13:$J$17,4,0)&amp;" as "&amp;VLOOKUP(B206,Instruções!$F$13:$J$17,4,0)&amp;"_"&amp;$F$2&amp;", "&amp;VLOOKUP(B206,Instruções!$F$13:$J$17,5,0)&amp;" as "&amp;VLOOKUP(B206,Instruções!$F$13:$J$17,5,0)&amp;"_"&amp;$F$2&amp;","&amp;E206&amp;" as "&amp;F206&amp;" FROM "&amp;C206&amp;" WHERE "&amp;Instruções!$D$20&amp;") A ")</f>
        <v xml:space="preserve">(SELECT instrmnt_id as instrmnt_id_, ifrs9_bhvrl_mtrty as ifrs9_bhvrl_mtrty_as_is FROM cd_loan_tapes_bce.lt002_instrument WHERE ref_date='2024-09-30' AND nome_perimetro='Individual Corporativo' AND segmento='ESTR' AND ambito='PM' AND entidade='00100' ) A </v>
      </c>
      <c r="I206" s="75" t="str">
        <f>IF(VLOOKUP(B206,Instruções!$F$13:$J$17,5,0)="",
"(SELECT "&amp;VLOOKUP(B206,Instruções!$F$13:$J$17,4,0)&amp;" as "&amp;VLOOKUP(B206,Instruções!$F$13:$J$17,4,0)&amp;"_"&amp;$G$2&amp;", "&amp;E206&amp;" as "&amp;G206&amp;" FROM "&amp;D206&amp;" WHERE "&amp;Instruções!$D$21&amp;") B ",
"(SELECT "&amp;VLOOKUP(B206,Instruções!$F$13:$J$17,4,0)&amp;" as "&amp;VLOOKUP(B206,Instruções!$F$13:$J$17,4,0)&amp;"_"&amp;$G$2&amp;", "&amp;VLOOKUP(B206,Instruções!$F$13:$J$17,5,0)&amp;" as "&amp;VLOOKUP(B206,Instruções!$F$13:$J$17,5,0)&amp;"_"&amp;$G$2&amp;","&amp;E206&amp;" as "&amp;G206&amp;" FROM "&amp;D206&amp;" WHERE "&amp;Instruções!$D$21&amp;") B ")</f>
        <v xml:space="preserve">(SELECT instrmnt_id as instrmnt_id_, ifrs9_bhvrl_mtrty as ifrs9_bhvrl_mtrty_to_be FROM bu_loantape_work.lt002_instrument WHERE ref_date='2024-09-30' AND nome_perimetro='Individual Corporativo' AND segmento='ESTR' AND ambito='PM' AND entidade='00100' ) B </v>
      </c>
      <c r="J206" s="75" t="str">
        <f>+IF(VLOOKUP(B206,Instruções!$F$13:$J$17,5,0)="", "ON "&amp;VLOOKUP(B206,Instruções!$F$13:$J$17,4,0)&amp;"_"&amp;$F$7&amp;"="&amp;VLOOKUP(B206,Instruções!$F$13:$J$17,4,0)&amp;"_"&amp;$G$7&amp;" ", "ON "&amp;VLOOKUP(B206,Instruções!$F$13:$J$17,4,0)&amp;"_"&amp;$F$7&amp;"="&amp;VLOOKUP(B206,Instruções!$F$13:$J$17,4,0)&amp;"_"&amp;$G$7&amp;" AND "&amp;VLOOKUP(B206,Instruções!$F$13:$J$17,5,0)&amp;"_"&amp;$F$7&amp;"="&amp;VLOOKUP(B206,Instruções!$F$13:$J$17,5,0)&amp;"_"&amp;$G$7&amp;" ")</f>
        <v xml:space="preserve">ON instrmnt_id_as_is=instrmnt_id_to_be </v>
      </c>
      <c r="K206" s="75" t="str">
        <f t="shared" si="27"/>
        <v xml:space="preserve">WHERE coalesce(cast(ifrs9_bhvrl_mtrty_as_is AS string),'')&lt;&gt;coalesce(cast(ifrs9_bhvrl_mtrty_to_be AS string),'') </v>
      </c>
      <c r="L206" s="75" t="str">
        <f t="shared" si="28"/>
        <v xml:space="preserve">SELECT count(*) AS NUM_REG_DIF FROM (SELECT instrmnt_id as instrmnt_id_, ifrs9_bhvrl_mtrty as ifrs9_bhvrl_mtrty_as_is FROM cd_loan_tapes_bce.lt002_instrument WHERE ref_date='2024-09-30' AND nome_perimetro='Individual Corporativo' AND segmento='ESTR' AND ambito='PM' AND entidade='00100' ) A  Inner join (SELECT instrmnt_id as instrmnt_id_, ifrs9_bhvrl_mtrty as ifrs9_bhvrl_mtrty_to_be FROM bu_loantape_work.lt002_instrument WHERE ref_date='2024-09-30' AND nome_perimetro='Individual Corporativo' AND segmento='ESTR' AND ambito='PM' AND entidade='00100' ) B ON instrmnt_id_as_is=instrmnt_id_to_be WHERE coalesce(cast(ifrs9_bhvrl_mtrty_as_is AS string),'')&lt;&gt;coalesce(cast(ifrs9_bhvrl_mtrty_to_be AS string),'') </v>
      </c>
      <c r="M206" s="75" t="s">
        <v>55</v>
      </c>
      <c r="N206" s="75" t="str">
        <f>"SELECT 'Validação de campos' as tipologia_teste, '"&amp;VLOOKUP(B206,Instruções!$F$13:$J$17,3,0)&amp;"' AS TABELA, '"&amp;E206&amp;"' AS CAMPO, '"&amp;Instruções!$D$15&amp;"' as ref_date, coalesce(NUM_REG_DIF, 0) AS NUM_REG_DIF FROM ("&amp;L206&amp;") A "</f>
        <v xml:space="preserve">SELECT 'Validação de campos' as tipologia_teste, 'lt002_instrument' AS TABELA, 'ifrs9_bhvrl_mtrty' AS CAMPO, '2024-09-30' as ref_date, coalesce(NUM_REG_DIF, 0) AS NUM_REG_DIF FROM (SELECT count(*) AS NUM_REG_DIF FROM (SELECT instrmnt_id as instrmnt_id_, ifrs9_bhvrl_mtrty as ifrs9_bhvrl_mtrty_as_is FROM cd_loan_tapes_bce.lt002_instrument WHERE ref_date='2024-09-30' AND nome_perimetro='Individual Corporativo' AND segmento='ESTR' AND ambito='PM' AND entidade='00100' ) A  Inner join (SELECT instrmnt_id as instrmnt_id_, ifrs9_bhvrl_mtrty as ifrs9_bhvrl_mtrty_to_be FROM bu_loantape_work.lt002_instrument WHERE ref_date='2024-09-30' AND nome_perimetro='Individual Corporativo' AND segmento='ESTR' AND ambito='PM' AND entidade='00100' ) B ON instrmnt_id_as_is=instrmnt_id_to_be WHERE coalesce(cast(ifrs9_bhvrl_mtrty_as_is AS string),'')&lt;&gt;coalesce(cast(ifrs9_bhvrl_mtrty_to_be AS string),'') ) A </v>
      </c>
      <c r="O206" s="76" t="str">
        <f t="shared" si="29"/>
        <v>SELECT 'Validação de campos' as tipologia_teste, 'lt002_instrument' AS TABELA, 'ifrs9_bhvrl_mtrty' AS CAMPO, '2024-09-30' as ref_date, coalesce(NUM_REG_DIF, 0) AS NUM_REG_DIF FROM (SELECT count(*) AS NUM_REG_DIF FROM (SELECT instrmnt_id as instrmnt_id_, ifrs9_bhvrl_mtrty as ifrs9_bhvrl_mtrty_as_is FROM cd_loan_tapes_bce.lt002_instrument WHERE ref_date='2024-09-30' AND nome_perimetro='Individual Corporativo' AND segmento='ESTR' AND ambito='PM' AND entidade='00100' ) A  Inner join (SELECT instrmnt_id as instrmnt_id_, ifrs9_bhvrl_mtrty as ifrs9_bhvrl_mtrty_to_be FROM bu_loantape_work.lt002_instrument WHERE ref_date='2024-09-30' AND nome_perimetro='Individual Corporativo' AND segmento='ESTR' AND ambito='PM' AND entidade='00100' ) B ON instrmnt_id_as_is=instrmnt_id_to_be WHERE coalesce(cast(ifrs9_bhvrl_mtrty_as_is AS string),'')&lt;&gt;coalesce(cast(ifrs9_bhvrl_mtrty_to_be AS string),'') ) A Union all</v>
      </c>
      <c r="P206" s="75">
        <f t="shared" si="31"/>
        <v>45</v>
      </c>
    </row>
    <row r="207" spans="2:16" s="63" customFormat="1" ht="18" customHeight="1">
      <c r="B207" s="75" t="s">
        <v>26</v>
      </c>
      <c r="C207" s="75" t="str">
        <f>_xlfn.CONCAT(Instruções!$D$13,".",VLOOKUP(B207,Instruções!$F$12:$H$17,2,0))</f>
        <v>cd_loan_tapes_bce.lt002_instrument</v>
      </c>
      <c r="D207" s="75" t="str">
        <f>_xlfn.CONCAT(Instruções!$D$14,".",VLOOKUP(B207,Instruções!$F$12:$H$17,3,0))</f>
        <v>bu_loantape_work.lt002_instrument</v>
      </c>
      <c r="E207" s="75" t="s">
        <v>246</v>
      </c>
      <c r="F207" s="75" t="str">
        <f t="shared" si="32"/>
        <v>ifrs9_ccf_as_is</v>
      </c>
      <c r="G207" s="75" t="str">
        <f t="shared" si="33"/>
        <v>ifrs9_ccf_to_be</v>
      </c>
      <c r="H207" s="75" t="str">
        <f>IF(VLOOKUP(B207,Instruções!$F$13:$J$17,5,0)="",
"(SELECT "&amp;VLOOKUP(B207,Instruções!$F$13:$J$17,4,0)&amp;" as "&amp;VLOOKUP(B207,Instruções!$F$13:$J$17,4,0)&amp;"_"&amp;$F$2&amp;", "&amp;E207&amp;" as "&amp;F207&amp;" FROM "&amp;C207&amp;" WHERE "&amp;Instruções!$D$20&amp;") A ",
"(SELECT "&amp;VLOOKUP(B207,Instruções!$F$13:$J$17,4,0)&amp;" as "&amp;VLOOKUP(B207,Instruções!$F$13:$J$17,4,0)&amp;"_"&amp;$F$2&amp;", "&amp;VLOOKUP(B207,Instruções!$F$13:$J$17,5,0)&amp;" as "&amp;VLOOKUP(B207,Instruções!$F$13:$J$17,5,0)&amp;"_"&amp;$F$2&amp;","&amp;E207&amp;" as "&amp;F207&amp;" FROM "&amp;C207&amp;" WHERE "&amp;Instruções!$D$20&amp;") A ")</f>
        <v xml:space="preserve">(SELECT instrmnt_id as instrmnt_id_, ifrs9_ccf as ifrs9_ccf_as_is FROM cd_loan_tapes_bce.lt002_instrument WHERE ref_date='2024-09-30' AND nome_perimetro='Individual Corporativo' AND segmento='ESTR' AND ambito='PM' AND entidade='00100' ) A </v>
      </c>
      <c r="I207" s="75" t="str">
        <f>IF(VLOOKUP(B207,Instruções!$F$13:$J$17,5,0)="",
"(SELECT "&amp;VLOOKUP(B207,Instruções!$F$13:$J$17,4,0)&amp;" as "&amp;VLOOKUP(B207,Instruções!$F$13:$J$17,4,0)&amp;"_"&amp;$G$2&amp;", "&amp;E207&amp;" as "&amp;G207&amp;" FROM "&amp;D207&amp;" WHERE "&amp;Instruções!$D$21&amp;") B ",
"(SELECT "&amp;VLOOKUP(B207,Instruções!$F$13:$J$17,4,0)&amp;" as "&amp;VLOOKUP(B207,Instruções!$F$13:$J$17,4,0)&amp;"_"&amp;$G$2&amp;", "&amp;VLOOKUP(B207,Instruções!$F$13:$J$17,5,0)&amp;" as "&amp;VLOOKUP(B207,Instruções!$F$13:$J$17,5,0)&amp;"_"&amp;$G$2&amp;","&amp;E207&amp;" as "&amp;G207&amp;" FROM "&amp;D207&amp;" WHERE "&amp;Instruções!$D$21&amp;") B ")</f>
        <v xml:space="preserve">(SELECT instrmnt_id as instrmnt_id_, ifrs9_ccf as ifrs9_ccf_to_be FROM bu_loantape_work.lt002_instrument WHERE ref_date='2024-09-30' AND nome_perimetro='Individual Corporativo' AND segmento='ESTR' AND ambito='PM' AND entidade='00100' ) B </v>
      </c>
      <c r="J207" s="75" t="str">
        <f>+IF(VLOOKUP(B207,Instruções!$F$13:$J$17,5,0)="", "ON "&amp;VLOOKUP(B207,Instruções!$F$13:$J$17,4,0)&amp;"_"&amp;$F$7&amp;"="&amp;VLOOKUP(B207,Instruções!$F$13:$J$17,4,0)&amp;"_"&amp;$G$7&amp;" ", "ON "&amp;VLOOKUP(B207,Instruções!$F$13:$J$17,4,0)&amp;"_"&amp;$F$7&amp;"="&amp;VLOOKUP(B207,Instruções!$F$13:$J$17,4,0)&amp;"_"&amp;$G$7&amp;" AND "&amp;VLOOKUP(B207,Instruções!$F$13:$J$17,5,0)&amp;"_"&amp;$F$7&amp;"="&amp;VLOOKUP(B207,Instruções!$F$13:$J$17,5,0)&amp;"_"&amp;$G$7&amp;" ")</f>
        <v xml:space="preserve">ON instrmnt_id_as_is=instrmnt_id_to_be </v>
      </c>
      <c r="K207" s="75" t="str">
        <f t="shared" si="27"/>
        <v xml:space="preserve">WHERE coalesce(cast(ifrs9_ccf_as_is AS string),'')&lt;&gt;coalesce(cast(ifrs9_ccf_to_be AS string),'') </v>
      </c>
      <c r="L207" s="75" t="str">
        <f t="shared" si="28"/>
        <v xml:space="preserve">SELECT count(*) AS NUM_REG_DIF FROM (SELECT instrmnt_id as instrmnt_id_, ifrs9_ccf as ifrs9_ccf_as_is FROM cd_loan_tapes_bce.lt002_instrument WHERE ref_date='2024-09-30' AND nome_perimetro='Individual Corporativo' AND segmento='ESTR' AND ambito='PM' AND entidade='00100' ) A  Inner join (SELECT instrmnt_id as instrmnt_id_, ifrs9_ccf as ifrs9_ccf_to_be FROM bu_loantape_work.lt002_instrument WHERE ref_date='2024-09-30' AND nome_perimetro='Individual Corporativo' AND segmento='ESTR' AND ambito='PM' AND entidade='00100' ) B ON instrmnt_id_as_is=instrmnt_id_to_be WHERE coalesce(cast(ifrs9_ccf_as_is AS string),'')&lt;&gt;coalesce(cast(ifrs9_ccf_to_be AS string),'') </v>
      </c>
      <c r="M207" s="75" t="s">
        <v>55</v>
      </c>
      <c r="N207" s="75" t="str">
        <f>"SELECT 'Validação de campos' as tipologia_teste, '"&amp;VLOOKUP(B207,Instruções!$F$13:$J$17,3,0)&amp;"' AS TABELA, '"&amp;E207&amp;"' AS CAMPO, '"&amp;Instruções!$D$15&amp;"' as ref_date, coalesce(NUM_REG_DIF, 0) AS NUM_REG_DIF FROM ("&amp;L207&amp;") A "</f>
        <v xml:space="preserve">SELECT 'Validação de campos' as tipologia_teste, 'lt002_instrument' AS TABELA, 'ifrs9_ccf' AS CAMPO, '2024-09-30' as ref_date, coalesce(NUM_REG_DIF, 0) AS NUM_REG_DIF FROM (SELECT count(*) AS NUM_REG_DIF FROM (SELECT instrmnt_id as instrmnt_id_, ifrs9_ccf as ifrs9_ccf_as_is FROM cd_loan_tapes_bce.lt002_instrument WHERE ref_date='2024-09-30' AND nome_perimetro='Individual Corporativo' AND segmento='ESTR' AND ambito='PM' AND entidade='00100' ) A  Inner join (SELECT instrmnt_id as instrmnt_id_, ifrs9_ccf as ifrs9_ccf_to_be FROM bu_loantape_work.lt002_instrument WHERE ref_date='2024-09-30' AND nome_perimetro='Individual Corporativo' AND segmento='ESTR' AND ambito='PM' AND entidade='00100' ) B ON instrmnt_id_as_is=instrmnt_id_to_be WHERE coalesce(cast(ifrs9_ccf_as_is AS string),'')&lt;&gt;coalesce(cast(ifrs9_ccf_to_be AS string),'') ) A </v>
      </c>
      <c r="O207" s="76" t="str">
        <f t="shared" si="29"/>
        <v>SELECT 'Validação de campos' as tipologia_teste, 'lt002_instrument' AS TABELA, 'ifrs9_ccf' AS CAMPO, '2024-09-30' as ref_date, coalesce(NUM_REG_DIF, 0) AS NUM_REG_DIF FROM (SELECT count(*) AS NUM_REG_DIF FROM (SELECT instrmnt_id as instrmnt_id_, ifrs9_ccf as ifrs9_ccf_as_is FROM cd_loan_tapes_bce.lt002_instrument WHERE ref_date='2024-09-30' AND nome_perimetro='Individual Corporativo' AND segmento='ESTR' AND ambito='PM' AND entidade='00100' ) A  Inner join (SELECT instrmnt_id as instrmnt_id_, ifrs9_ccf as ifrs9_ccf_to_be FROM bu_loantape_work.lt002_instrument WHERE ref_date='2024-09-30' AND nome_perimetro='Individual Corporativo' AND segmento='ESTR' AND ambito='PM' AND entidade='00100' ) B ON instrmnt_id_as_is=instrmnt_id_to_be WHERE coalesce(cast(ifrs9_ccf_as_is AS string),'')&lt;&gt;coalesce(cast(ifrs9_ccf_to_be AS string),'') ) A Union all</v>
      </c>
      <c r="P207" s="75">
        <f t="shared" si="31"/>
        <v>46</v>
      </c>
    </row>
    <row r="208" spans="2:16" s="63" customFormat="1" ht="18" customHeight="1">
      <c r="B208" s="75" t="s">
        <v>26</v>
      </c>
      <c r="C208" s="75" t="str">
        <f>_xlfn.CONCAT(Instruções!$D$13,".",VLOOKUP(B208,Instruções!$F$12:$H$17,2,0))</f>
        <v>cd_loan_tapes_bce.lt002_instrument</v>
      </c>
      <c r="D208" s="75" t="str">
        <f>_xlfn.CONCAT(Instruções!$D$14,".",VLOOKUP(B208,Instruções!$F$12:$H$17,3,0))</f>
        <v>bu_loantape_work.lt002_instrument</v>
      </c>
      <c r="E208" s="75" t="s">
        <v>247</v>
      </c>
      <c r="F208" s="75" t="str">
        <f t="shared" si="32"/>
        <v>ifrs9_ead_as_is</v>
      </c>
      <c r="G208" s="75" t="str">
        <f t="shared" si="33"/>
        <v>ifrs9_ead_to_be</v>
      </c>
      <c r="H208" s="75" t="str">
        <f>IF(VLOOKUP(B208,Instruções!$F$13:$J$17,5,0)="",
"(SELECT "&amp;VLOOKUP(B208,Instruções!$F$13:$J$17,4,0)&amp;" as "&amp;VLOOKUP(B208,Instruções!$F$13:$J$17,4,0)&amp;"_"&amp;$F$2&amp;", "&amp;E208&amp;" as "&amp;F208&amp;" FROM "&amp;C208&amp;" WHERE "&amp;Instruções!$D$20&amp;") A ",
"(SELECT "&amp;VLOOKUP(B208,Instruções!$F$13:$J$17,4,0)&amp;" as "&amp;VLOOKUP(B208,Instruções!$F$13:$J$17,4,0)&amp;"_"&amp;$F$2&amp;", "&amp;VLOOKUP(B208,Instruções!$F$13:$J$17,5,0)&amp;" as "&amp;VLOOKUP(B208,Instruções!$F$13:$J$17,5,0)&amp;"_"&amp;$F$2&amp;","&amp;E208&amp;" as "&amp;F208&amp;" FROM "&amp;C208&amp;" WHERE "&amp;Instruções!$D$20&amp;") A ")</f>
        <v xml:space="preserve">(SELECT instrmnt_id as instrmnt_id_, ifrs9_ead as ifrs9_ead_as_is FROM cd_loan_tapes_bce.lt002_instrument WHERE ref_date='2024-09-30' AND nome_perimetro='Individual Corporativo' AND segmento='ESTR' AND ambito='PM' AND entidade='00100' ) A </v>
      </c>
      <c r="I208" s="75" t="str">
        <f>IF(VLOOKUP(B208,Instruções!$F$13:$J$17,5,0)="",
"(SELECT "&amp;VLOOKUP(B208,Instruções!$F$13:$J$17,4,0)&amp;" as "&amp;VLOOKUP(B208,Instruções!$F$13:$J$17,4,0)&amp;"_"&amp;$G$2&amp;", "&amp;E208&amp;" as "&amp;G208&amp;" FROM "&amp;D208&amp;" WHERE "&amp;Instruções!$D$21&amp;") B ",
"(SELECT "&amp;VLOOKUP(B208,Instruções!$F$13:$J$17,4,0)&amp;" as "&amp;VLOOKUP(B208,Instruções!$F$13:$J$17,4,0)&amp;"_"&amp;$G$2&amp;", "&amp;VLOOKUP(B208,Instruções!$F$13:$J$17,5,0)&amp;" as "&amp;VLOOKUP(B208,Instruções!$F$13:$J$17,5,0)&amp;"_"&amp;$G$2&amp;","&amp;E208&amp;" as "&amp;G208&amp;" FROM "&amp;D208&amp;" WHERE "&amp;Instruções!$D$21&amp;") B ")</f>
        <v xml:space="preserve">(SELECT instrmnt_id as instrmnt_id_, ifrs9_ead as ifrs9_ead_to_be FROM bu_loantape_work.lt002_instrument WHERE ref_date='2024-09-30' AND nome_perimetro='Individual Corporativo' AND segmento='ESTR' AND ambito='PM' AND entidade='00100' ) B </v>
      </c>
      <c r="J208" s="75" t="str">
        <f>+IF(VLOOKUP(B208,Instruções!$F$13:$J$17,5,0)="", "ON "&amp;VLOOKUP(B208,Instruções!$F$13:$J$17,4,0)&amp;"_"&amp;$F$7&amp;"="&amp;VLOOKUP(B208,Instruções!$F$13:$J$17,4,0)&amp;"_"&amp;$G$7&amp;" ", "ON "&amp;VLOOKUP(B208,Instruções!$F$13:$J$17,4,0)&amp;"_"&amp;$F$7&amp;"="&amp;VLOOKUP(B208,Instruções!$F$13:$J$17,4,0)&amp;"_"&amp;$G$7&amp;" AND "&amp;VLOOKUP(B208,Instruções!$F$13:$J$17,5,0)&amp;"_"&amp;$F$7&amp;"="&amp;VLOOKUP(B208,Instruções!$F$13:$J$17,5,0)&amp;"_"&amp;$G$7&amp;" ")</f>
        <v xml:space="preserve">ON instrmnt_id_as_is=instrmnt_id_to_be </v>
      </c>
      <c r="K208" s="75" t="str">
        <f t="shared" si="27"/>
        <v xml:space="preserve">WHERE coalesce(cast(ifrs9_ead_as_is AS string),'')&lt;&gt;coalesce(cast(ifrs9_ead_to_be AS string),'') </v>
      </c>
      <c r="L208" s="75" t="str">
        <f t="shared" si="28"/>
        <v xml:space="preserve">SELECT count(*) AS NUM_REG_DIF FROM (SELECT instrmnt_id as instrmnt_id_, ifrs9_ead as ifrs9_ead_as_is FROM cd_loan_tapes_bce.lt002_instrument WHERE ref_date='2024-09-30' AND nome_perimetro='Individual Corporativo' AND segmento='ESTR' AND ambito='PM' AND entidade='00100' ) A  Inner join (SELECT instrmnt_id as instrmnt_id_, ifrs9_ead as ifrs9_ead_to_be FROM bu_loantape_work.lt002_instrument WHERE ref_date='2024-09-30' AND nome_perimetro='Individual Corporativo' AND segmento='ESTR' AND ambito='PM' AND entidade='00100' ) B ON instrmnt_id_as_is=instrmnt_id_to_be WHERE coalesce(cast(ifrs9_ead_as_is AS string),'')&lt;&gt;coalesce(cast(ifrs9_ead_to_be AS string),'') </v>
      </c>
      <c r="M208" s="75" t="s">
        <v>55</v>
      </c>
      <c r="N208" s="75" t="str">
        <f>"SELECT 'Validação de campos' as tipologia_teste, '"&amp;VLOOKUP(B208,Instruções!$F$13:$J$17,3,0)&amp;"' AS TABELA, '"&amp;E208&amp;"' AS CAMPO, '"&amp;Instruções!$D$15&amp;"' as ref_date, coalesce(NUM_REG_DIF, 0) AS NUM_REG_DIF FROM ("&amp;L208&amp;") A "</f>
        <v xml:space="preserve">SELECT 'Validação de campos' as tipologia_teste, 'lt002_instrument' AS TABELA, 'ifrs9_ead' AS CAMPO, '2024-09-30' as ref_date, coalesce(NUM_REG_DIF, 0) AS NUM_REG_DIF FROM (SELECT count(*) AS NUM_REG_DIF FROM (SELECT instrmnt_id as instrmnt_id_, ifrs9_ead as ifrs9_ead_as_is FROM cd_loan_tapes_bce.lt002_instrument WHERE ref_date='2024-09-30' AND nome_perimetro='Individual Corporativo' AND segmento='ESTR' AND ambito='PM' AND entidade='00100' ) A  Inner join (SELECT instrmnt_id as instrmnt_id_, ifrs9_ead as ifrs9_ead_to_be FROM bu_loantape_work.lt002_instrument WHERE ref_date='2024-09-30' AND nome_perimetro='Individual Corporativo' AND segmento='ESTR' AND ambito='PM' AND entidade='00100' ) B ON instrmnt_id_as_is=instrmnt_id_to_be WHERE coalesce(cast(ifrs9_ead_as_is AS string),'')&lt;&gt;coalesce(cast(ifrs9_ead_to_be AS string),'') ) A </v>
      </c>
      <c r="O208" s="76" t="str">
        <f t="shared" si="29"/>
        <v>SELECT 'Validação de campos' as tipologia_teste, 'lt002_instrument' AS TABELA, 'ifrs9_ead' AS CAMPO, '2024-09-30' as ref_date, coalesce(NUM_REG_DIF, 0) AS NUM_REG_DIF FROM (SELECT count(*) AS NUM_REG_DIF FROM (SELECT instrmnt_id as instrmnt_id_, ifrs9_ead as ifrs9_ead_as_is FROM cd_loan_tapes_bce.lt002_instrument WHERE ref_date='2024-09-30' AND nome_perimetro='Individual Corporativo' AND segmento='ESTR' AND ambito='PM' AND entidade='00100' ) A  Inner join (SELECT instrmnt_id as instrmnt_id_, ifrs9_ead as ifrs9_ead_to_be FROM bu_loantape_work.lt002_instrument WHERE ref_date='2024-09-30' AND nome_perimetro='Individual Corporativo' AND segmento='ESTR' AND ambito='PM' AND entidade='00100' ) B ON instrmnt_id_as_is=instrmnt_id_to_be WHERE coalesce(cast(ifrs9_ead_as_is AS string),'')&lt;&gt;coalesce(cast(ifrs9_ead_to_be AS string),'') ) A Union all</v>
      </c>
      <c r="P208" s="75">
        <f t="shared" si="31"/>
        <v>47</v>
      </c>
    </row>
    <row r="209" spans="2:16" s="63" customFormat="1" ht="18" customHeight="1">
      <c r="B209" s="75" t="s">
        <v>26</v>
      </c>
      <c r="C209" s="75" t="str">
        <f>_xlfn.CONCAT(Instruções!$D$13,".",VLOOKUP(B209,Instruções!$F$12:$H$17,2,0))</f>
        <v>cd_loan_tapes_bce.lt002_instrument</v>
      </c>
      <c r="D209" s="75" t="str">
        <f>_xlfn.CONCAT(Instruções!$D$14,".",VLOOKUP(B209,Instruções!$F$12:$H$17,3,0))</f>
        <v>bu_loantape_work.lt002_instrument</v>
      </c>
      <c r="E209" s="75" t="s">
        <v>248</v>
      </c>
      <c r="F209" s="75" t="str">
        <f t="shared" si="32"/>
        <v>ifrs9_lgd_as_is</v>
      </c>
      <c r="G209" s="75" t="str">
        <f t="shared" si="33"/>
        <v>ifrs9_lgd_to_be</v>
      </c>
      <c r="H209" s="75" t="str">
        <f>IF(VLOOKUP(B209,Instruções!$F$13:$J$17,5,0)="",
"(SELECT "&amp;VLOOKUP(B209,Instruções!$F$13:$J$17,4,0)&amp;" as "&amp;VLOOKUP(B209,Instruções!$F$13:$J$17,4,0)&amp;"_"&amp;$F$2&amp;", "&amp;E209&amp;" as "&amp;F209&amp;" FROM "&amp;C209&amp;" WHERE "&amp;Instruções!$D$20&amp;") A ",
"(SELECT "&amp;VLOOKUP(B209,Instruções!$F$13:$J$17,4,0)&amp;" as "&amp;VLOOKUP(B209,Instruções!$F$13:$J$17,4,0)&amp;"_"&amp;$F$2&amp;", "&amp;VLOOKUP(B209,Instruções!$F$13:$J$17,5,0)&amp;" as "&amp;VLOOKUP(B209,Instruções!$F$13:$J$17,5,0)&amp;"_"&amp;$F$2&amp;","&amp;E209&amp;" as "&amp;F209&amp;" FROM "&amp;C209&amp;" WHERE "&amp;Instruções!$D$20&amp;") A ")</f>
        <v xml:space="preserve">(SELECT instrmnt_id as instrmnt_id_, ifrs9_lgd as ifrs9_lgd_as_is FROM cd_loan_tapes_bce.lt002_instrument WHERE ref_date='2024-09-30' AND nome_perimetro='Individual Corporativo' AND segmento='ESTR' AND ambito='PM' AND entidade='00100' ) A </v>
      </c>
      <c r="I209" s="75" t="str">
        <f>IF(VLOOKUP(B209,Instruções!$F$13:$J$17,5,0)="",
"(SELECT "&amp;VLOOKUP(B209,Instruções!$F$13:$J$17,4,0)&amp;" as "&amp;VLOOKUP(B209,Instruções!$F$13:$J$17,4,0)&amp;"_"&amp;$G$2&amp;", "&amp;E209&amp;" as "&amp;G209&amp;" FROM "&amp;D209&amp;" WHERE "&amp;Instruções!$D$21&amp;") B ",
"(SELECT "&amp;VLOOKUP(B209,Instruções!$F$13:$J$17,4,0)&amp;" as "&amp;VLOOKUP(B209,Instruções!$F$13:$J$17,4,0)&amp;"_"&amp;$G$2&amp;", "&amp;VLOOKUP(B209,Instruções!$F$13:$J$17,5,0)&amp;" as "&amp;VLOOKUP(B209,Instruções!$F$13:$J$17,5,0)&amp;"_"&amp;$G$2&amp;","&amp;E209&amp;" as "&amp;G209&amp;" FROM "&amp;D209&amp;" WHERE "&amp;Instruções!$D$21&amp;") B ")</f>
        <v xml:space="preserve">(SELECT instrmnt_id as instrmnt_id_, ifrs9_lgd as ifrs9_lgd_to_be FROM bu_loantape_work.lt002_instrument WHERE ref_date='2024-09-30' AND nome_perimetro='Individual Corporativo' AND segmento='ESTR' AND ambito='PM' AND entidade='00100' ) B </v>
      </c>
      <c r="J209" s="75" t="str">
        <f>+IF(VLOOKUP(B209,Instruções!$F$13:$J$17,5,0)="", "ON "&amp;VLOOKUP(B209,Instruções!$F$13:$J$17,4,0)&amp;"_"&amp;$F$7&amp;"="&amp;VLOOKUP(B209,Instruções!$F$13:$J$17,4,0)&amp;"_"&amp;$G$7&amp;" ", "ON "&amp;VLOOKUP(B209,Instruções!$F$13:$J$17,4,0)&amp;"_"&amp;$F$7&amp;"="&amp;VLOOKUP(B209,Instruções!$F$13:$J$17,4,0)&amp;"_"&amp;$G$7&amp;" AND "&amp;VLOOKUP(B209,Instruções!$F$13:$J$17,5,0)&amp;"_"&amp;$F$7&amp;"="&amp;VLOOKUP(B209,Instruções!$F$13:$J$17,5,0)&amp;"_"&amp;$G$7&amp;" ")</f>
        <v xml:space="preserve">ON instrmnt_id_as_is=instrmnt_id_to_be </v>
      </c>
      <c r="K209" s="75" t="str">
        <f t="shared" si="27"/>
        <v xml:space="preserve">WHERE coalesce(cast(ifrs9_lgd_as_is AS string),'')&lt;&gt;coalesce(cast(ifrs9_lgd_to_be AS string),'') </v>
      </c>
      <c r="L209" s="75" t="str">
        <f t="shared" si="28"/>
        <v xml:space="preserve">SELECT count(*) AS NUM_REG_DIF FROM (SELECT instrmnt_id as instrmnt_id_, ifrs9_lgd as ifrs9_lgd_as_is FROM cd_loan_tapes_bce.lt002_instrument WHERE ref_date='2024-09-30' AND nome_perimetro='Individual Corporativo' AND segmento='ESTR' AND ambito='PM' AND entidade='00100' ) A  Inner join (SELECT instrmnt_id as instrmnt_id_, ifrs9_lgd as ifrs9_lgd_to_be FROM bu_loantape_work.lt002_instrument WHERE ref_date='2024-09-30' AND nome_perimetro='Individual Corporativo' AND segmento='ESTR' AND ambito='PM' AND entidade='00100' ) B ON instrmnt_id_as_is=instrmnt_id_to_be WHERE coalesce(cast(ifrs9_lgd_as_is AS string),'')&lt;&gt;coalesce(cast(ifrs9_lgd_to_be AS string),'') </v>
      </c>
      <c r="M209" s="75" t="s">
        <v>55</v>
      </c>
      <c r="N209" s="75" t="str">
        <f>"SELECT 'Validação de campos' as tipologia_teste, '"&amp;VLOOKUP(B209,Instruções!$F$13:$J$17,3,0)&amp;"' AS TABELA, '"&amp;E209&amp;"' AS CAMPO, '"&amp;Instruções!$D$15&amp;"' as ref_date, coalesce(NUM_REG_DIF, 0) AS NUM_REG_DIF FROM ("&amp;L209&amp;") A "</f>
        <v xml:space="preserve">SELECT 'Validação de campos' as tipologia_teste, 'lt002_instrument' AS TABELA, 'ifrs9_lgd' AS CAMPO, '2024-09-30' as ref_date, coalesce(NUM_REG_DIF, 0) AS NUM_REG_DIF FROM (SELECT count(*) AS NUM_REG_DIF FROM (SELECT instrmnt_id as instrmnt_id_, ifrs9_lgd as ifrs9_lgd_as_is FROM cd_loan_tapes_bce.lt002_instrument WHERE ref_date='2024-09-30' AND nome_perimetro='Individual Corporativo' AND segmento='ESTR' AND ambito='PM' AND entidade='00100' ) A  Inner join (SELECT instrmnt_id as instrmnt_id_, ifrs9_lgd as ifrs9_lgd_to_be FROM bu_loantape_work.lt002_instrument WHERE ref_date='2024-09-30' AND nome_perimetro='Individual Corporativo' AND segmento='ESTR' AND ambito='PM' AND entidade='00100' ) B ON instrmnt_id_as_is=instrmnt_id_to_be WHERE coalesce(cast(ifrs9_lgd_as_is AS string),'')&lt;&gt;coalesce(cast(ifrs9_lgd_to_be AS string),'') ) A </v>
      </c>
      <c r="O209" s="76" t="str">
        <f t="shared" si="29"/>
        <v>SELECT 'Validação de campos' as tipologia_teste, 'lt002_instrument' AS TABELA, 'ifrs9_lgd' AS CAMPO, '2024-09-30' as ref_date, coalesce(NUM_REG_DIF, 0) AS NUM_REG_DIF FROM (SELECT count(*) AS NUM_REG_DIF FROM (SELECT instrmnt_id as instrmnt_id_, ifrs9_lgd as ifrs9_lgd_as_is FROM cd_loan_tapes_bce.lt002_instrument WHERE ref_date='2024-09-30' AND nome_perimetro='Individual Corporativo' AND segmento='ESTR' AND ambito='PM' AND entidade='00100' ) A  Inner join (SELECT instrmnt_id as instrmnt_id_, ifrs9_lgd as ifrs9_lgd_to_be FROM bu_loantape_work.lt002_instrument WHERE ref_date='2024-09-30' AND nome_perimetro='Individual Corporativo' AND segmento='ESTR' AND ambito='PM' AND entidade='00100' ) B ON instrmnt_id_as_is=instrmnt_id_to_be WHERE coalesce(cast(ifrs9_lgd_as_is AS string),'')&lt;&gt;coalesce(cast(ifrs9_lgd_to_be AS string),'') ) A Union all</v>
      </c>
      <c r="P209" s="75">
        <f t="shared" si="31"/>
        <v>48</v>
      </c>
    </row>
    <row r="210" spans="2:16" s="63" customFormat="1" ht="18" customHeight="1">
      <c r="B210" s="75" t="s">
        <v>26</v>
      </c>
      <c r="C210" s="75" t="str">
        <f>_xlfn.CONCAT(Instruções!$D$13,".",VLOOKUP(B210,Instruções!$F$12:$H$17,2,0))</f>
        <v>cd_loan_tapes_bce.lt002_instrument</v>
      </c>
      <c r="D210" s="75" t="str">
        <f>_xlfn.CONCAT(Instruções!$D$14,".",VLOOKUP(B210,Instruções!$F$12:$H$17,3,0))</f>
        <v>bu_loantape_work.lt002_instrument</v>
      </c>
      <c r="E210" s="75" t="s">
        <v>249</v>
      </c>
      <c r="F210" s="75" t="str">
        <f t="shared" si="32"/>
        <v>imprmnt_assssmnt_mthd_as_is</v>
      </c>
      <c r="G210" s="75" t="str">
        <f t="shared" si="33"/>
        <v>imprmnt_assssmnt_mthd_to_be</v>
      </c>
      <c r="H210" s="75" t="str">
        <f>IF(VLOOKUP(B210,Instruções!$F$13:$J$17,5,0)="",
"(SELECT "&amp;VLOOKUP(B210,Instruções!$F$13:$J$17,4,0)&amp;" as "&amp;VLOOKUP(B210,Instruções!$F$13:$J$17,4,0)&amp;"_"&amp;$F$2&amp;", "&amp;E210&amp;" as "&amp;F210&amp;" FROM "&amp;C210&amp;" WHERE "&amp;Instruções!$D$20&amp;") A ",
"(SELECT "&amp;VLOOKUP(B210,Instruções!$F$13:$J$17,4,0)&amp;" as "&amp;VLOOKUP(B210,Instruções!$F$13:$J$17,4,0)&amp;"_"&amp;$F$2&amp;", "&amp;VLOOKUP(B210,Instruções!$F$13:$J$17,5,0)&amp;" as "&amp;VLOOKUP(B210,Instruções!$F$13:$J$17,5,0)&amp;"_"&amp;$F$2&amp;","&amp;E210&amp;" as "&amp;F210&amp;" FROM "&amp;C210&amp;" WHERE "&amp;Instruções!$D$20&amp;") A ")</f>
        <v xml:space="preserve">(SELECT instrmnt_id as instrmnt_id_, imprmnt_assssmnt_mthd as imprmnt_assssmnt_mthd_as_is FROM cd_loan_tapes_bce.lt002_instrument WHERE ref_date='2024-09-30' AND nome_perimetro='Individual Corporativo' AND segmento='ESTR' AND ambito='PM' AND entidade='00100' ) A </v>
      </c>
      <c r="I210" s="75" t="str">
        <f>IF(VLOOKUP(B210,Instruções!$F$13:$J$17,5,0)="",
"(SELECT "&amp;VLOOKUP(B210,Instruções!$F$13:$J$17,4,0)&amp;" as "&amp;VLOOKUP(B210,Instruções!$F$13:$J$17,4,0)&amp;"_"&amp;$G$2&amp;", "&amp;E210&amp;" as "&amp;G210&amp;" FROM "&amp;D210&amp;" WHERE "&amp;Instruções!$D$21&amp;") B ",
"(SELECT "&amp;VLOOKUP(B210,Instruções!$F$13:$J$17,4,0)&amp;" as "&amp;VLOOKUP(B210,Instruções!$F$13:$J$17,4,0)&amp;"_"&amp;$G$2&amp;", "&amp;VLOOKUP(B210,Instruções!$F$13:$J$17,5,0)&amp;" as "&amp;VLOOKUP(B210,Instruções!$F$13:$J$17,5,0)&amp;"_"&amp;$G$2&amp;","&amp;E210&amp;" as "&amp;G210&amp;" FROM "&amp;D210&amp;" WHERE "&amp;Instruções!$D$21&amp;") B ")</f>
        <v xml:space="preserve">(SELECT instrmnt_id as instrmnt_id_, imprmnt_assssmnt_mthd as imprmnt_assssmnt_mthd_to_be FROM bu_loantape_work.lt002_instrument WHERE ref_date='2024-09-30' AND nome_perimetro='Individual Corporativo' AND segmento='ESTR' AND ambito='PM' AND entidade='00100' ) B </v>
      </c>
      <c r="J210" s="75" t="str">
        <f>+IF(VLOOKUP(B210,Instruções!$F$13:$J$17,5,0)="", "ON "&amp;VLOOKUP(B210,Instruções!$F$13:$J$17,4,0)&amp;"_"&amp;$F$7&amp;"="&amp;VLOOKUP(B210,Instruções!$F$13:$J$17,4,0)&amp;"_"&amp;$G$7&amp;" ", "ON "&amp;VLOOKUP(B210,Instruções!$F$13:$J$17,4,0)&amp;"_"&amp;$F$7&amp;"="&amp;VLOOKUP(B210,Instruções!$F$13:$J$17,4,0)&amp;"_"&amp;$G$7&amp;" AND "&amp;VLOOKUP(B210,Instruções!$F$13:$J$17,5,0)&amp;"_"&amp;$F$7&amp;"="&amp;VLOOKUP(B210,Instruções!$F$13:$J$17,5,0)&amp;"_"&amp;$G$7&amp;" ")</f>
        <v xml:space="preserve">ON instrmnt_id_as_is=instrmnt_id_to_be </v>
      </c>
      <c r="K210" s="75" t="str">
        <f t="shared" si="27"/>
        <v xml:space="preserve">WHERE coalesce(cast(imprmnt_assssmnt_mthd_as_is AS string),'')&lt;&gt;coalesce(cast(imprmnt_assssmnt_mthd_to_be AS string),'') </v>
      </c>
      <c r="L210" s="75" t="str">
        <f t="shared" si="28"/>
        <v xml:space="preserve">SELECT count(*) AS NUM_REG_DIF FROM (SELECT instrmnt_id as instrmnt_id_, imprmnt_assssmnt_mthd as imprmnt_assssmnt_mthd_as_is FROM cd_loan_tapes_bce.lt002_instrument WHERE ref_date='2024-09-30' AND nome_perimetro='Individual Corporativo' AND segmento='ESTR' AND ambito='PM' AND entidade='00100' ) A  Inner join (SELECT instrmnt_id as instrmnt_id_, imprmnt_assssmnt_mthd as imprmnt_assssmnt_mthd_to_be FROM bu_loantape_work.lt002_instrument WHERE ref_date='2024-09-30' AND nome_perimetro='Individual Corporativo' AND segmento='ESTR' AND ambito='PM' AND entidade='00100' ) B ON instrmnt_id_as_is=instrmnt_id_to_be WHERE coalesce(cast(imprmnt_assssmnt_mthd_as_is AS string),'')&lt;&gt;coalesce(cast(imprmnt_assssmnt_mthd_to_be AS string),'') </v>
      </c>
      <c r="M210" s="75" t="s">
        <v>55</v>
      </c>
      <c r="N210" s="75" t="str">
        <f>"SELECT 'Validação de campos' as tipologia_teste, '"&amp;VLOOKUP(B210,Instruções!$F$13:$J$17,3,0)&amp;"' AS TABELA, '"&amp;E210&amp;"' AS CAMPO, '"&amp;Instruções!$D$15&amp;"' as ref_date, coalesce(NUM_REG_DIF, 0) AS NUM_REG_DIF FROM ("&amp;L210&amp;") A "</f>
        <v xml:space="preserve">SELECT 'Validação de campos' as tipologia_teste, 'lt002_instrument' AS TABELA, 'imprmnt_assssmnt_mthd' AS CAMPO, '2024-09-30' as ref_date, coalesce(NUM_REG_DIF, 0) AS NUM_REG_DIF FROM (SELECT count(*) AS NUM_REG_DIF FROM (SELECT instrmnt_id as instrmnt_id_, imprmnt_assssmnt_mthd as imprmnt_assssmnt_mthd_as_is FROM cd_loan_tapes_bce.lt002_instrument WHERE ref_date='2024-09-30' AND nome_perimetro='Individual Corporativo' AND segmento='ESTR' AND ambito='PM' AND entidade='00100' ) A  Inner join (SELECT instrmnt_id as instrmnt_id_, imprmnt_assssmnt_mthd as imprmnt_assssmnt_mthd_to_be FROM bu_loantape_work.lt002_instrument WHERE ref_date='2024-09-30' AND nome_perimetro='Individual Corporativo' AND segmento='ESTR' AND ambito='PM' AND entidade='00100' ) B ON instrmnt_id_as_is=instrmnt_id_to_be WHERE coalesce(cast(imprmnt_assssmnt_mthd_as_is AS string),'')&lt;&gt;coalesce(cast(imprmnt_assssmnt_mthd_to_be AS string),'') ) A </v>
      </c>
      <c r="O210" s="76" t="str">
        <f t="shared" si="29"/>
        <v>SELECT 'Validação de campos' as tipologia_teste, 'lt002_instrument' AS TABELA, 'imprmnt_assssmnt_mthd' AS CAMPO, '2024-09-30' as ref_date, coalesce(NUM_REG_DIF, 0) AS NUM_REG_DIF FROM (SELECT count(*) AS NUM_REG_DIF FROM (SELECT instrmnt_id as instrmnt_id_, imprmnt_assssmnt_mthd as imprmnt_assssmnt_mthd_as_is FROM cd_loan_tapes_bce.lt002_instrument WHERE ref_date='2024-09-30' AND nome_perimetro='Individual Corporativo' AND segmento='ESTR' AND ambito='PM' AND entidade='00100' ) A  Inner join (SELECT instrmnt_id as instrmnt_id_, imprmnt_assssmnt_mthd as imprmnt_assssmnt_mthd_to_be FROM bu_loantape_work.lt002_instrument WHERE ref_date='2024-09-30' AND nome_perimetro='Individual Corporativo' AND segmento='ESTR' AND ambito='PM' AND entidade='00100' ) B ON instrmnt_id_as_is=instrmnt_id_to_be WHERE coalesce(cast(imprmnt_assssmnt_mthd_as_is AS string),'')&lt;&gt;coalesce(cast(imprmnt_assssmnt_mthd_to_be AS string),'') ) A Union all</v>
      </c>
      <c r="P210" s="75">
        <f t="shared" si="31"/>
        <v>49</v>
      </c>
    </row>
    <row r="211" spans="2:16" s="63" customFormat="1" ht="18" customHeight="1">
      <c r="B211" s="75" t="s">
        <v>26</v>
      </c>
      <c r="C211" s="75" t="str">
        <f>_xlfn.CONCAT(Instruções!$D$13,".",VLOOKUP(B211,Instruções!$F$12:$H$17,2,0))</f>
        <v>cd_loan_tapes_bce.lt002_instrument</v>
      </c>
      <c r="D211" s="75" t="str">
        <f>_xlfn.CONCAT(Instruções!$D$14,".",VLOOKUP(B211,Instruções!$F$12:$H$17,3,0))</f>
        <v>bu_loantape_work.lt002_instrument</v>
      </c>
      <c r="E211" s="75" t="s">
        <v>250</v>
      </c>
      <c r="F211" s="75" t="str">
        <f t="shared" si="32"/>
        <v>imprmnt_clcltn_mthd_as_is</v>
      </c>
      <c r="G211" s="75" t="str">
        <f t="shared" si="33"/>
        <v>imprmnt_clcltn_mthd_to_be</v>
      </c>
      <c r="H211" s="75" t="str">
        <f>IF(VLOOKUP(B211,Instruções!$F$13:$J$17,5,0)="",
"(SELECT "&amp;VLOOKUP(B211,Instruções!$F$13:$J$17,4,0)&amp;" as "&amp;VLOOKUP(B211,Instruções!$F$13:$J$17,4,0)&amp;"_"&amp;$F$2&amp;", "&amp;E211&amp;" as "&amp;F211&amp;" FROM "&amp;C211&amp;" WHERE "&amp;Instruções!$D$20&amp;") A ",
"(SELECT "&amp;VLOOKUP(B211,Instruções!$F$13:$J$17,4,0)&amp;" as "&amp;VLOOKUP(B211,Instruções!$F$13:$J$17,4,0)&amp;"_"&amp;$F$2&amp;", "&amp;VLOOKUP(B211,Instruções!$F$13:$J$17,5,0)&amp;" as "&amp;VLOOKUP(B211,Instruções!$F$13:$J$17,5,0)&amp;"_"&amp;$F$2&amp;","&amp;E211&amp;" as "&amp;F211&amp;" FROM "&amp;C211&amp;" WHERE "&amp;Instruções!$D$20&amp;") A ")</f>
        <v xml:space="preserve">(SELECT instrmnt_id as instrmnt_id_, imprmnt_clcltn_mthd as imprmnt_clcltn_mthd_as_is FROM cd_loan_tapes_bce.lt002_instrument WHERE ref_date='2024-09-30' AND nome_perimetro='Individual Corporativo' AND segmento='ESTR' AND ambito='PM' AND entidade='00100' ) A </v>
      </c>
      <c r="I211" s="75" t="str">
        <f>IF(VLOOKUP(B211,Instruções!$F$13:$J$17,5,0)="",
"(SELECT "&amp;VLOOKUP(B211,Instruções!$F$13:$J$17,4,0)&amp;" as "&amp;VLOOKUP(B211,Instruções!$F$13:$J$17,4,0)&amp;"_"&amp;$G$2&amp;", "&amp;E211&amp;" as "&amp;G211&amp;" FROM "&amp;D211&amp;" WHERE "&amp;Instruções!$D$21&amp;") B ",
"(SELECT "&amp;VLOOKUP(B211,Instruções!$F$13:$J$17,4,0)&amp;" as "&amp;VLOOKUP(B211,Instruções!$F$13:$J$17,4,0)&amp;"_"&amp;$G$2&amp;", "&amp;VLOOKUP(B211,Instruções!$F$13:$J$17,5,0)&amp;" as "&amp;VLOOKUP(B211,Instruções!$F$13:$J$17,5,0)&amp;"_"&amp;$G$2&amp;","&amp;E211&amp;" as "&amp;G211&amp;" FROM "&amp;D211&amp;" WHERE "&amp;Instruções!$D$21&amp;") B ")</f>
        <v xml:space="preserve">(SELECT instrmnt_id as instrmnt_id_, imprmnt_clcltn_mthd as imprmnt_clcltn_mthd_to_be FROM bu_loantape_work.lt002_instrument WHERE ref_date='2024-09-30' AND nome_perimetro='Individual Corporativo' AND segmento='ESTR' AND ambito='PM' AND entidade='00100' ) B </v>
      </c>
      <c r="J211" s="75" t="str">
        <f>+IF(VLOOKUP(B211,Instruções!$F$13:$J$17,5,0)="", "ON "&amp;VLOOKUP(B211,Instruções!$F$13:$J$17,4,0)&amp;"_"&amp;$F$7&amp;"="&amp;VLOOKUP(B211,Instruções!$F$13:$J$17,4,0)&amp;"_"&amp;$G$7&amp;" ", "ON "&amp;VLOOKUP(B211,Instruções!$F$13:$J$17,4,0)&amp;"_"&amp;$F$7&amp;"="&amp;VLOOKUP(B211,Instruções!$F$13:$J$17,4,0)&amp;"_"&amp;$G$7&amp;" AND "&amp;VLOOKUP(B211,Instruções!$F$13:$J$17,5,0)&amp;"_"&amp;$F$7&amp;"="&amp;VLOOKUP(B211,Instruções!$F$13:$J$17,5,0)&amp;"_"&amp;$G$7&amp;" ")</f>
        <v xml:space="preserve">ON instrmnt_id_as_is=instrmnt_id_to_be </v>
      </c>
      <c r="K211" s="75" t="str">
        <f t="shared" si="27"/>
        <v xml:space="preserve">WHERE coalesce(cast(imprmnt_clcltn_mthd_as_is AS string),'')&lt;&gt;coalesce(cast(imprmnt_clcltn_mthd_to_be AS string),'') </v>
      </c>
      <c r="L211" s="75" t="str">
        <f t="shared" si="28"/>
        <v xml:space="preserve">SELECT count(*) AS NUM_REG_DIF FROM (SELECT instrmnt_id as instrmnt_id_, imprmnt_clcltn_mthd as imprmnt_clcltn_mthd_as_is FROM cd_loan_tapes_bce.lt002_instrument WHERE ref_date='2024-09-30' AND nome_perimetro='Individual Corporativo' AND segmento='ESTR' AND ambito='PM' AND entidade='00100' ) A  Inner join (SELECT instrmnt_id as instrmnt_id_, imprmnt_clcltn_mthd as imprmnt_clcltn_mthd_to_be FROM bu_loantape_work.lt002_instrument WHERE ref_date='2024-09-30' AND nome_perimetro='Individual Corporativo' AND segmento='ESTR' AND ambito='PM' AND entidade='00100' ) B ON instrmnt_id_as_is=instrmnt_id_to_be WHERE coalesce(cast(imprmnt_clcltn_mthd_as_is AS string),'')&lt;&gt;coalesce(cast(imprmnt_clcltn_mthd_to_be AS string),'') </v>
      </c>
      <c r="M211" s="75" t="s">
        <v>55</v>
      </c>
      <c r="N211" s="75" t="str">
        <f>"SELECT 'Validação de campos' as tipologia_teste, '"&amp;VLOOKUP(B211,Instruções!$F$13:$J$17,3,0)&amp;"' AS TABELA, '"&amp;E211&amp;"' AS CAMPO, '"&amp;Instruções!$D$15&amp;"' as ref_date, coalesce(NUM_REG_DIF, 0) AS NUM_REG_DIF FROM ("&amp;L211&amp;") A "</f>
        <v xml:space="preserve">SELECT 'Validação de campos' as tipologia_teste, 'lt002_instrument' AS TABELA, 'imprmnt_clcltn_mthd' AS CAMPO, '2024-09-30' as ref_date, coalesce(NUM_REG_DIF, 0) AS NUM_REG_DIF FROM (SELECT count(*) AS NUM_REG_DIF FROM (SELECT instrmnt_id as instrmnt_id_, imprmnt_clcltn_mthd as imprmnt_clcltn_mthd_as_is FROM cd_loan_tapes_bce.lt002_instrument WHERE ref_date='2024-09-30' AND nome_perimetro='Individual Corporativo' AND segmento='ESTR' AND ambito='PM' AND entidade='00100' ) A  Inner join (SELECT instrmnt_id as instrmnt_id_, imprmnt_clcltn_mthd as imprmnt_clcltn_mthd_to_be FROM bu_loantape_work.lt002_instrument WHERE ref_date='2024-09-30' AND nome_perimetro='Individual Corporativo' AND segmento='ESTR' AND ambito='PM' AND entidade='00100' ) B ON instrmnt_id_as_is=instrmnt_id_to_be WHERE coalesce(cast(imprmnt_clcltn_mthd_as_is AS string),'')&lt;&gt;coalesce(cast(imprmnt_clcltn_mthd_to_be AS string),'') ) A </v>
      </c>
      <c r="O211" s="76" t="str">
        <f>IF(O212="",N211,N211&amp;$O$8)</f>
        <v xml:space="preserve">SELECT 'Validação de campos' as tipologia_teste, 'lt002_instrument' AS TABELA, 'imprmnt_clcltn_mthd' AS CAMPO, '2024-09-30' as ref_date, coalesce(NUM_REG_DIF, 0) AS NUM_REG_DIF FROM (SELECT count(*) AS NUM_REG_DIF FROM (SELECT instrmnt_id as instrmnt_id_, imprmnt_clcltn_mthd as imprmnt_clcltn_mthd_as_is FROM cd_loan_tapes_bce.lt002_instrument WHERE ref_date='2024-09-30' AND nome_perimetro='Individual Corporativo' AND segmento='ESTR' AND ambito='PM' AND entidade='00100' ) A  Inner join (SELECT instrmnt_id as instrmnt_id_, imprmnt_clcltn_mthd as imprmnt_clcltn_mthd_to_be FROM bu_loantape_work.lt002_instrument WHERE ref_date='2024-09-30' AND nome_perimetro='Individual Corporativo' AND segmento='ESTR' AND ambito='PM' AND entidade='00100' ) B ON instrmnt_id_as_is=instrmnt_id_to_be WHERE coalesce(cast(imprmnt_clcltn_mthd_as_is AS string),'')&lt;&gt;coalesce(cast(imprmnt_clcltn_mthd_to_be AS string),'') ) A </v>
      </c>
      <c r="P211" s="75">
        <f t="shared" si="31"/>
        <v>50</v>
      </c>
    </row>
    <row r="212" spans="2:16" s="63" customFormat="1" ht="4.9000000000000004" customHeight="1">
      <c r="B212" s="78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80"/>
      <c r="P212" s="81"/>
    </row>
    <row r="213" spans="2:16" s="63" customFormat="1" ht="18" customHeight="1">
      <c r="B213" s="75" t="s">
        <v>26</v>
      </c>
      <c r="C213" s="75" t="str">
        <f>_xlfn.CONCAT(Instruções!$D$13,".",VLOOKUP(B213,Instruções!$F$12:$H$17,2,0))</f>
        <v>cd_loan_tapes_bce.lt002_instrument</v>
      </c>
      <c r="D213" s="75" t="str">
        <f>_xlfn.CONCAT(Instruções!$D$14,".",VLOOKUP(B213,Instruções!$F$12:$H$17,3,0))</f>
        <v>bu_loantape_work.lt002_instrument</v>
      </c>
      <c r="E213" s="75" t="s">
        <v>251</v>
      </c>
      <c r="F213" s="75" t="str">
        <f t="shared" ref="F213:F244" si="34">E213&amp;"_"&amp;$F$7</f>
        <v>imprmnt_stts_as_is</v>
      </c>
      <c r="G213" s="75" t="str">
        <f t="shared" ref="G213:G244" si="35">E213&amp;"_"&amp;$G$7</f>
        <v>imprmnt_stts_to_be</v>
      </c>
      <c r="H213" s="75" t="str">
        <f>IF(VLOOKUP(B213,Instruções!$F$13:$J$17,5,0)="",
"(SELECT "&amp;VLOOKUP(B213,Instruções!$F$13:$J$17,4,0)&amp;" as "&amp;VLOOKUP(B213,Instruções!$F$13:$J$17,4,0)&amp;"_"&amp;$F$2&amp;", "&amp;E213&amp;" as "&amp;F213&amp;" FROM "&amp;C213&amp;" WHERE "&amp;Instruções!$D$20&amp;") A ",
"(SELECT "&amp;VLOOKUP(B213,Instruções!$F$13:$J$17,4,0)&amp;" as "&amp;VLOOKUP(B213,Instruções!$F$13:$J$17,4,0)&amp;"_"&amp;$F$2&amp;", "&amp;VLOOKUP(B213,Instruções!$F$13:$J$17,5,0)&amp;" as "&amp;VLOOKUP(B213,Instruções!$F$13:$J$17,5,0)&amp;"_"&amp;$F$2&amp;","&amp;E213&amp;" as "&amp;F213&amp;" FROM "&amp;C213&amp;" WHERE "&amp;Instruções!$D$20&amp;") A ")</f>
        <v xml:space="preserve">(SELECT instrmnt_id as instrmnt_id_, imprmnt_stts as imprmnt_stts_as_is FROM cd_loan_tapes_bce.lt002_instrument WHERE ref_date='2024-09-30' AND nome_perimetro='Individual Corporativo' AND segmento='ESTR' AND ambito='PM' AND entidade='00100' ) A </v>
      </c>
      <c r="I213" s="75" t="str">
        <f>IF(VLOOKUP(B213,Instruções!$F$13:$J$17,5,0)="",
"(SELECT "&amp;VLOOKUP(B213,Instruções!$F$13:$J$17,4,0)&amp;" as "&amp;VLOOKUP(B213,Instruções!$F$13:$J$17,4,0)&amp;"_"&amp;$G$2&amp;", "&amp;E213&amp;" as "&amp;G213&amp;" FROM "&amp;D213&amp;" WHERE "&amp;Instruções!$D$21&amp;") B ",
"(SELECT "&amp;VLOOKUP(B213,Instruções!$F$13:$J$17,4,0)&amp;" as "&amp;VLOOKUP(B213,Instruções!$F$13:$J$17,4,0)&amp;"_"&amp;$G$2&amp;", "&amp;VLOOKUP(B213,Instruções!$F$13:$J$17,5,0)&amp;" as "&amp;VLOOKUP(B213,Instruções!$F$13:$J$17,5,0)&amp;"_"&amp;$G$2&amp;","&amp;E213&amp;" as "&amp;G213&amp;" FROM "&amp;D213&amp;" WHERE "&amp;Instruções!$D$21&amp;") B ")</f>
        <v xml:space="preserve">(SELECT instrmnt_id as instrmnt_id_, imprmnt_stts as imprmnt_stts_to_be FROM bu_loantape_work.lt002_instrument WHERE ref_date='2024-09-30' AND nome_perimetro='Individual Corporativo' AND segmento='ESTR' AND ambito='PM' AND entidade='00100' ) B </v>
      </c>
      <c r="J213" s="75" t="str">
        <f>+IF(VLOOKUP(B213,Instruções!$F$13:$J$17,5,0)="", "ON "&amp;VLOOKUP(B213,Instruções!$F$13:$J$17,4,0)&amp;"_"&amp;$F$7&amp;"="&amp;VLOOKUP(B213,Instruções!$F$13:$J$17,4,0)&amp;"_"&amp;$G$7&amp;" ", "ON "&amp;VLOOKUP(B213,Instruções!$F$13:$J$17,4,0)&amp;"_"&amp;$F$7&amp;"="&amp;VLOOKUP(B213,Instruções!$F$13:$J$17,4,0)&amp;"_"&amp;$G$7&amp;" AND "&amp;VLOOKUP(B213,Instruções!$F$13:$J$17,5,0)&amp;"_"&amp;$F$7&amp;"="&amp;VLOOKUP(B213,Instruções!$F$13:$J$17,5,0)&amp;"_"&amp;$G$7&amp;" ")</f>
        <v xml:space="preserve">ON instrmnt_id_as_is=instrmnt_id_to_be </v>
      </c>
      <c r="K213" s="75" t="str">
        <f t="shared" ref="K213:K262" si="36">"WHERE coalesce(cast("&amp;F213&amp;" AS string),'')&lt;&gt;coalesce(cast("&amp;G213&amp;" AS string),'') "</f>
        <v xml:space="preserve">WHERE coalesce(cast(imprmnt_stts_as_is AS string),'')&lt;&gt;coalesce(cast(imprmnt_stts_to_be AS string),'') </v>
      </c>
      <c r="L213" s="75" t="str">
        <f t="shared" ref="L213:L262" si="37">"SELECT count(*) AS NUM_REG_DIF FROM "&amp;H213&amp;" Inner join "&amp;I213&amp;J213&amp;K213</f>
        <v xml:space="preserve">SELECT count(*) AS NUM_REG_DIF FROM (SELECT instrmnt_id as instrmnt_id_, imprmnt_stts as imprmnt_stts_as_is FROM cd_loan_tapes_bce.lt002_instrument WHERE ref_date='2024-09-30' AND nome_perimetro='Individual Corporativo' AND segmento='ESTR' AND ambito='PM' AND entidade='00100' ) A  Inner join (SELECT instrmnt_id as instrmnt_id_, imprmnt_stts as imprmnt_stts_to_be FROM bu_loantape_work.lt002_instrument WHERE ref_date='2024-09-30' AND nome_perimetro='Individual Corporativo' AND segmento='ESTR' AND ambito='PM' AND entidade='00100' ) B ON instrmnt_id_as_is=instrmnt_id_to_be WHERE coalesce(cast(imprmnt_stts_as_is AS string),'')&lt;&gt;coalesce(cast(imprmnt_stts_to_be AS string),'') </v>
      </c>
      <c r="M213" s="75" t="s">
        <v>55</v>
      </c>
      <c r="N213" s="75" t="str">
        <f>"SELECT 'Validação de campos' as tipologia_teste, '"&amp;VLOOKUP(B213,Instruções!$F$13:$J$17,3,0)&amp;"' AS TABELA, '"&amp;E213&amp;"' AS CAMPO, '"&amp;Instruções!$D$15&amp;"' as ref_date, coalesce(NUM_REG_DIF, 0) AS NUM_REG_DIF FROM ("&amp;L213&amp;") A "</f>
        <v xml:space="preserve">SELECT 'Validação de campos' as tipologia_teste, 'lt002_instrument' AS TABELA, 'imprmnt_stts' AS CAMPO, '2024-09-30' as ref_date, coalesce(NUM_REG_DIF, 0) AS NUM_REG_DIF FROM (SELECT count(*) AS NUM_REG_DIF FROM (SELECT instrmnt_id as instrmnt_id_, imprmnt_stts as imprmnt_stts_as_is FROM cd_loan_tapes_bce.lt002_instrument WHERE ref_date='2024-09-30' AND nome_perimetro='Individual Corporativo' AND segmento='ESTR' AND ambito='PM' AND entidade='00100' ) A  Inner join (SELECT instrmnt_id as instrmnt_id_, imprmnt_stts as imprmnt_stts_to_be FROM bu_loantape_work.lt002_instrument WHERE ref_date='2024-09-30' AND nome_perimetro='Individual Corporativo' AND segmento='ESTR' AND ambito='PM' AND entidade='00100' ) B ON instrmnt_id_as_is=instrmnt_id_to_be WHERE coalesce(cast(imprmnt_stts_as_is AS string),'')&lt;&gt;coalesce(cast(imprmnt_stts_to_be AS string),'') ) A </v>
      </c>
      <c r="O213" s="76" t="str">
        <f t="shared" ref="O213:O261" si="38">IF(O214="",N213,N213&amp;$O$8)</f>
        <v>SELECT 'Validação de campos' as tipologia_teste, 'lt002_instrument' AS TABELA, 'imprmnt_stts' AS CAMPO, '2024-09-30' as ref_date, coalesce(NUM_REG_DIF, 0) AS NUM_REG_DIF FROM (SELECT count(*) AS NUM_REG_DIF FROM (SELECT instrmnt_id as instrmnt_id_, imprmnt_stts as imprmnt_stts_as_is FROM cd_loan_tapes_bce.lt002_instrument WHERE ref_date='2024-09-30' AND nome_perimetro='Individual Corporativo' AND segmento='ESTR' AND ambito='PM' AND entidade='00100' ) A  Inner join (SELECT instrmnt_id as instrmnt_id_, imprmnt_stts as imprmnt_stts_to_be FROM bu_loantape_work.lt002_instrument WHERE ref_date='2024-09-30' AND nome_perimetro='Individual Corporativo' AND segmento='ESTR' AND ambito='PM' AND entidade='00100' ) B ON instrmnt_id_as_is=instrmnt_id_to_be WHERE coalesce(cast(imprmnt_stts_as_is AS string),'')&lt;&gt;coalesce(cast(imprmnt_stts_to_be AS string),'') ) A Union all</v>
      </c>
      <c r="P213" s="75">
        <f>+P212+1</f>
        <v>1</v>
      </c>
    </row>
    <row r="214" spans="2:16" s="63" customFormat="1" ht="18" customHeight="1">
      <c r="B214" s="75" t="s">
        <v>26</v>
      </c>
      <c r="C214" s="75" t="str">
        <f>_xlfn.CONCAT(Instruções!$D$13,".",VLOOKUP(B214,Instruções!$F$12:$H$17,2,0))</f>
        <v>cd_loan_tapes_bce.lt002_instrument</v>
      </c>
      <c r="D214" s="75" t="str">
        <f>_xlfn.CONCAT(Instruções!$D$14,".",VLOOKUP(B214,Instruções!$F$12:$H$17,3,0))</f>
        <v>bu_loantape_work.lt002_instrument</v>
      </c>
      <c r="E214" s="75" t="s">
        <v>252</v>
      </c>
      <c r="F214" s="75" t="str">
        <f t="shared" si="34"/>
        <v>imprmnt_stts_prvs_as_is</v>
      </c>
      <c r="G214" s="75" t="str">
        <f t="shared" si="35"/>
        <v>imprmnt_stts_prvs_to_be</v>
      </c>
      <c r="H214" s="75" t="str">
        <f>IF(VLOOKUP(B214,Instruções!$F$13:$J$17,5,0)="",
"(SELECT "&amp;VLOOKUP(B214,Instruções!$F$13:$J$17,4,0)&amp;" as "&amp;VLOOKUP(B214,Instruções!$F$13:$J$17,4,0)&amp;"_"&amp;$F$2&amp;", "&amp;E214&amp;" as "&amp;F214&amp;" FROM "&amp;C214&amp;" WHERE "&amp;Instruções!$D$20&amp;") A ",
"(SELECT "&amp;VLOOKUP(B214,Instruções!$F$13:$J$17,4,0)&amp;" as "&amp;VLOOKUP(B214,Instruções!$F$13:$J$17,4,0)&amp;"_"&amp;$F$2&amp;", "&amp;VLOOKUP(B214,Instruções!$F$13:$J$17,5,0)&amp;" as "&amp;VLOOKUP(B214,Instruções!$F$13:$J$17,5,0)&amp;"_"&amp;$F$2&amp;","&amp;E214&amp;" as "&amp;F214&amp;" FROM "&amp;C214&amp;" WHERE "&amp;Instruções!$D$20&amp;") A ")</f>
        <v xml:space="preserve">(SELECT instrmnt_id as instrmnt_id_, imprmnt_stts_prvs as imprmnt_stts_prvs_as_is FROM cd_loan_tapes_bce.lt002_instrument WHERE ref_date='2024-09-30' AND nome_perimetro='Individual Corporativo' AND segmento='ESTR' AND ambito='PM' AND entidade='00100' ) A </v>
      </c>
      <c r="I214" s="75" t="str">
        <f>IF(VLOOKUP(B214,Instruções!$F$13:$J$17,5,0)="",
"(SELECT "&amp;VLOOKUP(B214,Instruções!$F$13:$J$17,4,0)&amp;" as "&amp;VLOOKUP(B214,Instruções!$F$13:$J$17,4,0)&amp;"_"&amp;$G$2&amp;", "&amp;E214&amp;" as "&amp;G214&amp;" FROM "&amp;D214&amp;" WHERE "&amp;Instruções!$D$21&amp;") B ",
"(SELECT "&amp;VLOOKUP(B214,Instruções!$F$13:$J$17,4,0)&amp;" as "&amp;VLOOKUP(B214,Instruções!$F$13:$J$17,4,0)&amp;"_"&amp;$G$2&amp;", "&amp;VLOOKUP(B214,Instruções!$F$13:$J$17,5,0)&amp;" as "&amp;VLOOKUP(B214,Instruções!$F$13:$J$17,5,0)&amp;"_"&amp;$G$2&amp;","&amp;E214&amp;" as "&amp;G214&amp;" FROM "&amp;D214&amp;" WHERE "&amp;Instruções!$D$21&amp;") B ")</f>
        <v xml:space="preserve">(SELECT instrmnt_id as instrmnt_id_, imprmnt_stts_prvs as imprmnt_stts_prvs_to_be FROM bu_loantape_work.lt002_instrument WHERE ref_date='2024-09-30' AND nome_perimetro='Individual Corporativo' AND segmento='ESTR' AND ambito='PM' AND entidade='00100' ) B </v>
      </c>
      <c r="J214" s="75" t="str">
        <f>+IF(VLOOKUP(B214,Instruções!$F$13:$J$17,5,0)="", "ON "&amp;VLOOKUP(B214,Instruções!$F$13:$J$17,4,0)&amp;"_"&amp;$F$7&amp;"="&amp;VLOOKUP(B214,Instruções!$F$13:$J$17,4,0)&amp;"_"&amp;$G$7&amp;" ", "ON "&amp;VLOOKUP(B214,Instruções!$F$13:$J$17,4,0)&amp;"_"&amp;$F$7&amp;"="&amp;VLOOKUP(B214,Instruções!$F$13:$J$17,4,0)&amp;"_"&amp;$G$7&amp;" AND "&amp;VLOOKUP(B214,Instruções!$F$13:$J$17,5,0)&amp;"_"&amp;$F$7&amp;"="&amp;VLOOKUP(B214,Instruções!$F$13:$J$17,5,0)&amp;"_"&amp;$G$7&amp;" ")</f>
        <v xml:space="preserve">ON instrmnt_id_as_is=instrmnt_id_to_be </v>
      </c>
      <c r="K214" s="75" t="str">
        <f t="shared" si="36"/>
        <v xml:space="preserve">WHERE coalesce(cast(imprmnt_stts_prvs_as_is AS string),'')&lt;&gt;coalesce(cast(imprmnt_stts_prvs_to_be AS string),'') </v>
      </c>
      <c r="L214" s="75" t="str">
        <f t="shared" si="37"/>
        <v xml:space="preserve">SELECT count(*) AS NUM_REG_DIF FROM (SELECT instrmnt_id as instrmnt_id_, imprmnt_stts_prvs as imprmnt_stts_prvs_as_is FROM cd_loan_tapes_bce.lt002_instrument WHERE ref_date='2024-09-30' AND nome_perimetro='Individual Corporativo' AND segmento='ESTR' AND ambito='PM' AND entidade='00100' ) A  Inner join (SELECT instrmnt_id as instrmnt_id_, imprmnt_stts_prvs as imprmnt_stts_prvs_to_be FROM bu_loantape_work.lt002_instrument WHERE ref_date='2024-09-30' AND nome_perimetro='Individual Corporativo' AND segmento='ESTR' AND ambito='PM' AND entidade='00100' ) B ON instrmnt_id_as_is=instrmnt_id_to_be WHERE coalesce(cast(imprmnt_stts_prvs_as_is AS string),'')&lt;&gt;coalesce(cast(imprmnt_stts_prvs_to_be AS string),'') </v>
      </c>
      <c r="M214" s="75" t="s">
        <v>55</v>
      </c>
      <c r="N214" s="75" t="str">
        <f>"SELECT 'Validação de campos' as tipologia_teste, '"&amp;VLOOKUP(B214,Instruções!$F$13:$J$17,3,0)&amp;"' AS TABELA, '"&amp;E214&amp;"' AS CAMPO, '"&amp;Instruções!$D$15&amp;"' as ref_date, coalesce(NUM_REG_DIF, 0) AS NUM_REG_DIF FROM ("&amp;L214&amp;") A "</f>
        <v xml:space="preserve">SELECT 'Validação de campos' as tipologia_teste, 'lt002_instrument' AS TABELA, 'imprmnt_stts_prvs' AS CAMPO, '2024-09-30' as ref_date, coalesce(NUM_REG_DIF, 0) AS NUM_REG_DIF FROM (SELECT count(*) AS NUM_REG_DIF FROM (SELECT instrmnt_id as instrmnt_id_, imprmnt_stts_prvs as imprmnt_stts_prvs_as_is FROM cd_loan_tapes_bce.lt002_instrument WHERE ref_date='2024-09-30' AND nome_perimetro='Individual Corporativo' AND segmento='ESTR' AND ambito='PM' AND entidade='00100' ) A  Inner join (SELECT instrmnt_id as instrmnt_id_, imprmnt_stts_prvs as imprmnt_stts_prvs_to_be FROM bu_loantape_work.lt002_instrument WHERE ref_date='2024-09-30' AND nome_perimetro='Individual Corporativo' AND segmento='ESTR' AND ambito='PM' AND entidade='00100' ) B ON instrmnt_id_as_is=instrmnt_id_to_be WHERE coalesce(cast(imprmnt_stts_prvs_as_is AS string),'')&lt;&gt;coalesce(cast(imprmnt_stts_prvs_to_be AS string),'') ) A </v>
      </c>
      <c r="O214" s="76" t="str">
        <f t="shared" si="38"/>
        <v>SELECT 'Validação de campos' as tipologia_teste, 'lt002_instrument' AS TABELA, 'imprmnt_stts_prvs' AS CAMPO, '2024-09-30' as ref_date, coalesce(NUM_REG_DIF, 0) AS NUM_REG_DIF FROM (SELECT count(*) AS NUM_REG_DIF FROM (SELECT instrmnt_id as instrmnt_id_, imprmnt_stts_prvs as imprmnt_stts_prvs_as_is FROM cd_loan_tapes_bce.lt002_instrument WHERE ref_date='2024-09-30' AND nome_perimetro='Individual Corporativo' AND segmento='ESTR' AND ambito='PM' AND entidade='00100' ) A  Inner join (SELECT instrmnt_id as instrmnt_id_, imprmnt_stts_prvs as imprmnt_stts_prvs_to_be FROM bu_loantape_work.lt002_instrument WHERE ref_date='2024-09-30' AND nome_perimetro='Individual Corporativo' AND segmento='ESTR' AND ambito='PM' AND entidade='00100' ) B ON instrmnt_id_as_is=instrmnt_id_to_be WHERE coalesce(cast(imprmnt_stts_prvs_as_is AS string),'')&lt;&gt;coalesce(cast(imprmnt_stts_prvs_to_be AS string),'') ) A Union all</v>
      </c>
      <c r="P214" s="75">
        <f t="shared" ref="P214:P250" si="39">+P213+1</f>
        <v>2</v>
      </c>
    </row>
    <row r="215" spans="2:16" s="63" customFormat="1" ht="18" customHeight="1">
      <c r="B215" s="75" t="s">
        <v>26</v>
      </c>
      <c r="C215" s="75" t="str">
        <f>_xlfn.CONCAT(Instruções!$D$13,".",VLOOKUP(B215,Instruções!$F$12:$H$17,2,0))</f>
        <v>cd_loan_tapes_bce.lt002_instrument</v>
      </c>
      <c r="D215" s="75" t="str">
        <f>_xlfn.CONCAT(Instruções!$D$14,".",VLOOKUP(B215,Instruções!$F$12:$H$17,3,0))</f>
        <v>bu_loantape_work.lt002_instrument</v>
      </c>
      <c r="E215" s="75" t="s">
        <v>253</v>
      </c>
      <c r="F215" s="75" t="str">
        <f t="shared" si="34"/>
        <v>instlmnt_pay_as_is</v>
      </c>
      <c r="G215" s="75" t="str">
        <f t="shared" si="35"/>
        <v>instlmnt_pay_to_be</v>
      </c>
      <c r="H215" s="75" t="str">
        <f>IF(VLOOKUP(B215,Instruções!$F$13:$J$17,5,0)="",
"(SELECT "&amp;VLOOKUP(B215,Instruções!$F$13:$J$17,4,0)&amp;" as "&amp;VLOOKUP(B215,Instruções!$F$13:$J$17,4,0)&amp;"_"&amp;$F$2&amp;", "&amp;E215&amp;" as "&amp;F215&amp;" FROM "&amp;C215&amp;" WHERE "&amp;Instruções!$D$20&amp;") A ",
"(SELECT "&amp;VLOOKUP(B215,Instruções!$F$13:$J$17,4,0)&amp;" as "&amp;VLOOKUP(B215,Instruções!$F$13:$J$17,4,0)&amp;"_"&amp;$F$2&amp;", "&amp;VLOOKUP(B215,Instruções!$F$13:$J$17,5,0)&amp;" as "&amp;VLOOKUP(B215,Instruções!$F$13:$J$17,5,0)&amp;"_"&amp;$F$2&amp;","&amp;E215&amp;" as "&amp;F215&amp;" FROM "&amp;C215&amp;" WHERE "&amp;Instruções!$D$20&amp;") A ")</f>
        <v xml:space="preserve">(SELECT instrmnt_id as instrmnt_id_, instlmnt_pay as instlmnt_pay_as_is FROM cd_loan_tapes_bce.lt002_instrument WHERE ref_date='2024-09-30' AND nome_perimetro='Individual Corporativo' AND segmento='ESTR' AND ambito='PM' AND entidade='00100' ) A </v>
      </c>
      <c r="I215" s="75" t="str">
        <f>IF(VLOOKUP(B215,Instruções!$F$13:$J$17,5,0)="",
"(SELECT "&amp;VLOOKUP(B215,Instruções!$F$13:$J$17,4,0)&amp;" as "&amp;VLOOKUP(B215,Instruções!$F$13:$J$17,4,0)&amp;"_"&amp;$G$2&amp;", "&amp;E215&amp;" as "&amp;G215&amp;" FROM "&amp;D215&amp;" WHERE "&amp;Instruções!$D$21&amp;") B ",
"(SELECT "&amp;VLOOKUP(B215,Instruções!$F$13:$J$17,4,0)&amp;" as "&amp;VLOOKUP(B215,Instruções!$F$13:$J$17,4,0)&amp;"_"&amp;$G$2&amp;", "&amp;VLOOKUP(B215,Instruções!$F$13:$J$17,5,0)&amp;" as "&amp;VLOOKUP(B215,Instruções!$F$13:$J$17,5,0)&amp;"_"&amp;$G$2&amp;","&amp;E215&amp;" as "&amp;G215&amp;" FROM "&amp;D215&amp;" WHERE "&amp;Instruções!$D$21&amp;") B ")</f>
        <v xml:space="preserve">(SELECT instrmnt_id as instrmnt_id_, instlmnt_pay as instlmnt_pay_to_be FROM bu_loantape_work.lt002_instrument WHERE ref_date='2024-09-30' AND nome_perimetro='Individual Corporativo' AND segmento='ESTR' AND ambito='PM' AND entidade='00100' ) B </v>
      </c>
      <c r="J215" s="75" t="str">
        <f>+IF(VLOOKUP(B215,Instruções!$F$13:$J$17,5,0)="", "ON "&amp;VLOOKUP(B215,Instruções!$F$13:$J$17,4,0)&amp;"_"&amp;$F$7&amp;"="&amp;VLOOKUP(B215,Instruções!$F$13:$J$17,4,0)&amp;"_"&amp;$G$7&amp;" ", "ON "&amp;VLOOKUP(B215,Instruções!$F$13:$J$17,4,0)&amp;"_"&amp;$F$7&amp;"="&amp;VLOOKUP(B215,Instruções!$F$13:$J$17,4,0)&amp;"_"&amp;$G$7&amp;" AND "&amp;VLOOKUP(B215,Instruções!$F$13:$J$17,5,0)&amp;"_"&amp;$F$7&amp;"="&amp;VLOOKUP(B215,Instruções!$F$13:$J$17,5,0)&amp;"_"&amp;$G$7&amp;" ")</f>
        <v xml:space="preserve">ON instrmnt_id_as_is=instrmnt_id_to_be </v>
      </c>
      <c r="K215" s="75" t="str">
        <f t="shared" si="36"/>
        <v xml:space="preserve">WHERE coalesce(cast(instlmnt_pay_as_is AS string),'')&lt;&gt;coalesce(cast(instlmnt_pay_to_be AS string),'') </v>
      </c>
      <c r="L215" s="75" t="str">
        <f t="shared" si="37"/>
        <v xml:space="preserve">SELECT count(*) AS NUM_REG_DIF FROM (SELECT instrmnt_id as instrmnt_id_, instlmnt_pay as instlmnt_pay_as_is FROM cd_loan_tapes_bce.lt002_instrument WHERE ref_date='2024-09-30' AND nome_perimetro='Individual Corporativo' AND segmento='ESTR' AND ambito='PM' AND entidade='00100' ) A  Inner join (SELECT instrmnt_id as instrmnt_id_, instlmnt_pay as instlmnt_pay_to_be FROM bu_loantape_work.lt002_instrument WHERE ref_date='2024-09-30' AND nome_perimetro='Individual Corporativo' AND segmento='ESTR' AND ambito='PM' AND entidade='00100' ) B ON instrmnt_id_as_is=instrmnt_id_to_be WHERE coalesce(cast(instlmnt_pay_as_is AS string),'')&lt;&gt;coalesce(cast(instlmnt_pay_to_be AS string),'') </v>
      </c>
      <c r="M215" s="75" t="s">
        <v>55</v>
      </c>
      <c r="N215" s="75" t="str">
        <f>"SELECT 'Validação de campos' as tipologia_teste, '"&amp;VLOOKUP(B215,Instruções!$F$13:$J$17,3,0)&amp;"' AS TABELA, '"&amp;E215&amp;"' AS CAMPO, '"&amp;Instruções!$D$15&amp;"' as ref_date, coalesce(NUM_REG_DIF, 0) AS NUM_REG_DIF FROM ("&amp;L215&amp;") A "</f>
        <v xml:space="preserve">SELECT 'Validação de campos' as tipologia_teste, 'lt002_instrument' AS TABELA, 'instlmnt_pay' AS CAMPO, '2024-09-30' as ref_date, coalesce(NUM_REG_DIF, 0) AS NUM_REG_DIF FROM (SELECT count(*) AS NUM_REG_DIF FROM (SELECT instrmnt_id as instrmnt_id_, instlmnt_pay as instlmnt_pay_as_is FROM cd_loan_tapes_bce.lt002_instrument WHERE ref_date='2024-09-30' AND nome_perimetro='Individual Corporativo' AND segmento='ESTR' AND ambito='PM' AND entidade='00100' ) A  Inner join (SELECT instrmnt_id as instrmnt_id_, instlmnt_pay as instlmnt_pay_to_be FROM bu_loantape_work.lt002_instrument WHERE ref_date='2024-09-30' AND nome_perimetro='Individual Corporativo' AND segmento='ESTR' AND ambito='PM' AND entidade='00100' ) B ON instrmnt_id_as_is=instrmnt_id_to_be WHERE coalesce(cast(instlmnt_pay_as_is AS string),'')&lt;&gt;coalesce(cast(instlmnt_pay_to_be AS string),'') ) A </v>
      </c>
      <c r="O215" s="76" t="str">
        <f t="shared" si="38"/>
        <v>SELECT 'Validação de campos' as tipologia_teste, 'lt002_instrument' AS TABELA, 'instlmnt_pay' AS CAMPO, '2024-09-30' as ref_date, coalesce(NUM_REG_DIF, 0) AS NUM_REG_DIF FROM (SELECT count(*) AS NUM_REG_DIF FROM (SELECT instrmnt_id as instrmnt_id_, instlmnt_pay as instlmnt_pay_as_is FROM cd_loan_tapes_bce.lt002_instrument WHERE ref_date='2024-09-30' AND nome_perimetro='Individual Corporativo' AND segmento='ESTR' AND ambito='PM' AND entidade='00100' ) A  Inner join (SELECT instrmnt_id as instrmnt_id_, instlmnt_pay as instlmnt_pay_to_be FROM bu_loantape_work.lt002_instrument WHERE ref_date='2024-09-30' AND nome_perimetro='Individual Corporativo' AND segmento='ESTR' AND ambito='PM' AND entidade='00100' ) B ON instrmnt_id_as_is=instrmnt_id_to_be WHERE coalesce(cast(instlmnt_pay_as_is AS string),'')&lt;&gt;coalesce(cast(instlmnt_pay_to_be AS string),'') ) A Union all</v>
      </c>
      <c r="P215" s="75">
        <f t="shared" si="39"/>
        <v>3</v>
      </c>
    </row>
    <row r="216" spans="2:16" s="63" customFormat="1" ht="18" customHeight="1">
      <c r="B216" s="75" t="s">
        <v>26</v>
      </c>
      <c r="C216" s="75" t="str">
        <f>_xlfn.CONCAT(Instruções!$D$13,".",VLOOKUP(B216,Instruções!$F$12:$H$17,2,0))</f>
        <v>cd_loan_tapes_bce.lt002_instrument</v>
      </c>
      <c r="D216" s="75" t="str">
        <f>_xlfn.CONCAT(Instruções!$D$14,".",VLOOKUP(B216,Instruções!$F$12:$H$17,3,0))</f>
        <v>bu_loantape_work.lt002_instrument</v>
      </c>
      <c r="E216" s="75" t="s">
        <v>254</v>
      </c>
      <c r="F216" s="75" t="str">
        <f t="shared" si="34"/>
        <v>instr_snrty_clss_as_is</v>
      </c>
      <c r="G216" s="75" t="str">
        <f t="shared" si="35"/>
        <v>instr_snrty_clss_to_be</v>
      </c>
      <c r="H216" s="75" t="str">
        <f>IF(VLOOKUP(B216,Instruções!$F$13:$J$17,5,0)="",
"(SELECT "&amp;VLOOKUP(B216,Instruções!$F$13:$J$17,4,0)&amp;" as "&amp;VLOOKUP(B216,Instruções!$F$13:$J$17,4,0)&amp;"_"&amp;$F$2&amp;", "&amp;E216&amp;" as "&amp;F216&amp;" FROM "&amp;C216&amp;" WHERE "&amp;Instruções!$D$20&amp;") A ",
"(SELECT "&amp;VLOOKUP(B216,Instruções!$F$13:$J$17,4,0)&amp;" as "&amp;VLOOKUP(B216,Instruções!$F$13:$J$17,4,0)&amp;"_"&amp;$F$2&amp;", "&amp;VLOOKUP(B216,Instruções!$F$13:$J$17,5,0)&amp;" as "&amp;VLOOKUP(B216,Instruções!$F$13:$J$17,5,0)&amp;"_"&amp;$F$2&amp;","&amp;E216&amp;" as "&amp;F216&amp;" FROM "&amp;C216&amp;" WHERE "&amp;Instruções!$D$20&amp;") A ")</f>
        <v xml:space="preserve">(SELECT instrmnt_id as instrmnt_id_, instr_snrty_clss as instr_snrty_clss_as_is FROM cd_loan_tapes_bce.lt002_instrument WHERE ref_date='2024-09-30' AND nome_perimetro='Individual Corporativo' AND segmento='ESTR' AND ambito='PM' AND entidade='00100' ) A </v>
      </c>
      <c r="I216" s="75" t="str">
        <f>IF(VLOOKUP(B216,Instruções!$F$13:$J$17,5,0)="",
"(SELECT "&amp;VLOOKUP(B216,Instruções!$F$13:$J$17,4,0)&amp;" as "&amp;VLOOKUP(B216,Instruções!$F$13:$J$17,4,0)&amp;"_"&amp;$G$2&amp;", "&amp;E216&amp;" as "&amp;G216&amp;" FROM "&amp;D216&amp;" WHERE "&amp;Instruções!$D$21&amp;") B ",
"(SELECT "&amp;VLOOKUP(B216,Instruções!$F$13:$J$17,4,0)&amp;" as "&amp;VLOOKUP(B216,Instruções!$F$13:$J$17,4,0)&amp;"_"&amp;$G$2&amp;", "&amp;VLOOKUP(B216,Instruções!$F$13:$J$17,5,0)&amp;" as "&amp;VLOOKUP(B216,Instruções!$F$13:$J$17,5,0)&amp;"_"&amp;$G$2&amp;","&amp;E216&amp;" as "&amp;G216&amp;" FROM "&amp;D216&amp;" WHERE "&amp;Instruções!$D$21&amp;") B ")</f>
        <v xml:space="preserve">(SELECT instrmnt_id as instrmnt_id_, instr_snrty_clss as instr_snrty_clss_to_be FROM bu_loantape_work.lt002_instrument WHERE ref_date='2024-09-30' AND nome_perimetro='Individual Corporativo' AND segmento='ESTR' AND ambito='PM' AND entidade='00100' ) B </v>
      </c>
      <c r="J216" s="75" t="str">
        <f>+IF(VLOOKUP(B216,Instruções!$F$13:$J$17,5,0)="", "ON "&amp;VLOOKUP(B216,Instruções!$F$13:$J$17,4,0)&amp;"_"&amp;$F$7&amp;"="&amp;VLOOKUP(B216,Instruções!$F$13:$J$17,4,0)&amp;"_"&amp;$G$7&amp;" ", "ON "&amp;VLOOKUP(B216,Instruções!$F$13:$J$17,4,0)&amp;"_"&amp;$F$7&amp;"="&amp;VLOOKUP(B216,Instruções!$F$13:$J$17,4,0)&amp;"_"&amp;$G$7&amp;" AND "&amp;VLOOKUP(B216,Instruções!$F$13:$J$17,5,0)&amp;"_"&amp;$F$7&amp;"="&amp;VLOOKUP(B216,Instruções!$F$13:$J$17,5,0)&amp;"_"&amp;$G$7&amp;" ")</f>
        <v xml:space="preserve">ON instrmnt_id_as_is=instrmnt_id_to_be </v>
      </c>
      <c r="K216" s="75" t="str">
        <f t="shared" si="36"/>
        <v xml:space="preserve">WHERE coalesce(cast(instr_snrty_clss_as_is AS string),'')&lt;&gt;coalesce(cast(instr_snrty_clss_to_be AS string),'') </v>
      </c>
      <c r="L216" s="75" t="str">
        <f t="shared" si="37"/>
        <v xml:space="preserve">SELECT count(*) AS NUM_REG_DIF FROM (SELECT instrmnt_id as instrmnt_id_, instr_snrty_clss as instr_snrty_clss_as_is FROM cd_loan_tapes_bce.lt002_instrument WHERE ref_date='2024-09-30' AND nome_perimetro='Individual Corporativo' AND segmento='ESTR' AND ambito='PM' AND entidade='00100' ) A  Inner join (SELECT instrmnt_id as instrmnt_id_, instr_snrty_clss as instr_snrty_clss_to_be FROM bu_loantape_work.lt002_instrument WHERE ref_date='2024-09-30' AND nome_perimetro='Individual Corporativo' AND segmento='ESTR' AND ambito='PM' AND entidade='00100' ) B ON instrmnt_id_as_is=instrmnt_id_to_be WHERE coalesce(cast(instr_snrty_clss_as_is AS string),'')&lt;&gt;coalesce(cast(instr_snrty_clss_to_be AS string),'') </v>
      </c>
      <c r="M216" s="75" t="s">
        <v>55</v>
      </c>
      <c r="N216" s="75" t="str">
        <f>"SELECT 'Validação de campos' as tipologia_teste, '"&amp;VLOOKUP(B216,Instruções!$F$13:$J$17,3,0)&amp;"' AS TABELA, '"&amp;E216&amp;"' AS CAMPO, '"&amp;Instruções!$D$15&amp;"' as ref_date, coalesce(NUM_REG_DIF, 0) AS NUM_REG_DIF FROM ("&amp;L216&amp;") A "</f>
        <v xml:space="preserve">SELECT 'Validação de campos' as tipologia_teste, 'lt002_instrument' AS TABELA, 'instr_snrty_clss' AS CAMPO, '2024-09-30' as ref_date, coalesce(NUM_REG_DIF, 0) AS NUM_REG_DIF FROM (SELECT count(*) AS NUM_REG_DIF FROM (SELECT instrmnt_id as instrmnt_id_, instr_snrty_clss as instr_snrty_clss_as_is FROM cd_loan_tapes_bce.lt002_instrument WHERE ref_date='2024-09-30' AND nome_perimetro='Individual Corporativo' AND segmento='ESTR' AND ambito='PM' AND entidade='00100' ) A  Inner join (SELECT instrmnt_id as instrmnt_id_, instr_snrty_clss as instr_snrty_clss_to_be FROM bu_loantape_work.lt002_instrument WHERE ref_date='2024-09-30' AND nome_perimetro='Individual Corporativo' AND segmento='ESTR' AND ambito='PM' AND entidade='00100' ) B ON instrmnt_id_as_is=instrmnt_id_to_be WHERE coalesce(cast(instr_snrty_clss_as_is AS string),'')&lt;&gt;coalesce(cast(instr_snrty_clss_to_be AS string),'') ) A </v>
      </c>
      <c r="O216" s="76" t="str">
        <f t="shared" si="38"/>
        <v>SELECT 'Validação de campos' as tipologia_teste, 'lt002_instrument' AS TABELA, 'instr_snrty_clss' AS CAMPO, '2024-09-30' as ref_date, coalesce(NUM_REG_DIF, 0) AS NUM_REG_DIF FROM (SELECT count(*) AS NUM_REG_DIF FROM (SELECT instrmnt_id as instrmnt_id_, instr_snrty_clss as instr_snrty_clss_as_is FROM cd_loan_tapes_bce.lt002_instrument WHERE ref_date='2024-09-30' AND nome_perimetro='Individual Corporativo' AND segmento='ESTR' AND ambito='PM' AND entidade='00100' ) A  Inner join (SELECT instrmnt_id as instrmnt_id_, instr_snrty_clss as instr_snrty_clss_to_be FROM bu_loantape_work.lt002_instrument WHERE ref_date='2024-09-30' AND nome_perimetro='Individual Corporativo' AND segmento='ESTR' AND ambito='PM' AND entidade='00100' ) B ON instrmnt_id_as_is=instrmnt_id_to_be WHERE coalesce(cast(instr_snrty_clss_as_is AS string),'')&lt;&gt;coalesce(cast(instr_snrty_clss_to_be AS string),'') ) A Union all</v>
      </c>
      <c r="P216" s="75">
        <f t="shared" si="39"/>
        <v>4</v>
      </c>
    </row>
    <row r="217" spans="2:16" s="63" customFormat="1" ht="18" customHeight="1">
      <c r="B217" s="75" t="s">
        <v>26</v>
      </c>
      <c r="C217" s="75" t="str">
        <f>_xlfn.CONCAT(Instruções!$D$13,".",VLOOKUP(B217,Instruções!$F$12:$H$17,2,0))</f>
        <v>cd_loan_tapes_bce.lt002_instrument</v>
      </c>
      <c r="D217" s="75" t="str">
        <f>_xlfn.CONCAT(Instruções!$D$14,".",VLOOKUP(B217,Instruções!$F$12:$H$17,3,0))</f>
        <v>bu_loantape_work.lt002_instrument</v>
      </c>
      <c r="E217" s="75" t="s">
        <v>255</v>
      </c>
      <c r="F217" s="75" t="str">
        <f t="shared" si="34"/>
        <v>instrmnt_clss_as_is</v>
      </c>
      <c r="G217" s="75" t="str">
        <f t="shared" si="35"/>
        <v>instrmnt_clss_to_be</v>
      </c>
      <c r="H217" s="75" t="str">
        <f>IF(VLOOKUP(B217,Instruções!$F$13:$J$17,5,0)="",
"(SELECT "&amp;VLOOKUP(B217,Instruções!$F$13:$J$17,4,0)&amp;" as "&amp;VLOOKUP(B217,Instruções!$F$13:$J$17,4,0)&amp;"_"&amp;$F$2&amp;", "&amp;E217&amp;" as "&amp;F217&amp;" FROM "&amp;C217&amp;" WHERE "&amp;Instruções!$D$20&amp;") A ",
"(SELECT "&amp;VLOOKUP(B217,Instruções!$F$13:$J$17,4,0)&amp;" as "&amp;VLOOKUP(B217,Instruções!$F$13:$J$17,4,0)&amp;"_"&amp;$F$2&amp;", "&amp;VLOOKUP(B217,Instruções!$F$13:$J$17,5,0)&amp;" as "&amp;VLOOKUP(B217,Instruções!$F$13:$J$17,5,0)&amp;"_"&amp;$F$2&amp;","&amp;E217&amp;" as "&amp;F217&amp;" FROM "&amp;C217&amp;" WHERE "&amp;Instruções!$D$20&amp;") A ")</f>
        <v xml:space="preserve">(SELECT instrmnt_id as instrmnt_id_, instrmnt_clss as instrmnt_clss_as_is FROM cd_loan_tapes_bce.lt002_instrument WHERE ref_date='2024-09-30' AND nome_perimetro='Individual Corporativo' AND segmento='ESTR' AND ambito='PM' AND entidade='00100' ) A </v>
      </c>
      <c r="I217" s="75" t="str">
        <f>IF(VLOOKUP(B217,Instruções!$F$13:$J$17,5,0)="",
"(SELECT "&amp;VLOOKUP(B217,Instruções!$F$13:$J$17,4,0)&amp;" as "&amp;VLOOKUP(B217,Instruções!$F$13:$J$17,4,0)&amp;"_"&amp;$G$2&amp;", "&amp;E217&amp;" as "&amp;G217&amp;" FROM "&amp;D217&amp;" WHERE "&amp;Instruções!$D$21&amp;") B ",
"(SELECT "&amp;VLOOKUP(B217,Instruções!$F$13:$J$17,4,0)&amp;" as "&amp;VLOOKUP(B217,Instruções!$F$13:$J$17,4,0)&amp;"_"&amp;$G$2&amp;", "&amp;VLOOKUP(B217,Instruções!$F$13:$J$17,5,0)&amp;" as "&amp;VLOOKUP(B217,Instruções!$F$13:$J$17,5,0)&amp;"_"&amp;$G$2&amp;","&amp;E217&amp;" as "&amp;G217&amp;" FROM "&amp;D217&amp;" WHERE "&amp;Instruções!$D$21&amp;") B ")</f>
        <v xml:space="preserve">(SELECT instrmnt_id as instrmnt_id_, instrmnt_clss as instrmnt_clss_to_be FROM bu_loantape_work.lt002_instrument WHERE ref_date='2024-09-30' AND nome_perimetro='Individual Corporativo' AND segmento='ESTR' AND ambito='PM' AND entidade='00100' ) B </v>
      </c>
      <c r="J217" s="75" t="str">
        <f>+IF(VLOOKUP(B217,Instruções!$F$13:$J$17,5,0)="", "ON "&amp;VLOOKUP(B217,Instruções!$F$13:$J$17,4,0)&amp;"_"&amp;$F$7&amp;"="&amp;VLOOKUP(B217,Instruções!$F$13:$J$17,4,0)&amp;"_"&amp;$G$7&amp;" ", "ON "&amp;VLOOKUP(B217,Instruções!$F$13:$J$17,4,0)&amp;"_"&amp;$F$7&amp;"="&amp;VLOOKUP(B217,Instruções!$F$13:$J$17,4,0)&amp;"_"&amp;$G$7&amp;" AND "&amp;VLOOKUP(B217,Instruções!$F$13:$J$17,5,0)&amp;"_"&amp;$F$7&amp;"="&amp;VLOOKUP(B217,Instruções!$F$13:$J$17,5,0)&amp;"_"&amp;$G$7&amp;" ")</f>
        <v xml:space="preserve">ON instrmnt_id_as_is=instrmnt_id_to_be </v>
      </c>
      <c r="K217" s="75" t="str">
        <f t="shared" si="36"/>
        <v xml:space="preserve">WHERE coalesce(cast(instrmnt_clss_as_is AS string),'')&lt;&gt;coalesce(cast(instrmnt_clss_to_be AS string),'') </v>
      </c>
      <c r="L217" s="75" t="str">
        <f t="shared" si="37"/>
        <v xml:space="preserve">SELECT count(*) AS NUM_REG_DIF FROM (SELECT instrmnt_id as instrmnt_id_, instrmnt_clss as instrmnt_clss_as_is FROM cd_loan_tapes_bce.lt002_instrument WHERE ref_date='2024-09-30' AND nome_perimetro='Individual Corporativo' AND segmento='ESTR' AND ambito='PM' AND entidade='00100' ) A  Inner join (SELECT instrmnt_id as instrmnt_id_, instrmnt_clss as instrmnt_clss_to_be FROM bu_loantape_work.lt002_instrument WHERE ref_date='2024-09-30' AND nome_perimetro='Individual Corporativo' AND segmento='ESTR' AND ambito='PM' AND entidade='00100' ) B ON instrmnt_id_as_is=instrmnt_id_to_be WHERE coalesce(cast(instrmnt_clss_as_is AS string),'')&lt;&gt;coalesce(cast(instrmnt_clss_to_be AS string),'') </v>
      </c>
      <c r="M217" s="75" t="s">
        <v>55</v>
      </c>
      <c r="N217" s="75" t="str">
        <f>"SELECT 'Validação de campos' as tipologia_teste, '"&amp;VLOOKUP(B217,Instruções!$F$13:$J$17,3,0)&amp;"' AS TABELA, '"&amp;E217&amp;"' AS CAMPO, '"&amp;Instruções!$D$15&amp;"' as ref_date, coalesce(NUM_REG_DIF, 0) AS NUM_REG_DIF FROM ("&amp;L217&amp;") A "</f>
        <v xml:space="preserve">SELECT 'Validação de campos' as tipologia_teste, 'lt002_instrument' AS TABELA, 'instrmnt_clss' AS CAMPO, '2024-09-30' as ref_date, coalesce(NUM_REG_DIF, 0) AS NUM_REG_DIF FROM (SELECT count(*) AS NUM_REG_DIF FROM (SELECT instrmnt_id as instrmnt_id_, instrmnt_clss as instrmnt_clss_as_is FROM cd_loan_tapes_bce.lt002_instrument WHERE ref_date='2024-09-30' AND nome_perimetro='Individual Corporativo' AND segmento='ESTR' AND ambito='PM' AND entidade='00100' ) A  Inner join (SELECT instrmnt_id as instrmnt_id_, instrmnt_clss as instrmnt_clss_to_be FROM bu_loantape_work.lt002_instrument WHERE ref_date='2024-09-30' AND nome_perimetro='Individual Corporativo' AND segmento='ESTR' AND ambito='PM' AND entidade='00100' ) B ON instrmnt_id_as_is=instrmnt_id_to_be WHERE coalesce(cast(instrmnt_clss_as_is AS string),'')&lt;&gt;coalesce(cast(instrmnt_clss_to_be AS string),'') ) A </v>
      </c>
      <c r="O217" s="76" t="str">
        <f t="shared" si="38"/>
        <v>SELECT 'Validação de campos' as tipologia_teste, 'lt002_instrument' AS TABELA, 'instrmnt_clss' AS CAMPO, '2024-09-30' as ref_date, coalesce(NUM_REG_DIF, 0) AS NUM_REG_DIF FROM (SELECT count(*) AS NUM_REG_DIF FROM (SELECT instrmnt_id as instrmnt_id_, instrmnt_clss as instrmnt_clss_as_is FROM cd_loan_tapes_bce.lt002_instrument WHERE ref_date='2024-09-30' AND nome_perimetro='Individual Corporativo' AND segmento='ESTR' AND ambito='PM' AND entidade='00100' ) A  Inner join (SELECT instrmnt_id as instrmnt_id_, instrmnt_clss as instrmnt_clss_to_be FROM bu_loantape_work.lt002_instrument WHERE ref_date='2024-09-30' AND nome_perimetro='Individual Corporativo' AND segmento='ESTR' AND ambito='PM' AND entidade='00100' ) B ON instrmnt_id_as_is=instrmnt_id_to_be WHERE coalesce(cast(instrmnt_clss_as_is AS string),'')&lt;&gt;coalesce(cast(instrmnt_clss_to_be AS string),'') ) A Union all</v>
      </c>
      <c r="P217" s="75">
        <f t="shared" si="39"/>
        <v>5</v>
      </c>
    </row>
    <row r="218" spans="2:16" s="63" customFormat="1" ht="18" customHeight="1">
      <c r="B218" s="75" t="s">
        <v>26</v>
      </c>
      <c r="C218" s="75" t="str">
        <f>_xlfn.CONCAT(Instruções!$D$13,".",VLOOKUP(B218,Instruções!$F$12:$H$17,2,0))</f>
        <v>cd_loan_tapes_bce.lt002_instrument</v>
      </c>
      <c r="D218" s="75" t="str">
        <f>_xlfn.CONCAT(Instruções!$D$14,".",VLOOKUP(B218,Instruções!$F$12:$H$17,3,0))</f>
        <v>bu_loantape_work.lt002_instrument</v>
      </c>
      <c r="E218" s="75" t="s">
        <v>121</v>
      </c>
      <c r="F218" s="75" t="str">
        <f t="shared" si="34"/>
        <v>intrnl_rtng_as_is</v>
      </c>
      <c r="G218" s="75" t="str">
        <f t="shared" si="35"/>
        <v>intrnl_rtng_to_be</v>
      </c>
      <c r="H218" s="75" t="str">
        <f>IF(VLOOKUP(B218,Instruções!$F$13:$J$17,5,0)="",
"(SELECT "&amp;VLOOKUP(B218,Instruções!$F$13:$J$17,4,0)&amp;" as "&amp;VLOOKUP(B218,Instruções!$F$13:$J$17,4,0)&amp;"_"&amp;$F$2&amp;", "&amp;E218&amp;" as "&amp;F218&amp;" FROM "&amp;C218&amp;" WHERE "&amp;Instruções!$D$20&amp;") A ",
"(SELECT "&amp;VLOOKUP(B218,Instruções!$F$13:$J$17,4,0)&amp;" as "&amp;VLOOKUP(B218,Instruções!$F$13:$J$17,4,0)&amp;"_"&amp;$F$2&amp;", "&amp;VLOOKUP(B218,Instruções!$F$13:$J$17,5,0)&amp;" as "&amp;VLOOKUP(B218,Instruções!$F$13:$J$17,5,0)&amp;"_"&amp;$F$2&amp;","&amp;E218&amp;" as "&amp;F218&amp;" FROM "&amp;C218&amp;" WHERE "&amp;Instruções!$D$20&amp;") A ")</f>
        <v xml:space="preserve">(SELECT instrmnt_id as instrmnt_id_, intrnl_rtng as intrnl_rtng_as_is FROM cd_loan_tapes_bce.lt002_instrument WHERE ref_date='2024-09-30' AND nome_perimetro='Individual Corporativo' AND segmento='ESTR' AND ambito='PM' AND entidade='00100' ) A </v>
      </c>
      <c r="I218" s="75" t="str">
        <f>IF(VLOOKUP(B218,Instruções!$F$13:$J$17,5,0)="",
"(SELECT "&amp;VLOOKUP(B218,Instruções!$F$13:$J$17,4,0)&amp;" as "&amp;VLOOKUP(B218,Instruções!$F$13:$J$17,4,0)&amp;"_"&amp;$G$2&amp;", "&amp;E218&amp;" as "&amp;G218&amp;" FROM "&amp;D218&amp;" WHERE "&amp;Instruções!$D$21&amp;") B ",
"(SELECT "&amp;VLOOKUP(B218,Instruções!$F$13:$J$17,4,0)&amp;" as "&amp;VLOOKUP(B218,Instruções!$F$13:$J$17,4,0)&amp;"_"&amp;$G$2&amp;", "&amp;VLOOKUP(B218,Instruções!$F$13:$J$17,5,0)&amp;" as "&amp;VLOOKUP(B218,Instruções!$F$13:$J$17,5,0)&amp;"_"&amp;$G$2&amp;","&amp;E218&amp;" as "&amp;G218&amp;" FROM "&amp;D218&amp;" WHERE "&amp;Instruções!$D$21&amp;") B ")</f>
        <v xml:space="preserve">(SELECT instrmnt_id as instrmnt_id_, intrnl_rtng as intrnl_rtng_to_be FROM bu_loantape_work.lt002_instrument WHERE ref_date='2024-09-30' AND nome_perimetro='Individual Corporativo' AND segmento='ESTR' AND ambito='PM' AND entidade='00100' ) B </v>
      </c>
      <c r="J218" s="75" t="str">
        <f>+IF(VLOOKUP(B218,Instruções!$F$13:$J$17,5,0)="", "ON "&amp;VLOOKUP(B218,Instruções!$F$13:$J$17,4,0)&amp;"_"&amp;$F$7&amp;"="&amp;VLOOKUP(B218,Instruções!$F$13:$J$17,4,0)&amp;"_"&amp;$G$7&amp;" ", "ON "&amp;VLOOKUP(B218,Instruções!$F$13:$J$17,4,0)&amp;"_"&amp;$F$7&amp;"="&amp;VLOOKUP(B218,Instruções!$F$13:$J$17,4,0)&amp;"_"&amp;$G$7&amp;" AND "&amp;VLOOKUP(B218,Instruções!$F$13:$J$17,5,0)&amp;"_"&amp;$F$7&amp;"="&amp;VLOOKUP(B218,Instruções!$F$13:$J$17,5,0)&amp;"_"&amp;$G$7&amp;" ")</f>
        <v xml:space="preserve">ON instrmnt_id_as_is=instrmnt_id_to_be </v>
      </c>
      <c r="K218" s="75" t="str">
        <f t="shared" si="36"/>
        <v xml:space="preserve">WHERE coalesce(cast(intrnl_rtng_as_is AS string),'')&lt;&gt;coalesce(cast(intrnl_rtng_to_be AS string),'') </v>
      </c>
      <c r="L218" s="75" t="str">
        <f t="shared" si="37"/>
        <v xml:space="preserve">SELECT count(*) AS NUM_REG_DIF FROM (SELECT instrmnt_id as instrmnt_id_, intrnl_rtng as intrnl_rtng_as_is FROM cd_loan_tapes_bce.lt002_instrument WHERE ref_date='2024-09-30' AND nome_perimetro='Individual Corporativo' AND segmento='ESTR' AND ambito='PM' AND entidade='00100' ) A  Inner join (SELECT instrmnt_id as instrmnt_id_, intrnl_rtng as intrnl_rtng_to_be FROM bu_loantape_work.lt002_instrument WHERE ref_date='2024-09-30' AND nome_perimetro='Individual Corporativo' AND segmento='ESTR' AND ambito='PM' AND entidade='00100' ) B ON instrmnt_id_as_is=instrmnt_id_to_be WHERE coalesce(cast(intrnl_rtng_as_is AS string),'')&lt;&gt;coalesce(cast(intrnl_rtng_to_be AS string),'') </v>
      </c>
      <c r="M218" s="75" t="s">
        <v>55</v>
      </c>
      <c r="N218" s="75" t="str">
        <f>"SELECT 'Validação de campos' as tipologia_teste, '"&amp;VLOOKUP(B218,Instruções!$F$13:$J$17,3,0)&amp;"' AS TABELA, '"&amp;E218&amp;"' AS CAMPO, '"&amp;Instruções!$D$15&amp;"' as ref_date, coalesce(NUM_REG_DIF, 0) AS NUM_REG_DIF FROM ("&amp;L218&amp;") A "</f>
        <v xml:space="preserve">SELECT 'Validação de campos' as tipologia_teste, 'lt002_instrument' AS TABELA, 'intrnl_rtng' AS CAMPO, '2024-09-30' as ref_date, coalesce(NUM_REG_DIF, 0) AS NUM_REG_DIF FROM (SELECT count(*) AS NUM_REG_DIF FROM (SELECT instrmnt_id as instrmnt_id_, intrnl_rtng as intrnl_rtng_as_is FROM cd_loan_tapes_bce.lt002_instrument WHERE ref_date='2024-09-30' AND nome_perimetro='Individual Corporativo' AND segmento='ESTR' AND ambito='PM' AND entidade='00100' ) A  Inner join (SELECT instrmnt_id as instrmnt_id_, intrnl_rtng as intrnl_rtng_to_be FROM bu_loantape_work.lt002_instrument WHERE ref_date='2024-09-30' AND nome_perimetro='Individual Corporativo' AND segmento='ESTR' AND ambito='PM' AND entidade='00100' ) B ON instrmnt_id_as_is=instrmnt_id_to_be WHERE coalesce(cast(intrnl_rtng_as_is AS string),'')&lt;&gt;coalesce(cast(intrnl_rtng_to_be AS string),'') ) A </v>
      </c>
      <c r="O218" s="76" t="str">
        <f t="shared" si="38"/>
        <v>SELECT 'Validação de campos' as tipologia_teste, 'lt002_instrument' AS TABELA, 'intrnl_rtng' AS CAMPO, '2024-09-30' as ref_date, coalesce(NUM_REG_DIF, 0) AS NUM_REG_DIF FROM (SELECT count(*) AS NUM_REG_DIF FROM (SELECT instrmnt_id as instrmnt_id_, intrnl_rtng as intrnl_rtng_as_is FROM cd_loan_tapes_bce.lt002_instrument WHERE ref_date='2024-09-30' AND nome_perimetro='Individual Corporativo' AND segmento='ESTR' AND ambito='PM' AND entidade='00100' ) A  Inner join (SELECT instrmnt_id as instrmnt_id_, intrnl_rtng as intrnl_rtng_to_be FROM bu_loantape_work.lt002_instrument WHERE ref_date='2024-09-30' AND nome_perimetro='Individual Corporativo' AND segmento='ESTR' AND ambito='PM' AND entidade='00100' ) B ON instrmnt_id_as_is=instrmnt_id_to_be WHERE coalesce(cast(intrnl_rtng_as_is AS string),'')&lt;&gt;coalesce(cast(intrnl_rtng_to_be AS string),'') ) A Union all</v>
      </c>
      <c r="P218" s="75">
        <f t="shared" si="39"/>
        <v>6</v>
      </c>
    </row>
    <row r="219" spans="2:16" s="63" customFormat="1" ht="18" customHeight="1">
      <c r="B219" s="75" t="s">
        <v>26</v>
      </c>
      <c r="C219" s="75" t="str">
        <f>_xlfn.CONCAT(Instruções!$D$13,".",VLOOKUP(B219,Instruções!$F$12:$H$17,2,0))</f>
        <v>cd_loan_tapes_bce.lt002_instrument</v>
      </c>
      <c r="D219" s="75" t="str">
        <f>_xlfn.CONCAT(Instruções!$D$14,".",VLOOKUP(B219,Instruções!$F$12:$H$17,3,0))</f>
        <v>bu_loantape_work.lt002_instrument</v>
      </c>
      <c r="E219" s="75" t="s">
        <v>256</v>
      </c>
      <c r="F219" s="75" t="str">
        <f t="shared" si="34"/>
        <v>intrnl_rtng_incptn_as_is</v>
      </c>
      <c r="G219" s="75" t="str">
        <f t="shared" si="35"/>
        <v>intrnl_rtng_incptn_to_be</v>
      </c>
      <c r="H219" s="75" t="str">
        <f>IF(VLOOKUP(B219,Instruções!$F$13:$J$17,5,0)="",
"(SELECT "&amp;VLOOKUP(B219,Instruções!$F$13:$J$17,4,0)&amp;" as "&amp;VLOOKUP(B219,Instruções!$F$13:$J$17,4,0)&amp;"_"&amp;$F$2&amp;", "&amp;E219&amp;" as "&amp;F219&amp;" FROM "&amp;C219&amp;" WHERE "&amp;Instruções!$D$20&amp;") A ",
"(SELECT "&amp;VLOOKUP(B219,Instruções!$F$13:$J$17,4,0)&amp;" as "&amp;VLOOKUP(B219,Instruções!$F$13:$J$17,4,0)&amp;"_"&amp;$F$2&amp;", "&amp;VLOOKUP(B219,Instruções!$F$13:$J$17,5,0)&amp;" as "&amp;VLOOKUP(B219,Instruções!$F$13:$J$17,5,0)&amp;"_"&amp;$F$2&amp;","&amp;E219&amp;" as "&amp;F219&amp;" FROM "&amp;C219&amp;" WHERE "&amp;Instruções!$D$20&amp;") A ")</f>
        <v xml:space="preserve">(SELECT instrmnt_id as instrmnt_id_, intrnl_rtng_incptn as intrnl_rtng_incptn_as_is FROM cd_loan_tapes_bce.lt002_instrument WHERE ref_date='2024-09-30' AND nome_perimetro='Individual Corporativo' AND segmento='ESTR' AND ambito='PM' AND entidade='00100' ) A </v>
      </c>
      <c r="I219" s="75" t="str">
        <f>IF(VLOOKUP(B219,Instruções!$F$13:$J$17,5,0)="",
"(SELECT "&amp;VLOOKUP(B219,Instruções!$F$13:$J$17,4,0)&amp;" as "&amp;VLOOKUP(B219,Instruções!$F$13:$J$17,4,0)&amp;"_"&amp;$G$2&amp;", "&amp;E219&amp;" as "&amp;G219&amp;" FROM "&amp;D219&amp;" WHERE "&amp;Instruções!$D$21&amp;") B ",
"(SELECT "&amp;VLOOKUP(B219,Instruções!$F$13:$J$17,4,0)&amp;" as "&amp;VLOOKUP(B219,Instruções!$F$13:$J$17,4,0)&amp;"_"&amp;$G$2&amp;", "&amp;VLOOKUP(B219,Instruções!$F$13:$J$17,5,0)&amp;" as "&amp;VLOOKUP(B219,Instruções!$F$13:$J$17,5,0)&amp;"_"&amp;$G$2&amp;","&amp;E219&amp;" as "&amp;G219&amp;" FROM "&amp;D219&amp;" WHERE "&amp;Instruções!$D$21&amp;") B ")</f>
        <v xml:space="preserve">(SELECT instrmnt_id as instrmnt_id_, intrnl_rtng_incptn as intrnl_rtng_incptn_to_be FROM bu_loantape_work.lt002_instrument WHERE ref_date='2024-09-30' AND nome_perimetro='Individual Corporativo' AND segmento='ESTR' AND ambito='PM' AND entidade='00100' ) B </v>
      </c>
      <c r="J219" s="75" t="str">
        <f>+IF(VLOOKUP(B219,Instruções!$F$13:$J$17,5,0)="", "ON "&amp;VLOOKUP(B219,Instruções!$F$13:$J$17,4,0)&amp;"_"&amp;$F$7&amp;"="&amp;VLOOKUP(B219,Instruções!$F$13:$J$17,4,0)&amp;"_"&amp;$G$7&amp;" ", "ON "&amp;VLOOKUP(B219,Instruções!$F$13:$J$17,4,0)&amp;"_"&amp;$F$7&amp;"="&amp;VLOOKUP(B219,Instruções!$F$13:$J$17,4,0)&amp;"_"&amp;$G$7&amp;" AND "&amp;VLOOKUP(B219,Instruções!$F$13:$J$17,5,0)&amp;"_"&amp;$F$7&amp;"="&amp;VLOOKUP(B219,Instruções!$F$13:$J$17,5,0)&amp;"_"&amp;$G$7&amp;" ")</f>
        <v xml:space="preserve">ON instrmnt_id_as_is=instrmnt_id_to_be </v>
      </c>
      <c r="K219" s="75" t="str">
        <f t="shared" si="36"/>
        <v xml:space="preserve">WHERE coalesce(cast(intrnl_rtng_incptn_as_is AS string),'')&lt;&gt;coalesce(cast(intrnl_rtng_incptn_to_be AS string),'') </v>
      </c>
      <c r="L219" s="75" t="str">
        <f t="shared" si="37"/>
        <v xml:space="preserve">SELECT count(*) AS NUM_REG_DIF FROM (SELECT instrmnt_id as instrmnt_id_, intrnl_rtng_incptn as intrnl_rtng_incptn_as_is FROM cd_loan_tapes_bce.lt002_instrument WHERE ref_date='2024-09-30' AND nome_perimetro='Individual Corporativo' AND segmento='ESTR' AND ambito='PM' AND entidade='00100' ) A  Inner join (SELECT instrmnt_id as instrmnt_id_, intrnl_rtng_incptn as intrnl_rtng_incptn_to_be FROM bu_loantape_work.lt002_instrument WHERE ref_date='2024-09-30' AND nome_perimetro='Individual Corporativo' AND segmento='ESTR' AND ambito='PM' AND entidade='00100' ) B ON instrmnt_id_as_is=instrmnt_id_to_be WHERE coalesce(cast(intrnl_rtng_incptn_as_is AS string),'')&lt;&gt;coalesce(cast(intrnl_rtng_incptn_to_be AS string),'') </v>
      </c>
      <c r="M219" s="75" t="s">
        <v>55</v>
      </c>
      <c r="N219" s="75" t="str">
        <f>"SELECT 'Validação de campos' as tipologia_teste, '"&amp;VLOOKUP(B219,Instruções!$F$13:$J$17,3,0)&amp;"' AS TABELA, '"&amp;E219&amp;"' AS CAMPO, '"&amp;Instruções!$D$15&amp;"' as ref_date, coalesce(NUM_REG_DIF, 0) AS NUM_REG_DIF FROM ("&amp;L219&amp;") A "</f>
        <v xml:space="preserve">SELECT 'Validação de campos' as tipologia_teste, 'lt002_instrument' AS TABELA, 'intrnl_rtng_incptn' AS CAMPO, '2024-09-30' as ref_date, coalesce(NUM_REG_DIF, 0) AS NUM_REG_DIF FROM (SELECT count(*) AS NUM_REG_DIF FROM (SELECT instrmnt_id as instrmnt_id_, intrnl_rtng_incptn as intrnl_rtng_incptn_as_is FROM cd_loan_tapes_bce.lt002_instrument WHERE ref_date='2024-09-30' AND nome_perimetro='Individual Corporativo' AND segmento='ESTR' AND ambito='PM' AND entidade='00100' ) A  Inner join (SELECT instrmnt_id as instrmnt_id_, intrnl_rtng_incptn as intrnl_rtng_incptn_to_be FROM bu_loantape_work.lt002_instrument WHERE ref_date='2024-09-30' AND nome_perimetro='Individual Corporativo' AND segmento='ESTR' AND ambito='PM' AND entidade='00100' ) B ON instrmnt_id_as_is=instrmnt_id_to_be WHERE coalesce(cast(intrnl_rtng_incptn_as_is AS string),'')&lt;&gt;coalesce(cast(intrnl_rtng_incptn_to_be AS string),'') ) A </v>
      </c>
      <c r="O219" s="76" t="str">
        <f t="shared" si="38"/>
        <v>SELECT 'Validação de campos' as tipologia_teste, 'lt002_instrument' AS TABELA, 'intrnl_rtng_incptn' AS CAMPO, '2024-09-30' as ref_date, coalesce(NUM_REG_DIF, 0) AS NUM_REG_DIF FROM (SELECT count(*) AS NUM_REG_DIF FROM (SELECT instrmnt_id as instrmnt_id_, intrnl_rtng_incptn as intrnl_rtng_incptn_as_is FROM cd_loan_tapes_bce.lt002_instrument WHERE ref_date='2024-09-30' AND nome_perimetro='Individual Corporativo' AND segmento='ESTR' AND ambito='PM' AND entidade='00100' ) A  Inner join (SELECT instrmnt_id as instrmnt_id_, intrnl_rtng_incptn as intrnl_rtng_incptn_to_be FROM bu_loantape_work.lt002_instrument WHERE ref_date='2024-09-30' AND nome_perimetro='Individual Corporativo' AND segmento='ESTR' AND ambito='PM' AND entidade='00100' ) B ON instrmnt_id_as_is=instrmnt_id_to_be WHERE coalesce(cast(intrnl_rtng_incptn_as_is AS string),'')&lt;&gt;coalesce(cast(intrnl_rtng_incptn_to_be AS string),'') ) A Union all</v>
      </c>
      <c r="P219" s="75">
        <f t="shared" si="39"/>
        <v>7</v>
      </c>
    </row>
    <row r="220" spans="2:16" s="63" customFormat="1" ht="18" customHeight="1">
      <c r="B220" s="75" t="s">
        <v>26</v>
      </c>
      <c r="C220" s="75" t="str">
        <f>_xlfn.CONCAT(Instruções!$D$13,".",VLOOKUP(B220,Instruções!$F$12:$H$17,2,0))</f>
        <v>cd_loan_tapes_bce.lt002_instrument</v>
      </c>
      <c r="D220" s="75" t="str">
        <f>_xlfn.CONCAT(Instruções!$D$14,".",VLOOKUP(B220,Instruções!$F$12:$H$17,3,0))</f>
        <v>bu_loantape_work.lt002_instrument</v>
      </c>
      <c r="E220" s="75" t="s">
        <v>123</v>
      </c>
      <c r="F220" s="75" t="str">
        <f t="shared" si="34"/>
        <v>intrnl_sgmnt_as_is</v>
      </c>
      <c r="G220" s="75" t="str">
        <f t="shared" si="35"/>
        <v>intrnl_sgmnt_to_be</v>
      </c>
      <c r="H220" s="75" t="str">
        <f>IF(VLOOKUP(B220,Instruções!$F$13:$J$17,5,0)="",
"(SELECT "&amp;VLOOKUP(B220,Instruções!$F$13:$J$17,4,0)&amp;" as "&amp;VLOOKUP(B220,Instruções!$F$13:$J$17,4,0)&amp;"_"&amp;$F$2&amp;", "&amp;E220&amp;" as "&amp;F220&amp;" FROM "&amp;C220&amp;" WHERE "&amp;Instruções!$D$20&amp;") A ",
"(SELECT "&amp;VLOOKUP(B220,Instruções!$F$13:$J$17,4,0)&amp;" as "&amp;VLOOKUP(B220,Instruções!$F$13:$J$17,4,0)&amp;"_"&amp;$F$2&amp;", "&amp;VLOOKUP(B220,Instruções!$F$13:$J$17,5,0)&amp;" as "&amp;VLOOKUP(B220,Instruções!$F$13:$J$17,5,0)&amp;"_"&amp;$F$2&amp;","&amp;E220&amp;" as "&amp;F220&amp;" FROM "&amp;C220&amp;" WHERE "&amp;Instruções!$D$20&amp;") A ")</f>
        <v xml:space="preserve">(SELECT instrmnt_id as instrmnt_id_, intrnl_sgmnt as intrnl_sgmnt_as_is FROM cd_loan_tapes_bce.lt002_instrument WHERE ref_date='2024-09-30' AND nome_perimetro='Individual Corporativo' AND segmento='ESTR' AND ambito='PM' AND entidade='00100' ) A </v>
      </c>
      <c r="I220" s="75" t="str">
        <f>IF(VLOOKUP(B220,Instruções!$F$13:$J$17,5,0)="",
"(SELECT "&amp;VLOOKUP(B220,Instruções!$F$13:$J$17,4,0)&amp;" as "&amp;VLOOKUP(B220,Instruções!$F$13:$J$17,4,0)&amp;"_"&amp;$G$2&amp;", "&amp;E220&amp;" as "&amp;G220&amp;" FROM "&amp;D220&amp;" WHERE "&amp;Instruções!$D$21&amp;") B ",
"(SELECT "&amp;VLOOKUP(B220,Instruções!$F$13:$J$17,4,0)&amp;" as "&amp;VLOOKUP(B220,Instruções!$F$13:$J$17,4,0)&amp;"_"&amp;$G$2&amp;", "&amp;VLOOKUP(B220,Instruções!$F$13:$J$17,5,0)&amp;" as "&amp;VLOOKUP(B220,Instruções!$F$13:$J$17,5,0)&amp;"_"&amp;$G$2&amp;","&amp;E220&amp;" as "&amp;G220&amp;" FROM "&amp;D220&amp;" WHERE "&amp;Instruções!$D$21&amp;") B ")</f>
        <v xml:space="preserve">(SELECT instrmnt_id as instrmnt_id_, intrnl_sgmnt as intrnl_sgmnt_to_be FROM bu_loantape_work.lt002_instrument WHERE ref_date='2024-09-30' AND nome_perimetro='Individual Corporativo' AND segmento='ESTR' AND ambito='PM' AND entidade='00100' ) B </v>
      </c>
      <c r="J220" s="75" t="str">
        <f>+IF(VLOOKUP(B220,Instruções!$F$13:$J$17,5,0)="", "ON "&amp;VLOOKUP(B220,Instruções!$F$13:$J$17,4,0)&amp;"_"&amp;$F$7&amp;"="&amp;VLOOKUP(B220,Instruções!$F$13:$J$17,4,0)&amp;"_"&amp;$G$7&amp;" ", "ON "&amp;VLOOKUP(B220,Instruções!$F$13:$J$17,4,0)&amp;"_"&amp;$F$7&amp;"="&amp;VLOOKUP(B220,Instruções!$F$13:$J$17,4,0)&amp;"_"&amp;$G$7&amp;" AND "&amp;VLOOKUP(B220,Instruções!$F$13:$J$17,5,0)&amp;"_"&amp;$F$7&amp;"="&amp;VLOOKUP(B220,Instruções!$F$13:$J$17,5,0)&amp;"_"&amp;$G$7&amp;" ")</f>
        <v xml:space="preserve">ON instrmnt_id_as_is=instrmnt_id_to_be </v>
      </c>
      <c r="K220" s="75" t="str">
        <f t="shared" si="36"/>
        <v xml:space="preserve">WHERE coalesce(cast(intrnl_sgmnt_as_is AS string),'')&lt;&gt;coalesce(cast(intrnl_sgmnt_to_be AS string),'') </v>
      </c>
      <c r="L220" s="75" t="str">
        <f t="shared" si="37"/>
        <v xml:space="preserve">SELECT count(*) AS NUM_REG_DIF FROM (SELECT instrmnt_id as instrmnt_id_, intrnl_sgmnt as intrnl_sgmnt_as_is FROM cd_loan_tapes_bce.lt002_instrument WHERE ref_date='2024-09-30' AND nome_perimetro='Individual Corporativo' AND segmento='ESTR' AND ambito='PM' AND entidade='00100' ) A  Inner join (SELECT instrmnt_id as instrmnt_id_, intrnl_sgmnt as intrnl_sgmnt_to_be FROM bu_loantape_work.lt002_instrument WHERE ref_date='2024-09-30' AND nome_perimetro='Individual Corporativo' AND segmento='ESTR' AND ambito='PM' AND entidade='00100' ) B ON instrmnt_id_as_is=instrmnt_id_to_be WHERE coalesce(cast(intrnl_sgmnt_as_is AS string),'')&lt;&gt;coalesce(cast(intrnl_sgmnt_to_be AS string),'') </v>
      </c>
      <c r="M220" s="75" t="s">
        <v>55</v>
      </c>
      <c r="N220" s="75" t="str">
        <f>"SELECT 'Validação de campos' as tipologia_teste, '"&amp;VLOOKUP(B220,Instruções!$F$13:$J$17,3,0)&amp;"' AS TABELA, '"&amp;E220&amp;"' AS CAMPO, '"&amp;Instruções!$D$15&amp;"' as ref_date, coalesce(NUM_REG_DIF, 0) AS NUM_REG_DIF FROM ("&amp;L220&amp;") A "</f>
        <v xml:space="preserve">SELECT 'Validação de campos' as tipologia_teste, 'lt002_instrument' AS TABELA, 'intrnl_sgmnt' AS CAMPO, '2024-09-30' as ref_date, coalesce(NUM_REG_DIF, 0) AS NUM_REG_DIF FROM (SELECT count(*) AS NUM_REG_DIF FROM (SELECT instrmnt_id as instrmnt_id_, intrnl_sgmnt as intrnl_sgmnt_as_is FROM cd_loan_tapes_bce.lt002_instrument WHERE ref_date='2024-09-30' AND nome_perimetro='Individual Corporativo' AND segmento='ESTR' AND ambito='PM' AND entidade='00100' ) A  Inner join (SELECT instrmnt_id as instrmnt_id_, intrnl_sgmnt as intrnl_sgmnt_to_be FROM bu_loantape_work.lt002_instrument WHERE ref_date='2024-09-30' AND nome_perimetro='Individual Corporativo' AND segmento='ESTR' AND ambito='PM' AND entidade='00100' ) B ON instrmnt_id_as_is=instrmnt_id_to_be WHERE coalesce(cast(intrnl_sgmnt_as_is AS string),'')&lt;&gt;coalesce(cast(intrnl_sgmnt_to_be AS string),'') ) A </v>
      </c>
      <c r="O220" s="76" t="str">
        <f t="shared" si="38"/>
        <v>SELECT 'Validação de campos' as tipologia_teste, 'lt002_instrument' AS TABELA, 'intrnl_sgmnt' AS CAMPO, '2024-09-30' as ref_date, coalesce(NUM_REG_DIF, 0) AS NUM_REG_DIF FROM (SELECT count(*) AS NUM_REG_DIF FROM (SELECT instrmnt_id as instrmnt_id_, intrnl_sgmnt as intrnl_sgmnt_as_is FROM cd_loan_tapes_bce.lt002_instrument WHERE ref_date='2024-09-30' AND nome_perimetro='Individual Corporativo' AND segmento='ESTR' AND ambito='PM' AND entidade='00100' ) A  Inner join (SELECT instrmnt_id as instrmnt_id_, intrnl_sgmnt as intrnl_sgmnt_to_be FROM bu_loantape_work.lt002_instrument WHERE ref_date='2024-09-30' AND nome_perimetro='Individual Corporativo' AND segmento='ESTR' AND ambito='PM' AND entidade='00100' ) B ON instrmnt_id_as_is=instrmnt_id_to_be WHERE coalesce(cast(intrnl_sgmnt_as_is AS string),'')&lt;&gt;coalesce(cast(intrnl_sgmnt_to_be AS string),'') ) A Union all</v>
      </c>
      <c r="P220" s="75">
        <f t="shared" si="39"/>
        <v>8</v>
      </c>
    </row>
    <row r="221" spans="2:16" s="63" customFormat="1" ht="18" customHeight="1">
      <c r="B221" s="75" t="s">
        <v>26</v>
      </c>
      <c r="C221" s="75" t="str">
        <f>_xlfn.CONCAT(Instruções!$D$13,".",VLOOKUP(B221,Instruções!$F$12:$H$17,2,0))</f>
        <v>cd_loan_tapes_bce.lt002_instrument</v>
      </c>
      <c r="D221" s="75" t="str">
        <f>_xlfn.CONCAT(Instruções!$D$14,".",VLOOKUP(B221,Instruções!$F$12:$H$17,3,0))</f>
        <v>bu_loantape_work.lt002_instrument</v>
      </c>
      <c r="E221" s="75" t="s">
        <v>257</v>
      </c>
      <c r="F221" s="75" t="str">
        <f t="shared" si="34"/>
        <v>intrnl_sgmnt_cat_msta_as_is</v>
      </c>
      <c r="G221" s="75" t="str">
        <f t="shared" si="35"/>
        <v>intrnl_sgmnt_cat_msta_to_be</v>
      </c>
      <c r="H221" s="75" t="str">
        <f>IF(VLOOKUP(B221,Instruções!$F$13:$J$17,5,0)="",
"(SELECT "&amp;VLOOKUP(B221,Instruções!$F$13:$J$17,4,0)&amp;" as "&amp;VLOOKUP(B221,Instruções!$F$13:$J$17,4,0)&amp;"_"&amp;$F$2&amp;", "&amp;E221&amp;" as "&amp;F221&amp;" FROM "&amp;C221&amp;" WHERE "&amp;Instruções!$D$20&amp;") A ",
"(SELECT "&amp;VLOOKUP(B221,Instruções!$F$13:$J$17,4,0)&amp;" as "&amp;VLOOKUP(B221,Instruções!$F$13:$J$17,4,0)&amp;"_"&amp;$F$2&amp;", "&amp;VLOOKUP(B221,Instruções!$F$13:$J$17,5,0)&amp;" as "&amp;VLOOKUP(B221,Instruções!$F$13:$J$17,5,0)&amp;"_"&amp;$F$2&amp;","&amp;E221&amp;" as "&amp;F221&amp;" FROM "&amp;C221&amp;" WHERE "&amp;Instruções!$D$20&amp;") A ")</f>
        <v xml:space="preserve">(SELECT instrmnt_id as instrmnt_id_, intrnl_sgmnt_cat_msta as intrnl_sgmnt_cat_msta_as_is FROM cd_loan_tapes_bce.lt002_instrument WHERE ref_date='2024-09-30' AND nome_perimetro='Individual Corporativo' AND segmento='ESTR' AND ambito='PM' AND entidade='00100' ) A </v>
      </c>
      <c r="I221" s="75" t="str">
        <f>IF(VLOOKUP(B221,Instruções!$F$13:$J$17,5,0)="",
"(SELECT "&amp;VLOOKUP(B221,Instruções!$F$13:$J$17,4,0)&amp;" as "&amp;VLOOKUP(B221,Instruções!$F$13:$J$17,4,0)&amp;"_"&amp;$G$2&amp;", "&amp;E221&amp;" as "&amp;G221&amp;" FROM "&amp;D221&amp;" WHERE "&amp;Instruções!$D$21&amp;") B ",
"(SELECT "&amp;VLOOKUP(B221,Instruções!$F$13:$J$17,4,0)&amp;" as "&amp;VLOOKUP(B221,Instruções!$F$13:$J$17,4,0)&amp;"_"&amp;$G$2&amp;", "&amp;VLOOKUP(B221,Instruções!$F$13:$J$17,5,0)&amp;" as "&amp;VLOOKUP(B221,Instruções!$F$13:$J$17,5,0)&amp;"_"&amp;$G$2&amp;","&amp;E221&amp;" as "&amp;G221&amp;" FROM "&amp;D221&amp;" WHERE "&amp;Instruções!$D$21&amp;") B ")</f>
        <v xml:space="preserve">(SELECT instrmnt_id as instrmnt_id_, intrnl_sgmnt_cat_msta as intrnl_sgmnt_cat_msta_to_be FROM bu_loantape_work.lt002_instrument WHERE ref_date='2024-09-30' AND nome_perimetro='Individual Corporativo' AND segmento='ESTR' AND ambito='PM' AND entidade='00100' ) B </v>
      </c>
      <c r="J221" s="75" t="str">
        <f>+IF(VLOOKUP(B221,Instruções!$F$13:$J$17,5,0)="", "ON "&amp;VLOOKUP(B221,Instruções!$F$13:$J$17,4,0)&amp;"_"&amp;$F$7&amp;"="&amp;VLOOKUP(B221,Instruções!$F$13:$J$17,4,0)&amp;"_"&amp;$G$7&amp;" ", "ON "&amp;VLOOKUP(B221,Instruções!$F$13:$J$17,4,0)&amp;"_"&amp;$F$7&amp;"="&amp;VLOOKUP(B221,Instruções!$F$13:$J$17,4,0)&amp;"_"&amp;$G$7&amp;" AND "&amp;VLOOKUP(B221,Instruções!$F$13:$J$17,5,0)&amp;"_"&amp;$F$7&amp;"="&amp;VLOOKUP(B221,Instruções!$F$13:$J$17,5,0)&amp;"_"&amp;$G$7&amp;" ")</f>
        <v xml:space="preserve">ON instrmnt_id_as_is=instrmnt_id_to_be </v>
      </c>
      <c r="K221" s="75" t="str">
        <f t="shared" si="36"/>
        <v xml:space="preserve">WHERE coalesce(cast(intrnl_sgmnt_cat_msta_as_is AS string),'')&lt;&gt;coalesce(cast(intrnl_sgmnt_cat_msta_to_be AS string),'') </v>
      </c>
      <c r="L221" s="75" t="str">
        <f t="shared" si="37"/>
        <v xml:space="preserve">SELECT count(*) AS NUM_REG_DIF FROM (SELECT instrmnt_id as instrmnt_id_, intrnl_sgmnt_cat_msta as intrnl_sgmnt_cat_msta_as_is FROM cd_loan_tapes_bce.lt002_instrument WHERE ref_date='2024-09-30' AND nome_perimetro='Individual Corporativo' AND segmento='ESTR' AND ambito='PM' AND entidade='00100' ) A  Inner join (SELECT instrmnt_id as instrmnt_id_, intrnl_sgmnt_cat_msta as intrnl_sgmnt_cat_msta_to_be FROM bu_loantape_work.lt002_instrument WHERE ref_date='2024-09-30' AND nome_perimetro='Individual Corporativo' AND segmento='ESTR' AND ambito='PM' AND entidade='00100' ) B ON instrmnt_id_as_is=instrmnt_id_to_be WHERE coalesce(cast(intrnl_sgmnt_cat_msta_as_is AS string),'')&lt;&gt;coalesce(cast(intrnl_sgmnt_cat_msta_to_be AS string),'') </v>
      </c>
      <c r="M221" s="75" t="s">
        <v>55</v>
      </c>
      <c r="N221" s="75" t="str">
        <f>"SELECT 'Validação de campos' as tipologia_teste, '"&amp;VLOOKUP(B221,Instruções!$F$13:$J$17,3,0)&amp;"' AS TABELA, '"&amp;E221&amp;"' AS CAMPO, '"&amp;Instruções!$D$15&amp;"' as ref_date, coalesce(NUM_REG_DIF, 0) AS NUM_REG_DIF FROM ("&amp;L221&amp;") A "</f>
        <v xml:space="preserve">SELECT 'Validação de campos' as tipologia_teste, 'lt002_instrument' AS TABELA, 'intrnl_sgmnt_cat_msta' AS CAMPO, '2024-09-30' as ref_date, coalesce(NUM_REG_DIF, 0) AS NUM_REG_DIF FROM (SELECT count(*) AS NUM_REG_DIF FROM (SELECT instrmnt_id as instrmnt_id_, intrnl_sgmnt_cat_msta as intrnl_sgmnt_cat_msta_as_is FROM cd_loan_tapes_bce.lt002_instrument WHERE ref_date='2024-09-30' AND nome_perimetro='Individual Corporativo' AND segmento='ESTR' AND ambito='PM' AND entidade='00100' ) A  Inner join (SELECT instrmnt_id as instrmnt_id_, intrnl_sgmnt_cat_msta as intrnl_sgmnt_cat_msta_to_be FROM bu_loantape_work.lt002_instrument WHERE ref_date='2024-09-30' AND nome_perimetro='Individual Corporativo' AND segmento='ESTR' AND ambito='PM' AND entidade='00100' ) B ON instrmnt_id_as_is=instrmnt_id_to_be WHERE coalesce(cast(intrnl_sgmnt_cat_msta_as_is AS string),'')&lt;&gt;coalesce(cast(intrnl_sgmnt_cat_msta_to_be AS string),'') ) A </v>
      </c>
      <c r="O221" s="76" t="str">
        <f t="shared" si="38"/>
        <v>SELECT 'Validação de campos' as tipologia_teste, 'lt002_instrument' AS TABELA, 'intrnl_sgmnt_cat_msta' AS CAMPO, '2024-09-30' as ref_date, coalesce(NUM_REG_DIF, 0) AS NUM_REG_DIF FROM (SELECT count(*) AS NUM_REG_DIF FROM (SELECT instrmnt_id as instrmnt_id_, intrnl_sgmnt_cat_msta as intrnl_sgmnt_cat_msta_as_is FROM cd_loan_tapes_bce.lt002_instrument WHERE ref_date='2024-09-30' AND nome_perimetro='Individual Corporativo' AND segmento='ESTR' AND ambito='PM' AND entidade='00100' ) A  Inner join (SELECT instrmnt_id as instrmnt_id_, intrnl_sgmnt_cat_msta as intrnl_sgmnt_cat_msta_to_be FROM bu_loantape_work.lt002_instrument WHERE ref_date='2024-09-30' AND nome_perimetro='Individual Corporativo' AND segmento='ESTR' AND ambito='PM' AND entidade='00100' ) B ON instrmnt_id_as_is=instrmnt_id_to_be WHERE coalesce(cast(intrnl_sgmnt_cat_msta_as_is AS string),'')&lt;&gt;coalesce(cast(intrnl_sgmnt_cat_msta_to_be AS string),'') ) A Union all</v>
      </c>
      <c r="P221" s="75">
        <f t="shared" si="39"/>
        <v>9</v>
      </c>
    </row>
    <row r="222" spans="2:16" s="63" customFormat="1" ht="18" customHeight="1">
      <c r="B222" s="75" t="s">
        <v>26</v>
      </c>
      <c r="C222" s="75" t="str">
        <f>_xlfn.CONCAT(Instruções!$D$13,".",VLOOKUP(B222,Instruções!$F$12:$H$17,2,0))</f>
        <v>cd_loan_tapes_bce.lt002_instrument</v>
      </c>
      <c r="D222" s="75" t="str">
        <f>_xlfn.CONCAT(Instruções!$D$14,".",VLOOKUP(B222,Instruções!$F$12:$H$17,3,0))</f>
        <v>bu_loantape_work.lt002_instrument</v>
      </c>
      <c r="E222" s="75" t="s">
        <v>258</v>
      </c>
      <c r="F222" s="75" t="str">
        <f t="shared" si="34"/>
        <v>intrnl_sgmnt_catgsub_as_is</v>
      </c>
      <c r="G222" s="75" t="str">
        <f t="shared" si="35"/>
        <v>intrnl_sgmnt_catgsub_to_be</v>
      </c>
      <c r="H222" s="75" t="str">
        <f>IF(VLOOKUP(B222,Instruções!$F$13:$J$17,5,0)="",
"(SELECT "&amp;VLOOKUP(B222,Instruções!$F$13:$J$17,4,0)&amp;" as "&amp;VLOOKUP(B222,Instruções!$F$13:$J$17,4,0)&amp;"_"&amp;$F$2&amp;", "&amp;E222&amp;" as "&amp;F222&amp;" FROM "&amp;C222&amp;" WHERE "&amp;Instruções!$D$20&amp;") A ",
"(SELECT "&amp;VLOOKUP(B222,Instruções!$F$13:$J$17,4,0)&amp;" as "&amp;VLOOKUP(B222,Instruções!$F$13:$J$17,4,0)&amp;"_"&amp;$F$2&amp;", "&amp;VLOOKUP(B222,Instruções!$F$13:$J$17,5,0)&amp;" as "&amp;VLOOKUP(B222,Instruções!$F$13:$J$17,5,0)&amp;"_"&amp;$F$2&amp;","&amp;E222&amp;" as "&amp;F222&amp;" FROM "&amp;C222&amp;" WHERE "&amp;Instruções!$D$20&amp;") A ")</f>
        <v xml:space="preserve">(SELECT instrmnt_id as instrmnt_id_, intrnl_sgmnt_catgsub as intrnl_sgmnt_catgsub_as_is FROM cd_loan_tapes_bce.lt002_instrument WHERE ref_date='2024-09-30' AND nome_perimetro='Individual Corporativo' AND segmento='ESTR' AND ambito='PM' AND entidade='00100' ) A </v>
      </c>
      <c r="I222" s="75" t="str">
        <f>IF(VLOOKUP(B222,Instruções!$F$13:$J$17,5,0)="",
"(SELECT "&amp;VLOOKUP(B222,Instruções!$F$13:$J$17,4,0)&amp;" as "&amp;VLOOKUP(B222,Instruções!$F$13:$J$17,4,0)&amp;"_"&amp;$G$2&amp;", "&amp;E222&amp;" as "&amp;G222&amp;" FROM "&amp;D222&amp;" WHERE "&amp;Instruções!$D$21&amp;") B ",
"(SELECT "&amp;VLOOKUP(B222,Instruções!$F$13:$J$17,4,0)&amp;" as "&amp;VLOOKUP(B222,Instruções!$F$13:$J$17,4,0)&amp;"_"&amp;$G$2&amp;", "&amp;VLOOKUP(B222,Instruções!$F$13:$J$17,5,0)&amp;" as "&amp;VLOOKUP(B222,Instruções!$F$13:$J$17,5,0)&amp;"_"&amp;$G$2&amp;","&amp;E222&amp;" as "&amp;G222&amp;" FROM "&amp;D222&amp;" WHERE "&amp;Instruções!$D$21&amp;") B ")</f>
        <v xml:space="preserve">(SELECT instrmnt_id as instrmnt_id_, intrnl_sgmnt_catgsub as intrnl_sgmnt_catgsub_to_be FROM bu_loantape_work.lt002_instrument WHERE ref_date='2024-09-30' AND nome_perimetro='Individual Corporativo' AND segmento='ESTR' AND ambito='PM' AND entidade='00100' ) B </v>
      </c>
      <c r="J222" s="75" t="str">
        <f>+IF(VLOOKUP(B222,Instruções!$F$13:$J$17,5,0)="", "ON "&amp;VLOOKUP(B222,Instruções!$F$13:$J$17,4,0)&amp;"_"&amp;$F$7&amp;"="&amp;VLOOKUP(B222,Instruções!$F$13:$J$17,4,0)&amp;"_"&amp;$G$7&amp;" ", "ON "&amp;VLOOKUP(B222,Instruções!$F$13:$J$17,4,0)&amp;"_"&amp;$F$7&amp;"="&amp;VLOOKUP(B222,Instruções!$F$13:$J$17,4,0)&amp;"_"&amp;$G$7&amp;" AND "&amp;VLOOKUP(B222,Instruções!$F$13:$J$17,5,0)&amp;"_"&amp;$F$7&amp;"="&amp;VLOOKUP(B222,Instruções!$F$13:$J$17,5,0)&amp;"_"&amp;$G$7&amp;" ")</f>
        <v xml:space="preserve">ON instrmnt_id_as_is=instrmnt_id_to_be </v>
      </c>
      <c r="K222" s="75" t="str">
        <f t="shared" si="36"/>
        <v xml:space="preserve">WHERE coalesce(cast(intrnl_sgmnt_catgsub_as_is AS string),'')&lt;&gt;coalesce(cast(intrnl_sgmnt_catgsub_to_be AS string),'') </v>
      </c>
      <c r="L222" s="75" t="str">
        <f t="shared" si="37"/>
        <v xml:space="preserve">SELECT count(*) AS NUM_REG_DIF FROM (SELECT instrmnt_id as instrmnt_id_, intrnl_sgmnt_catgsub as intrnl_sgmnt_catgsub_as_is FROM cd_loan_tapes_bce.lt002_instrument WHERE ref_date='2024-09-30' AND nome_perimetro='Individual Corporativo' AND segmento='ESTR' AND ambito='PM' AND entidade='00100' ) A  Inner join (SELECT instrmnt_id as instrmnt_id_, intrnl_sgmnt_catgsub as intrnl_sgmnt_catgsub_to_be FROM bu_loantape_work.lt002_instrument WHERE ref_date='2024-09-30' AND nome_perimetro='Individual Corporativo' AND segmento='ESTR' AND ambito='PM' AND entidade='00100' ) B ON instrmnt_id_as_is=instrmnt_id_to_be WHERE coalesce(cast(intrnl_sgmnt_catgsub_as_is AS string),'')&lt;&gt;coalesce(cast(intrnl_sgmnt_catgsub_to_be AS string),'') </v>
      </c>
      <c r="M222" s="75" t="s">
        <v>55</v>
      </c>
      <c r="N222" s="75" t="str">
        <f>"SELECT 'Validação de campos' as tipologia_teste, '"&amp;VLOOKUP(B222,Instruções!$F$13:$J$17,3,0)&amp;"' AS TABELA, '"&amp;E222&amp;"' AS CAMPO, '"&amp;Instruções!$D$15&amp;"' as ref_date, coalesce(NUM_REG_DIF, 0) AS NUM_REG_DIF FROM ("&amp;L222&amp;") A "</f>
        <v xml:space="preserve">SELECT 'Validação de campos' as tipologia_teste, 'lt002_instrument' AS TABELA, 'intrnl_sgmnt_catgsub' AS CAMPO, '2024-09-30' as ref_date, coalesce(NUM_REG_DIF, 0) AS NUM_REG_DIF FROM (SELECT count(*) AS NUM_REG_DIF FROM (SELECT instrmnt_id as instrmnt_id_, intrnl_sgmnt_catgsub as intrnl_sgmnt_catgsub_as_is FROM cd_loan_tapes_bce.lt002_instrument WHERE ref_date='2024-09-30' AND nome_perimetro='Individual Corporativo' AND segmento='ESTR' AND ambito='PM' AND entidade='00100' ) A  Inner join (SELECT instrmnt_id as instrmnt_id_, intrnl_sgmnt_catgsub as intrnl_sgmnt_catgsub_to_be FROM bu_loantape_work.lt002_instrument WHERE ref_date='2024-09-30' AND nome_perimetro='Individual Corporativo' AND segmento='ESTR' AND ambito='PM' AND entidade='00100' ) B ON instrmnt_id_as_is=instrmnt_id_to_be WHERE coalesce(cast(intrnl_sgmnt_catgsub_as_is AS string),'')&lt;&gt;coalesce(cast(intrnl_sgmnt_catgsub_to_be AS string),'') ) A </v>
      </c>
      <c r="O222" s="76" t="str">
        <f t="shared" si="38"/>
        <v>SELECT 'Validação de campos' as tipologia_teste, 'lt002_instrument' AS TABELA, 'intrnl_sgmnt_catgsub' AS CAMPO, '2024-09-30' as ref_date, coalesce(NUM_REG_DIF, 0) AS NUM_REG_DIF FROM (SELECT count(*) AS NUM_REG_DIF FROM (SELECT instrmnt_id as instrmnt_id_, intrnl_sgmnt_catgsub as intrnl_sgmnt_catgsub_as_is FROM cd_loan_tapes_bce.lt002_instrument WHERE ref_date='2024-09-30' AND nome_perimetro='Individual Corporativo' AND segmento='ESTR' AND ambito='PM' AND entidade='00100' ) A  Inner join (SELECT instrmnt_id as instrmnt_id_, intrnl_sgmnt_catgsub as intrnl_sgmnt_catgsub_to_be FROM bu_loantape_work.lt002_instrument WHERE ref_date='2024-09-30' AND nome_perimetro='Individual Corporativo' AND segmento='ESTR' AND ambito='PM' AND entidade='00100' ) B ON instrmnt_id_as_is=instrmnt_id_to_be WHERE coalesce(cast(intrnl_sgmnt_catgsub_as_is AS string),'')&lt;&gt;coalesce(cast(intrnl_sgmnt_catgsub_to_be AS string),'') ) A Union all</v>
      </c>
      <c r="P222" s="75">
        <f t="shared" si="39"/>
        <v>10</v>
      </c>
    </row>
    <row r="223" spans="2:16" s="63" customFormat="1" ht="18" customHeight="1">
      <c r="B223" s="75" t="s">
        <v>26</v>
      </c>
      <c r="C223" s="75" t="str">
        <f>_xlfn.CONCAT(Instruções!$D$13,".",VLOOKUP(B223,Instruções!$F$12:$H$17,2,0))</f>
        <v>cd_loan_tapes_bce.lt002_instrument</v>
      </c>
      <c r="D223" s="75" t="str">
        <f>_xlfn.CONCAT(Instruções!$D$14,".",VLOOKUP(B223,Instruções!$F$12:$H$17,3,0))</f>
        <v>bu_loantape_work.lt002_instrument</v>
      </c>
      <c r="E223" s="75" t="s">
        <v>259</v>
      </c>
      <c r="F223" s="75" t="str">
        <f t="shared" si="34"/>
        <v>intrnl_sgmnt_ifrs9_as_is</v>
      </c>
      <c r="G223" s="75" t="str">
        <f t="shared" si="35"/>
        <v>intrnl_sgmnt_ifrs9_to_be</v>
      </c>
      <c r="H223" s="75" t="str">
        <f>IF(VLOOKUP(B223,Instruções!$F$13:$J$17,5,0)="",
"(SELECT "&amp;VLOOKUP(B223,Instruções!$F$13:$J$17,4,0)&amp;" as "&amp;VLOOKUP(B223,Instruções!$F$13:$J$17,4,0)&amp;"_"&amp;$F$2&amp;", "&amp;E223&amp;" as "&amp;F223&amp;" FROM "&amp;C223&amp;" WHERE "&amp;Instruções!$D$20&amp;") A ",
"(SELECT "&amp;VLOOKUP(B223,Instruções!$F$13:$J$17,4,0)&amp;" as "&amp;VLOOKUP(B223,Instruções!$F$13:$J$17,4,0)&amp;"_"&amp;$F$2&amp;", "&amp;VLOOKUP(B223,Instruções!$F$13:$J$17,5,0)&amp;" as "&amp;VLOOKUP(B223,Instruções!$F$13:$J$17,5,0)&amp;"_"&amp;$F$2&amp;","&amp;E223&amp;" as "&amp;F223&amp;" FROM "&amp;C223&amp;" WHERE "&amp;Instruções!$D$20&amp;") A ")</f>
        <v xml:space="preserve">(SELECT instrmnt_id as instrmnt_id_, intrnl_sgmnt_ifrs9 as intrnl_sgmnt_ifrs9_as_is FROM cd_loan_tapes_bce.lt002_instrument WHERE ref_date='2024-09-30' AND nome_perimetro='Individual Corporativo' AND segmento='ESTR' AND ambito='PM' AND entidade='00100' ) A </v>
      </c>
      <c r="I223" s="75" t="str">
        <f>IF(VLOOKUP(B223,Instruções!$F$13:$J$17,5,0)="",
"(SELECT "&amp;VLOOKUP(B223,Instruções!$F$13:$J$17,4,0)&amp;" as "&amp;VLOOKUP(B223,Instruções!$F$13:$J$17,4,0)&amp;"_"&amp;$G$2&amp;", "&amp;E223&amp;" as "&amp;G223&amp;" FROM "&amp;D223&amp;" WHERE "&amp;Instruções!$D$21&amp;") B ",
"(SELECT "&amp;VLOOKUP(B223,Instruções!$F$13:$J$17,4,0)&amp;" as "&amp;VLOOKUP(B223,Instruções!$F$13:$J$17,4,0)&amp;"_"&amp;$G$2&amp;", "&amp;VLOOKUP(B223,Instruções!$F$13:$J$17,5,0)&amp;" as "&amp;VLOOKUP(B223,Instruções!$F$13:$J$17,5,0)&amp;"_"&amp;$G$2&amp;","&amp;E223&amp;" as "&amp;G223&amp;" FROM "&amp;D223&amp;" WHERE "&amp;Instruções!$D$21&amp;") B ")</f>
        <v xml:space="preserve">(SELECT instrmnt_id as instrmnt_id_, intrnl_sgmnt_ifrs9 as intrnl_sgmnt_ifrs9_to_be FROM bu_loantape_work.lt002_instrument WHERE ref_date='2024-09-30' AND nome_perimetro='Individual Corporativo' AND segmento='ESTR' AND ambito='PM' AND entidade='00100' ) B </v>
      </c>
      <c r="J223" s="75" t="str">
        <f>+IF(VLOOKUP(B223,Instruções!$F$13:$J$17,5,0)="", "ON "&amp;VLOOKUP(B223,Instruções!$F$13:$J$17,4,0)&amp;"_"&amp;$F$7&amp;"="&amp;VLOOKUP(B223,Instruções!$F$13:$J$17,4,0)&amp;"_"&amp;$G$7&amp;" ", "ON "&amp;VLOOKUP(B223,Instruções!$F$13:$J$17,4,0)&amp;"_"&amp;$F$7&amp;"="&amp;VLOOKUP(B223,Instruções!$F$13:$J$17,4,0)&amp;"_"&amp;$G$7&amp;" AND "&amp;VLOOKUP(B223,Instruções!$F$13:$J$17,5,0)&amp;"_"&amp;$F$7&amp;"="&amp;VLOOKUP(B223,Instruções!$F$13:$J$17,5,0)&amp;"_"&amp;$G$7&amp;" ")</f>
        <v xml:space="preserve">ON instrmnt_id_as_is=instrmnt_id_to_be </v>
      </c>
      <c r="K223" s="75" t="str">
        <f t="shared" si="36"/>
        <v xml:space="preserve">WHERE coalesce(cast(intrnl_sgmnt_ifrs9_as_is AS string),'')&lt;&gt;coalesce(cast(intrnl_sgmnt_ifrs9_to_be AS string),'') </v>
      </c>
      <c r="L223" s="75" t="str">
        <f t="shared" si="37"/>
        <v xml:space="preserve">SELECT count(*) AS NUM_REG_DIF FROM (SELECT instrmnt_id as instrmnt_id_, intrnl_sgmnt_ifrs9 as intrnl_sgmnt_ifrs9_as_is FROM cd_loan_tapes_bce.lt002_instrument WHERE ref_date='2024-09-30' AND nome_perimetro='Individual Corporativo' AND segmento='ESTR' AND ambito='PM' AND entidade='00100' ) A  Inner join (SELECT instrmnt_id as instrmnt_id_, intrnl_sgmnt_ifrs9 as intrnl_sgmnt_ifrs9_to_be FROM bu_loantape_work.lt002_instrument WHERE ref_date='2024-09-30' AND nome_perimetro='Individual Corporativo' AND segmento='ESTR' AND ambito='PM' AND entidade='00100' ) B ON instrmnt_id_as_is=instrmnt_id_to_be WHERE coalesce(cast(intrnl_sgmnt_ifrs9_as_is AS string),'')&lt;&gt;coalesce(cast(intrnl_sgmnt_ifrs9_to_be AS string),'') </v>
      </c>
      <c r="M223" s="75" t="s">
        <v>55</v>
      </c>
      <c r="N223" s="75" t="str">
        <f>"SELECT 'Validação de campos' as tipologia_teste, '"&amp;VLOOKUP(B223,Instruções!$F$13:$J$17,3,0)&amp;"' AS TABELA, '"&amp;E223&amp;"' AS CAMPO, '"&amp;Instruções!$D$15&amp;"' as ref_date, coalesce(NUM_REG_DIF, 0) AS NUM_REG_DIF FROM ("&amp;L223&amp;") A "</f>
        <v xml:space="preserve">SELECT 'Validação de campos' as tipologia_teste, 'lt002_instrument' AS TABELA, 'intrnl_sgmnt_ifrs9' AS CAMPO, '2024-09-30' as ref_date, coalesce(NUM_REG_DIF, 0) AS NUM_REG_DIF FROM (SELECT count(*) AS NUM_REG_DIF FROM (SELECT instrmnt_id as instrmnt_id_, intrnl_sgmnt_ifrs9 as intrnl_sgmnt_ifrs9_as_is FROM cd_loan_tapes_bce.lt002_instrument WHERE ref_date='2024-09-30' AND nome_perimetro='Individual Corporativo' AND segmento='ESTR' AND ambito='PM' AND entidade='00100' ) A  Inner join (SELECT instrmnt_id as instrmnt_id_, intrnl_sgmnt_ifrs9 as intrnl_sgmnt_ifrs9_to_be FROM bu_loantape_work.lt002_instrument WHERE ref_date='2024-09-30' AND nome_perimetro='Individual Corporativo' AND segmento='ESTR' AND ambito='PM' AND entidade='00100' ) B ON instrmnt_id_as_is=instrmnt_id_to_be WHERE coalesce(cast(intrnl_sgmnt_ifrs9_as_is AS string),'')&lt;&gt;coalesce(cast(intrnl_sgmnt_ifrs9_to_be AS string),'') ) A </v>
      </c>
      <c r="O223" s="76" t="str">
        <f t="shared" si="38"/>
        <v>SELECT 'Validação de campos' as tipologia_teste, 'lt002_instrument' AS TABELA, 'intrnl_sgmnt_ifrs9' AS CAMPO, '2024-09-30' as ref_date, coalesce(NUM_REG_DIF, 0) AS NUM_REG_DIF FROM (SELECT count(*) AS NUM_REG_DIF FROM (SELECT instrmnt_id as instrmnt_id_, intrnl_sgmnt_ifrs9 as intrnl_sgmnt_ifrs9_as_is FROM cd_loan_tapes_bce.lt002_instrument WHERE ref_date='2024-09-30' AND nome_perimetro='Individual Corporativo' AND segmento='ESTR' AND ambito='PM' AND entidade='00100' ) A  Inner join (SELECT instrmnt_id as instrmnt_id_, intrnl_sgmnt_ifrs9 as intrnl_sgmnt_ifrs9_to_be FROM bu_loantape_work.lt002_instrument WHERE ref_date='2024-09-30' AND nome_perimetro='Individual Corporativo' AND segmento='ESTR' AND ambito='PM' AND entidade='00100' ) B ON instrmnt_id_as_is=instrmnt_id_to_be WHERE coalesce(cast(intrnl_sgmnt_ifrs9_as_is AS string),'')&lt;&gt;coalesce(cast(intrnl_sgmnt_ifrs9_to_be AS string),'') ) A Union all</v>
      </c>
      <c r="P223" s="75">
        <f t="shared" si="39"/>
        <v>11</v>
      </c>
    </row>
    <row r="224" spans="2:16" s="63" customFormat="1" ht="18" customHeight="1">
      <c r="B224" s="75" t="s">
        <v>26</v>
      </c>
      <c r="C224" s="75" t="str">
        <f>_xlfn.CONCAT(Instruções!$D$13,".",VLOOKUP(B224,Instruções!$F$12:$H$17,2,0))</f>
        <v>cd_loan_tapes_bce.lt002_instrument</v>
      </c>
      <c r="D224" s="75" t="str">
        <f>_xlfn.CONCAT(Instruções!$D$14,".",VLOOKUP(B224,Instruções!$F$12:$H$17,3,0))</f>
        <v>bu_loantape_work.lt002_instrument</v>
      </c>
      <c r="E224" s="75" t="s">
        <v>124</v>
      </c>
      <c r="F224" s="75" t="str">
        <f t="shared" si="34"/>
        <v>intrnl_unt_as_is</v>
      </c>
      <c r="G224" s="75" t="str">
        <f t="shared" si="35"/>
        <v>intrnl_unt_to_be</v>
      </c>
      <c r="H224" s="75" t="str">
        <f>IF(VLOOKUP(B224,Instruções!$F$13:$J$17,5,0)="",
"(SELECT "&amp;VLOOKUP(B224,Instruções!$F$13:$J$17,4,0)&amp;" as "&amp;VLOOKUP(B224,Instruções!$F$13:$J$17,4,0)&amp;"_"&amp;$F$2&amp;", "&amp;E224&amp;" as "&amp;F224&amp;" FROM "&amp;C224&amp;" WHERE "&amp;Instruções!$D$20&amp;") A ",
"(SELECT "&amp;VLOOKUP(B224,Instruções!$F$13:$J$17,4,0)&amp;" as "&amp;VLOOKUP(B224,Instruções!$F$13:$J$17,4,0)&amp;"_"&amp;$F$2&amp;", "&amp;VLOOKUP(B224,Instruções!$F$13:$J$17,5,0)&amp;" as "&amp;VLOOKUP(B224,Instruções!$F$13:$J$17,5,0)&amp;"_"&amp;$F$2&amp;","&amp;E224&amp;" as "&amp;F224&amp;" FROM "&amp;C224&amp;" WHERE "&amp;Instruções!$D$20&amp;") A ")</f>
        <v xml:space="preserve">(SELECT instrmnt_id as instrmnt_id_, intrnl_unt as intrnl_unt_as_is FROM cd_loan_tapes_bce.lt002_instrument WHERE ref_date='2024-09-30' AND nome_perimetro='Individual Corporativo' AND segmento='ESTR' AND ambito='PM' AND entidade='00100' ) A </v>
      </c>
      <c r="I224" s="75" t="str">
        <f>IF(VLOOKUP(B224,Instruções!$F$13:$J$17,5,0)="",
"(SELECT "&amp;VLOOKUP(B224,Instruções!$F$13:$J$17,4,0)&amp;" as "&amp;VLOOKUP(B224,Instruções!$F$13:$J$17,4,0)&amp;"_"&amp;$G$2&amp;", "&amp;E224&amp;" as "&amp;G224&amp;" FROM "&amp;D224&amp;" WHERE "&amp;Instruções!$D$21&amp;") B ",
"(SELECT "&amp;VLOOKUP(B224,Instruções!$F$13:$J$17,4,0)&amp;" as "&amp;VLOOKUP(B224,Instruções!$F$13:$J$17,4,0)&amp;"_"&amp;$G$2&amp;", "&amp;VLOOKUP(B224,Instruções!$F$13:$J$17,5,0)&amp;" as "&amp;VLOOKUP(B224,Instruções!$F$13:$J$17,5,0)&amp;"_"&amp;$G$2&amp;","&amp;E224&amp;" as "&amp;G224&amp;" FROM "&amp;D224&amp;" WHERE "&amp;Instruções!$D$21&amp;") B ")</f>
        <v xml:space="preserve">(SELECT instrmnt_id as instrmnt_id_, intrnl_unt as intrnl_unt_to_be FROM bu_loantape_work.lt002_instrument WHERE ref_date='2024-09-30' AND nome_perimetro='Individual Corporativo' AND segmento='ESTR' AND ambito='PM' AND entidade='00100' ) B </v>
      </c>
      <c r="J224" s="75" t="str">
        <f>+IF(VLOOKUP(B224,Instruções!$F$13:$J$17,5,0)="", "ON "&amp;VLOOKUP(B224,Instruções!$F$13:$J$17,4,0)&amp;"_"&amp;$F$7&amp;"="&amp;VLOOKUP(B224,Instruções!$F$13:$J$17,4,0)&amp;"_"&amp;$G$7&amp;" ", "ON "&amp;VLOOKUP(B224,Instruções!$F$13:$J$17,4,0)&amp;"_"&amp;$F$7&amp;"="&amp;VLOOKUP(B224,Instruções!$F$13:$J$17,4,0)&amp;"_"&amp;$G$7&amp;" AND "&amp;VLOOKUP(B224,Instruções!$F$13:$J$17,5,0)&amp;"_"&amp;$F$7&amp;"="&amp;VLOOKUP(B224,Instruções!$F$13:$J$17,5,0)&amp;"_"&amp;$G$7&amp;" ")</f>
        <v xml:space="preserve">ON instrmnt_id_as_is=instrmnt_id_to_be </v>
      </c>
      <c r="K224" s="75" t="str">
        <f t="shared" si="36"/>
        <v xml:space="preserve">WHERE coalesce(cast(intrnl_unt_as_is AS string),'')&lt;&gt;coalesce(cast(intrnl_unt_to_be AS string),'') </v>
      </c>
      <c r="L224" s="75" t="str">
        <f t="shared" si="37"/>
        <v xml:space="preserve">SELECT count(*) AS NUM_REG_DIF FROM (SELECT instrmnt_id as instrmnt_id_, intrnl_unt as intrnl_unt_as_is FROM cd_loan_tapes_bce.lt002_instrument WHERE ref_date='2024-09-30' AND nome_perimetro='Individual Corporativo' AND segmento='ESTR' AND ambito='PM' AND entidade='00100' ) A  Inner join (SELECT instrmnt_id as instrmnt_id_, intrnl_unt as intrnl_unt_to_be FROM bu_loantape_work.lt002_instrument WHERE ref_date='2024-09-30' AND nome_perimetro='Individual Corporativo' AND segmento='ESTR' AND ambito='PM' AND entidade='00100' ) B ON instrmnt_id_as_is=instrmnt_id_to_be WHERE coalesce(cast(intrnl_unt_as_is AS string),'')&lt;&gt;coalesce(cast(intrnl_unt_to_be AS string),'') </v>
      </c>
      <c r="M224" s="75" t="s">
        <v>55</v>
      </c>
      <c r="N224" s="75" t="str">
        <f>"SELECT 'Validação de campos' as tipologia_teste, '"&amp;VLOOKUP(B224,Instruções!$F$13:$J$17,3,0)&amp;"' AS TABELA, '"&amp;E224&amp;"' AS CAMPO, '"&amp;Instruções!$D$15&amp;"' as ref_date, coalesce(NUM_REG_DIF, 0) AS NUM_REG_DIF FROM ("&amp;L224&amp;") A "</f>
        <v xml:space="preserve">SELECT 'Validação de campos' as tipologia_teste, 'lt002_instrument' AS TABELA, 'intrnl_unt' AS CAMPO, '2024-09-30' as ref_date, coalesce(NUM_REG_DIF, 0) AS NUM_REG_DIF FROM (SELECT count(*) AS NUM_REG_DIF FROM (SELECT instrmnt_id as instrmnt_id_, intrnl_unt as intrnl_unt_as_is FROM cd_loan_tapes_bce.lt002_instrument WHERE ref_date='2024-09-30' AND nome_perimetro='Individual Corporativo' AND segmento='ESTR' AND ambito='PM' AND entidade='00100' ) A  Inner join (SELECT instrmnt_id as instrmnt_id_, intrnl_unt as intrnl_unt_to_be FROM bu_loantape_work.lt002_instrument WHERE ref_date='2024-09-30' AND nome_perimetro='Individual Corporativo' AND segmento='ESTR' AND ambito='PM' AND entidade='00100' ) B ON instrmnt_id_as_is=instrmnt_id_to_be WHERE coalesce(cast(intrnl_unt_as_is AS string),'')&lt;&gt;coalesce(cast(intrnl_unt_to_be AS string),'') ) A </v>
      </c>
      <c r="O224" s="76" t="str">
        <f t="shared" si="38"/>
        <v>SELECT 'Validação de campos' as tipologia_teste, 'lt002_instrument' AS TABELA, 'intrnl_unt' AS CAMPO, '2024-09-30' as ref_date, coalesce(NUM_REG_DIF, 0) AS NUM_REG_DIF FROM (SELECT count(*) AS NUM_REG_DIF FROM (SELECT instrmnt_id as instrmnt_id_, intrnl_unt as intrnl_unt_as_is FROM cd_loan_tapes_bce.lt002_instrument WHERE ref_date='2024-09-30' AND nome_perimetro='Individual Corporativo' AND segmento='ESTR' AND ambito='PM' AND entidade='00100' ) A  Inner join (SELECT instrmnt_id as instrmnt_id_, intrnl_unt as intrnl_unt_to_be FROM bu_loantape_work.lt002_instrument WHERE ref_date='2024-09-30' AND nome_perimetro='Individual Corporativo' AND segmento='ESTR' AND ambito='PM' AND entidade='00100' ) B ON instrmnt_id_as_is=instrmnt_id_to_be WHERE coalesce(cast(intrnl_unt_as_is AS string),'')&lt;&gt;coalesce(cast(intrnl_unt_to_be AS string),'') ) A Union all</v>
      </c>
      <c r="P224" s="75">
        <f t="shared" si="39"/>
        <v>12</v>
      </c>
    </row>
    <row r="225" spans="2:16" s="63" customFormat="1" ht="18" customHeight="1">
      <c r="B225" s="75" t="s">
        <v>26</v>
      </c>
      <c r="C225" s="75" t="str">
        <f>_xlfn.CONCAT(Instruções!$D$13,".",VLOOKUP(B225,Instruções!$F$12:$H$17,2,0))</f>
        <v>cd_loan_tapes_bce.lt002_instrument</v>
      </c>
      <c r="D225" s="75" t="str">
        <f>_xlfn.CONCAT(Instruções!$D$14,".",VLOOKUP(B225,Instruções!$F$12:$H$17,3,0))</f>
        <v>bu_loantape_work.lt002_instrument</v>
      </c>
      <c r="E225" s="75" t="s">
        <v>260</v>
      </c>
      <c r="F225" s="75" t="str">
        <f t="shared" si="34"/>
        <v>intrst_rt_rst_frqncy_as_is</v>
      </c>
      <c r="G225" s="75" t="str">
        <f t="shared" si="35"/>
        <v>intrst_rt_rst_frqncy_to_be</v>
      </c>
      <c r="H225" s="75" t="str">
        <f>IF(VLOOKUP(B225,Instruções!$F$13:$J$17,5,0)="",
"(SELECT "&amp;VLOOKUP(B225,Instruções!$F$13:$J$17,4,0)&amp;" as "&amp;VLOOKUP(B225,Instruções!$F$13:$J$17,4,0)&amp;"_"&amp;$F$2&amp;", "&amp;E225&amp;" as "&amp;F225&amp;" FROM "&amp;C225&amp;" WHERE "&amp;Instruções!$D$20&amp;") A ",
"(SELECT "&amp;VLOOKUP(B225,Instruções!$F$13:$J$17,4,0)&amp;" as "&amp;VLOOKUP(B225,Instruções!$F$13:$J$17,4,0)&amp;"_"&amp;$F$2&amp;", "&amp;VLOOKUP(B225,Instruções!$F$13:$J$17,5,0)&amp;" as "&amp;VLOOKUP(B225,Instruções!$F$13:$J$17,5,0)&amp;"_"&amp;$F$2&amp;","&amp;E225&amp;" as "&amp;F225&amp;" FROM "&amp;C225&amp;" WHERE "&amp;Instruções!$D$20&amp;") A ")</f>
        <v xml:space="preserve">(SELECT instrmnt_id as instrmnt_id_, intrst_rt_rst_frqncy as intrst_rt_rst_frqncy_as_is FROM cd_loan_tapes_bce.lt002_instrument WHERE ref_date='2024-09-30' AND nome_perimetro='Individual Corporativo' AND segmento='ESTR' AND ambito='PM' AND entidade='00100' ) A </v>
      </c>
      <c r="I225" s="75" t="str">
        <f>IF(VLOOKUP(B225,Instruções!$F$13:$J$17,5,0)="",
"(SELECT "&amp;VLOOKUP(B225,Instruções!$F$13:$J$17,4,0)&amp;" as "&amp;VLOOKUP(B225,Instruções!$F$13:$J$17,4,0)&amp;"_"&amp;$G$2&amp;", "&amp;E225&amp;" as "&amp;G225&amp;" FROM "&amp;D225&amp;" WHERE "&amp;Instruções!$D$21&amp;") B ",
"(SELECT "&amp;VLOOKUP(B225,Instruções!$F$13:$J$17,4,0)&amp;" as "&amp;VLOOKUP(B225,Instruções!$F$13:$J$17,4,0)&amp;"_"&amp;$G$2&amp;", "&amp;VLOOKUP(B225,Instruções!$F$13:$J$17,5,0)&amp;" as "&amp;VLOOKUP(B225,Instruções!$F$13:$J$17,5,0)&amp;"_"&amp;$G$2&amp;","&amp;E225&amp;" as "&amp;G225&amp;" FROM "&amp;D225&amp;" WHERE "&amp;Instruções!$D$21&amp;") B ")</f>
        <v xml:space="preserve">(SELECT instrmnt_id as instrmnt_id_, intrst_rt_rst_frqncy as intrst_rt_rst_frqncy_to_be FROM bu_loantape_work.lt002_instrument WHERE ref_date='2024-09-30' AND nome_perimetro='Individual Corporativo' AND segmento='ESTR' AND ambito='PM' AND entidade='00100' ) B </v>
      </c>
      <c r="J225" s="75" t="str">
        <f>+IF(VLOOKUP(B225,Instruções!$F$13:$J$17,5,0)="", "ON "&amp;VLOOKUP(B225,Instruções!$F$13:$J$17,4,0)&amp;"_"&amp;$F$7&amp;"="&amp;VLOOKUP(B225,Instruções!$F$13:$J$17,4,0)&amp;"_"&amp;$G$7&amp;" ", "ON "&amp;VLOOKUP(B225,Instruções!$F$13:$J$17,4,0)&amp;"_"&amp;$F$7&amp;"="&amp;VLOOKUP(B225,Instruções!$F$13:$J$17,4,0)&amp;"_"&amp;$G$7&amp;" AND "&amp;VLOOKUP(B225,Instruções!$F$13:$J$17,5,0)&amp;"_"&amp;$F$7&amp;"="&amp;VLOOKUP(B225,Instruções!$F$13:$J$17,5,0)&amp;"_"&amp;$G$7&amp;" ")</f>
        <v xml:space="preserve">ON instrmnt_id_as_is=instrmnt_id_to_be </v>
      </c>
      <c r="K225" s="75" t="str">
        <f t="shared" si="36"/>
        <v xml:space="preserve">WHERE coalesce(cast(intrst_rt_rst_frqncy_as_is AS string),'')&lt;&gt;coalesce(cast(intrst_rt_rst_frqncy_to_be AS string),'') </v>
      </c>
      <c r="L225" s="75" t="str">
        <f t="shared" si="37"/>
        <v xml:space="preserve">SELECT count(*) AS NUM_REG_DIF FROM (SELECT instrmnt_id as instrmnt_id_, intrst_rt_rst_frqncy as intrst_rt_rst_frqncy_as_is FROM cd_loan_tapes_bce.lt002_instrument WHERE ref_date='2024-09-30' AND nome_perimetro='Individual Corporativo' AND segmento='ESTR' AND ambito='PM' AND entidade='00100' ) A  Inner join (SELECT instrmnt_id as instrmnt_id_, intrst_rt_rst_frqncy as intrst_rt_rst_frqncy_to_be FROM bu_loantape_work.lt002_instrument WHERE ref_date='2024-09-30' AND nome_perimetro='Individual Corporativo' AND segmento='ESTR' AND ambito='PM' AND entidade='00100' ) B ON instrmnt_id_as_is=instrmnt_id_to_be WHERE coalesce(cast(intrst_rt_rst_frqncy_as_is AS string),'')&lt;&gt;coalesce(cast(intrst_rt_rst_frqncy_to_be AS string),'') </v>
      </c>
      <c r="M225" s="75" t="s">
        <v>55</v>
      </c>
      <c r="N225" s="75" t="str">
        <f>"SELECT 'Validação de campos' as tipologia_teste, '"&amp;VLOOKUP(B225,Instruções!$F$13:$J$17,3,0)&amp;"' AS TABELA, '"&amp;E225&amp;"' AS CAMPO, '"&amp;Instruções!$D$15&amp;"' as ref_date, coalesce(NUM_REG_DIF, 0) AS NUM_REG_DIF FROM ("&amp;L225&amp;") A "</f>
        <v xml:space="preserve">SELECT 'Validação de campos' as tipologia_teste, 'lt002_instrument' AS TABELA, 'intrst_rt_rst_frqncy' AS CAMPO, '2024-09-30' as ref_date, coalesce(NUM_REG_DIF, 0) AS NUM_REG_DIF FROM (SELECT count(*) AS NUM_REG_DIF FROM (SELECT instrmnt_id as instrmnt_id_, intrst_rt_rst_frqncy as intrst_rt_rst_frqncy_as_is FROM cd_loan_tapes_bce.lt002_instrument WHERE ref_date='2024-09-30' AND nome_perimetro='Individual Corporativo' AND segmento='ESTR' AND ambito='PM' AND entidade='00100' ) A  Inner join (SELECT instrmnt_id as instrmnt_id_, intrst_rt_rst_frqncy as intrst_rt_rst_frqncy_to_be FROM bu_loantape_work.lt002_instrument WHERE ref_date='2024-09-30' AND nome_perimetro='Individual Corporativo' AND segmento='ESTR' AND ambito='PM' AND entidade='00100' ) B ON instrmnt_id_as_is=instrmnt_id_to_be WHERE coalesce(cast(intrst_rt_rst_frqncy_as_is AS string),'')&lt;&gt;coalesce(cast(intrst_rt_rst_frqncy_to_be AS string),'') ) A </v>
      </c>
      <c r="O225" s="76" t="str">
        <f t="shared" si="38"/>
        <v>SELECT 'Validação de campos' as tipologia_teste, 'lt002_instrument' AS TABELA, 'intrst_rt_rst_frqncy' AS CAMPO, '2024-09-30' as ref_date, coalesce(NUM_REG_DIF, 0) AS NUM_REG_DIF FROM (SELECT count(*) AS NUM_REG_DIF FROM (SELECT instrmnt_id as instrmnt_id_, intrst_rt_rst_frqncy as intrst_rt_rst_frqncy_as_is FROM cd_loan_tapes_bce.lt002_instrument WHERE ref_date='2024-09-30' AND nome_perimetro='Individual Corporativo' AND segmento='ESTR' AND ambito='PM' AND entidade='00100' ) A  Inner join (SELECT instrmnt_id as instrmnt_id_, intrst_rt_rst_frqncy as intrst_rt_rst_frqncy_to_be FROM bu_loantape_work.lt002_instrument WHERE ref_date='2024-09-30' AND nome_perimetro='Individual Corporativo' AND segmento='ESTR' AND ambito='PM' AND entidade='00100' ) B ON instrmnt_id_as_is=instrmnt_id_to_be WHERE coalesce(cast(intrst_rt_rst_frqncy_as_is AS string),'')&lt;&gt;coalesce(cast(intrst_rt_rst_frqncy_to_be AS string),'') ) A Union all</v>
      </c>
      <c r="P225" s="75">
        <f t="shared" si="39"/>
        <v>13</v>
      </c>
    </row>
    <row r="226" spans="2:16" s="63" customFormat="1" ht="18" customHeight="1">
      <c r="B226" s="75" t="s">
        <v>26</v>
      </c>
      <c r="C226" s="75" t="str">
        <f>_xlfn.CONCAT(Instruções!$D$13,".",VLOOKUP(B226,Instruções!$F$12:$H$17,2,0))</f>
        <v>cd_loan_tapes_bce.lt002_instrument</v>
      </c>
      <c r="D226" s="75" t="str">
        <f>_xlfn.CONCAT(Instruções!$D$14,".",VLOOKUP(B226,Instruções!$F$12:$H$17,3,0))</f>
        <v>bu_loantape_work.lt002_instrument</v>
      </c>
      <c r="E226" s="75" t="s">
        <v>261</v>
      </c>
      <c r="F226" s="75" t="str">
        <f t="shared" si="34"/>
        <v>isin_as_is</v>
      </c>
      <c r="G226" s="75" t="str">
        <f t="shared" si="35"/>
        <v>isin_to_be</v>
      </c>
      <c r="H226" s="75" t="str">
        <f>IF(VLOOKUP(B226,Instruções!$F$13:$J$17,5,0)="",
"(SELECT "&amp;VLOOKUP(B226,Instruções!$F$13:$J$17,4,0)&amp;" as "&amp;VLOOKUP(B226,Instruções!$F$13:$J$17,4,0)&amp;"_"&amp;$F$2&amp;", "&amp;E226&amp;" as "&amp;F226&amp;" FROM "&amp;C226&amp;" WHERE "&amp;Instruções!$D$20&amp;") A ",
"(SELECT "&amp;VLOOKUP(B226,Instruções!$F$13:$J$17,4,0)&amp;" as "&amp;VLOOKUP(B226,Instruções!$F$13:$J$17,4,0)&amp;"_"&amp;$F$2&amp;", "&amp;VLOOKUP(B226,Instruções!$F$13:$J$17,5,0)&amp;" as "&amp;VLOOKUP(B226,Instruções!$F$13:$J$17,5,0)&amp;"_"&amp;$F$2&amp;","&amp;E226&amp;" as "&amp;F226&amp;" FROM "&amp;C226&amp;" WHERE "&amp;Instruções!$D$20&amp;") A ")</f>
        <v xml:space="preserve">(SELECT instrmnt_id as instrmnt_id_, isin as isin_as_is FROM cd_loan_tapes_bce.lt002_instrument WHERE ref_date='2024-09-30' AND nome_perimetro='Individual Corporativo' AND segmento='ESTR' AND ambito='PM' AND entidade='00100' ) A </v>
      </c>
      <c r="I226" s="75" t="str">
        <f>IF(VLOOKUP(B226,Instruções!$F$13:$J$17,5,0)="",
"(SELECT "&amp;VLOOKUP(B226,Instruções!$F$13:$J$17,4,0)&amp;" as "&amp;VLOOKUP(B226,Instruções!$F$13:$J$17,4,0)&amp;"_"&amp;$G$2&amp;", "&amp;E226&amp;" as "&amp;G226&amp;" FROM "&amp;D226&amp;" WHERE "&amp;Instruções!$D$21&amp;") B ",
"(SELECT "&amp;VLOOKUP(B226,Instruções!$F$13:$J$17,4,0)&amp;" as "&amp;VLOOKUP(B226,Instruções!$F$13:$J$17,4,0)&amp;"_"&amp;$G$2&amp;", "&amp;VLOOKUP(B226,Instruções!$F$13:$J$17,5,0)&amp;" as "&amp;VLOOKUP(B226,Instruções!$F$13:$J$17,5,0)&amp;"_"&amp;$G$2&amp;","&amp;E226&amp;" as "&amp;G226&amp;" FROM "&amp;D226&amp;" WHERE "&amp;Instruções!$D$21&amp;") B ")</f>
        <v xml:space="preserve">(SELECT instrmnt_id as instrmnt_id_, isin as isin_to_be FROM bu_loantape_work.lt002_instrument WHERE ref_date='2024-09-30' AND nome_perimetro='Individual Corporativo' AND segmento='ESTR' AND ambito='PM' AND entidade='00100' ) B </v>
      </c>
      <c r="J226" s="75" t="str">
        <f>+IF(VLOOKUP(B226,Instruções!$F$13:$J$17,5,0)="", "ON "&amp;VLOOKUP(B226,Instruções!$F$13:$J$17,4,0)&amp;"_"&amp;$F$7&amp;"="&amp;VLOOKUP(B226,Instruções!$F$13:$J$17,4,0)&amp;"_"&amp;$G$7&amp;" ", "ON "&amp;VLOOKUP(B226,Instruções!$F$13:$J$17,4,0)&amp;"_"&amp;$F$7&amp;"="&amp;VLOOKUP(B226,Instruções!$F$13:$J$17,4,0)&amp;"_"&amp;$G$7&amp;" AND "&amp;VLOOKUP(B226,Instruções!$F$13:$J$17,5,0)&amp;"_"&amp;$F$7&amp;"="&amp;VLOOKUP(B226,Instruções!$F$13:$J$17,5,0)&amp;"_"&amp;$G$7&amp;" ")</f>
        <v xml:space="preserve">ON instrmnt_id_as_is=instrmnt_id_to_be </v>
      </c>
      <c r="K226" s="75" t="str">
        <f t="shared" si="36"/>
        <v xml:space="preserve">WHERE coalesce(cast(isin_as_is AS string),'')&lt;&gt;coalesce(cast(isin_to_be AS string),'') </v>
      </c>
      <c r="L226" s="75" t="str">
        <f t="shared" si="37"/>
        <v xml:space="preserve">SELECT count(*) AS NUM_REG_DIF FROM (SELECT instrmnt_id as instrmnt_id_, isin as isin_as_is FROM cd_loan_tapes_bce.lt002_instrument WHERE ref_date='2024-09-30' AND nome_perimetro='Individual Corporativo' AND segmento='ESTR' AND ambito='PM' AND entidade='00100' ) A  Inner join (SELECT instrmnt_id as instrmnt_id_, isin as isin_to_be FROM bu_loantape_work.lt002_instrument WHERE ref_date='2024-09-30' AND nome_perimetro='Individual Corporativo' AND segmento='ESTR' AND ambito='PM' AND entidade='00100' ) B ON instrmnt_id_as_is=instrmnt_id_to_be WHERE coalesce(cast(isin_as_is AS string),'')&lt;&gt;coalesce(cast(isin_to_be AS string),'') </v>
      </c>
      <c r="M226" s="75" t="s">
        <v>55</v>
      </c>
      <c r="N226" s="75" t="str">
        <f>"SELECT 'Validação de campos' as tipologia_teste, '"&amp;VLOOKUP(B226,Instruções!$F$13:$J$17,3,0)&amp;"' AS TABELA, '"&amp;E226&amp;"' AS CAMPO, '"&amp;Instruções!$D$15&amp;"' as ref_date, coalesce(NUM_REG_DIF, 0) AS NUM_REG_DIF FROM ("&amp;L226&amp;") A "</f>
        <v xml:space="preserve">SELECT 'Validação de campos' as tipologia_teste, 'lt002_instrument' AS TABELA, 'isin' AS CAMPO, '2024-09-30' as ref_date, coalesce(NUM_REG_DIF, 0) AS NUM_REG_DIF FROM (SELECT count(*) AS NUM_REG_DIF FROM (SELECT instrmnt_id as instrmnt_id_, isin as isin_as_is FROM cd_loan_tapes_bce.lt002_instrument WHERE ref_date='2024-09-30' AND nome_perimetro='Individual Corporativo' AND segmento='ESTR' AND ambito='PM' AND entidade='00100' ) A  Inner join (SELECT instrmnt_id as instrmnt_id_, isin as isin_to_be FROM bu_loantape_work.lt002_instrument WHERE ref_date='2024-09-30' AND nome_perimetro='Individual Corporativo' AND segmento='ESTR' AND ambito='PM' AND entidade='00100' ) B ON instrmnt_id_as_is=instrmnt_id_to_be WHERE coalesce(cast(isin_as_is AS string),'')&lt;&gt;coalesce(cast(isin_to_be AS string),'') ) A </v>
      </c>
      <c r="O226" s="76" t="str">
        <f t="shared" si="38"/>
        <v>SELECT 'Validação de campos' as tipologia_teste, 'lt002_instrument' AS TABELA, 'isin' AS CAMPO, '2024-09-30' as ref_date, coalesce(NUM_REG_DIF, 0) AS NUM_REG_DIF FROM (SELECT count(*) AS NUM_REG_DIF FROM (SELECT instrmnt_id as instrmnt_id_, isin as isin_as_is FROM cd_loan_tapes_bce.lt002_instrument WHERE ref_date='2024-09-30' AND nome_perimetro='Individual Corporativo' AND segmento='ESTR' AND ambito='PM' AND entidade='00100' ) A  Inner join (SELECT instrmnt_id as instrmnt_id_, isin as isin_to_be FROM bu_loantape_work.lt002_instrument WHERE ref_date='2024-09-30' AND nome_perimetro='Individual Corporativo' AND segmento='ESTR' AND ambito='PM' AND entidade='00100' ) B ON instrmnt_id_as_is=instrmnt_id_to_be WHERE coalesce(cast(isin_as_is AS string),'')&lt;&gt;coalesce(cast(isin_to_be AS string),'') ) A Union all</v>
      </c>
      <c r="P226" s="75">
        <f t="shared" si="39"/>
        <v>14</v>
      </c>
    </row>
    <row r="227" spans="2:16" s="63" customFormat="1" ht="18" customHeight="1">
      <c r="B227" s="75" t="s">
        <v>26</v>
      </c>
      <c r="C227" s="75" t="str">
        <f>_xlfn.CONCAT(Instruções!$D$13,".",VLOOKUP(B227,Instruções!$F$12:$H$17,2,0))</f>
        <v>cd_loan_tapes_bce.lt002_instrument</v>
      </c>
      <c r="D227" s="75" t="str">
        <f>_xlfn.CONCAT(Instruções!$D$14,".",VLOOKUP(B227,Instruções!$F$12:$H$17,3,0))</f>
        <v>bu_loantape_work.lt002_instrument</v>
      </c>
      <c r="E227" s="75" t="s">
        <v>262</v>
      </c>
      <c r="F227" s="75" t="str">
        <f t="shared" si="34"/>
        <v>isin_scrtstn_as_is</v>
      </c>
      <c r="G227" s="75" t="str">
        <f t="shared" si="35"/>
        <v>isin_scrtstn_to_be</v>
      </c>
      <c r="H227" s="75" t="str">
        <f>IF(VLOOKUP(B227,Instruções!$F$13:$J$17,5,0)="",
"(SELECT "&amp;VLOOKUP(B227,Instruções!$F$13:$J$17,4,0)&amp;" as "&amp;VLOOKUP(B227,Instruções!$F$13:$J$17,4,0)&amp;"_"&amp;$F$2&amp;", "&amp;E227&amp;" as "&amp;F227&amp;" FROM "&amp;C227&amp;" WHERE "&amp;Instruções!$D$20&amp;") A ",
"(SELECT "&amp;VLOOKUP(B227,Instruções!$F$13:$J$17,4,0)&amp;" as "&amp;VLOOKUP(B227,Instruções!$F$13:$J$17,4,0)&amp;"_"&amp;$F$2&amp;", "&amp;VLOOKUP(B227,Instruções!$F$13:$J$17,5,0)&amp;" as "&amp;VLOOKUP(B227,Instruções!$F$13:$J$17,5,0)&amp;"_"&amp;$F$2&amp;","&amp;E227&amp;" as "&amp;F227&amp;" FROM "&amp;C227&amp;" WHERE "&amp;Instruções!$D$20&amp;") A ")</f>
        <v xml:space="preserve">(SELECT instrmnt_id as instrmnt_id_, isin_scrtstn as isin_scrtstn_as_is FROM cd_loan_tapes_bce.lt002_instrument WHERE ref_date='2024-09-30' AND nome_perimetro='Individual Corporativo' AND segmento='ESTR' AND ambito='PM' AND entidade='00100' ) A </v>
      </c>
      <c r="I227" s="75" t="str">
        <f>IF(VLOOKUP(B227,Instruções!$F$13:$J$17,5,0)="",
"(SELECT "&amp;VLOOKUP(B227,Instruções!$F$13:$J$17,4,0)&amp;" as "&amp;VLOOKUP(B227,Instruções!$F$13:$J$17,4,0)&amp;"_"&amp;$G$2&amp;", "&amp;E227&amp;" as "&amp;G227&amp;" FROM "&amp;D227&amp;" WHERE "&amp;Instruções!$D$21&amp;") B ",
"(SELECT "&amp;VLOOKUP(B227,Instruções!$F$13:$J$17,4,0)&amp;" as "&amp;VLOOKUP(B227,Instruções!$F$13:$J$17,4,0)&amp;"_"&amp;$G$2&amp;", "&amp;VLOOKUP(B227,Instruções!$F$13:$J$17,5,0)&amp;" as "&amp;VLOOKUP(B227,Instruções!$F$13:$J$17,5,0)&amp;"_"&amp;$G$2&amp;","&amp;E227&amp;" as "&amp;G227&amp;" FROM "&amp;D227&amp;" WHERE "&amp;Instruções!$D$21&amp;") B ")</f>
        <v xml:space="preserve">(SELECT instrmnt_id as instrmnt_id_, isin_scrtstn as isin_scrtstn_to_be FROM bu_loantape_work.lt002_instrument WHERE ref_date='2024-09-30' AND nome_perimetro='Individual Corporativo' AND segmento='ESTR' AND ambito='PM' AND entidade='00100' ) B </v>
      </c>
      <c r="J227" s="75" t="str">
        <f>+IF(VLOOKUP(B227,Instruções!$F$13:$J$17,5,0)="", "ON "&amp;VLOOKUP(B227,Instruções!$F$13:$J$17,4,0)&amp;"_"&amp;$F$7&amp;"="&amp;VLOOKUP(B227,Instruções!$F$13:$J$17,4,0)&amp;"_"&amp;$G$7&amp;" ", "ON "&amp;VLOOKUP(B227,Instruções!$F$13:$J$17,4,0)&amp;"_"&amp;$F$7&amp;"="&amp;VLOOKUP(B227,Instruções!$F$13:$J$17,4,0)&amp;"_"&amp;$G$7&amp;" AND "&amp;VLOOKUP(B227,Instruções!$F$13:$J$17,5,0)&amp;"_"&amp;$F$7&amp;"="&amp;VLOOKUP(B227,Instruções!$F$13:$J$17,5,0)&amp;"_"&amp;$G$7&amp;" ")</f>
        <v xml:space="preserve">ON instrmnt_id_as_is=instrmnt_id_to_be </v>
      </c>
      <c r="K227" s="75" t="str">
        <f t="shared" si="36"/>
        <v xml:space="preserve">WHERE coalesce(cast(isin_scrtstn_as_is AS string),'')&lt;&gt;coalesce(cast(isin_scrtstn_to_be AS string),'') </v>
      </c>
      <c r="L227" s="75" t="str">
        <f t="shared" si="37"/>
        <v xml:space="preserve">SELECT count(*) AS NUM_REG_DIF FROM (SELECT instrmnt_id as instrmnt_id_, isin_scrtstn as isin_scrtstn_as_is FROM cd_loan_tapes_bce.lt002_instrument WHERE ref_date='2024-09-30' AND nome_perimetro='Individual Corporativo' AND segmento='ESTR' AND ambito='PM' AND entidade='00100' ) A  Inner join (SELECT instrmnt_id as instrmnt_id_, isin_scrtstn as isin_scrtstn_to_be FROM bu_loantape_work.lt002_instrument WHERE ref_date='2024-09-30' AND nome_perimetro='Individual Corporativo' AND segmento='ESTR' AND ambito='PM' AND entidade='00100' ) B ON instrmnt_id_as_is=instrmnt_id_to_be WHERE coalesce(cast(isin_scrtstn_as_is AS string),'')&lt;&gt;coalesce(cast(isin_scrtstn_to_be AS string),'') </v>
      </c>
      <c r="M227" s="75" t="s">
        <v>55</v>
      </c>
      <c r="N227" s="75" t="str">
        <f>"SELECT 'Validação de campos' as tipologia_teste, '"&amp;VLOOKUP(B227,Instruções!$F$13:$J$17,3,0)&amp;"' AS TABELA, '"&amp;E227&amp;"' AS CAMPO, '"&amp;Instruções!$D$15&amp;"' as ref_date, coalesce(NUM_REG_DIF, 0) AS NUM_REG_DIF FROM ("&amp;L227&amp;") A "</f>
        <v xml:space="preserve">SELECT 'Validação de campos' as tipologia_teste, 'lt002_instrument' AS TABELA, 'isin_scrtstn' AS CAMPO, '2024-09-30' as ref_date, coalesce(NUM_REG_DIF, 0) AS NUM_REG_DIF FROM (SELECT count(*) AS NUM_REG_DIF FROM (SELECT instrmnt_id as instrmnt_id_, isin_scrtstn as isin_scrtstn_as_is FROM cd_loan_tapes_bce.lt002_instrument WHERE ref_date='2024-09-30' AND nome_perimetro='Individual Corporativo' AND segmento='ESTR' AND ambito='PM' AND entidade='00100' ) A  Inner join (SELECT instrmnt_id as instrmnt_id_, isin_scrtstn as isin_scrtstn_to_be FROM bu_loantape_work.lt002_instrument WHERE ref_date='2024-09-30' AND nome_perimetro='Individual Corporativo' AND segmento='ESTR' AND ambito='PM' AND entidade='00100' ) B ON instrmnt_id_as_is=instrmnt_id_to_be WHERE coalesce(cast(isin_scrtstn_as_is AS string),'')&lt;&gt;coalesce(cast(isin_scrtstn_to_be AS string),'') ) A </v>
      </c>
      <c r="O227" s="76" t="str">
        <f t="shared" si="38"/>
        <v>SELECT 'Validação de campos' as tipologia_teste, 'lt002_instrument' AS TABELA, 'isin_scrtstn' AS CAMPO, '2024-09-30' as ref_date, coalesce(NUM_REG_DIF, 0) AS NUM_REG_DIF FROM (SELECT count(*) AS NUM_REG_DIF FROM (SELECT instrmnt_id as instrmnt_id_, isin_scrtstn as isin_scrtstn_as_is FROM cd_loan_tapes_bce.lt002_instrument WHERE ref_date='2024-09-30' AND nome_perimetro='Individual Corporativo' AND segmento='ESTR' AND ambito='PM' AND entidade='00100' ) A  Inner join (SELECT instrmnt_id as instrmnt_id_, isin_scrtstn as isin_scrtstn_to_be FROM bu_loantape_work.lt002_instrument WHERE ref_date='2024-09-30' AND nome_perimetro='Individual Corporativo' AND segmento='ESTR' AND ambito='PM' AND entidade='00100' ) B ON instrmnt_id_as_is=instrmnt_id_to_be WHERE coalesce(cast(isin_scrtstn_as_is AS string),'')&lt;&gt;coalesce(cast(isin_scrtstn_to_be AS string),'') ) A Union all</v>
      </c>
      <c r="P227" s="75">
        <f t="shared" si="39"/>
        <v>15</v>
      </c>
    </row>
    <row r="228" spans="2:16" s="63" customFormat="1" ht="18" customHeight="1">
      <c r="B228" s="75" t="s">
        <v>26</v>
      </c>
      <c r="C228" s="75" t="str">
        <f>_xlfn.CONCAT(Instruções!$D$13,".",VLOOKUP(B228,Instruções!$F$12:$H$17,2,0))</f>
        <v>cd_loan_tapes_bce.lt002_instrument</v>
      </c>
      <c r="D228" s="75" t="str">
        <f>_xlfn.CONCAT(Instruções!$D$14,".",VLOOKUP(B228,Instruções!$F$12:$H$17,3,0))</f>
        <v>bu_loantape_work.lt002_instrument</v>
      </c>
      <c r="E228" s="75" t="s">
        <v>263</v>
      </c>
      <c r="F228" s="75" t="str">
        <f t="shared" si="34"/>
        <v>issr_cntry_as_is</v>
      </c>
      <c r="G228" s="75" t="str">
        <f t="shared" si="35"/>
        <v>issr_cntry_to_be</v>
      </c>
      <c r="H228" s="75" t="str">
        <f>IF(VLOOKUP(B228,Instruções!$F$13:$J$17,5,0)="",
"(SELECT "&amp;VLOOKUP(B228,Instruções!$F$13:$J$17,4,0)&amp;" as "&amp;VLOOKUP(B228,Instruções!$F$13:$J$17,4,0)&amp;"_"&amp;$F$2&amp;", "&amp;E228&amp;" as "&amp;F228&amp;" FROM "&amp;C228&amp;" WHERE "&amp;Instruções!$D$20&amp;") A ",
"(SELECT "&amp;VLOOKUP(B228,Instruções!$F$13:$J$17,4,0)&amp;" as "&amp;VLOOKUP(B228,Instruções!$F$13:$J$17,4,0)&amp;"_"&amp;$F$2&amp;", "&amp;VLOOKUP(B228,Instruções!$F$13:$J$17,5,0)&amp;" as "&amp;VLOOKUP(B228,Instruções!$F$13:$J$17,5,0)&amp;"_"&amp;$F$2&amp;","&amp;E228&amp;" as "&amp;F228&amp;" FROM "&amp;C228&amp;" WHERE "&amp;Instruções!$D$20&amp;") A ")</f>
        <v xml:space="preserve">(SELECT instrmnt_id as instrmnt_id_, issr_cntry as issr_cntry_as_is FROM cd_loan_tapes_bce.lt002_instrument WHERE ref_date='2024-09-30' AND nome_perimetro='Individual Corporativo' AND segmento='ESTR' AND ambito='PM' AND entidade='00100' ) A </v>
      </c>
      <c r="I228" s="75" t="str">
        <f>IF(VLOOKUP(B228,Instruções!$F$13:$J$17,5,0)="",
"(SELECT "&amp;VLOOKUP(B228,Instruções!$F$13:$J$17,4,0)&amp;" as "&amp;VLOOKUP(B228,Instruções!$F$13:$J$17,4,0)&amp;"_"&amp;$G$2&amp;", "&amp;E228&amp;" as "&amp;G228&amp;" FROM "&amp;D228&amp;" WHERE "&amp;Instruções!$D$21&amp;") B ",
"(SELECT "&amp;VLOOKUP(B228,Instruções!$F$13:$J$17,4,0)&amp;" as "&amp;VLOOKUP(B228,Instruções!$F$13:$J$17,4,0)&amp;"_"&amp;$G$2&amp;", "&amp;VLOOKUP(B228,Instruções!$F$13:$J$17,5,0)&amp;" as "&amp;VLOOKUP(B228,Instruções!$F$13:$J$17,5,0)&amp;"_"&amp;$G$2&amp;","&amp;E228&amp;" as "&amp;G228&amp;" FROM "&amp;D228&amp;" WHERE "&amp;Instruções!$D$21&amp;") B ")</f>
        <v xml:space="preserve">(SELECT instrmnt_id as instrmnt_id_, issr_cntry as issr_cntry_to_be FROM bu_loantape_work.lt002_instrument WHERE ref_date='2024-09-30' AND nome_perimetro='Individual Corporativo' AND segmento='ESTR' AND ambito='PM' AND entidade='00100' ) B </v>
      </c>
      <c r="J228" s="75" t="str">
        <f>+IF(VLOOKUP(B228,Instruções!$F$13:$J$17,5,0)="", "ON "&amp;VLOOKUP(B228,Instruções!$F$13:$J$17,4,0)&amp;"_"&amp;$F$7&amp;"="&amp;VLOOKUP(B228,Instruções!$F$13:$J$17,4,0)&amp;"_"&amp;$G$7&amp;" ", "ON "&amp;VLOOKUP(B228,Instruções!$F$13:$J$17,4,0)&amp;"_"&amp;$F$7&amp;"="&amp;VLOOKUP(B228,Instruções!$F$13:$J$17,4,0)&amp;"_"&amp;$G$7&amp;" AND "&amp;VLOOKUP(B228,Instruções!$F$13:$J$17,5,0)&amp;"_"&amp;$F$7&amp;"="&amp;VLOOKUP(B228,Instruções!$F$13:$J$17,5,0)&amp;"_"&amp;$G$7&amp;" ")</f>
        <v xml:space="preserve">ON instrmnt_id_as_is=instrmnt_id_to_be </v>
      </c>
      <c r="K228" s="75" t="str">
        <f t="shared" si="36"/>
        <v xml:space="preserve">WHERE coalesce(cast(issr_cntry_as_is AS string),'')&lt;&gt;coalesce(cast(issr_cntry_to_be AS string),'') </v>
      </c>
      <c r="L228" s="75" t="str">
        <f t="shared" si="37"/>
        <v xml:space="preserve">SELECT count(*) AS NUM_REG_DIF FROM (SELECT instrmnt_id as instrmnt_id_, issr_cntry as issr_cntry_as_is FROM cd_loan_tapes_bce.lt002_instrument WHERE ref_date='2024-09-30' AND nome_perimetro='Individual Corporativo' AND segmento='ESTR' AND ambito='PM' AND entidade='00100' ) A  Inner join (SELECT instrmnt_id as instrmnt_id_, issr_cntry as issr_cntry_to_be FROM bu_loantape_work.lt002_instrument WHERE ref_date='2024-09-30' AND nome_perimetro='Individual Corporativo' AND segmento='ESTR' AND ambito='PM' AND entidade='00100' ) B ON instrmnt_id_as_is=instrmnt_id_to_be WHERE coalesce(cast(issr_cntry_as_is AS string),'')&lt;&gt;coalesce(cast(issr_cntry_to_be AS string),'') </v>
      </c>
      <c r="M228" s="75" t="s">
        <v>55</v>
      </c>
      <c r="N228" s="75" t="str">
        <f>"SELECT 'Validação de campos' as tipologia_teste, '"&amp;VLOOKUP(B228,Instruções!$F$13:$J$17,3,0)&amp;"' AS TABELA, '"&amp;E228&amp;"' AS CAMPO, '"&amp;Instruções!$D$15&amp;"' as ref_date, coalesce(NUM_REG_DIF, 0) AS NUM_REG_DIF FROM ("&amp;L228&amp;") A "</f>
        <v xml:space="preserve">SELECT 'Validação de campos' as tipologia_teste, 'lt002_instrument' AS TABELA, 'issr_cntry' AS CAMPO, '2024-09-30' as ref_date, coalesce(NUM_REG_DIF, 0) AS NUM_REG_DIF FROM (SELECT count(*) AS NUM_REG_DIF FROM (SELECT instrmnt_id as instrmnt_id_, issr_cntry as issr_cntry_as_is FROM cd_loan_tapes_bce.lt002_instrument WHERE ref_date='2024-09-30' AND nome_perimetro='Individual Corporativo' AND segmento='ESTR' AND ambito='PM' AND entidade='00100' ) A  Inner join (SELECT instrmnt_id as instrmnt_id_, issr_cntry as issr_cntry_to_be FROM bu_loantape_work.lt002_instrument WHERE ref_date='2024-09-30' AND nome_perimetro='Individual Corporativo' AND segmento='ESTR' AND ambito='PM' AND entidade='00100' ) B ON instrmnt_id_as_is=instrmnt_id_to_be WHERE coalesce(cast(issr_cntry_as_is AS string),'')&lt;&gt;coalesce(cast(issr_cntry_to_be AS string),'') ) A </v>
      </c>
      <c r="O228" s="76" t="str">
        <f t="shared" si="38"/>
        <v>SELECT 'Validação de campos' as tipologia_teste, 'lt002_instrument' AS TABELA, 'issr_cntry' AS CAMPO, '2024-09-30' as ref_date, coalesce(NUM_REG_DIF, 0) AS NUM_REG_DIF FROM (SELECT count(*) AS NUM_REG_DIF FROM (SELECT instrmnt_id as instrmnt_id_, issr_cntry as issr_cntry_as_is FROM cd_loan_tapes_bce.lt002_instrument WHERE ref_date='2024-09-30' AND nome_perimetro='Individual Corporativo' AND segmento='ESTR' AND ambito='PM' AND entidade='00100' ) A  Inner join (SELECT instrmnt_id as instrmnt_id_, issr_cntry as issr_cntry_to_be FROM bu_loantape_work.lt002_instrument WHERE ref_date='2024-09-30' AND nome_perimetro='Individual Corporativo' AND segmento='ESTR' AND ambito='PM' AND entidade='00100' ) B ON instrmnt_id_as_is=instrmnt_id_to_be WHERE coalesce(cast(issr_cntry_as_is AS string),'')&lt;&gt;coalesce(cast(issr_cntry_to_be AS string),'') ) A Union all</v>
      </c>
      <c r="P228" s="75">
        <f t="shared" si="39"/>
        <v>16</v>
      </c>
    </row>
    <row r="229" spans="2:16" s="63" customFormat="1" ht="18" customHeight="1">
      <c r="B229" s="75" t="s">
        <v>26</v>
      </c>
      <c r="C229" s="75" t="str">
        <f>_xlfn.CONCAT(Instruções!$D$13,".",VLOOKUP(B229,Instruções!$F$12:$H$17,2,0))</f>
        <v>cd_loan_tapes_bce.lt002_instrument</v>
      </c>
      <c r="D229" s="75" t="str">
        <f>_xlfn.CONCAT(Instruções!$D$14,".",VLOOKUP(B229,Instruções!$F$12:$H$17,3,0))</f>
        <v>bu_loantape_work.lt002_instrument</v>
      </c>
      <c r="E229" s="75" t="s">
        <v>264</v>
      </c>
      <c r="F229" s="75" t="str">
        <f t="shared" si="34"/>
        <v>issr_esa_2010_as_is</v>
      </c>
      <c r="G229" s="75" t="str">
        <f t="shared" si="35"/>
        <v>issr_esa_2010_to_be</v>
      </c>
      <c r="H229" s="75" t="str">
        <f>IF(VLOOKUP(B229,Instruções!$F$13:$J$17,5,0)="",
"(SELECT "&amp;VLOOKUP(B229,Instruções!$F$13:$J$17,4,0)&amp;" as "&amp;VLOOKUP(B229,Instruções!$F$13:$J$17,4,0)&amp;"_"&amp;$F$2&amp;", "&amp;E229&amp;" as "&amp;F229&amp;" FROM "&amp;C229&amp;" WHERE "&amp;Instruções!$D$20&amp;") A ",
"(SELECT "&amp;VLOOKUP(B229,Instruções!$F$13:$J$17,4,0)&amp;" as "&amp;VLOOKUP(B229,Instruções!$F$13:$J$17,4,0)&amp;"_"&amp;$F$2&amp;", "&amp;VLOOKUP(B229,Instruções!$F$13:$J$17,5,0)&amp;" as "&amp;VLOOKUP(B229,Instruções!$F$13:$J$17,5,0)&amp;"_"&amp;$F$2&amp;","&amp;E229&amp;" as "&amp;F229&amp;" FROM "&amp;C229&amp;" WHERE "&amp;Instruções!$D$20&amp;") A ")</f>
        <v xml:space="preserve">(SELECT instrmnt_id as instrmnt_id_, issr_esa_2010 as issr_esa_2010_as_is FROM cd_loan_tapes_bce.lt002_instrument WHERE ref_date='2024-09-30' AND nome_perimetro='Individual Corporativo' AND segmento='ESTR' AND ambito='PM' AND entidade='00100' ) A </v>
      </c>
      <c r="I229" s="75" t="str">
        <f>IF(VLOOKUP(B229,Instruções!$F$13:$J$17,5,0)="",
"(SELECT "&amp;VLOOKUP(B229,Instruções!$F$13:$J$17,4,0)&amp;" as "&amp;VLOOKUP(B229,Instruções!$F$13:$J$17,4,0)&amp;"_"&amp;$G$2&amp;", "&amp;E229&amp;" as "&amp;G229&amp;" FROM "&amp;D229&amp;" WHERE "&amp;Instruções!$D$21&amp;") B ",
"(SELECT "&amp;VLOOKUP(B229,Instruções!$F$13:$J$17,4,0)&amp;" as "&amp;VLOOKUP(B229,Instruções!$F$13:$J$17,4,0)&amp;"_"&amp;$G$2&amp;", "&amp;VLOOKUP(B229,Instruções!$F$13:$J$17,5,0)&amp;" as "&amp;VLOOKUP(B229,Instruções!$F$13:$J$17,5,0)&amp;"_"&amp;$G$2&amp;","&amp;E229&amp;" as "&amp;G229&amp;" FROM "&amp;D229&amp;" WHERE "&amp;Instruções!$D$21&amp;") B ")</f>
        <v xml:space="preserve">(SELECT instrmnt_id as instrmnt_id_, issr_esa_2010 as issr_esa_2010_to_be FROM bu_loantape_work.lt002_instrument WHERE ref_date='2024-09-30' AND nome_perimetro='Individual Corporativo' AND segmento='ESTR' AND ambito='PM' AND entidade='00100' ) B </v>
      </c>
      <c r="J229" s="75" t="str">
        <f>+IF(VLOOKUP(B229,Instruções!$F$13:$J$17,5,0)="", "ON "&amp;VLOOKUP(B229,Instruções!$F$13:$J$17,4,0)&amp;"_"&amp;$F$7&amp;"="&amp;VLOOKUP(B229,Instruções!$F$13:$J$17,4,0)&amp;"_"&amp;$G$7&amp;" ", "ON "&amp;VLOOKUP(B229,Instruções!$F$13:$J$17,4,0)&amp;"_"&amp;$F$7&amp;"="&amp;VLOOKUP(B229,Instruções!$F$13:$J$17,4,0)&amp;"_"&amp;$G$7&amp;" AND "&amp;VLOOKUP(B229,Instruções!$F$13:$J$17,5,0)&amp;"_"&amp;$F$7&amp;"="&amp;VLOOKUP(B229,Instruções!$F$13:$J$17,5,0)&amp;"_"&amp;$G$7&amp;" ")</f>
        <v xml:space="preserve">ON instrmnt_id_as_is=instrmnt_id_to_be </v>
      </c>
      <c r="K229" s="75" t="str">
        <f t="shared" si="36"/>
        <v xml:space="preserve">WHERE coalesce(cast(issr_esa_2010_as_is AS string),'')&lt;&gt;coalesce(cast(issr_esa_2010_to_be AS string),'') </v>
      </c>
      <c r="L229" s="75" t="str">
        <f t="shared" si="37"/>
        <v xml:space="preserve">SELECT count(*) AS NUM_REG_DIF FROM (SELECT instrmnt_id as instrmnt_id_, issr_esa_2010 as issr_esa_2010_as_is FROM cd_loan_tapes_bce.lt002_instrument WHERE ref_date='2024-09-30' AND nome_perimetro='Individual Corporativo' AND segmento='ESTR' AND ambito='PM' AND entidade='00100' ) A  Inner join (SELECT instrmnt_id as instrmnt_id_, issr_esa_2010 as issr_esa_2010_to_be FROM bu_loantape_work.lt002_instrument WHERE ref_date='2024-09-30' AND nome_perimetro='Individual Corporativo' AND segmento='ESTR' AND ambito='PM' AND entidade='00100' ) B ON instrmnt_id_as_is=instrmnt_id_to_be WHERE coalesce(cast(issr_esa_2010_as_is AS string),'')&lt;&gt;coalesce(cast(issr_esa_2010_to_be AS string),'') </v>
      </c>
      <c r="M229" s="75" t="s">
        <v>55</v>
      </c>
      <c r="N229" s="75" t="str">
        <f>"SELECT 'Validação de campos' as tipologia_teste, '"&amp;VLOOKUP(B229,Instruções!$F$13:$J$17,3,0)&amp;"' AS TABELA, '"&amp;E229&amp;"' AS CAMPO, '"&amp;Instruções!$D$15&amp;"' as ref_date, coalesce(NUM_REG_DIF, 0) AS NUM_REG_DIF FROM ("&amp;L229&amp;") A "</f>
        <v xml:space="preserve">SELECT 'Validação de campos' as tipologia_teste, 'lt002_instrument' AS TABELA, 'issr_esa_2010' AS CAMPO, '2024-09-30' as ref_date, coalesce(NUM_REG_DIF, 0) AS NUM_REG_DIF FROM (SELECT count(*) AS NUM_REG_DIF FROM (SELECT instrmnt_id as instrmnt_id_, issr_esa_2010 as issr_esa_2010_as_is FROM cd_loan_tapes_bce.lt002_instrument WHERE ref_date='2024-09-30' AND nome_perimetro='Individual Corporativo' AND segmento='ESTR' AND ambito='PM' AND entidade='00100' ) A  Inner join (SELECT instrmnt_id as instrmnt_id_, issr_esa_2010 as issr_esa_2010_to_be FROM bu_loantape_work.lt002_instrument WHERE ref_date='2024-09-30' AND nome_perimetro='Individual Corporativo' AND segmento='ESTR' AND ambito='PM' AND entidade='00100' ) B ON instrmnt_id_as_is=instrmnt_id_to_be WHERE coalesce(cast(issr_esa_2010_as_is AS string),'')&lt;&gt;coalesce(cast(issr_esa_2010_to_be AS string),'') ) A </v>
      </c>
      <c r="O229" s="76" t="str">
        <f t="shared" si="38"/>
        <v>SELECT 'Validação de campos' as tipologia_teste, 'lt002_instrument' AS TABELA, 'issr_esa_2010' AS CAMPO, '2024-09-30' as ref_date, coalesce(NUM_REG_DIF, 0) AS NUM_REG_DIF FROM (SELECT count(*) AS NUM_REG_DIF FROM (SELECT instrmnt_id as instrmnt_id_, issr_esa_2010 as issr_esa_2010_as_is FROM cd_loan_tapes_bce.lt002_instrument WHERE ref_date='2024-09-30' AND nome_perimetro='Individual Corporativo' AND segmento='ESTR' AND ambito='PM' AND entidade='00100' ) A  Inner join (SELECT instrmnt_id as instrmnt_id_, issr_esa_2010 as issr_esa_2010_to_be FROM bu_loantape_work.lt002_instrument WHERE ref_date='2024-09-30' AND nome_perimetro='Individual Corporativo' AND segmento='ESTR' AND ambito='PM' AND entidade='00100' ) B ON instrmnt_id_as_is=instrmnt_id_to_be WHERE coalesce(cast(issr_esa_2010_as_is AS string),'')&lt;&gt;coalesce(cast(issr_esa_2010_to_be AS string),'') ) A Union all</v>
      </c>
      <c r="P229" s="75">
        <f t="shared" si="39"/>
        <v>17</v>
      </c>
    </row>
    <row r="230" spans="2:16" s="63" customFormat="1" ht="18" customHeight="1">
      <c r="B230" s="75" t="s">
        <v>26</v>
      </c>
      <c r="C230" s="75" t="str">
        <f>_xlfn.CONCAT(Instruções!$D$13,".",VLOOKUP(B230,Instruções!$F$12:$H$17,2,0))</f>
        <v>cd_loan_tapes_bce.lt002_instrument</v>
      </c>
      <c r="D230" s="75" t="str">
        <f>_xlfn.CONCAT(Instruções!$D$14,".",VLOOKUP(B230,Instruções!$F$12:$H$17,3,0))</f>
        <v>bu_loantape_work.lt002_instrument</v>
      </c>
      <c r="E230" s="75" t="s">
        <v>265</v>
      </c>
      <c r="F230" s="75" t="str">
        <f t="shared" si="34"/>
        <v>issr_id_as_is</v>
      </c>
      <c r="G230" s="75" t="str">
        <f t="shared" si="35"/>
        <v>issr_id_to_be</v>
      </c>
      <c r="H230" s="75" t="str">
        <f>IF(VLOOKUP(B230,Instruções!$F$13:$J$17,5,0)="",
"(SELECT "&amp;VLOOKUP(B230,Instruções!$F$13:$J$17,4,0)&amp;" as "&amp;VLOOKUP(B230,Instruções!$F$13:$J$17,4,0)&amp;"_"&amp;$F$2&amp;", "&amp;E230&amp;" as "&amp;F230&amp;" FROM "&amp;C230&amp;" WHERE "&amp;Instruções!$D$20&amp;") A ",
"(SELECT "&amp;VLOOKUP(B230,Instruções!$F$13:$J$17,4,0)&amp;" as "&amp;VLOOKUP(B230,Instruções!$F$13:$J$17,4,0)&amp;"_"&amp;$F$2&amp;", "&amp;VLOOKUP(B230,Instruções!$F$13:$J$17,5,0)&amp;" as "&amp;VLOOKUP(B230,Instruções!$F$13:$J$17,5,0)&amp;"_"&amp;$F$2&amp;","&amp;E230&amp;" as "&amp;F230&amp;" FROM "&amp;C230&amp;" WHERE "&amp;Instruções!$D$20&amp;") A ")</f>
        <v xml:space="preserve">(SELECT instrmnt_id as instrmnt_id_, issr_id as issr_id_as_is FROM cd_loan_tapes_bce.lt002_instrument WHERE ref_date='2024-09-30' AND nome_perimetro='Individual Corporativo' AND segmento='ESTR' AND ambito='PM' AND entidade='00100' ) A </v>
      </c>
      <c r="I230" s="75" t="str">
        <f>IF(VLOOKUP(B230,Instruções!$F$13:$J$17,5,0)="",
"(SELECT "&amp;VLOOKUP(B230,Instruções!$F$13:$J$17,4,0)&amp;" as "&amp;VLOOKUP(B230,Instruções!$F$13:$J$17,4,0)&amp;"_"&amp;$G$2&amp;", "&amp;E230&amp;" as "&amp;G230&amp;" FROM "&amp;D230&amp;" WHERE "&amp;Instruções!$D$21&amp;") B ",
"(SELECT "&amp;VLOOKUP(B230,Instruções!$F$13:$J$17,4,0)&amp;" as "&amp;VLOOKUP(B230,Instruções!$F$13:$J$17,4,0)&amp;"_"&amp;$G$2&amp;", "&amp;VLOOKUP(B230,Instruções!$F$13:$J$17,5,0)&amp;" as "&amp;VLOOKUP(B230,Instruções!$F$13:$J$17,5,0)&amp;"_"&amp;$G$2&amp;","&amp;E230&amp;" as "&amp;G230&amp;" FROM "&amp;D230&amp;" WHERE "&amp;Instruções!$D$21&amp;") B ")</f>
        <v xml:space="preserve">(SELECT instrmnt_id as instrmnt_id_, issr_id as issr_id_to_be FROM bu_loantape_work.lt002_instrument WHERE ref_date='2024-09-30' AND nome_perimetro='Individual Corporativo' AND segmento='ESTR' AND ambito='PM' AND entidade='00100' ) B </v>
      </c>
      <c r="J230" s="75" t="str">
        <f>+IF(VLOOKUP(B230,Instruções!$F$13:$J$17,5,0)="", "ON "&amp;VLOOKUP(B230,Instruções!$F$13:$J$17,4,0)&amp;"_"&amp;$F$7&amp;"="&amp;VLOOKUP(B230,Instruções!$F$13:$J$17,4,0)&amp;"_"&amp;$G$7&amp;" ", "ON "&amp;VLOOKUP(B230,Instruções!$F$13:$J$17,4,0)&amp;"_"&amp;$F$7&amp;"="&amp;VLOOKUP(B230,Instruções!$F$13:$J$17,4,0)&amp;"_"&amp;$G$7&amp;" AND "&amp;VLOOKUP(B230,Instruções!$F$13:$J$17,5,0)&amp;"_"&amp;$F$7&amp;"="&amp;VLOOKUP(B230,Instruções!$F$13:$J$17,5,0)&amp;"_"&amp;$G$7&amp;" ")</f>
        <v xml:space="preserve">ON instrmnt_id_as_is=instrmnt_id_to_be </v>
      </c>
      <c r="K230" s="75" t="str">
        <f t="shared" si="36"/>
        <v xml:space="preserve">WHERE coalesce(cast(issr_id_as_is AS string),'')&lt;&gt;coalesce(cast(issr_id_to_be AS string),'') </v>
      </c>
      <c r="L230" s="75" t="str">
        <f t="shared" si="37"/>
        <v xml:space="preserve">SELECT count(*) AS NUM_REG_DIF FROM (SELECT instrmnt_id as instrmnt_id_, issr_id as issr_id_as_is FROM cd_loan_tapes_bce.lt002_instrument WHERE ref_date='2024-09-30' AND nome_perimetro='Individual Corporativo' AND segmento='ESTR' AND ambito='PM' AND entidade='00100' ) A  Inner join (SELECT instrmnt_id as instrmnt_id_, issr_id as issr_id_to_be FROM bu_loantape_work.lt002_instrument WHERE ref_date='2024-09-30' AND nome_perimetro='Individual Corporativo' AND segmento='ESTR' AND ambito='PM' AND entidade='00100' ) B ON instrmnt_id_as_is=instrmnt_id_to_be WHERE coalesce(cast(issr_id_as_is AS string),'')&lt;&gt;coalesce(cast(issr_id_to_be AS string),'') </v>
      </c>
      <c r="M230" s="75" t="s">
        <v>55</v>
      </c>
      <c r="N230" s="75" t="str">
        <f>"SELECT 'Validação de campos' as tipologia_teste, '"&amp;VLOOKUP(B230,Instruções!$F$13:$J$17,3,0)&amp;"' AS TABELA, '"&amp;E230&amp;"' AS CAMPO, '"&amp;Instruções!$D$15&amp;"' as ref_date, coalesce(NUM_REG_DIF, 0) AS NUM_REG_DIF FROM ("&amp;L230&amp;") A "</f>
        <v xml:space="preserve">SELECT 'Validação de campos' as tipologia_teste, 'lt002_instrument' AS TABELA, 'issr_id' AS CAMPO, '2024-09-30' as ref_date, coalesce(NUM_REG_DIF, 0) AS NUM_REG_DIF FROM (SELECT count(*) AS NUM_REG_DIF FROM (SELECT instrmnt_id as instrmnt_id_, issr_id as issr_id_as_is FROM cd_loan_tapes_bce.lt002_instrument WHERE ref_date='2024-09-30' AND nome_perimetro='Individual Corporativo' AND segmento='ESTR' AND ambito='PM' AND entidade='00100' ) A  Inner join (SELECT instrmnt_id as instrmnt_id_, issr_id as issr_id_to_be FROM bu_loantape_work.lt002_instrument WHERE ref_date='2024-09-30' AND nome_perimetro='Individual Corporativo' AND segmento='ESTR' AND ambito='PM' AND entidade='00100' ) B ON instrmnt_id_as_is=instrmnt_id_to_be WHERE coalesce(cast(issr_id_as_is AS string),'')&lt;&gt;coalesce(cast(issr_id_to_be AS string),'') ) A </v>
      </c>
      <c r="O230" s="76" t="str">
        <f t="shared" si="38"/>
        <v>SELECT 'Validação de campos' as tipologia_teste, 'lt002_instrument' AS TABELA, 'issr_id' AS CAMPO, '2024-09-30' as ref_date, coalesce(NUM_REG_DIF, 0) AS NUM_REG_DIF FROM (SELECT count(*) AS NUM_REG_DIF FROM (SELECT instrmnt_id as instrmnt_id_, issr_id as issr_id_as_is FROM cd_loan_tapes_bce.lt002_instrument WHERE ref_date='2024-09-30' AND nome_perimetro='Individual Corporativo' AND segmento='ESTR' AND ambito='PM' AND entidade='00100' ) A  Inner join (SELECT instrmnt_id as instrmnt_id_, issr_id as issr_id_to_be FROM bu_loantape_work.lt002_instrument WHERE ref_date='2024-09-30' AND nome_perimetro='Individual Corporativo' AND segmento='ESTR' AND ambito='PM' AND entidade='00100' ) B ON instrmnt_id_as_is=instrmnt_id_to_be WHERE coalesce(cast(issr_id_as_is AS string),'')&lt;&gt;coalesce(cast(issr_id_to_be AS string),'') ) A Union all</v>
      </c>
      <c r="P230" s="75">
        <f t="shared" si="39"/>
        <v>18</v>
      </c>
    </row>
    <row r="231" spans="2:16" s="63" customFormat="1" ht="18" customHeight="1">
      <c r="B231" s="75" t="s">
        <v>26</v>
      </c>
      <c r="C231" s="75" t="str">
        <f>_xlfn.CONCAT(Instruções!$D$13,".",VLOOKUP(B231,Instruções!$F$12:$H$17,2,0))</f>
        <v>cd_loan_tapes_bce.lt002_instrument</v>
      </c>
      <c r="D231" s="75" t="str">
        <f>_xlfn.CONCAT(Instruções!$D$14,".",VLOOKUP(B231,Instruções!$F$12:$H$17,3,0))</f>
        <v>bu_loantape_work.lt002_instrument</v>
      </c>
      <c r="E231" s="75" t="s">
        <v>266</v>
      </c>
      <c r="F231" s="75" t="str">
        <f t="shared" si="34"/>
        <v>issr_id_typ_as_is</v>
      </c>
      <c r="G231" s="75" t="str">
        <f t="shared" si="35"/>
        <v>issr_id_typ_to_be</v>
      </c>
      <c r="H231" s="75" t="str">
        <f>IF(VLOOKUP(B231,Instruções!$F$13:$J$17,5,0)="",
"(SELECT "&amp;VLOOKUP(B231,Instruções!$F$13:$J$17,4,0)&amp;" as "&amp;VLOOKUP(B231,Instruções!$F$13:$J$17,4,0)&amp;"_"&amp;$F$2&amp;", "&amp;E231&amp;" as "&amp;F231&amp;" FROM "&amp;C231&amp;" WHERE "&amp;Instruções!$D$20&amp;") A ",
"(SELECT "&amp;VLOOKUP(B231,Instruções!$F$13:$J$17,4,0)&amp;" as "&amp;VLOOKUP(B231,Instruções!$F$13:$J$17,4,0)&amp;"_"&amp;$F$2&amp;", "&amp;VLOOKUP(B231,Instruções!$F$13:$J$17,5,0)&amp;" as "&amp;VLOOKUP(B231,Instruções!$F$13:$J$17,5,0)&amp;"_"&amp;$F$2&amp;","&amp;E231&amp;" as "&amp;F231&amp;" FROM "&amp;C231&amp;" WHERE "&amp;Instruções!$D$20&amp;") A ")</f>
        <v xml:space="preserve">(SELECT instrmnt_id as instrmnt_id_, issr_id_typ as issr_id_typ_as_is FROM cd_loan_tapes_bce.lt002_instrument WHERE ref_date='2024-09-30' AND nome_perimetro='Individual Corporativo' AND segmento='ESTR' AND ambito='PM' AND entidade='00100' ) A </v>
      </c>
      <c r="I231" s="75" t="str">
        <f>IF(VLOOKUP(B231,Instruções!$F$13:$J$17,5,0)="",
"(SELECT "&amp;VLOOKUP(B231,Instruções!$F$13:$J$17,4,0)&amp;" as "&amp;VLOOKUP(B231,Instruções!$F$13:$J$17,4,0)&amp;"_"&amp;$G$2&amp;", "&amp;E231&amp;" as "&amp;G231&amp;" FROM "&amp;D231&amp;" WHERE "&amp;Instruções!$D$21&amp;") B ",
"(SELECT "&amp;VLOOKUP(B231,Instruções!$F$13:$J$17,4,0)&amp;" as "&amp;VLOOKUP(B231,Instruções!$F$13:$J$17,4,0)&amp;"_"&amp;$G$2&amp;", "&amp;VLOOKUP(B231,Instruções!$F$13:$J$17,5,0)&amp;" as "&amp;VLOOKUP(B231,Instruções!$F$13:$J$17,5,0)&amp;"_"&amp;$G$2&amp;","&amp;E231&amp;" as "&amp;G231&amp;" FROM "&amp;D231&amp;" WHERE "&amp;Instruções!$D$21&amp;") B ")</f>
        <v xml:space="preserve">(SELECT instrmnt_id as instrmnt_id_, issr_id_typ as issr_id_typ_to_be FROM bu_loantape_work.lt002_instrument WHERE ref_date='2024-09-30' AND nome_perimetro='Individual Corporativo' AND segmento='ESTR' AND ambito='PM' AND entidade='00100' ) B </v>
      </c>
      <c r="J231" s="75" t="str">
        <f>+IF(VLOOKUP(B231,Instruções!$F$13:$J$17,5,0)="", "ON "&amp;VLOOKUP(B231,Instruções!$F$13:$J$17,4,0)&amp;"_"&amp;$F$7&amp;"="&amp;VLOOKUP(B231,Instruções!$F$13:$J$17,4,0)&amp;"_"&amp;$G$7&amp;" ", "ON "&amp;VLOOKUP(B231,Instruções!$F$13:$J$17,4,0)&amp;"_"&amp;$F$7&amp;"="&amp;VLOOKUP(B231,Instruções!$F$13:$J$17,4,0)&amp;"_"&amp;$G$7&amp;" AND "&amp;VLOOKUP(B231,Instruções!$F$13:$J$17,5,0)&amp;"_"&amp;$F$7&amp;"="&amp;VLOOKUP(B231,Instruções!$F$13:$J$17,5,0)&amp;"_"&amp;$G$7&amp;" ")</f>
        <v xml:space="preserve">ON instrmnt_id_as_is=instrmnt_id_to_be </v>
      </c>
      <c r="K231" s="75" t="str">
        <f t="shared" si="36"/>
        <v xml:space="preserve">WHERE coalesce(cast(issr_id_typ_as_is AS string),'')&lt;&gt;coalesce(cast(issr_id_typ_to_be AS string),'') </v>
      </c>
      <c r="L231" s="75" t="str">
        <f t="shared" si="37"/>
        <v xml:space="preserve">SELECT count(*) AS NUM_REG_DIF FROM (SELECT instrmnt_id as instrmnt_id_, issr_id_typ as issr_id_typ_as_is FROM cd_loan_tapes_bce.lt002_instrument WHERE ref_date='2024-09-30' AND nome_perimetro='Individual Corporativo' AND segmento='ESTR' AND ambito='PM' AND entidade='00100' ) A  Inner join (SELECT instrmnt_id as instrmnt_id_, issr_id_typ as issr_id_typ_to_be FROM bu_loantape_work.lt002_instrument WHERE ref_date='2024-09-30' AND nome_perimetro='Individual Corporativo' AND segmento='ESTR' AND ambito='PM' AND entidade='00100' ) B ON instrmnt_id_as_is=instrmnt_id_to_be WHERE coalesce(cast(issr_id_typ_as_is AS string),'')&lt;&gt;coalesce(cast(issr_id_typ_to_be AS string),'') </v>
      </c>
      <c r="M231" s="75" t="s">
        <v>55</v>
      </c>
      <c r="N231" s="75" t="str">
        <f>"SELECT 'Validação de campos' as tipologia_teste, '"&amp;VLOOKUP(B231,Instruções!$F$13:$J$17,3,0)&amp;"' AS TABELA, '"&amp;E231&amp;"' AS CAMPO, '"&amp;Instruções!$D$15&amp;"' as ref_date, coalesce(NUM_REG_DIF, 0) AS NUM_REG_DIF FROM ("&amp;L231&amp;") A "</f>
        <v xml:space="preserve">SELECT 'Validação de campos' as tipologia_teste, 'lt002_instrument' AS TABELA, 'issr_id_typ' AS CAMPO, '2024-09-30' as ref_date, coalesce(NUM_REG_DIF, 0) AS NUM_REG_DIF FROM (SELECT count(*) AS NUM_REG_DIF FROM (SELECT instrmnt_id as instrmnt_id_, issr_id_typ as issr_id_typ_as_is FROM cd_loan_tapes_bce.lt002_instrument WHERE ref_date='2024-09-30' AND nome_perimetro='Individual Corporativo' AND segmento='ESTR' AND ambito='PM' AND entidade='00100' ) A  Inner join (SELECT instrmnt_id as instrmnt_id_, issr_id_typ as issr_id_typ_to_be FROM bu_loantape_work.lt002_instrument WHERE ref_date='2024-09-30' AND nome_perimetro='Individual Corporativo' AND segmento='ESTR' AND ambito='PM' AND entidade='00100' ) B ON instrmnt_id_as_is=instrmnt_id_to_be WHERE coalesce(cast(issr_id_typ_as_is AS string),'')&lt;&gt;coalesce(cast(issr_id_typ_to_be AS string),'') ) A </v>
      </c>
      <c r="O231" s="76" t="str">
        <f t="shared" si="38"/>
        <v>SELECT 'Validação de campos' as tipologia_teste, 'lt002_instrument' AS TABELA, 'issr_id_typ' AS CAMPO, '2024-09-30' as ref_date, coalesce(NUM_REG_DIF, 0) AS NUM_REG_DIF FROM (SELECT count(*) AS NUM_REG_DIF FROM (SELECT instrmnt_id as instrmnt_id_, issr_id_typ as issr_id_typ_as_is FROM cd_loan_tapes_bce.lt002_instrument WHERE ref_date='2024-09-30' AND nome_perimetro='Individual Corporativo' AND segmento='ESTR' AND ambito='PM' AND entidade='00100' ) A  Inner join (SELECT instrmnt_id as instrmnt_id_, issr_id_typ as issr_id_typ_to_be FROM bu_loantape_work.lt002_instrument WHERE ref_date='2024-09-30' AND nome_perimetro='Individual Corporativo' AND segmento='ESTR' AND ambito='PM' AND entidade='00100' ) B ON instrmnt_id_as_is=instrmnt_id_to_be WHERE coalesce(cast(issr_id_typ_as_is AS string),'')&lt;&gt;coalesce(cast(issr_id_typ_to_be AS string),'') ) A Union all</v>
      </c>
      <c r="P231" s="75">
        <f t="shared" si="39"/>
        <v>19</v>
      </c>
    </row>
    <row r="232" spans="2:16" s="63" customFormat="1" ht="18" customHeight="1">
      <c r="B232" s="75" t="s">
        <v>26</v>
      </c>
      <c r="C232" s="75" t="str">
        <f>_xlfn.CONCAT(Instruções!$D$13,".",VLOOKUP(B232,Instruções!$F$12:$H$17,2,0))</f>
        <v>cd_loan_tapes_bce.lt002_instrument</v>
      </c>
      <c r="D232" s="75" t="str">
        <f>_xlfn.CONCAT(Instruções!$D$14,".",VLOOKUP(B232,Instruções!$F$12:$H$17,3,0))</f>
        <v>bu_loantape_work.lt002_instrument</v>
      </c>
      <c r="E232" s="75" t="s">
        <v>267</v>
      </c>
      <c r="F232" s="75" t="str">
        <f t="shared" si="34"/>
        <v>issr_nace_sctr_as_is</v>
      </c>
      <c r="G232" s="75" t="str">
        <f t="shared" si="35"/>
        <v>issr_nace_sctr_to_be</v>
      </c>
      <c r="H232" s="75" t="str">
        <f>IF(VLOOKUP(B232,Instruções!$F$13:$J$17,5,0)="",
"(SELECT "&amp;VLOOKUP(B232,Instruções!$F$13:$J$17,4,0)&amp;" as "&amp;VLOOKUP(B232,Instruções!$F$13:$J$17,4,0)&amp;"_"&amp;$F$2&amp;", "&amp;E232&amp;" as "&amp;F232&amp;" FROM "&amp;C232&amp;" WHERE "&amp;Instruções!$D$20&amp;") A ",
"(SELECT "&amp;VLOOKUP(B232,Instruções!$F$13:$J$17,4,0)&amp;" as "&amp;VLOOKUP(B232,Instruções!$F$13:$J$17,4,0)&amp;"_"&amp;$F$2&amp;", "&amp;VLOOKUP(B232,Instruções!$F$13:$J$17,5,0)&amp;" as "&amp;VLOOKUP(B232,Instruções!$F$13:$J$17,5,0)&amp;"_"&amp;$F$2&amp;","&amp;E232&amp;" as "&amp;F232&amp;" FROM "&amp;C232&amp;" WHERE "&amp;Instruções!$D$20&amp;") A ")</f>
        <v xml:space="preserve">(SELECT instrmnt_id as instrmnt_id_, issr_nace_sctr as issr_nace_sctr_as_is FROM cd_loan_tapes_bce.lt002_instrument WHERE ref_date='2024-09-30' AND nome_perimetro='Individual Corporativo' AND segmento='ESTR' AND ambito='PM' AND entidade='00100' ) A </v>
      </c>
      <c r="I232" s="75" t="str">
        <f>IF(VLOOKUP(B232,Instruções!$F$13:$J$17,5,0)="",
"(SELECT "&amp;VLOOKUP(B232,Instruções!$F$13:$J$17,4,0)&amp;" as "&amp;VLOOKUP(B232,Instruções!$F$13:$J$17,4,0)&amp;"_"&amp;$G$2&amp;", "&amp;E232&amp;" as "&amp;G232&amp;" FROM "&amp;D232&amp;" WHERE "&amp;Instruções!$D$21&amp;") B ",
"(SELECT "&amp;VLOOKUP(B232,Instruções!$F$13:$J$17,4,0)&amp;" as "&amp;VLOOKUP(B232,Instruções!$F$13:$J$17,4,0)&amp;"_"&amp;$G$2&amp;", "&amp;VLOOKUP(B232,Instruções!$F$13:$J$17,5,0)&amp;" as "&amp;VLOOKUP(B232,Instruções!$F$13:$J$17,5,0)&amp;"_"&amp;$G$2&amp;","&amp;E232&amp;" as "&amp;G232&amp;" FROM "&amp;D232&amp;" WHERE "&amp;Instruções!$D$21&amp;") B ")</f>
        <v xml:space="preserve">(SELECT instrmnt_id as instrmnt_id_, issr_nace_sctr as issr_nace_sctr_to_be FROM bu_loantape_work.lt002_instrument WHERE ref_date='2024-09-30' AND nome_perimetro='Individual Corporativo' AND segmento='ESTR' AND ambito='PM' AND entidade='00100' ) B </v>
      </c>
      <c r="J232" s="75" t="str">
        <f>+IF(VLOOKUP(B232,Instruções!$F$13:$J$17,5,0)="", "ON "&amp;VLOOKUP(B232,Instruções!$F$13:$J$17,4,0)&amp;"_"&amp;$F$7&amp;"="&amp;VLOOKUP(B232,Instruções!$F$13:$J$17,4,0)&amp;"_"&amp;$G$7&amp;" ", "ON "&amp;VLOOKUP(B232,Instruções!$F$13:$J$17,4,0)&amp;"_"&amp;$F$7&amp;"="&amp;VLOOKUP(B232,Instruções!$F$13:$J$17,4,0)&amp;"_"&amp;$G$7&amp;" AND "&amp;VLOOKUP(B232,Instruções!$F$13:$J$17,5,0)&amp;"_"&amp;$F$7&amp;"="&amp;VLOOKUP(B232,Instruções!$F$13:$J$17,5,0)&amp;"_"&amp;$G$7&amp;" ")</f>
        <v xml:space="preserve">ON instrmnt_id_as_is=instrmnt_id_to_be </v>
      </c>
      <c r="K232" s="75" t="str">
        <f t="shared" si="36"/>
        <v xml:space="preserve">WHERE coalesce(cast(issr_nace_sctr_as_is AS string),'')&lt;&gt;coalesce(cast(issr_nace_sctr_to_be AS string),'') </v>
      </c>
      <c r="L232" s="75" t="str">
        <f t="shared" si="37"/>
        <v xml:space="preserve">SELECT count(*) AS NUM_REG_DIF FROM (SELECT instrmnt_id as instrmnt_id_, issr_nace_sctr as issr_nace_sctr_as_is FROM cd_loan_tapes_bce.lt002_instrument WHERE ref_date='2024-09-30' AND nome_perimetro='Individual Corporativo' AND segmento='ESTR' AND ambito='PM' AND entidade='00100' ) A  Inner join (SELECT instrmnt_id as instrmnt_id_, issr_nace_sctr as issr_nace_sctr_to_be FROM bu_loantape_work.lt002_instrument WHERE ref_date='2024-09-30' AND nome_perimetro='Individual Corporativo' AND segmento='ESTR' AND ambito='PM' AND entidade='00100' ) B ON instrmnt_id_as_is=instrmnt_id_to_be WHERE coalesce(cast(issr_nace_sctr_as_is AS string),'')&lt;&gt;coalesce(cast(issr_nace_sctr_to_be AS string),'') </v>
      </c>
      <c r="M232" s="75" t="s">
        <v>55</v>
      </c>
      <c r="N232" s="75" t="str">
        <f>"SELECT 'Validação de campos' as tipologia_teste, '"&amp;VLOOKUP(B232,Instruções!$F$13:$J$17,3,0)&amp;"' AS TABELA, '"&amp;E232&amp;"' AS CAMPO, '"&amp;Instruções!$D$15&amp;"' as ref_date, coalesce(NUM_REG_DIF, 0) AS NUM_REG_DIF FROM ("&amp;L232&amp;") A "</f>
        <v xml:space="preserve">SELECT 'Validação de campos' as tipologia_teste, 'lt002_instrument' AS TABELA, 'issr_nace_sctr' AS CAMPO, '2024-09-30' as ref_date, coalesce(NUM_REG_DIF, 0) AS NUM_REG_DIF FROM (SELECT count(*) AS NUM_REG_DIF FROM (SELECT instrmnt_id as instrmnt_id_, issr_nace_sctr as issr_nace_sctr_as_is FROM cd_loan_tapes_bce.lt002_instrument WHERE ref_date='2024-09-30' AND nome_perimetro='Individual Corporativo' AND segmento='ESTR' AND ambito='PM' AND entidade='00100' ) A  Inner join (SELECT instrmnt_id as instrmnt_id_, issr_nace_sctr as issr_nace_sctr_to_be FROM bu_loantape_work.lt002_instrument WHERE ref_date='2024-09-30' AND nome_perimetro='Individual Corporativo' AND segmento='ESTR' AND ambito='PM' AND entidade='00100' ) B ON instrmnt_id_as_is=instrmnt_id_to_be WHERE coalesce(cast(issr_nace_sctr_as_is AS string),'')&lt;&gt;coalesce(cast(issr_nace_sctr_to_be AS string),'') ) A </v>
      </c>
      <c r="O232" s="76" t="str">
        <f t="shared" si="38"/>
        <v>SELECT 'Validação de campos' as tipologia_teste, 'lt002_instrument' AS TABELA, 'issr_nace_sctr' AS CAMPO, '2024-09-30' as ref_date, coalesce(NUM_REG_DIF, 0) AS NUM_REG_DIF FROM (SELECT count(*) AS NUM_REG_DIF FROM (SELECT instrmnt_id as instrmnt_id_, issr_nace_sctr as issr_nace_sctr_as_is FROM cd_loan_tapes_bce.lt002_instrument WHERE ref_date='2024-09-30' AND nome_perimetro='Individual Corporativo' AND segmento='ESTR' AND ambito='PM' AND entidade='00100' ) A  Inner join (SELECT instrmnt_id as instrmnt_id_, issr_nace_sctr as issr_nace_sctr_to_be FROM bu_loantape_work.lt002_instrument WHERE ref_date='2024-09-30' AND nome_perimetro='Individual Corporativo' AND segmento='ESTR' AND ambito='PM' AND entidade='00100' ) B ON instrmnt_id_as_is=instrmnt_id_to_be WHERE coalesce(cast(issr_nace_sctr_as_is AS string),'')&lt;&gt;coalesce(cast(issr_nace_sctr_to_be AS string),'') ) A Union all</v>
      </c>
      <c r="P232" s="75">
        <f t="shared" si="39"/>
        <v>20</v>
      </c>
    </row>
    <row r="233" spans="2:16" s="63" customFormat="1" ht="18" customHeight="1">
      <c r="B233" s="75" t="s">
        <v>26</v>
      </c>
      <c r="C233" s="75" t="str">
        <f>_xlfn.CONCAT(Instruções!$D$13,".",VLOOKUP(B233,Instruções!$F$12:$H$17,2,0))</f>
        <v>cd_loan_tapes_bce.lt002_instrument</v>
      </c>
      <c r="D233" s="75" t="str">
        <f>_xlfn.CONCAT(Instruções!$D$14,".",VLOOKUP(B233,Instruções!$F$12:$H$17,3,0))</f>
        <v>bu_loantape_work.lt002_instrument</v>
      </c>
      <c r="E233" s="75" t="s">
        <v>268</v>
      </c>
      <c r="F233" s="75" t="str">
        <f t="shared" si="34"/>
        <v>issr_rtng_as_is</v>
      </c>
      <c r="G233" s="75" t="str">
        <f t="shared" si="35"/>
        <v>issr_rtng_to_be</v>
      </c>
      <c r="H233" s="75" t="str">
        <f>IF(VLOOKUP(B233,Instruções!$F$13:$J$17,5,0)="",
"(SELECT "&amp;VLOOKUP(B233,Instruções!$F$13:$J$17,4,0)&amp;" as "&amp;VLOOKUP(B233,Instruções!$F$13:$J$17,4,0)&amp;"_"&amp;$F$2&amp;", "&amp;E233&amp;" as "&amp;F233&amp;" FROM "&amp;C233&amp;" WHERE "&amp;Instruções!$D$20&amp;") A ",
"(SELECT "&amp;VLOOKUP(B233,Instruções!$F$13:$J$17,4,0)&amp;" as "&amp;VLOOKUP(B233,Instruções!$F$13:$J$17,4,0)&amp;"_"&amp;$F$2&amp;", "&amp;VLOOKUP(B233,Instruções!$F$13:$J$17,5,0)&amp;" as "&amp;VLOOKUP(B233,Instruções!$F$13:$J$17,5,0)&amp;"_"&amp;$F$2&amp;","&amp;E233&amp;" as "&amp;F233&amp;" FROM "&amp;C233&amp;" WHERE "&amp;Instruções!$D$20&amp;") A ")</f>
        <v xml:space="preserve">(SELECT instrmnt_id as instrmnt_id_, issr_rtng as issr_rtng_as_is FROM cd_loan_tapes_bce.lt002_instrument WHERE ref_date='2024-09-30' AND nome_perimetro='Individual Corporativo' AND segmento='ESTR' AND ambito='PM' AND entidade='00100' ) A </v>
      </c>
      <c r="I233" s="75" t="str">
        <f>IF(VLOOKUP(B233,Instruções!$F$13:$J$17,5,0)="",
"(SELECT "&amp;VLOOKUP(B233,Instruções!$F$13:$J$17,4,0)&amp;" as "&amp;VLOOKUP(B233,Instruções!$F$13:$J$17,4,0)&amp;"_"&amp;$G$2&amp;", "&amp;E233&amp;" as "&amp;G233&amp;" FROM "&amp;D233&amp;" WHERE "&amp;Instruções!$D$21&amp;") B ",
"(SELECT "&amp;VLOOKUP(B233,Instruções!$F$13:$J$17,4,0)&amp;" as "&amp;VLOOKUP(B233,Instruções!$F$13:$J$17,4,0)&amp;"_"&amp;$G$2&amp;", "&amp;VLOOKUP(B233,Instruções!$F$13:$J$17,5,0)&amp;" as "&amp;VLOOKUP(B233,Instruções!$F$13:$J$17,5,0)&amp;"_"&amp;$G$2&amp;","&amp;E233&amp;" as "&amp;G233&amp;" FROM "&amp;D233&amp;" WHERE "&amp;Instruções!$D$21&amp;") B ")</f>
        <v xml:space="preserve">(SELECT instrmnt_id as instrmnt_id_, issr_rtng as issr_rtng_to_be FROM bu_loantape_work.lt002_instrument WHERE ref_date='2024-09-30' AND nome_perimetro='Individual Corporativo' AND segmento='ESTR' AND ambito='PM' AND entidade='00100' ) B </v>
      </c>
      <c r="J233" s="75" t="str">
        <f>+IF(VLOOKUP(B233,Instruções!$F$13:$J$17,5,0)="", "ON "&amp;VLOOKUP(B233,Instruções!$F$13:$J$17,4,0)&amp;"_"&amp;$F$7&amp;"="&amp;VLOOKUP(B233,Instruções!$F$13:$J$17,4,0)&amp;"_"&amp;$G$7&amp;" ", "ON "&amp;VLOOKUP(B233,Instruções!$F$13:$J$17,4,0)&amp;"_"&amp;$F$7&amp;"="&amp;VLOOKUP(B233,Instruções!$F$13:$J$17,4,0)&amp;"_"&amp;$G$7&amp;" AND "&amp;VLOOKUP(B233,Instruções!$F$13:$J$17,5,0)&amp;"_"&amp;$F$7&amp;"="&amp;VLOOKUP(B233,Instruções!$F$13:$J$17,5,0)&amp;"_"&amp;$G$7&amp;" ")</f>
        <v xml:space="preserve">ON instrmnt_id_as_is=instrmnt_id_to_be </v>
      </c>
      <c r="K233" s="75" t="str">
        <f t="shared" si="36"/>
        <v xml:space="preserve">WHERE coalesce(cast(issr_rtng_as_is AS string),'')&lt;&gt;coalesce(cast(issr_rtng_to_be AS string),'') </v>
      </c>
      <c r="L233" s="75" t="str">
        <f t="shared" si="37"/>
        <v xml:space="preserve">SELECT count(*) AS NUM_REG_DIF FROM (SELECT instrmnt_id as instrmnt_id_, issr_rtng as issr_rtng_as_is FROM cd_loan_tapes_bce.lt002_instrument WHERE ref_date='2024-09-30' AND nome_perimetro='Individual Corporativo' AND segmento='ESTR' AND ambito='PM' AND entidade='00100' ) A  Inner join (SELECT instrmnt_id as instrmnt_id_, issr_rtng as issr_rtng_to_be FROM bu_loantape_work.lt002_instrument WHERE ref_date='2024-09-30' AND nome_perimetro='Individual Corporativo' AND segmento='ESTR' AND ambito='PM' AND entidade='00100' ) B ON instrmnt_id_as_is=instrmnt_id_to_be WHERE coalesce(cast(issr_rtng_as_is AS string),'')&lt;&gt;coalesce(cast(issr_rtng_to_be AS string),'') </v>
      </c>
      <c r="M233" s="75" t="s">
        <v>55</v>
      </c>
      <c r="N233" s="75" t="str">
        <f>"SELECT 'Validação de campos' as tipologia_teste, '"&amp;VLOOKUP(B233,Instruções!$F$13:$J$17,3,0)&amp;"' AS TABELA, '"&amp;E233&amp;"' AS CAMPO, '"&amp;Instruções!$D$15&amp;"' as ref_date, coalesce(NUM_REG_DIF, 0) AS NUM_REG_DIF FROM ("&amp;L233&amp;") A "</f>
        <v xml:space="preserve">SELECT 'Validação de campos' as tipologia_teste, 'lt002_instrument' AS TABELA, 'issr_rtng' AS CAMPO, '2024-09-30' as ref_date, coalesce(NUM_REG_DIF, 0) AS NUM_REG_DIF FROM (SELECT count(*) AS NUM_REG_DIF FROM (SELECT instrmnt_id as instrmnt_id_, issr_rtng as issr_rtng_as_is FROM cd_loan_tapes_bce.lt002_instrument WHERE ref_date='2024-09-30' AND nome_perimetro='Individual Corporativo' AND segmento='ESTR' AND ambito='PM' AND entidade='00100' ) A  Inner join (SELECT instrmnt_id as instrmnt_id_, issr_rtng as issr_rtng_to_be FROM bu_loantape_work.lt002_instrument WHERE ref_date='2024-09-30' AND nome_perimetro='Individual Corporativo' AND segmento='ESTR' AND ambito='PM' AND entidade='00100' ) B ON instrmnt_id_as_is=instrmnt_id_to_be WHERE coalesce(cast(issr_rtng_as_is AS string),'')&lt;&gt;coalesce(cast(issr_rtng_to_be AS string),'') ) A </v>
      </c>
      <c r="O233" s="76" t="str">
        <f t="shared" si="38"/>
        <v>SELECT 'Validação de campos' as tipologia_teste, 'lt002_instrument' AS TABELA, 'issr_rtng' AS CAMPO, '2024-09-30' as ref_date, coalesce(NUM_REG_DIF, 0) AS NUM_REG_DIF FROM (SELECT count(*) AS NUM_REG_DIF FROM (SELECT instrmnt_id as instrmnt_id_, issr_rtng as issr_rtng_as_is FROM cd_loan_tapes_bce.lt002_instrument WHERE ref_date='2024-09-30' AND nome_perimetro='Individual Corporativo' AND segmento='ESTR' AND ambito='PM' AND entidade='00100' ) A  Inner join (SELECT instrmnt_id as instrmnt_id_, issr_rtng as issr_rtng_to_be FROM bu_loantape_work.lt002_instrument WHERE ref_date='2024-09-30' AND nome_perimetro='Individual Corporativo' AND segmento='ESTR' AND ambito='PM' AND entidade='00100' ) B ON instrmnt_id_as_is=instrmnt_id_to_be WHERE coalesce(cast(issr_rtng_as_is AS string),'')&lt;&gt;coalesce(cast(issr_rtng_to_be AS string),'') ) A Union all</v>
      </c>
      <c r="P233" s="75">
        <f t="shared" si="39"/>
        <v>21</v>
      </c>
    </row>
    <row r="234" spans="2:16" s="63" customFormat="1" ht="18" customHeight="1">
      <c r="B234" s="75" t="s">
        <v>26</v>
      </c>
      <c r="C234" s="75" t="str">
        <f>_xlfn.CONCAT(Instruções!$D$13,".",VLOOKUP(B234,Instruções!$F$12:$H$17,2,0))</f>
        <v>cd_loan_tapes_bce.lt002_instrument</v>
      </c>
      <c r="D234" s="75" t="str">
        <f>_xlfn.CONCAT(Instruções!$D$14,".",VLOOKUP(B234,Instruções!$F$12:$H$17,3,0))</f>
        <v>bu_loantape_work.lt002_instrument</v>
      </c>
      <c r="E234" s="75" t="s">
        <v>269</v>
      </c>
      <c r="F234" s="75" t="str">
        <f t="shared" si="34"/>
        <v>issr_rtng_src_as_is</v>
      </c>
      <c r="G234" s="75" t="str">
        <f t="shared" si="35"/>
        <v>issr_rtng_src_to_be</v>
      </c>
      <c r="H234" s="75" t="str">
        <f>IF(VLOOKUP(B234,Instruções!$F$13:$J$17,5,0)="",
"(SELECT "&amp;VLOOKUP(B234,Instruções!$F$13:$J$17,4,0)&amp;" as "&amp;VLOOKUP(B234,Instruções!$F$13:$J$17,4,0)&amp;"_"&amp;$F$2&amp;", "&amp;E234&amp;" as "&amp;F234&amp;" FROM "&amp;C234&amp;" WHERE "&amp;Instruções!$D$20&amp;") A ",
"(SELECT "&amp;VLOOKUP(B234,Instruções!$F$13:$J$17,4,0)&amp;" as "&amp;VLOOKUP(B234,Instruções!$F$13:$J$17,4,0)&amp;"_"&amp;$F$2&amp;", "&amp;VLOOKUP(B234,Instruções!$F$13:$J$17,5,0)&amp;" as "&amp;VLOOKUP(B234,Instruções!$F$13:$J$17,5,0)&amp;"_"&amp;$F$2&amp;","&amp;E234&amp;" as "&amp;F234&amp;" FROM "&amp;C234&amp;" WHERE "&amp;Instruções!$D$20&amp;") A ")</f>
        <v xml:space="preserve">(SELECT instrmnt_id as instrmnt_id_, issr_rtng_src as issr_rtng_src_as_is FROM cd_loan_tapes_bce.lt002_instrument WHERE ref_date='2024-09-30' AND nome_perimetro='Individual Corporativo' AND segmento='ESTR' AND ambito='PM' AND entidade='00100' ) A </v>
      </c>
      <c r="I234" s="75" t="str">
        <f>IF(VLOOKUP(B234,Instruções!$F$13:$J$17,5,0)="",
"(SELECT "&amp;VLOOKUP(B234,Instruções!$F$13:$J$17,4,0)&amp;" as "&amp;VLOOKUP(B234,Instruções!$F$13:$J$17,4,0)&amp;"_"&amp;$G$2&amp;", "&amp;E234&amp;" as "&amp;G234&amp;" FROM "&amp;D234&amp;" WHERE "&amp;Instruções!$D$21&amp;") B ",
"(SELECT "&amp;VLOOKUP(B234,Instruções!$F$13:$J$17,4,0)&amp;" as "&amp;VLOOKUP(B234,Instruções!$F$13:$J$17,4,0)&amp;"_"&amp;$G$2&amp;", "&amp;VLOOKUP(B234,Instruções!$F$13:$J$17,5,0)&amp;" as "&amp;VLOOKUP(B234,Instruções!$F$13:$J$17,5,0)&amp;"_"&amp;$G$2&amp;","&amp;E234&amp;" as "&amp;G234&amp;" FROM "&amp;D234&amp;" WHERE "&amp;Instruções!$D$21&amp;") B ")</f>
        <v xml:space="preserve">(SELECT instrmnt_id as instrmnt_id_, issr_rtng_src as issr_rtng_src_to_be FROM bu_loantape_work.lt002_instrument WHERE ref_date='2024-09-30' AND nome_perimetro='Individual Corporativo' AND segmento='ESTR' AND ambito='PM' AND entidade='00100' ) B </v>
      </c>
      <c r="J234" s="75" t="str">
        <f>+IF(VLOOKUP(B234,Instruções!$F$13:$J$17,5,0)="", "ON "&amp;VLOOKUP(B234,Instruções!$F$13:$J$17,4,0)&amp;"_"&amp;$F$7&amp;"="&amp;VLOOKUP(B234,Instruções!$F$13:$J$17,4,0)&amp;"_"&amp;$G$7&amp;" ", "ON "&amp;VLOOKUP(B234,Instruções!$F$13:$J$17,4,0)&amp;"_"&amp;$F$7&amp;"="&amp;VLOOKUP(B234,Instruções!$F$13:$J$17,4,0)&amp;"_"&amp;$G$7&amp;" AND "&amp;VLOOKUP(B234,Instruções!$F$13:$J$17,5,0)&amp;"_"&amp;$F$7&amp;"="&amp;VLOOKUP(B234,Instruções!$F$13:$J$17,5,0)&amp;"_"&amp;$G$7&amp;" ")</f>
        <v xml:space="preserve">ON instrmnt_id_as_is=instrmnt_id_to_be </v>
      </c>
      <c r="K234" s="75" t="str">
        <f t="shared" si="36"/>
        <v xml:space="preserve">WHERE coalesce(cast(issr_rtng_src_as_is AS string),'')&lt;&gt;coalesce(cast(issr_rtng_src_to_be AS string),'') </v>
      </c>
      <c r="L234" s="75" t="str">
        <f t="shared" si="37"/>
        <v xml:space="preserve">SELECT count(*) AS NUM_REG_DIF FROM (SELECT instrmnt_id as instrmnt_id_, issr_rtng_src as issr_rtng_src_as_is FROM cd_loan_tapes_bce.lt002_instrument WHERE ref_date='2024-09-30' AND nome_perimetro='Individual Corporativo' AND segmento='ESTR' AND ambito='PM' AND entidade='00100' ) A  Inner join (SELECT instrmnt_id as instrmnt_id_, issr_rtng_src as issr_rtng_src_to_be FROM bu_loantape_work.lt002_instrument WHERE ref_date='2024-09-30' AND nome_perimetro='Individual Corporativo' AND segmento='ESTR' AND ambito='PM' AND entidade='00100' ) B ON instrmnt_id_as_is=instrmnt_id_to_be WHERE coalesce(cast(issr_rtng_src_as_is AS string),'')&lt;&gt;coalesce(cast(issr_rtng_src_to_be AS string),'') </v>
      </c>
      <c r="M234" s="75" t="s">
        <v>55</v>
      </c>
      <c r="N234" s="75" t="str">
        <f>"SELECT 'Validação de campos' as tipologia_teste, '"&amp;VLOOKUP(B234,Instruções!$F$13:$J$17,3,0)&amp;"' AS TABELA, '"&amp;E234&amp;"' AS CAMPO, '"&amp;Instruções!$D$15&amp;"' as ref_date, coalesce(NUM_REG_DIF, 0) AS NUM_REG_DIF FROM ("&amp;L234&amp;") A "</f>
        <v xml:space="preserve">SELECT 'Validação de campos' as tipologia_teste, 'lt002_instrument' AS TABELA, 'issr_rtng_src' AS CAMPO, '2024-09-30' as ref_date, coalesce(NUM_REG_DIF, 0) AS NUM_REG_DIF FROM (SELECT count(*) AS NUM_REG_DIF FROM (SELECT instrmnt_id as instrmnt_id_, issr_rtng_src as issr_rtng_src_as_is FROM cd_loan_tapes_bce.lt002_instrument WHERE ref_date='2024-09-30' AND nome_perimetro='Individual Corporativo' AND segmento='ESTR' AND ambito='PM' AND entidade='00100' ) A  Inner join (SELECT instrmnt_id as instrmnt_id_, issr_rtng_src as issr_rtng_src_to_be FROM bu_loantape_work.lt002_instrument WHERE ref_date='2024-09-30' AND nome_perimetro='Individual Corporativo' AND segmento='ESTR' AND ambito='PM' AND entidade='00100' ) B ON instrmnt_id_as_is=instrmnt_id_to_be WHERE coalesce(cast(issr_rtng_src_as_is AS string),'')&lt;&gt;coalesce(cast(issr_rtng_src_to_be AS string),'') ) A </v>
      </c>
      <c r="O234" s="76" t="str">
        <f t="shared" si="38"/>
        <v>SELECT 'Validação de campos' as tipologia_teste, 'lt002_instrument' AS TABELA, 'issr_rtng_src' AS CAMPO, '2024-09-30' as ref_date, coalesce(NUM_REG_DIF, 0) AS NUM_REG_DIF FROM (SELECT count(*) AS NUM_REG_DIF FROM (SELECT instrmnt_id as instrmnt_id_, issr_rtng_src as issr_rtng_src_as_is FROM cd_loan_tapes_bce.lt002_instrument WHERE ref_date='2024-09-30' AND nome_perimetro='Individual Corporativo' AND segmento='ESTR' AND ambito='PM' AND entidade='00100' ) A  Inner join (SELECT instrmnt_id as instrmnt_id_, issr_rtng_src as issr_rtng_src_to_be FROM bu_loantape_work.lt002_instrument WHERE ref_date='2024-09-30' AND nome_perimetro='Individual Corporativo' AND segmento='ESTR' AND ambito='PM' AND entidade='00100' ) B ON instrmnt_id_as_is=instrmnt_id_to_be WHERE coalesce(cast(issr_rtng_src_as_is AS string),'')&lt;&gt;coalesce(cast(issr_rtng_src_to_be AS string),'') ) A Union all</v>
      </c>
      <c r="P234" s="75">
        <f t="shared" si="39"/>
        <v>22</v>
      </c>
    </row>
    <row r="235" spans="2:16" s="63" customFormat="1" ht="18" customHeight="1">
      <c r="B235" s="75" t="s">
        <v>26</v>
      </c>
      <c r="C235" s="75" t="str">
        <f>_xlfn.CONCAT(Instruções!$D$13,".",VLOOKUP(B235,Instruções!$F$12:$H$17,2,0))</f>
        <v>cd_loan_tapes_bce.lt002_instrument</v>
      </c>
      <c r="D235" s="75" t="str">
        <f>_xlfn.CONCAT(Instruções!$D$14,".",VLOOKUP(B235,Instruções!$F$12:$H$17,3,0))</f>
        <v>bu_loantape_work.lt002_instrument</v>
      </c>
      <c r="E235" s="75" t="s">
        <v>270</v>
      </c>
      <c r="F235" s="75" t="str">
        <f t="shared" si="34"/>
        <v>issr_typ_as_is</v>
      </c>
      <c r="G235" s="75" t="str">
        <f t="shared" si="35"/>
        <v>issr_typ_to_be</v>
      </c>
      <c r="H235" s="75" t="str">
        <f>IF(VLOOKUP(B235,Instruções!$F$13:$J$17,5,0)="",
"(SELECT "&amp;VLOOKUP(B235,Instruções!$F$13:$J$17,4,0)&amp;" as "&amp;VLOOKUP(B235,Instruções!$F$13:$J$17,4,0)&amp;"_"&amp;$F$2&amp;", "&amp;E235&amp;" as "&amp;F235&amp;" FROM "&amp;C235&amp;" WHERE "&amp;Instruções!$D$20&amp;") A ",
"(SELECT "&amp;VLOOKUP(B235,Instruções!$F$13:$J$17,4,0)&amp;" as "&amp;VLOOKUP(B235,Instruções!$F$13:$J$17,4,0)&amp;"_"&amp;$F$2&amp;", "&amp;VLOOKUP(B235,Instruções!$F$13:$J$17,5,0)&amp;" as "&amp;VLOOKUP(B235,Instruções!$F$13:$J$17,5,0)&amp;"_"&amp;$F$2&amp;","&amp;E235&amp;" as "&amp;F235&amp;" FROM "&amp;C235&amp;" WHERE "&amp;Instruções!$D$20&amp;") A ")</f>
        <v xml:space="preserve">(SELECT instrmnt_id as instrmnt_id_, issr_typ as issr_typ_as_is FROM cd_loan_tapes_bce.lt002_instrument WHERE ref_date='2024-09-30' AND nome_perimetro='Individual Corporativo' AND segmento='ESTR' AND ambito='PM' AND entidade='00100' ) A </v>
      </c>
      <c r="I235" s="75" t="str">
        <f>IF(VLOOKUP(B235,Instruções!$F$13:$J$17,5,0)="",
"(SELECT "&amp;VLOOKUP(B235,Instruções!$F$13:$J$17,4,0)&amp;" as "&amp;VLOOKUP(B235,Instruções!$F$13:$J$17,4,0)&amp;"_"&amp;$G$2&amp;", "&amp;E235&amp;" as "&amp;G235&amp;" FROM "&amp;D235&amp;" WHERE "&amp;Instruções!$D$21&amp;") B ",
"(SELECT "&amp;VLOOKUP(B235,Instruções!$F$13:$J$17,4,0)&amp;" as "&amp;VLOOKUP(B235,Instruções!$F$13:$J$17,4,0)&amp;"_"&amp;$G$2&amp;", "&amp;VLOOKUP(B235,Instruções!$F$13:$J$17,5,0)&amp;" as "&amp;VLOOKUP(B235,Instruções!$F$13:$J$17,5,0)&amp;"_"&amp;$G$2&amp;","&amp;E235&amp;" as "&amp;G235&amp;" FROM "&amp;D235&amp;" WHERE "&amp;Instruções!$D$21&amp;") B ")</f>
        <v xml:space="preserve">(SELECT instrmnt_id as instrmnt_id_, issr_typ as issr_typ_to_be FROM bu_loantape_work.lt002_instrument WHERE ref_date='2024-09-30' AND nome_perimetro='Individual Corporativo' AND segmento='ESTR' AND ambito='PM' AND entidade='00100' ) B </v>
      </c>
      <c r="J235" s="75" t="str">
        <f>+IF(VLOOKUP(B235,Instruções!$F$13:$J$17,5,0)="", "ON "&amp;VLOOKUP(B235,Instruções!$F$13:$J$17,4,0)&amp;"_"&amp;$F$7&amp;"="&amp;VLOOKUP(B235,Instruções!$F$13:$J$17,4,0)&amp;"_"&amp;$G$7&amp;" ", "ON "&amp;VLOOKUP(B235,Instruções!$F$13:$J$17,4,0)&amp;"_"&amp;$F$7&amp;"="&amp;VLOOKUP(B235,Instruções!$F$13:$J$17,4,0)&amp;"_"&amp;$G$7&amp;" AND "&amp;VLOOKUP(B235,Instruções!$F$13:$J$17,5,0)&amp;"_"&amp;$F$7&amp;"="&amp;VLOOKUP(B235,Instruções!$F$13:$J$17,5,0)&amp;"_"&amp;$G$7&amp;" ")</f>
        <v xml:space="preserve">ON instrmnt_id_as_is=instrmnt_id_to_be </v>
      </c>
      <c r="K235" s="75" t="str">
        <f t="shared" si="36"/>
        <v xml:space="preserve">WHERE coalesce(cast(issr_typ_as_is AS string),'')&lt;&gt;coalesce(cast(issr_typ_to_be AS string),'') </v>
      </c>
      <c r="L235" s="75" t="str">
        <f t="shared" si="37"/>
        <v xml:space="preserve">SELECT count(*) AS NUM_REG_DIF FROM (SELECT instrmnt_id as instrmnt_id_, issr_typ as issr_typ_as_is FROM cd_loan_tapes_bce.lt002_instrument WHERE ref_date='2024-09-30' AND nome_perimetro='Individual Corporativo' AND segmento='ESTR' AND ambito='PM' AND entidade='00100' ) A  Inner join (SELECT instrmnt_id as instrmnt_id_, issr_typ as issr_typ_to_be FROM bu_loantape_work.lt002_instrument WHERE ref_date='2024-09-30' AND nome_perimetro='Individual Corporativo' AND segmento='ESTR' AND ambito='PM' AND entidade='00100' ) B ON instrmnt_id_as_is=instrmnt_id_to_be WHERE coalesce(cast(issr_typ_as_is AS string),'')&lt;&gt;coalesce(cast(issr_typ_to_be AS string),'') </v>
      </c>
      <c r="M235" s="75" t="s">
        <v>55</v>
      </c>
      <c r="N235" s="75" t="str">
        <f>"SELECT 'Validação de campos' as tipologia_teste, '"&amp;VLOOKUP(B235,Instruções!$F$13:$J$17,3,0)&amp;"' AS TABELA, '"&amp;E235&amp;"' AS CAMPO, '"&amp;Instruções!$D$15&amp;"' as ref_date, coalesce(NUM_REG_DIF, 0) AS NUM_REG_DIF FROM ("&amp;L235&amp;") A "</f>
        <v xml:space="preserve">SELECT 'Validação de campos' as tipologia_teste, 'lt002_instrument' AS TABELA, 'issr_typ' AS CAMPO, '2024-09-30' as ref_date, coalesce(NUM_REG_DIF, 0) AS NUM_REG_DIF FROM (SELECT count(*) AS NUM_REG_DIF FROM (SELECT instrmnt_id as instrmnt_id_, issr_typ as issr_typ_as_is FROM cd_loan_tapes_bce.lt002_instrument WHERE ref_date='2024-09-30' AND nome_perimetro='Individual Corporativo' AND segmento='ESTR' AND ambito='PM' AND entidade='00100' ) A  Inner join (SELECT instrmnt_id as instrmnt_id_, issr_typ as issr_typ_to_be FROM bu_loantape_work.lt002_instrument WHERE ref_date='2024-09-30' AND nome_perimetro='Individual Corporativo' AND segmento='ESTR' AND ambito='PM' AND entidade='00100' ) B ON instrmnt_id_as_is=instrmnt_id_to_be WHERE coalesce(cast(issr_typ_as_is AS string),'')&lt;&gt;coalesce(cast(issr_typ_to_be AS string),'') ) A </v>
      </c>
      <c r="O235" s="76" t="str">
        <f t="shared" si="38"/>
        <v>SELECT 'Validação de campos' as tipologia_teste, 'lt002_instrument' AS TABELA, 'issr_typ' AS CAMPO, '2024-09-30' as ref_date, coalesce(NUM_REG_DIF, 0) AS NUM_REG_DIF FROM (SELECT count(*) AS NUM_REG_DIF FROM (SELECT instrmnt_id as instrmnt_id_, issr_typ as issr_typ_as_is FROM cd_loan_tapes_bce.lt002_instrument WHERE ref_date='2024-09-30' AND nome_perimetro='Individual Corporativo' AND segmento='ESTR' AND ambito='PM' AND entidade='00100' ) A  Inner join (SELECT instrmnt_id as instrmnt_id_, issr_typ as issr_typ_to_be FROM bu_loantape_work.lt002_instrument WHERE ref_date='2024-09-30' AND nome_perimetro='Individual Corporativo' AND segmento='ESTR' AND ambito='PM' AND entidade='00100' ) B ON instrmnt_id_as_is=instrmnt_id_to_be WHERE coalesce(cast(issr_typ_as_is AS string),'')&lt;&gt;coalesce(cast(issr_typ_to_be AS string),'') ) A Union all</v>
      </c>
      <c r="P235" s="75">
        <f t="shared" si="39"/>
        <v>23</v>
      </c>
    </row>
    <row r="236" spans="2:16" s="63" customFormat="1" ht="18" customHeight="1">
      <c r="B236" s="75" t="s">
        <v>26</v>
      </c>
      <c r="C236" s="75" t="str">
        <f>_xlfn.CONCAT(Instruções!$D$13,".",VLOOKUP(B236,Instruções!$F$12:$H$17,2,0))</f>
        <v>cd_loan_tapes_bce.lt002_instrument</v>
      </c>
      <c r="D236" s="75" t="str">
        <f>_xlfn.CONCAT(Instruções!$D$14,".",VLOOKUP(B236,Instruções!$F$12:$H$17,3,0))</f>
        <v>bu_loantape_work.lt002_instrument</v>
      </c>
      <c r="E236" s="75" t="s">
        <v>271</v>
      </c>
      <c r="F236" s="75" t="str">
        <f t="shared" si="34"/>
        <v>lcl_instmrnt_id_as_is</v>
      </c>
      <c r="G236" s="75" t="str">
        <f t="shared" si="35"/>
        <v>lcl_instmrnt_id_to_be</v>
      </c>
      <c r="H236" s="75" t="str">
        <f>IF(VLOOKUP(B236,Instruções!$F$13:$J$17,5,0)="",
"(SELECT "&amp;VLOOKUP(B236,Instruções!$F$13:$J$17,4,0)&amp;" as "&amp;VLOOKUP(B236,Instruções!$F$13:$J$17,4,0)&amp;"_"&amp;$F$2&amp;", "&amp;E236&amp;" as "&amp;F236&amp;" FROM "&amp;C236&amp;" WHERE "&amp;Instruções!$D$20&amp;") A ",
"(SELECT "&amp;VLOOKUP(B236,Instruções!$F$13:$J$17,4,0)&amp;" as "&amp;VLOOKUP(B236,Instruções!$F$13:$J$17,4,0)&amp;"_"&amp;$F$2&amp;", "&amp;VLOOKUP(B236,Instruções!$F$13:$J$17,5,0)&amp;" as "&amp;VLOOKUP(B236,Instruções!$F$13:$J$17,5,0)&amp;"_"&amp;$F$2&amp;","&amp;E236&amp;" as "&amp;F236&amp;" FROM "&amp;C236&amp;" WHERE "&amp;Instruções!$D$20&amp;") A ")</f>
        <v xml:space="preserve">(SELECT instrmnt_id as instrmnt_id_, lcl_instmrnt_id as lcl_instmrnt_id_as_is FROM cd_loan_tapes_bce.lt002_instrument WHERE ref_date='2024-09-30' AND nome_perimetro='Individual Corporativo' AND segmento='ESTR' AND ambito='PM' AND entidade='00100' ) A </v>
      </c>
      <c r="I236" s="75" t="str">
        <f>IF(VLOOKUP(B236,Instruções!$F$13:$J$17,5,0)="",
"(SELECT "&amp;VLOOKUP(B236,Instruções!$F$13:$J$17,4,0)&amp;" as "&amp;VLOOKUP(B236,Instruções!$F$13:$J$17,4,0)&amp;"_"&amp;$G$2&amp;", "&amp;E236&amp;" as "&amp;G236&amp;" FROM "&amp;D236&amp;" WHERE "&amp;Instruções!$D$21&amp;") B ",
"(SELECT "&amp;VLOOKUP(B236,Instruções!$F$13:$J$17,4,0)&amp;" as "&amp;VLOOKUP(B236,Instruções!$F$13:$J$17,4,0)&amp;"_"&amp;$G$2&amp;", "&amp;VLOOKUP(B236,Instruções!$F$13:$J$17,5,0)&amp;" as "&amp;VLOOKUP(B236,Instruções!$F$13:$J$17,5,0)&amp;"_"&amp;$G$2&amp;","&amp;E236&amp;" as "&amp;G236&amp;" FROM "&amp;D236&amp;" WHERE "&amp;Instruções!$D$21&amp;") B ")</f>
        <v xml:space="preserve">(SELECT instrmnt_id as instrmnt_id_, lcl_instmrnt_id as lcl_instmrnt_id_to_be FROM bu_loantape_work.lt002_instrument WHERE ref_date='2024-09-30' AND nome_perimetro='Individual Corporativo' AND segmento='ESTR' AND ambito='PM' AND entidade='00100' ) B </v>
      </c>
      <c r="J236" s="75" t="str">
        <f>+IF(VLOOKUP(B236,Instruções!$F$13:$J$17,5,0)="", "ON "&amp;VLOOKUP(B236,Instruções!$F$13:$J$17,4,0)&amp;"_"&amp;$F$7&amp;"="&amp;VLOOKUP(B236,Instruções!$F$13:$J$17,4,0)&amp;"_"&amp;$G$7&amp;" ", "ON "&amp;VLOOKUP(B236,Instruções!$F$13:$J$17,4,0)&amp;"_"&amp;$F$7&amp;"="&amp;VLOOKUP(B236,Instruções!$F$13:$J$17,4,0)&amp;"_"&amp;$G$7&amp;" AND "&amp;VLOOKUP(B236,Instruções!$F$13:$J$17,5,0)&amp;"_"&amp;$F$7&amp;"="&amp;VLOOKUP(B236,Instruções!$F$13:$J$17,5,0)&amp;"_"&amp;$G$7&amp;" ")</f>
        <v xml:space="preserve">ON instrmnt_id_as_is=instrmnt_id_to_be </v>
      </c>
      <c r="K236" s="75" t="str">
        <f t="shared" si="36"/>
        <v xml:space="preserve">WHERE coalesce(cast(lcl_instmrnt_id_as_is AS string),'')&lt;&gt;coalesce(cast(lcl_instmrnt_id_to_be AS string),'') </v>
      </c>
      <c r="L236" s="75" t="str">
        <f t="shared" si="37"/>
        <v xml:space="preserve">SELECT count(*) AS NUM_REG_DIF FROM (SELECT instrmnt_id as instrmnt_id_, lcl_instmrnt_id as lcl_instmrnt_id_as_is FROM cd_loan_tapes_bce.lt002_instrument WHERE ref_date='2024-09-30' AND nome_perimetro='Individual Corporativo' AND segmento='ESTR' AND ambito='PM' AND entidade='00100' ) A  Inner join (SELECT instrmnt_id as instrmnt_id_, lcl_instmrnt_id as lcl_instmrnt_id_to_be FROM bu_loantape_work.lt002_instrument WHERE ref_date='2024-09-30' AND nome_perimetro='Individual Corporativo' AND segmento='ESTR' AND ambito='PM' AND entidade='00100' ) B ON instrmnt_id_as_is=instrmnt_id_to_be WHERE coalesce(cast(lcl_instmrnt_id_as_is AS string),'')&lt;&gt;coalesce(cast(lcl_instmrnt_id_to_be AS string),'') </v>
      </c>
      <c r="M236" s="75" t="s">
        <v>55</v>
      </c>
      <c r="N236" s="75" t="str">
        <f>"SELECT 'Validação de campos' as tipologia_teste, '"&amp;VLOOKUP(B236,Instruções!$F$13:$J$17,3,0)&amp;"' AS TABELA, '"&amp;E236&amp;"' AS CAMPO, '"&amp;Instruções!$D$15&amp;"' as ref_date, coalesce(NUM_REG_DIF, 0) AS NUM_REG_DIF FROM ("&amp;L236&amp;") A "</f>
        <v xml:space="preserve">SELECT 'Validação de campos' as tipologia_teste, 'lt002_instrument' AS TABELA, 'lcl_instmrnt_id' AS CAMPO, '2024-09-30' as ref_date, coalesce(NUM_REG_DIF, 0) AS NUM_REG_DIF FROM (SELECT count(*) AS NUM_REG_DIF FROM (SELECT instrmnt_id as instrmnt_id_, lcl_instmrnt_id as lcl_instmrnt_id_as_is FROM cd_loan_tapes_bce.lt002_instrument WHERE ref_date='2024-09-30' AND nome_perimetro='Individual Corporativo' AND segmento='ESTR' AND ambito='PM' AND entidade='00100' ) A  Inner join (SELECT instrmnt_id as instrmnt_id_, lcl_instmrnt_id as lcl_instmrnt_id_to_be FROM bu_loantape_work.lt002_instrument WHERE ref_date='2024-09-30' AND nome_perimetro='Individual Corporativo' AND segmento='ESTR' AND ambito='PM' AND entidade='00100' ) B ON instrmnt_id_as_is=instrmnt_id_to_be WHERE coalesce(cast(lcl_instmrnt_id_as_is AS string),'')&lt;&gt;coalesce(cast(lcl_instmrnt_id_to_be AS string),'') ) A </v>
      </c>
      <c r="O236" s="76" t="str">
        <f t="shared" si="38"/>
        <v>SELECT 'Validação de campos' as tipologia_teste, 'lt002_instrument' AS TABELA, 'lcl_instmrnt_id' AS CAMPO, '2024-09-30' as ref_date, coalesce(NUM_REG_DIF, 0) AS NUM_REG_DIF FROM (SELECT count(*) AS NUM_REG_DIF FROM (SELECT instrmnt_id as instrmnt_id_, lcl_instmrnt_id as lcl_instmrnt_id_as_is FROM cd_loan_tapes_bce.lt002_instrument WHERE ref_date='2024-09-30' AND nome_perimetro='Individual Corporativo' AND segmento='ESTR' AND ambito='PM' AND entidade='00100' ) A  Inner join (SELECT instrmnt_id as instrmnt_id_, lcl_instmrnt_id as lcl_instmrnt_id_to_be FROM bu_loantape_work.lt002_instrument WHERE ref_date='2024-09-30' AND nome_perimetro='Individual Corporativo' AND segmento='ESTR' AND ambito='PM' AND entidade='00100' ) B ON instrmnt_id_as_is=instrmnt_id_to_be WHERE coalesce(cast(lcl_instmrnt_id_as_is AS string),'')&lt;&gt;coalesce(cast(lcl_instmrnt_id_to_be AS string),'') ) A Union all</v>
      </c>
      <c r="P236" s="75">
        <f t="shared" si="39"/>
        <v>24</v>
      </c>
    </row>
    <row r="237" spans="2:16" s="63" customFormat="1" ht="18" customHeight="1">
      <c r="B237" s="75" t="s">
        <v>26</v>
      </c>
      <c r="C237" s="75" t="str">
        <f>_xlfn.CONCAT(Instruções!$D$13,".",VLOOKUP(B237,Instruções!$F$12:$H$17,2,0))</f>
        <v>cd_loan_tapes_bce.lt002_instrument</v>
      </c>
      <c r="D237" s="75" t="str">
        <f>_xlfn.CONCAT(Instruções!$D$14,".",VLOOKUP(B237,Instruções!$F$12:$H$17,3,0))</f>
        <v>bu_loantape_work.lt002_instrument</v>
      </c>
      <c r="E237" s="75" t="s">
        <v>272</v>
      </c>
      <c r="F237" s="75" t="str">
        <f t="shared" si="34"/>
        <v>lcr_bffr_ctgry_as_is</v>
      </c>
      <c r="G237" s="75" t="str">
        <f t="shared" si="35"/>
        <v>lcr_bffr_ctgry_to_be</v>
      </c>
      <c r="H237" s="75" t="str">
        <f>IF(VLOOKUP(B237,Instruções!$F$13:$J$17,5,0)="",
"(SELECT "&amp;VLOOKUP(B237,Instruções!$F$13:$J$17,4,0)&amp;" as "&amp;VLOOKUP(B237,Instruções!$F$13:$J$17,4,0)&amp;"_"&amp;$F$2&amp;", "&amp;E237&amp;" as "&amp;F237&amp;" FROM "&amp;C237&amp;" WHERE "&amp;Instruções!$D$20&amp;") A ",
"(SELECT "&amp;VLOOKUP(B237,Instruções!$F$13:$J$17,4,0)&amp;" as "&amp;VLOOKUP(B237,Instruções!$F$13:$J$17,4,0)&amp;"_"&amp;$F$2&amp;", "&amp;VLOOKUP(B237,Instruções!$F$13:$J$17,5,0)&amp;" as "&amp;VLOOKUP(B237,Instruções!$F$13:$J$17,5,0)&amp;"_"&amp;$F$2&amp;","&amp;E237&amp;" as "&amp;F237&amp;" FROM "&amp;C237&amp;" WHERE "&amp;Instruções!$D$20&amp;") A ")</f>
        <v xml:space="preserve">(SELECT instrmnt_id as instrmnt_id_, lcr_bffr_ctgry as lcr_bffr_ctgry_as_is FROM cd_loan_tapes_bce.lt002_instrument WHERE ref_date='2024-09-30' AND nome_perimetro='Individual Corporativo' AND segmento='ESTR' AND ambito='PM' AND entidade='00100' ) A </v>
      </c>
      <c r="I237" s="75" t="str">
        <f>IF(VLOOKUP(B237,Instruções!$F$13:$J$17,5,0)="",
"(SELECT "&amp;VLOOKUP(B237,Instruções!$F$13:$J$17,4,0)&amp;" as "&amp;VLOOKUP(B237,Instruções!$F$13:$J$17,4,0)&amp;"_"&amp;$G$2&amp;", "&amp;E237&amp;" as "&amp;G237&amp;" FROM "&amp;D237&amp;" WHERE "&amp;Instruções!$D$21&amp;") B ",
"(SELECT "&amp;VLOOKUP(B237,Instruções!$F$13:$J$17,4,0)&amp;" as "&amp;VLOOKUP(B237,Instruções!$F$13:$J$17,4,0)&amp;"_"&amp;$G$2&amp;", "&amp;VLOOKUP(B237,Instruções!$F$13:$J$17,5,0)&amp;" as "&amp;VLOOKUP(B237,Instruções!$F$13:$J$17,5,0)&amp;"_"&amp;$G$2&amp;","&amp;E237&amp;" as "&amp;G237&amp;" FROM "&amp;D237&amp;" WHERE "&amp;Instruções!$D$21&amp;") B ")</f>
        <v xml:space="preserve">(SELECT instrmnt_id as instrmnt_id_, lcr_bffr_ctgry as lcr_bffr_ctgry_to_be FROM bu_loantape_work.lt002_instrument WHERE ref_date='2024-09-30' AND nome_perimetro='Individual Corporativo' AND segmento='ESTR' AND ambito='PM' AND entidade='00100' ) B </v>
      </c>
      <c r="J237" s="75" t="str">
        <f>+IF(VLOOKUP(B237,Instruções!$F$13:$J$17,5,0)="", "ON "&amp;VLOOKUP(B237,Instruções!$F$13:$J$17,4,0)&amp;"_"&amp;$F$7&amp;"="&amp;VLOOKUP(B237,Instruções!$F$13:$J$17,4,0)&amp;"_"&amp;$G$7&amp;" ", "ON "&amp;VLOOKUP(B237,Instruções!$F$13:$J$17,4,0)&amp;"_"&amp;$F$7&amp;"="&amp;VLOOKUP(B237,Instruções!$F$13:$J$17,4,0)&amp;"_"&amp;$G$7&amp;" AND "&amp;VLOOKUP(B237,Instruções!$F$13:$J$17,5,0)&amp;"_"&amp;$F$7&amp;"="&amp;VLOOKUP(B237,Instruções!$F$13:$J$17,5,0)&amp;"_"&amp;$G$7&amp;" ")</f>
        <v xml:space="preserve">ON instrmnt_id_as_is=instrmnt_id_to_be </v>
      </c>
      <c r="K237" s="75" t="str">
        <f t="shared" si="36"/>
        <v xml:space="preserve">WHERE coalesce(cast(lcr_bffr_ctgry_as_is AS string),'')&lt;&gt;coalesce(cast(lcr_bffr_ctgry_to_be AS string),'') </v>
      </c>
      <c r="L237" s="75" t="str">
        <f t="shared" si="37"/>
        <v xml:space="preserve">SELECT count(*) AS NUM_REG_DIF FROM (SELECT instrmnt_id as instrmnt_id_, lcr_bffr_ctgry as lcr_bffr_ctgry_as_is FROM cd_loan_tapes_bce.lt002_instrument WHERE ref_date='2024-09-30' AND nome_perimetro='Individual Corporativo' AND segmento='ESTR' AND ambito='PM' AND entidade='00100' ) A  Inner join (SELECT instrmnt_id as instrmnt_id_, lcr_bffr_ctgry as lcr_bffr_ctgry_to_be FROM bu_loantape_work.lt002_instrument WHERE ref_date='2024-09-30' AND nome_perimetro='Individual Corporativo' AND segmento='ESTR' AND ambito='PM' AND entidade='00100' ) B ON instrmnt_id_as_is=instrmnt_id_to_be WHERE coalesce(cast(lcr_bffr_ctgry_as_is AS string),'')&lt;&gt;coalesce(cast(lcr_bffr_ctgry_to_be AS string),'') </v>
      </c>
      <c r="M237" s="75" t="s">
        <v>55</v>
      </c>
      <c r="N237" s="75" t="str">
        <f>"SELECT 'Validação de campos' as tipologia_teste, '"&amp;VLOOKUP(B237,Instruções!$F$13:$J$17,3,0)&amp;"' AS TABELA, '"&amp;E237&amp;"' AS CAMPO, '"&amp;Instruções!$D$15&amp;"' as ref_date, coalesce(NUM_REG_DIF, 0) AS NUM_REG_DIF FROM ("&amp;L237&amp;") A "</f>
        <v xml:space="preserve">SELECT 'Validação de campos' as tipologia_teste, 'lt002_instrument' AS TABELA, 'lcr_bffr_ctgry' AS CAMPO, '2024-09-30' as ref_date, coalesce(NUM_REG_DIF, 0) AS NUM_REG_DIF FROM (SELECT count(*) AS NUM_REG_DIF FROM (SELECT instrmnt_id as instrmnt_id_, lcr_bffr_ctgry as lcr_bffr_ctgry_as_is FROM cd_loan_tapes_bce.lt002_instrument WHERE ref_date='2024-09-30' AND nome_perimetro='Individual Corporativo' AND segmento='ESTR' AND ambito='PM' AND entidade='00100' ) A  Inner join (SELECT instrmnt_id as instrmnt_id_, lcr_bffr_ctgry as lcr_bffr_ctgry_to_be FROM bu_loantape_work.lt002_instrument WHERE ref_date='2024-09-30' AND nome_perimetro='Individual Corporativo' AND segmento='ESTR' AND ambito='PM' AND entidade='00100' ) B ON instrmnt_id_as_is=instrmnt_id_to_be WHERE coalesce(cast(lcr_bffr_ctgry_as_is AS string),'')&lt;&gt;coalesce(cast(lcr_bffr_ctgry_to_be AS string),'') ) A </v>
      </c>
      <c r="O237" s="76" t="str">
        <f t="shared" si="38"/>
        <v>SELECT 'Validação de campos' as tipologia_teste, 'lt002_instrument' AS TABELA, 'lcr_bffr_ctgry' AS CAMPO, '2024-09-30' as ref_date, coalesce(NUM_REG_DIF, 0) AS NUM_REG_DIF FROM (SELECT count(*) AS NUM_REG_DIF FROM (SELECT instrmnt_id as instrmnt_id_, lcr_bffr_ctgry as lcr_bffr_ctgry_as_is FROM cd_loan_tapes_bce.lt002_instrument WHERE ref_date='2024-09-30' AND nome_perimetro='Individual Corporativo' AND segmento='ESTR' AND ambito='PM' AND entidade='00100' ) A  Inner join (SELECT instrmnt_id as instrmnt_id_, lcr_bffr_ctgry as lcr_bffr_ctgry_to_be FROM bu_loantape_work.lt002_instrument WHERE ref_date='2024-09-30' AND nome_perimetro='Individual Corporativo' AND segmento='ESTR' AND ambito='PM' AND entidade='00100' ) B ON instrmnt_id_as_is=instrmnt_id_to_be WHERE coalesce(cast(lcr_bffr_ctgry_as_is AS string),'')&lt;&gt;coalesce(cast(lcr_bffr_ctgry_to_be AS string),'') ) A Union all</v>
      </c>
      <c r="P237" s="75">
        <f t="shared" si="39"/>
        <v>25</v>
      </c>
    </row>
    <row r="238" spans="2:16" s="63" customFormat="1" ht="18" customHeight="1">
      <c r="B238" s="75" t="s">
        <v>26</v>
      </c>
      <c r="C238" s="75" t="str">
        <f>_xlfn.CONCAT(Instruções!$D$13,".",VLOOKUP(B238,Instruções!$F$12:$H$17,2,0))</f>
        <v>cd_loan_tapes_bce.lt002_instrument</v>
      </c>
      <c r="D238" s="75" t="str">
        <f>_xlfn.CONCAT(Instruções!$D$14,".",VLOOKUP(B238,Instruções!$F$12:$H$17,3,0))</f>
        <v>bu_loantape_work.lt002_instrument</v>
      </c>
      <c r="E238" s="75" t="s">
        <v>273</v>
      </c>
      <c r="F238" s="75" t="str">
        <f t="shared" si="34"/>
        <v>lcre_as_is</v>
      </c>
      <c r="G238" s="75" t="str">
        <f t="shared" si="35"/>
        <v>lcre_to_be</v>
      </c>
      <c r="H238" s="75" t="str">
        <f>IF(VLOOKUP(B238,Instruções!$F$13:$J$17,5,0)="",
"(SELECT "&amp;VLOOKUP(B238,Instruções!$F$13:$J$17,4,0)&amp;" as "&amp;VLOOKUP(B238,Instruções!$F$13:$J$17,4,0)&amp;"_"&amp;$F$2&amp;", "&amp;E238&amp;" as "&amp;F238&amp;" FROM "&amp;C238&amp;" WHERE "&amp;Instruções!$D$20&amp;") A ",
"(SELECT "&amp;VLOOKUP(B238,Instruções!$F$13:$J$17,4,0)&amp;" as "&amp;VLOOKUP(B238,Instruções!$F$13:$J$17,4,0)&amp;"_"&amp;$F$2&amp;", "&amp;VLOOKUP(B238,Instruções!$F$13:$J$17,5,0)&amp;" as "&amp;VLOOKUP(B238,Instruções!$F$13:$J$17,5,0)&amp;"_"&amp;$F$2&amp;","&amp;E238&amp;" as "&amp;F238&amp;" FROM "&amp;C238&amp;" WHERE "&amp;Instruções!$D$20&amp;") A ")</f>
        <v xml:space="preserve">(SELECT instrmnt_id as instrmnt_id_, lcre as lcre_as_is FROM cd_loan_tapes_bce.lt002_instrument WHERE ref_date='2024-09-30' AND nome_perimetro='Individual Corporativo' AND segmento='ESTR' AND ambito='PM' AND entidade='00100' ) A </v>
      </c>
      <c r="I238" s="75" t="str">
        <f>IF(VLOOKUP(B238,Instruções!$F$13:$J$17,5,0)="",
"(SELECT "&amp;VLOOKUP(B238,Instruções!$F$13:$J$17,4,0)&amp;" as "&amp;VLOOKUP(B238,Instruções!$F$13:$J$17,4,0)&amp;"_"&amp;$G$2&amp;", "&amp;E238&amp;" as "&amp;G238&amp;" FROM "&amp;D238&amp;" WHERE "&amp;Instruções!$D$21&amp;") B ",
"(SELECT "&amp;VLOOKUP(B238,Instruções!$F$13:$J$17,4,0)&amp;" as "&amp;VLOOKUP(B238,Instruções!$F$13:$J$17,4,0)&amp;"_"&amp;$G$2&amp;", "&amp;VLOOKUP(B238,Instruções!$F$13:$J$17,5,0)&amp;" as "&amp;VLOOKUP(B238,Instruções!$F$13:$J$17,5,0)&amp;"_"&amp;$G$2&amp;","&amp;E238&amp;" as "&amp;G238&amp;" FROM "&amp;D238&amp;" WHERE "&amp;Instruções!$D$21&amp;") B ")</f>
        <v xml:space="preserve">(SELECT instrmnt_id as instrmnt_id_, lcre as lcre_to_be FROM bu_loantape_work.lt002_instrument WHERE ref_date='2024-09-30' AND nome_perimetro='Individual Corporativo' AND segmento='ESTR' AND ambito='PM' AND entidade='00100' ) B </v>
      </c>
      <c r="J238" s="75" t="str">
        <f>+IF(VLOOKUP(B238,Instruções!$F$13:$J$17,5,0)="", "ON "&amp;VLOOKUP(B238,Instruções!$F$13:$J$17,4,0)&amp;"_"&amp;$F$7&amp;"="&amp;VLOOKUP(B238,Instruções!$F$13:$J$17,4,0)&amp;"_"&amp;$G$7&amp;" ", "ON "&amp;VLOOKUP(B238,Instruções!$F$13:$J$17,4,0)&amp;"_"&amp;$F$7&amp;"="&amp;VLOOKUP(B238,Instruções!$F$13:$J$17,4,0)&amp;"_"&amp;$G$7&amp;" AND "&amp;VLOOKUP(B238,Instruções!$F$13:$J$17,5,0)&amp;"_"&amp;$F$7&amp;"="&amp;VLOOKUP(B238,Instruções!$F$13:$J$17,5,0)&amp;"_"&amp;$G$7&amp;" ")</f>
        <v xml:space="preserve">ON instrmnt_id_as_is=instrmnt_id_to_be </v>
      </c>
      <c r="K238" s="75" t="str">
        <f t="shared" si="36"/>
        <v xml:space="preserve">WHERE coalesce(cast(lcre_as_is AS string),'')&lt;&gt;coalesce(cast(lcre_to_be AS string),'') </v>
      </c>
      <c r="L238" s="75" t="str">
        <f t="shared" si="37"/>
        <v xml:space="preserve">SELECT count(*) AS NUM_REG_DIF FROM (SELECT instrmnt_id as instrmnt_id_, lcre as lcre_as_is FROM cd_loan_tapes_bce.lt002_instrument WHERE ref_date='2024-09-30' AND nome_perimetro='Individual Corporativo' AND segmento='ESTR' AND ambito='PM' AND entidade='00100' ) A  Inner join (SELECT instrmnt_id as instrmnt_id_, lcre as lcre_to_be FROM bu_loantape_work.lt002_instrument WHERE ref_date='2024-09-30' AND nome_perimetro='Individual Corporativo' AND segmento='ESTR' AND ambito='PM' AND entidade='00100' ) B ON instrmnt_id_as_is=instrmnt_id_to_be WHERE coalesce(cast(lcre_as_is AS string),'')&lt;&gt;coalesce(cast(lcre_to_be AS string),'') </v>
      </c>
      <c r="M238" s="75" t="s">
        <v>55</v>
      </c>
      <c r="N238" s="75" t="str">
        <f>"SELECT 'Validação de campos' as tipologia_teste, '"&amp;VLOOKUP(B238,Instruções!$F$13:$J$17,3,0)&amp;"' AS TABELA, '"&amp;E238&amp;"' AS CAMPO, '"&amp;Instruções!$D$15&amp;"' as ref_date, coalesce(NUM_REG_DIF, 0) AS NUM_REG_DIF FROM ("&amp;L238&amp;") A "</f>
        <v xml:space="preserve">SELECT 'Validação de campos' as tipologia_teste, 'lt002_instrument' AS TABELA, 'lcre' AS CAMPO, '2024-09-30' as ref_date, coalesce(NUM_REG_DIF, 0) AS NUM_REG_DIF FROM (SELECT count(*) AS NUM_REG_DIF FROM (SELECT instrmnt_id as instrmnt_id_, lcre as lcre_as_is FROM cd_loan_tapes_bce.lt002_instrument WHERE ref_date='2024-09-30' AND nome_perimetro='Individual Corporativo' AND segmento='ESTR' AND ambito='PM' AND entidade='00100' ) A  Inner join (SELECT instrmnt_id as instrmnt_id_, lcre as lcre_to_be FROM bu_loantape_work.lt002_instrument WHERE ref_date='2024-09-30' AND nome_perimetro='Individual Corporativo' AND segmento='ESTR' AND ambito='PM' AND entidade='00100' ) B ON instrmnt_id_as_is=instrmnt_id_to_be WHERE coalesce(cast(lcre_as_is AS string),'')&lt;&gt;coalesce(cast(lcre_to_be AS string),'') ) A </v>
      </c>
      <c r="O238" s="76" t="str">
        <f t="shared" si="38"/>
        <v>SELECT 'Validação de campos' as tipologia_teste, 'lt002_instrument' AS TABELA, 'lcre' AS CAMPO, '2024-09-30' as ref_date, coalesce(NUM_REG_DIF, 0) AS NUM_REG_DIF FROM (SELECT count(*) AS NUM_REG_DIF FROM (SELECT instrmnt_id as instrmnt_id_, lcre as lcre_as_is FROM cd_loan_tapes_bce.lt002_instrument WHERE ref_date='2024-09-30' AND nome_perimetro='Individual Corporativo' AND segmento='ESTR' AND ambito='PM' AND entidade='00100' ) A  Inner join (SELECT instrmnt_id as instrmnt_id_, lcre as lcre_to_be FROM bu_loantape_work.lt002_instrument WHERE ref_date='2024-09-30' AND nome_perimetro='Individual Corporativo' AND segmento='ESTR' AND ambito='PM' AND entidade='00100' ) B ON instrmnt_id_as_is=instrmnt_id_to_be WHERE coalesce(cast(lcre_as_is AS string),'')&lt;&gt;coalesce(cast(lcre_to_be AS string),'') ) A Union all</v>
      </c>
      <c r="P238" s="75">
        <f t="shared" si="39"/>
        <v>26</v>
      </c>
    </row>
    <row r="239" spans="2:16" s="63" customFormat="1" ht="18" customHeight="1">
      <c r="B239" s="75" t="s">
        <v>26</v>
      </c>
      <c r="C239" s="75" t="str">
        <f>_xlfn.CONCAT(Instruções!$D$13,".",VLOOKUP(B239,Instruções!$F$12:$H$17,2,0))</f>
        <v>cd_loan_tapes_bce.lt002_instrument</v>
      </c>
      <c r="D239" s="75" t="str">
        <f>_xlfn.CONCAT(Instruções!$D$14,".",VLOOKUP(B239,Instruções!$F$12:$H$17,3,0))</f>
        <v>bu_loantape_work.lt002_instrument</v>
      </c>
      <c r="E239" s="75" t="s">
        <v>274</v>
      </c>
      <c r="F239" s="75" t="str">
        <f t="shared" si="34"/>
        <v>lgd_as_is</v>
      </c>
      <c r="G239" s="75" t="str">
        <f t="shared" si="35"/>
        <v>lgd_to_be</v>
      </c>
      <c r="H239" s="75" t="str">
        <f>IF(VLOOKUP(B239,Instruções!$F$13:$J$17,5,0)="",
"(SELECT "&amp;VLOOKUP(B239,Instruções!$F$13:$J$17,4,0)&amp;" as "&amp;VLOOKUP(B239,Instruções!$F$13:$J$17,4,0)&amp;"_"&amp;$F$2&amp;", "&amp;E239&amp;" as "&amp;F239&amp;" FROM "&amp;C239&amp;" WHERE "&amp;Instruções!$D$20&amp;") A ",
"(SELECT "&amp;VLOOKUP(B239,Instruções!$F$13:$J$17,4,0)&amp;" as "&amp;VLOOKUP(B239,Instruções!$F$13:$J$17,4,0)&amp;"_"&amp;$F$2&amp;", "&amp;VLOOKUP(B239,Instruções!$F$13:$J$17,5,0)&amp;" as "&amp;VLOOKUP(B239,Instruções!$F$13:$J$17,5,0)&amp;"_"&amp;$F$2&amp;","&amp;E239&amp;" as "&amp;F239&amp;" FROM "&amp;C239&amp;" WHERE "&amp;Instruções!$D$20&amp;") A ")</f>
        <v xml:space="preserve">(SELECT instrmnt_id as instrmnt_id_, lgd as lgd_as_is FROM cd_loan_tapes_bce.lt002_instrument WHERE ref_date='2024-09-30' AND nome_perimetro='Individual Corporativo' AND segmento='ESTR' AND ambito='PM' AND entidade='00100' ) A </v>
      </c>
      <c r="I239" s="75" t="str">
        <f>IF(VLOOKUP(B239,Instruções!$F$13:$J$17,5,0)="",
"(SELECT "&amp;VLOOKUP(B239,Instruções!$F$13:$J$17,4,0)&amp;" as "&amp;VLOOKUP(B239,Instruções!$F$13:$J$17,4,0)&amp;"_"&amp;$G$2&amp;", "&amp;E239&amp;" as "&amp;G239&amp;" FROM "&amp;D239&amp;" WHERE "&amp;Instruções!$D$21&amp;") B ",
"(SELECT "&amp;VLOOKUP(B239,Instruções!$F$13:$J$17,4,0)&amp;" as "&amp;VLOOKUP(B239,Instruções!$F$13:$J$17,4,0)&amp;"_"&amp;$G$2&amp;", "&amp;VLOOKUP(B239,Instruções!$F$13:$J$17,5,0)&amp;" as "&amp;VLOOKUP(B239,Instruções!$F$13:$J$17,5,0)&amp;"_"&amp;$G$2&amp;","&amp;E239&amp;" as "&amp;G239&amp;" FROM "&amp;D239&amp;" WHERE "&amp;Instruções!$D$21&amp;") B ")</f>
        <v xml:space="preserve">(SELECT instrmnt_id as instrmnt_id_, lgd as lgd_to_be FROM bu_loantape_work.lt002_instrument WHERE ref_date='2024-09-30' AND nome_perimetro='Individual Corporativo' AND segmento='ESTR' AND ambito='PM' AND entidade='00100' ) B </v>
      </c>
      <c r="J239" s="75" t="str">
        <f>+IF(VLOOKUP(B239,Instruções!$F$13:$J$17,5,0)="", "ON "&amp;VLOOKUP(B239,Instruções!$F$13:$J$17,4,0)&amp;"_"&amp;$F$7&amp;"="&amp;VLOOKUP(B239,Instruções!$F$13:$J$17,4,0)&amp;"_"&amp;$G$7&amp;" ", "ON "&amp;VLOOKUP(B239,Instruções!$F$13:$J$17,4,0)&amp;"_"&amp;$F$7&amp;"="&amp;VLOOKUP(B239,Instruções!$F$13:$J$17,4,0)&amp;"_"&amp;$G$7&amp;" AND "&amp;VLOOKUP(B239,Instruções!$F$13:$J$17,5,0)&amp;"_"&amp;$F$7&amp;"="&amp;VLOOKUP(B239,Instruções!$F$13:$J$17,5,0)&amp;"_"&amp;$G$7&amp;" ")</f>
        <v xml:space="preserve">ON instrmnt_id_as_is=instrmnt_id_to_be </v>
      </c>
      <c r="K239" s="75" t="str">
        <f t="shared" si="36"/>
        <v xml:space="preserve">WHERE coalesce(cast(lgd_as_is AS string),'')&lt;&gt;coalesce(cast(lgd_to_be AS string),'') </v>
      </c>
      <c r="L239" s="75" t="str">
        <f t="shared" si="37"/>
        <v xml:space="preserve">SELECT count(*) AS NUM_REG_DIF FROM (SELECT instrmnt_id as instrmnt_id_, lgd as lgd_as_is FROM cd_loan_tapes_bce.lt002_instrument WHERE ref_date='2024-09-30' AND nome_perimetro='Individual Corporativo' AND segmento='ESTR' AND ambito='PM' AND entidade='00100' ) A  Inner join (SELECT instrmnt_id as instrmnt_id_, lgd as lgd_to_be FROM bu_loantape_work.lt002_instrument WHERE ref_date='2024-09-30' AND nome_perimetro='Individual Corporativo' AND segmento='ESTR' AND ambito='PM' AND entidade='00100' ) B ON instrmnt_id_as_is=instrmnt_id_to_be WHERE coalesce(cast(lgd_as_is AS string),'')&lt;&gt;coalesce(cast(lgd_to_be AS string),'') </v>
      </c>
      <c r="M239" s="75" t="s">
        <v>55</v>
      </c>
      <c r="N239" s="75" t="str">
        <f>"SELECT 'Validação de campos' as tipologia_teste, '"&amp;VLOOKUP(B239,Instruções!$F$13:$J$17,3,0)&amp;"' AS TABELA, '"&amp;E239&amp;"' AS CAMPO, '"&amp;Instruções!$D$15&amp;"' as ref_date, coalesce(NUM_REG_DIF, 0) AS NUM_REG_DIF FROM ("&amp;L239&amp;") A "</f>
        <v xml:space="preserve">SELECT 'Validação de campos' as tipologia_teste, 'lt002_instrument' AS TABELA, 'lgd' AS CAMPO, '2024-09-30' as ref_date, coalesce(NUM_REG_DIF, 0) AS NUM_REG_DIF FROM (SELECT count(*) AS NUM_REG_DIF FROM (SELECT instrmnt_id as instrmnt_id_, lgd as lgd_as_is FROM cd_loan_tapes_bce.lt002_instrument WHERE ref_date='2024-09-30' AND nome_perimetro='Individual Corporativo' AND segmento='ESTR' AND ambito='PM' AND entidade='00100' ) A  Inner join (SELECT instrmnt_id as instrmnt_id_, lgd as lgd_to_be FROM bu_loantape_work.lt002_instrument WHERE ref_date='2024-09-30' AND nome_perimetro='Individual Corporativo' AND segmento='ESTR' AND ambito='PM' AND entidade='00100' ) B ON instrmnt_id_as_is=instrmnt_id_to_be WHERE coalesce(cast(lgd_as_is AS string),'')&lt;&gt;coalesce(cast(lgd_to_be AS string),'') ) A </v>
      </c>
      <c r="O239" s="76" t="str">
        <f t="shared" si="38"/>
        <v>SELECT 'Validação de campos' as tipologia_teste, 'lt002_instrument' AS TABELA, 'lgd' AS CAMPO, '2024-09-30' as ref_date, coalesce(NUM_REG_DIF, 0) AS NUM_REG_DIF FROM (SELECT count(*) AS NUM_REG_DIF FROM (SELECT instrmnt_id as instrmnt_id_, lgd as lgd_as_is FROM cd_loan_tapes_bce.lt002_instrument WHERE ref_date='2024-09-30' AND nome_perimetro='Individual Corporativo' AND segmento='ESTR' AND ambito='PM' AND entidade='00100' ) A  Inner join (SELECT instrmnt_id as instrmnt_id_, lgd as lgd_to_be FROM bu_loantape_work.lt002_instrument WHERE ref_date='2024-09-30' AND nome_perimetro='Individual Corporativo' AND segmento='ESTR' AND ambito='PM' AND entidade='00100' ) B ON instrmnt_id_as_is=instrmnt_id_to_be WHERE coalesce(cast(lgd_as_is AS string),'')&lt;&gt;coalesce(cast(lgd_to_be AS string),'') ) A Union all</v>
      </c>
      <c r="P239" s="75">
        <f t="shared" si="39"/>
        <v>27</v>
      </c>
    </row>
    <row r="240" spans="2:16" s="63" customFormat="1" ht="18" customHeight="1">
      <c r="B240" s="75" t="s">
        <v>26</v>
      </c>
      <c r="C240" s="75" t="str">
        <f>_xlfn.CONCAT(Instruções!$D$13,".",VLOOKUP(B240,Instruções!$F$12:$H$17,2,0))</f>
        <v>cd_loan_tapes_bce.lt002_instrument</v>
      </c>
      <c r="D240" s="75" t="str">
        <f>_xlfn.CONCAT(Instruções!$D$14,".",VLOOKUP(B240,Instruções!$F$12:$H$17,3,0))</f>
        <v>bu_loantape_work.lt002_instrument</v>
      </c>
      <c r="E240" s="75" t="s">
        <v>275</v>
      </c>
      <c r="F240" s="75" t="str">
        <f t="shared" si="34"/>
        <v>lgl_prcdng_stts_as_is</v>
      </c>
      <c r="G240" s="75" t="str">
        <f t="shared" si="35"/>
        <v>lgl_prcdng_stts_to_be</v>
      </c>
      <c r="H240" s="75" t="str">
        <f>IF(VLOOKUP(B240,Instruções!$F$13:$J$17,5,0)="",
"(SELECT "&amp;VLOOKUP(B240,Instruções!$F$13:$J$17,4,0)&amp;" as "&amp;VLOOKUP(B240,Instruções!$F$13:$J$17,4,0)&amp;"_"&amp;$F$2&amp;", "&amp;E240&amp;" as "&amp;F240&amp;" FROM "&amp;C240&amp;" WHERE "&amp;Instruções!$D$20&amp;") A ",
"(SELECT "&amp;VLOOKUP(B240,Instruções!$F$13:$J$17,4,0)&amp;" as "&amp;VLOOKUP(B240,Instruções!$F$13:$J$17,4,0)&amp;"_"&amp;$F$2&amp;", "&amp;VLOOKUP(B240,Instruções!$F$13:$J$17,5,0)&amp;" as "&amp;VLOOKUP(B240,Instruções!$F$13:$J$17,5,0)&amp;"_"&amp;$F$2&amp;","&amp;E240&amp;" as "&amp;F240&amp;" FROM "&amp;C240&amp;" WHERE "&amp;Instruções!$D$20&amp;") A ")</f>
        <v xml:space="preserve">(SELECT instrmnt_id as instrmnt_id_, lgl_prcdng_stts as lgl_prcdng_stts_as_is FROM cd_loan_tapes_bce.lt002_instrument WHERE ref_date='2024-09-30' AND nome_perimetro='Individual Corporativo' AND segmento='ESTR' AND ambito='PM' AND entidade='00100' ) A </v>
      </c>
      <c r="I240" s="75" t="str">
        <f>IF(VLOOKUP(B240,Instruções!$F$13:$J$17,5,0)="",
"(SELECT "&amp;VLOOKUP(B240,Instruções!$F$13:$J$17,4,0)&amp;" as "&amp;VLOOKUP(B240,Instruções!$F$13:$J$17,4,0)&amp;"_"&amp;$G$2&amp;", "&amp;E240&amp;" as "&amp;G240&amp;" FROM "&amp;D240&amp;" WHERE "&amp;Instruções!$D$21&amp;") B ",
"(SELECT "&amp;VLOOKUP(B240,Instruções!$F$13:$J$17,4,0)&amp;" as "&amp;VLOOKUP(B240,Instruções!$F$13:$J$17,4,0)&amp;"_"&amp;$G$2&amp;", "&amp;VLOOKUP(B240,Instruções!$F$13:$J$17,5,0)&amp;" as "&amp;VLOOKUP(B240,Instruções!$F$13:$J$17,5,0)&amp;"_"&amp;$G$2&amp;","&amp;E240&amp;" as "&amp;G240&amp;" FROM "&amp;D240&amp;" WHERE "&amp;Instruções!$D$21&amp;") B ")</f>
        <v xml:space="preserve">(SELECT instrmnt_id as instrmnt_id_, lgl_prcdng_stts as lgl_prcdng_stts_to_be FROM bu_loantape_work.lt002_instrument WHERE ref_date='2024-09-30' AND nome_perimetro='Individual Corporativo' AND segmento='ESTR' AND ambito='PM' AND entidade='00100' ) B </v>
      </c>
      <c r="J240" s="75" t="str">
        <f>+IF(VLOOKUP(B240,Instruções!$F$13:$J$17,5,0)="", "ON "&amp;VLOOKUP(B240,Instruções!$F$13:$J$17,4,0)&amp;"_"&amp;$F$7&amp;"="&amp;VLOOKUP(B240,Instruções!$F$13:$J$17,4,0)&amp;"_"&amp;$G$7&amp;" ", "ON "&amp;VLOOKUP(B240,Instruções!$F$13:$J$17,4,0)&amp;"_"&amp;$F$7&amp;"="&amp;VLOOKUP(B240,Instruções!$F$13:$J$17,4,0)&amp;"_"&amp;$G$7&amp;" AND "&amp;VLOOKUP(B240,Instruções!$F$13:$J$17,5,0)&amp;"_"&amp;$F$7&amp;"="&amp;VLOOKUP(B240,Instruções!$F$13:$J$17,5,0)&amp;"_"&amp;$G$7&amp;" ")</f>
        <v xml:space="preserve">ON instrmnt_id_as_is=instrmnt_id_to_be </v>
      </c>
      <c r="K240" s="75" t="str">
        <f t="shared" si="36"/>
        <v xml:space="preserve">WHERE coalesce(cast(lgl_prcdng_stts_as_is AS string),'')&lt;&gt;coalesce(cast(lgl_prcdng_stts_to_be AS string),'') </v>
      </c>
      <c r="L240" s="75" t="str">
        <f t="shared" si="37"/>
        <v xml:space="preserve">SELECT count(*) AS NUM_REG_DIF FROM (SELECT instrmnt_id as instrmnt_id_, lgl_prcdng_stts as lgl_prcdng_stts_as_is FROM cd_loan_tapes_bce.lt002_instrument WHERE ref_date='2024-09-30' AND nome_perimetro='Individual Corporativo' AND segmento='ESTR' AND ambito='PM' AND entidade='00100' ) A  Inner join (SELECT instrmnt_id as instrmnt_id_, lgl_prcdng_stts as lgl_prcdng_stts_to_be FROM bu_loantape_work.lt002_instrument WHERE ref_date='2024-09-30' AND nome_perimetro='Individual Corporativo' AND segmento='ESTR' AND ambito='PM' AND entidade='00100' ) B ON instrmnt_id_as_is=instrmnt_id_to_be WHERE coalesce(cast(lgl_prcdng_stts_as_is AS string),'')&lt;&gt;coalesce(cast(lgl_prcdng_stts_to_be AS string),'') </v>
      </c>
      <c r="M240" s="75" t="s">
        <v>55</v>
      </c>
      <c r="N240" s="75" t="str">
        <f>"SELECT 'Validação de campos' as tipologia_teste, '"&amp;VLOOKUP(B240,Instruções!$F$13:$J$17,3,0)&amp;"' AS TABELA, '"&amp;E240&amp;"' AS CAMPO, '"&amp;Instruções!$D$15&amp;"' as ref_date, coalesce(NUM_REG_DIF, 0) AS NUM_REG_DIF FROM ("&amp;L240&amp;") A "</f>
        <v xml:space="preserve">SELECT 'Validação de campos' as tipologia_teste, 'lt002_instrument' AS TABELA, 'lgl_prcdng_stts' AS CAMPO, '2024-09-30' as ref_date, coalesce(NUM_REG_DIF, 0) AS NUM_REG_DIF FROM (SELECT count(*) AS NUM_REG_DIF FROM (SELECT instrmnt_id as instrmnt_id_, lgl_prcdng_stts as lgl_prcdng_stts_as_is FROM cd_loan_tapes_bce.lt002_instrument WHERE ref_date='2024-09-30' AND nome_perimetro='Individual Corporativo' AND segmento='ESTR' AND ambito='PM' AND entidade='00100' ) A  Inner join (SELECT instrmnt_id as instrmnt_id_, lgl_prcdng_stts as lgl_prcdng_stts_to_be FROM bu_loantape_work.lt002_instrument WHERE ref_date='2024-09-30' AND nome_perimetro='Individual Corporativo' AND segmento='ESTR' AND ambito='PM' AND entidade='00100' ) B ON instrmnt_id_as_is=instrmnt_id_to_be WHERE coalesce(cast(lgl_prcdng_stts_as_is AS string),'')&lt;&gt;coalesce(cast(lgl_prcdng_stts_to_be AS string),'') ) A </v>
      </c>
      <c r="O240" s="76" t="str">
        <f t="shared" si="38"/>
        <v>SELECT 'Validação de campos' as tipologia_teste, 'lt002_instrument' AS TABELA, 'lgl_prcdng_stts' AS CAMPO, '2024-09-30' as ref_date, coalesce(NUM_REG_DIF, 0) AS NUM_REG_DIF FROM (SELECT count(*) AS NUM_REG_DIF FROM (SELECT instrmnt_id as instrmnt_id_, lgl_prcdng_stts as lgl_prcdng_stts_as_is FROM cd_loan_tapes_bce.lt002_instrument WHERE ref_date='2024-09-30' AND nome_perimetro='Individual Corporativo' AND segmento='ESTR' AND ambito='PM' AND entidade='00100' ) A  Inner join (SELECT instrmnt_id as instrmnt_id_, lgl_prcdng_stts as lgl_prcdng_stts_to_be FROM bu_loantape_work.lt002_instrument WHERE ref_date='2024-09-30' AND nome_perimetro='Individual Corporativo' AND segmento='ESTR' AND ambito='PM' AND entidade='00100' ) B ON instrmnt_id_as_is=instrmnt_id_to_be WHERE coalesce(cast(lgl_prcdng_stts_as_is AS string),'')&lt;&gt;coalesce(cast(lgl_prcdng_stts_to_be AS string),'') ) A Union all</v>
      </c>
      <c r="P240" s="75">
        <f t="shared" si="39"/>
        <v>28</v>
      </c>
    </row>
    <row r="241" spans="2:16" s="63" customFormat="1" ht="18" customHeight="1">
      <c r="B241" s="75" t="s">
        <v>26</v>
      </c>
      <c r="C241" s="75" t="str">
        <f>_xlfn.CONCAT(Instruções!$D$13,".",VLOOKUP(B241,Instruções!$F$12:$H$17,2,0))</f>
        <v>cd_loan_tapes_bce.lt002_instrument</v>
      </c>
      <c r="D241" s="75" t="str">
        <f>_xlfn.CONCAT(Instruções!$D$14,".",VLOOKUP(B241,Instruções!$F$12:$H$17,3,0))</f>
        <v>bu_loantape_work.lt002_instrument</v>
      </c>
      <c r="E241" s="75" t="s">
        <v>276</v>
      </c>
      <c r="F241" s="75" t="str">
        <f t="shared" si="34"/>
        <v>lnd_drgtn_as_is</v>
      </c>
      <c r="G241" s="75" t="str">
        <f t="shared" si="35"/>
        <v>lnd_drgtn_to_be</v>
      </c>
      <c r="H241" s="75" t="str">
        <f>IF(VLOOKUP(B241,Instruções!$F$13:$J$17,5,0)="",
"(SELECT "&amp;VLOOKUP(B241,Instruções!$F$13:$J$17,4,0)&amp;" as "&amp;VLOOKUP(B241,Instruções!$F$13:$J$17,4,0)&amp;"_"&amp;$F$2&amp;", "&amp;E241&amp;" as "&amp;F241&amp;" FROM "&amp;C241&amp;" WHERE "&amp;Instruções!$D$20&amp;") A ",
"(SELECT "&amp;VLOOKUP(B241,Instruções!$F$13:$J$17,4,0)&amp;" as "&amp;VLOOKUP(B241,Instruções!$F$13:$J$17,4,0)&amp;"_"&amp;$F$2&amp;", "&amp;VLOOKUP(B241,Instruções!$F$13:$J$17,5,0)&amp;" as "&amp;VLOOKUP(B241,Instruções!$F$13:$J$17,5,0)&amp;"_"&amp;$F$2&amp;","&amp;E241&amp;" as "&amp;F241&amp;" FROM "&amp;C241&amp;" WHERE "&amp;Instruções!$D$20&amp;") A ")</f>
        <v xml:space="preserve">(SELECT instrmnt_id as instrmnt_id_, lnd_drgtn as lnd_drgtn_as_is FROM cd_loan_tapes_bce.lt002_instrument WHERE ref_date='2024-09-30' AND nome_perimetro='Individual Corporativo' AND segmento='ESTR' AND ambito='PM' AND entidade='00100' ) A </v>
      </c>
      <c r="I241" s="75" t="str">
        <f>IF(VLOOKUP(B241,Instruções!$F$13:$J$17,5,0)="",
"(SELECT "&amp;VLOOKUP(B241,Instruções!$F$13:$J$17,4,0)&amp;" as "&amp;VLOOKUP(B241,Instruções!$F$13:$J$17,4,0)&amp;"_"&amp;$G$2&amp;", "&amp;E241&amp;" as "&amp;G241&amp;" FROM "&amp;D241&amp;" WHERE "&amp;Instruções!$D$21&amp;") B ",
"(SELECT "&amp;VLOOKUP(B241,Instruções!$F$13:$J$17,4,0)&amp;" as "&amp;VLOOKUP(B241,Instruções!$F$13:$J$17,4,0)&amp;"_"&amp;$G$2&amp;", "&amp;VLOOKUP(B241,Instruções!$F$13:$J$17,5,0)&amp;" as "&amp;VLOOKUP(B241,Instruções!$F$13:$J$17,5,0)&amp;"_"&amp;$G$2&amp;","&amp;E241&amp;" as "&amp;G241&amp;" FROM "&amp;D241&amp;" WHERE "&amp;Instruções!$D$21&amp;") B ")</f>
        <v xml:space="preserve">(SELECT instrmnt_id as instrmnt_id_, lnd_drgtn as lnd_drgtn_to_be FROM bu_loantape_work.lt002_instrument WHERE ref_date='2024-09-30' AND nome_perimetro='Individual Corporativo' AND segmento='ESTR' AND ambito='PM' AND entidade='00100' ) B </v>
      </c>
      <c r="J241" s="75" t="str">
        <f>+IF(VLOOKUP(B241,Instruções!$F$13:$J$17,5,0)="", "ON "&amp;VLOOKUP(B241,Instruções!$F$13:$J$17,4,0)&amp;"_"&amp;$F$7&amp;"="&amp;VLOOKUP(B241,Instruções!$F$13:$J$17,4,0)&amp;"_"&amp;$G$7&amp;" ", "ON "&amp;VLOOKUP(B241,Instruções!$F$13:$J$17,4,0)&amp;"_"&amp;$F$7&amp;"="&amp;VLOOKUP(B241,Instruções!$F$13:$J$17,4,0)&amp;"_"&amp;$G$7&amp;" AND "&amp;VLOOKUP(B241,Instruções!$F$13:$J$17,5,0)&amp;"_"&amp;$F$7&amp;"="&amp;VLOOKUP(B241,Instruções!$F$13:$J$17,5,0)&amp;"_"&amp;$G$7&amp;" ")</f>
        <v xml:space="preserve">ON instrmnt_id_as_is=instrmnt_id_to_be </v>
      </c>
      <c r="K241" s="75" t="str">
        <f t="shared" si="36"/>
        <v xml:space="preserve">WHERE coalesce(cast(lnd_drgtn_as_is AS string),'')&lt;&gt;coalesce(cast(lnd_drgtn_to_be AS string),'') </v>
      </c>
      <c r="L241" s="75" t="str">
        <f t="shared" si="37"/>
        <v xml:space="preserve">SELECT count(*) AS NUM_REG_DIF FROM (SELECT instrmnt_id as instrmnt_id_, lnd_drgtn as lnd_drgtn_as_is FROM cd_loan_tapes_bce.lt002_instrument WHERE ref_date='2024-09-30' AND nome_perimetro='Individual Corporativo' AND segmento='ESTR' AND ambito='PM' AND entidade='00100' ) A  Inner join (SELECT instrmnt_id as instrmnt_id_, lnd_drgtn as lnd_drgtn_to_be FROM bu_loantape_work.lt002_instrument WHERE ref_date='2024-09-30' AND nome_perimetro='Individual Corporativo' AND segmento='ESTR' AND ambito='PM' AND entidade='00100' ) B ON instrmnt_id_as_is=instrmnt_id_to_be WHERE coalesce(cast(lnd_drgtn_as_is AS string),'')&lt;&gt;coalesce(cast(lnd_drgtn_to_be AS string),'') </v>
      </c>
      <c r="M241" s="75" t="s">
        <v>55</v>
      </c>
      <c r="N241" s="75" t="str">
        <f>"SELECT 'Validação de campos' as tipologia_teste, '"&amp;VLOOKUP(B241,Instruções!$F$13:$J$17,3,0)&amp;"' AS TABELA, '"&amp;E241&amp;"' AS CAMPO, '"&amp;Instruções!$D$15&amp;"' as ref_date, coalesce(NUM_REG_DIF, 0) AS NUM_REG_DIF FROM ("&amp;L241&amp;") A "</f>
        <v xml:space="preserve">SELECT 'Validação de campos' as tipologia_teste, 'lt002_instrument' AS TABELA, 'lnd_drgtn' AS CAMPO, '2024-09-30' as ref_date, coalesce(NUM_REG_DIF, 0) AS NUM_REG_DIF FROM (SELECT count(*) AS NUM_REG_DIF FROM (SELECT instrmnt_id as instrmnt_id_, lnd_drgtn as lnd_drgtn_as_is FROM cd_loan_tapes_bce.lt002_instrument WHERE ref_date='2024-09-30' AND nome_perimetro='Individual Corporativo' AND segmento='ESTR' AND ambito='PM' AND entidade='00100' ) A  Inner join (SELECT instrmnt_id as instrmnt_id_, lnd_drgtn as lnd_drgtn_to_be FROM bu_loantape_work.lt002_instrument WHERE ref_date='2024-09-30' AND nome_perimetro='Individual Corporativo' AND segmento='ESTR' AND ambito='PM' AND entidade='00100' ) B ON instrmnt_id_as_is=instrmnt_id_to_be WHERE coalesce(cast(lnd_drgtn_as_is AS string),'')&lt;&gt;coalesce(cast(lnd_drgtn_to_be AS string),'') ) A </v>
      </c>
      <c r="O241" s="76" t="str">
        <f t="shared" si="38"/>
        <v>SELECT 'Validação de campos' as tipologia_teste, 'lt002_instrument' AS TABELA, 'lnd_drgtn' AS CAMPO, '2024-09-30' as ref_date, coalesce(NUM_REG_DIF, 0) AS NUM_REG_DIF FROM (SELECT count(*) AS NUM_REG_DIF FROM (SELECT instrmnt_id as instrmnt_id_, lnd_drgtn as lnd_drgtn_as_is FROM cd_loan_tapes_bce.lt002_instrument WHERE ref_date='2024-09-30' AND nome_perimetro='Individual Corporativo' AND segmento='ESTR' AND ambito='PM' AND entidade='00100' ) A  Inner join (SELECT instrmnt_id as instrmnt_id_, lnd_drgtn as lnd_drgtn_to_be FROM bu_loantape_work.lt002_instrument WHERE ref_date='2024-09-30' AND nome_perimetro='Individual Corporativo' AND segmento='ESTR' AND ambito='PM' AND entidade='00100' ) B ON instrmnt_id_as_is=instrmnt_id_to_be WHERE coalesce(cast(lnd_drgtn_as_is AS string),'')&lt;&gt;coalesce(cast(lnd_drgtn_to_be AS string),'') ) A Union all</v>
      </c>
      <c r="P241" s="75">
        <f t="shared" si="39"/>
        <v>29</v>
      </c>
    </row>
    <row r="242" spans="2:16" s="63" customFormat="1" ht="18" customHeight="1">
      <c r="B242" s="75" t="s">
        <v>26</v>
      </c>
      <c r="C242" s="75" t="str">
        <f>_xlfn.CONCAT(Instruções!$D$13,".",VLOOKUP(B242,Instruções!$F$12:$H$17,2,0))</f>
        <v>cd_loan_tapes_bce.lt002_instrument</v>
      </c>
      <c r="D242" s="75" t="str">
        <f>_xlfn.CONCAT(Instruções!$D$14,".",VLOOKUP(B242,Instruções!$F$12:$H$17,3,0))</f>
        <v>bu_loantape_work.lt002_instrument</v>
      </c>
      <c r="E242" s="75" t="s">
        <v>277</v>
      </c>
      <c r="F242" s="75" t="str">
        <f t="shared" si="34"/>
        <v>lsti_as_is</v>
      </c>
      <c r="G242" s="75" t="str">
        <f t="shared" si="35"/>
        <v>lsti_to_be</v>
      </c>
      <c r="H242" s="75" t="str">
        <f>IF(VLOOKUP(B242,Instruções!$F$13:$J$17,5,0)="",
"(SELECT "&amp;VLOOKUP(B242,Instruções!$F$13:$J$17,4,0)&amp;" as "&amp;VLOOKUP(B242,Instruções!$F$13:$J$17,4,0)&amp;"_"&amp;$F$2&amp;", "&amp;E242&amp;" as "&amp;F242&amp;" FROM "&amp;C242&amp;" WHERE "&amp;Instruções!$D$20&amp;") A ",
"(SELECT "&amp;VLOOKUP(B242,Instruções!$F$13:$J$17,4,0)&amp;" as "&amp;VLOOKUP(B242,Instruções!$F$13:$J$17,4,0)&amp;"_"&amp;$F$2&amp;", "&amp;VLOOKUP(B242,Instruções!$F$13:$J$17,5,0)&amp;" as "&amp;VLOOKUP(B242,Instruções!$F$13:$J$17,5,0)&amp;"_"&amp;$F$2&amp;","&amp;E242&amp;" as "&amp;F242&amp;" FROM "&amp;C242&amp;" WHERE "&amp;Instruções!$D$20&amp;") A ")</f>
        <v xml:space="preserve">(SELECT instrmnt_id as instrmnt_id_, lsti as lsti_as_is FROM cd_loan_tapes_bce.lt002_instrument WHERE ref_date='2024-09-30' AND nome_perimetro='Individual Corporativo' AND segmento='ESTR' AND ambito='PM' AND entidade='00100' ) A </v>
      </c>
      <c r="I242" s="75" t="str">
        <f>IF(VLOOKUP(B242,Instruções!$F$13:$J$17,5,0)="",
"(SELECT "&amp;VLOOKUP(B242,Instruções!$F$13:$J$17,4,0)&amp;" as "&amp;VLOOKUP(B242,Instruções!$F$13:$J$17,4,0)&amp;"_"&amp;$G$2&amp;", "&amp;E242&amp;" as "&amp;G242&amp;" FROM "&amp;D242&amp;" WHERE "&amp;Instruções!$D$21&amp;") B ",
"(SELECT "&amp;VLOOKUP(B242,Instruções!$F$13:$J$17,4,0)&amp;" as "&amp;VLOOKUP(B242,Instruções!$F$13:$J$17,4,0)&amp;"_"&amp;$G$2&amp;", "&amp;VLOOKUP(B242,Instruções!$F$13:$J$17,5,0)&amp;" as "&amp;VLOOKUP(B242,Instruções!$F$13:$J$17,5,0)&amp;"_"&amp;$G$2&amp;","&amp;E242&amp;" as "&amp;G242&amp;" FROM "&amp;D242&amp;" WHERE "&amp;Instruções!$D$21&amp;") B ")</f>
        <v xml:space="preserve">(SELECT instrmnt_id as instrmnt_id_, lsti as lsti_to_be FROM bu_loantape_work.lt002_instrument WHERE ref_date='2024-09-30' AND nome_perimetro='Individual Corporativo' AND segmento='ESTR' AND ambito='PM' AND entidade='00100' ) B </v>
      </c>
      <c r="J242" s="75" t="str">
        <f>+IF(VLOOKUP(B242,Instruções!$F$13:$J$17,5,0)="", "ON "&amp;VLOOKUP(B242,Instruções!$F$13:$J$17,4,0)&amp;"_"&amp;$F$7&amp;"="&amp;VLOOKUP(B242,Instruções!$F$13:$J$17,4,0)&amp;"_"&amp;$G$7&amp;" ", "ON "&amp;VLOOKUP(B242,Instruções!$F$13:$J$17,4,0)&amp;"_"&amp;$F$7&amp;"="&amp;VLOOKUP(B242,Instruções!$F$13:$J$17,4,0)&amp;"_"&amp;$G$7&amp;" AND "&amp;VLOOKUP(B242,Instruções!$F$13:$J$17,5,0)&amp;"_"&amp;$F$7&amp;"="&amp;VLOOKUP(B242,Instruções!$F$13:$J$17,5,0)&amp;"_"&amp;$G$7&amp;" ")</f>
        <v xml:space="preserve">ON instrmnt_id_as_is=instrmnt_id_to_be </v>
      </c>
      <c r="K242" s="75" t="str">
        <f t="shared" si="36"/>
        <v xml:space="preserve">WHERE coalesce(cast(lsti_as_is AS string),'')&lt;&gt;coalesce(cast(lsti_to_be AS string),'') </v>
      </c>
      <c r="L242" s="75" t="str">
        <f t="shared" si="37"/>
        <v xml:space="preserve">SELECT count(*) AS NUM_REG_DIF FROM (SELECT instrmnt_id as instrmnt_id_, lsti as lsti_as_is FROM cd_loan_tapes_bce.lt002_instrument WHERE ref_date='2024-09-30' AND nome_perimetro='Individual Corporativo' AND segmento='ESTR' AND ambito='PM' AND entidade='00100' ) A  Inner join (SELECT instrmnt_id as instrmnt_id_, lsti as lsti_to_be FROM bu_loantape_work.lt002_instrument WHERE ref_date='2024-09-30' AND nome_perimetro='Individual Corporativo' AND segmento='ESTR' AND ambito='PM' AND entidade='00100' ) B ON instrmnt_id_as_is=instrmnt_id_to_be WHERE coalesce(cast(lsti_as_is AS string),'')&lt;&gt;coalesce(cast(lsti_to_be AS string),'') </v>
      </c>
      <c r="M242" s="75" t="s">
        <v>55</v>
      </c>
      <c r="N242" s="75" t="str">
        <f>"SELECT 'Validação de campos' as tipologia_teste, '"&amp;VLOOKUP(B242,Instruções!$F$13:$J$17,3,0)&amp;"' AS TABELA, '"&amp;E242&amp;"' AS CAMPO, '"&amp;Instruções!$D$15&amp;"' as ref_date, coalesce(NUM_REG_DIF, 0) AS NUM_REG_DIF FROM ("&amp;L242&amp;") A "</f>
        <v xml:space="preserve">SELECT 'Validação de campos' as tipologia_teste, 'lt002_instrument' AS TABELA, 'lsti' AS CAMPO, '2024-09-30' as ref_date, coalesce(NUM_REG_DIF, 0) AS NUM_REG_DIF FROM (SELECT count(*) AS NUM_REG_DIF FROM (SELECT instrmnt_id as instrmnt_id_, lsti as lsti_as_is FROM cd_loan_tapes_bce.lt002_instrument WHERE ref_date='2024-09-30' AND nome_perimetro='Individual Corporativo' AND segmento='ESTR' AND ambito='PM' AND entidade='00100' ) A  Inner join (SELECT instrmnt_id as instrmnt_id_, lsti as lsti_to_be FROM bu_loantape_work.lt002_instrument WHERE ref_date='2024-09-30' AND nome_perimetro='Individual Corporativo' AND segmento='ESTR' AND ambito='PM' AND entidade='00100' ) B ON instrmnt_id_as_is=instrmnt_id_to_be WHERE coalesce(cast(lsti_as_is AS string),'')&lt;&gt;coalesce(cast(lsti_to_be AS string),'') ) A </v>
      </c>
      <c r="O242" s="76" t="str">
        <f t="shared" si="38"/>
        <v>SELECT 'Validação de campos' as tipologia_teste, 'lt002_instrument' AS TABELA, 'lsti' AS CAMPO, '2024-09-30' as ref_date, coalesce(NUM_REG_DIF, 0) AS NUM_REG_DIF FROM (SELECT count(*) AS NUM_REG_DIF FROM (SELECT instrmnt_id as instrmnt_id_, lsti as lsti_as_is FROM cd_loan_tapes_bce.lt002_instrument WHERE ref_date='2024-09-30' AND nome_perimetro='Individual Corporativo' AND segmento='ESTR' AND ambito='PM' AND entidade='00100' ) A  Inner join (SELECT instrmnt_id as instrmnt_id_, lsti as lsti_to_be FROM bu_loantape_work.lt002_instrument WHERE ref_date='2024-09-30' AND nome_perimetro='Individual Corporativo' AND segmento='ESTR' AND ambito='PM' AND entidade='00100' ) B ON instrmnt_id_as_is=instrmnt_id_to_be WHERE coalesce(cast(lsti_as_is AS string),'')&lt;&gt;coalesce(cast(lsti_to_be AS string),'') ) A Union all</v>
      </c>
      <c r="P242" s="75">
        <f t="shared" si="39"/>
        <v>30</v>
      </c>
    </row>
    <row r="243" spans="2:16" s="63" customFormat="1" ht="18" customHeight="1">
      <c r="B243" s="75" t="s">
        <v>26</v>
      </c>
      <c r="C243" s="75" t="str">
        <f>_xlfn.CONCAT(Instruções!$D$13,".",VLOOKUP(B243,Instruções!$F$12:$H$17,2,0))</f>
        <v>cd_loan_tapes_bce.lt002_instrument</v>
      </c>
      <c r="D243" s="75" t="str">
        <f>_xlfn.CONCAT(Instruções!$D$14,".",VLOOKUP(B243,Instruções!$F$12:$H$17,3,0))</f>
        <v>bu_loantape_work.lt002_instrument</v>
      </c>
      <c r="E243" s="75" t="s">
        <v>278</v>
      </c>
      <c r="F243" s="75" t="str">
        <f t="shared" si="34"/>
        <v>lti_instrmnt_as_is</v>
      </c>
      <c r="G243" s="75" t="str">
        <f t="shared" si="35"/>
        <v>lti_instrmnt_to_be</v>
      </c>
      <c r="H243" s="75" t="str">
        <f>IF(VLOOKUP(B243,Instruções!$F$13:$J$17,5,0)="",
"(SELECT "&amp;VLOOKUP(B243,Instruções!$F$13:$J$17,4,0)&amp;" as "&amp;VLOOKUP(B243,Instruções!$F$13:$J$17,4,0)&amp;"_"&amp;$F$2&amp;", "&amp;E243&amp;" as "&amp;F243&amp;" FROM "&amp;C243&amp;" WHERE "&amp;Instruções!$D$20&amp;") A ",
"(SELECT "&amp;VLOOKUP(B243,Instruções!$F$13:$J$17,4,0)&amp;" as "&amp;VLOOKUP(B243,Instruções!$F$13:$J$17,4,0)&amp;"_"&amp;$F$2&amp;", "&amp;VLOOKUP(B243,Instruções!$F$13:$J$17,5,0)&amp;" as "&amp;VLOOKUP(B243,Instruções!$F$13:$J$17,5,0)&amp;"_"&amp;$F$2&amp;","&amp;E243&amp;" as "&amp;F243&amp;" FROM "&amp;C243&amp;" WHERE "&amp;Instruções!$D$20&amp;") A ")</f>
        <v xml:space="preserve">(SELECT instrmnt_id as instrmnt_id_, lti_instrmnt as lti_instrmnt_as_is FROM cd_loan_tapes_bce.lt002_instrument WHERE ref_date='2024-09-30' AND nome_perimetro='Individual Corporativo' AND segmento='ESTR' AND ambito='PM' AND entidade='00100' ) A </v>
      </c>
      <c r="I243" s="75" t="str">
        <f>IF(VLOOKUP(B243,Instruções!$F$13:$J$17,5,0)="",
"(SELECT "&amp;VLOOKUP(B243,Instruções!$F$13:$J$17,4,0)&amp;" as "&amp;VLOOKUP(B243,Instruções!$F$13:$J$17,4,0)&amp;"_"&amp;$G$2&amp;", "&amp;E243&amp;" as "&amp;G243&amp;" FROM "&amp;D243&amp;" WHERE "&amp;Instruções!$D$21&amp;") B ",
"(SELECT "&amp;VLOOKUP(B243,Instruções!$F$13:$J$17,4,0)&amp;" as "&amp;VLOOKUP(B243,Instruções!$F$13:$J$17,4,0)&amp;"_"&amp;$G$2&amp;", "&amp;VLOOKUP(B243,Instruções!$F$13:$J$17,5,0)&amp;" as "&amp;VLOOKUP(B243,Instruções!$F$13:$J$17,5,0)&amp;"_"&amp;$G$2&amp;","&amp;E243&amp;" as "&amp;G243&amp;" FROM "&amp;D243&amp;" WHERE "&amp;Instruções!$D$21&amp;") B ")</f>
        <v xml:space="preserve">(SELECT instrmnt_id as instrmnt_id_, lti_instrmnt as lti_instrmnt_to_be FROM bu_loantape_work.lt002_instrument WHERE ref_date='2024-09-30' AND nome_perimetro='Individual Corporativo' AND segmento='ESTR' AND ambito='PM' AND entidade='00100' ) B </v>
      </c>
      <c r="J243" s="75" t="str">
        <f>+IF(VLOOKUP(B243,Instruções!$F$13:$J$17,5,0)="", "ON "&amp;VLOOKUP(B243,Instruções!$F$13:$J$17,4,0)&amp;"_"&amp;$F$7&amp;"="&amp;VLOOKUP(B243,Instruções!$F$13:$J$17,4,0)&amp;"_"&amp;$G$7&amp;" ", "ON "&amp;VLOOKUP(B243,Instruções!$F$13:$J$17,4,0)&amp;"_"&amp;$F$7&amp;"="&amp;VLOOKUP(B243,Instruções!$F$13:$J$17,4,0)&amp;"_"&amp;$G$7&amp;" AND "&amp;VLOOKUP(B243,Instruções!$F$13:$J$17,5,0)&amp;"_"&amp;$F$7&amp;"="&amp;VLOOKUP(B243,Instruções!$F$13:$J$17,5,0)&amp;"_"&amp;$G$7&amp;" ")</f>
        <v xml:space="preserve">ON instrmnt_id_as_is=instrmnt_id_to_be </v>
      </c>
      <c r="K243" s="75" t="str">
        <f t="shared" si="36"/>
        <v xml:space="preserve">WHERE coalesce(cast(lti_instrmnt_as_is AS string),'')&lt;&gt;coalesce(cast(lti_instrmnt_to_be AS string),'') </v>
      </c>
      <c r="L243" s="75" t="str">
        <f t="shared" si="37"/>
        <v xml:space="preserve">SELECT count(*) AS NUM_REG_DIF FROM (SELECT instrmnt_id as instrmnt_id_, lti_instrmnt as lti_instrmnt_as_is FROM cd_loan_tapes_bce.lt002_instrument WHERE ref_date='2024-09-30' AND nome_perimetro='Individual Corporativo' AND segmento='ESTR' AND ambito='PM' AND entidade='00100' ) A  Inner join (SELECT instrmnt_id as instrmnt_id_, lti_instrmnt as lti_instrmnt_to_be FROM bu_loantape_work.lt002_instrument WHERE ref_date='2024-09-30' AND nome_perimetro='Individual Corporativo' AND segmento='ESTR' AND ambito='PM' AND entidade='00100' ) B ON instrmnt_id_as_is=instrmnt_id_to_be WHERE coalesce(cast(lti_instrmnt_as_is AS string),'')&lt;&gt;coalesce(cast(lti_instrmnt_to_be AS string),'') </v>
      </c>
      <c r="M243" s="75" t="s">
        <v>55</v>
      </c>
      <c r="N243" s="75" t="str">
        <f>"SELECT 'Validação de campos' as tipologia_teste, '"&amp;VLOOKUP(B243,Instruções!$F$13:$J$17,3,0)&amp;"' AS TABELA, '"&amp;E243&amp;"' AS CAMPO, '"&amp;Instruções!$D$15&amp;"' as ref_date, coalesce(NUM_REG_DIF, 0) AS NUM_REG_DIF FROM ("&amp;L243&amp;") A "</f>
        <v xml:space="preserve">SELECT 'Validação de campos' as tipologia_teste, 'lt002_instrument' AS TABELA, 'lti_instrmnt' AS CAMPO, '2024-09-30' as ref_date, coalesce(NUM_REG_DIF, 0) AS NUM_REG_DIF FROM (SELECT count(*) AS NUM_REG_DIF FROM (SELECT instrmnt_id as instrmnt_id_, lti_instrmnt as lti_instrmnt_as_is FROM cd_loan_tapes_bce.lt002_instrument WHERE ref_date='2024-09-30' AND nome_perimetro='Individual Corporativo' AND segmento='ESTR' AND ambito='PM' AND entidade='00100' ) A  Inner join (SELECT instrmnt_id as instrmnt_id_, lti_instrmnt as lti_instrmnt_to_be FROM bu_loantape_work.lt002_instrument WHERE ref_date='2024-09-30' AND nome_perimetro='Individual Corporativo' AND segmento='ESTR' AND ambito='PM' AND entidade='00100' ) B ON instrmnt_id_as_is=instrmnt_id_to_be WHERE coalesce(cast(lti_instrmnt_as_is AS string),'')&lt;&gt;coalesce(cast(lti_instrmnt_to_be AS string),'') ) A </v>
      </c>
      <c r="O243" s="76" t="str">
        <f t="shared" si="38"/>
        <v>SELECT 'Validação de campos' as tipologia_teste, 'lt002_instrument' AS TABELA, 'lti_instrmnt' AS CAMPO, '2024-09-30' as ref_date, coalesce(NUM_REG_DIF, 0) AS NUM_REG_DIF FROM (SELECT count(*) AS NUM_REG_DIF FROM (SELECT instrmnt_id as instrmnt_id_, lti_instrmnt as lti_instrmnt_as_is FROM cd_loan_tapes_bce.lt002_instrument WHERE ref_date='2024-09-30' AND nome_perimetro='Individual Corporativo' AND segmento='ESTR' AND ambito='PM' AND entidade='00100' ) A  Inner join (SELECT instrmnt_id as instrmnt_id_, lti_instrmnt as lti_instrmnt_to_be FROM bu_loantape_work.lt002_instrument WHERE ref_date='2024-09-30' AND nome_perimetro='Individual Corporativo' AND segmento='ESTR' AND ambito='PM' AND entidade='00100' ) B ON instrmnt_id_as_is=instrmnt_id_to_be WHERE coalesce(cast(lti_instrmnt_as_is AS string),'')&lt;&gt;coalesce(cast(lti_instrmnt_to_be AS string),'') ) A Union all</v>
      </c>
      <c r="P243" s="75">
        <f t="shared" si="39"/>
        <v>31</v>
      </c>
    </row>
    <row r="244" spans="2:16" s="63" customFormat="1" ht="18" customHeight="1">
      <c r="B244" s="75" t="s">
        <v>26</v>
      </c>
      <c r="C244" s="75" t="str">
        <f>_xlfn.CONCAT(Instruções!$D$13,".",VLOOKUP(B244,Instruções!$F$12:$H$17,2,0))</f>
        <v>cd_loan_tapes_bce.lt002_instrument</v>
      </c>
      <c r="D244" s="75" t="str">
        <f>_xlfn.CONCAT(Instruções!$D$14,".",VLOOKUP(B244,Instruções!$F$12:$H$17,3,0))</f>
        <v>bu_loantape_work.lt002_instrument</v>
      </c>
      <c r="E244" s="75" t="s">
        <v>279</v>
      </c>
      <c r="F244" s="75" t="str">
        <f t="shared" si="34"/>
        <v>ltv_as_is</v>
      </c>
      <c r="G244" s="75" t="str">
        <f t="shared" si="35"/>
        <v>ltv_to_be</v>
      </c>
      <c r="H244" s="75" t="str">
        <f>IF(VLOOKUP(B244,Instruções!$F$13:$J$17,5,0)="",
"(SELECT "&amp;VLOOKUP(B244,Instruções!$F$13:$J$17,4,0)&amp;" as "&amp;VLOOKUP(B244,Instruções!$F$13:$J$17,4,0)&amp;"_"&amp;$F$2&amp;", "&amp;E244&amp;" as "&amp;F244&amp;" FROM "&amp;C244&amp;" WHERE "&amp;Instruções!$D$20&amp;") A ",
"(SELECT "&amp;VLOOKUP(B244,Instruções!$F$13:$J$17,4,0)&amp;" as "&amp;VLOOKUP(B244,Instruções!$F$13:$J$17,4,0)&amp;"_"&amp;$F$2&amp;", "&amp;VLOOKUP(B244,Instruções!$F$13:$J$17,5,0)&amp;" as "&amp;VLOOKUP(B244,Instruções!$F$13:$J$17,5,0)&amp;"_"&amp;$F$2&amp;","&amp;E244&amp;" as "&amp;F244&amp;" FROM "&amp;C244&amp;" WHERE "&amp;Instruções!$D$20&amp;") A ")</f>
        <v xml:space="preserve">(SELECT instrmnt_id as instrmnt_id_, ltv as ltv_as_is FROM cd_loan_tapes_bce.lt002_instrument WHERE ref_date='2024-09-30' AND nome_perimetro='Individual Corporativo' AND segmento='ESTR' AND ambito='PM' AND entidade='00100' ) A </v>
      </c>
      <c r="I244" s="75" t="str">
        <f>IF(VLOOKUP(B244,Instruções!$F$13:$J$17,5,0)="",
"(SELECT "&amp;VLOOKUP(B244,Instruções!$F$13:$J$17,4,0)&amp;" as "&amp;VLOOKUP(B244,Instruções!$F$13:$J$17,4,0)&amp;"_"&amp;$G$2&amp;", "&amp;E244&amp;" as "&amp;G244&amp;" FROM "&amp;D244&amp;" WHERE "&amp;Instruções!$D$21&amp;") B ",
"(SELECT "&amp;VLOOKUP(B244,Instruções!$F$13:$J$17,4,0)&amp;" as "&amp;VLOOKUP(B244,Instruções!$F$13:$J$17,4,0)&amp;"_"&amp;$G$2&amp;", "&amp;VLOOKUP(B244,Instruções!$F$13:$J$17,5,0)&amp;" as "&amp;VLOOKUP(B244,Instruções!$F$13:$J$17,5,0)&amp;"_"&amp;$G$2&amp;","&amp;E244&amp;" as "&amp;G244&amp;" FROM "&amp;D244&amp;" WHERE "&amp;Instruções!$D$21&amp;") B ")</f>
        <v xml:space="preserve">(SELECT instrmnt_id as instrmnt_id_, ltv as ltv_to_be FROM bu_loantape_work.lt002_instrument WHERE ref_date='2024-09-30' AND nome_perimetro='Individual Corporativo' AND segmento='ESTR' AND ambito='PM' AND entidade='00100' ) B </v>
      </c>
      <c r="J244" s="75" t="str">
        <f>+IF(VLOOKUP(B244,Instruções!$F$13:$J$17,5,0)="", "ON "&amp;VLOOKUP(B244,Instruções!$F$13:$J$17,4,0)&amp;"_"&amp;$F$7&amp;"="&amp;VLOOKUP(B244,Instruções!$F$13:$J$17,4,0)&amp;"_"&amp;$G$7&amp;" ", "ON "&amp;VLOOKUP(B244,Instruções!$F$13:$J$17,4,0)&amp;"_"&amp;$F$7&amp;"="&amp;VLOOKUP(B244,Instruções!$F$13:$J$17,4,0)&amp;"_"&amp;$G$7&amp;" AND "&amp;VLOOKUP(B244,Instruções!$F$13:$J$17,5,0)&amp;"_"&amp;$F$7&amp;"="&amp;VLOOKUP(B244,Instruções!$F$13:$J$17,5,0)&amp;"_"&amp;$G$7&amp;" ")</f>
        <v xml:space="preserve">ON instrmnt_id_as_is=instrmnt_id_to_be </v>
      </c>
      <c r="K244" s="75" t="str">
        <f t="shared" si="36"/>
        <v xml:space="preserve">WHERE coalesce(cast(ltv_as_is AS string),'')&lt;&gt;coalesce(cast(ltv_to_be AS string),'') </v>
      </c>
      <c r="L244" s="75" t="str">
        <f t="shared" si="37"/>
        <v xml:space="preserve">SELECT count(*) AS NUM_REG_DIF FROM (SELECT instrmnt_id as instrmnt_id_, ltv as ltv_as_is FROM cd_loan_tapes_bce.lt002_instrument WHERE ref_date='2024-09-30' AND nome_perimetro='Individual Corporativo' AND segmento='ESTR' AND ambito='PM' AND entidade='00100' ) A  Inner join (SELECT instrmnt_id as instrmnt_id_, ltv as ltv_to_be FROM bu_loantape_work.lt002_instrument WHERE ref_date='2024-09-30' AND nome_perimetro='Individual Corporativo' AND segmento='ESTR' AND ambito='PM' AND entidade='00100' ) B ON instrmnt_id_as_is=instrmnt_id_to_be WHERE coalesce(cast(ltv_as_is AS string),'')&lt;&gt;coalesce(cast(ltv_to_be AS string),'') </v>
      </c>
      <c r="M244" s="75" t="s">
        <v>55</v>
      </c>
      <c r="N244" s="75" t="str">
        <f>"SELECT 'Validação de campos' as tipologia_teste, '"&amp;VLOOKUP(B244,Instruções!$F$13:$J$17,3,0)&amp;"' AS TABELA, '"&amp;E244&amp;"' AS CAMPO, '"&amp;Instruções!$D$15&amp;"' as ref_date, coalesce(NUM_REG_DIF, 0) AS NUM_REG_DIF FROM ("&amp;L244&amp;") A "</f>
        <v xml:space="preserve">SELECT 'Validação de campos' as tipologia_teste, 'lt002_instrument' AS TABELA, 'ltv' AS CAMPO, '2024-09-30' as ref_date, coalesce(NUM_REG_DIF, 0) AS NUM_REG_DIF FROM (SELECT count(*) AS NUM_REG_DIF FROM (SELECT instrmnt_id as instrmnt_id_, ltv as ltv_as_is FROM cd_loan_tapes_bce.lt002_instrument WHERE ref_date='2024-09-30' AND nome_perimetro='Individual Corporativo' AND segmento='ESTR' AND ambito='PM' AND entidade='00100' ) A  Inner join (SELECT instrmnt_id as instrmnt_id_, ltv as ltv_to_be FROM bu_loantape_work.lt002_instrument WHERE ref_date='2024-09-30' AND nome_perimetro='Individual Corporativo' AND segmento='ESTR' AND ambito='PM' AND entidade='00100' ) B ON instrmnt_id_as_is=instrmnt_id_to_be WHERE coalesce(cast(ltv_as_is AS string),'')&lt;&gt;coalesce(cast(ltv_to_be AS string),'') ) A </v>
      </c>
      <c r="O244" s="76" t="str">
        <f t="shared" si="38"/>
        <v>SELECT 'Validação de campos' as tipologia_teste, 'lt002_instrument' AS TABELA, 'ltv' AS CAMPO, '2024-09-30' as ref_date, coalesce(NUM_REG_DIF, 0) AS NUM_REG_DIF FROM (SELECT count(*) AS NUM_REG_DIF FROM (SELECT instrmnt_id as instrmnt_id_, ltv as ltv_as_is FROM cd_loan_tapes_bce.lt002_instrument WHERE ref_date='2024-09-30' AND nome_perimetro='Individual Corporativo' AND segmento='ESTR' AND ambito='PM' AND entidade='00100' ) A  Inner join (SELECT instrmnt_id as instrmnt_id_, ltv as ltv_to_be FROM bu_loantape_work.lt002_instrument WHERE ref_date='2024-09-30' AND nome_perimetro='Individual Corporativo' AND segmento='ESTR' AND ambito='PM' AND entidade='00100' ) B ON instrmnt_id_as_is=instrmnt_id_to_be WHERE coalesce(cast(ltv_as_is AS string),'')&lt;&gt;coalesce(cast(ltv_to_be AS string),'') ) A Union all</v>
      </c>
      <c r="P244" s="75">
        <f t="shared" si="39"/>
        <v>32</v>
      </c>
    </row>
    <row r="245" spans="2:16" s="63" customFormat="1" ht="18" customHeight="1">
      <c r="B245" s="75" t="s">
        <v>26</v>
      </c>
      <c r="C245" s="75" t="str">
        <f>_xlfn.CONCAT(Instruções!$D$13,".",VLOOKUP(B245,Instruções!$F$12:$H$17,2,0))</f>
        <v>cd_loan_tapes_bce.lt002_instrument</v>
      </c>
      <c r="D245" s="75" t="str">
        <f>_xlfn.CONCAT(Instruções!$D$14,".",VLOOKUP(B245,Instruções!$F$12:$H$17,3,0))</f>
        <v>bu_loantape_work.lt002_instrument</v>
      </c>
      <c r="E245" s="75" t="s">
        <v>280</v>
      </c>
      <c r="F245" s="75" t="str">
        <f t="shared" ref="F245:F262" si="40">E245&amp;"_"&amp;$F$7</f>
        <v>ltv_incptn_as_is</v>
      </c>
      <c r="G245" s="75" t="str">
        <f t="shared" ref="G245:G262" si="41">E245&amp;"_"&amp;$G$7</f>
        <v>ltv_incptn_to_be</v>
      </c>
      <c r="H245" s="75" t="str">
        <f>IF(VLOOKUP(B245,Instruções!$F$13:$J$17,5,0)="",
"(SELECT "&amp;VLOOKUP(B245,Instruções!$F$13:$J$17,4,0)&amp;" as "&amp;VLOOKUP(B245,Instruções!$F$13:$J$17,4,0)&amp;"_"&amp;$F$2&amp;", "&amp;E245&amp;" as "&amp;F245&amp;" FROM "&amp;C245&amp;" WHERE "&amp;Instruções!$D$20&amp;") A ",
"(SELECT "&amp;VLOOKUP(B245,Instruções!$F$13:$J$17,4,0)&amp;" as "&amp;VLOOKUP(B245,Instruções!$F$13:$J$17,4,0)&amp;"_"&amp;$F$2&amp;", "&amp;VLOOKUP(B245,Instruções!$F$13:$J$17,5,0)&amp;" as "&amp;VLOOKUP(B245,Instruções!$F$13:$J$17,5,0)&amp;"_"&amp;$F$2&amp;","&amp;E245&amp;" as "&amp;F245&amp;" FROM "&amp;C245&amp;" WHERE "&amp;Instruções!$D$20&amp;") A ")</f>
        <v xml:space="preserve">(SELECT instrmnt_id as instrmnt_id_, ltv_incptn as ltv_incptn_as_is FROM cd_loan_tapes_bce.lt002_instrument WHERE ref_date='2024-09-30' AND nome_perimetro='Individual Corporativo' AND segmento='ESTR' AND ambito='PM' AND entidade='00100' ) A </v>
      </c>
      <c r="I245" s="75" t="str">
        <f>IF(VLOOKUP(B245,Instruções!$F$13:$J$17,5,0)="",
"(SELECT "&amp;VLOOKUP(B245,Instruções!$F$13:$J$17,4,0)&amp;" as "&amp;VLOOKUP(B245,Instruções!$F$13:$J$17,4,0)&amp;"_"&amp;$G$2&amp;", "&amp;E245&amp;" as "&amp;G245&amp;" FROM "&amp;D245&amp;" WHERE "&amp;Instruções!$D$21&amp;") B ",
"(SELECT "&amp;VLOOKUP(B245,Instruções!$F$13:$J$17,4,0)&amp;" as "&amp;VLOOKUP(B245,Instruções!$F$13:$J$17,4,0)&amp;"_"&amp;$G$2&amp;", "&amp;VLOOKUP(B245,Instruções!$F$13:$J$17,5,0)&amp;" as "&amp;VLOOKUP(B245,Instruções!$F$13:$J$17,5,0)&amp;"_"&amp;$G$2&amp;","&amp;E245&amp;" as "&amp;G245&amp;" FROM "&amp;D245&amp;" WHERE "&amp;Instruções!$D$21&amp;") B ")</f>
        <v xml:space="preserve">(SELECT instrmnt_id as instrmnt_id_, ltv_incptn as ltv_incptn_to_be FROM bu_loantape_work.lt002_instrument WHERE ref_date='2024-09-30' AND nome_perimetro='Individual Corporativo' AND segmento='ESTR' AND ambito='PM' AND entidade='00100' ) B </v>
      </c>
      <c r="J245" s="75" t="str">
        <f>+IF(VLOOKUP(B245,Instruções!$F$13:$J$17,5,0)="", "ON "&amp;VLOOKUP(B245,Instruções!$F$13:$J$17,4,0)&amp;"_"&amp;$F$7&amp;"="&amp;VLOOKUP(B245,Instruções!$F$13:$J$17,4,0)&amp;"_"&amp;$G$7&amp;" ", "ON "&amp;VLOOKUP(B245,Instruções!$F$13:$J$17,4,0)&amp;"_"&amp;$F$7&amp;"="&amp;VLOOKUP(B245,Instruções!$F$13:$J$17,4,0)&amp;"_"&amp;$G$7&amp;" AND "&amp;VLOOKUP(B245,Instruções!$F$13:$J$17,5,0)&amp;"_"&amp;$F$7&amp;"="&amp;VLOOKUP(B245,Instruções!$F$13:$J$17,5,0)&amp;"_"&amp;$G$7&amp;" ")</f>
        <v xml:space="preserve">ON instrmnt_id_as_is=instrmnt_id_to_be </v>
      </c>
      <c r="K245" s="75" t="str">
        <f t="shared" si="36"/>
        <v xml:space="preserve">WHERE coalesce(cast(ltv_incptn_as_is AS string),'')&lt;&gt;coalesce(cast(ltv_incptn_to_be AS string),'') </v>
      </c>
      <c r="L245" s="75" t="str">
        <f t="shared" si="37"/>
        <v xml:space="preserve">SELECT count(*) AS NUM_REG_DIF FROM (SELECT instrmnt_id as instrmnt_id_, ltv_incptn as ltv_incptn_as_is FROM cd_loan_tapes_bce.lt002_instrument WHERE ref_date='2024-09-30' AND nome_perimetro='Individual Corporativo' AND segmento='ESTR' AND ambito='PM' AND entidade='00100' ) A  Inner join (SELECT instrmnt_id as instrmnt_id_, ltv_incptn as ltv_incptn_to_be FROM bu_loantape_work.lt002_instrument WHERE ref_date='2024-09-30' AND nome_perimetro='Individual Corporativo' AND segmento='ESTR' AND ambito='PM' AND entidade='00100' ) B ON instrmnt_id_as_is=instrmnt_id_to_be WHERE coalesce(cast(ltv_incptn_as_is AS string),'')&lt;&gt;coalesce(cast(ltv_incptn_to_be AS string),'') </v>
      </c>
      <c r="M245" s="75" t="s">
        <v>55</v>
      </c>
      <c r="N245" s="75" t="str">
        <f>"SELECT 'Validação de campos' as tipologia_teste, '"&amp;VLOOKUP(B245,Instruções!$F$13:$J$17,3,0)&amp;"' AS TABELA, '"&amp;E245&amp;"' AS CAMPO, '"&amp;Instruções!$D$15&amp;"' as ref_date, coalesce(NUM_REG_DIF, 0) AS NUM_REG_DIF FROM ("&amp;L245&amp;") A "</f>
        <v xml:space="preserve">SELECT 'Validação de campos' as tipologia_teste, 'lt002_instrument' AS TABELA, 'ltv_incptn' AS CAMPO, '2024-09-30' as ref_date, coalesce(NUM_REG_DIF, 0) AS NUM_REG_DIF FROM (SELECT count(*) AS NUM_REG_DIF FROM (SELECT instrmnt_id as instrmnt_id_, ltv_incptn as ltv_incptn_as_is FROM cd_loan_tapes_bce.lt002_instrument WHERE ref_date='2024-09-30' AND nome_perimetro='Individual Corporativo' AND segmento='ESTR' AND ambito='PM' AND entidade='00100' ) A  Inner join (SELECT instrmnt_id as instrmnt_id_, ltv_incptn as ltv_incptn_to_be FROM bu_loantape_work.lt002_instrument WHERE ref_date='2024-09-30' AND nome_perimetro='Individual Corporativo' AND segmento='ESTR' AND ambito='PM' AND entidade='00100' ) B ON instrmnt_id_as_is=instrmnt_id_to_be WHERE coalesce(cast(ltv_incptn_as_is AS string),'')&lt;&gt;coalesce(cast(ltv_incptn_to_be AS string),'') ) A </v>
      </c>
      <c r="O245" s="76" t="str">
        <f t="shared" si="38"/>
        <v>SELECT 'Validação de campos' as tipologia_teste, 'lt002_instrument' AS TABELA, 'ltv_incptn' AS CAMPO, '2024-09-30' as ref_date, coalesce(NUM_REG_DIF, 0) AS NUM_REG_DIF FROM (SELECT count(*) AS NUM_REG_DIF FROM (SELECT instrmnt_id as instrmnt_id_, ltv_incptn as ltv_incptn_as_is FROM cd_loan_tapes_bce.lt002_instrument WHERE ref_date='2024-09-30' AND nome_perimetro='Individual Corporativo' AND segmento='ESTR' AND ambito='PM' AND entidade='00100' ) A  Inner join (SELECT instrmnt_id as instrmnt_id_, ltv_incptn as ltv_incptn_to_be FROM bu_loantape_work.lt002_instrument WHERE ref_date='2024-09-30' AND nome_perimetro='Individual Corporativo' AND segmento='ESTR' AND ambito='PM' AND entidade='00100' ) B ON instrmnt_id_as_is=instrmnt_id_to_be WHERE coalesce(cast(ltv_incptn_as_is AS string),'')&lt;&gt;coalesce(cast(ltv_incptn_to_be AS string),'') ) A Union all</v>
      </c>
      <c r="P245" s="75">
        <f t="shared" si="39"/>
        <v>33</v>
      </c>
    </row>
    <row r="246" spans="2:16" s="63" customFormat="1" ht="18" customHeight="1">
      <c r="B246" s="75" t="s">
        <v>26</v>
      </c>
      <c r="C246" s="75" t="str">
        <f>_xlfn.CONCAT(Instruções!$D$13,".",VLOOKUP(B246,Instruções!$F$12:$H$17,2,0))</f>
        <v>cd_loan_tapes_bce.lt002_instrument</v>
      </c>
      <c r="D246" s="75" t="str">
        <f>_xlfn.CONCAT(Instruções!$D$14,".",VLOOKUP(B246,Instruções!$F$12:$H$17,3,0))</f>
        <v>bu_loantape_work.lt002_instrument</v>
      </c>
      <c r="E246" s="75" t="s">
        <v>281</v>
      </c>
      <c r="F246" s="75" t="str">
        <f t="shared" si="40"/>
        <v>ltv_npe_as_is</v>
      </c>
      <c r="G246" s="75" t="str">
        <f t="shared" si="41"/>
        <v>ltv_npe_to_be</v>
      </c>
      <c r="H246" s="75" t="str">
        <f>IF(VLOOKUP(B246,Instruções!$F$13:$J$17,5,0)="",
"(SELECT "&amp;VLOOKUP(B246,Instruções!$F$13:$J$17,4,0)&amp;" as "&amp;VLOOKUP(B246,Instruções!$F$13:$J$17,4,0)&amp;"_"&amp;$F$2&amp;", "&amp;E246&amp;" as "&amp;F246&amp;" FROM "&amp;C246&amp;" WHERE "&amp;Instruções!$D$20&amp;") A ",
"(SELECT "&amp;VLOOKUP(B246,Instruções!$F$13:$J$17,4,0)&amp;" as "&amp;VLOOKUP(B246,Instruções!$F$13:$J$17,4,0)&amp;"_"&amp;$F$2&amp;", "&amp;VLOOKUP(B246,Instruções!$F$13:$J$17,5,0)&amp;" as "&amp;VLOOKUP(B246,Instruções!$F$13:$J$17,5,0)&amp;"_"&amp;$F$2&amp;","&amp;E246&amp;" as "&amp;F246&amp;" FROM "&amp;C246&amp;" WHERE "&amp;Instruções!$D$20&amp;") A ")</f>
        <v xml:space="preserve">(SELECT instrmnt_id as instrmnt_id_, ltv_npe as ltv_npe_as_is FROM cd_loan_tapes_bce.lt002_instrument WHERE ref_date='2024-09-30' AND nome_perimetro='Individual Corporativo' AND segmento='ESTR' AND ambito='PM' AND entidade='00100' ) A </v>
      </c>
      <c r="I246" s="75" t="str">
        <f>IF(VLOOKUP(B246,Instruções!$F$13:$J$17,5,0)="",
"(SELECT "&amp;VLOOKUP(B246,Instruções!$F$13:$J$17,4,0)&amp;" as "&amp;VLOOKUP(B246,Instruções!$F$13:$J$17,4,0)&amp;"_"&amp;$G$2&amp;", "&amp;E246&amp;" as "&amp;G246&amp;" FROM "&amp;D246&amp;" WHERE "&amp;Instruções!$D$21&amp;") B ",
"(SELECT "&amp;VLOOKUP(B246,Instruções!$F$13:$J$17,4,0)&amp;" as "&amp;VLOOKUP(B246,Instruções!$F$13:$J$17,4,0)&amp;"_"&amp;$G$2&amp;", "&amp;VLOOKUP(B246,Instruções!$F$13:$J$17,5,0)&amp;" as "&amp;VLOOKUP(B246,Instruções!$F$13:$J$17,5,0)&amp;"_"&amp;$G$2&amp;","&amp;E246&amp;" as "&amp;G246&amp;" FROM "&amp;D246&amp;" WHERE "&amp;Instruções!$D$21&amp;") B ")</f>
        <v xml:space="preserve">(SELECT instrmnt_id as instrmnt_id_, ltv_npe as ltv_npe_to_be FROM bu_loantape_work.lt002_instrument WHERE ref_date='2024-09-30' AND nome_perimetro='Individual Corporativo' AND segmento='ESTR' AND ambito='PM' AND entidade='00100' ) B </v>
      </c>
      <c r="J246" s="75" t="str">
        <f>+IF(VLOOKUP(B246,Instruções!$F$13:$J$17,5,0)="", "ON "&amp;VLOOKUP(B246,Instruções!$F$13:$J$17,4,0)&amp;"_"&amp;$F$7&amp;"="&amp;VLOOKUP(B246,Instruções!$F$13:$J$17,4,0)&amp;"_"&amp;$G$7&amp;" ", "ON "&amp;VLOOKUP(B246,Instruções!$F$13:$J$17,4,0)&amp;"_"&amp;$F$7&amp;"="&amp;VLOOKUP(B246,Instruções!$F$13:$J$17,4,0)&amp;"_"&amp;$G$7&amp;" AND "&amp;VLOOKUP(B246,Instruções!$F$13:$J$17,5,0)&amp;"_"&amp;$F$7&amp;"="&amp;VLOOKUP(B246,Instruções!$F$13:$J$17,5,0)&amp;"_"&amp;$G$7&amp;" ")</f>
        <v xml:space="preserve">ON instrmnt_id_as_is=instrmnt_id_to_be </v>
      </c>
      <c r="K246" s="75" t="str">
        <f t="shared" si="36"/>
        <v xml:space="preserve">WHERE coalesce(cast(ltv_npe_as_is AS string),'')&lt;&gt;coalesce(cast(ltv_npe_to_be AS string),'') </v>
      </c>
      <c r="L246" s="75" t="str">
        <f t="shared" si="37"/>
        <v xml:space="preserve">SELECT count(*) AS NUM_REG_DIF FROM (SELECT instrmnt_id as instrmnt_id_, ltv_npe as ltv_npe_as_is FROM cd_loan_tapes_bce.lt002_instrument WHERE ref_date='2024-09-30' AND nome_perimetro='Individual Corporativo' AND segmento='ESTR' AND ambito='PM' AND entidade='00100' ) A  Inner join (SELECT instrmnt_id as instrmnt_id_, ltv_npe as ltv_npe_to_be FROM bu_loantape_work.lt002_instrument WHERE ref_date='2024-09-30' AND nome_perimetro='Individual Corporativo' AND segmento='ESTR' AND ambito='PM' AND entidade='00100' ) B ON instrmnt_id_as_is=instrmnt_id_to_be WHERE coalesce(cast(ltv_npe_as_is AS string),'')&lt;&gt;coalesce(cast(ltv_npe_to_be AS string),'') </v>
      </c>
      <c r="M246" s="75" t="s">
        <v>55</v>
      </c>
      <c r="N246" s="75" t="str">
        <f>"SELECT 'Validação de campos' as tipologia_teste, '"&amp;VLOOKUP(B246,Instruções!$F$13:$J$17,3,0)&amp;"' AS TABELA, '"&amp;E246&amp;"' AS CAMPO, '"&amp;Instruções!$D$15&amp;"' as ref_date, coalesce(NUM_REG_DIF, 0) AS NUM_REG_DIF FROM ("&amp;L246&amp;") A "</f>
        <v xml:space="preserve">SELECT 'Validação de campos' as tipologia_teste, 'lt002_instrument' AS TABELA, 'ltv_npe' AS CAMPO, '2024-09-30' as ref_date, coalesce(NUM_REG_DIF, 0) AS NUM_REG_DIF FROM (SELECT count(*) AS NUM_REG_DIF FROM (SELECT instrmnt_id as instrmnt_id_, ltv_npe as ltv_npe_as_is FROM cd_loan_tapes_bce.lt002_instrument WHERE ref_date='2024-09-30' AND nome_perimetro='Individual Corporativo' AND segmento='ESTR' AND ambito='PM' AND entidade='00100' ) A  Inner join (SELECT instrmnt_id as instrmnt_id_, ltv_npe as ltv_npe_to_be FROM bu_loantape_work.lt002_instrument WHERE ref_date='2024-09-30' AND nome_perimetro='Individual Corporativo' AND segmento='ESTR' AND ambito='PM' AND entidade='00100' ) B ON instrmnt_id_as_is=instrmnt_id_to_be WHERE coalesce(cast(ltv_npe_as_is AS string),'')&lt;&gt;coalesce(cast(ltv_npe_to_be AS string),'') ) A </v>
      </c>
      <c r="O246" s="76" t="str">
        <f t="shared" si="38"/>
        <v>SELECT 'Validação de campos' as tipologia_teste, 'lt002_instrument' AS TABELA, 'ltv_npe' AS CAMPO, '2024-09-30' as ref_date, coalesce(NUM_REG_DIF, 0) AS NUM_REG_DIF FROM (SELECT count(*) AS NUM_REG_DIF FROM (SELECT instrmnt_id as instrmnt_id_, ltv_npe as ltv_npe_as_is FROM cd_loan_tapes_bce.lt002_instrument WHERE ref_date='2024-09-30' AND nome_perimetro='Individual Corporativo' AND segmento='ESTR' AND ambito='PM' AND entidade='00100' ) A  Inner join (SELECT instrmnt_id as instrmnt_id_, ltv_npe as ltv_npe_to_be FROM bu_loantape_work.lt002_instrument WHERE ref_date='2024-09-30' AND nome_perimetro='Individual Corporativo' AND segmento='ESTR' AND ambito='PM' AND entidade='00100' ) B ON instrmnt_id_as_is=instrmnt_id_to_be WHERE coalesce(cast(ltv_npe_as_is AS string),'')&lt;&gt;coalesce(cast(ltv_npe_to_be AS string),'') ) A Union all</v>
      </c>
      <c r="P246" s="75">
        <f t="shared" si="39"/>
        <v>34</v>
      </c>
    </row>
    <row r="247" spans="2:16" s="63" customFormat="1" ht="18" customHeight="1">
      <c r="B247" s="75" t="s">
        <v>26</v>
      </c>
      <c r="C247" s="75" t="str">
        <f>_xlfn.CONCAT(Instruções!$D$13,".",VLOOKUP(B247,Instruções!$F$12:$H$17,2,0))</f>
        <v>cd_loan_tapes_bce.lt002_instrument</v>
      </c>
      <c r="D247" s="75" t="str">
        <f>_xlfn.CONCAT(Instruções!$D$14,".",VLOOKUP(B247,Instruções!$F$12:$H$17,3,0))</f>
        <v>bu_loantape_work.lt002_instrument</v>
      </c>
      <c r="E247" s="75" t="s">
        <v>282</v>
      </c>
      <c r="F247" s="75" t="str">
        <f t="shared" si="40"/>
        <v>lvrg_fnnc_flg_as_is</v>
      </c>
      <c r="G247" s="75" t="str">
        <f t="shared" si="41"/>
        <v>lvrg_fnnc_flg_to_be</v>
      </c>
      <c r="H247" s="75" t="str">
        <f>IF(VLOOKUP(B247,Instruções!$F$13:$J$17,5,0)="",
"(SELECT "&amp;VLOOKUP(B247,Instruções!$F$13:$J$17,4,0)&amp;" as "&amp;VLOOKUP(B247,Instruções!$F$13:$J$17,4,0)&amp;"_"&amp;$F$2&amp;", "&amp;E247&amp;" as "&amp;F247&amp;" FROM "&amp;C247&amp;" WHERE "&amp;Instruções!$D$20&amp;") A ",
"(SELECT "&amp;VLOOKUP(B247,Instruções!$F$13:$J$17,4,0)&amp;" as "&amp;VLOOKUP(B247,Instruções!$F$13:$J$17,4,0)&amp;"_"&amp;$F$2&amp;", "&amp;VLOOKUP(B247,Instruções!$F$13:$J$17,5,0)&amp;" as "&amp;VLOOKUP(B247,Instruções!$F$13:$J$17,5,0)&amp;"_"&amp;$F$2&amp;","&amp;E247&amp;" as "&amp;F247&amp;" FROM "&amp;C247&amp;" WHERE "&amp;Instruções!$D$20&amp;") A ")</f>
        <v xml:space="preserve">(SELECT instrmnt_id as instrmnt_id_, lvrg_fnnc_flg as lvrg_fnnc_flg_as_is FROM cd_loan_tapes_bce.lt002_instrument WHERE ref_date='2024-09-30' AND nome_perimetro='Individual Corporativo' AND segmento='ESTR' AND ambito='PM' AND entidade='00100' ) A </v>
      </c>
      <c r="I247" s="75" t="str">
        <f>IF(VLOOKUP(B247,Instruções!$F$13:$J$17,5,0)="",
"(SELECT "&amp;VLOOKUP(B247,Instruções!$F$13:$J$17,4,0)&amp;" as "&amp;VLOOKUP(B247,Instruções!$F$13:$J$17,4,0)&amp;"_"&amp;$G$2&amp;", "&amp;E247&amp;" as "&amp;G247&amp;" FROM "&amp;D247&amp;" WHERE "&amp;Instruções!$D$21&amp;") B ",
"(SELECT "&amp;VLOOKUP(B247,Instruções!$F$13:$J$17,4,0)&amp;" as "&amp;VLOOKUP(B247,Instruções!$F$13:$J$17,4,0)&amp;"_"&amp;$G$2&amp;", "&amp;VLOOKUP(B247,Instruções!$F$13:$J$17,5,0)&amp;" as "&amp;VLOOKUP(B247,Instruções!$F$13:$J$17,5,0)&amp;"_"&amp;$G$2&amp;","&amp;E247&amp;" as "&amp;G247&amp;" FROM "&amp;D247&amp;" WHERE "&amp;Instruções!$D$21&amp;") B ")</f>
        <v xml:space="preserve">(SELECT instrmnt_id as instrmnt_id_, lvrg_fnnc_flg as lvrg_fnnc_flg_to_be FROM bu_loantape_work.lt002_instrument WHERE ref_date='2024-09-30' AND nome_perimetro='Individual Corporativo' AND segmento='ESTR' AND ambito='PM' AND entidade='00100' ) B </v>
      </c>
      <c r="J247" s="75" t="str">
        <f>+IF(VLOOKUP(B247,Instruções!$F$13:$J$17,5,0)="", "ON "&amp;VLOOKUP(B247,Instruções!$F$13:$J$17,4,0)&amp;"_"&amp;$F$7&amp;"="&amp;VLOOKUP(B247,Instruções!$F$13:$J$17,4,0)&amp;"_"&amp;$G$7&amp;" ", "ON "&amp;VLOOKUP(B247,Instruções!$F$13:$J$17,4,0)&amp;"_"&amp;$F$7&amp;"="&amp;VLOOKUP(B247,Instruções!$F$13:$J$17,4,0)&amp;"_"&amp;$G$7&amp;" AND "&amp;VLOOKUP(B247,Instruções!$F$13:$J$17,5,0)&amp;"_"&amp;$F$7&amp;"="&amp;VLOOKUP(B247,Instruções!$F$13:$J$17,5,0)&amp;"_"&amp;$G$7&amp;" ")</f>
        <v xml:space="preserve">ON instrmnt_id_as_is=instrmnt_id_to_be </v>
      </c>
      <c r="K247" s="75" t="str">
        <f t="shared" si="36"/>
        <v xml:space="preserve">WHERE coalesce(cast(lvrg_fnnc_flg_as_is AS string),'')&lt;&gt;coalesce(cast(lvrg_fnnc_flg_to_be AS string),'') </v>
      </c>
      <c r="L247" s="75" t="str">
        <f t="shared" si="37"/>
        <v xml:space="preserve">SELECT count(*) AS NUM_REG_DIF FROM (SELECT instrmnt_id as instrmnt_id_, lvrg_fnnc_flg as lvrg_fnnc_flg_as_is FROM cd_loan_tapes_bce.lt002_instrument WHERE ref_date='2024-09-30' AND nome_perimetro='Individual Corporativo' AND segmento='ESTR' AND ambito='PM' AND entidade='00100' ) A  Inner join (SELECT instrmnt_id as instrmnt_id_, lvrg_fnnc_flg as lvrg_fnnc_flg_to_be FROM bu_loantape_work.lt002_instrument WHERE ref_date='2024-09-30' AND nome_perimetro='Individual Corporativo' AND segmento='ESTR' AND ambito='PM' AND entidade='00100' ) B ON instrmnt_id_as_is=instrmnt_id_to_be WHERE coalesce(cast(lvrg_fnnc_flg_as_is AS string),'')&lt;&gt;coalesce(cast(lvrg_fnnc_flg_to_be AS string),'') </v>
      </c>
      <c r="M247" s="75" t="s">
        <v>55</v>
      </c>
      <c r="N247" s="75" t="str">
        <f>"SELECT 'Validação de campos' as tipologia_teste, '"&amp;VLOOKUP(B247,Instruções!$F$13:$J$17,3,0)&amp;"' AS TABELA, '"&amp;E247&amp;"' AS CAMPO, '"&amp;Instruções!$D$15&amp;"' as ref_date, coalesce(NUM_REG_DIF, 0) AS NUM_REG_DIF FROM ("&amp;L247&amp;") A "</f>
        <v xml:space="preserve">SELECT 'Validação de campos' as tipologia_teste, 'lt002_instrument' AS TABELA, 'lvrg_fnnc_flg' AS CAMPO, '2024-09-30' as ref_date, coalesce(NUM_REG_DIF, 0) AS NUM_REG_DIF FROM (SELECT count(*) AS NUM_REG_DIF FROM (SELECT instrmnt_id as instrmnt_id_, lvrg_fnnc_flg as lvrg_fnnc_flg_as_is FROM cd_loan_tapes_bce.lt002_instrument WHERE ref_date='2024-09-30' AND nome_perimetro='Individual Corporativo' AND segmento='ESTR' AND ambito='PM' AND entidade='00100' ) A  Inner join (SELECT instrmnt_id as instrmnt_id_, lvrg_fnnc_flg as lvrg_fnnc_flg_to_be FROM bu_loantape_work.lt002_instrument WHERE ref_date='2024-09-30' AND nome_perimetro='Individual Corporativo' AND segmento='ESTR' AND ambito='PM' AND entidade='00100' ) B ON instrmnt_id_as_is=instrmnt_id_to_be WHERE coalesce(cast(lvrg_fnnc_flg_as_is AS string),'')&lt;&gt;coalesce(cast(lvrg_fnnc_flg_to_be AS string),'') ) A </v>
      </c>
      <c r="O247" s="76" t="str">
        <f t="shared" si="38"/>
        <v>SELECT 'Validação de campos' as tipologia_teste, 'lt002_instrument' AS TABELA, 'lvrg_fnnc_flg' AS CAMPO, '2024-09-30' as ref_date, coalesce(NUM_REG_DIF, 0) AS NUM_REG_DIF FROM (SELECT count(*) AS NUM_REG_DIF FROM (SELECT instrmnt_id as instrmnt_id_, lvrg_fnnc_flg as lvrg_fnnc_flg_as_is FROM cd_loan_tapes_bce.lt002_instrument WHERE ref_date='2024-09-30' AND nome_perimetro='Individual Corporativo' AND segmento='ESTR' AND ambito='PM' AND entidade='00100' ) A  Inner join (SELECT instrmnt_id as instrmnt_id_, lvrg_fnnc_flg as lvrg_fnnc_flg_to_be FROM bu_loantape_work.lt002_instrument WHERE ref_date='2024-09-30' AND nome_perimetro='Individual Corporativo' AND segmento='ESTR' AND ambito='PM' AND entidade='00100' ) B ON instrmnt_id_as_is=instrmnt_id_to_be WHERE coalesce(cast(lvrg_fnnc_flg_as_is AS string),'')&lt;&gt;coalesce(cast(lvrg_fnnc_flg_to_be AS string),'') ) A Union all</v>
      </c>
      <c r="P247" s="75">
        <f t="shared" si="39"/>
        <v>35</v>
      </c>
    </row>
    <row r="248" spans="2:16" s="63" customFormat="1" ht="18" customHeight="1">
      <c r="B248" s="75" t="s">
        <v>26</v>
      </c>
      <c r="C248" s="75" t="str">
        <f>_xlfn.CONCAT(Instruções!$D$13,".",VLOOKUP(B248,Instruções!$F$12:$H$17,2,0))</f>
        <v>cd_loan_tapes_bce.lt002_instrument</v>
      </c>
      <c r="D248" s="75" t="str">
        <f>_xlfn.CONCAT(Instruções!$D$14,".",VLOOKUP(B248,Instruções!$F$12:$H$17,3,0))</f>
        <v>bu_loantape_work.lt002_instrument</v>
      </c>
      <c r="E248" s="75" t="s">
        <v>283</v>
      </c>
      <c r="F248" s="75" t="str">
        <f t="shared" si="40"/>
        <v>mtrty_ltst_frbrnc_msr_c19_as_is</v>
      </c>
      <c r="G248" s="75" t="str">
        <f t="shared" si="41"/>
        <v>mtrty_ltst_frbrnc_msr_c19_to_be</v>
      </c>
      <c r="H248" s="75" t="str">
        <f>IF(VLOOKUP(B248,Instruções!$F$13:$J$17,5,0)="",
"(SELECT "&amp;VLOOKUP(B248,Instruções!$F$13:$J$17,4,0)&amp;" as "&amp;VLOOKUP(B248,Instruções!$F$13:$J$17,4,0)&amp;"_"&amp;$F$2&amp;", "&amp;E248&amp;" as "&amp;F248&amp;" FROM "&amp;C248&amp;" WHERE "&amp;Instruções!$D$20&amp;") A ",
"(SELECT "&amp;VLOOKUP(B248,Instruções!$F$13:$J$17,4,0)&amp;" as "&amp;VLOOKUP(B248,Instruções!$F$13:$J$17,4,0)&amp;"_"&amp;$F$2&amp;", "&amp;VLOOKUP(B248,Instruções!$F$13:$J$17,5,0)&amp;" as "&amp;VLOOKUP(B248,Instruções!$F$13:$J$17,5,0)&amp;"_"&amp;$F$2&amp;","&amp;E248&amp;" as "&amp;F248&amp;" FROM "&amp;C248&amp;" WHERE "&amp;Instruções!$D$20&amp;") A ")</f>
        <v xml:space="preserve">(SELECT instrmnt_id as instrmnt_id_, mtrty_ltst_frbrnc_msr_c19 as mtrty_ltst_frbrnc_msr_c19_as_is FROM cd_loan_tapes_bce.lt002_instrument WHERE ref_date='2024-09-30' AND nome_perimetro='Individual Corporativo' AND segmento='ESTR' AND ambito='PM' AND entidade='00100' ) A </v>
      </c>
      <c r="I248" s="75" t="str">
        <f>IF(VLOOKUP(B248,Instruções!$F$13:$J$17,5,0)="",
"(SELECT "&amp;VLOOKUP(B248,Instruções!$F$13:$J$17,4,0)&amp;" as "&amp;VLOOKUP(B248,Instruções!$F$13:$J$17,4,0)&amp;"_"&amp;$G$2&amp;", "&amp;E248&amp;" as "&amp;G248&amp;" FROM "&amp;D248&amp;" WHERE "&amp;Instruções!$D$21&amp;") B ",
"(SELECT "&amp;VLOOKUP(B248,Instruções!$F$13:$J$17,4,0)&amp;" as "&amp;VLOOKUP(B248,Instruções!$F$13:$J$17,4,0)&amp;"_"&amp;$G$2&amp;", "&amp;VLOOKUP(B248,Instruções!$F$13:$J$17,5,0)&amp;" as "&amp;VLOOKUP(B248,Instruções!$F$13:$J$17,5,0)&amp;"_"&amp;$G$2&amp;","&amp;E248&amp;" as "&amp;G248&amp;" FROM "&amp;D248&amp;" WHERE "&amp;Instruções!$D$21&amp;") B ")</f>
        <v xml:space="preserve">(SELECT instrmnt_id as instrmnt_id_, mtrty_ltst_frbrnc_msr_c19 as mtrty_ltst_frbrnc_msr_c19_to_be FROM bu_loantape_work.lt002_instrument WHERE ref_date='2024-09-30' AND nome_perimetro='Individual Corporativo' AND segmento='ESTR' AND ambito='PM' AND entidade='00100' ) B </v>
      </c>
      <c r="J248" s="75" t="str">
        <f>+IF(VLOOKUP(B248,Instruções!$F$13:$J$17,5,0)="", "ON "&amp;VLOOKUP(B248,Instruções!$F$13:$J$17,4,0)&amp;"_"&amp;$F$7&amp;"="&amp;VLOOKUP(B248,Instruções!$F$13:$J$17,4,0)&amp;"_"&amp;$G$7&amp;" ", "ON "&amp;VLOOKUP(B248,Instruções!$F$13:$J$17,4,0)&amp;"_"&amp;$F$7&amp;"="&amp;VLOOKUP(B248,Instruções!$F$13:$J$17,4,0)&amp;"_"&amp;$G$7&amp;" AND "&amp;VLOOKUP(B248,Instruções!$F$13:$J$17,5,0)&amp;"_"&amp;$F$7&amp;"="&amp;VLOOKUP(B248,Instruções!$F$13:$J$17,5,0)&amp;"_"&amp;$G$7&amp;" ")</f>
        <v xml:space="preserve">ON instrmnt_id_as_is=instrmnt_id_to_be </v>
      </c>
      <c r="K248" s="75" t="str">
        <f t="shared" si="36"/>
        <v xml:space="preserve">WHERE coalesce(cast(mtrty_ltst_frbrnc_msr_c19_as_is AS string),'')&lt;&gt;coalesce(cast(mtrty_ltst_frbrnc_msr_c19_to_be AS string),'') </v>
      </c>
      <c r="L248" s="75" t="str">
        <f t="shared" si="37"/>
        <v xml:space="preserve">SELECT count(*) AS NUM_REG_DIF FROM (SELECT instrmnt_id as instrmnt_id_,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instrmnt_id_, mtrty_ltst_frbrnc_msr_c19 as mtrty_ltst_frbrnc_msr_c19_to_be FROM bu_loantape_work.lt002_instrument WHERE ref_date='2024-09-30' AND nome_perimetro='Individual Corporativo' AND segmento='ESTR' AND ambito='PM' AND entidade='00100' ) B ON instrmnt_id_as_is=instrmnt_id_to_be WHERE coalesce(cast(mtrty_ltst_frbrnc_msr_c19_as_is AS string),'')&lt;&gt;coalesce(cast(mtrty_ltst_frbrnc_msr_c19_to_be AS string),'') </v>
      </c>
      <c r="M248" s="75" t="s">
        <v>55</v>
      </c>
      <c r="N248" s="75" t="str">
        <f>"SELECT 'Validação de campos' as tipologia_teste, '"&amp;VLOOKUP(B248,Instruções!$F$13:$J$17,3,0)&amp;"' AS TABELA, '"&amp;E248&amp;"' AS CAMPO, '"&amp;Instruções!$D$15&amp;"' as ref_date, coalesce(NUM_REG_DIF, 0) AS NUM_REG_DIF FROM ("&amp;L248&amp;") A "</f>
        <v xml:space="preserve">SELECT 'Validação de campos' as tipologia_teste, 'lt002_instrument' AS TABELA, 'mtrty_ltst_frbrnc_msr_c19' AS CAMPO, '2024-09-30' as ref_date, coalesce(NUM_REG_DIF, 0) AS NUM_REG_DIF FROM (SELECT count(*) AS NUM_REG_DIF FROM (SELECT instrmnt_id as instrmnt_id_,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instrmnt_id_, mtrty_ltst_frbrnc_msr_c19 as mtrty_ltst_frbrnc_msr_c19_to_be FROM bu_loantape_work.lt002_instrument WHERE ref_date='2024-09-30' AND nome_perimetro='Individual Corporativo' AND segmento='ESTR' AND ambito='PM' AND entidade='00100' ) B ON instrmnt_id_as_is=instrmnt_id_to_be WHERE coalesce(cast(mtrty_ltst_frbrnc_msr_c19_as_is AS string),'')&lt;&gt;coalesce(cast(mtrty_ltst_frbrnc_msr_c19_to_be AS string),'') ) A </v>
      </c>
      <c r="O248" s="76" t="str">
        <f t="shared" si="38"/>
        <v>SELECT 'Validação de campos' as tipologia_teste, 'lt002_instrument' AS TABELA, 'mtrty_ltst_frbrnc_msr_c19' AS CAMPO, '2024-09-30' as ref_date, coalesce(NUM_REG_DIF, 0) AS NUM_REG_DIF FROM (SELECT count(*) AS NUM_REG_DIF FROM (SELECT instrmnt_id as instrmnt_id_,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instrmnt_id_, mtrty_ltst_frbrnc_msr_c19 as mtrty_ltst_frbrnc_msr_c19_to_be FROM bu_loantape_work.lt002_instrument WHERE ref_date='2024-09-30' AND nome_perimetro='Individual Corporativo' AND segmento='ESTR' AND ambito='PM' AND entidade='00100' ) B ON instrmnt_id_as_is=instrmnt_id_to_be WHERE coalesce(cast(mtrty_ltst_frbrnc_msr_c19_as_is AS string),'')&lt;&gt;coalesce(cast(mtrty_ltst_frbrnc_msr_c19_to_be AS string),'') ) A Union all</v>
      </c>
      <c r="P248" s="75">
        <f t="shared" si="39"/>
        <v>36</v>
      </c>
    </row>
    <row r="249" spans="2:16" s="63" customFormat="1" ht="18" customHeight="1">
      <c r="B249" s="75" t="s">
        <v>26</v>
      </c>
      <c r="C249" s="75" t="str">
        <f>_xlfn.CONCAT(Instruções!$D$13,".",VLOOKUP(B249,Instruções!$F$12:$H$17,2,0))</f>
        <v>cd_loan_tapes_bce.lt002_instrument</v>
      </c>
      <c r="D249" s="75" t="str">
        <f>_xlfn.CONCAT(Instruções!$D$14,".",VLOOKUP(B249,Instruções!$F$12:$H$17,3,0))</f>
        <v>bu_loantape_work.lt002_instrument</v>
      </c>
      <c r="E249" s="75" t="s">
        <v>284</v>
      </c>
      <c r="F249" s="75" t="str">
        <f t="shared" si="40"/>
        <v>mtrty_ltst_mrtr_c19_as_is</v>
      </c>
      <c r="G249" s="75" t="str">
        <f t="shared" si="41"/>
        <v>mtrty_ltst_mrtr_c19_to_be</v>
      </c>
      <c r="H249" s="75" t="str">
        <f>IF(VLOOKUP(B249,Instruções!$F$13:$J$17,5,0)="",
"(SELECT "&amp;VLOOKUP(B249,Instruções!$F$13:$J$17,4,0)&amp;" as "&amp;VLOOKUP(B249,Instruções!$F$13:$J$17,4,0)&amp;"_"&amp;$F$2&amp;", "&amp;E249&amp;" as "&amp;F249&amp;" FROM "&amp;C249&amp;" WHERE "&amp;Instruções!$D$20&amp;") A ",
"(SELECT "&amp;VLOOKUP(B249,Instruções!$F$13:$J$17,4,0)&amp;" as "&amp;VLOOKUP(B249,Instruções!$F$13:$J$17,4,0)&amp;"_"&amp;$F$2&amp;", "&amp;VLOOKUP(B249,Instruções!$F$13:$J$17,5,0)&amp;" as "&amp;VLOOKUP(B249,Instruções!$F$13:$J$17,5,0)&amp;"_"&amp;$F$2&amp;","&amp;E249&amp;" as "&amp;F249&amp;" FROM "&amp;C249&amp;" WHERE "&amp;Instruções!$D$20&amp;") A ")</f>
        <v xml:space="preserve">(SELECT instrmnt_id as instrmnt_id_, mtrty_ltst_mrtr_c19 as mtrty_ltst_mrtr_c19_as_is FROM cd_loan_tapes_bce.lt002_instrument WHERE ref_date='2024-09-30' AND nome_perimetro='Individual Corporativo' AND segmento='ESTR' AND ambito='PM' AND entidade='00100' ) A </v>
      </c>
      <c r="I249" s="75" t="str">
        <f>IF(VLOOKUP(B249,Instruções!$F$13:$J$17,5,0)="",
"(SELECT "&amp;VLOOKUP(B249,Instruções!$F$13:$J$17,4,0)&amp;" as "&amp;VLOOKUP(B249,Instruções!$F$13:$J$17,4,0)&amp;"_"&amp;$G$2&amp;", "&amp;E249&amp;" as "&amp;G249&amp;" FROM "&amp;D249&amp;" WHERE "&amp;Instruções!$D$21&amp;") B ",
"(SELECT "&amp;VLOOKUP(B249,Instruções!$F$13:$J$17,4,0)&amp;" as "&amp;VLOOKUP(B249,Instruções!$F$13:$J$17,4,0)&amp;"_"&amp;$G$2&amp;", "&amp;VLOOKUP(B249,Instruções!$F$13:$J$17,5,0)&amp;" as "&amp;VLOOKUP(B249,Instruções!$F$13:$J$17,5,0)&amp;"_"&amp;$G$2&amp;","&amp;E249&amp;" as "&amp;G249&amp;" FROM "&amp;D249&amp;" WHERE "&amp;Instruções!$D$21&amp;") B ")</f>
        <v xml:space="preserve">(SELECT instrmnt_id as instrmnt_id_, mtrty_ltst_mrtr_c19 as mtrty_ltst_mrtr_c19_to_be FROM bu_loantape_work.lt002_instrument WHERE ref_date='2024-09-30' AND nome_perimetro='Individual Corporativo' AND segmento='ESTR' AND ambito='PM' AND entidade='00100' ) B </v>
      </c>
      <c r="J249" s="75" t="str">
        <f>+IF(VLOOKUP(B249,Instruções!$F$13:$J$17,5,0)="", "ON "&amp;VLOOKUP(B249,Instruções!$F$13:$J$17,4,0)&amp;"_"&amp;$F$7&amp;"="&amp;VLOOKUP(B249,Instruções!$F$13:$J$17,4,0)&amp;"_"&amp;$G$7&amp;" ", "ON "&amp;VLOOKUP(B249,Instruções!$F$13:$J$17,4,0)&amp;"_"&amp;$F$7&amp;"="&amp;VLOOKUP(B249,Instruções!$F$13:$J$17,4,0)&amp;"_"&amp;$G$7&amp;" AND "&amp;VLOOKUP(B249,Instruções!$F$13:$J$17,5,0)&amp;"_"&amp;$F$7&amp;"="&amp;VLOOKUP(B249,Instruções!$F$13:$J$17,5,0)&amp;"_"&amp;$G$7&amp;" ")</f>
        <v xml:space="preserve">ON instrmnt_id_as_is=instrmnt_id_to_be </v>
      </c>
      <c r="K249" s="75" t="str">
        <f t="shared" si="36"/>
        <v xml:space="preserve">WHERE coalesce(cast(mtrty_ltst_mrtr_c19_as_is AS string),'')&lt;&gt;coalesce(cast(mtrty_ltst_mrtr_c19_to_be AS string),'') </v>
      </c>
      <c r="L249" s="75" t="str">
        <f t="shared" si="37"/>
        <v xml:space="preserve">SELECT count(*) AS NUM_REG_DIF FROM (SELECT instrmnt_id as instrmnt_id_, mtrty_ltst_mrtr_c19 as mtrty_ltst_mrtr_c19_as_is FROM cd_loan_tapes_bce.lt002_instrument WHERE ref_date='2024-09-30' AND nome_perimetro='Individual Corporativo' AND segmento='ESTR' AND ambito='PM' AND entidade='00100' ) A  Inner join (SELECT instrmnt_id as instrmnt_id_, mtrty_ltst_mrtr_c19 as mtrty_ltst_mrtr_c19_to_be FROM bu_loantape_work.lt002_instrument WHERE ref_date='2024-09-30' AND nome_perimetro='Individual Corporativo' AND segmento='ESTR' AND ambito='PM' AND entidade='00100' ) B ON instrmnt_id_as_is=instrmnt_id_to_be WHERE coalesce(cast(mtrty_ltst_mrtr_c19_as_is AS string),'')&lt;&gt;coalesce(cast(mtrty_ltst_mrtr_c19_to_be AS string),'') </v>
      </c>
      <c r="M249" s="75" t="s">
        <v>55</v>
      </c>
      <c r="N249" s="75" t="str">
        <f>"SELECT 'Validação de campos' as tipologia_teste, '"&amp;VLOOKUP(B249,Instruções!$F$13:$J$17,3,0)&amp;"' AS TABELA, '"&amp;E249&amp;"' AS CAMPO, '"&amp;Instruções!$D$15&amp;"' as ref_date, coalesce(NUM_REG_DIF, 0) AS NUM_REG_DIF FROM ("&amp;L249&amp;") A "</f>
        <v xml:space="preserve">SELECT 'Validação de campos' as tipologia_teste, 'lt002_instrument' AS TABELA, 'mtrty_ltst_mrtr_c19' AS CAMPO, '2024-09-30' as ref_date, coalesce(NUM_REG_DIF, 0) AS NUM_REG_DIF FROM (SELECT count(*) AS NUM_REG_DIF FROM (SELECT instrmnt_id as instrmnt_id_, mtrty_ltst_mrtr_c19 as mtrty_ltst_mrtr_c19_as_is FROM cd_loan_tapes_bce.lt002_instrument WHERE ref_date='2024-09-30' AND nome_perimetro='Individual Corporativo' AND segmento='ESTR' AND ambito='PM' AND entidade='00100' ) A  Inner join (SELECT instrmnt_id as instrmnt_id_, mtrty_ltst_mrtr_c19 as mtrty_ltst_mrtr_c19_to_be FROM bu_loantape_work.lt002_instrument WHERE ref_date='2024-09-30' AND nome_perimetro='Individual Corporativo' AND segmento='ESTR' AND ambito='PM' AND entidade='00100' ) B ON instrmnt_id_as_is=instrmnt_id_to_be WHERE coalesce(cast(mtrty_ltst_mrtr_c19_as_is AS string),'')&lt;&gt;coalesce(cast(mtrty_ltst_mrtr_c19_to_be AS string),'') ) A </v>
      </c>
      <c r="O249" s="76" t="str">
        <f t="shared" si="38"/>
        <v>SELECT 'Validação de campos' as tipologia_teste, 'lt002_instrument' AS TABELA, 'mtrty_ltst_mrtr_c19' AS CAMPO, '2024-09-30' as ref_date, coalesce(NUM_REG_DIF, 0) AS NUM_REG_DIF FROM (SELECT count(*) AS NUM_REG_DIF FROM (SELECT instrmnt_id as instrmnt_id_, mtrty_ltst_mrtr_c19 as mtrty_ltst_mrtr_c19_as_is FROM cd_loan_tapes_bce.lt002_instrument WHERE ref_date='2024-09-30' AND nome_perimetro='Individual Corporativo' AND segmento='ESTR' AND ambito='PM' AND entidade='00100' ) A  Inner join (SELECT instrmnt_id as instrmnt_id_, mtrty_ltst_mrtr_c19 as mtrty_ltst_mrtr_c19_to_be FROM bu_loantape_work.lt002_instrument WHERE ref_date='2024-09-30' AND nome_perimetro='Individual Corporativo' AND segmento='ESTR' AND ambito='PM' AND entidade='00100' ) B ON instrmnt_id_as_is=instrmnt_id_to_be WHERE coalesce(cast(mtrty_ltst_mrtr_c19_as_is AS string),'')&lt;&gt;coalesce(cast(mtrty_ltst_mrtr_c19_to_be AS string),'') ) A Union all</v>
      </c>
      <c r="P249" s="75">
        <f t="shared" si="39"/>
        <v>37</v>
      </c>
    </row>
    <row r="250" spans="2:16" s="63" customFormat="1" ht="18" customHeight="1">
      <c r="B250" s="75" t="s">
        <v>26</v>
      </c>
      <c r="C250" s="75" t="str">
        <f>_xlfn.CONCAT(Instruções!$D$13,".",VLOOKUP(B250,Instruções!$F$12:$H$17,2,0))</f>
        <v>cd_loan_tapes_bce.lt002_instrument</v>
      </c>
      <c r="D250" s="75" t="str">
        <f>_xlfn.CONCAT(Instruções!$D$14,".",VLOOKUP(B250,Instruções!$F$12:$H$17,3,0))</f>
        <v>bu_loantape_work.lt002_instrument</v>
      </c>
      <c r="E250" s="75" t="s">
        <v>285</v>
      </c>
      <c r="F250" s="75" t="str">
        <f t="shared" si="40"/>
        <v>nmbr_frbrnc_msrs_as_is</v>
      </c>
      <c r="G250" s="75" t="str">
        <f t="shared" si="41"/>
        <v>nmbr_frbrnc_msrs_to_be</v>
      </c>
      <c r="H250" s="75" t="str">
        <f>IF(VLOOKUP(B250,Instruções!$F$13:$J$17,5,0)="",
"(SELECT "&amp;VLOOKUP(B250,Instruções!$F$13:$J$17,4,0)&amp;" as "&amp;VLOOKUP(B250,Instruções!$F$13:$J$17,4,0)&amp;"_"&amp;$F$2&amp;", "&amp;E250&amp;" as "&amp;F250&amp;" FROM "&amp;C250&amp;" WHERE "&amp;Instruções!$D$20&amp;") A ",
"(SELECT "&amp;VLOOKUP(B250,Instruções!$F$13:$J$17,4,0)&amp;" as "&amp;VLOOKUP(B250,Instruções!$F$13:$J$17,4,0)&amp;"_"&amp;$F$2&amp;", "&amp;VLOOKUP(B250,Instruções!$F$13:$J$17,5,0)&amp;" as "&amp;VLOOKUP(B250,Instruções!$F$13:$J$17,5,0)&amp;"_"&amp;$F$2&amp;","&amp;E250&amp;" as "&amp;F250&amp;" FROM "&amp;C250&amp;" WHERE "&amp;Instruções!$D$20&amp;") A ")</f>
        <v xml:space="preserve">(SELECT instrmnt_id as instrmnt_id_, nmbr_frbrnc_msrs as nmbr_frbrnc_msrs_as_is FROM cd_loan_tapes_bce.lt002_instrument WHERE ref_date='2024-09-30' AND nome_perimetro='Individual Corporativo' AND segmento='ESTR' AND ambito='PM' AND entidade='00100' ) A </v>
      </c>
      <c r="I250" s="75" t="str">
        <f>IF(VLOOKUP(B250,Instruções!$F$13:$J$17,5,0)="",
"(SELECT "&amp;VLOOKUP(B250,Instruções!$F$13:$J$17,4,0)&amp;" as "&amp;VLOOKUP(B250,Instruções!$F$13:$J$17,4,0)&amp;"_"&amp;$G$2&amp;", "&amp;E250&amp;" as "&amp;G250&amp;" FROM "&amp;D250&amp;" WHERE "&amp;Instruções!$D$21&amp;") B ",
"(SELECT "&amp;VLOOKUP(B250,Instruções!$F$13:$J$17,4,0)&amp;" as "&amp;VLOOKUP(B250,Instruções!$F$13:$J$17,4,0)&amp;"_"&amp;$G$2&amp;", "&amp;VLOOKUP(B250,Instruções!$F$13:$J$17,5,0)&amp;" as "&amp;VLOOKUP(B250,Instruções!$F$13:$J$17,5,0)&amp;"_"&amp;$G$2&amp;","&amp;E250&amp;" as "&amp;G250&amp;" FROM "&amp;D250&amp;" WHERE "&amp;Instruções!$D$21&amp;") B ")</f>
        <v xml:space="preserve">(SELECT instrmnt_id as instrmnt_id_, nmbr_frbrnc_msrs as nmbr_frbrnc_msrs_to_be FROM bu_loantape_work.lt002_instrument WHERE ref_date='2024-09-30' AND nome_perimetro='Individual Corporativo' AND segmento='ESTR' AND ambito='PM' AND entidade='00100' ) B </v>
      </c>
      <c r="J250" s="75" t="str">
        <f>+IF(VLOOKUP(B250,Instruções!$F$13:$J$17,5,0)="", "ON "&amp;VLOOKUP(B250,Instruções!$F$13:$J$17,4,0)&amp;"_"&amp;$F$7&amp;"="&amp;VLOOKUP(B250,Instruções!$F$13:$J$17,4,0)&amp;"_"&amp;$G$7&amp;" ", "ON "&amp;VLOOKUP(B250,Instruções!$F$13:$J$17,4,0)&amp;"_"&amp;$F$7&amp;"="&amp;VLOOKUP(B250,Instruções!$F$13:$J$17,4,0)&amp;"_"&amp;$G$7&amp;" AND "&amp;VLOOKUP(B250,Instruções!$F$13:$J$17,5,0)&amp;"_"&amp;$F$7&amp;"="&amp;VLOOKUP(B250,Instruções!$F$13:$J$17,5,0)&amp;"_"&amp;$G$7&amp;" ")</f>
        <v xml:space="preserve">ON instrmnt_id_as_is=instrmnt_id_to_be </v>
      </c>
      <c r="K250" s="75" t="str">
        <f t="shared" si="36"/>
        <v xml:space="preserve">WHERE coalesce(cast(nmbr_frbrnc_msrs_as_is AS string),'')&lt;&gt;coalesce(cast(nmbr_frbrnc_msrs_to_be AS string),'') </v>
      </c>
      <c r="L250" s="75" t="str">
        <f t="shared" si="37"/>
        <v xml:space="preserve">SELECT count(*) AS NUM_REG_DIF FROM (SELECT instrmnt_id as instrmnt_id_, nmbr_frbrnc_msrs as nmbr_frbrnc_msrs_as_is FROM cd_loan_tapes_bce.lt002_instrument WHERE ref_date='2024-09-30' AND nome_perimetro='Individual Corporativo' AND segmento='ESTR' AND ambito='PM' AND entidade='00100' ) A  Inner join (SELECT instrmnt_id as instrmnt_id_, nmbr_frbrnc_msrs as nmbr_frbrnc_msrs_to_be FROM bu_loantape_work.lt002_instrument WHERE ref_date='2024-09-30' AND nome_perimetro='Individual Corporativo' AND segmento='ESTR' AND ambito='PM' AND entidade='00100' ) B ON instrmnt_id_as_is=instrmnt_id_to_be WHERE coalesce(cast(nmbr_frbrnc_msrs_as_is AS string),'')&lt;&gt;coalesce(cast(nmbr_frbrnc_msrs_to_be AS string),'') </v>
      </c>
      <c r="M250" s="75" t="s">
        <v>55</v>
      </c>
      <c r="N250" s="75" t="str">
        <f>"SELECT 'Validação de campos' as tipologia_teste, '"&amp;VLOOKUP(B250,Instruções!$F$13:$J$17,3,0)&amp;"' AS TABELA, '"&amp;E250&amp;"' AS CAMPO, '"&amp;Instruções!$D$15&amp;"' as ref_date, coalesce(NUM_REG_DIF, 0) AS NUM_REG_DIF FROM ("&amp;L250&amp;") A "</f>
        <v xml:space="preserve">SELECT 'Validação de campos' as tipologia_teste, 'lt002_instrument' AS TABELA, 'nmbr_frbrnc_msrs' AS CAMPO, '2024-09-30' as ref_date, coalesce(NUM_REG_DIF, 0) AS NUM_REG_DIF FROM (SELECT count(*) AS NUM_REG_DIF FROM (SELECT instrmnt_id as instrmnt_id_, nmbr_frbrnc_msrs as nmbr_frbrnc_msrs_as_is FROM cd_loan_tapes_bce.lt002_instrument WHERE ref_date='2024-09-30' AND nome_perimetro='Individual Corporativo' AND segmento='ESTR' AND ambito='PM' AND entidade='00100' ) A  Inner join (SELECT instrmnt_id as instrmnt_id_, nmbr_frbrnc_msrs as nmbr_frbrnc_msrs_to_be FROM bu_loantape_work.lt002_instrument WHERE ref_date='2024-09-30' AND nome_perimetro='Individual Corporativo' AND segmento='ESTR' AND ambito='PM' AND entidade='00100' ) B ON instrmnt_id_as_is=instrmnt_id_to_be WHERE coalesce(cast(nmbr_frbrnc_msrs_as_is AS string),'')&lt;&gt;coalesce(cast(nmbr_frbrnc_msrs_to_be AS string),'') ) A </v>
      </c>
      <c r="O250" s="76" t="str">
        <f t="shared" si="38"/>
        <v>SELECT 'Validação de campos' as tipologia_teste, 'lt002_instrument' AS TABELA, 'nmbr_frbrnc_msrs' AS CAMPO, '2024-09-30' as ref_date, coalesce(NUM_REG_DIF, 0) AS NUM_REG_DIF FROM (SELECT count(*) AS NUM_REG_DIF FROM (SELECT instrmnt_id as instrmnt_id_, nmbr_frbrnc_msrs as nmbr_frbrnc_msrs_as_is FROM cd_loan_tapes_bce.lt002_instrument WHERE ref_date='2024-09-30' AND nome_perimetro='Individual Corporativo' AND segmento='ESTR' AND ambito='PM' AND entidade='00100' ) A  Inner join (SELECT instrmnt_id as instrmnt_id_, nmbr_frbrnc_msrs as nmbr_frbrnc_msrs_to_be FROM bu_loantape_work.lt002_instrument WHERE ref_date='2024-09-30' AND nome_perimetro='Individual Corporativo' AND segmento='ESTR' AND ambito='PM' AND entidade='00100' ) B ON instrmnt_id_as_is=instrmnt_id_to_be WHERE coalesce(cast(nmbr_frbrnc_msrs_as_is AS string),'')&lt;&gt;coalesce(cast(nmbr_frbrnc_msrs_to_be AS string),'') ) A Union all</v>
      </c>
      <c r="P250" s="75">
        <f t="shared" si="39"/>
        <v>38</v>
      </c>
    </row>
    <row r="251" spans="2:16" s="63" customFormat="1" ht="18" customHeight="1">
      <c r="B251" s="75" t="s">
        <v>26</v>
      </c>
      <c r="C251" s="75" t="str">
        <f>_xlfn.CONCAT(Instruções!$D$13,".",VLOOKUP(B251,Instruções!$F$12:$H$17,2,0))</f>
        <v>cd_loan_tapes_bce.lt002_instrument</v>
      </c>
      <c r="D251" s="75" t="str">
        <f>_xlfn.CONCAT(Instruções!$D$14,".",VLOOKUP(B251,Instruções!$F$12:$H$17,3,0))</f>
        <v>bu_loantape_work.lt002_instrument</v>
      </c>
      <c r="E251" s="75" t="s">
        <v>286</v>
      </c>
      <c r="F251" s="75" t="str">
        <f t="shared" si="40"/>
        <v>obsrvd_agnt_id_as_is</v>
      </c>
      <c r="G251" s="75" t="str">
        <f t="shared" si="41"/>
        <v>obsrvd_agnt_id_to_be</v>
      </c>
      <c r="H251" s="75" t="str">
        <f>IF(VLOOKUP(B251,Instruções!$F$13:$J$17,5,0)="",
"(SELECT "&amp;VLOOKUP(B251,Instruções!$F$13:$J$17,4,0)&amp;" as "&amp;VLOOKUP(B251,Instruções!$F$13:$J$17,4,0)&amp;"_"&amp;$F$2&amp;", "&amp;E251&amp;" as "&amp;F251&amp;" FROM "&amp;C251&amp;" WHERE "&amp;Instruções!$D$20&amp;") A ",
"(SELECT "&amp;VLOOKUP(B251,Instruções!$F$13:$J$17,4,0)&amp;" as "&amp;VLOOKUP(B251,Instruções!$F$13:$J$17,4,0)&amp;"_"&amp;$F$2&amp;", "&amp;VLOOKUP(B251,Instruções!$F$13:$J$17,5,0)&amp;" as "&amp;VLOOKUP(B251,Instruções!$F$13:$J$17,5,0)&amp;"_"&amp;$F$2&amp;","&amp;E251&amp;" as "&amp;F251&amp;" FROM "&amp;C251&amp;" WHERE "&amp;Instruções!$D$20&amp;") A ")</f>
        <v xml:space="preserve">(SELECT instrmnt_id as instrmnt_id_, obsrvd_agnt_id as obsrvd_agnt_id_as_is FROM cd_loan_tapes_bce.lt002_instrument WHERE ref_date='2024-09-30' AND nome_perimetro='Individual Corporativo' AND segmento='ESTR' AND ambito='PM' AND entidade='00100' ) A </v>
      </c>
      <c r="I251" s="75" t="str">
        <f>IF(VLOOKUP(B251,Instruções!$F$13:$J$17,5,0)="",
"(SELECT "&amp;VLOOKUP(B251,Instruções!$F$13:$J$17,4,0)&amp;" as "&amp;VLOOKUP(B251,Instruções!$F$13:$J$17,4,0)&amp;"_"&amp;$G$2&amp;", "&amp;E251&amp;" as "&amp;G251&amp;" FROM "&amp;D251&amp;" WHERE "&amp;Instruções!$D$21&amp;") B ",
"(SELECT "&amp;VLOOKUP(B251,Instruções!$F$13:$J$17,4,0)&amp;" as "&amp;VLOOKUP(B251,Instruções!$F$13:$J$17,4,0)&amp;"_"&amp;$G$2&amp;", "&amp;VLOOKUP(B251,Instruções!$F$13:$J$17,5,0)&amp;" as "&amp;VLOOKUP(B251,Instruções!$F$13:$J$17,5,0)&amp;"_"&amp;$G$2&amp;","&amp;E251&amp;" as "&amp;G251&amp;" FROM "&amp;D251&amp;" WHERE "&amp;Instruções!$D$21&amp;") B ")</f>
        <v xml:space="preserve">(SELECT instrmnt_id as instrmnt_id_, obsrvd_agnt_id as obsrvd_agnt_id_to_be FROM bu_loantape_work.lt002_instrument WHERE ref_date='2024-09-30' AND nome_perimetro='Individual Corporativo' AND segmento='ESTR' AND ambito='PM' AND entidade='00100' ) B </v>
      </c>
      <c r="J251" s="75" t="str">
        <f>+IF(VLOOKUP(B251,Instruções!$F$13:$J$17,5,0)="", "ON "&amp;VLOOKUP(B251,Instruções!$F$13:$J$17,4,0)&amp;"_"&amp;$F$7&amp;"="&amp;VLOOKUP(B251,Instruções!$F$13:$J$17,4,0)&amp;"_"&amp;$G$7&amp;" ", "ON "&amp;VLOOKUP(B251,Instruções!$F$13:$J$17,4,0)&amp;"_"&amp;$F$7&amp;"="&amp;VLOOKUP(B251,Instruções!$F$13:$J$17,4,0)&amp;"_"&amp;$G$7&amp;" AND "&amp;VLOOKUP(B251,Instruções!$F$13:$J$17,5,0)&amp;"_"&amp;$F$7&amp;"="&amp;VLOOKUP(B251,Instruções!$F$13:$J$17,5,0)&amp;"_"&amp;$G$7&amp;" ")</f>
        <v xml:space="preserve">ON instrmnt_id_as_is=instrmnt_id_to_be </v>
      </c>
      <c r="K251" s="75" t="str">
        <f t="shared" si="36"/>
        <v xml:space="preserve">WHERE coalesce(cast(obsrvd_agnt_id_as_is AS string),'')&lt;&gt;coalesce(cast(obsrvd_agnt_id_to_be AS string),'') </v>
      </c>
      <c r="L251" s="75" t="str">
        <f t="shared" si="37"/>
        <v xml:space="preserve">SELECT count(*) AS NUM_REG_DIF FROM (SELECT instrmnt_id as instrmnt_id_, obsrvd_agnt_id as obsrvd_agnt_id_as_is FROM cd_loan_tapes_bce.lt002_instrument WHERE ref_date='2024-09-30' AND nome_perimetro='Individual Corporativo' AND segmento='ESTR' AND ambito='PM' AND entidade='00100' ) A  Inner join (SELECT instrmnt_id as instrmnt_id_, obsrvd_agnt_id as obsrvd_agnt_id_to_be FROM bu_loantape_work.lt002_instrument WHERE ref_date='2024-09-30' AND nome_perimetro='Individual Corporativo' AND segmento='ESTR' AND ambito='PM' AND entidade='00100' ) B ON instrmnt_id_as_is=instrmnt_id_to_be WHERE coalesce(cast(obsrvd_agnt_id_as_is AS string),'')&lt;&gt;coalesce(cast(obsrvd_agnt_id_to_be AS string),'') </v>
      </c>
      <c r="M251" s="75" t="s">
        <v>55</v>
      </c>
      <c r="N251" s="75" t="str">
        <f>"SELECT 'Validação de campos' as tipologia_teste, '"&amp;VLOOKUP(B251,Instruções!$F$13:$J$17,3,0)&amp;"' AS TABELA, '"&amp;E251&amp;"' AS CAMPO, '"&amp;Instruções!$D$15&amp;"' as ref_date, coalesce(NUM_REG_DIF, 0) AS NUM_REG_DIF FROM ("&amp;L251&amp;") A "</f>
        <v xml:space="preserve">SELECT 'Validação de campos' as tipologia_teste, 'lt002_instrument' AS TABELA, 'obsrvd_agnt_id' AS CAMPO, '2024-09-30' as ref_date, coalesce(NUM_REG_DIF, 0) AS NUM_REG_DIF FROM (SELECT count(*) AS NUM_REG_DIF FROM (SELECT instrmnt_id as instrmnt_id_, obsrvd_agnt_id as obsrvd_agnt_id_as_is FROM cd_loan_tapes_bce.lt002_instrument WHERE ref_date='2024-09-30' AND nome_perimetro='Individual Corporativo' AND segmento='ESTR' AND ambito='PM' AND entidade='00100' ) A  Inner join (SELECT instrmnt_id as instrmnt_id_, obsrvd_agnt_id as obsrvd_agnt_id_to_be FROM bu_loantape_work.lt002_instrument WHERE ref_date='2024-09-30' AND nome_perimetro='Individual Corporativo' AND segmento='ESTR' AND ambito='PM' AND entidade='00100' ) B ON instrmnt_id_as_is=instrmnt_id_to_be WHERE coalesce(cast(obsrvd_agnt_id_as_is AS string),'')&lt;&gt;coalesce(cast(obsrvd_agnt_id_to_be AS string),'') ) A </v>
      </c>
      <c r="O251" s="76" t="str">
        <f t="shared" si="38"/>
        <v>SELECT 'Validação de campos' as tipologia_teste, 'lt002_instrument' AS TABELA, 'obsrvd_agnt_id' AS CAMPO, '2024-09-30' as ref_date, coalesce(NUM_REG_DIF, 0) AS NUM_REG_DIF FROM (SELECT count(*) AS NUM_REG_DIF FROM (SELECT instrmnt_id as instrmnt_id_, obsrvd_agnt_id as obsrvd_agnt_id_as_is FROM cd_loan_tapes_bce.lt002_instrument WHERE ref_date='2024-09-30' AND nome_perimetro='Individual Corporativo' AND segmento='ESTR' AND ambito='PM' AND entidade='00100' ) A  Inner join (SELECT instrmnt_id as instrmnt_id_, obsrvd_agnt_id as obsrvd_agnt_id_to_be FROM bu_loantape_work.lt002_instrument WHERE ref_date='2024-09-30' AND nome_perimetro='Individual Corporativo' AND segmento='ESTR' AND ambito='PM' AND entidade='00100' ) B ON instrmnt_id_as_is=instrmnt_id_to_be WHERE coalesce(cast(obsrvd_agnt_id_as_is AS string),'')&lt;&gt;coalesce(cast(obsrvd_agnt_id_to_be AS string),'') ) A Union all</v>
      </c>
      <c r="P251" s="75">
        <f t="shared" ref="P251:P262" si="42">P250+1</f>
        <v>39</v>
      </c>
    </row>
    <row r="252" spans="2:16" s="63" customFormat="1" ht="18" customHeight="1">
      <c r="B252" s="75" t="s">
        <v>26</v>
      </c>
      <c r="C252" s="75" t="str">
        <f>_xlfn.CONCAT(Instruções!$D$13,".",VLOOKUP(B252,Instruções!$F$12:$H$17,2,0))</f>
        <v>cd_loan_tapes_bce.lt002_instrument</v>
      </c>
      <c r="D252" s="75" t="str">
        <f>_xlfn.CONCAT(Instruções!$D$14,".",VLOOKUP(B252,Instruções!$F$12:$H$17,3,0))</f>
        <v>bu_loantape_work.lt002_instrument</v>
      </c>
      <c r="E252" s="75" t="s">
        <v>287</v>
      </c>
      <c r="F252" s="75" t="str">
        <f t="shared" si="40"/>
        <v>obsrvd_agnt_nm_as_is</v>
      </c>
      <c r="G252" s="75" t="str">
        <f t="shared" si="41"/>
        <v>obsrvd_agnt_nm_to_be</v>
      </c>
      <c r="H252" s="75" t="str">
        <f>IF(VLOOKUP(B252,Instruções!$F$13:$J$17,5,0)="",
"(SELECT "&amp;VLOOKUP(B252,Instruções!$F$13:$J$17,4,0)&amp;" as "&amp;VLOOKUP(B252,Instruções!$F$13:$J$17,4,0)&amp;"_"&amp;$F$2&amp;", "&amp;E252&amp;" as "&amp;F252&amp;" FROM "&amp;C252&amp;" WHERE "&amp;Instruções!$D$20&amp;") A ",
"(SELECT "&amp;VLOOKUP(B252,Instruções!$F$13:$J$17,4,0)&amp;" as "&amp;VLOOKUP(B252,Instruções!$F$13:$J$17,4,0)&amp;"_"&amp;$F$2&amp;", "&amp;VLOOKUP(B252,Instruções!$F$13:$J$17,5,0)&amp;" as "&amp;VLOOKUP(B252,Instruções!$F$13:$J$17,5,0)&amp;"_"&amp;$F$2&amp;","&amp;E252&amp;" as "&amp;F252&amp;" FROM "&amp;C252&amp;" WHERE "&amp;Instruções!$D$20&amp;") A ")</f>
        <v xml:space="preserve">(SELECT instrmnt_id as instrmnt_id_, obsrvd_agnt_nm as obsrvd_agnt_nm_as_is FROM cd_loan_tapes_bce.lt002_instrument WHERE ref_date='2024-09-30' AND nome_perimetro='Individual Corporativo' AND segmento='ESTR' AND ambito='PM' AND entidade='00100' ) A </v>
      </c>
      <c r="I252" s="75" t="str">
        <f>IF(VLOOKUP(B252,Instruções!$F$13:$J$17,5,0)="",
"(SELECT "&amp;VLOOKUP(B252,Instruções!$F$13:$J$17,4,0)&amp;" as "&amp;VLOOKUP(B252,Instruções!$F$13:$J$17,4,0)&amp;"_"&amp;$G$2&amp;", "&amp;E252&amp;" as "&amp;G252&amp;" FROM "&amp;D252&amp;" WHERE "&amp;Instruções!$D$21&amp;") B ",
"(SELECT "&amp;VLOOKUP(B252,Instruções!$F$13:$J$17,4,0)&amp;" as "&amp;VLOOKUP(B252,Instruções!$F$13:$J$17,4,0)&amp;"_"&amp;$G$2&amp;", "&amp;VLOOKUP(B252,Instruções!$F$13:$J$17,5,0)&amp;" as "&amp;VLOOKUP(B252,Instruções!$F$13:$J$17,5,0)&amp;"_"&amp;$G$2&amp;","&amp;E252&amp;" as "&amp;G252&amp;" FROM "&amp;D252&amp;" WHERE "&amp;Instruções!$D$21&amp;") B ")</f>
        <v xml:space="preserve">(SELECT instrmnt_id as instrmnt_id_, obsrvd_agnt_nm as obsrvd_agnt_nm_to_be FROM bu_loantape_work.lt002_instrument WHERE ref_date='2024-09-30' AND nome_perimetro='Individual Corporativo' AND segmento='ESTR' AND ambito='PM' AND entidade='00100' ) B </v>
      </c>
      <c r="J252" s="75" t="str">
        <f>+IF(VLOOKUP(B252,Instruções!$F$13:$J$17,5,0)="", "ON "&amp;VLOOKUP(B252,Instruções!$F$13:$J$17,4,0)&amp;"_"&amp;$F$7&amp;"="&amp;VLOOKUP(B252,Instruções!$F$13:$J$17,4,0)&amp;"_"&amp;$G$7&amp;" ", "ON "&amp;VLOOKUP(B252,Instruções!$F$13:$J$17,4,0)&amp;"_"&amp;$F$7&amp;"="&amp;VLOOKUP(B252,Instruções!$F$13:$J$17,4,0)&amp;"_"&amp;$G$7&amp;" AND "&amp;VLOOKUP(B252,Instruções!$F$13:$J$17,5,0)&amp;"_"&amp;$F$7&amp;"="&amp;VLOOKUP(B252,Instruções!$F$13:$J$17,5,0)&amp;"_"&amp;$G$7&amp;" ")</f>
        <v xml:space="preserve">ON instrmnt_id_as_is=instrmnt_id_to_be </v>
      </c>
      <c r="K252" s="75" t="str">
        <f t="shared" si="36"/>
        <v xml:space="preserve">WHERE coalesce(cast(obsrvd_agnt_nm_as_is AS string),'')&lt;&gt;coalesce(cast(obsrvd_agnt_nm_to_be AS string),'') </v>
      </c>
      <c r="L252" s="75" t="str">
        <f t="shared" si="37"/>
        <v xml:space="preserve">SELECT count(*) AS NUM_REG_DIF FROM (SELECT instrmnt_id as instrmnt_id_, obsrvd_agnt_nm as obsrvd_agnt_nm_as_is FROM cd_loan_tapes_bce.lt002_instrument WHERE ref_date='2024-09-30' AND nome_perimetro='Individual Corporativo' AND segmento='ESTR' AND ambito='PM' AND entidade='00100' ) A  Inner join (SELECT instrmnt_id as instrmnt_id_, obsrvd_agnt_nm as obsrvd_agnt_nm_to_be FROM bu_loantape_work.lt002_instrument WHERE ref_date='2024-09-30' AND nome_perimetro='Individual Corporativo' AND segmento='ESTR' AND ambito='PM' AND entidade='00100' ) B ON instrmnt_id_as_is=instrmnt_id_to_be WHERE coalesce(cast(obsrvd_agnt_nm_as_is AS string),'')&lt;&gt;coalesce(cast(obsrvd_agnt_nm_to_be AS string),'') </v>
      </c>
      <c r="M252" s="75" t="s">
        <v>55</v>
      </c>
      <c r="N252" s="75" t="str">
        <f>"SELECT 'Validação de campos' as tipologia_teste, '"&amp;VLOOKUP(B252,Instruções!$F$13:$J$17,3,0)&amp;"' AS TABELA, '"&amp;E252&amp;"' AS CAMPO, '"&amp;Instruções!$D$15&amp;"' as ref_date, coalesce(NUM_REG_DIF, 0) AS NUM_REG_DIF FROM ("&amp;L252&amp;") A "</f>
        <v xml:space="preserve">SELECT 'Validação de campos' as tipologia_teste, 'lt002_instrument' AS TABELA, 'obsrvd_agnt_nm' AS CAMPO, '2024-09-30' as ref_date, coalesce(NUM_REG_DIF, 0) AS NUM_REG_DIF FROM (SELECT count(*) AS NUM_REG_DIF FROM (SELECT instrmnt_id as instrmnt_id_, obsrvd_agnt_nm as obsrvd_agnt_nm_as_is FROM cd_loan_tapes_bce.lt002_instrument WHERE ref_date='2024-09-30' AND nome_perimetro='Individual Corporativo' AND segmento='ESTR' AND ambito='PM' AND entidade='00100' ) A  Inner join (SELECT instrmnt_id as instrmnt_id_, obsrvd_agnt_nm as obsrvd_agnt_nm_to_be FROM bu_loantape_work.lt002_instrument WHERE ref_date='2024-09-30' AND nome_perimetro='Individual Corporativo' AND segmento='ESTR' AND ambito='PM' AND entidade='00100' ) B ON instrmnt_id_as_is=instrmnt_id_to_be WHERE coalesce(cast(obsrvd_agnt_nm_as_is AS string),'')&lt;&gt;coalesce(cast(obsrvd_agnt_nm_to_be AS string),'') ) A </v>
      </c>
      <c r="O252" s="76" t="str">
        <f t="shared" si="38"/>
        <v>SELECT 'Validação de campos' as tipologia_teste, 'lt002_instrument' AS TABELA, 'obsrvd_agnt_nm' AS CAMPO, '2024-09-30' as ref_date, coalesce(NUM_REG_DIF, 0) AS NUM_REG_DIF FROM (SELECT count(*) AS NUM_REG_DIF FROM (SELECT instrmnt_id as instrmnt_id_, obsrvd_agnt_nm as obsrvd_agnt_nm_as_is FROM cd_loan_tapes_bce.lt002_instrument WHERE ref_date='2024-09-30' AND nome_perimetro='Individual Corporativo' AND segmento='ESTR' AND ambito='PM' AND entidade='00100' ) A  Inner join (SELECT instrmnt_id as instrmnt_id_, obsrvd_agnt_nm as obsrvd_agnt_nm_to_be FROM bu_loantape_work.lt002_instrument WHERE ref_date='2024-09-30' AND nome_perimetro='Individual Corporativo' AND segmento='ESTR' AND ambito='PM' AND entidade='00100' ) B ON instrmnt_id_as_is=instrmnt_id_to_be WHERE coalesce(cast(obsrvd_agnt_nm_as_is AS string),'')&lt;&gt;coalesce(cast(obsrvd_agnt_nm_to_be AS string),'') ) A Union all</v>
      </c>
      <c r="P252" s="75">
        <f t="shared" si="42"/>
        <v>40</v>
      </c>
    </row>
    <row r="253" spans="2:16" s="63" customFormat="1" ht="18" customHeight="1">
      <c r="B253" s="75" t="s">
        <v>26</v>
      </c>
      <c r="C253" s="75" t="str">
        <f>_xlfn.CONCAT(Instruções!$D$13,".",VLOOKUP(B253,Instruções!$F$12:$H$17,2,0))</f>
        <v>cd_loan_tapes_bce.lt002_instrument</v>
      </c>
      <c r="D253" s="75" t="str">
        <f>_xlfn.CONCAT(Instruções!$D$14,".",VLOOKUP(B253,Instruções!$F$12:$H$17,3,0))</f>
        <v>bu_loantape_work.lt002_instrument</v>
      </c>
      <c r="E253" s="75" t="s">
        <v>288</v>
      </c>
      <c r="F253" s="75" t="str">
        <f t="shared" si="40"/>
        <v>off_blnc_sht_amnt_instrmnt_as_is</v>
      </c>
      <c r="G253" s="75" t="str">
        <f t="shared" si="41"/>
        <v>off_blnc_sht_amnt_instrmnt_to_be</v>
      </c>
      <c r="H253" s="75" t="str">
        <f>IF(VLOOKUP(B253,Instruções!$F$13:$J$17,5,0)="",
"(SELECT "&amp;VLOOKUP(B253,Instruções!$F$13:$J$17,4,0)&amp;" as "&amp;VLOOKUP(B253,Instruções!$F$13:$J$17,4,0)&amp;"_"&amp;$F$2&amp;", "&amp;E253&amp;" as "&amp;F253&amp;" FROM "&amp;C253&amp;" WHERE "&amp;Instruções!$D$20&amp;") A ",
"(SELECT "&amp;VLOOKUP(B253,Instruções!$F$13:$J$17,4,0)&amp;" as "&amp;VLOOKUP(B253,Instruções!$F$13:$J$17,4,0)&amp;"_"&amp;$F$2&amp;", "&amp;VLOOKUP(B253,Instruções!$F$13:$J$17,5,0)&amp;" as "&amp;VLOOKUP(B253,Instruções!$F$13:$J$17,5,0)&amp;"_"&amp;$F$2&amp;","&amp;E253&amp;" as "&amp;F253&amp;" FROM "&amp;C253&amp;" WHERE "&amp;Instruções!$D$20&amp;") A ")</f>
        <v xml:space="preserve">(SELECT instrmnt_id as instrmnt_id_, off_blnc_sht_amnt_instrmnt as off_blnc_sht_amnt_instrmnt_as_is FROM cd_loan_tapes_bce.lt002_instrument WHERE ref_date='2024-09-30' AND nome_perimetro='Individual Corporativo' AND segmento='ESTR' AND ambito='PM' AND entidade='00100' ) A </v>
      </c>
      <c r="I253" s="75" t="str">
        <f>IF(VLOOKUP(B253,Instruções!$F$13:$J$17,5,0)="",
"(SELECT "&amp;VLOOKUP(B253,Instruções!$F$13:$J$17,4,0)&amp;" as "&amp;VLOOKUP(B253,Instruções!$F$13:$J$17,4,0)&amp;"_"&amp;$G$2&amp;", "&amp;E253&amp;" as "&amp;G253&amp;" FROM "&amp;D253&amp;" WHERE "&amp;Instruções!$D$21&amp;") B ",
"(SELECT "&amp;VLOOKUP(B253,Instruções!$F$13:$J$17,4,0)&amp;" as "&amp;VLOOKUP(B253,Instruções!$F$13:$J$17,4,0)&amp;"_"&amp;$G$2&amp;", "&amp;VLOOKUP(B253,Instruções!$F$13:$J$17,5,0)&amp;" as "&amp;VLOOKUP(B253,Instruções!$F$13:$J$17,5,0)&amp;"_"&amp;$G$2&amp;","&amp;E253&amp;" as "&amp;G253&amp;" FROM "&amp;D253&amp;" WHERE "&amp;Instruções!$D$21&amp;") B ")</f>
        <v xml:space="preserve">(SELECT instrmnt_id as instrmnt_id_, off_blnc_sht_amnt_instrmnt as off_blnc_sht_amnt_instrmnt_to_be FROM bu_loantape_work.lt002_instrument WHERE ref_date='2024-09-30' AND nome_perimetro='Individual Corporativo' AND segmento='ESTR' AND ambito='PM' AND entidade='00100' ) B </v>
      </c>
      <c r="J253" s="75" t="str">
        <f>+IF(VLOOKUP(B253,Instruções!$F$13:$J$17,5,0)="", "ON "&amp;VLOOKUP(B253,Instruções!$F$13:$J$17,4,0)&amp;"_"&amp;$F$7&amp;"="&amp;VLOOKUP(B253,Instruções!$F$13:$J$17,4,0)&amp;"_"&amp;$G$7&amp;" ", "ON "&amp;VLOOKUP(B253,Instruções!$F$13:$J$17,4,0)&amp;"_"&amp;$F$7&amp;"="&amp;VLOOKUP(B253,Instruções!$F$13:$J$17,4,0)&amp;"_"&amp;$G$7&amp;" AND "&amp;VLOOKUP(B253,Instruções!$F$13:$J$17,5,0)&amp;"_"&amp;$F$7&amp;"="&amp;VLOOKUP(B253,Instruções!$F$13:$J$17,5,0)&amp;"_"&amp;$G$7&amp;" ")</f>
        <v xml:space="preserve">ON instrmnt_id_as_is=instrmnt_id_to_be </v>
      </c>
      <c r="K253" s="75" t="str">
        <f t="shared" si="36"/>
        <v xml:space="preserve">WHERE coalesce(cast(off_blnc_sht_amnt_instrmnt_as_is AS string),'')&lt;&gt;coalesce(cast(off_blnc_sht_amnt_instrmnt_to_be AS string),'') </v>
      </c>
      <c r="L253" s="75" t="str">
        <f t="shared" si="37"/>
        <v xml:space="preserve">SELECT count(*) AS NUM_REG_DIF FROM (SELECT instrmnt_id as instrmnt_id_,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instrmnt_id_, off_blnc_sht_amnt_instrmnt as off_blnc_sht_amnt_instrmnt_to_be FROM bu_loantape_work.lt002_instrument WHERE ref_date='2024-09-30' AND nome_perimetro='Individual Corporativo' AND segmento='ESTR' AND ambito='PM' AND entidade='00100' ) B ON instrmnt_id_as_is=instrmnt_id_to_be WHERE coalesce(cast(off_blnc_sht_amnt_instrmnt_as_is AS string),'')&lt;&gt;coalesce(cast(off_blnc_sht_amnt_instrmnt_to_be AS string),'') </v>
      </c>
      <c r="M253" s="75" t="s">
        <v>55</v>
      </c>
      <c r="N253" s="75" t="str">
        <f>"SELECT 'Validação de campos' as tipologia_teste, '"&amp;VLOOKUP(B253,Instruções!$F$13:$J$17,3,0)&amp;"' AS TABELA, '"&amp;E253&amp;"' AS CAMPO, '"&amp;Instruções!$D$15&amp;"' as ref_date, coalesce(NUM_REG_DIF, 0) AS NUM_REG_DIF FROM ("&amp;L253&amp;") A "</f>
        <v xml:space="preserve">SELECT 'Validação de campos' as tipologia_teste, 'lt002_instrument' AS TABELA, 'off_blnc_sht_amnt_instrmnt' AS CAMPO, '2024-09-30' as ref_date, coalesce(NUM_REG_DIF, 0) AS NUM_REG_DIF FROM (SELECT count(*) AS NUM_REG_DIF FROM (SELECT instrmnt_id as instrmnt_id_,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instrmnt_id_, off_blnc_sht_amnt_instrmnt as off_blnc_sht_amnt_instrmnt_to_be FROM bu_loantape_work.lt002_instrument WHERE ref_date='2024-09-30' AND nome_perimetro='Individual Corporativo' AND segmento='ESTR' AND ambito='PM' AND entidade='00100' ) B ON instrmnt_id_as_is=instrmnt_id_to_be WHERE coalesce(cast(off_blnc_sht_amnt_instrmnt_as_is AS string),'')&lt;&gt;coalesce(cast(off_blnc_sht_amnt_instrmnt_to_be AS string),'') ) A </v>
      </c>
      <c r="O253" s="76" t="str">
        <f t="shared" si="38"/>
        <v>SELECT 'Validação de campos' as tipologia_teste, 'lt002_instrument' AS TABELA, 'off_blnc_sht_amnt_instrmnt' AS CAMPO, '2024-09-30' as ref_date, coalesce(NUM_REG_DIF, 0) AS NUM_REG_DIF FROM (SELECT count(*) AS NUM_REG_DIF FROM (SELECT instrmnt_id as instrmnt_id_,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instrmnt_id_, off_blnc_sht_amnt_instrmnt as off_blnc_sht_amnt_instrmnt_to_be FROM bu_loantape_work.lt002_instrument WHERE ref_date='2024-09-30' AND nome_perimetro='Individual Corporativo' AND segmento='ESTR' AND ambito='PM' AND entidade='00100' ) B ON instrmnt_id_as_is=instrmnt_id_to_be WHERE coalesce(cast(off_blnc_sht_amnt_instrmnt_as_is AS string),'')&lt;&gt;coalesce(cast(off_blnc_sht_amnt_instrmnt_to_be AS string),'') ) A Union all</v>
      </c>
      <c r="P253" s="75">
        <f t="shared" si="42"/>
        <v>41</v>
      </c>
    </row>
    <row r="254" spans="2:16" s="63" customFormat="1" ht="18" customHeight="1">
      <c r="B254" s="75" t="s">
        <v>26</v>
      </c>
      <c r="C254" s="75" t="str">
        <f>_xlfn.CONCAT(Instruções!$D$13,".",VLOOKUP(B254,Instruções!$F$12:$H$17,2,0))</f>
        <v>cd_loan_tapes_bce.lt002_instrument</v>
      </c>
      <c r="D254" s="75" t="str">
        <f>_xlfn.CONCAT(Instruções!$D$14,".",VLOOKUP(B254,Instruções!$F$12:$H$17,3,0))</f>
        <v>bu_loantape_work.lt002_instrument</v>
      </c>
      <c r="E254" s="75" t="s">
        <v>289</v>
      </c>
      <c r="F254" s="75" t="str">
        <f t="shared" si="40"/>
        <v>off_blnc_sht_amnt_instrmnt_prvs_as_is</v>
      </c>
      <c r="G254" s="75" t="str">
        <f t="shared" si="41"/>
        <v>off_blnc_sht_amnt_instrmnt_prvs_to_be</v>
      </c>
      <c r="H254" s="75" t="str">
        <f>IF(VLOOKUP(B254,Instruções!$F$13:$J$17,5,0)="",
"(SELECT "&amp;VLOOKUP(B254,Instruções!$F$13:$J$17,4,0)&amp;" as "&amp;VLOOKUP(B254,Instruções!$F$13:$J$17,4,0)&amp;"_"&amp;$F$2&amp;", "&amp;E254&amp;" as "&amp;F254&amp;" FROM "&amp;C254&amp;" WHERE "&amp;Instruções!$D$20&amp;") A ",
"(SELECT "&amp;VLOOKUP(B254,Instruções!$F$13:$J$17,4,0)&amp;" as "&amp;VLOOKUP(B254,Instruções!$F$13:$J$17,4,0)&amp;"_"&amp;$F$2&amp;", "&amp;VLOOKUP(B254,Instruções!$F$13:$J$17,5,0)&amp;" as "&amp;VLOOKUP(B254,Instruções!$F$13:$J$17,5,0)&amp;"_"&amp;$F$2&amp;","&amp;E254&amp;" as "&amp;F254&amp;" FROM "&amp;C254&amp;" WHERE "&amp;Instruções!$D$20&amp;") A ")</f>
        <v xml:space="preserve">(SELECT instrmnt_id as instrmnt_id_, off_blnc_sht_amnt_instrmnt_prvs as off_blnc_sht_amnt_instrmnt_prvs_as_is FROM cd_loan_tapes_bce.lt002_instrument WHERE ref_date='2024-09-30' AND nome_perimetro='Individual Corporativo' AND segmento='ESTR' AND ambito='PM' AND entidade='00100' ) A </v>
      </c>
      <c r="I254" s="75" t="str">
        <f>IF(VLOOKUP(B254,Instruções!$F$13:$J$17,5,0)="",
"(SELECT "&amp;VLOOKUP(B254,Instruções!$F$13:$J$17,4,0)&amp;" as "&amp;VLOOKUP(B254,Instruções!$F$13:$J$17,4,0)&amp;"_"&amp;$G$2&amp;", "&amp;E254&amp;" as "&amp;G254&amp;" FROM "&amp;D254&amp;" WHERE "&amp;Instruções!$D$21&amp;") B ",
"(SELECT "&amp;VLOOKUP(B254,Instruções!$F$13:$J$17,4,0)&amp;" as "&amp;VLOOKUP(B254,Instruções!$F$13:$J$17,4,0)&amp;"_"&amp;$G$2&amp;", "&amp;VLOOKUP(B254,Instruções!$F$13:$J$17,5,0)&amp;" as "&amp;VLOOKUP(B254,Instruções!$F$13:$J$17,5,0)&amp;"_"&amp;$G$2&amp;","&amp;E254&amp;" as "&amp;G254&amp;" FROM "&amp;D254&amp;" WHERE "&amp;Instruções!$D$21&amp;") B ")</f>
        <v xml:space="preserve">(SELECT instrmnt_id as instrmnt_id_, off_blnc_sht_amnt_instrmnt_prvs as off_blnc_sht_amnt_instrmnt_prvs_to_be FROM bu_loantape_work.lt002_instrument WHERE ref_date='2024-09-30' AND nome_perimetro='Individual Corporativo' AND segmento='ESTR' AND ambito='PM' AND entidade='00100' ) B </v>
      </c>
      <c r="J254" s="75" t="str">
        <f>+IF(VLOOKUP(B254,Instruções!$F$13:$J$17,5,0)="", "ON "&amp;VLOOKUP(B254,Instruções!$F$13:$J$17,4,0)&amp;"_"&amp;$F$7&amp;"="&amp;VLOOKUP(B254,Instruções!$F$13:$J$17,4,0)&amp;"_"&amp;$G$7&amp;" ", "ON "&amp;VLOOKUP(B254,Instruções!$F$13:$J$17,4,0)&amp;"_"&amp;$F$7&amp;"="&amp;VLOOKUP(B254,Instruções!$F$13:$J$17,4,0)&amp;"_"&amp;$G$7&amp;" AND "&amp;VLOOKUP(B254,Instruções!$F$13:$J$17,5,0)&amp;"_"&amp;$F$7&amp;"="&amp;VLOOKUP(B254,Instruções!$F$13:$J$17,5,0)&amp;"_"&amp;$G$7&amp;" ")</f>
        <v xml:space="preserve">ON instrmnt_id_as_is=instrmnt_id_to_be </v>
      </c>
      <c r="K254" s="75" t="str">
        <f t="shared" si="36"/>
        <v xml:space="preserve">WHERE coalesce(cast(off_blnc_sht_amnt_instrmnt_prvs_as_is AS string),'')&lt;&gt;coalesce(cast(off_blnc_sht_amnt_instrmnt_prvs_to_be AS string),'') </v>
      </c>
      <c r="L254" s="75" t="str">
        <f t="shared" si="37"/>
        <v xml:space="preserve">SELECT count(*) AS NUM_REG_DIF FROM (SELECT instrmnt_id as instrmnt_id_,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instrmnt_id_, off_blnc_sht_amnt_instrmnt_prvs as off_blnc_sht_amnt_instrmnt_prvs_to_be FROM bu_loantape_work.lt002_instrument WHERE ref_date='2024-09-30' AND nome_perimetro='Individual Corporativo' AND segmento='ESTR' AND ambito='PM' AND entidade='00100' ) B ON instrmnt_id_as_is=instrmnt_id_to_be WHERE coalesce(cast(off_blnc_sht_amnt_instrmnt_prvs_as_is AS string),'')&lt;&gt;coalesce(cast(off_blnc_sht_amnt_instrmnt_prvs_to_be AS string),'') </v>
      </c>
      <c r="M254" s="75" t="s">
        <v>55</v>
      </c>
      <c r="N254" s="75" t="str">
        <f>"SELECT 'Validação de campos' as tipologia_teste, '"&amp;VLOOKUP(B254,Instruções!$F$13:$J$17,3,0)&amp;"' AS TABELA, '"&amp;E254&amp;"' AS CAMPO, '"&amp;Instruções!$D$15&amp;"' as ref_date, coalesce(NUM_REG_DIF, 0) AS NUM_REG_DIF FROM ("&amp;L254&amp;") A "</f>
        <v xml:space="preserve">SELECT 'Validação de campos' as tipologia_teste, 'lt002_instrument' AS TABELA, 'off_blnc_sht_amnt_instrmnt_prvs' AS CAMPO, '2024-09-30' as ref_date, coalesce(NUM_REG_DIF, 0) AS NUM_REG_DIF FROM (SELECT count(*) AS NUM_REG_DIF FROM (SELECT instrmnt_id as instrmnt_id_,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instrmnt_id_, off_blnc_sht_amnt_instrmnt_prvs as off_blnc_sht_amnt_instrmnt_prvs_to_be FROM bu_loantape_work.lt002_instrument WHERE ref_date='2024-09-30' AND nome_perimetro='Individual Corporativo' AND segmento='ESTR' AND ambito='PM' AND entidade='00100' ) B ON instrmnt_id_as_is=instrmnt_id_to_be WHERE coalesce(cast(off_blnc_sht_amnt_instrmnt_prvs_as_is AS string),'')&lt;&gt;coalesce(cast(off_blnc_sht_amnt_instrmnt_prvs_to_be AS string),'') ) A </v>
      </c>
      <c r="O254" s="76" t="str">
        <f t="shared" si="38"/>
        <v>SELECT 'Validação de campos' as tipologia_teste, 'lt002_instrument' AS TABELA, 'off_blnc_sht_amnt_instrmnt_prvs' AS CAMPO, '2024-09-30' as ref_date, coalesce(NUM_REG_DIF, 0) AS NUM_REG_DIF FROM (SELECT count(*) AS NUM_REG_DIF FROM (SELECT instrmnt_id as instrmnt_id_,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instrmnt_id_, off_blnc_sht_amnt_instrmnt_prvs as off_blnc_sht_amnt_instrmnt_prvs_to_be FROM bu_loantape_work.lt002_instrument WHERE ref_date='2024-09-30' AND nome_perimetro='Individual Corporativo' AND segmento='ESTR' AND ambito='PM' AND entidade='00100' ) B ON instrmnt_id_as_is=instrmnt_id_to_be WHERE coalesce(cast(off_blnc_sht_amnt_instrmnt_prvs_as_is AS string),'')&lt;&gt;coalesce(cast(off_blnc_sht_amnt_instrmnt_prvs_to_be AS string),'') ) A Union all</v>
      </c>
      <c r="P254" s="75">
        <f t="shared" si="42"/>
        <v>42</v>
      </c>
    </row>
    <row r="255" spans="2:16" s="63" customFormat="1" ht="18" customHeight="1">
      <c r="B255" s="75" t="s">
        <v>26</v>
      </c>
      <c r="C255" s="75" t="str">
        <f>_xlfn.CONCAT(Instruções!$D$13,".",VLOOKUP(B255,Instruções!$F$12:$H$17,2,0))</f>
        <v>cd_loan_tapes_bce.lt002_instrument</v>
      </c>
      <c r="D255" s="75" t="str">
        <f>_xlfn.CONCAT(Instruções!$D$14,".",VLOOKUP(B255,Instruções!$F$12:$H$17,3,0))</f>
        <v>bu_loantape_work.lt002_instrument</v>
      </c>
      <c r="E255" s="75" t="s">
        <v>290</v>
      </c>
      <c r="F255" s="75" t="str">
        <f t="shared" si="40"/>
        <v>otstndng_nmnl_amnt_instrmnt_as_is</v>
      </c>
      <c r="G255" s="75" t="str">
        <f t="shared" si="41"/>
        <v>otstndng_nmnl_amnt_instrmnt_to_be</v>
      </c>
      <c r="H255" s="75" t="str">
        <f>IF(VLOOKUP(B255,Instruções!$F$13:$J$17,5,0)="",
"(SELECT "&amp;VLOOKUP(B255,Instruções!$F$13:$J$17,4,0)&amp;" as "&amp;VLOOKUP(B255,Instruções!$F$13:$J$17,4,0)&amp;"_"&amp;$F$2&amp;", "&amp;E255&amp;" as "&amp;F255&amp;" FROM "&amp;C255&amp;" WHERE "&amp;Instruções!$D$20&amp;") A ",
"(SELECT "&amp;VLOOKUP(B255,Instruções!$F$13:$J$17,4,0)&amp;" as "&amp;VLOOKUP(B255,Instruções!$F$13:$J$17,4,0)&amp;"_"&amp;$F$2&amp;", "&amp;VLOOKUP(B255,Instruções!$F$13:$J$17,5,0)&amp;" as "&amp;VLOOKUP(B255,Instruções!$F$13:$J$17,5,0)&amp;"_"&amp;$F$2&amp;","&amp;E255&amp;" as "&amp;F255&amp;" FROM "&amp;C255&amp;" WHERE "&amp;Instruções!$D$20&amp;") A ")</f>
        <v xml:space="preserve">(SELECT instrmnt_id as instrmnt_id_, otstndng_nmnl_amnt_instrmnt as otstndng_nmnl_amnt_instrmnt_as_is FROM cd_loan_tapes_bce.lt002_instrument WHERE ref_date='2024-09-30' AND nome_perimetro='Individual Corporativo' AND segmento='ESTR' AND ambito='PM' AND entidade='00100' ) A </v>
      </c>
      <c r="I255" s="75" t="str">
        <f>IF(VLOOKUP(B255,Instruções!$F$13:$J$17,5,0)="",
"(SELECT "&amp;VLOOKUP(B255,Instruções!$F$13:$J$17,4,0)&amp;" as "&amp;VLOOKUP(B255,Instruções!$F$13:$J$17,4,0)&amp;"_"&amp;$G$2&amp;", "&amp;E255&amp;" as "&amp;G255&amp;" FROM "&amp;D255&amp;" WHERE "&amp;Instruções!$D$21&amp;") B ",
"(SELECT "&amp;VLOOKUP(B255,Instruções!$F$13:$J$17,4,0)&amp;" as "&amp;VLOOKUP(B255,Instruções!$F$13:$J$17,4,0)&amp;"_"&amp;$G$2&amp;", "&amp;VLOOKUP(B255,Instruções!$F$13:$J$17,5,0)&amp;" as "&amp;VLOOKUP(B255,Instruções!$F$13:$J$17,5,0)&amp;"_"&amp;$G$2&amp;","&amp;E255&amp;" as "&amp;G255&amp;" FROM "&amp;D255&amp;" WHERE "&amp;Instruções!$D$21&amp;") B ")</f>
        <v xml:space="preserve">(SELECT instrmnt_id as instrmnt_id_, otstndng_nmnl_amnt_instrmnt as otstndng_nmnl_amnt_instrmnt_to_be FROM bu_loantape_work.lt002_instrument WHERE ref_date='2024-09-30' AND nome_perimetro='Individual Corporativo' AND segmento='ESTR' AND ambito='PM' AND entidade='00100' ) B </v>
      </c>
      <c r="J255" s="75" t="str">
        <f>+IF(VLOOKUP(B255,Instruções!$F$13:$J$17,5,0)="", "ON "&amp;VLOOKUP(B255,Instruções!$F$13:$J$17,4,0)&amp;"_"&amp;$F$7&amp;"="&amp;VLOOKUP(B255,Instruções!$F$13:$J$17,4,0)&amp;"_"&amp;$G$7&amp;" ", "ON "&amp;VLOOKUP(B255,Instruções!$F$13:$J$17,4,0)&amp;"_"&amp;$F$7&amp;"="&amp;VLOOKUP(B255,Instruções!$F$13:$J$17,4,0)&amp;"_"&amp;$G$7&amp;" AND "&amp;VLOOKUP(B255,Instruções!$F$13:$J$17,5,0)&amp;"_"&amp;$F$7&amp;"="&amp;VLOOKUP(B255,Instruções!$F$13:$J$17,5,0)&amp;"_"&amp;$G$7&amp;" ")</f>
        <v xml:space="preserve">ON instrmnt_id_as_is=instrmnt_id_to_be </v>
      </c>
      <c r="K255" s="75" t="str">
        <f t="shared" si="36"/>
        <v xml:space="preserve">WHERE coalesce(cast(otstndng_nmnl_amnt_instrmnt_as_is AS string),'')&lt;&gt;coalesce(cast(otstndng_nmnl_amnt_instrmnt_to_be AS string),'') </v>
      </c>
      <c r="L255" s="75" t="str">
        <f t="shared" si="37"/>
        <v xml:space="preserve">SELECT count(*) AS NUM_REG_DIF FROM (SELECT instrmnt_id as instrmnt_id_,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instrmnt_id_, otstndng_nmnl_amnt_instrmnt as otstndng_nmnl_amnt_instrmnt_to_be FROM bu_loantape_work.lt002_instrument WHERE ref_date='2024-09-30' AND nome_perimetro='Individual Corporativo' AND segmento='ESTR' AND ambito='PM' AND entidade='00100' ) B ON instrmnt_id_as_is=instrmnt_id_to_be WHERE coalesce(cast(otstndng_nmnl_amnt_instrmnt_as_is AS string),'')&lt;&gt;coalesce(cast(otstndng_nmnl_amnt_instrmnt_to_be AS string),'') </v>
      </c>
      <c r="M255" s="75" t="s">
        <v>55</v>
      </c>
      <c r="N255" s="75" t="str">
        <f>"SELECT 'Validação de campos' as tipologia_teste, '"&amp;VLOOKUP(B255,Instruções!$F$13:$J$17,3,0)&amp;"' AS TABELA, '"&amp;E255&amp;"' AS CAMPO, '"&amp;Instruções!$D$15&amp;"' as ref_date, coalesce(NUM_REG_DIF, 0) AS NUM_REG_DIF FROM ("&amp;L255&amp;") A "</f>
        <v xml:space="preserve">SELECT 'Validação de campos' as tipologia_teste, 'lt002_instrument' AS TABELA, 'otstndng_nmnl_amnt_instrmnt' AS CAMPO, '2024-09-30' as ref_date, coalesce(NUM_REG_DIF, 0) AS NUM_REG_DIF FROM (SELECT count(*) AS NUM_REG_DIF FROM (SELECT instrmnt_id as instrmnt_id_,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instrmnt_id_, otstndng_nmnl_amnt_instrmnt as otstndng_nmnl_amnt_instrmnt_to_be FROM bu_loantape_work.lt002_instrument WHERE ref_date='2024-09-30' AND nome_perimetro='Individual Corporativo' AND segmento='ESTR' AND ambito='PM' AND entidade='00100' ) B ON instrmnt_id_as_is=instrmnt_id_to_be WHERE coalesce(cast(otstndng_nmnl_amnt_instrmnt_as_is AS string),'')&lt;&gt;coalesce(cast(otstndng_nmnl_amnt_instrmnt_to_be AS string),'') ) A </v>
      </c>
      <c r="O255" s="76" t="str">
        <f t="shared" si="38"/>
        <v>SELECT 'Validação de campos' as tipologia_teste, 'lt002_instrument' AS TABELA, 'otstndng_nmnl_amnt_instrmnt' AS CAMPO, '2024-09-30' as ref_date, coalesce(NUM_REG_DIF, 0) AS NUM_REG_DIF FROM (SELECT count(*) AS NUM_REG_DIF FROM (SELECT instrmnt_id as instrmnt_id_,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instrmnt_id_, otstndng_nmnl_amnt_instrmnt as otstndng_nmnl_amnt_instrmnt_to_be FROM bu_loantape_work.lt002_instrument WHERE ref_date='2024-09-30' AND nome_perimetro='Individual Corporativo' AND segmento='ESTR' AND ambito='PM' AND entidade='00100' ) B ON instrmnt_id_as_is=instrmnt_id_to_be WHERE coalesce(cast(otstndng_nmnl_amnt_instrmnt_as_is AS string),'')&lt;&gt;coalesce(cast(otstndng_nmnl_amnt_instrmnt_to_be AS string),'') ) A Union all</v>
      </c>
      <c r="P255" s="75">
        <f t="shared" si="42"/>
        <v>43</v>
      </c>
    </row>
    <row r="256" spans="2:16" s="63" customFormat="1" ht="18" customHeight="1">
      <c r="B256" s="75" t="s">
        <v>26</v>
      </c>
      <c r="C256" s="75" t="str">
        <f>_xlfn.CONCAT(Instruções!$D$13,".",VLOOKUP(B256,Instruções!$F$12:$H$17,2,0))</f>
        <v>cd_loan_tapes_bce.lt002_instrument</v>
      </c>
      <c r="D256" s="75" t="str">
        <f>_xlfn.CONCAT(Instruções!$D$14,".",VLOOKUP(B256,Instruções!$F$12:$H$17,3,0))</f>
        <v>bu_loantape_work.lt002_instrument</v>
      </c>
      <c r="E256" s="75" t="s">
        <v>291</v>
      </c>
      <c r="F256" s="75" t="str">
        <f t="shared" si="40"/>
        <v>otstndng_nmnl_amnt_instrmnt_prvs_as_is</v>
      </c>
      <c r="G256" s="75" t="str">
        <f t="shared" si="41"/>
        <v>otstndng_nmnl_amnt_instrmnt_prvs_to_be</v>
      </c>
      <c r="H256" s="75" t="str">
        <f>IF(VLOOKUP(B256,Instruções!$F$13:$J$17,5,0)="",
"(SELECT "&amp;VLOOKUP(B256,Instruções!$F$13:$J$17,4,0)&amp;" as "&amp;VLOOKUP(B256,Instruções!$F$13:$J$17,4,0)&amp;"_"&amp;$F$2&amp;", "&amp;E256&amp;" as "&amp;F256&amp;" FROM "&amp;C256&amp;" WHERE "&amp;Instruções!$D$20&amp;") A ",
"(SELECT "&amp;VLOOKUP(B256,Instruções!$F$13:$J$17,4,0)&amp;" as "&amp;VLOOKUP(B256,Instruções!$F$13:$J$17,4,0)&amp;"_"&amp;$F$2&amp;", "&amp;VLOOKUP(B256,Instruções!$F$13:$J$17,5,0)&amp;" as "&amp;VLOOKUP(B256,Instruções!$F$13:$J$17,5,0)&amp;"_"&amp;$F$2&amp;","&amp;E256&amp;" as "&amp;F256&amp;" FROM "&amp;C256&amp;" WHERE "&amp;Instruções!$D$20&amp;") A ")</f>
        <v xml:space="preserve">(SELECT instrmnt_id as instrmnt_id_, otstndng_nmnl_amnt_instrmnt_prvs as otstndng_nmnl_amnt_instrmnt_prvs_as_is FROM cd_loan_tapes_bce.lt002_instrument WHERE ref_date='2024-09-30' AND nome_perimetro='Individual Corporativo' AND segmento='ESTR' AND ambito='PM' AND entidade='00100' ) A </v>
      </c>
      <c r="I256" s="75" t="str">
        <f>IF(VLOOKUP(B256,Instruções!$F$13:$J$17,5,0)="",
"(SELECT "&amp;VLOOKUP(B256,Instruções!$F$13:$J$17,4,0)&amp;" as "&amp;VLOOKUP(B256,Instruções!$F$13:$J$17,4,0)&amp;"_"&amp;$G$2&amp;", "&amp;E256&amp;" as "&amp;G256&amp;" FROM "&amp;D256&amp;" WHERE "&amp;Instruções!$D$21&amp;") B ",
"(SELECT "&amp;VLOOKUP(B256,Instruções!$F$13:$J$17,4,0)&amp;" as "&amp;VLOOKUP(B256,Instruções!$F$13:$J$17,4,0)&amp;"_"&amp;$G$2&amp;", "&amp;VLOOKUP(B256,Instruções!$F$13:$J$17,5,0)&amp;" as "&amp;VLOOKUP(B256,Instruções!$F$13:$J$17,5,0)&amp;"_"&amp;$G$2&amp;","&amp;E256&amp;" as "&amp;G256&amp;" FROM "&amp;D256&amp;" WHERE "&amp;Instruções!$D$21&amp;") B ")</f>
        <v xml:space="preserve">(SELECT instrmnt_id as instrmnt_id_, otstndng_nmnl_amnt_instrmnt_prvs as otstndng_nmnl_amnt_instrmnt_prvs_to_be FROM bu_loantape_work.lt002_instrument WHERE ref_date='2024-09-30' AND nome_perimetro='Individual Corporativo' AND segmento='ESTR' AND ambito='PM' AND entidade='00100' ) B </v>
      </c>
      <c r="J256" s="75" t="str">
        <f>+IF(VLOOKUP(B256,Instruções!$F$13:$J$17,5,0)="", "ON "&amp;VLOOKUP(B256,Instruções!$F$13:$J$17,4,0)&amp;"_"&amp;$F$7&amp;"="&amp;VLOOKUP(B256,Instruções!$F$13:$J$17,4,0)&amp;"_"&amp;$G$7&amp;" ", "ON "&amp;VLOOKUP(B256,Instruções!$F$13:$J$17,4,0)&amp;"_"&amp;$F$7&amp;"="&amp;VLOOKUP(B256,Instruções!$F$13:$J$17,4,0)&amp;"_"&amp;$G$7&amp;" AND "&amp;VLOOKUP(B256,Instruções!$F$13:$J$17,5,0)&amp;"_"&amp;$F$7&amp;"="&amp;VLOOKUP(B256,Instruções!$F$13:$J$17,5,0)&amp;"_"&amp;$G$7&amp;" ")</f>
        <v xml:space="preserve">ON instrmnt_id_as_is=instrmnt_id_to_be </v>
      </c>
      <c r="K256" s="75" t="str">
        <f t="shared" si="36"/>
        <v xml:space="preserve">WHERE coalesce(cast(otstndng_nmnl_amnt_instrmnt_prvs_as_is AS string),'')&lt;&gt;coalesce(cast(otstndng_nmnl_amnt_instrmnt_prvs_to_be AS string),'') </v>
      </c>
      <c r="L256" s="75" t="str">
        <f t="shared" si="37"/>
        <v xml:space="preserve">SELECT count(*) AS NUM_REG_DIF FROM (SELECT instrmnt_id as instrmnt_id_,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instrmnt_id_, otstndng_nmnl_amnt_instrmnt_prvs as otstndng_nmnl_amnt_instrmnt_prvs_to_be FROM bu_loantape_work.lt002_instrument WHERE ref_date='2024-09-30' AND nome_perimetro='Individual Corporativo' AND segmento='ESTR' AND ambito='PM' AND entidade='00100' ) B ON instrmnt_id_as_is=instrmnt_id_to_be WHERE coalesce(cast(otstndng_nmnl_amnt_instrmnt_prvs_as_is AS string),'')&lt;&gt;coalesce(cast(otstndng_nmnl_amnt_instrmnt_prvs_to_be AS string),'') </v>
      </c>
      <c r="M256" s="75" t="s">
        <v>55</v>
      </c>
      <c r="N256" s="75" t="str">
        <f>"SELECT 'Validação de campos' as tipologia_teste, '"&amp;VLOOKUP(B256,Instruções!$F$13:$J$17,3,0)&amp;"' AS TABELA, '"&amp;E256&amp;"' AS CAMPO, '"&amp;Instruções!$D$15&amp;"' as ref_date, coalesce(NUM_REG_DIF, 0) AS NUM_REG_DIF FROM ("&amp;L256&amp;") A "</f>
        <v xml:space="preserve">SELECT 'Validação de campos' as tipologia_teste, 'lt002_instrument' AS TABELA, 'otstndng_nmnl_amnt_instrmnt_prvs' AS CAMPO, '2024-09-30' as ref_date, coalesce(NUM_REG_DIF, 0) AS NUM_REG_DIF FROM (SELECT count(*) AS NUM_REG_DIF FROM (SELECT instrmnt_id as instrmnt_id_,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instrmnt_id_, otstndng_nmnl_amnt_instrmnt_prvs as otstndng_nmnl_amnt_instrmnt_prvs_to_be FROM bu_loantape_work.lt002_instrument WHERE ref_date='2024-09-30' AND nome_perimetro='Individual Corporativo' AND segmento='ESTR' AND ambito='PM' AND entidade='00100' ) B ON instrmnt_id_as_is=instrmnt_id_to_be WHERE coalesce(cast(otstndng_nmnl_amnt_instrmnt_prvs_as_is AS string),'')&lt;&gt;coalesce(cast(otstndng_nmnl_amnt_instrmnt_prvs_to_be AS string),'') ) A </v>
      </c>
      <c r="O256" s="76" t="str">
        <f t="shared" si="38"/>
        <v>SELECT 'Validação de campos' as tipologia_teste, 'lt002_instrument' AS TABELA, 'otstndng_nmnl_amnt_instrmnt_prvs' AS CAMPO, '2024-09-30' as ref_date, coalesce(NUM_REG_DIF, 0) AS NUM_REG_DIF FROM (SELECT count(*) AS NUM_REG_DIF FROM (SELECT instrmnt_id as instrmnt_id_,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instrmnt_id_, otstndng_nmnl_amnt_instrmnt_prvs as otstndng_nmnl_amnt_instrmnt_prvs_to_be FROM bu_loantape_work.lt002_instrument WHERE ref_date='2024-09-30' AND nome_perimetro='Individual Corporativo' AND segmento='ESTR' AND ambito='PM' AND entidade='00100' ) B ON instrmnt_id_as_is=instrmnt_id_to_be WHERE coalesce(cast(otstndng_nmnl_amnt_instrmnt_prvs_as_is AS string),'')&lt;&gt;coalesce(cast(otstndng_nmnl_amnt_instrmnt_prvs_to_be AS string),'') ) A Union all</v>
      </c>
      <c r="P256" s="75">
        <f t="shared" si="42"/>
        <v>44</v>
      </c>
    </row>
    <row r="257" spans="2:16" s="63" customFormat="1" ht="18" customHeight="1">
      <c r="B257" s="75" t="s">
        <v>26</v>
      </c>
      <c r="C257" s="75" t="str">
        <f>_xlfn.CONCAT(Instruções!$D$13,".",VLOOKUP(B257,Instruções!$F$12:$H$17,2,0))</f>
        <v>cd_loan_tapes_bce.lt002_instrument</v>
      </c>
      <c r="D257" s="75" t="str">
        <f>_xlfn.CONCAT(Instruções!$D$14,".",VLOOKUP(B257,Instruções!$F$12:$H$17,3,0))</f>
        <v>bu_loantape_work.lt002_instrument</v>
      </c>
      <c r="E257" s="75" t="s">
        <v>292</v>
      </c>
      <c r="F257" s="75" t="str">
        <f t="shared" si="40"/>
        <v>pblc_grnt_schm_c19_nm_as_is</v>
      </c>
      <c r="G257" s="75" t="str">
        <f t="shared" si="41"/>
        <v>pblc_grnt_schm_c19_nm_to_be</v>
      </c>
      <c r="H257" s="75" t="str">
        <f>IF(VLOOKUP(B257,Instruções!$F$13:$J$17,5,0)="",
"(SELECT "&amp;VLOOKUP(B257,Instruções!$F$13:$J$17,4,0)&amp;" as "&amp;VLOOKUP(B257,Instruções!$F$13:$J$17,4,0)&amp;"_"&amp;$F$2&amp;", "&amp;E257&amp;" as "&amp;F257&amp;" FROM "&amp;C257&amp;" WHERE "&amp;Instruções!$D$20&amp;") A ",
"(SELECT "&amp;VLOOKUP(B257,Instruções!$F$13:$J$17,4,0)&amp;" as "&amp;VLOOKUP(B257,Instruções!$F$13:$J$17,4,0)&amp;"_"&amp;$F$2&amp;", "&amp;VLOOKUP(B257,Instruções!$F$13:$J$17,5,0)&amp;" as "&amp;VLOOKUP(B257,Instruções!$F$13:$J$17,5,0)&amp;"_"&amp;$F$2&amp;","&amp;E257&amp;" as "&amp;F257&amp;" FROM "&amp;C257&amp;" WHERE "&amp;Instruções!$D$20&amp;") A ")</f>
        <v xml:space="preserve">(SELECT instrmnt_id as instrmnt_id_, pblc_grnt_schm_c19_nm as pblc_grnt_schm_c19_nm_as_is FROM cd_loan_tapes_bce.lt002_instrument WHERE ref_date='2024-09-30' AND nome_perimetro='Individual Corporativo' AND segmento='ESTR' AND ambito='PM' AND entidade='00100' ) A </v>
      </c>
      <c r="I257" s="75" t="str">
        <f>IF(VLOOKUP(B257,Instruções!$F$13:$J$17,5,0)="",
"(SELECT "&amp;VLOOKUP(B257,Instruções!$F$13:$J$17,4,0)&amp;" as "&amp;VLOOKUP(B257,Instruções!$F$13:$J$17,4,0)&amp;"_"&amp;$G$2&amp;", "&amp;E257&amp;" as "&amp;G257&amp;" FROM "&amp;D257&amp;" WHERE "&amp;Instruções!$D$21&amp;") B ",
"(SELECT "&amp;VLOOKUP(B257,Instruções!$F$13:$J$17,4,0)&amp;" as "&amp;VLOOKUP(B257,Instruções!$F$13:$J$17,4,0)&amp;"_"&amp;$G$2&amp;", "&amp;VLOOKUP(B257,Instruções!$F$13:$J$17,5,0)&amp;" as "&amp;VLOOKUP(B257,Instruções!$F$13:$J$17,5,0)&amp;"_"&amp;$G$2&amp;","&amp;E257&amp;" as "&amp;G257&amp;" FROM "&amp;D257&amp;" WHERE "&amp;Instruções!$D$21&amp;") B ")</f>
        <v xml:space="preserve">(SELECT instrmnt_id as instrmnt_id_, pblc_grnt_schm_c19_nm as pblc_grnt_schm_c19_nm_to_be FROM bu_loantape_work.lt002_instrument WHERE ref_date='2024-09-30' AND nome_perimetro='Individual Corporativo' AND segmento='ESTR' AND ambito='PM' AND entidade='00100' ) B </v>
      </c>
      <c r="J257" s="75" t="str">
        <f>+IF(VLOOKUP(B257,Instruções!$F$13:$J$17,5,0)="", "ON "&amp;VLOOKUP(B257,Instruções!$F$13:$J$17,4,0)&amp;"_"&amp;$F$7&amp;"="&amp;VLOOKUP(B257,Instruções!$F$13:$J$17,4,0)&amp;"_"&amp;$G$7&amp;" ", "ON "&amp;VLOOKUP(B257,Instruções!$F$13:$J$17,4,0)&amp;"_"&amp;$F$7&amp;"="&amp;VLOOKUP(B257,Instruções!$F$13:$J$17,4,0)&amp;"_"&amp;$G$7&amp;" AND "&amp;VLOOKUP(B257,Instruções!$F$13:$J$17,5,0)&amp;"_"&amp;$F$7&amp;"="&amp;VLOOKUP(B257,Instruções!$F$13:$J$17,5,0)&amp;"_"&amp;$G$7&amp;" ")</f>
        <v xml:space="preserve">ON instrmnt_id_as_is=instrmnt_id_to_be </v>
      </c>
      <c r="K257" s="75" t="str">
        <f t="shared" si="36"/>
        <v xml:space="preserve">WHERE coalesce(cast(pblc_grnt_schm_c19_nm_as_is AS string),'')&lt;&gt;coalesce(cast(pblc_grnt_schm_c19_nm_to_be AS string),'') </v>
      </c>
      <c r="L257" s="75" t="str">
        <f t="shared" si="37"/>
        <v xml:space="preserve">SELECT count(*) AS NUM_REG_DIF FROM (SELECT instrmnt_id as instrmnt_id_, pblc_grnt_schm_c19_nm as pblc_grnt_schm_c19_nm_as_is FROM cd_loan_tapes_bce.lt002_instrument WHERE ref_date='2024-09-30' AND nome_perimetro='Individual Corporativo' AND segmento='ESTR' AND ambito='PM' AND entidade='00100' ) A  Inner join (SELECT instrmnt_id as instrmnt_id_, pblc_grnt_schm_c19_nm as pblc_grnt_schm_c19_nm_to_be FROM bu_loantape_work.lt002_instrument WHERE ref_date='2024-09-30' AND nome_perimetro='Individual Corporativo' AND segmento='ESTR' AND ambito='PM' AND entidade='00100' ) B ON instrmnt_id_as_is=instrmnt_id_to_be WHERE coalesce(cast(pblc_grnt_schm_c19_nm_as_is AS string),'')&lt;&gt;coalesce(cast(pblc_grnt_schm_c19_nm_to_be AS string),'') </v>
      </c>
      <c r="M257" s="75" t="s">
        <v>55</v>
      </c>
      <c r="N257" s="75" t="str">
        <f>"SELECT 'Validação de campos' as tipologia_teste, '"&amp;VLOOKUP(B257,Instruções!$F$13:$J$17,3,0)&amp;"' AS TABELA, '"&amp;E257&amp;"' AS CAMPO, '"&amp;Instruções!$D$15&amp;"' as ref_date, coalesce(NUM_REG_DIF, 0) AS NUM_REG_DIF FROM ("&amp;L257&amp;") A "</f>
        <v xml:space="preserve">SELECT 'Validação de campos' as tipologia_teste, 'lt002_instrument' AS TABELA, 'pblc_grnt_schm_c19_nm' AS CAMPO, '2024-09-30' as ref_date, coalesce(NUM_REG_DIF, 0) AS NUM_REG_DIF FROM (SELECT count(*) AS NUM_REG_DIF FROM (SELECT instrmnt_id as instrmnt_id_, pblc_grnt_schm_c19_nm as pblc_grnt_schm_c19_nm_as_is FROM cd_loan_tapes_bce.lt002_instrument WHERE ref_date='2024-09-30' AND nome_perimetro='Individual Corporativo' AND segmento='ESTR' AND ambito='PM' AND entidade='00100' ) A  Inner join (SELECT instrmnt_id as instrmnt_id_, pblc_grnt_schm_c19_nm as pblc_grnt_schm_c19_nm_to_be FROM bu_loantape_work.lt002_instrument WHERE ref_date='2024-09-30' AND nome_perimetro='Individual Corporativo' AND segmento='ESTR' AND ambito='PM' AND entidade='00100' ) B ON instrmnt_id_as_is=instrmnt_id_to_be WHERE coalesce(cast(pblc_grnt_schm_c19_nm_as_is AS string),'')&lt;&gt;coalesce(cast(pblc_grnt_schm_c19_nm_to_be AS string),'') ) A </v>
      </c>
      <c r="O257" s="76" t="str">
        <f t="shared" si="38"/>
        <v>SELECT 'Validação de campos' as tipologia_teste, 'lt002_instrument' AS TABELA, 'pblc_grnt_schm_c19_nm' AS CAMPO, '2024-09-30' as ref_date, coalesce(NUM_REG_DIF, 0) AS NUM_REG_DIF FROM (SELECT count(*) AS NUM_REG_DIF FROM (SELECT instrmnt_id as instrmnt_id_, pblc_grnt_schm_c19_nm as pblc_grnt_schm_c19_nm_as_is FROM cd_loan_tapes_bce.lt002_instrument WHERE ref_date='2024-09-30' AND nome_perimetro='Individual Corporativo' AND segmento='ESTR' AND ambito='PM' AND entidade='00100' ) A  Inner join (SELECT instrmnt_id as instrmnt_id_, pblc_grnt_schm_c19_nm as pblc_grnt_schm_c19_nm_to_be FROM bu_loantape_work.lt002_instrument WHERE ref_date='2024-09-30' AND nome_perimetro='Individual Corporativo' AND segmento='ESTR' AND ambito='PM' AND entidade='00100' ) B ON instrmnt_id_as_is=instrmnt_id_to_be WHERE coalesce(cast(pblc_grnt_schm_c19_nm_as_is AS string),'')&lt;&gt;coalesce(cast(pblc_grnt_schm_c19_nm_to_be AS string),'') ) A Union all</v>
      </c>
      <c r="P257" s="75">
        <f t="shared" si="42"/>
        <v>45</v>
      </c>
    </row>
    <row r="258" spans="2:16" s="63" customFormat="1" ht="18" customHeight="1">
      <c r="B258" s="75" t="s">
        <v>26</v>
      </c>
      <c r="C258" s="75" t="str">
        <f>_xlfn.CONCAT(Instruções!$D$13,".",VLOOKUP(B258,Instruções!$F$12:$H$17,2,0))</f>
        <v>cd_loan_tapes_bce.lt002_instrument</v>
      </c>
      <c r="D258" s="75" t="str">
        <f>_xlfn.CONCAT(Instruções!$D$14,".",VLOOKUP(B258,Instruções!$F$12:$H$17,3,0))</f>
        <v>bu_loantape_work.lt002_instrument</v>
      </c>
      <c r="E258" s="75" t="s">
        <v>293</v>
      </c>
      <c r="F258" s="75" t="str">
        <f t="shared" si="40"/>
        <v>pd_crr_incptn_as_is</v>
      </c>
      <c r="G258" s="75" t="str">
        <f t="shared" si="41"/>
        <v>pd_crr_incptn_to_be</v>
      </c>
      <c r="H258" s="75" t="str">
        <f>IF(VLOOKUP(B258,Instruções!$F$13:$J$17,5,0)="",
"(SELECT "&amp;VLOOKUP(B258,Instruções!$F$13:$J$17,4,0)&amp;" as "&amp;VLOOKUP(B258,Instruções!$F$13:$J$17,4,0)&amp;"_"&amp;$F$2&amp;", "&amp;E258&amp;" as "&amp;F258&amp;" FROM "&amp;C258&amp;" WHERE "&amp;Instruções!$D$20&amp;") A ",
"(SELECT "&amp;VLOOKUP(B258,Instruções!$F$13:$J$17,4,0)&amp;" as "&amp;VLOOKUP(B258,Instruções!$F$13:$J$17,4,0)&amp;"_"&amp;$F$2&amp;", "&amp;VLOOKUP(B258,Instruções!$F$13:$J$17,5,0)&amp;" as "&amp;VLOOKUP(B258,Instruções!$F$13:$J$17,5,0)&amp;"_"&amp;$F$2&amp;","&amp;E258&amp;" as "&amp;F258&amp;" FROM "&amp;C258&amp;" WHERE "&amp;Instruções!$D$20&amp;") A ")</f>
        <v xml:space="preserve">(SELECT instrmnt_id as instrmnt_id_, pd_crr_incptn as pd_crr_incptn_as_is FROM cd_loan_tapes_bce.lt002_instrument WHERE ref_date='2024-09-30' AND nome_perimetro='Individual Corporativo' AND segmento='ESTR' AND ambito='PM' AND entidade='00100' ) A </v>
      </c>
      <c r="I258" s="75" t="str">
        <f>IF(VLOOKUP(B258,Instruções!$F$13:$J$17,5,0)="",
"(SELECT "&amp;VLOOKUP(B258,Instruções!$F$13:$J$17,4,0)&amp;" as "&amp;VLOOKUP(B258,Instruções!$F$13:$J$17,4,0)&amp;"_"&amp;$G$2&amp;", "&amp;E258&amp;" as "&amp;G258&amp;" FROM "&amp;D258&amp;" WHERE "&amp;Instruções!$D$21&amp;") B ",
"(SELECT "&amp;VLOOKUP(B258,Instruções!$F$13:$J$17,4,0)&amp;" as "&amp;VLOOKUP(B258,Instruções!$F$13:$J$17,4,0)&amp;"_"&amp;$G$2&amp;", "&amp;VLOOKUP(B258,Instruções!$F$13:$J$17,5,0)&amp;" as "&amp;VLOOKUP(B258,Instruções!$F$13:$J$17,5,0)&amp;"_"&amp;$G$2&amp;","&amp;E258&amp;" as "&amp;G258&amp;" FROM "&amp;D258&amp;" WHERE "&amp;Instruções!$D$21&amp;") B ")</f>
        <v xml:space="preserve">(SELECT instrmnt_id as instrmnt_id_, pd_crr_incptn as pd_crr_incptn_to_be FROM bu_loantape_work.lt002_instrument WHERE ref_date='2024-09-30' AND nome_perimetro='Individual Corporativo' AND segmento='ESTR' AND ambito='PM' AND entidade='00100' ) B </v>
      </c>
      <c r="J258" s="75" t="str">
        <f>+IF(VLOOKUP(B258,Instruções!$F$13:$J$17,5,0)="", "ON "&amp;VLOOKUP(B258,Instruções!$F$13:$J$17,4,0)&amp;"_"&amp;$F$7&amp;"="&amp;VLOOKUP(B258,Instruções!$F$13:$J$17,4,0)&amp;"_"&amp;$G$7&amp;" ", "ON "&amp;VLOOKUP(B258,Instruções!$F$13:$J$17,4,0)&amp;"_"&amp;$F$7&amp;"="&amp;VLOOKUP(B258,Instruções!$F$13:$J$17,4,0)&amp;"_"&amp;$G$7&amp;" AND "&amp;VLOOKUP(B258,Instruções!$F$13:$J$17,5,0)&amp;"_"&amp;$F$7&amp;"="&amp;VLOOKUP(B258,Instruções!$F$13:$J$17,5,0)&amp;"_"&amp;$G$7&amp;" ")</f>
        <v xml:space="preserve">ON instrmnt_id_as_is=instrmnt_id_to_be </v>
      </c>
      <c r="K258" s="75" t="str">
        <f t="shared" si="36"/>
        <v xml:space="preserve">WHERE coalesce(cast(pd_crr_incptn_as_is AS string),'')&lt;&gt;coalesce(cast(pd_crr_incptn_to_be AS string),'') </v>
      </c>
      <c r="L258" s="75" t="str">
        <f t="shared" si="37"/>
        <v xml:space="preserve">SELECT count(*) AS NUM_REG_DIF FROM (SELECT instrmnt_id as instrmnt_id_, pd_crr_incptn as pd_crr_incptn_as_is FROM cd_loan_tapes_bce.lt002_instrument WHERE ref_date='2024-09-30' AND nome_perimetro='Individual Corporativo' AND segmento='ESTR' AND ambito='PM' AND entidade='00100' ) A  Inner join (SELECT instrmnt_id as instrmnt_id_, pd_crr_incptn as pd_crr_incptn_to_be FROM bu_loantape_work.lt002_instrument WHERE ref_date='2024-09-30' AND nome_perimetro='Individual Corporativo' AND segmento='ESTR' AND ambito='PM' AND entidade='00100' ) B ON instrmnt_id_as_is=instrmnt_id_to_be WHERE coalesce(cast(pd_crr_incptn_as_is AS string),'')&lt;&gt;coalesce(cast(pd_crr_incptn_to_be AS string),'') </v>
      </c>
      <c r="M258" s="75" t="s">
        <v>55</v>
      </c>
      <c r="N258" s="75" t="str">
        <f>"SELECT 'Validação de campos' as tipologia_teste, '"&amp;VLOOKUP(B258,Instruções!$F$13:$J$17,3,0)&amp;"' AS TABELA, '"&amp;E258&amp;"' AS CAMPO, '"&amp;Instruções!$D$15&amp;"' as ref_date, coalesce(NUM_REG_DIF, 0) AS NUM_REG_DIF FROM ("&amp;L258&amp;") A "</f>
        <v xml:space="preserve">SELECT 'Validação de campos' as tipologia_teste, 'lt002_instrument' AS TABELA, 'pd_crr_incptn' AS CAMPO, '2024-09-30' as ref_date, coalesce(NUM_REG_DIF, 0) AS NUM_REG_DIF FROM (SELECT count(*) AS NUM_REG_DIF FROM (SELECT instrmnt_id as instrmnt_id_, pd_crr_incptn as pd_crr_incptn_as_is FROM cd_loan_tapes_bce.lt002_instrument WHERE ref_date='2024-09-30' AND nome_perimetro='Individual Corporativo' AND segmento='ESTR' AND ambito='PM' AND entidade='00100' ) A  Inner join (SELECT instrmnt_id as instrmnt_id_, pd_crr_incptn as pd_crr_incptn_to_be FROM bu_loantape_work.lt002_instrument WHERE ref_date='2024-09-30' AND nome_perimetro='Individual Corporativo' AND segmento='ESTR' AND ambito='PM' AND entidade='00100' ) B ON instrmnt_id_as_is=instrmnt_id_to_be WHERE coalesce(cast(pd_crr_incptn_as_is AS string),'')&lt;&gt;coalesce(cast(pd_crr_incptn_to_be AS string),'') ) A </v>
      </c>
      <c r="O258" s="76" t="str">
        <f t="shared" si="38"/>
        <v>SELECT 'Validação de campos' as tipologia_teste, 'lt002_instrument' AS TABELA, 'pd_crr_incptn' AS CAMPO, '2024-09-30' as ref_date, coalesce(NUM_REG_DIF, 0) AS NUM_REG_DIF FROM (SELECT count(*) AS NUM_REG_DIF FROM (SELECT instrmnt_id as instrmnt_id_, pd_crr_incptn as pd_crr_incptn_as_is FROM cd_loan_tapes_bce.lt002_instrument WHERE ref_date='2024-09-30' AND nome_perimetro='Individual Corporativo' AND segmento='ESTR' AND ambito='PM' AND entidade='00100' ) A  Inner join (SELECT instrmnt_id as instrmnt_id_, pd_crr_incptn as pd_crr_incptn_to_be FROM bu_loantape_work.lt002_instrument WHERE ref_date='2024-09-30' AND nome_perimetro='Individual Corporativo' AND segmento='ESTR' AND ambito='PM' AND entidade='00100' ) B ON instrmnt_id_as_is=instrmnt_id_to_be WHERE coalesce(cast(pd_crr_incptn_as_is AS string),'')&lt;&gt;coalesce(cast(pd_crr_incptn_to_be AS string),'') ) A Union all</v>
      </c>
      <c r="P258" s="75">
        <f t="shared" si="42"/>
        <v>46</v>
      </c>
    </row>
    <row r="259" spans="2:16" s="63" customFormat="1" ht="18" customHeight="1">
      <c r="B259" s="75" t="s">
        <v>26</v>
      </c>
      <c r="C259" s="75" t="str">
        <f>_xlfn.CONCAT(Instruções!$D$13,".",VLOOKUP(B259,Instruções!$F$12:$H$17,2,0))</f>
        <v>cd_loan_tapes_bce.lt002_instrument</v>
      </c>
      <c r="D259" s="75" t="str">
        <f>_xlfn.CONCAT(Instruções!$D$14,".",VLOOKUP(B259,Instruções!$F$12:$H$17,3,0))</f>
        <v>bu_loantape_work.lt002_instrument</v>
      </c>
      <c r="E259" s="75" t="s">
        <v>137</v>
      </c>
      <c r="F259" s="75" t="str">
        <f t="shared" si="40"/>
        <v>pd_crr_rd_as_is</v>
      </c>
      <c r="G259" s="75" t="str">
        <f t="shared" si="41"/>
        <v>pd_crr_rd_to_be</v>
      </c>
      <c r="H259" s="75" t="str">
        <f>IF(VLOOKUP(B259,Instruções!$F$13:$J$17,5,0)="",
"(SELECT "&amp;VLOOKUP(B259,Instruções!$F$13:$J$17,4,0)&amp;" as "&amp;VLOOKUP(B259,Instruções!$F$13:$J$17,4,0)&amp;"_"&amp;$F$2&amp;", "&amp;E259&amp;" as "&amp;F259&amp;" FROM "&amp;C259&amp;" WHERE "&amp;Instruções!$D$20&amp;") A ",
"(SELECT "&amp;VLOOKUP(B259,Instruções!$F$13:$J$17,4,0)&amp;" as "&amp;VLOOKUP(B259,Instruções!$F$13:$J$17,4,0)&amp;"_"&amp;$F$2&amp;", "&amp;VLOOKUP(B259,Instruções!$F$13:$J$17,5,0)&amp;" as "&amp;VLOOKUP(B259,Instruções!$F$13:$J$17,5,0)&amp;"_"&amp;$F$2&amp;","&amp;E259&amp;" as "&amp;F259&amp;" FROM "&amp;C259&amp;" WHERE "&amp;Instruções!$D$20&amp;") A ")</f>
        <v xml:space="preserve">(SELECT instrmnt_id as instrmnt_id_, pd_crr_rd as pd_crr_rd_as_is FROM cd_loan_tapes_bce.lt002_instrument WHERE ref_date='2024-09-30' AND nome_perimetro='Individual Corporativo' AND segmento='ESTR' AND ambito='PM' AND entidade='00100' ) A </v>
      </c>
      <c r="I259" s="75" t="str">
        <f>IF(VLOOKUP(B259,Instruções!$F$13:$J$17,5,0)="",
"(SELECT "&amp;VLOOKUP(B259,Instruções!$F$13:$J$17,4,0)&amp;" as "&amp;VLOOKUP(B259,Instruções!$F$13:$J$17,4,0)&amp;"_"&amp;$G$2&amp;", "&amp;E259&amp;" as "&amp;G259&amp;" FROM "&amp;D259&amp;" WHERE "&amp;Instruções!$D$21&amp;") B ",
"(SELECT "&amp;VLOOKUP(B259,Instruções!$F$13:$J$17,4,0)&amp;" as "&amp;VLOOKUP(B259,Instruções!$F$13:$J$17,4,0)&amp;"_"&amp;$G$2&amp;", "&amp;VLOOKUP(B259,Instruções!$F$13:$J$17,5,0)&amp;" as "&amp;VLOOKUP(B259,Instruções!$F$13:$J$17,5,0)&amp;"_"&amp;$G$2&amp;","&amp;E259&amp;" as "&amp;G259&amp;" FROM "&amp;D259&amp;" WHERE "&amp;Instruções!$D$21&amp;") B ")</f>
        <v xml:space="preserve">(SELECT instrmnt_id as instrmnt_id_, pd_crr_rd as pd_crr_rd_to_be FROM bu_loantape_work.lt002_instrument WHERE ref_date='2024-09-30' AND nome_perimetro='Individual Corporativo' AND segmento='ESTR' AND ambito='PM' AND entidade='00100' ) B </v>
      </c>
      <c r="J259" s="75" t="str">
        <f>+IF(VLOOKUP(B259,Instruções!$F$13:$J$17,5,0)="", "ON "&amp;VLOOKUP(B259,Instruções!$F$13:$J$17,4,0)&amp;"_"&amp;$F$7&amp;"="&amp;VLOOKUP(B259,Instruções!$F$13:$J$17,4,0)&amp;"_"&amp;$G$7&amp;" ", "ON "&amp;VLOOKUP(B259,Instruções!$F$13:$J$17,4,0)&amp;"_"&amp;$F$7&amp;"="&amp;VLOOKUP(B259,Instruções!$F$13:$J$17,4,0)&amp;"_"&amp;$G$7&amp;" AND "&amp;VLOOKUP(B259,Instruções!$F$13:$J$17,5,0)&amp;"_"&amp;$F$7&amp;"="&amp;VLOOKUP(B259,Instruções!$F$13:$J$17,5,0)&amp;"_"&amp;$G$7&amp;" ")</f>
        <v xml:space="preserve">ON instrmnt_id_as_is=instrmnt_id_to_be </v>
      </c>
      <c r="K259" s="75" t="str">
        <f t="shared" si="36"/>
        <v xml:space="preserve">WHERE coalesce(cast(pd_crr_rd_as_is AS string),'')&lt;&gt;coalesce(cast(pd_crr_rd_to_be AS string),'') </v>
      </c>
      <c r="L259" s="75" t="str">
        <f t="shared" si="37"/>
        <v xml:space="preserve">SELECT count(*) AS NUM_REG_DIF FROM (SELECT instrmnt_id as instrmnt_id_, pd_crr_rd as pd_crr_rd_as_is FROM cd_loan_tapes_bce.lt002_instrument WHERE ref_date='2024-09-30' AND nome_perimetro='Individual Corporativo' AND segmento='ESTR' AND ambito='PM' AND entidade='00100' ) A  Inner join (SELECT instrmnt_id as instrmnt_id_, pd_crr_rd as pd_crr_rd_to_be FROM bu_loantape_work.lt002_instrument WHERE ref_date='2024-09-30' AND nome_perimetro='Individual Corporativo' AND segmento='ESTR' AND ambito='PM' AND entidade='00100' ) B ON instrmnt_id_as_is=instrmnt_id_to_be WHERE coalesce(cast(pd_crr_rd_as_is AS string),'')&lt;&gt;coalesce(cast(pd_crr_rd_to_be AS string),'') </v>
      </c>
      <c r="M259" s="75" t="s">
        <v>55</v>
      </c>
      <c r="N259" s="75" t="str">
        <f>"SELECT 'Validação de campos' as tipologia_teste, '"&amp;VLOOKUP(B259,Instruções!$F$13:$J$17,3,0)&amp;"' AS TABELA, '"&amp;E259&amp;"' AS CAMPO, '"&amp;Instruções!$D$15&amp;"' as ref_date, coalesce(NUM_REG_DIF, 0) AS NUM_REG_DIF FROM ("&amp;L259&amp;") A "</f>
        <v xml:space="preserve">SELECT 'Validação de campos' as tipologia_teste, 'lt002_instrument' AS TABELA, 'pd_crr_rd' AS CAMPO, '2024-09-30' as ref_date, coalesce(NUM_REG_DIF, 0) AS NUM_REG_DIF FROM (SELECT count(*) AS NUM_REG_DIF FROM (SELECT instrmnt_id as instrmnt_id_, pd_crr_rd as pd_crr_rd_as_is FROM cd_loan_tapes_bce.lt002_instrument WHERE ref_date='2024-09-30' AND nome_perimetro='Individual Corporativo' AND segmento='ESTR' AND ambito='PM' AND entidade='00100' ) A  Inner join (SELECT instrmnt_id as instrmnt_id_, pd_crr_rd as pd_crr_rd_to_be FROM bu_loantape_work.lt002_instrument WHERE ref_date='2024-09-30' AND nome_perimetro='Individual Corporativo' AND segmento='ESTR' AND ambito='PM' AND entidade='00100' ) B ON instrmnt_id_as_is=instrmnt_id_to_be WHERE coalesce(cast(pd_crr_rd_as_is AS string),'')&lt;&gt;coalesce(cast(pd_crr_rd_to_be AS string),'') ) A </v>
      </c>
      <c r="O259" s="76" t="str">
        <f t="shared" si="38"/>
        <v>SELECT 'Validação de campos' as tipologia_teste, 'lt002_instrument' AS TABELA, 'pd_crr_rd' AS CAMPO, '2024-09-30' as ref_date, coalesce(NUM_REG_DIF, 0) AS NUM_REG_DIF FROM (SELECT count(*) AS NUM_REG_DIF FROM (SELECT instrmnt_id as instrmnt_id_, pd_crr_rd as pd_crr_rd_as_is FROM cd_loan_tapes_bce.lt002_instrument WHERE ref_date='2024-09-30' AND nome_perimetro='Individual Corporativo' AND segmento='ESTR' AND ambito='PM' AND entidade='00100' ) A  Inner join (SELECT instrmnt_id as instrmnt_id_, pd_crr_rd as pd_crr_rd_to_be FROM bu_loantape_work.lt002_instrument WHERE ref_date='2024-09-30' AND nome_perimetro='Individual Corporativo' AND segmento='ESTR' AND ambito='PM' AND entidade='00100' ) B ON instrmnt_id_as_is=instrmnt_id_to_be WHERE coalesce(cast(pd_crr_rd_as_is AS string),'')&lt;&gt;coalesce(cast(pd_crr_rd_to_be AS string),'') ) A Union all</v>
      </c>
      <c r="P259" s="75">
        <f t="shared" si="42"/>
        <v>47</v>
      </c>
    </row>
    <row r="260" spans="2:16" s="63" customFormat="1" ht="18" customHeight="1">
      <c r="B260" s="75" t="s">
        <v>26</v>
      </c>
      <c r="C260" s="75" t="str">
        <f>_xlfn.CONCAT(Instruções!$D$13,".",VLOOKUP(B260,Instruções!$F$12:$H$17,2,0))</f>
        <v>cd_loan_tapes_bce.lt002_instrument</v>
      </c>
      <c r="D260" s="75" t="str">
        <f>_xlfn.CONCAT(Instruções!$D$14,".",VLOOKUP(B260,Instruções!$F$12:$H$17,3,0))</f>
        <v>bu_loantape_work.lt002_instrument</v>
      </c>
      <c r="E260" s="75" t="s">
        <v>138</v>
      </c>
      <c r="F260" s="75" t="str">
        <f t="shared" si="40"/>
        <v>pd_crr_rd_t1_as_is</v>
      </c>
      <c r="G260" s="75" t="str">
        <f t="shared" si="41"/>
        <v>pd_crr_rd_t1_to_be</v>
      </c>
      <c r="H260" s="75" t="str">
        <f>IF(VLOOKUP(B260,Instruções!$F$13:$J$17,5,0)="",
"(SELECT "&amp;VLOOKUP(B260,Instruções!$F$13:$J$17,4,0)&amp;" as "&amp;VLOOKUP(B260,Instruções!$F$13:$J$17,4,0)&amp;"_"&amp;$F$2&amp;", "&amp;E260&amp;" as "&amp;F260&amp;" FROM "&amp;C260&amp;" WHERE "&amp;Instruções!$D$20&amp;") A ",
"(SELECT "&amp;VLOOKUP(B260,Instruções!$F$13:$J$17,4,0)&amp;" as "&amp;VLOOKUP(B260,Instruções!$F$13:$J$17,4,0)&amp;"_"&amp;$F$2&amp;", "&amp;VLOOKUP(B260,Instruções!$F$13:$J$17,5,0)&amp;" as "&amp;VLOOKUP(B260,Instruções!$F$13:$J$17,5,0)&amp;"_"&amp;$F$2&amp;","&amp;E260&amp;" as "&amp;F260&amp;" FROM "&amp;C260&amp;" WHERE "&amp;Instruções!$D$20&amp;") A ")</f>
        <v xml:space="preserve">(SELECT instrmnt_id as instrmnt_id_, pd_crr_rd_t1 as pd_crr_rd_t1_as_is FROM cd_loan_tapes_bce.lt002_instrument WHERE ref_date='2024-09-30' AND nome_perimetro='Individual Corporativo' AND segmento='ESTR' AND ambito='PM' AND entidade='00100' ) A </v>
      </c>
      <c r="I260" s="75" t="str">
        <f>IF(VLOOKUP(B260,Instruções!$F$13:$J$17,5,0)="",
"(SELECT "&amp;VLOOKUP(B260,Instruções!$F$13:$J$17,4,0)&amp;" as "&amp;VLOOKUP(B260,Instruções!$F$13:$J$17,4,0)&amp;"_"&amp;$G$2&amp;", "&amp;E260&amp;" as "&amp;G260&amp;" FROM "&amp;D260&amp;" WHERE "&amp;Instruções!$D$21&amp;") B ",
"(SELECT "&amp;VLOOKUP(B260,Instruções!$F$13:$J$17,4,0)&amp;" as "&amp;VLOOKUP(B260,Instruções!$F$13:$J$17,4,0)&amp;"_"&amp;$G$2&amp;", "&amp;VLOOKUP(B260,Instruções!$F$13:$J$17,5,0)&amp;" as "&amp;VLOOKUP(B260,Instruções!$F$13:$J$17,5,0)&amp;"_"&amp;$G$2&amp;","&amp;E260&amp;" as "&amp;G260&amp;" FROM "&amp;D260&amp;" WHERE "&amp;Instruções!$D$21&amp;") B ")</f>
        <v xml:space="preserve">(SELECT instrmnt_id as instrmnt_id_, pd_crr_rd_t1 as pd_crr_rd_t1_to_be FROM bu_loantape_work.lt002_instrument WHERE ref_date='2024-09-30' AND nome_perimetro='Individual Corporativo' AND segmento='ESTR' AND ambito='PM' AND entidade='00100' ) B </v>
      </c>
      <c r="J260" s="75" t="str">
        <f>+IF(VLOOKUP(B260,Instruções!$F$13:$J$17,5,0)="", "ON "&amp;VLOOKUP(B260,Instruções!$F$13:$J$17,4,0)&amp;"_"&amp;$F$7&amp;"="&amp;VLOOKUP(B260,Instruções!$F$13:$J$17,4,0)&amp;"_"&amp;$G$7&amp;" ", "ON "&amp;VLOOKUP(B260,Instruções!$F$13:$J$17,4,0)&amp;"_"&amp;$F$7&amp;"="&amp;VLOOKUP(B260,Instruções!$F$13:$J$17,4,0)&amp;"_"&amp;$G$7&amp;" AND "&amp;VLOOKUP(B260,Instruções!$F$13:$J$17,5,0)&amp;"_"&amp;$F$7&amp;"="&amp;VLOOKUP(B260,Instruções!$F$13:$J$17,5,0)&amp;"_"&amp;$G$7&amp;" ")</f>
        <v xml:space="preserve">ON instrmnt_id_as_is=instrmnt_id_to_be </v>
      </c>
      <c r="K260" s="75" t="str">
        <f t="shared" si="36"/>
        <v xml:space="preserve">WHERE coalesce(cast(pd_crr_rd_t1_as_is AS string),'')&lt;&gt;coalesce(cast(pd_crr_rd_t1_to_be AS string),'') </v>
      </c>
      <c r="L260" s="75" t="str">
        <f t="shared" si="37"/>
        <v xml:space="preserve">SELECT count(*) AS NUM_REG_DIF FROM (SELECT instrmnt_id as instrmnt_id_, pd_crr_rd_t1 as pd_crr_rd_t1_as_is FROM cd_loan_tapes_bce.lt002_instrument WHERE ref_date='2024-09-30' AND nome_perimetro='Individual Corporativo' AND segmento='ESTR' AND ambito='PM' AND entidade='00100' ) A  Inner join (SELECT instrmnt_id as instrmnt_id_, pd_crr_rd_t1 as pd_crr_rd_t1_to_be FROM bu_loantape_work.lt002_instrument WHERE ref_date='2024-09-30' AND nome_perimetro='Individual Corporativo' AND segmento='ESTR' AND ambito='PM' AND entidade='00100' ) B ON instrmnt_id_as_is=instrmnt_id_to_be WHERE coalesce(cast(pd_crr_rd_t1_as_is AS string),'')&lt;&gt;coalesce(cast(pd_crr_rd_t1_to_be AS string),'') </v>
      </c>
      <c r="M260" s="75" t="s">
        <v>55</v>
      </c>
      <c r="N260" s="75" t="str">
        <f>"SELECT 'Validação de campos' as tipologia_teste, '"&amp;VLOOKUP(B260,Instruções!$F$13:$J$17,3,0)&amp;"' AS TABELA, '"&amp;E260&amp;"' AS CAMPO, '"&amp;Instruções!$D$15&amp;"' as ref_date, coalesce(NUM_REG_DIF, 0) AS NUM_REG_DIF FROM ("&amp;L260&amp;") A "</f>
        <v xml:space="preserve">SELECT 'Validação de campos' as tipologia_teste, 'lt002_instrument' AS TABELA, 'pd_crr_rd_t1' AS CAMPO, '2024-09-30' as ref_date, coalesce(NUM_REG_DIF, 0) AS NUM_REG_DIF FROM (SELECT count(*) AS NUM_REG_DIF FROM (SELECT instrmnt_id as instrmnt_id_, pd_crr_rd_t1 as pd_crr_rd_t1_as_is FROM cd_loan_tapes_bce.lt002_instrument WHERE ref_date='2024-09-30' AND nome_perimetro='Individual Corporativo' AND segmento='ESTR' AND ambito='PM' AND entidade='00100' ) A  Inner join (SELECT instrmnt_id as instrmnt_id_, pd_crr_rd_t1 as pd_crr_rd_t1_to_be FROM bu_loantape_work.lt002_instrument WHERE ref_date='2024-09-30' AND nome_perimetro='Individual Corporativo' AND segmento='ESTR' AND ambito='PM' AND entidade='00100' ) B ON instrmnt_id_as_is=instrmnt_id_to_be WHERE coalesce(cast(pd_crr_rd_t1_as_is AS string),'')&lt;&gt;coalesce(cast(pd_crr_rd_t1_to_be AS string),'') ) A </v>
      </c>
      <c r="O260" s="76" t="str">
        <f t="shared" si="38"/>
        <v>SELECT 'Validação de campos' as tipologia_teste, 'lt002_instrument' AS TABELA, 'pd_crr_rd_t1' AS CAMPO, '2024-09-30' as ref_date, coalesce(NUM_REG_DIF, 0) AS NUM_REG_DIF FROM (SELECT count(*) AS NUM_REG_DIF FROM (SELECT instrmnt_id as instrmnt_id_, pd_crr_rd_t1 as pd_crr_rd_t1_as_is FROM cd_loan_tapes_bce.lt002_instrument WHERE ref_date='2024-09-30' AND nome_perimetro='Individual Corporativo' AND segmento='ESTR' AND ambito='PM' AND entidade='00100' ) A  Inner join (SELECT instrmnt_id as instrmnt_id_, pd_crr_rd_t1 as pd_crr_rd_t1_to_be FROM bu_loantape_work.lt002_instrument WHERE ref_date='2024-09-30' AND nome_perimetro='Individual Corporativo' AND segmento='ESTR' AND ambito='PM' AND entidade='00100' ) B ON instrmnt_id_as_is=instrmnt_id_to_be WHERE coalesce(cast(pd_crr_rd_t1_as_is AS string),'')&lt;&gt;coalesce(cast(pd_crr_rd_t1_to_be AS string),'') ) A Union all</v>
      </c>
      <c r="P260" s="75">
        <f t="shared" si="42"/>
        <v>48</v>
      </c>
    </row>
    <row r="261" spans="2:16" s="63" customFormat="1" ht="18" customHeight="1">
      <c r="B261" s="75" t="s">
        <v>26</v>
      </c>
      <c r="C261" s="75" t="str">
        <f>_xlfn.CONCAT(Instruções!$D$13,".",VLOOKUP(B261,Instruções!$F$12:$H$17,2,0))</f>
        <v>cd_loan_tapes_bce.lt002_instrument</v>
      </c>
      <c r="D261" s="75" t="str">
        <f>_xlfn.CONCAT(Instruções!$D$14,".",VLOOKUP(B261,Instruções!$F$12:$H$17,3,0))</f>
        <v>bu_loantape_work.lt002_instrument</v>
      </c>
      <c r="E261" s="75" t="s">
        <v>294</v>
      </c>
      <c r="F261" s="75" t="str">
        <f t="shared" si="40"/>
        <v>pd_ifrs9_12m_incptn_as_is</v>
      </c>
      <c r="G261" s="75" t="str">
        <f t="shared" si="41"/>
        <v>pd_ifrs9_12m_incptn_to_be</v>
      </c>
      <c r="H261" s="75" t="str">
        <f>IF(VLOOKUP(B261,Instruções!$F$13:$J$17,5,0)="",
"(SELECT "&amp;VLOOKUP(B261,Instruções!$F$13:$J$17,4,0)&amp;" as "&amp;VLOOKUP(B261,Instruções!$F$13:$J$17,4,0)&amp;"_"&amp;$F$2&amp;", "&amp;E261&amp;" as "&amp;F261&amp;" FROM "&amp;C261&amp;" WHERE "&amp;Instruções!$D$20&amp;") A ",
"(SELECT "&amp;VLOOKUP(B261,Instruções!$F$13:$J$17,4,0)&amp;" as "&amp;VLOOKUP(B261,Instruções!$F$13:$J$17,4,0)&amp;"_"&amp;$F$2&amp;", "&amp;VLOOKUP(B261,Instruções!$F$13:$J$17,5,0)&amp;" as "&amp;VLOOKUP(B261,Instruções!$F$13:$J$17,5,0)&amp;"_"&amp;$F$2&amp;","&amp;E261&amp;" as "&amp;F261&amp;" FROM "&amp;C261&amp;" WHERE "&amp;Instruções!$D$20&amp;") A ")</f>
        <v xml:space="preserve">(SELECT instrmnt_id as instrmnt_id_, pd_ifrs9_12m_incptn as pd_ifrs9_12m_incptn_as_is FROM cd_loan_tapes_bce.lt002_instrument WHERE ref_date='2024-09-30' AND nome_perimetro='Individual Corporativo' AND segmento='ESTR' AND ambito='PM' AND entidade='00100' ) A </v>
      </c>
      <c r="I261" s="75" t="str">
        <f>IF(VLOOKUP(B261,Instruções!$F$13:$J$17,5,0)="",
"(SELECT "&amp;VLOOKUP(B261,Instruções!$F$13:$J$17,4,0)&amp;" as "&amp;VLOOKUP(B261,Instruções!$F$13:$J$17,4,0)&amp;"_"&amp;$G$2&amp;", "&amp;E261&amp;" as "&amp;G261&amp;" FROM "&amp;D261&amp;" WHERE "&amp;Instruções!$D$21&amp;") B ",
"(SELECT "&amp;VLOOKUP(B261,Instruções!$F$13:$J$17,4,0)&amp;" as "&amp;VLOOKUP(B261,Instruções!$F$13:$J$17,4,0)&amp;"_"&amp;$G$2&amp;", "&amp;VLOOKUP(B261,Instruções!$F$13:$J$17,5,0)&amp;" as "&amp;VLOOKUP(B261,Instruções!$F$13:$J$17,5,0)&amp;"_"&amp;$G$2&amp;","&amp;E261&amp;" as "&amp;G261&amp;" FROM "&amp;D261&amp;" WHERE "&amp;Instruções!$D$21&amp;") B ")</f>
        <v xml:space="preserve">(SELECT instrmnt_id as instrmnt_id_, pd_ifrs9_12m_incptn as pd_ifrs9_12m_incptn_to_be FROM bu_loantape_work.lt002_instrument WHERE ref_date='2024-09-30' AND nome_perimetro='Individual Corporativo' AND segmento='ESTR' AND ambito='PM' AND entidade='00100' ) B </v>
      </c>
      <c r="J261" s="75" t="str">
        <f>+IF(VLOOKUP(B261,Instruções!$F$13:$J$17,5,0)="", "ON "&amp;VLOOKUP(B261,Instruções!$F$13:$J$17,4,0)&amp;"_"&amp;$F$7&amp;"="&amp;VLOOKUP(B261,Instruções!$F$13:$J$17,4,0)&amp;"_"&amp;$G$7&amp;" ", "ON "&amp;VLOOKUP(B261,Instruções!$F$13:$J$17,4,0)&amp;"_"&amp;$F$7&amp;"="&amp;VLOOKUP(B261,Instruções!$F$13:$J$17,4,0)&amp;"_"&amp;$G$7&amp;" AND "&amp;VLOOKUP(B261,Instruções!$F$13:$J$17,5,0)&amp;"_"&amp;$F$7&amp;"="&amp;VLOOKUP(B261,Instruções!$F$13:$J$17,5,0)&amp;"_"&amp;$G$7&amp;" ")</f>
        <v xml:space="preserve">ON instrmnt_id_as_is=instrmnt_id_to_be </v>
      </c>
      <c r="K261" s="75" t="str">
        <f t="shared" si="36"/>
        <v xml:space="preserve">WHERE coalesce(cast(pd_ifrs9_12m_incptn_as_is AS string),'')&lt;&gt;coalesce(cast(pd_ifrs9_12m_incptn_to_be AS string),'') </v>
      </c>
      <c r="L261" s="75" t="str">
        <f t="shared" si="37"/>
        <v xml:space="preserve">SELECT count(*) AS NUM_REG_DIF FROM (SELECT instrmnt_id as instrmnt_id_, pd_ifrs9_12m_incptn as pd_ifrs9_12m_incptn_as_is FROM cd_loan_tapes_bce.lt002_instrument WHERE ref_date='2024-09-30' AND nome_perimetro='Individual Corporativo' AND segmento='ESTR' AND ambito='PM' AND entidade='00100' ) A  Inner join (SELECT instrmnt_id as instrmnt_id_, pd_ifrs9_12m_incptn as pd_ifrs9_12m_incptn_to_be FROM bu_loantape_work.lt002_instrument WHERE ref_date='2024-09-30' AND nome_perimetro='Individual Corporativo' AND segmento='ESTR' AND ambito='PM' AND entidade='00100' ) B ON instrmnt_id_as_is=instrmnt_id_to_be WHERE coalesce(cast(pd_ifrs9_12m_incptn_as_is AS string),'')&lt;&gt;coalesce(cast(pd_ifrs9_12m_incptn_to_be AS string),'') </v>
      </c>
      <c r="M261" s="75" t="s">
        <v>55</v>
      </c>
      <c r="N261" s="75" t="str">
        <f>"SELECT 'Validação de campos' as tipologia_teste, '"&amp;VLOOKUP(B261,Instruções!$F$13:$J$17,3,0)&amp;"' AS TABELA, '"&amp;E261&amp;"' AS CAMPO, '"&amp;Instruções!$D$15&amp;"' as ref_date, coalesce(NUM_REG_DIF, 0) AS NUM_REG_DIF FROM ("&amp;L261&amp;") A "</f>
        <v xml:space="preserve">SELECT 'Validação de campos' as tipologia_teste, 'lt002_instrument' AS TABELA, 'pd_ifrs9_12m_incptn' AS CAMPO, '2024-09-30' as ref_date, coalesce(NUM_REG_DIF, 0) AS NUM_REG_DIF FROM (SELECT count(*) AS NUM_REG_DIF FROM (SELECT instrmnt_id as instrmnt_id_, pd_ifrs9_12m_incptn as pd_ifrs9_12m_incptn_as_is FROM cd_loan_tapes_bce.lt002_instrument WHERE ref_date='2024-09-30' AND nome_perimetro='Individual Corporativo' AND segmento='ESTR' AND ambito='PM' AND entidade='00100' ) A  Inner join (SELECT instrmnt_id as instrmnt_id_, pd_ifrs9_12m_incptn as pd_ifrs9_12m_incptn_to_be FROM bu_loantape_work.lt002_instrument WHERE ref_date='2024-09-30' AND nome_perimetro='Individual Corporativo' AND segmento='ESTR' AND ambito='PM' AND entidade='00100' ) B ON instrmnt_id_as_is=instrmnt_id_to_be WHERE coalesce(cast(pd_ifrs9_12m_incptn_as_is AS string),'')&lt;&gt;coalesce(cast(pd_ifrs9_12m_incptn_to_be AS string),'') ) A </v>
      </c>
      <c r="O261" s="76" t="str">
        <f t="shared" si="38"/>
        <v>SELECT 'Validação de campos' as tipologia_teste, 'lt002_instrument' AS TABELA, 'pd_ifrs9_12m_incptn' AS CAMPO, '2024-09-30' as ref_date, coalesce(NUM_REG_DIF, 0) AS NUM_REG_DIF FROM (SELECT count(*) AS NUM_REG_DIF FROM (SELECT instrmnt_id as instrmnt_id_, pd_ifrs9_12m_incptn as pd_ifrs9_12m_incptn_as_is FROM cd_loan_tapes_bce.lt002_instrument WHERE ref_date='2024-09-30' AND nome_perimetro='Individual Corporativo' AND segmento='ESTR' AND ambito='PM' AND entidade='00100' ) A  Inner join (SELECT instrmnt_id as instrmnt_id_, pd_ifrs9_12m_incptn as pd_ifrs9_12m_incptn_to_be FROM bu_loantape_work.lt002_instrument WHERE ref_date='2024-09-30' AND nome_perimetro='Individual Corporativo' AND segmento='ESTR' AND ambito='PM' AND entidade='00100' ) B ON instrmnt_id_as_is=instrmnt_id_to_be WHERE coalesce(cast(pd_ifrs9_12m_incptn_as_is AS string),'')&lt;&gt;coalesce(cast(pd_ifrs9_12m_incptn_to_be AS string),'') ) A Union all</v>
      </c>
      <c r="P261" s="75">
        <f t="shared" si="42"/>
        <v>49</v>
      </c>
    </row>
    <row r="262" spans="2:16" s="63" customFormat="1" ht="18" customHeight="1">
      <c r="B262" s="75" t="s">
        <v>26</v>
      </c>
      <c r="C262" s="75" t="str">
        <f>_xlfn.CONCAT(Instruções!$D$13,".",VLOOKUP(B262,Instruções!$F$12:$H$17,2,0))</f>
        <v>cd_loan_tapes_bce.lt002_instrument</v>
      </c>
      <c r="D262" s="75" t="str">
        <f>_xlfn.CONCAT(Instruções!$D$14,".",VLOOKUP(B262,Instruções!$F$12:$H$17,3,0))</f>
        <v>bu_loantape_work.lt002_instrument</v>
      </c>
      <c r="E262" s="75" t="s">
        <v>139</v>
      </c>
      <c r="F262" s="75" t="str">
        <f t="shared" si="40"/>
        <v>pd_ifrs9_12m_rd_as_is</v>
      </c>
      <c r="G262" s="75" t="str">
        <f t="shared" si="41"/>
        <v>pd_ifrs9_12m_rd_to_be</v>
      </c>
      <c r="H262" s="75" t="str">
        <f>IF(VLOOKUP(B262,Instruções!$F$13:$J$17,5,0)="",
"(SELECT "&amp;VLOOKUP(B262,Instruções!$F$13:$J$17,4,0)&amp;" as "&amp;VLOOKUP(B262,Instruções!$F$13:$J$17,4,0)&amp;"_"&amp;$F$2&amp;", "&amp;E262&amp;" as "&amp;F262&amp;" FROM "&amp;C262&amp;" WHERE "&amp;Instruções!$D$20&amp;") A ",
"(SELECT "&amp;VLOOKUP(B262,Instruções!$F$13:$J$17,4,0)&amp;" as "&amp;VLOOKUP(B262,Instruções!$F$13:$J$17,4,0)&amp;"_"&amp;$F$2&amp;", "&amp;VLOOKUP(B262,Instruções!$F$13:$J$17,5,0)&amp;" as "&amp;VLOOKUP(B262,Instruções!$F$13:$J$17,5,0)&amp;"_"&amp;$F$2&amp;","&amp;E262&amp;" as "&amp;F262&amp;" FROM "&amp;C262&amp;" WHERE "&amp;Instruções!$D$20&amp;") A ")</f>
        <v xml:space="preserve">(SELECT instrmnt_id as instrmnt_id_, pd_ifrs9_12m_rd as pd_ifrs9_12m_rd_as_is FROM cd_loan_tapes_bce.lt002_instrument WHERE ref_date='2024-09-30' AND nome_perimetro='Individual Corporativo' AND segmento='ESTR' AND ambito='PM' AND entidade='00100' ) A </v>
      </c>
      <c r="I262" s="75" t="str">
        <f>IF(VLOOKUP(B262,Instruções!$F$13:$J$17,5,0)="",
"(SELECT "&amp;VLOOKUP(B262,Instruções!$F$13:$J$17,4,0)&amp;" as "&amp;VLOOKUP(B262,Instruções!$F$13:$J$17,4,0)&amp;"_"&amp;$G$2&amp;", "&amp;E262&amp;" as "&amp;G262&amp;" FROM "&amp;D262&amp;" WHERE "&amp;Instruções!$D$21&amp;") B ",
"(SELECT "&amp;VLOOKUP(B262,Instruções!$F$13:$J$17,4,0)&amp;" as "&amp;VLOOKUP(B262,Instruções!$F$13:$J$17,4,0)&amp;"_"&amp;$G$2&amp;", "&amp;VLOOKUP(B262,Instruções!$F$13:$J$17,5,0)&amp;" as "&amp;VLOOKUP(B262,Instruções!$F$13:$J$17,5,0)&amp;"_"&amp;$G$2&amp;","&amp;E262&amp;" as "&amp;G262&amp;" FROM "&amp;D262&amp;" WHERE "&amp;Instruções!$D$21&amp;") B ")</f>
        <v xml:space="preserve">(SELECT instrmnt_id as instrmnt_id_, pd_ifrs9_12m_rd as pd_ifrs9_12m_rd_to_be FROM bu_loantape_work.lt002_instrument WHERE ref_date='2024-09-30' AND nome_perimetro='Individual Corporativo' AND segmento='ESTR' AND ambito='PM' AND entidade='00100' ) B </v>
      </c>
      <c r="J262" s="75" t="str">
        <f>+IF(VLOOKUP(B262,Instruções!$F$13:$J$17,5,0)="", "ON "&amp;VLOOKUP(B262,Instruções!$F$13:$J$17,4,0)&amp;"_"&amp;$F$7&amp;"="&amp;VLOOKUP(B262,Instruções!$F$13:$J$17,4,0)&amp;"_"&amp;$G$7&amp;" ", "ON "&amp;VLOOKUP(B262,Instruções!$F$13:$J$17,4,0)&amp;"_"&amp;$F$7&amp;"="&amp;VLOOKUP(B262,Instruções!$F$13:$J$17,4,0)&amp;"_"&amp;$G$7&amp;" AND "&amp;VLOOKUP(B262,Instruções!$F$13:$J$17,5,0)&amp;"_"&amp;$F$7&amp;"="&amp;VLOOKUP(B262,Instruções!$F$13:$J$17,5,0)&amp;"_"&amp;$G$7&amp;" ")</f>
        <v xml:space="preserve">ON instrmnt_id_as_is=instrmnt_id_to_be </v>
      </c>
      <c r="K262" s="75" t="str">
        <f t="shared" si="36"/>
        <v xml:space="preserve">WHERE coalesce(cast(pd_ifrs9_12m_rd_as_is AS string),'')&lt;&gt;coalesce(cast(pd_ifrs9_12m_rd_to_be AS string),'') </v>
      </c>
      <c r="L262" s="75" t="str">
        <f t="shared" si="37"/>
        <v xml:space="preserve">SELECT count(*) AS NUM_REG_DIF FROM (SELECT instrmnt_id as instrmnt_id_, pd_ifrs9_12m_rd as pd_ifrs9_12m_rd_as_is FROM cd_loan_tapes_bce.lt002_instrument WHERE ref_date='2024-09-30' AND nome_perimetro='Individual Corporativo' AND segmento='ESTR' AND ambito='PM' AND entidade='00100' ) A  Inner join (SELECT instrmnt_id as instrmnt_id_, pd_ifrs9_12m_rd as pd_ifrs9_12m_rd_to_be FROM bu_loantape_work.lt002_instrument WHERE ref_date='2024-09-30' AND nome_perimetro='Individual Corporativo' AND segmento='ESTR' AND ambito='PM' AND entidade='00100' ) B ON instrmnt_id_as_is=instrmnt_id_to_be WHERE coalesce(cast(pd_ifrs9_12m_rd_as_is AS string),'')&lt;&gt;coalesce(cast(pd_ifrs9_12m_rd_to_be AS string),'') </v>
      </c>
      <c r="M262" s="75" t="s">
        <v>55</v>
      </c>
      <c r="N262" s="75" t="str">
        <f>"SELECT 'Validação de campos' as tipologia_teste, '"&amp;VLOOKUP(B262,Instruções!$F$13:$J$17,3,0)&amp;"' AS TABELA, '"&amp;E262&amp;"' AS CAMPO, '"&amp;Instruções!$D$15&amp;"' as ref_date, coalesce(NUM_REG_DIF, 0) AS NUM_REG_DIF FROM ("&amp;L262&amp;") A "</f>
        <v xml:space="preserve">SELECT 'Validação de campos' as tipologia_teste, 'lt002_instrument' AS TABELA, 'pd_ifrs9_12m_rd' AS CAMPO, '2024-09-30' as ref_date, coalesce(NUM_REG_DIF, 0) AS NUM_REG_DIF FROM (SELECT count(*) AS NUM_REG_DIF FROM (SELECT instrmnt_id as instrmnt_id_, pd_ifrs9_12m_rd as pd_ifrs9_12m_rd_as_is FROM cd_loan_tapes_bce.lt002_instrument WHERE ref_date='2024-09-30' AND nome_perimetro='Individual Corporativo' AND segmento='ESTR' AND ambito='PM' AND entidade='00100' ) A  Inner join (SELECT instrmnt_id as instrmnt_id_, pd_ifrs9_12m_rd as pd_ifrs9_12m_rd_to_be FROM bu_loantape_work.lt002_instrument WHERE ref_date='2024-09-30' AND nome_perimetro='Individual Corporativo' AND segmento='ESTR' AND ambito='PM' AND entidade='00100' ) B ON instrmnt_id_as_is=instrmnt_id_to_be WHERE coalesce(cast(pd_ifrs9_12m_rd_as_is AS string),'')&lt;&gt;coalesce(cast(pd_ifrs9_12m_rd_to_be AS string),'') ) A </v>
      </c>
      <c r="O262" s="76" t="str">
        <f>IF(O263="",N262,N262&amp;$O$8)</f>
        <v xml:space="preserve">SELECT 'Validação de campos' as tipologia_teste, 'lt002_instrument' AS TABELA, 'pd_ifrs9_12m_rd' AS CAMPO, '2024-09-30' as ref_date, coalesce(NUM_REG_DIF, 0) AS NUM_REG_DIF FROM (SELECT count(*) AS NUM_REG_DIF FROM (SELECT instrmnt_id as instrmnt_id_, pd_ifrs9_12m_rd as pd_ifrs9_12m_rd_as_is FROM cd_loan_tapes_bce.lt002_instrument WHERE ref_date='2024-09-30' AND nome_perimetro='Individual Corporativo' AND segmento='ESTR' AND ambito='PM' AND entidade='00100' ) A  Inner join (SELECT instrmnt_id as instrmnt_id_, pd_ifrs9_12m_rd as pd_ifrs9_12m_rd_to_be FROM bu_loantape_work.lt002_instrument WHERE ref_date='2024-09-30' AND nome_perimetro='Individual Corporativo' AND segmento='ESTR' AND ambito='PM' AND entidade='00100' ) B ON instrmnt_id_as_is=instrmnt_id_to_be WHERE coalesce(cast(pd_ifrs9_12m_rd_as_is AS string),'')&lt;&gt;coalesce(cast(pd_ifrs9_12m_rd_to_be AS string),'') ) A </v>
      </c>
      <c r="P262" s="75">
        <f t="shared" si="42"/>
        <v>50</v>
      </c>
    </row>
    <row r="263" spans="2:16" s="63" customFormat="1" ht="4.9000000000000004" customHeight="1">
      <c r="B263" s="78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80"/>
      <c r="P263" s="81"/>
    </row>
    <row r="264" spans="2:16" s="63" customFormat="1" ht="18" customHeight="1">
      <c r="B264" s="75" t="s">
        <v>26</v>
      </c>
      <c r="C264" s="75" t="str">
        <f>_xlfn.CONCAT(Instruções!$D$13,".",VLOOKUP(B264,Instruções!$F$12:$H$17,2,0))</f>
        <v>cd_loan_tapes_bce.lt002_instrument</v>
      </c>
      <c r="D264" s="75" t="str">
        <f>_xlfn.CONCAT(Instruções!$D$14,".",VLOOKUP(B264,Instruções!$F$12:$H$17,3,0))</f>
        <v>bu_loantape_work.lt002_instrument</v>
      </c>
      <c r="E264" s="75" t="s">
        <v>140</v>
      </c>
      <c r="F264" s="75" t="str">
        <f t="shared" ref="F264:F295" si="43">E264&amp;"_"&amp;$F$7</f>
        <v>pd_ifrs9_12m_rd_t1_as_is</v>
      </c>
      <c r="G264" s="75" t="str">
        <f t="shared" ref="G264:G295" si="44">E264&amp;"_"&amp;$G$7</f>
        <v>pd_ifrs9_12m_rd_t1_to_be</v>
      </c>
      <c r="H264" s="75" t="str">
        <f>IF(VLOOKUP(B264,Instruções!$F$13:$J$17,5,0)="",
"(SELECT "&amp;VLOOKUP(B264,Instruções!$F$13:$J$17,4,0)&amp;" as "&amp;VLOOKUP(B264,Instruções!$F$13:$J$17,4,0)&amp;"_"&amp;$F$2&amp;", "&amp;E264&amp;" as "&amp;F264&amp;" FROM "&amp;C264&amp;" WHERE "&amp;Instruções!$D$20&amp;") A ",
"(SELECT "&amp;VLOOKUP(B264,Instruções!$F$13:$J$17,4,0)&amp;" as "&amp;VLOOKUP(B264,Instruções!$F$13:$J$17,4,0)&amp;"_"&amp;$F$2&amp;", "&amp;VLOOKUP(B264,Instruções!$F$13:$J$17,5,0)&amp;" as "&amp;VLOOKUP(B264,Instruções!$F$13:$J$17,5,0)&amp;"_"&amp;$F$2&amp;","&amp;E264&amp;" as "&amp;F264&amp;" FROM "&amp;C264&amp;" WHERE "&amp;Instruções!$D$20&amp;") A ")</f>
        <v xml:space="preserve">(SELECT instrmnt_id as instrmnt_id_, pd_ifrs9_12m_rd_t1 as pd_ifrs9_12m_rd_t1_as_is FROM cd_loan_tapes_bce.lt002_instrument WHERE ref_date='2024-09-30' AND nome_perimetro='Individual Corporativo' AND segmento='ESTR' AND ambito='PM' AND entidade='00100' ) A </v>
      </c>
      <c r="I264" s="75" t="str">
        <f>IF(VLOOKUP(B264,Instruções!$F$13:$J$17,5,0)="",
"(SELECT "&amp;VLOOKUP(B264,Instruções!$F$13:$J$17,4,0)&amp;" as "&amp;VLOOKUP(B264,Instruções!$F$13:$J$17,4,0)&amp;"_"&amp;$G$2&amp;", "&amp;E264&amp;" as "&amp;G264&amp;" FROM "&amp;D264&amp;" WHERE "&amp;Instruções!$D$21&amp;") B ",
"(SELECT "&amp;VLOOKUP(B264,Instruções!$F$13:$J$17,4,0)&amp;" as "&amp;VLOOKUP(B264,Instruções!$F$13:$J$17,4,0)&amp;"_"&amp;$G$2&amp;", "&amp;VLOOKUP(B264,Instruções!$F$13:$J$17,5,0)&amp;" as "&amp;VLOOKUP(B264,Instruções!$F$13:$J$17,5,0)&amp;"_"&amp;$G$2&amp;","&amp;E264&amp;" as "&amp;G264&amp;" FROM "&amp;D264&amp;" WHERE "&amp;Instruções!$D$21&amp;") B ")</f>
        <v xml:space="preserve">(SELECT instrmnt_id as instrmnt_id_, pd_ifrs9_12m_rd_t1 as pd_ifrs9_12m_rd_t1_to_be FROM bu_loantape_work.lt002_instrument WHERE ref_date='2024-09-30' AND nome_perimetro='Individual Corporativo' AND segmento='ESTR' AND ambito='PM' AND entidade='00100' ) B </v>
      </c>
      <c r="J264" s="75" t="str">
        <f>+IF(VLOOKUP(B264,Instruções!$F$13:$J$17,5,0)="", "ON "&amp;VLOOKUP(B264,Instruções!$F$13:$J$17,4,0)&amp;"_"&amp;$F$7&amp;"="&amp;VLOOKUP(B264,Instruções!$F$13:$J$17,4,0)&amp;"_"&amp;$G$7&amp;" ", "ON "&amp;VLOOKUP(B264,Instruções!$F$13:$J$17,4,0)&amp;"_"&amp;$F$7&amp;"="&amp;VLOOKUP(B264,Instruções!$F$13:$J$17,4,0)&amp;"_"&amp;$G$7&amp;" AND "&amp;VLOOKUP(B264,Instruções!$F$13:$J$17,5,0)&amp;"_"&amp;$F$7&amp;"="&amp;VLOOKUP(B264,Instruções!$F$13:$J$17,5,0)&amp;"_"&amp;$G$7&amp;" ")</f>
        <v xml:space="preserve">ON instrmnt_id_as_is=instrmnt_id_to_be </v>
      </c>
      <c r="K264" s="75" t="str">
        <f t="shared" ref="K264:K313" si="45">"WHERE coalesce(cast("&amp;F264&amp;" AS string),'')&lt;&gt;coalesce(cast("&amp;G264&amp;" AS string),'') "</f>
        <v xml:space="preserve">WHERE coalesce(cast(pd_ifrs9_12m_rd_t1_as_is AS string),'')&lt;&gt;coalesce(cast(pd_ifrs9_12m_rd_t1_to_be AS string),'') </v>
      </c>
      <c r="L264" s="75" t="str">
        <f t="shared" ref="L264:L313" si="46">"SELECT count(*) AS NUM_REG_DIF FROM "&amp;H264&amp;" Inner join "&amp;I264&amp;J264&amp;K264</f>
        <v xml:space="preserve">SELECT count(*) AS NUM_REG_DIF FROM (SELECT instrmnt_id as instrmnt_id_, pd_ifrs9_12m_rd_t1 as pd_ifrs9_12m_rd_t1_as_is FROM cd_loan_tapes_bce.lt002_instrument WHERE ref_date='2024-09-30' AND nome_perimetro='Individual Corporativo' AND segmento='ESTR' AND ambito='PM' AND entidade='00100' ) A  Inner join (SELECT instrmnt_id as instrmnt_id_, pd_ifrs9_12m_rd_t1 as pd_ifrs9_12m_rd_t1_to_be FROM bu_loantape_work.lt002_instrument WHERE ref_date='2024-09-30' AND nome_perimetro='Individual Corporativo' AND segmento='ESTR' AND ambito='PM' AND entidade='00100' ) B ON instrmnt_id_as_is=instrmnt_id_to_be WHERE coalesce(cast(pd_ifrs9_12m_rd_t1_as_is AS string),'')&lt;&gt;coalesce(cast(pd_ifrs9_12m_rd_t1_to_be AS string),'') </v>
      </c>
      <c r="M264" s="75" t="s">
        <v>55</v>
      </c>
      <c r="N264" s="75" t="str">
        <f>"SELECT 'Validação de campos' as tipologia_teste, '"&amp;VLOOKUP(B264,Instruções!$F$13:$J$17,3,0)&amp;"' AS TABELA, '"&amp;E264&amp;"' AS CAMPO, '"&amp;Instruções!$D$15&amp;"' as ref_date, coalesce(NUM_REG_DIF, 0) AS NUM_REG_DIF FROM ("&amp;L264&amp;") A "</f>
        <v xml:space="preserve">SELECT 'Validação de campos' as tipologia_teste, 'lt002_instrument' AS TABELA, 'pd_ifrs9_12m_rd_t1' AS CAMPO, '2024-09-30' as ref_date, coalesce(NUM_REG_DIF, 0) AS NUM_REG_DIF FROM (SELECT count(*) AS NUM_REG_DIF FROM (SELECT instrmnt_id as instrmnt_id_, pd_ifrs9_12m_rd_t1 as pd_ifrs9_12m_rd_t1_as_is FROM cd_loan_tapes_bce.lt002_instrument WHERE ref_date='2024-09-30' AND nome_perimetro='Individual Corporativo' AND segmento='ESTR' AND ambito='PM' AND entidade='00100' ) A  Inner join (SELECT instrmnt_id as instrmnt_id_, pd_ifrs9_12m_rd_t1 as pd_ifrs9_12m_rd_t1_to_be FROM bu_loantape_work.lt002_instrument WHERE ref_date='2024-09-30' AND nome_perimetro='Individual Corporativo' AND segmento='ESTR' AND ambito='PM' AND entidade='00100' ) B ON instrmnt_id_as_is=instrmnt_id_to_be WHERE coalesce(cast(pd_ifrs9_12m_rd_t1_as_is AS string),'')&lt;&gt;coalesce(cast(pd_ifrs9_12m_rd_t1_to_be AS string),'') ) A </v>
      </c>
      <c r="O264" s="76" t="str">
        <f t="shared" ref="O264:O312" si="47">IF(O265="",N264,N264&amp;$O$8)</f>
        <v>SELECT 'Validação de campos' as tipologia_teste, 'lt002_instrument' AS TABELA, 'pd_ifrs9_12m_rd_t1' AS CAMPO, '2024-09-30' as ref_date, coalesce(NUM_REG_DIF, 0) AS NUM_REG_DIF FROM (SELECT count(*) AS NUM_REG_DIF FROM (SELECT instrmnt_id as instrmnt_id_, pd_ifrs9_12m_rd_t1 as pd_ifrs9_12m_rd_t1_as_is FROM cd_loan_tapes_bce.lt002_instrument WHERE ref_date='2024-09-30' AND nome_perimetro='Individual Corporativo' AND segmento='ESTR' AND ambito='PM' AND entidade='00100' ) A  Inner join (SELECT instrmnt_id as instrmnt_id_, pd_ifrs9_12m_rd_t1 as pd_ifrs9_12m_rd_t1_to_be FROM bu_loantape_work.lt002_instrument WHERE ref_date='2024-09-30' AND nome_perimetro='Individual Corporativo' AND segmento='ESTR' AND ambito='PM' AND entidade='00100' ) B ON instrmnt_id_as_is=instrmnt_id_to_be WHERE coalesce(cast(pd_ifrs9_12m_rd_t1_as_is AS string),'')&lt;&gt;coalesce(cast(pd_ifrs9_12m_rd_t1_to_be AS string),'') ) A Union all</v>
      </c>
      <c r="P264" s="75">
        <f>+P263+1</f>
        <v>1</v>
      </c>
    </row>
    <row r="265" spans="2:16" s="63" customFormat="1" ht="18" customHeight="1">
      <c r="B265" s="75" t="s">
        <v>26</v>
      </c>
      <c r="C265" s="75" t="str">
        <f>_xlfn.CONCAT(Instruções!$D$13,".",VLOOKUP(B265,Instruções!$F$12:$H$17,2,0))</f>
        <v>cd_loan_tapes_bce.lt002_instrument</v>
      </c>
      <c r="D265" s="75" t="str">
        <f>_xlfn.CONCAT(Instruções!$D$14,".",VLOOKUP(B265,Instruções!$F$12:$H$17,3,0))</f>
        <v>bu_loantape_work.lt002_instrument</v>
      </c>
      <c r="E265" s="75" t="s">
        <v>295</v>
      </c>
      <c r="F265" s="75" t="str">
        <f t="shared" si="43"/>
        <v>pd_ifrs9_lftm_incptn_as_is</v>
      </c>
      <c r="G265" s="75" t="str">
        <f t="shared" si="44"/>
        <v>pd_ifrs9_lftm_incptn_to_be</v>
      </c>
      <c r="H265" s="75" t="str">
        <f>IF(VLOOKUP(B265,Instruções!$F$13:$J$17,5,0)="",
"(SELECT "&amp;VLOOKUP(B265,Instruções!$F$13:$J$17,4,0)&amp;" as "&amp;VLOOKUP(B265,Instruções!$F$13:$J$17,4,0)&amp;"_"&amp;$F$2&amp;", "&amp;E265&amp;" as "&amp;F265&amp;" FROM "&amp;C265&amp;" WHERE "&amp;Instruções!$D$20&amp;") A ",
"(SELECT "&amp;VLOOKUP(B265,Instruções!$F$13:$J$17,4,0)&amp;" as "&amp;VLOOKUP(B265,Instruções!$F$13:$J$17,4,0)&amp;"_"&amp;$F$2&amp;", "&amp;VLOOKUP(B265,Instruções!$F$13:$J$17,5,0)&amp;" as "&amp;VLOOKUP(B265,Instruções!$F$13:$J$17,5,0)&amp;"_"&amp;$F$2&amp;","&amp;E265&amp;" as "&amp;F265&amp;" FROM "&amp;C265&amp;" WHERE "&amp;Instruções!$D$20&amp;") A ")</f>
        <v xml:space="preserve">(SELECT instrmnt_id as instrmnt_id_, pd_ifrs9_lftm_incptn as pd_ifrs9_lftm_incptn_as_is FROM cd_loan_tapes_bce.lt002_instrument WHERE ref_date='2024-09-30' AND nome_perimetro='Individual Corporativo' AND segmento='ESTR' AND ambito='PM' AND entidade='00100' ) A </v>
      </c>
      <c r="I265" s="75" t="str">
        <f>IF(VLOOKUP(B265,Instruções!$F$13:$J$17,5,0)="",
"(SELECT "&amp;VLOOKUP(B265,Instruções!$F$13:$J$17,4,0)&amp;" as "&amp;VLOOKUP(B265,Instruções!$F$13:$J$17,4,0)&amp;"_"&amp;$G$2&amp;", "&amp;E265&amp;" as "&amp;G265&amp;" FROM "&amp;D265&amp;" WHERE "&amp;Instruções!$D$21&amp;") B ",
"(SELECT "&amp;VLOOKUP(B265,Instruções!$F$13:$J$17,4,0)&amp;" as "&amp;VLOOKUP(B265,Instruções!$F$13:$J$17,4,0)&amp;"_"&amp;$G$2&amp;", "&amp;VLOOKUP(B265,Instruções!$F$13:$J$17,5,0)&amp;" as "&amp;VLOOKUP(B265,Instruções!$F$13:$J$17,5,0)&amp;"_"&amp;$G$2&amp;","&amp;E265&amp;" as "&amp;G265&amp;" FROM "&amp;D265&amp;" WHERE "&amp;Instruções!$D$21&amp;") B ")</f>
        <v xml:space="preserve">(SELECT instrmnt_id as instrmnt_id_, pd_ifrs9_lftm_incptn as pd_ifrs9_lftm_incptn_to_be FROM bu_loantape_work.lt002_instrument WHERE ref_date='2024-09-30' AND nome_perimetro='Individual Corporativo' AND segmento='ESTR' AND ambito='PM' AND entidade='00100' ) B </v>
      </c>
      <c r="J265" s="75" t="str">
        <f>+IF(VLOOKUP(B265,Instruções!$F$13:$J$17,5,0)="", "ON "&amp;VLOOKUP(B265,Instruções!$F$13:$J$17,4,0)&amp;"_"&amp;$F$7&amp;"="&amp;VLOOKUP(B265,Instruções!$F$13:$J$17,4,0)&amp;"_"&amp;$G$7&amp;" ", "ON "&amp;VLOOKUP(B265,Instruções!$F$13:$J$17,4,0)&amp;"_"&amp;$F$7&amp;"="&amp;VLOOKUP(B265,Instruções!$F$13:$J$17,4,0)&amp;"_"&amp;$G$7&amp;" AND "&amp;VLOOKUP(B265,Instruções!$F$13:$J$17,5,0)&amp;"_"&amp;$F$7&amp;"="&amp;VLOOKUP(B265,Instruções!$F$13:$J$17,5,0)&amp;"_"&amp;$G$7&amp;" ")</f>
        <v xml:space="preserve">ON instrmnt_id_as_is=instrmnt_id_to_be </v>
      </c>
      <c r="K265" s="75" t="str">
        <f t="shared" si="45"/>
        <v xml:space="preserve">WHERE coalesce(cast(pd_ifrs9_lftm_incptn_as_is AS string),'')&lt;&gt;coalesce(cast(pd_ifrs9_lftm_incptn_to_be AS string),'') </v>
      </c>
      <c r="L265" s="75" t="str">
        <f t="shared" si="46"/>
        <v xml:space="preserve">SELECT count(*) AS NUM_REG_DIF FROM (SELECT instrmnt_id as instrmnt_id_, pd_ifrs9_lftm_incptn as pd_ifrs9_lftm_incptn_as_is FROM cd_loan_tapes_bce.lt002_instrument WHERE ref_date='2024-09-30' AND nome_perimetro='Individual Corporativo' AND segmento='ESTR' AND ambito='PM' AND entidade='00100' ) A  Inner join (SELECT instrmnt_id as instrmnt_id_, pd_ifrs9_lftm_incptn as pd_ifrs9_lftm_incptn_to_be FROM bu_loantape_work.lt002_instrument WHERE ref_date='2024-09-30' AND nome_perimetro='Individual Corporativo' AND segmento='ESTR' AND ambito='PM' AND entidade='00100' ) B ON instrmnt_id_as_is=instrmnt_id_to_be WHERE coalesce(cast(pd_ifrs9_lftm_incptn_as_is AS string),'')&lt;&gt;coalesce(cast(pd_ifrs9_lftm_incptn_to_be AS string),'') </v>
      </c>
      <c r="M265" s="75" t="s">
        <v>55</v>
      </c>
      <c r="N265" s="75" t="str">
        <f>"SELECT 'Validação de campos' as tipologia_teste, '"&amp;VLOOKUP(B265,Instruções!$F$13:$J$17,3,0)&amp;"' AS TABELA, '"&amp;E265&amp;"' AS CAMPO, '"&amp;Instruções!$D$15&amp;"' as ref_date, coalesce(NUM_REG_DIF, 0) AS NUM_REG_DIF FROM ("&amp;L265&amp;") A "</f>
        <v xml:space="preserve">SELECT 'Validação de campos' as tipologia_teste, 'lt002_instrument' AS TABELA, 'pd_ifrs9_lftm_incptn' AS CAMPO, '2024-09-30' as ref_date, coalesce(NUM_REG_DIF, 0) AS NUM_REG_DIF FROM (SELECT count(*) AS NUM_REG_DIF FROM (SELECT instrmnt_id as instrmnt_id_, pd_ifrs9_lftm_incptn as pd_ifrs9_lftm_incptn_as_is FROM cd_loan_tapes_bce.lt002_instrument WHERE ref_date='2024-09-30' AND nome_perimetro='Individual Corporativo' AND segmento='ESTR' AND ambito='PM' AND entidade='00100' ) A  Inner join (SELECT instrmnt_id as instrmnt_id_, pd_ifrs9_lftm_incptn as pd_ifrs9_lftm_incptn_to_be FROM bu_loantape_work.lt002_instrument WHERE ref_date='2024-09-30' AND nome_perimetro='Individual Corporativo' AND segmento='ESTR' AND ambito='PM' AND entidade='00100' ) B ON instrmnt_id_as_is=instrmnt_id_to_be WHERE coalesce(cast(pd_ifrs9_lftm_incptn_as_is AS string),'')&lt;&gt;coalesce(cast(pd_ifrs9_lftm_incptn_to_be AS string),'') ) A </v>
      </c>
      <c r="O265" s="76" t="str">
        <f t="shared" si="47"/>
        <v>SELECT 'Validação de campos' as tipologia_teste, 'lt002_instrument' AS TABELA, 'pd_ifrs9_lftm_incptn' AS CAMPO, '2024-09-30' as ref_date, coalesce(NUM_REG_DIF, 0) AS NUM_REG_DIF FROM (SELECT count(*) AS NUM_REG_DIF FROM (SELECT instrmnt_id as instrmnt_id_, pd_ifrs9_lftm_incptn as pd_ifrs9_lftm_incptn_as_is FROM cd_loan_tapes_bce.lt002_instrument WHERE ref_date='2024-09-30' AND nome_perimetro='Individual Corporativo' AND segmento='ESTR' AND ambito='PM' AND entidade='00100' ) A  Inner join (SELECT instrmnt_id as instrmnt_id_, pd_ifrs9_lftm_incptn as pd_ifrs9_lftm_incptn_to_be FROM bu_loantape_work.lt002_instrument WHERE ref_date='2024-09-30' AND nome_perimetro='Individual Corporativo' AND segmento='ESTR' AND ambito='PM' AND entidade='00100' ) B ON instrmnt_id_as_is=instrmnt_id_to_be WHERE coalesce(cast(pd_ifrs9_lftm_incptn_as_is AS string),'')&lt;&gt;coalesce(cast(pd_ifrs9_lftm_incptn_to_be AS string),'') ) A Union all</v>
      </c>
      <c r="P265" s="75">
        <f t="shared" ref="P265:P313" si="48">+P264+1</f>
        <v>2</v>
      </c>
    </row>
    <row r="266" spans="2:16" s="63" customFormat="1" ht="18" customHeight="1">
      <c r="B266" s="75" t="s">
        <v>26</v>
      </c>
      <c r="C266" s="75" t="str">
        <f>_xlfn.CONCAT(Instruções!$D$13,".",VLOOKUP(B266,Instruções!$F$12:$H$17,2,0))</f>
        <v>cd_loan_tapes_bce.lt002_instrument</v>
      </c>
      <c r="D266" s="75" t="str">
        <f>_xlfn.CONCAT(Instruções!$D$14,".",VLOOKUP(B266,Instruções!$F$12:$H$17,3,0))</f>
        <v>bu_loantape_work.lt002_instrument</v>
      </c>
      <c r="E266" s="75" t="s">
        <v>296</v>
      </c>
      <c r="F266" s="75" t="str">
        <f t="shared" si="43"/>
        <v>pd_ifrs9_rmnng_lftm_incptn_as_is</v>
      </c>
      <c r="G266" s="75" t="str">
        <f t="shared" si="44"/>
        <v>pd_ifrs9_rmnng_lftm_incptn_to_be</v>
      </c>
      <c r="H266" s="75" t="str">
        <f>IF(VLOOKUP(B266,Instruções!$F$13:$J$17,5,0)="",
"(SELECT "&amp;VLOOKUP(B266,Instruções!$F$13:$J$17,4,0)&amp;" as "&amp;VLOOKUP(B266,Instruções!$F$13:$J$17,4,0)&amp;"_"&amp;$F$2&amp;", "&amp;E266&amp;" as "&amp;F266&amp;" FROM "&amp;C266&amp;" WHERE "&amp;Instruções!$D$20&amp;") A ",
"(SELECT "&amp;VLOOKUP(B266,Instruções!$F$13:$J$17,4,0)&amp;" as "&amp;VLOOKUP(B266,Instruções!$F$13:$J$17,4,0)&amp;"_"&amp;$F$2&amp;", "&amp;VLOOKUP(B266,Instruções!$F$13:$J$17,5,0)&amp;" as "&amp;VLOOKUP(B266,Instruções!$F$13:$J$17,5,0)&amp;"_"&amp;$F$2&amp;","&amp;E266&amp;" as "&amp;F266&amp;" FROM "&amp;C266&amp;" WHERE "&amp;Instruções!$D$20&amp;") A ")</f>
        <v xml:space="preserve">(SELECT instrmnt_id as instrmnt_id_, pd_ifrs9_rmnng_lftm_incptn as pd_ifrs9_rmnng_lftm_incptn_as_is FROM cd_loan_tapes_bce.lt002_instrument WHERE ref_date='2024-09-30' AND nome_perimetro='Individual Corporativo' AND segmento='ESTR' AND ambito='PM' AND entidade='00100' ) A </v>
      </c>
      <c r="I266" s="75" t="str">
        <f>IF(VLOOKUP(B266,Instruções!$F$13:$J$17,5,0)="",
"(SELECT "&amp;VLOOKUP(B266,Instruções!$F$13:$J$17,4,0)&amp;" as "&amp;VLOOKUP(B266,Instruções!$F$13:$J$17,4,0)&amp;"_"&amp;$G$2&amp;", "&amp;E266&amp;" as "&amp;G266&amp;" FROM "&amp;D266&amp;" WHERE "&amp;Instruções!$D$21&amp;") B ",
"(SELECT "&amp;VLOOKUP(B266,Instruções!$F$13:$J$17,4,0)&amp;" as "&amp;VLOOKUP(B266,Instruções!$F$13:$J$17,4,0)&amp;"_"&amp;$G$2&amp;", "&amp;VLOOKUP(B266,Instruções!$F$13:$J$17,5,0)&amp;" as "&amp;VLOOKUP(B266,Instruções!$F$13:$J$17,5,0)&amp;"_"&amp;$G$2&amp;","&amp;E266&amp;" as "&amp;G266&amp;" FROM "&amp;D266&amp;" WHERE "&amp;Instruções!$D$21&amp;") B ")</f>
        <v xml:space="preserve">(SELECT instrmnt_id as instrmnt_id_, pd_ifrs9_rmnng_lftm_incptn as pd_ifrs9_rmnng_lftm_incptn_to_be FROM bu_loantape_work.lt002_instrument WHERE ref_date='2024-09-30' AND nome_perimetro='Individual Corporativo' AND segmento='ESTR' AND ambito='PM' AND entidade='00100' ) B </v>
      </c>
      <c r="J266" s="75" t="str">
        <f>+IF(VLOOKUP(B266,Instruções!$F$13:$J$17,5,0)="", "ON "&amp;VLOOKUP(B266,Instruções!$F$13:$J$17,4,0)&amp;"_"&amp;$F$7&amp;"="&amp;VLOOKUP(B266,Instruções!$F$13:$J$17,4,0)&amp;"_"&amp;$G$7&amp;" ", "ON "&amp;VLOOKUP(B266,Instruções!$F$13:$J$17,4,0)&amp;"_"&amp;$F$7&amp;"="&amp;VLOOKUP(B266,Instruções!$F$13:$J$17,4,0)&amp;"_"&amp;$G$7&amp;" AND "&amp;VLOOKUP(B266,Instruções!$F$13:$J$17,5,0)&amp;"_"&amp;$F$7&amp;"="&amp;VLOOKUP(B266,Instruções!$F$13:$J$17,5,0)&amp;"_"&amp;$G$7&amp;" ")</f>
        <v xml:space="preserve">ON instrmnt_id_as_is=instrmnt_id_to_be </v>
      </c>
      <c r="K266" s="75" t="str">
        <f t="shared" si="45"/>
        <v xml:space="preserve">WHERE coalesce(cast(pd_ifrs9_rmnng_lftm_incptn_as_is AS string),'')&lt;&gt;coalesce(cast(pd_ifrs9_rmnng_lftm_incptn_to_be AS string),'') </v>
      </c>
      <c r="L266" s="75" t="str">
        <f t="shared" si="46"/>
        <v xml:space="preserve">SELECT count(*) AS NUM_REG_DIF FROM (SELECT instrmnt_id as instrmnt_id_,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instrmnt_id_, pd_ifrs9_rmnng_lftm_incptn as pd_ifrs9_rmnng_lftm_incptn_to_be FROM bu_loantape_work.lt002_instrument WHERE ref_date='2024-09-30' AND nome_perimetro='Individual Corporativo' AND segmento='ESTR' AND ambito='PM' AND entidade='00100' ) B ON instrmnt_id_as_is=instrmnt_id_to_be WHERE coalesce(cast(pd_ifrs9_rmnng_lftm_incptn_as_is AS string),'')&lt;&gt;coalesce(cast(pd_ifrs9_rmnng_lftm_incptn_to_be AS string),'') </v>
      </c>
      <c r="M266" s="75" t="s">
        <v>55</v>
      </c>
      <c r="N266" s="75" t="str">
        <f>"SELECT 'Validação de campos' as tipologia_teste, '"&amp;VLOOKUP(B266,Instruções!$F$13:$J$17,3,0)&amp;"' AS TABELA, '"&amp;E266&amp;"' AS CAMPO, '"&amp;Instruções!$D$15&amp;"' as ref_date, coalesce(NUM_REG_DIF, 0) AS NUM_REG_DIF FROM ("&amp;L266&amp;") A "</f>
        <v xml:space="preserve">SELECT 'Validação de campos' as tipologia_teste, 'lt002_instrument' AS TABELA, 'pd_ifrs9_rmnng_lftm_incptn' AS CAMPO, '2024-09-30' as ref_date, coalesce(NUM_REG_DIF, 0) AS NUM_REG_DIF FROM (SELECT count(*) AS NUM_REG_DIF FROM (SELECT instrmnt_id as instrmnt_id_,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instrmnt_id_, pd_ifrs9_rmnng_lftm_incptn as pd_ifrs9_rmnng_lftm_incptn_to_be FROM bu_loantape_work.lt002_instrument WHERE ref_date='2024-09-30' AND nome_perimetro='Individual Corporativo' AND segmento='ESTR' AND ambito='PM' AND entidade='00100' ) B ON instrmnt_id_as_is=instrmnt_id_to_be WHERE coalesce(cast(pd_ifrs9_rmnng_lftm_incptn_as_is AS string),'')&lt;&gt;coalesce(cast(pd_ifrs9_rmnng_lftm_incptn_to_be AS string),'') ) A </v>
      </c>
      <c r="O266" s="76" t="str">
        <f t="shared" si="47"/>
        <v>SELECT 'Validação de campos' as tipologia_teste, 'lt002_instrument' AS TABELA, 'pd_ifrs9_rmnng_lftm_incptn' AS CAMPO, '2024-09-30' as ref_date, coalesce(NUM_REG_DIF, 0) AS NUM_REG_DIF FROM (SELECT count(*) AS NUM_REG_DIF FROM (SELECT instrmnt_id as instrmnt_id_,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instrmnt_id_, pd_ifrs9_rmnng_lftm_incptn as pd_ifrs9_rmnng_lftm_incptn_to_be FROM bu_loantape_work.lt002_instrument WHERE ref_date='2024-09-30' AND nome_perimetro='Individual Corporativo' AND segmento='ESTR' AND ambito='PM' AND entidade='00100' ) B ON instrmnt_id_as_is=instrmnt_id_to_be WHERE coalesce(cast(pd_ifrs9_rmnng_lftm_incptn_as_is AS string),'')&lt;&gt;coalesce(cast(pd_ifrs9_rmnng_lftm_incptn_to_be AS string),'') ) A Union all</v>
      </c>
      <c r="P266" s="75">
        <f t="shared" si="48"/>
        <v>3</v>
      </c>
    </row>
    <row r="267" spans="2:16" s="63" customFormat="1" ht="18" customHeight="1">
      <c r="B267" s="75" t="s">
        <v>26</v>
      </c>
      <c r="C267" s="75" t="str">
        <f>_xlfn.CONCAT(Instruções!$D$13,".",VLOOKUP(B267,Instruções!$F$12:$H$17,2,0))</f>
        <v>cd_loan_tapes_bce.lt002_instrument</v>
      </c>
      <c r="D267" s="75" t="str">
        <f>_xlfn.CONCAT(Instruções!$D$14,".",VLOOKUP(B267,Instruções!$F$12:$H$17,3,0))</f>
        <v>bu_loantape_work.lt002_instrument</v>
      </c>
      <c r="E267" s="75" t="s">
        <v>297</v>
      </c>
      <c r="F267" s="75" t="str">
        <f t="shared" si="43"/>
        <v>pd_ifrs9_rmnng_lftm_rd_as_is</v>
      </c>
      <c r="G267" s="75" t="str">
        <f t="shared" si="44"/>
        <v>pd_ifrs9_rmnng_lftm_rd_to_be</v>
      </c>
      <c r="H267" s="75" t="str">
        <f>IF(VLOOKUP(B267,Instruções!$F$13:$J$17,5,0)="",
"(SELECT "&amp;VLOOKUP(B267,Instruções!$F$13:$J$17,4,0)&amp;" as "&amp;VLOOKUP(B267,Instruções!$F$13:$J$17,4,0)&amp;"_"&amp;$F$2&amp;", "&amp;E267&amp;" as "&amp;F267&amp;" FROM "&amp;C267&amp;" WHERE "&amp;Instruções!$D$20&amp;") A ",
"(SELECT "&amp;VLOOKUP(B267,Instruções!$F$13:$J$17,4,0)&amp;" as "&amp;VLOOKUP(B267,Instruções!$F$13:$J$17,4,0)&amp;"_"&amp;$F$2&amp;", "&amp;VLOOKUP(B267,Instruções!$F$13:$J$17,5,0)&amp;" as "&amp;VLOOKUP(B267,Instruções!$F$13:$J$17,5,0)&amp;"_"&amp;$F$2&amp;","&amp;E267&amp;" as "&amp;F267&amp;" FROM "&amp;C267&amp;" WHERE "&amp;Instruções!$D$20&amp;") A ")</f>
        <v xml:space="preserve">(SELECT instrmnt_id as instrmnt_id_, pd_ifrs9_rmnng_lftm_rd as pd_ifrs9_rmnng_lftm_rd_as_is FROM cd_loan_tapes_bce.lt002_instrument WHERE ref_date='2024-09-30' AND nome_perimetro='Individual Corporativo' AND segmento='ESTR' AND ambito='PM' AND entidade='00100' ) A </v>
      </c>
      <c r="I267" s="75" t="str">
        <f>IF(VLOOKUP(B267,Instruções!$F$13:$J$17,5,0)="",
"(SELECT "&amp;VLOOKUP(B267,Instruções!$F$13:$J$17,4,0)&amp;" as "&amp;VLOOKUP(B267,Instruções!$F$13:$J$17,4,0)&amp;"_"&amp;$G$2&amp;", "&amp;E267&amp;" as "&amp;G267&amp;" FROM "&amp;D267&amp;" WHERE "&amp;Instruções!$D$21&amp;") B ",
"(SELECT "&amp;VLOOKUP(B267,Instruções!$F$13:$J$17,4,0)&amp;" as "&amp;VLOOKUP(B267,Instruções!$F$13:$J$17,4,0)&amp;"_"&amp;$G$2&amp;", "&amp;VLOOKUP(B267,Instruções!$F$13:$J$17,5,0)&amp;" as "&amp;VLOOKUP(B267,Instruções!$F$13:$J$17,5,0)&amp;"_"&amp;$G$2&amp;","&amp;E267&amp;" as "&amp;G267&amp;" FROM "&amp;D267&amp;" WHERE "&amp;Instruções!$D$21&amp;") B ")</f>
        <v xml:space="preserve">(SELECT instrmnt_id as instrmnt_id_, pd_ifrs9_rmnng_lftm_rd as pd_ifrs9_rmnng_lftm_rd_to_be FROM bu_loantape_work.lt002_instrument WHERE ref_date='2024-09-30' AND nome_perimetro='Individual Corporativo' AND segmento='ESTR' AND ambito='PM' AND entidade='00100' ) B </v>
      </c>
      <c r="J267" s="75" t="str">
        <f>+IF(VLOOKUP(B267,Instruções!$F$13:$J$17,5,0)="", "ON "&amp;VLOOKUP(B267,Instruções!$F$13:$J$17,4,0)&amp;"_"&amp;$F$7&amp;"="&amp;VLOOKUP(B267,Instruções!$F$13:$J$17,4,0)&amp;"_"&amp;$G$7&amp;" ", "ON "&amp;VLOOKUP(B267,Instruções!$F$13:$J$17,4,0)&amp;"_"&amp;$F$7&amp;"="&amp;VLOOKUP(B267,Instruções!$F$13:$J$17,4,0)&amp;"_"&amp;$G$7&amp;" AND "&amp;VLOOKUP(B267,Instruções!$F$13:$J$17,5,0)&amp;"_"&amp;$F$7&amp;"="&amp;VLOOKUP(B267,Instruções!$F$13:$J$17,5,0)&amp;"_"&amp;$G$7&amp;" ")</f>
        <v xml:space="preserve">ON instrmnt_id_as_is=instrmnt_id_to_be </v>
      </c>
      <c r="K267" s="75" t="str">
        <f t="shared" si="45"/>
        <v xml:space="preserve">WHERE coalesce(cast(pd_ifrs9_rmnng_lftm_rd_as_is AS string),'')&lt;&gt;coalesce(cast(pd_ifrs9_rmnng_lftm_rd_to_be AS string),'') </v>
      </c>
      <c r="L267" s="75" t="str">
        <f t="shared" si="46"/>
        <v xml:space="preserve">SELECT count(*) AS NUM_REG_DIF FROM (SELECT instrmnt_id as instrmnt_id_, pd_ifrs9_rmnng_lftm_rd as pd_ifrs9_rmnng_lftm_rd_as_is FROM cd_loan_tapes_bce.lt002_instrument WHERE ref_date='2024-09-30' AND nome_perimetro='Individual Corporativo' AND segmento='ESTR' AND ambito='PM' AND entidade='00100' ) A  Inner join (SELECT instrmnt_id as instrmnt_id_, pd_ifrs9_rmnng_lftm_rd as pd_ifrs9_rmnng_lftm_rd_to_be FROM bu_loantape_work.lt002_instrument WHERE ref_date='2024-09-30' AND nome_perimetro='Individual Corporativo' AND segmento='ESTR' AND ambito='PM' AND entidade='00100' ) B ON instrmnt_id_as_is=instrmnt_id_to_be WHERE coalesce(cast(pd_ifrs9_rmnng_lftm_rd_as_is AS string),'')&lt;&gt;coalesce(cast(pd_ifrs9_rmnng_lftm_rd_to_be AS string),'') </v>
      </c>
      <c r="M267" s="75" t="s">
        <v>55</v>
      </c>
      <c r="N267" s="75" t="str">
        <f>"SELECT 'Validação de campos' as tipologia_teste, '"&amp;VLOOKUP(B267,Instruções!$F$13:$J$17,3,0)&amp;"' AS TABELA, '"&amp;E267&amp;"' AS CAMPO, '"&amp;Instruções!$D$15&amp;"' as ref_date, coalesce(NUM_REG_DIF, 0) AS NUM_REG_DIF FROM ("&amp;L267&amp;") A "</f>
        <v xml:space="preserve">SELECT 'Validação de campos' as tipologia_teste, 'lt002_instrument' AS TABELA, 'pd_ifrs9_rmnng_lftm_rd' AS CAMPO, '2024-09-30' as ref_date, coalesce(NUM_REG_DIF, 0) AS NUM_REG_DIF FROM (SELECT count(*) AS NUM_REG_DIF FROM (SELECT instrmnt_id as instrmnt_id_, pd_ifrs9_rmnng_lftm_rd as pd_ifrs9_rmnng_lftm_rd_as_is FROM cd_loan_tapes_bce.lt002_instrument WHERE ref_date='2024-09-30' AND nome_perimetro='Individual Corporativo' AND segmento='ESTR' AND ambito='PM' AND entidade='00100' ) A  Inner join (SELECT instrmnt_id as instrmnt_id_, pd_ifrs9_rmnng_lftm_rd as pd_ifrs9_rmnng_lftm_rd_to_be FROM bu_loantape_work.lt002_instrument WHERE ref_date='2024-09-30' AND nome_perimetro='Individual Corporativo' AND segmento='ESTR' AND ambito='PM' AND entidade='00100' ) B ON instrmnt_id_as_is=instrmnt_id_to_be WHERE coalesce(cast(pd_ifrs9_rmnng_lftm_rd_as_is AS string),'')&lt;&gt;coalesce(cast(pd_ifrs9_rmnng_lftm_rd_to_be AS string),'') ) A </v>
      </c>
      <c r="O267" s="76" t="str">
        <f t="shared" si="47"/>
        <v>SELECT 'Validação de campos' as tipologia_teste, 'lt002_instrument' AS TABELA, 'pd_ifrs9_rmnng_lftm_rd' AS CAMPO, '2024-09-30' as ref_date, coalesce(NUM_REG_DIF, 0) AS NUM_REG_DIF FROM (SELECT count(*) AS NUM_REG_DIF FROM (SELECT instrmnt_id as instrmnt_id_, pd_ifrs9_rmnng_lftm_rd as pd_ifrs9_rmnng_lftm_rd_as_is FROM cd_loan_tapes_bce.lt002_instrument WHERE ref_date='2024-09-30' AND nome_perimetro='Individual Corporativo' AND segmento='ESTR' AND ambito='PM' AND entidade='00100' ) A  Inner join (SELECT instrmnt_id as instrmnt_id_, pd_ifrs9_rmnng_lftm_rd as pd_ifrs9_rmnng_lftm_rd_to_be FROM bu_loantape_work.lt002_instrument WHERE ref_date='2024-09-30' AND nome_perimetro='Individual Corporativo' AND segmento='ESTR' AND ambito='PM' AND entidade='00100' ) B ON instrmnt_id_as_is=instrmnt_id_to_be WHERE coalesce(cast(pd_ifrs9_rmnng_lftm_rd_as_is AS string),'')&lt;&gt;coalesce(cast(pd_ifrs9_rmnng_lftm_rd_to_be AS string),'') ) A Union all</v>
      </c>
      <c r="P267" s="75">
        <f t="shared" si="48"/>
        <v>4</v>
      </c>
    </row>
    <row r="268" spans="2:16" s="63" customFormat="1" ht="18" customHeight="1">
      <c r="B268" s="75" t="s">
        <v>26</v>
      </c>
      <c r="C268" s="75" t="str">
        <f>_xlfn.CONCAT(Instruções!$D$13,".",VLOOKUP(B268,Instruções!$F$12:$H$17,2,0))</f>
        <v>cd_loan_tapes_bce.lt002_instrument</v>
      </c>
      <c r="D268" s="75" t="str">
        <f>_xlfn.CONCAT(Instruções!$D$14,".",VLOOKUP(B268,Instruções!$F$12:$H$17,3,0))</f>
        <v>bu_loantape_work.lt002_instrument</v>
      </c>
      <c r="E268" s="75" t="s">
        <v>298</v>
      </c>
      <c r="F268" s="75" t="str">
        <f t="shared" si="43"/>
        <v>pmnt_pblc_grnt_schm_c19_as_is</v>
      </c>
      <c r="G268" s="75" t="str">
        <f t="shared" si="44"/>
        <v>pmnt_pblc_grnt_schm_c19_to_be</v>
      </c>
      <c r="H268" s="75" t="str">
        <f>IF(VLOOKUP(B268,Instruções!$F$13:$J$17,5,0)="",
"(SELECT "&amp;VLOOKUP(B268,Instruções!$F$13:$J$17,4,0)&amp;" as "&amp;VLOOKUP(B268,Instruções!$F$13:$J$17,4,0)&amp;"_"&amp;$F$2&amp;", "&amp;E268&amp;" as "&amp;F268&amp;" FROM "&amp;C268&amp;" WHERE "&amp;Instruções!$D$20&amp;") A ",
"(SELECT "&amp;VLOOKUP(B268,Instruções!$F$13:$J$17,4,0)&amp;" as "&amp;VLOOKUP(B268,Instruções!$F$13:$J$17,4,0)&amp;"_"&amp;$F$2&amp;", "&amp;VLOOKUP(B268,Instruções!$F$13:$J$17,5,0)&amp;" as "&amp;VLOOKUP(B268,Instruções!$F$13:$J$17,5,0)&amp;"_"&amp;$F$2&amp;","&amp;E268&amp;" as "&amp;F268&amp;" FROM "&amp;C268&amp;" WHERE "&amp;Instruções!$D$20&amp;") A ")</f>
        <v xml:space="preserve">(SELECT instrmnt_id as instrmnt_id_, pmnt_pblc_grnt_schm_c19 as pmnt_pblc_grnt_schm_c19_as_is FROM cd_loan_tapes_bce.lt002_instrument WHERE ref_date='2024-09-30' AND nome_perimetro='Individual Corporativo' AND segmento='ESTR' AND ambito='PM' AND entidade='00100' ) A </v>
      </c>
      <c r="I268" s="75" t="str">
        <f>IF(VLOOKUP(B268,Instruções!$F$13:$J$17,5,0)="",
"(SELECT "&amp;VLOOKUP(B268,Instruções!$F$13:$J$17,4,0)&amp;" as "&amp;VLOOKUP(B268,Instruções!$F$13:$J$17,4,0)&amp;"_"&amp;$G$2&amp;", "&amp;E268&amp;" as "&amp;G268&amp;" FROM "&amp;D268&amp;" WHERE "&amp;Instruções!$D$21&amp;") B ",
"(SELECT "&amp;VLOOKUP(B268,Instruções!$F$13:$J$17,4,0)&amp;" as "&amp;VLOOKUP(B268,Instruções!$F$13:$J$17,4,0)&amp;"_"&amp;$G$2&amp;", "&amp;VLOOKUP(B268,Instruções!$F$13:$J$17,5,0)&amp;" as "&amp;VLOOKUP(B268,Instruções!$F$13:$J$17,5,0)&amp;"_"&amp;$G$2&amp;","&amp;E268&amp;" as "&amp;G268&amp;" FROM "&amp;D268&amp;" WHERE "&amp;Instruções!$D$21&amp;") B ")</f>
        <v xml:space="preserve">(SELECT instrmnt_id as instrmnt_id_, pmnt_pblc_grnt_schm_c19 as pmnt_pblc_grnt_schm_c19_to_be FROM bu_loantape_work.lt002_instrument WHERE ref_date='2024-09-30' AND nome_perimetro='Individual Corporativo' AND segmento='ESTR' AND ambito='PM' AND entidade='00100' ) B </v>
      </c>
      <c r="J268" s="75" t="str">
        <f>+IF(VLOOKUP(B268,Instruções!$F$13:$J$17,5,0)="", "ON "&amp;VLOOKUP(B268,Instruções!$F$13:$J$17,4,0)&amp;"_"&amp;$F$7&amp;"="&amp;VLOOKUP(B268,Instruções!$F$13:$J$17,4,0)&amp;"_"&amp;$G$7&amp;" ", "ON "&amp;VLOOKUP(B268,Instruções!$F$13:$J$17,4,0)&amp;"_"&amp;$F$7&amp;"="&amp;VLOOKUP(B268,Instruções!$F$13:$J$17,4,0)&amp;"_"&amp;$G$7&amp;" AND "&amp;VLOOKUP(B268,Instruções!$F$13:$J$17,5,0)&amp;"_"&amp;$F$7&amp;"="&amp;VLOOKUP(B268,Instruções!$F$13:$J$17,5,0)&amp;"_"&amp;$G$7&amp;" ")</f>
        <v xml:space="preserve">ON instrmnt_id_as_is=instrmnt_id_to_be </v>
      </c>
      <c r="K268" s="75" t="str">
        <f t="shared" si="45"/>
        <v xml:space="preserve">WHERE coalesce(cast(pmnt_pblc_grnt_schm_c19_as_is AS string),'')&lt;&gt;coalesce(cast(pmnt_pblc_grnt_schm_c19_to_be AS string),'') </v>
      </c>
      <c r="L268" s="75" t="str">
        <f t="shared" si="46"/>
        <v xml:space="preserve">SELECT count(*) AS NUM_REG_DIF FROM (SELECT instrmnt_id as instrmnt_id_, pmnt_pblc_grnt_schm_c19 as pmnt_pblc_grnt_schm_c19_as_is FROM cd_loan_tapes_bce.lt002_instrument WHERE ref_date='2024-09-30' AND nome_perimetro='Individual Corporativo' AND segmento='ESTR' AND ambito='PM' AND entidade='00100' ) A  Inner join (SELECT instrmnt_id as instrmnt_id_, pmnt_pblc_grnt_schm_c19 as pmnt_pblc_grnt_schm_c19_to_be FROM bu_loantape_work.lt002_instrument WHERE ref_date='2024-09-30' AND nome_perimetro='Individual Corporativo' AND segmento='ESTR' AND ambito='PM' AND entidade='00100' ) B ON instrmnt_id_as_is=instrmnt_id_to_be WHERE coalesce(cast(pmnt_pblc_grnt_schm_c19_as_is AS string),'')&lt;&gt;coalesce(cast(pmnt_pblc_grnt_schm_c19_to_be AS string),'') </v>
      </c>
      <c r="M268" s="75" t="s">
        <v>55</v>
      </c>
      <c r="N268" s="75" t="str">
        <f>"SELECT 'Validação de campos' as tipologia_teste, '"&amp;VLOOKUP(B268,Instruções!$F$13:$J$17,3,0)&amp;"' AS TABELA, '"&amp;E268&amp;"' AS CAMPO, '"&amp;Instruções!$D$15&amp;"' as ref_date, coalesce(NUM_REG_DIF, 0) AS NUM_REG_DIF FROM ("&amp;L268&amp;") A "</f>
        <v xml:space="preserve">SELECT 'Validação de campos' as tipologia_teste, 'lt002_instrument' AS TABELA, 'pmnt_pblc_grnt_schm_c19' AS CAMPO, '2024-09-30' as ref_date, coalesce(NUM_REG_DIF, 0) AS NUM_REG_DIF FROM (SELECT count(*) AS NUM_REG_DIF FROM (SELECT instrmnt_id as instrmnt_id_, pmnt_pblc_grnt_schm_c19 as pmnt_pblc_grnt_schm_c19_as_is FROM cd_loan_tapes_bce.lt002_instrument WHERE ref_date='2024-09-30' AND nome_perimetro='Individual Corporativo' AND segmento='ESTR' AND ambito='PM' AND entidade='00100' ) A  Inner join (SELECT instrmnt_id as instrmnt_id_, pmnt_pblc_grnt_schm_c19 as pmnt_pblc_grnt_schm_c19_to_be FROM bu_loantape_work.lt002_instrument WHERE ref_date='2024-09-30' AND nome_perimetro='Individual Corporativo' AND segmento='ESTR' AND ambito='PM' AND entidade='00100' ) B ON instrmnt_id_as_is=instrmnt_id_to_be WHERE coalesce(cast(pmnt_pblc_grnt_schm_c19_as_is AS string),'')&lt;&gt;coalesce(cast(pmnt_pblc_grnt_schm_c19_to_be AS string),'') ) A </v>
      </c>
      <c r="O268" s="76" t="str">
        <f t="shared" si="47"/>
        <v>SELECT 'Validação de campos' as tipologia_teste, 'lt002_instrument' AS TABELA, 'pmnt_pblc_grnt_schm_c19' AS CAMPO, '2024-09-30' as ref_date, coalesce(NUM_REG_DIF, 0) AS NUM_REG_DIF FROM (SELECT count(*) AS NUM_REG_DIF FROM (SELECT instrmnt_id as instrmnt_id_, pmnt_pblc_grnt_schm_c19 as pmnt_pblc_grnt_schm_c19_as_is FROM cd_loan_tapes_bce.lt002_instrument WHERE ref_date='2024-09-30' AND nome_perimetro='Individual Corporativo' AND segmento='ESTR' AND ambito='PM' AND entidade='00100' ) A  Inner join (SELECT instrmnt_id as instrmnt_id_, pmnt_pblc_grnt_schm_c19 as pmnt_pblc_grnt_schm_c19_to_be FROM bu_loantape_work.lt002_instrument WHERE ref_date='2024-09-30' AND nome_perimetro='Individual Corporativo' AND segmento='ESTR' AND ambito='PM' AND entidade='00100' ) B ON instrmnt_id_as_is=instrmnt_id_to_be WHERE coalesce(cast(pmnt_pblc_grnt_schm_c19_as_is AS string),'')&lt;&gt;coalesce(cast(pmnt_pblc_grnt_schm_c19_to_be AS string),'') ) A Union all</v>
      </c>
      <c r="P268" s="75">
        <f t="shared" si="48"/>
        <v>5</v>
      </c>
    </row>
    <row r="269" spans="2:16" s="63" customFormat="1" ht="18" customHeight="1">
      <c r="B269" s="75" t="s">
        <v>26</v>
      </c>
      <c r="C269" s="75" t="str">
        <f>_xlfn.CONCAT(Instruções!$D$13,".",VLOOKUP(B269,Instruções!$F$12:$H$17,2,0))</f>
        <v>cd_loan_tapes_bce.lt002_instrument</v>
      </c>
      <c r="D269" s="75" t="str">
        <f>_xlfn.CONCAT(Instruções!$D$14,".",VLOOKUP(B269,Instruções!$F$12:$H$17,3,0))</f>
        <v>bu_loantape_work.lt002_instrument</v>
      </c>
      <c r="E269" s="75" t="s">
        <v>299</v>
      </c>
      <c r="F269" s="75" t="str">
        <f t="shared" si="43"/>
        <v>poci_as_is</v>
      </c>
      <c r="G269" s="75" t="str">
        <f t="shared" si="44"/>
        <v>poci_to_be</v>
      </c>
      <c r="H269" s="75" t="str">
        <f>IF(VLOOKUP(B269,Instruções!$F$13:$J$17,5,0)="",
"(SELECT "&amp;VLOOKUP(B269,Instruções!$F$13:$J$17,4,0)&amp;" as "&amp;VLOOKUP(B269,Instruções!$F$13:$J$17,4,0)&amp;"_"&amp;$F$2&amp;", "&amp;E269&amp;" as "&amp;F269&amp;" FROM "&amp;C269&amp;" WHERE "&amp;Instruções!$D$20&amp;") A ",
"(SELECT "&amp;VLOOKUP(B269,Instruções!$F$13:$J$17,4,0)&amp;" as "&amp;VLOOKUP(B269,Instruções!$F$13:$J$17,4,0)&amp;"_"&amp;$F$2&amp;", "&amp;VLOOKUP(B269,Instruções!$F$13:$J$17,5,0)&amp;" as "&amp;VLOOKUP(B269,Instruções!$F$13:$J$17,5,0)&amp;"_"&amp;$F$2&amp;","&amp;E269&amp;" as "&amp;F269&amp;" FROM "&amp;C269&amp;" WHERE "&amp;Instruções!$D$20&amp;") A ")</f>
        <v xml:space="preserve">(SELECT instrmnt_id as instrmnt_id_, poci as poci_as_is FROM cd_loan_tapes_bce.lt002_instrument WHERE ref_date='2024-09-30' AND nome_perimetro='Individual Corporativo' AND segmento='ESTR' AND ambito='PM' AND entidade='00100' ) A </v>
      </c>
      <c r="I269" s="75" t="str">
        <f>IF(VLOOKUP(B269,Instruções!$F$13:$J$17,5,0)="",
"(SELECT "&amp;VLOOKUP(B269,Instruções!$F$13:$J$17,4,0)&amp;" as "&amp;VLOOKUP(B269,Instruções!$F$13:$J$17,4,0)&amp;"_"&amp;$G$2&amp;", "&amp;E269&amp;" as "&amp;G269&amp;" FROM "&amp;D269&amp;" WHERE "&amp;Instruções!$D$21&amp;") B ",
"(SELECT "&amp;VLOOKUP(B269,Instruções!$F$13:$J$17,4,0)&amp;" as "&amp;VLOOKUP(B269,Instruções!$F$13:$J$17,4,0)&amp;"_"&amp;$G$2&amp;", "&amp;VLOOKUP(B269,Instruções!$F$13:$J$17,5,0)&amp;" as "&amp;VLOOKUP(B269,Instruções!$F$13:$J$17,5,0)&amp;"_"&amp;$G$2&amp;","&amp;E269&amp;" as "&amp;G269&amp;" FROM "&amp;D269&amp;" WHERE "&amp;Instruções!$D$21&amp;") B ")</f>
        <v xml:space="preserve">(SELECT instrmnt_id as instrmnt_id_, poci as poci_to_be FROM bu_loantape_work.lt002_instrument WHERE ref_date='2024-09-30' AND nome_perimetro='Individual Corporativo' AND segmento='ESTR' AND ambito='PM' AND entidade='00100' ) B </v>
      </c>
      <c r="J269" s="75" t="str">
        <f>+IF(VLOOKUP(B269,Instruções!$F$13:$J$17,5,0)="", "ON "&amp;VLOOKUP(B269,Instruções!$F$13:$J$17,4,0)&amp;"_"&amp;$F$7&amp;"="&amp;VLOOKUP(B269,Instruções!$F$13:$J$17,4,0)&amp;"_"&amp;$G$7&amp;" ", "ON "&amp;VLOOKUP(B269,Instruções!$F$13:$J$17,4,0)&amp;"_"&amp;$F$7&amp;"="&amp;VLOOKUP(B269,Instruções!$F$13:$J$17,4,0)&amp;"_"&amp;$G$7&amp;" AND "&amp;VLOOKUP(B269,Instruções!$F$13:$J$17,5,0)&amp;"_"&amp;$F$7&amp;"="&amp;VLOOKUP(B269,Instruções!$F$13:$J$17,5,0)&amp;"_"&amp;$G$7&amp;" ")</f>
        <v xml:space="preserve">ON instrmnt_id_as_is=instrmnt_id_to_be </v>
      </c>
      <c r="K269" s="75" t="str">
        <f t="shared" si="45"/>
        <v xml:space="preserve">WHERE coalesce(cast(poci_as_is AS string),'')&lt;&gt;coalesce(cast(poci_to_be AS string),'') </v>
      </c>
      <c r="L269" s="75" t="str">
        <f t="shared" si="46"/>
        <v xml:space="preserve">SELECT count(*) AS NUM_REG_DIF FROM (SELECT instrmnt_id as instrmnt_id_, poci as poci_as_is FROM cd_loan_tapes_bce.lt002_instrument WHERE ref_date='2024-09-30' AND nome_perimetro='Individual Corporativo' AND segmento='ESTR' AND ambito='PM' AND entidade='00100' ) A  Inner join (SELECT instrmnt_id as instrmnt_id_, poci as poci_to_be FROM bu_loantape_work.lt002_instrument WHERE ref_date='2024-09-30' AND nome_perimetro='Individual Corporativo' AND segmento='ESTR' AND ambito='PM' AND entidade='00100' ) B ON instrmnt_id_as_is=instrmnt_id_to_be WHERE coalesce(cast(poci_as_is AS string),'')&lt;&gt;coalesce(cast(poci_to_be AS string),'') </v>
      </c>
      <c r="M269" s="75" t="s">
        <v>55</v>
      </c>
      <c r="N269" s="75" t="str">
        <f>"SELECT 'Validação de campos' as tipologia_teste, '"&amp;VLOOKUP(B269,Instruções!$F$13:$J$17,3,0)&amp;"' AS TABELA, '"&amp;E269&amp;"' AS CAMPO, '"&amp;Instruções!$D$15&amp;"' as ref_date, coalesce(NUM_REG_DIF, 0) AS NUM_REG_DIF FROM ("&amp;L269&amp;") A "</f>
        <v xml:space="preserve">SELECT 'Validação de campos' as tipologia_teste, 'lt002_instrument' AS TABELA, 'poci' AS CAMPO, '2024-09-30' as ref_date, coalesce(NUM_REG_DIF, 0) AS NUM_REG_DIF FROM (SELECT count(*) AS NUM_REG_DIF FROM (SELECT instrmnt_id as instrmnt_id_, poci as poci_as_is FROM cd_loan_tapes_bce.lt002_instrument WHERE ref_date='2024-09-30' AND nome_perimetro='Individual Corporativo' AND segmento='ESTR' AND ambito='PM' AND entidade='00100' ) A  Inner join (SELECT instrmnt_id as instrmnt_id_, poci as poci_to_be FROM bu_loantape_work.lt002_instrument WHERE ref_date='2024-09-30' AND nome_perimetro='Individual Corporativo' AND segmento='ESTR' AND ambito='PM' AND entidade='00100' ) B ON instrmnt_id_as_is=instrmnt_id_to_be WHERE coalesce(cast(poci_as_is AS string),'')&lt;&gt;coalesce(cast(poci_to_be AS string),'') ) A </v>
      </c>
      <c r="O269" s="76" t="str">
        <f t="shared" si="47"/>
        <v>SELECT 'Validação de campos' as tipologia_teste, 'lt002_instrument' AS TABELA, 'poci' AS CAMPO, '2024-09-30' as ref_date, coalesce(NUM_REG_DIF, 0) AS NUM_REG_DIF FROM (SELECT count(*) AS NUM_REG_DIF FROM (SELECT instrmnt_id as instrmnt_id_, poci as poci_as_is FROM cd_loan_tapes_bce.lt002_instrument WHERE ref_date='2024-09-30' AND nome_perimetro='Individual Corporativo' AND segmento='ESTR' AND ambito='PM' AND entidade='00100' ) A  Inner join (SELECT instrmnt_id as instrmnt_id_, poci as poci_to_be FROM bu_loantape_work.lt002_instrument WHERE ref_date='2024-09-30' AND nome_perimetro='Individual Corporativo' AND segmento='ESTR' AND ambito='PM' AND entidade='00100' ) B ON instrmnt_id_as_is=instrmnt_id_to_be WHERE coalesce(cast(poci_as_is AS string),'')&lt;&gt;coalesce(cast(poci_to_be AS string),'') ) A Union all</v>
      </c>
      <c r="P269" s="75">
        <f t="shared" si="48"/>
        <v>6</v>
      </c>
    </row>
    <row r="270" spans="2:16" s="63" customFormat="1" ht="18" customHeight="1">
      <c r="B270" s="75" t="s">
        <v>26</v>
      </c>
      <c r="C270" s="75" t="str">
        <f>_xlfn.CONCAT(Instruções!$D$13,".",VLOOKUP(B270,Instruções!$F$12:$H$17,2,0))</f>
        <v>cd_loan_tapes_bce.lt002_instrument</v>
      </c>
      <c r="D270" s="75" t="str">
        <f>_xlfn.CONCAT(Instruções!$D$14,".",VLOOKUP(B270,Instruções!$F$12:$H$17,3,0))</f>
        <v>bu_loantape_work.lt002_instrument</v>
      </c>
      <c r="E270" s="75" t="s">
        <v>300</v>
      </c>
      <c r="F270" s="75" t="str">
        <f t="shared" si="43"/>
        <v>prch_undr_rsl_agr_as_is</v>
      </c>
      <c r="G270" s="75" t="str">
        <f t="shared" si="44"/>
        <v>prch_undr_rsl_agr_to_be</v>
      </c>
      <c r="H270" s="75" t="str">
        <f>IF(VLOOKUP(B270,Instruções!$F$13:$J$17,5,0)="",
"(SELECT "&amp;VLOOKUP(B270,Instruções!$F$13:$J$17,4,0)&amp;" as "&amp;VLOOKUP(B270,Instruções!$F$13:$J$17,4,0)&amp;"_"&amp;$F$2&amp;", "&amp;E270&amp;" as "&amp;F270&amp;" FROM "&amp;C270&amp;" WHERE "&amp;Instruções!$D$20&amp;") A ",
"(SELECT "&amp;VLOOKUP(B270,Instruções!$F$13:$J$17,4,0)&amp;" as "&amp;VLOOKUP(B270,Instruções!$F$13:$J$17,4,0)&amp;"_"&amp;$F$2&amp;", "&amp;VLOOKUP(B270,Instruções!$F$13:$J$17,5,0)&amp;" as "&amp;VLOOKUP(B270,Instruções!$F$13:$J$17,5,0)&amp;"_"&amp;$F$2&amp;","&amp;E270&amp;" as "&amp;F270&amp;" FROM "&amp;C270&amp;" WHERE "&amp;Instruções!$D$20&amp;") A ")</f>
        <v xml:space="preserve">(SELECT instrmnt_id as instrmnt_id_, prch_undr_rsl_agr as prch_undr_rsl_agr_as_is FROM cd_loan_tapes_bce.lt002_instrument WHERE ref_date='2024-09-30' AND nome_perimetro='Individual Corporativo' AND segmento='ESTR' AND ambito='PM' AND entidade='00100' ) A </v>
      </c>
      <c r="I270" s="75" t="str">
        <f>IF(VLOOKUP(B270,Instruções!$F$13:$J$17,5,0)="",
"(SELECT "&amp;VLOOKUP(B270,Instruções!$F$13:$J$17,4,0)&amp;" as "&amp;VLOOKUP(B270,Instruções!$F$13:$J$17,4,0)&amp;"_"&amp;$G$2&amp;", "&amp;E270&amp;" as "&amp;G270&amp;" FROM "&amp;D270&amp;" WHERE "&amp;Instruções!$D$21&amp;") B ",
"(SELECT "&amp;VLOOKUP(B270,Instruções!$F$13:$J$17,4,0)&amp;" as "&amp;VLOOKUP(B270,Instruções!$F$13:$J$17,4,0)&amp;"_"&amp;$G$2&amp;", "&amp;VLOOKUP(B270,Instruções!$F$13:$J$17,5,0)&amp;" as "&amp;VLOOKUP(B270,Instruções!$F$13:$J$17,5,0)&amp;"_"&amp;$G$2&amp;","&amp;E270&amp;" as "&amp;G270&amp;" FROM "&amp;D270&amp;" WHERE "&amp;Instruções!$D$21&amp;") B ")</f>
        <v xml:space="preserve">(SELECT instrmnt_id as instrmnt_id_, prch_undr_rsl_agr as prch_undr_rsl_agr_to_be FROM bu_loantape_work.lt002_instrument WHERE ref_date='2024-09-30' AND nome_perimetro='Individual Corporativo' AND segmento='ESTR' AND ambito='PM' AND entidade='00100' ) B </v>
      </c>
      <c r="J270" s="75" t="str">
        <f>+IF(VLOOKUP(B270,Instruções!$F$13:$J$17,5,0)="", "ON "&amp;VLOOKUP(B270,Instruções!$F$13:$J$17,4,0)&amp;"_"&amp;$F$7&amp;"="&amp;VLOOKUP(B270,Instruções!$F$13:$J$17,4,0)&amp;"_"&amp;$G$7&amp;" ", "ON "&amp;VLOOKUP(B270,Instruções!$F$13:$J$17,4,0)&amp;"_"&amp;$F$7&amp;"="&amp;VLOOKUP(B270,Instruções!$F$13:$J$17,4,0)&amp;"_"&amp;$G$7&amp;" AND "&amp;VLOOKUP(B270,Instruções!$F$13:$J$17,5,0)&amp;"_"&amp;$F$7&amp;"="&amp;VLOOKUP(B270,Instruções!$F$13:$J$17,5,0)&amp;"_"&amp;$G$7&amp;" ")</f>
        <v xml:space="preserve">ON instrmnt_id_as_is=instrmnt_id_to_be </v>
      </c>
      <c r="K270" s="75" t="str">
        <f t="shared" si="45"/>
        <v xml:space="preserve">WHERE coalesce(cast(prch_undr_rsl_agr_as_is AS string),'')&lt;&gt;coalesce(cast(prch_undr_rsl_agr_to_be AS string),'') </v>
      </c>
      <c r="L270" s="75" t="str">
        <f t="shared" si="46"/>
        <v xml:space="preserve">SELECT count(*) AS NUM_REG_DIF FROM (SELECT instrmnt_id as instrmnt_id_, prch_undr_rsl_agr as prch_undr_rsl_agr_as_is FROM cd_loan_tapes_bce.lt002_instrument WHERE ref_date='2024-09-30' AND nome_perimetro='Individual Corporativo' AND segmento='ESTR' AND ambito='PM' AND entidade='00100' ) A  Inner join (SELECT instrmnt_id as instrmnt_id_, prch_undr_rsl_agr as prch_undr_rsl_agr_to_be FROM bu_loantape_work.lt002_instrument WHERE ref_date='2024-09-30' AND nome_perimetro='Individual Corporativo' AND segmento='ESTR' AND ambito='PM' AND entidade='00100' ) B ON instrmnt_id_as_is=instrmnt_id_to_be WHERE coalesce(cast(prch_undr_rsl_agr_as_is AS string),'')&lt;&gt;coalesce(cast(prch_undr_rsl_agr_to_be AS string),'') </v>
      </c>
      <c r="M270" s="75" t="s">
        <v>55</v>
      </c>
      <c r="N270" s="75" t="str">
        <f>"SELECT 'Validação de campos' as tipologia_teste, '"&amp;VLOOKUP(B270,Instruções!$F$13:$J$17,3,0)&amp;"' AS TABELA, '"&amp;E270&amp;"' AS CAMPO, '"&amp;Instruções!$D$15&amp;"' as ref_date, coalesce(NUM_REG_DIF, 0) AS NUM_REG_DIF FROM ("&amp;L270&amp;") A "</f>
        <v xml:space="preserve">SELECT 'Validação de campos' as tipologia_teste, 'lt002_instrument' AS TABELA, 'prch_undr_rsl_agr' AS CAMPO, '2024-09-30' as ref_date, coalesce(NUM_REG_DIF, 0) AS NUM_REG_DIF FROM (SELECT count(*) AS NUM_REG_DIF FROM (SELECT instrmnt_id as instrmnt_id_, prch_undr_rsl_agr as prch_undr_rsl_agr_as_is FROM cd_loan_tapes_bce.lt002_instrument WHERE ref_date='2024-09-30' AND nome_perimetro='Individual Corporativo' AND segmento='ESTR' AND ambito='PM' AND entidade='00100' ) A  Inner join (SELECT instrmnt_id as instrmnt_id_, prch_undr_rsl_agr as prch_undr_rsl_agr_to_be FROM bu_loantape_work.lt002_instrument WHERE ref_date='2024-09-30' AND nome_perimetro='Individual Corporativo' AND segmento='ESTR' AND ambito='PM' AND entidade='00100' ) B ON instrmnt_id_as_is=instrmnt_id_to_be WHERE coalesce(cast(prch_undr_rsl_agr_as_is AS string),'')&lt;&gt;coalesce(cast(prch_undr_rsl_agr_to_be AS string),'') ) A </v>
      </c>
      <c r="O270" s="76" t="str">
        <f t="shared" si="47"/>
        <v>SELECT 'Validação de campos' as tipologia_teste, 'lt002_instrument' AS TABELA, 'prch_undr_rsl_agr' AS CAMPO, '2024-09-30' as ref_date, coalesce(NUM_REG_DIF, 0) AS NUM_REG_DIF FROM (SELECT count(*) AS NUM_REG_DIF FROM (SELECT instrmnt_id as instrmnt_id_, prch_undr_rsl_agr as prch_undr_rsl_agr_as_is FROM cd_loan_tapes_bce.lt002_instrument WHERE ref_date='2024-09-30' AND nome_perimetro='Individual Corporativo' AND segmento='ESTR' AND ambito='PM' AND entidade='00100' ) A  Inner join (SELECT instrmnt_id as instrmnt_id_, prch_undr_rsl_agr as prch_undr_rsl_agr_to_be FROM bu_loantape_work.lt002_instrument WHERE ref_date='2024-09-30' AND nome_perimetro='Individual Corporativo' AND segmento='ESTR' AND ambito='PM' AND entidade='00100' ) B ON instrmnt_id_as_is=instrmnt_id_to_be WHERE coalesce(cast(prch_undr_rsl_agr_as_is AS string),'')&lt;&gt;coalesce(cast(prch_undr_rsl_agr_to_be AS string),'') ) A Union all</v>
      </c>
      <c r="P270" s="75">
        <f t="shared" si="48"/>
        <v>7</v>
      </c>
    </row>
    <row r="271" spans="2:16" s="63" customFormat="1" ht="18" customHeight="1">
      <c r="B271" s="75" t="s">
        <v>26</v>
      </c>
      <c r="C271" s="75" t="str">
        <f>_xlfn.CONCAT(Instruções!$D$13,".",VLOOKUP(B271,Instruções!$F$12:$H$17,2,0))</f>
        <v>cd_loan_tapes_bce.lt002_instrument</v>
      </c>
      <c r="D271" s="75" t="str">
        <f>_xlfn.CONCAT(Instruções!$D$14,".",VLOOKUP(B271,Instruções!$F$12:$H$17,3,0))</f>
        <v>bu_loantape_work.lt002_instrument</v>
      </c>
      <c r="E271" s="75" t="s">
        <v>301</v>
      </c>
      <c r="F271" s="75" t="str">
        <f t="shared" si="43"/>
        <v>prdct_as_is</v>
      </c>
      <c r="G271" s="75" t="str">
        <f t="shared" si="44"/>
        <v>prdct_to_be</v>
      </c>
      <c r="H271" s="75" t="str">
        <f>IF(VLOOKUP(B271,Instruções!$F$13:$J$17,5,0)="",
"(SELECT "&amp;VLOOKUP(B271,Instruções!$F$13:$J$17,4,0)&amp;" as "&amp;VLOOKUP(B271,Instruções!$F$13:$J$17,4,0)&amp;"_"&amp;$F$2&amp;", "&amp;E271&amp;" as "&amp;F271&amp;" FROM "&amp;C271&amp;" WHERE "&amp;Instruções!$D$20&amp;") A ",
"(SELECT "&amp;VLOOKUP(B271,Instruções!$F$13:$J$17,4,0)&amp;" as "&amp;VLOOKUP(B271,Instruções!$F$13:$J$17,4,0)&amp;"_"&amp;$F$2&amp;", "&amp;VLOOKUP(B271,Instruções!$F$13:$J$17,5,0)&amp;" as "&amp;VLOOKUP(B271,Instruções!$F$13:$J$17,5,0)&amp;"_"&amp;$F$2&amp;","&amp;E271&amp;" as "&amp;F271&amp;" FROM "&amp;C271&amp;" WHERE "&amp;Instruções!$D$20&amp;") A ")</f>
        <v xml:space="preserve">(SELECT instrmnt_id as instrmnt_id_, prdct as prdct_as_is FROM cd_loan_tapes_bce.lt002_instrument WHERE ref_date='2024-09-30' AND nome_perimetro='Individual Corporativo' AND segmento='ESTR' AND ambito='PM' AND entidade='00100' ) A </v>
      </c>
      <c r="I271" s="75" t="str">
        <f>IF(VLOOKUP(B271,Instruções!$F$13:$J$17,5,0)="",
"(SELECT "&amp;VLOOKUP(B271,Instruções!$F$13:$J$17,4,0)&amp;" as "&amp;VLOOKUP(B271,Instruções!$F$13:$J$17,4,0)&amp;"_"&amp;$G$2&amp;", "&amp;E271&amp;" as "&amp;G271&amp;" FROM "&amp;D271&amp;" WHERE "&amp;Instruções!$D$21&amp;") B ",
"(SELECT "&amp;VLOOKUP(B271,Instruções!$F$13:$J$17,4,0)&amp;" as "&amp;VLOOKUP(B271,Instruções!$F$13:$J$17,4,0)&amp;"_"&amp;$G$2&amp;", "&amp;VLOOKUP(B271,Instruções!$F$13:$J$17,5,0)&amp;" as "&amp;VLOOKUP(B271,Instruções!$F$13:$J$17,5,0)&amp;"_"&amp;$G$2&amp;","&amp;E271&amp;" as "&amp;G271&amp;" FROM "&amp;D271&amp;" WHERE "&amp;Instruções!$D$21&amp;") B ")</f>
        <v xml:space="preserve">(SELECT instrmnt_id as instrmnt_id_, prdct as prdct_to_be FROM bu_loantape_work.lt002_instrument WHERE ref_date='2024-09-30' AND nome_perimetro='Individual Corporativo' AND segmento='ESTR' AND ambito='PM' AND entidade='00100' ) B </v>
      </c>
      <c r="J271" s="75" t="str">
        <f>+IF(VLOOKUP(B271,Instruções!$F$13:$J$17,5,0)="", "ON "&amp;VLOOKUP(B271,Instruções!$F$13:$J$17,4,0)&amp;"_"&amp;$F$7&amp;"="&amp;VLOOKUP(B271,Instruções!$F$13:$J$17,4,0)&amp;"_"&amp;$G$7&amp;" ", "ON "&amp;VLOOKUP(B271,Instruções!$F$13:$J$17,4,0)&amp;"_"&amp;$F$7&amp;"="&amp;VLOOKUP(B271,Instruções!$F$13:$J$17,4,0)&amp;"_"&amp;$G$7&amp;" AND "&amp;VLOOKUP(B271,Instruções!$F$13:$J$17,5,0)&amp;"_"&amp;$F$7&amp;"="&amp;VLOOKUP(B271,Instruções!$F$13:$J$17,5,0)&amp;"_"&amp;$G$7&amp;" ")</f>
        <v xml:space="preserve">ON instrmnt_id_as_is=instrmnt_id_to_be </v>
      </c>
      <c r="K271" s="75" t="str">
        <f t="shared" si="45"/>
        <v xml:space="preserve">WHERE coalesce(cast(prdct_as_is AS string),'')&lt;&gt;coalesce(cast(prdct_to_be AS string),'') </v>
      </c>
      <c r="L271" s="75" t="str">
        <f t="shared" si="46"/>
        <v xml:space="preserve">SELECT count(*) AS NUM_REG_DIF FROM (SELECT instrmnt_id as instrmnt_id_, prdct as prdct_as_is FROM cd_loan_tapes_bce.lt002_instrument WHERE ref_date='2024-09-30' AND nome_perimetro='Individual Corporativo' AND segmento='ESTR' AND ambito='PM' AND entidade='00100' ) A  Inner join (SELECT instrmnt_id as instrmnt_id_, prdct as prdct_to_be FROM bu_loantape_work.lt002_instrument WHERE ref_date='2024-09-30' AND nome_perimetro='Individual Corporativo' AND segmento='ESTR' AND ambito='PM' AND entidade='00100' ) B ON instrmnt_id_as_is=instrmnt_id_to_be WHERE coalesce(cast(prdct_as_is AS string),'')&lt;&gt;coalesce(cast(prdct_to_be AS string),'') </v>
      </c>
      <c r="M271" s="75" t="s">
        <v>55</v>
      </c>
      <c r="N271" s="75" t="str">
        <f>"SELECT 'Validação de campos' as tipologia_teste, '"&amp;VLOOKUP(B271,Instruções!$F$13:$J$17,3,0)&amp;"' AS TABELA, '"&amp;E271&amp;"' AS CAMPO, '"&amp;Instruções!$D$15&amp;"' as ref_date, coalesce(NUM_REG_DIF, 0) AS NUM_REG_DIF FROM ("&amp;L271&amp;") A "</f>
        <v xml:space="preserve">SELECT 'Validação de campos' as tipologia_teste, 'lt002_instrument' AS TABELA, 'prdct' AS CAMPO, '2024-09-30' as ref_date, coalesce(NUM_REG_DIF, 0) AS NUM_REG_DIF FROM (SELECT count(*) AS NUM_REG_DIF FROM (SELECT instrmnt_id as instrmnt_id_, prdct as prdct_as_is FROM cd_loan_tapes_bce.lt002_instrument WHERE ref_date='2024-09-30' AND nome_perimetro='Individual Corporativo' AND segmento='ESTR' AND ambito='PM' AND entidade='00100' ) A  Inner join (SELECT instrmnt_id as instrmnt_id_, prdct as prdct_to_be FROM bu_loantape_work.lt002_instrument WHERE ref_date='2024-09-30' AND nome_perimetro='Individual Corporativo' AND segmento='ESTR' AND ambito='PM' AND entidade='00100' ) B ON instrmnt_id_as_is=instrmnt_id_to_be WHERE coalesce(cast(prdct_as_is AS string),'')&lt;&gt;coalesce(cast(prdct_to_be AS string),'') ) A </v>
      </c>
      <c r="O271" s="76" t="str">
        <f t="shared" si="47"/>
        <v>SELECT 'Validação de campos' as tipologia_teste, 'lt002_instrument' AS TABELA, 'prdct' AS CAMPO, '2024-09-30' as ref_date, coalesce(NUM_REG_DIF, 0) AS NUM_REG_DIF FROM (SELECT count(*) AS NUM_REG_DIF FROM (SELECT instrmnt_id as instrmnt_id_, prdct as prdct_as_is FROM cd_loan_tapes_bce.lt002_instrument WHERE ref_date='2024-09-30' AND nome_perimetro='Individual Corporativo' AND segmento='ESTR' AND ambito='PM' AND entidade='00100' ) A  Inner join (SELECT instrmnt_id as instrmnt_id_, prdct as prdct_to_be FROM bu_loantape_work.lt002_instrument WHERE ref_date='2024-09-30' AND nome_perimetro='Individual Corporativo' AND segmento='ESTR' AND ambito='PM' AND entidade='00100' ) B ON instrmnt_id_as_is=instrmnt_id_to_be WHERE coalesce(cast(prdct_as_is AS string),'')&lt;&gt;coalesce(cast(prdct_to_be AS string),'') ) A Union all</v>
      </c>
      <c r="P271" s="75">
        <f t="shared" si="48"/>
        <v>8</v>
      </c>
    </row>
    <row r="272" spans="2:16" s="63" customFormat="1" ht="18" customHeight="1">
      <c r="B272" s="75" t="s">
        <v>26</v>
      </c>
      <c r="C272" s="75" t="str">
        <f>_xlfn.CONCAT(Instruções!$D$13,".",VLOOKUP(B272,Instruções!$F$12:$H$17,2,0))</f>
        <v>cd_loan_tapes_bce.lt002_instrument</v>
      </c>
      <c r="D272" s="75" t="str">
        <f>_xlfn.CONCAT(Instruções!$D$14,".",VLOOKUP(B272,Instruções!$F$12:$H$17,3,0))</f>
        <v>bu_loantape_work.lt002_instrument</v>
      </c>
      <c r="E272" s="75" t="s">
        <v>302</v>
      </c>
      <c r="F272" s="75" t="str">
        <f t="shared" si="43"/>
        <v>prdntl_prtfl_as_is</v>
      </c>
      <c r="G272" s="75" t="str">
        <f t="shared" si="44"/>
        <v>prdntl_prtfl_to_be</v>
      </c>
      <c r="H272" s="75" t="str">
        <f>IF(VLOOKUP(B272,Instruções!$F$13:$J$17,5,0)="",
"(SELECT "&amp;VLOOKUP(B272,Instruções!$F$13:$J$17,4,0)&amp;" as "&amp;VLOOKUP(B272,Instruções!$F$13:$J$17,4,0)&amp;"_"&amp;$F$2&amp;", "&amp;E272&amp;" as "&amp;F272&amp;" FROM "&amp;C272&amp;" WHERE "&amp;Instruções!$D$20&amp;") A ",
"(SELECT "&amp;VLOOKUP(B272,Instruções!$F$13:$J$17,4,0)&amp;" as "&amp;VLOOKUP(B272,Instruções!$F$13:$J$17,4,0)&amp;"_"&amp;$F$2&amp;", "&amp;VLOOKUP(B272,Instruções!$F$13:$J$17,5,0)&amp;" as "&amp;VLOOKUP(B272,Instruções!$F$13:$J$17,5,0)&amp;"_"&amp;$F$2&amp;","&amp;E272&amp;" as "&amp;F272&amp;" FROM "&amp;C272&amp;" WHERE "&amp;Instruções!$D$20&amp;") A ")</f>
        <v xml:space="preserve">(SELECT instrmnt_id as instrmnt_id_, prdntl_prtfl as prdntl_prtfl_as_is FROM cd_loan_tapes_bce.lt002_instrument WHERE ref_date='2024-09-30' AND nome_perimetro='Individual Corporativo' AND segmento='ESTR' AND ambito='PM' AND entidade='00100' ) A </v>
      </c>
      <c r="I272" s="75" t="str">
        <f>IF(VLOOKUP(B272,Instruções!$F$13:$J$17,5,0)="",
"(SELECT "&amp;VLOOKUP(B272,Instruções!$F$13:$J$17,4,0)&amp;" as "&amp;VLOOKUP(B272,Instruções!$F$13:$J$17,4,0)&amp;"_"&amp;$G$2&amp;", "&amp;E272&amp;" as "&amp;G272&amp;" FROM "&amp;D272&amp;" WHERE "&amp;Instruções!$D$21&amp;") B ",
"(SELECT "&amp;VLOOKUP(B272,Instruções!$F$13:$J$17,4,0)&amp;" as "&amp;VLOOKUP(B272,Instruções!$F$13:$J$17,4,0)&amp;"_"&amp;$G$2&amp;", "&amp;VLOOKUP(B272,Instruções!$F$13:$J$17,5,0)&amp;" as "&amp;VLOOKUP(B272,Instruções!$F$13:$J$17,5,0)&amp;"_"&amp;$G$2&amp;","&amp;E272&amp;" as "&amp;G272&amp;" FROM "&amp;D272&amp;" WHERE "&amp;Instruções!$D$21&amp;") B ")</f>
        <v xml:space="preserve">(SELECT instrmnt_id as instrmnt_id_, prdntl_prtfl as prdntl_prtfl_to_be FROM bu_loantape_work.lt002_instrument WHERE ref_date='2024-09-30' AND nome_perimetro='Individual Corporativo' AND segmento='ESTR' AND ambito='PM' AND entidade='00100' ) B </v>
      </c>
      <c r="J272" s="75" t="str">
        <f>+IF(VLOOKUP(B272,Instruções!$F$13:$J$17,5,0)="", "ON "&amp;VLOOKUP(B272,Instruções!$F$13:$J$17,4,0)&amp;"_"&amp;$F$7&amp;"="&amp;VLOOKUP(B272,Instruções!$F$13:$J$17,4,0)&amp;"_"&amp;$G$7&amp;" ", "ON "&amp;VLOOKUP(B272,Instruções!$F$13:$J$17,4,0)&amp;"_"&amp;$F$7&amp;"="&amp;VLOOKUP(B272,Instruções!$F$13:$J$17,4,0)&amp;"_"&amp;$G$7&amp;" AND "&amp;VLOOKUP(B272,Instruções!$F$13:$J$17,5,0)&amp;"_"&amp;$F$7&amp;"="&amp;VLOOKUP(B272,Instruções!$F$13:$J$17,5,0)&amp;"_"&amp;$G$7&amp;" ")</f>
        <v xml:space="preserve">ON instrmnt_id_as_is=instrmnt_id_to_be </v>
      </c>
      <c r="K272" s="75" t="str">
        <f t="shared" si="45"/>
        <v xml:space="preserve">WHERE coalesce(cast(prdntl_prtfl_as_is AS string),'')&lt;&gt;coalesce(cast(prdntl_prtfl_to_be AS string),'') </v>
      </c>
      <c r="L272" s="75" t="str">
        <f t="shared" si="46"/>
        <v xml:space="preserve">SELECT count(*) AS NUM_REG_DIF FROM (SELECT instrmnt_id as instrmnt_id_, prdntl_prtfl as prdntl_prtfl_as_is FROM cd_loan_tapes_bce.lt002_instrument WHERE ref_date='2024-09-30' AND nome_perimetro='Individual Corporativo' AND segmento='ESTR' AND ambito='PM' AND entidade='00100' ) A  Inner join (SELECT instrmnt_id as instrmnt_id_, prdntl_prtfl as prdntl_prtfl_to_be FROM bu_loantape_work.lt002_instrument WHERE ref_date='2024-09-30' AND nome_perimetro='Individual Corporativo' AND segmento='ESTR' AND ambito='PM' AND entidade='00100' ) B ON instrmnt_id_as_is=instrmnt_id_to_be WHERE coalesce(cast(prdntl_prtfl_as_is AS string),'')&lt;&gt;coalesce(cast(prdntl_prtfl_to_be AS string),'') </v>
      </c>
      <c r="M272" s="75" t="s">
        <v>55</v>
      </c>
      <c r="N272" s="75" t="str">
        <f>"SELECT 'Validação de campos' as tipologia_teste, '"&amp;VLOOKUP(B272,Instruções!$F$13:$J$17,3,0)&amp;"' AS TABELA, '"&amp;E272&amp;"' AS CAMPO, '"&amp;Instruções!$D$15&amp;"' as ref_date, coalesce(NUM_REG_DIF, 0) AS NUM_REG_DIF FROM ("&amp;L272&amp;") A "</f>
        <v xml:space="preserve">SELECT 'Validação de campos' as tipologia_teste, 'lt002_instrument' AS TABELA, 'prdntl_prtfl' AS CAMPO, '2024-09-30' as ref_date, coalesce(NUM_REG_DIF, 0) AS NUM_REG_DIF FROM (SELECT count(*) AS NUM_REG_DIF FROM (SELECT instrmnt_id as instrmnt_id_, prdntl_prtfl as prdntl_prtfl_as_is FROM cd_loan_tapes_bce.lt002_instrument WHERE ref_date='2024-09-30' AND nome_perimetro='Individual Corporativo' AND segmento='ESTR' AND ambito='PM' AND entidade='00100' ) A  Inner join (SELECT instrmnt_id as instrmnt_id_, prdntl_prtfl as prdntl_prtfl_to_be FROM bu_loantape_work.lt002_instrument WHERE ref_date='2024-09-30' AND nome_perimetro='Individual Corporativo' AND segmento='ESTR' AND ambito='PM' AND entidade='00100' ) B ON instrmnt_id_as_is=instrmnt_id_to_be WHERE coalesce(cast(prdntl_prtfl_as_is AS string),'')&lt;&gt;coalesce(cast(prdntl_prtfl_to_be AS string),'') ) A </v>
      </c>
      <c r="O272" s="76" t="str">
        <f t="shared" si="47"/>
        <v>SELECT 'Validação de campos' as tipologia_teste, 'lt002_instrument' AS TABELA, 'prdntl_prtfl' AS CAMPO, '2024-09-30' as ref_date, coalesce(NUM_REG_DIF, 0) AS NUM_REG_DIF FROM (SELECT count(*) AS NUM_REG_DIF FROM (SELECT instrmnt_id as instrmnt_id_, prdntl_prtfl as prdntl_prtfl_as_is FROM cd_loan_tapes_bce.lt002_instrument WHERE ref_date='2024-09-30' AND nome_perimetro='Individual Corporativo' AND segmento='ESTR' AND ambito='PM' AND entidade='00100' ) A  Inner join (SELECT instrmnt_id as instrmnt_id_, prdntl_prtfl as prdntl_prtfl_to_be FROM bu_loantape_work.lt002_instrument WHERE ref_date='2024-09-30' AND nome_perimetro='Individual Corporativo' AND segmento='ESTR' AND ambito='PM' AND entidade='00100' ) B ON instrmnt_id_as_is=instrmnt_id_to_be WHERE coalesce(cast(prdntl_prtfl_as_is AS string),'')&lt;&gt;coalesce(cast(prdntl_prtfl_to_be AS string),'') ) A Union all</v>
      </c>
      <c r="P272" s="75">
        <f t="shared" si="48"/>
        <v>9</v>
      </c>
    </row>
    <row r="273" spans="2:16" s="63" customFormat="1" ht="18" customHeight="1">
      <c r="B273" s="75" t="s">
        <v>26</v>
      </c>
      <c r="C273" s="75" t="str">
        <f>_xlfn.CONCAT(Instruções!$D$13,".",VLOOKUP(B273,Instruções!$F$12:$H$17,2,0))</f>
        <v>cd_loan_tapes_bce.lt002_instrument</v>
      </c>
      <c r="D273" s="75" t="str">
        <f>_xlfn.CONCAT(Instruções!$D$14,".",VLOOKUP(B273,Instruções!$F$12:$H$17,3,0))</f>
        <v>bu_loantape_work.lt002_instrument</v>
      </c>
      <c r="E273" s="75" t="s">
        <v>303</v>
      </c>
      <c r="F273" s="75" t="str">
        <f t="shared" si="43"/>
        <v>prfrmng_stts_as_is</v>
      </c>
      <c r="G273" s="75" t="str">
        <f t="shared" si="44"/>
        <v>prfrmng_stts_to_be</v>
      </c>
      <c r="H273" s="75" t="str">
        <f>IF(VLOOKUP(B273,Instruções!$F$13:$J$17,5,0)="",
"(SELECT "&amp;VLOOKUP(B273,Instruções!$F$13:$J$17,4,0)&amp;" as "&amp;VLOOKUP(B273,Instruções!$F$13:$J$17,4,0)&amp;"_"&amp;$F$2&amp;", "&amp;E273&amp;" as "&amp;F273&amp;" FROM "&amp;C273&amp;" WHERE "&amp;Instruções!$D$20&amp;") A ",
"(SELECT "&amp;VLOOKUP(B273,Instruções!$F$13:$J$17,4,0)&amp;" as "&amp;VLOOKUP(B273,Instruções!$F$13:$J$17,4,0)&amp;"_"&amp;$F$2&amp;", "&amp;VLOOKUP(B273,Instruções!$F$13:$J$17,5,0)&amp;" as "&amp;VLOOKUP(B273,Instruções!$F$13:$J$17,5,0)&amp;"_"&amp;$F$2&amp;","&amp;E273&amp;" as "&amp;F273&amp;" FROM "&amp;C273&amp;" WHERE "&amp;Instruções!$D$20&amp;") A ")</f>
        <v xml:space="preserve">(SELECT instrmnt_id as instrmnt_id_, prfrmng_stts as prfrmng_stts_as_is FROM cd_loan_tapes_bce.lt002_instrument WHERE ref_date='2024-09-30' AND nome_perimetro='Individual Corporativo' AND segmento='ESTR' AND ambito='PM' AND entidade='00100' ) A </v>
      </c>
      <c r="I273" s="75" t="str">
        <f>IF(VLOOKUP(B273,Instruções!$F$13:$J$17,5,0)="",
"(SELECT "&amp;VLOOKUP(B273,Instruções!$F$13:$J$17,4,0)&amp;" as "&amp;VLOOKUP(B273,Instruções!$F$13:$J$17,4,0)&amp;"_"&amp;$G$2&amp;", "&amp;E273&amp;" as "&amp;G273&amp;" FROM "&amp;D273&amp;" WHERE "&amp;Instruções!$D$21&amp;") B ",
"(SELECT "&amp;VLOOKUP(B273,Instruções!$F$13:$J$17,4,0)&amp;" as "&amp;VLOOKUP(B273,Instruções!$F$13:$J$17,4,0)&amp;"_"&amp;$G$2&amp;", "&amp;VLOOKUP(B273,Instruções!$F$13:$J$17,5,0)&amp;" as "&amp;VLOOKUP(B273,Instruções!$F$13:$J$17,5,0)&amp;"_"&amp;$G$2&amp;","&amp;E273&amp;" as "&amp;G273&amp;" FROM "&amp;D273&amp;" WHERE "&amp;Instruções!$D$21&amp;") B ")</f>
        <v xml:space="preserve">(SELECT instrmnt_id as instrmnt_id_, prfrmng_stts as prfrmng_stts_to_be FROM bu_loantape_work.lt002_instrument WHERE ref_date='2024-09-30' AND nome_perimetro='Individual Corporativo' AND segmento='ESTR' AND ambito='PM' AND entidade='00100' ) B </v>
      </c>
      <c r="J273" s="75" t="str">
        <f>+IF(VLOOKUP(B273,Instruções!$F$13:$J$17,5,0)="", "ON "&amp;VLOOKUP(B273,Instruções!$F$13:$J$17,4,0)&amp;"_"&amp;$F$7&amp;"="&amp;VLOOKUP(B273,Instruções!$F$13:$J$17,4,0)&amp;"_"&amp;$G$7&amp;" ", "ON "&amp;VLOOKUP(B273,Instruções!$F$13:$J$17,4,0)&amp;"_"&amp;$F$7&amp;"="&amp;VLOOKUP(B273,Instruções!$F$13:$J$17,4,0)&amp;"_"&amp;$G$7&amp;" AND "&amp;VLOOKUP(B273,Instruções!$F$13:$J$17,5,0)&amp;"_"&amp;$F$7&amp;"="&amp;VLOOKUP(B273,Instruções!$F$13:$J$17,5,0)&amp;"_"&amp;$G$7&amp;" ")</f>
        <v xml:space="preserve">ON instrmnt_id_as_is=instrmnt_id_to_be </v>
      </c>
      <c r="K273" s="75" t="str">
        <f t="shared" si="45"/>
        <v xml:space="preserve">WHERE coalesce(cast(prfrmng_stts_as_is AS string),'')&lt;&gt;coalesce(cast(prfrmng_stts_to_be AS string),'') </v>
      </c>
      <c r="L273" s="75" t="str">
        <f t="shared" si="46"/>
        <v xml:space="preserve">SELECT count(*) AS NUM_REG_DIF FROM (SELECT instrmnt_id as instrmnt_id_, prfrmng_stts as prfrmng_stts_as_is FROM cd_loan_tapes_bce.lt002_instrument WHERE ref_date='2024-09-30' AND nome_perimetro='Individual Corporativo' AND segmento='ESTR' AND ambito='PM' AND entidade='00100' ) A  Inner join (SELECT instrmnt_id as instrmnt_id_, prfrmng_stts as prfrmng_stts_to_be FROM bu_loantape_work.lt002_instrument WHERE ref_date='2024-09-30' AND nome_perimetro='Individual Corporativo' AND segmento='ESTR' AND ambito='PM' AND entidade='00100' ) B ON instrmnt_id_as_is=instrmnt_id_to_be WHERE coalesce(cast(prfrmng_stts_as_is AS string),'')&lt;&gt;coalesce(cast(prfrmng_stts_to_be AS string),'') </v>
      </c>
      <c r="M273" s="75" t="s">
        <v>55</v>
      </c>
      <c r="N273" s="75" t="str">
        <f>"SELECT 'Validação de campos' as tipologia_teste, '"&amp;VLOOKUP(B273,Instruções!$F$13:$J$17,3,0)&amp;"' AS TABELA, '"&amp;E273&amp;"' AS CAMPO, '"&amp;Instruções!$D$15&amp;"' as ref_date, coalesce(NUM_REG_DIF, 0) AS NUM_REG_DIF FROM ("&amp;L273&amp;") A "</f>
        <v xml:space="preserve">SELECT 'Validação de campos' as tipologia_teste, 'lt002_instrument' AS TABELA, 'prfrmng_stts' AS CAMPO, '2024-09-30' as ref_date, coalesce(NUM_REG_DIF, 0) AS NUM_REG_DIF FROM (SELECT count(*) AS NUM_REG_DIF FROM (SELECT instrmnt_id as instrmnt_id_, prfrmng_stts as prfrmng_stts_as_is FROM cd_loan_tapes_bce.lt002_instrument WHERE ref_date='2024-09-30' AND nome_perimetro='Individual Corporativo' AND segmento='ESTR' AND ambito='PM' AND entidade='00100' ) A  Inner join (SELECT instrmnt_id as instrmnt_id_, prfrmng_stts as prfrmng_stts_to_be FROM bu_loantape_work.lt002_instrument WHERE ref_date='2024-09-30' AND nome_perimetro='Individual Corporativo' AND segmento='ESTR' AND ambito='PM' AND entidade='00100' ) B ON instrmnt_id_as_is=instrmnt_id_to_be WHERE coalesce(cast(prfrmng_stts_as_is AS string),'')&lt;&gt;coalesce(cast(prfrmng_stts_to_be AS string),'') ) A </v>
      </c>
      <c r="O273" s="76" t="str">
        <f t="shared" si="47"/>
        <v>SELECT 'Validação de campos' as tipologia_teste, 'lt002_instrument' AS TABELA, 'prfrmng_stts' AS CAMPO, '2024-09-30' as ref_date, coalesce(NUM_REG_DIF, 0) AS NUM_REG_DIF FROM (SELECT count(*) AS NUM_REG_DIF FROM (SELECT instrmnt_id as instrmnt_id_, prfrmng_stts as prfrmng_stts_as_is FROM cd_loan_tapes_bce.lt002_instrument WHERE ref_date='2024-09-30' AND nome_perimetro='Individual Corporativo' AND segmento='ESTR' AND ambito='PM' AND entidade='00100' ) A  Inner join (SELECT instrmnt_id as instrmnt_id_, prfrmng_stts as prfrmng_stts_to_be FROM bu_loantape_work.lt002_instrument WHERE ref_date='2024-09-30' AND nome_perimetro='Individual Corporativo' AND segmento='ESTR' AND ambito='PM' AND entidade='00100' ) B ON instrmnt_id_as_is=instrmnt_id_to_be WHERE coalesce(cast(prfrmng_stts_as_is AS string),'')&lt;&gt;coalesce(cast(prfrmng_stts_to_be AS string),'') ) A Union all</v>
      </c>
      <c r="P273" s="75">
        <f t="shared" si="48"/>
        <v>10</v>
      </c>
    </row>
    <row r="274" spans="2:16" s="63" customFormat="1" ht="18" customHeight="1">
      <c r="B274" s="75" t="s">
        <v>26</v>
      </c>
      <c r="C274" s="75" t="str">
        <f>_xlfn.CONCAT(Instruções!$D$13,".",VLOOKUP(B274,Instruções!$F$12:$H$17,2,0))</f>
        <v>cd_loan_tapes_bce.lt002_instrument</v>
      </c>
      <c r="D274" s="75" t="str">
        <f>_xlfn.CONCAT(Instruções!$D$14,".",VLOOKUP(B274,Instruções!$F$12:$H$17,3,0))</f>
        <v>bu_loantape_work.lt002_instrument</v>
      </c>
      <c r="E274" s="75" t="s">
        <v>304</v>
      </c>
      <c r="F274" s="75" t="str">
        <f t="shared" si="43"/>
        <v>prfrmng_stts_prvs_as_is</v>
      </c>
      <c r="G274" s="75" t="str">
        <f t="shared" si="44"/>
        <v>prfrmng_stts_prvs_to_be</v>
      </c>
      <c r="H274" s="75" t="str">
        <f>IF(VLOOKUP(B274,Instruções!$F$13:$J$17,5,0)="",
"(SELECT "&amp;VLOOKUP(B274,Instruções!$F$13:$J$17,4,0)&amp;" as "&amp;VLOOKUP(B274,Instruções!$F$13:$J$17,4,0)&amp;"_"&amp;$F$2&amp;", "&amp;E274&amp;" as "&amp;F274&amp;" FROM "&amp;C274&amp;" WHERE "&amp;Instruções!$D$20&amp;") A ",
"(SELECT "&amp;VLOOKUP(B274,Instruções!$F$13:$J$17,4,0)&amp;" as "&amp;VLOOKUP(B274,Instruções!$F$13:$J$17,4,0)&amp;"_"&amp;$F$2&amp;", "&amp;VLOOKUP(B274,Instruções!$F$13:$J$17,5,0)&amp;" as "&amp;VLOOKUP(B274,Instruções!$F$13:$J$17,5,0)&amp;"_"&amp;$F$2&amp;","&amp;E274&amp;" as "&amp;F274&amp;" FROM "&amp;C274&amp;" WHERE "&amp;Instruções!$D$20&amp;") A ")</f>
        <v xml:space="preserve">(SELECT instrmnt_id as instrmnt_id_, prfrmng_stts_prvs as prfrmng_stts_prvs_as_is FROM cd_loan_tapes_bce.lt002_instrument WHERE ref_date='2024-09-30' AND nome_perimetro='Individual Corporativo' AND segmento='ESTR' AND ambito='PM' AND entidade='00100' ) A </v>
      </c>
      <c r="I274" s="75" t="str">
        <f>IF(VLOOKUP(B274,Instruções!$F$13:$J$17,5,0)="",
"(SELECT "&amp;VLOOKUP(B274,Instruções!$F$13:$J$17,4,0)&amp;" as "&amp;VLOOKUP(B274,Instruções!$F$13:$J$17,4,0)&amp;"_"&amp;$G$2&amp;", "&amp;E274&amp;" as "&amp;G274&amp;" FROM "&amp;D274&amp;" WHERE "&amp;Instruções!$D$21&amp;") B ",
"(SELECT "&amp;VLOOKUP(B274,Instruções!$F$13:$J$17,4,0)&amp;" as "&amp;VLOOKUP(B274,Instruções!$F$13:$J$17,4,0)&amp;"_"&amp;$G$2&amp;", "&amp;VLOOKUP(B274,Instruções!$F$13:$J$17,5,0)&amp;" as "&amp;VLOOKUP(B274,Instruções!$F$13:$J$17,5,0)&amp;"_"&amp;$G$2&amp;","&amp;E274&amp;" as "&amp;G274&amp;" FROM "&amp;D274&amp;" WHERE "&amp;Instruções!$D$21&amp;") B ")</f>
        <v xml:space="preserve">(SELECT instrmnt_id as instrmnt_id_, prfrmng_stts_prvs as prfrmng_stts_prvs_to_be FROM bu_loantape_work.lt002_instrument WHERE ref_date='2024-09-30' AND nome_perimetro='Individual Corporativo' AND segmento='ESTR' AND ambito='PM' AND entidade='00100' ) B </v>
      </c>
      <c r="J274" s="75" t="str">
        <f>+IF(VLOOKUP(B274,Instruções!$F$13:$J$17,5,0)="", "ON "&amp;VLOOKUP(B274,Instruções!$F$13:$J$17,4,0)&amp;"_"&amp;$F$7&amp;"="&amp;VLOOKUP(B274,Instruções!$F$13:$J$17,4,0)&amp;"_"&amp;$G$7&amp;" ", "ON "&amp;VLOOKUP(B274,Instruções!$F$13:$J$17,4,0)&amp;"_"&amp;$F$7&amp;"="&amp;VLOOKUP(B274,Instruções!$F$13:$J$17,4,0)&amp;"_"&amp;$G$7&amp;" AND "&amp;VLOOKUP(B274,Instruções!$F$13:$J$17,5,0)&amp;"_"&amp;$F$7&amp;"="&amp;VLOOKUP(B274,Instruções!$F$13:$J$17,5,0)&amp;"_"&amp;$G$7&amp;" ")</f>
        <v xml:space="preserve">ON instrmnt_id_as_is=instrmnt_id_to_be </v>
      </c>
      <c r="K274" s="75" t="str">
        <f t="shared" si="45"/>
        <v xml:space="preserve">WHERE coalesce(cast(prfrmng_stts_prvs_as_is AS string),'')&lt;&gt;coalesce(cast(prfrmng_stts_prvs_to_be AS string),'') </v>
      </c>
      <c r="L274" s="75" t="str">
        <f t="shared" si="46"/>
        <v xml:space="preserve">SELECT count(*) AS NUM_REG_DIF FROM (SELECT instrmnt_id as instrmnt_id_, prfrmng_stts_prvs as prfrmng_stts_prvs_as_is FROM cd_loan_tapes_bce.lt002_instrument WHERE ref_date='2024-09-30' AND nome_perimetro='Individual Corporativo' AND segmento='ESTR' AND ambito='PM' AND entidade='00100' ) A  Inner join (SELECT instrmnt_id as instrmnt_id_, prfrmng_stts_prvs as prfrmng_stts_prvs_to_be FROM bu_loantape_work.lt002_instrument WHERE ref_date='2024-09-30' AND nome_perimetro='Individual Corporativo' AND segmento='ESTR' AND ambito='PM' AND entidade='00100' ) B ON instrmnt_id_as_is=instrmnt_id_to_be WHERE coalesce(cast(prfrmng_stts_prvs_as_is AS string),'')&lt;&gt;coalesce(cast(prfrmng_stts_prvs_to_be AS string),'') </v>
      </c>
      <c r="M274" s="75" t="s">
        <v>55</v>
      </c>
      <c r="N274" s="75" t="str">
        <f>"SELECT 'Validação de campos' as tipologia_teste, '"&amp;VLOOKUP(B274,Instruções!$F$13:$J$17,3,0)&amp;"' AS TABELA, '"&amp;E274&amp;"' AS CAMPO, '"&amp;Instruções!$D$15&amp;"' as ref_date, coalesce(NUM_REG_DIF, 0) AS NUM_REG_DIF FROM ("&amp;L274&amp;") A "</f>
        <v xml:space="preserve">SELECT 'Validação de campos' as tipologia_teste, 'lt002_instrument' AS TABELA, 'prfrmng_stts_prvs' AS CAMPO, '2024-09-30' as ref_date, coalesce(NUM_REG_DIF, 0) AS NUM_REG_DIF FROM (SELECT count(*) AS NUM_REG_DIF FROM (SELECT instrmnt_id as instrmnt_id_, prfrmng_stts_prvs as prfrmng_stts_prvs_as_is FROM cd_loan_tapes_bce.lt002_instrument WHERE ref_date='2024-09-30' AND nome_perimetro='Individual Corporativo' AND segmento='ESTR' AND ambito='PM' AND entidade='00100' ) A  Inner join (SELECT instrmnt_id as instrmnt_id_, prfrmng_stts_prvs as prfrmng_stts_prvs_to_be FROM bu_loantape_work.lt002_instrument WHERE ref_date='2024-09-30' AND nome_perimetro='Individual Corporativo' AND segmento='ESTR' AND ambito='PM' AND entidade='00100' ) B ON instrmnt_id_as_is=instrmnt_id_to_be WHERE coalesce(cast(prfrmng_stts_prvs_as_is AS string),'')&lt;&gt;coalesce(cast(prfrmng_stts_prvs_to_be AS string),'') ) A </v>
      </c>
      <c r="O274" s="76" t="str">
        <f t="shared" si="47"/>
        <v>SELECT 'Validação de campos' as tipologia_teste, 'lt002_instrument' AS TABELA, 'prfrmng_stts_prvs' AS CAMPO, '2024-09-30' as ref_date, coalesce(NUM_REG_DIF, 0) AS NUM_REG_DIF FROM (SELECT count(*) AS NUM_REG_DIF FROM (SELECT instrmnt_id as instrmnt_id_, prfrmng_stts_prvs as prfrmng_stts_prvs_as_is FROM cd_loan_tapes_bce.lt002_instrument WHERE ref_date='2024-09-30' AND nome_perimetro='Individual Corporativo' AND segmento='ESTR' AND ambito='PM' AND entidade='00100' ) A  Inner join (SELECT instrmnt_id as instrmnt_id_, prfrmng_stts_prvs as prfrmng_stts_prvs_to_be FROM bu_loantape_work.lt002_instrument WHERE ref_date='2024-09-30' AND nome_perimetro='Individual Corporativo' AND segmento='ESTR' AND ambito='PM' AND entidade='00100' ) B ON instrmnt_id_as_is=instrmnt_id_to_be WHERE coalesce(cast(prfrmng_stts_prvs_as_is AS string),'')&lt;&gt;coalesce(cast(prfrmng_stts_prvs_to_be AS string),'') ) A Union all</v>
      </c>
      <c r="P274" s="75">
        <f t="shared" si="48"/>
        <v>11</v>
      </c>
    </row>
    <row r="275" spans="2:16" s="63" customFormat="1" ht="18" customHeight="1">
      <c r="B275" s="75" t="s">
        <v>26</v>
      </c>
      <c r="C275" s="75" t="str">
        <f>_xlfn.CONCAT(Instruções!$D$13,".",VLOOKUP(B275,Instruções!$F$12:$H$17,2,0))</f>
        <v>cd_loan_tapes_bce.lt002_instrument</v>
      </c>
      <c r="D275" s="75" t="str">
        <f>_xlfn.CONCAT(Instruções!$D$14,".",VLOOKUP(B275,Instruções!$F$12:$H$17,3,0))</f>
        <v>bu_loantape_work.lt002_instrument</v>
      </c>
      <c r="E275" s="75" t="s">
        <v>305</v>
      </c>
      <c r="F275" s="75" t="str">
        <f t="shared" si="43"/>
        <v>prjct_fnnc_ln_as_is</v>
      </c>
      <c r="G275" s="75" t="str">
        <f t="shared" si="44"/>
        <v>prjct_fnnc_ln_to_be</v>
      </c>
      <c r="H275" s="75" t="str">
        <f>IF(VLOOKUP(B275,Instruções!$F$13:$J$17,5,0)="",
"(SELECT "&amp;VLOOKUP(B275,Instruções!$F$13:$J$17,4,0)&amp;" as "&amp;VLOOKUP(B275,Instruções!$F$13:$J$17,4,0)&amp;"_"&amp;$F$2&amp;", "&amp;E275&amp;" as "&amp;F275&amp;" FROM "&amp;C275&amp;" WHERE "&amp;Instruções!$D$20&amp;") A ",
"(SELECT "&amp;VLOOKUP(B275,Instruções!$F$13:$J$17,4,0)&amp;" as "&amp;VLOOKUP(B275,Instruções!$F$13:$J$17,4,0)&amp;"_"&amp;$F$2&amp;", "&amp;VLOOKUP(B275,Instruções!$F$13:$J$17,5,0)&amp;" as "&amp;VLOOKUP(B275,Instruções!$F$13:$J$17,5,0)&amp;"_"&amp;$F$2&amp;","&amp;E275&amp;" as "&amp;F275&amp;" FROM "&amp;C275&amp;" WHERE "&amp;Instruções!$D$20&amp;") A ")</f>
        <v xml:space="preserve">(SELECT instrmnt_id as instrmnt_id_, prjct_fnnc_ln as prjct_fnnc_ln_as_is FROM cd_loan_tapes_bce.lt002_instrument WHERE ref_date='2024-09-30' AND nome_perimetro='Individual Corporativo' AND segmento='ESTR' AND ambito='PM' AND entidade='00100' ) A </v>
      </c>
      <c r="I275" s="75" t="str">
        <f>IF(VLOOKUP(B275,Instruções!$F$13:$J$17,5,0)="",
"(SELECT "&amp;VLOOKUP(B275,Instruções!$F$13:$J$17,4,0)&amp;" as "&amp;VLOOKUP(B275,Instruções!$F$13:$J$17,4,0)&amp;"_"&amp;$G$2&amp;", "&amp;E275&amp;" as "&amp;G275&amp;" FROM "&amp;D275&amp;" WHERE "&amp;Instruções!$D$21&amp;") B ",
"(SELECT "&amp;VLOOKUP(B275,Instruções!$F$13:$J$17,4,0)&amp;" as "&amp;VLOOKUP(B275,Instruções!$F$13:$J$17,4,0)&amp;"_"&amp;$G$2&amp;", "&amp;VLOOKUP(B275,Instruções!$F$13:$J$17,5,0)&amp;" as "&amp;VLOOKUP(B275,Instruções!$F$13:$J$17,5,0)&amp;"_"&amp;$G$2&amp;","&amp;E275&amp;" as "&amp;G275&amp;" FROM "&amp;D275&amp;" WHERE "&amp;Instruções!$D$21&amp;") B ")</f>
        <v xml:space="preserve">(SELECT instrmnt_id as instrmnt_id_, prjct_fnnc_ln as prjct_fnnc_ln_to_be FROM bu_loantape_work.lt002_instrument WHERE ref_date='2024-09-30' AND nome_perimetro='Individual Corporativo' AND segmento='ESTR' AND ambito='PM' AND entidade='00100' ) B </v>
      </c>
      <c r="J275" s="75" t="str">
        <f>+IF(VLOOKUP(B275,Instruções!$F$13:$J$17,5,0)="", "ON "&amp;VLOOKUP(B275,Instruções!$F$13:$J$17,4,0)&amp;"_"&amp;$F$7&amp;"="&amp;VLOOKUP(B275,Instruções!$F$13:$J$17,4,0)&amp;"_"&amp;$G$7&amp;" ", "ON "&amp;VLOOKUP(B275,Instruções!$F$13:$J$17,4,0)&amp;"_"&amp;$F$7&amp;"="&amp;VLOOKUP(B275,Instruções!$F$13:$J$17,4,0)&amp;"_"&amp;$G$7&amp;" AND "&amp;VLOOKUP(B275,Instruções!$F$13:$J$17,5,0)&amp;"_"&amp;$F$7&amp;"="&amp;VLOOKUP(B275,Instruções!$F$13:$J$17,5,0)&amp;"_"&amp;$G$7&amp;" ")</f>
        <v xml:space="preserve">ON instrmnt_id_as_is=instrmnt_id_to_be </v>
      </c>
      <c r="K275" s="75" t="str">
        <f t="shared" si="45"/>
        <v xml:space="preserve">WHERE coalesce(cast(prjct_fnnc_ln_as_is AS string),'')&lt;&gt;coalesce(cast(prjct_fnnc_ln_to_be AS string),'') </v>
      </c>
      <c r="L275" s="75" t="str">
        <f t="shared" si="46"/>
        <v xml:space="preserve">SELECT count(*) AS NUM_REG_DIF FROM (SELECT instrmnt_id as instrmnt_id_, prjct_fnnc_ln as prjct_fnnc_ln_as_is FROM cd_loan_tapes_bce.lt002_instrument WHERE ref_date='2024-09-30' AND nome_perimetro='Individual Corporativo' AND segmento='ESTR' AND ambito='PM' AND entidade='00100' ) A  Inner join (SELECT instrmnt_id as instrmnt_id_, prjct_fnnc_ln as prjct_fnnc_ln_to_be FROM bu_loantape_work.lt002_instrument WHERE ref_date='2024-09-30' AND nome_perimetro='Individual Corporativo' AND segmento='ESTR' AND ambito='PM' AND entidade='00100' ) B ON instrmnt_id_as_is=instrmnt_id_to_be WHERE coalesce(cast(prjct_fnnc_ln_as_is AS string),'')&lt;&gt;coalesce(cast(prjct_fnnc_ln_to_be AS string),'') </v>
      </c>
      <c r="M275" s="75" t="s">
        <v>55</v>
      </c>
      <c r="N275" s="75" t="str">
        <f>"SELECT 'Validação de campos' as tipologia_teste, '"&amp;VLOOKUP(B275,Instruções!$F$13:$J$17,3,0)&amp;"' AS TABELA, '"&amp;E275&amp;"' AS CAMPO, '"&amp;Instruções!$D$15&amp;"' as ref_date, coalesce(NUM_REG_DIF, 0) AS NUM_REG_DIF FROM ("&amp;L275&amp;") A "</f>
        <v xml:space="preserve">SELECT 'Validação de campos' as tipologia_teste, 'lt002_instrument' AS TABELA, 'prjct_fnnc_ln' AS CAMPO, '2024-09-30' as ref_date, coalesce(NUM_REG_DIF, 0) AS NUM_REG_DIF FROM (SELECT count(*) AS NUM_REG_DIF FROM (SELECT instrmnt_id as instrmnt_id_, prjct_fnnc_ln as prjct_fnnc_ln_as_is FROM cd_loan_tapes_bce.lt002_instrument WHERE ref_date='2024-09-30' AND nome_perimetro='Individual Corporativo' AND segmento='ESTR' AND ambito='PM' AND entidade='00100' ) A  Inner join (SELECT instrmnt_id as instrmnt_id_, prjct_fnnc_ln as prjct_fnnc_ln_to_be FROM bu_loantape_work.lt002_instrument WHERE ref_date='2024-09-30' AND nome_perimetro='Individual Corporativo' AND segmento='ESTR' AND ambito='PM' AND entidade='00100' ) B ON instrmnt_id_as_is=instrmnt_id_to_be WHERE coalesce(cast(prjct_fnnc_ln_as_is AS string),'')&lt;&gt;coalesce(cast(prjct_fnnc_ln_to_be AS string),'') ) A </v>
      </c>
      <c r="O275" s="76" t="str">
        <f t="shared" si="47"/>
        <v>SELECT 'Validação de campos' as tipologia_teste, 'lt002_instrument' AS TABELA, 'prjct_fnnc_ln' AS CAMPO, '2024-09-30' as ref_date, coalesce(NUM_REG_DIF, 0) AS NUM_REG_DIF FROM (SELECT count(*) AS NUM_REG_DIF FROM (SELECT instrmnt_id as instrmnt_id_, prjct_fnnc_ln as prjct_fnnc_ln_as_is FROM cd_loan_tapes_bce.lt002_instrument WHERE ref_date='2024-09-30' AND nome_perimetro='Individual Corporativo' AND segmento='ESTR' AND ambito='PM' AND entidade='00100' ) A  Inner join (SELECT instrmnt_id as instrmnt_id_, prjct_fnnc_ln as prjct_fnnc_ln_to_be FROM bu_loantape_work.lt002_instrument WHERE ref_date='2024-09-30' AND nome_perimetro='Individual Corporativo' AND segmento='ESTR' AND ambito='PM' AND entidade='00100' ) B ON instrmnt_id_as_is=instrmnt_id_to_be WHERE coalesce(cast(prjct_fnnc_ln_as_is AS string),'')&lt;&gt;coalesce(cast(prjct_fnnc_ln_to_be AS string),'') ) A Union all</v>
      </c>
      <c r="P275" s="75">
        <f t="shared" si="48"/>
        <v>12</v>
      </c>
    </row>
    <row r="276" spans="2:16" s="63" customFormat="1" ht="18" customHeight="1">
      <c r="B276" s="75" t="s">
        <v>26</v>
      </c>
      <c r="C276" s="75" t="str">
        <f>_xlfn.CONCAT(Instruções!$D$13,".",VLOOKUP(B276,Instruções!$F$12:$H$17,2,0))</f>
        <v>cd_loan_tapes_bce.lt002_instrument</v>
      </c>
      <c r="D276" s="75" t="str">
        <f>_xlfn.CONCAT(Instruções!$D$14,".",VLOOKUP(B276,Instruções!$F$12:$H$17,3,0))</f>
        <v>bu_loantape_work.lt002_instrument</v>
      </c>
      <c r="E276" s="75" t="s">
        <v>306</v>
      </c>
      <c r="F276" s="75" t="str">
        <f t="shared" si="43"/>
        <v>prmry_asst_clssf_as_is</v>
      </c>
      <c r="G276" s="75" t="str">
        <f t="shared" si="44"/>
        <v>prmry_asst_clssf_to_be</v>
      </c>
      <c r="H276" s="75" t="str">
        <f>IF(VLOOKUP(B276,Instruções!$F$13:$J$17,5,0)="",
"(SELECT "&amp;VLOOKUP(B276,Instruções!$F$13:$J$17,4,0)&amp;" as "&amp;VLOOKUP(B276,Instruções!$F$13:$J$17,4,0)&amp;"_"&amp;$F$2&amp;", "&amp;E276&amp;" as "&amp;F276&amp;" FROM "&amp;C276&amp;" WHERE "&amp;Instruções!$D$20&amp;") A ",
"(SELECT "&amp;VLOOKUP(B276,Instruções!$F$13:$J$17,4,0)&amp;" as "&amp;VLOOKUP(B276,Instruções!$F$13:$J$17,4,0)&amp;"_"&amp;$F$2&amp;", "&amp;VLOOKUP(B276,Instruções!$F$13:$J$17,5,0)&amp;" as "&amp;VLOOKUP(B276,Instruções!$F$13:$J$17,5,0)&amp;"_"&amp;$F$2&amp;","&amp;E276&amp;" as "&amp;F276&amp;" FROM "&amp;C276&amp;" WHERE "&amp;Instruções!$D$20&amp;") A ")</f>
        <v xml:space="preserve">(SELECT instrmnt_id as instrmnt_id_, prmry_asst_clssf as prmry_asst_clssf_as_is FROM cd_loan_tapes_bce.lt002_instrument WHERE ref_date='2024-09-30' AND nome_perimetro='Individual Corporativo' AND segmento='ESTR' AND ambito='PM' AND entidade='00100' ) A </v>
      </c>
      <c r="I276" s="75" t="str">
        <f>IF(VLOOKUP(B276,Instruções!$F$13:$J$17,5,0)="",
"(SELECT "&amp;VLOOKUP(B276,Instruções!$F$13:$J$17,4,0)&amp;" as "&amp;VLOOKUP(B276,Instruções!$F$13:$J$17,4,0)&amp;"_"&amp;$G$2&amp;", "&amp;E276&amp;" as "&amp;G276&amp;" FROM "&amp;D276&amp;" WHERE "&amp;Instruções!$D$21&amp;") B ",
"(SELECT "&amp;VLOOKUP(B276,Instruções!$F$13:$J$17,4,0)&amp;" as "&amp;VLOOKUP(B276,Instruções!$F$13:$J$17,4,0)&amp;"_"&amp;$G$2&amp;", "&amp;VLOOKUP(B276,Instruções!$F$13:$J$17,5,0)&amp;" as "&amp;VLOOKUP(B276,Instruções!$F$13:$J$17,5,0)&amp;"_"&amp;$G$2&amp;","&amp;E276&amp;" as "&amp;G276&amp;" FROM "&amp;D276&amp;" WHERE "&amp;Instruções!$D$21&amp;") B ")</f>
        <v xml:space="preserve">(SELECT instrmnt_id as instrmnt_id_, prmry_asst_clssf as prmry_asst_clssf_to_be FROM bu_loantape_work.lt002_instrument WHERE ref_date='2024-09-30' AND nome_perimetro='Individual Corporativo' AND segmento='ESTR' AND ambito='PM' AND entidade='00100' ) B </v>
      </c>
      <c r="J276" s="75" t="str">
        <f>+IF(VLOOKUP(B276,Instruções!$F$13:$J$17,5,0)="", "ON "&amp;VLOOKUP(B276,Instruções!$F$13:$J$17,4,0)&amp;"_"&amp;$F$7&amp;"="&amp;VLOOKUP(B276,Instruções!$F$13:$J$17,4,0)&amp;"_"&amp;$G$7&amp;" ", "ON "&amp;VLOOKUP(B276,Instruções!$F$13:$J$17,4,0)&amp;"_"&amp;$F$7&amp;"="&amp;VLOOKUP(B276,Instruções!$F$13:$J$17,4,0)&amp;"_"&amp;$G$7&amp;" AND "&amp;VLOOKUP(B276,Instruções!$F$13:$J$17,5,0)&amp;"_"&amp;$F$7&amp;"="&amp;VLOOKUP(B276,Instruções!$F$13:$J$17,5,0)&amp;"_"&amp;$G$7&amp;" ")</f>
        <v xml:space="preserve">ON instrmnt_id_as_is=instrmnt_id_to_be </v>
      </c>
      <c r="K276" s="75" t="str">
        <f t="shared" si="45"/>
        <v xml:space="preserve">WHERE coalesce(cast(prmry_asst_clssf_as_is AS string),'')&lt;&gt;coalesce(cast(prmry_asst_clssf_to_be AS string),'') </v>
      </c>
      <c r="L276" s="75" t="str">
        <f t="shared" si="46"/>
        <v xml:space="preserve">SELECT count(*) AS NUM_REG_DIF FROM (SELECT instrmnt_id as instrmnt_id_, prmry_asst_clssf as prmry_asst_clssf_as_is FROM cd_loan_tapes_bce.lt002_instrument WHERE ref_date='2024-09-30' AND nome_perimetro='Individual Corporativo' AND segmento='ESTR' AND ambito='PM' AND entidade='00100' ) A  Inner join (SELECT instrmnt_id as instrmnt_id_, prmry_asst_clssf as prmry_asst_clssf_to_be FROM bu_loantape_work.lt002_instrument WHERE ref_date='2024-09-30' AND nome_perimetro='Individual Corporativo' AND segmento='ESTR' AND ambito='PM' AND entidade='00100' ) B ON instrmnt_id_as_is=instrmnt_id_to_be WHERE coalesce(cast(prmry_asst_clssf_as_is AS string),'')&lt;&gt;coalesce(cast(prmry_asst_clssf_to_be AS string),'') </v>
      </c>
      <c r="M276" s="75" t="s">
        <v>55</v>
      </c>
      <c r="N276" s="75" t="str">
        <f>"SELECT 'Validação de campos' as tipologia_teste, '"&amp;VLOOKUP(B276,Instruções!$F$13:$J$17,3,0)&amp;"' AS TABELA, '"&amp;E276&amp;"' AS CAMPO, '"&amp;Instruções!$D$15&amp;"' as ref_date, coalesce(NUM_REG_DIF, 0) AS NUM_REG_DIF FROM ("&amp;L276&amp;") A "</f>
        <v xml:space="preserve">SELECT 'Validação de campos' as tipologia_teste, 'lt002_instrument' AS TABELA, 'prmry_asst_clssf' AS CAMPO, '2024-09-30' as ref_date, coalesce(NUM_REG_DIF, 0) AS NUM_REG_DIF FROM (SELECT count(*) AS NUM_REG_DIF FROM (SELECT instrmnt_id as instrmnt_id_, prmry_asst_clssf as prmry_asst_clssf_as_is FROM cd_loan_tapes_bce.lt002_instrument WHERE ref_date='2024-09-30' AND nome_perimetro='Individual Corporativo' AND segmento='ESTR' AND ambito='PM' AND entidade='00100' ) A  Inner join (SELECT instrmnt_id as instrmnt_id_, prmry_asst_clssf as prmry_asst_clssf_to_be FROM bu_loantape_work.lt002_instrument WHERE ref_date='2024-09-30' AND nome_perimetro='Individual Corporativo' AND segmento='ESTR' AND ambito='PM' AND entidade='00100' ) B ON instrmnt_id_as_is=instrmnt_id_to_be WHERE coalesce(cast(prmry_asst_clssf_as_is AS string),'')&lt;&gt;coalesce(cast(prmry_asst_clssf_to_be AS string),'') ) A </v>
      </c>
      <c r="O276" s="76" t="str">
        <f t="shared" si="47"/>
        <v>SELECT 'Validação de campos' as tipologia_teste, 'lt002_instrument' AS TABELA, 'prmry_asst_clssf' AS CAMPO, '2024-09-30' as ref_date, coalesce(NUM_REG_DIF, 0) AS NUM_REG_DIF FROM (SELECT count(*) AS NUM_REG_DIF FROM (SELECT instrmnt_id as instrmnt_id_, prmry_asst_clssf as prmry_asst_clssf_as_is FROM cd_loan_tapes_bce.lt002_instrument WHERE ref_date='2024-09-30' AND nome_perimetro='Individual Corporativo' AND segmento='ESTR' AND ambito='PM' AND entidade='00100' ) A  Inner join (SELECT instrmnt_id as instrmnt_id_, prmry_asst_clssf as prmry_asst_clssf_to_be FROM bu_loantape_work.lt002_instrument WHERE ref_date='2024-09-30' AND nome_perimetro='Individual Corporativo' AND segmento='ESTR' AND ambito='PM' AND entidade='00100' ) B ON instrmnt_id_as_is=instrmnt_id_to_be WHERE coalesce(cast(prmry_asst_clssf_as_is AS string),'')&lt;&gt;coalesce(cast(prmry_asst_clssf_to_be AS string),'') ) A Union all</v>
      </c>
      <c r="P276" s="75">
        <f t="shared" si="48"/>
        <v>13</v>
      </c>
    </row>
    <row r="277" spans="2:16" s="63" customFormat="1" ht="18" customHeight="1">
      <c r="B277" s="75" t="s">
        <v>26</v>
      </c>
      <c r="C277" s="75" t="str">
        <f>_xlfn.CONCAT(Instruções!$D$13,".",VLOOKUP(B277,Instruções!$F$12:$H$17,2,0))</f>
        <v>cd_loan_tapes_bce.lt002_instrument</v>
      </c>
      <c r="D277" s="75" t="str">
        <f>_xlfn.CONCAT(Instruções!$D$14,".",VLOOKUP(B277,Instruções!$F$12:$H$17,3,0))</f>
        <v>bu_loantape_work.lt002_instrument</v>
      </c>
      <c r="E277" s="75" t="s">
        <v>307</v>
      </c>
      <c r="F277" s="75" t="str">
        <f t="shared" si="43"/>
        <v>prps_as_is</v>
      </c>
      <c r="G277" s="75" t="str">
        <f t="shared" si="44"/>
        <v>prps_to_be</v>
      </c>
      <c r="H277" s="75" t="str">
        <f>IF(VLOOKUP(B277,Instruções!$F$13:$J$17,5,0)="",
"(SELECT "&amp;VLOOKUP(B277,Instruções!$F$13:$J$17,4,0)&amp;" as "&amp;VLOOKUP(B277,Instruções!$F$13:$J$17,4,0)&amp;"_"&amp;$F$2&amp;", "&amp;E277&amp;" as "&amp;F277&amp;" FROM "&amp;C277&amp;" WHERE "&amp;Instruções!$D$20&amp;") A ",
"(SELECT "&amp;VLOOKUP(B277,Instruções!$F$13:$J$17,4,0)&amp;" as "&amp;VLOOKUP(B277,Instruções!$F$13:$J$17,4,0)&amp;"_"&amp;$F$2&amp;", "&amp;VLOOKUP(B277,Instruções!$F$13:$J$17,5,0)&amp;" as "&amp;VLOOKUP(B277,Instruções!$F$13:$J$17,5,0)&amp;"_"&amp;$F$2&amp;","&amp;E277&amp;" as "&amp;F277&amp;" FROM "&amp;C277&amp;" WHERE "&amp;Instruções!$D$20&amp;") A ")</f>
        <v xml:space="preserve">(SELECT instrmnt_id as instrmnt_id_, prps as prps_as_is FROM cd_loan_tapes_bce.lt002_instrument WHERE ref_date='2024-09-30' AND nome_perimetro='Individual Corporativo' AND segmento='ESTR' AND ambito='PM' AND entidade='00100' ) A </v>
      </c>
      <c r="I277" s="75" t="str">
        <f>IF(VLOOKUP(B277,Instruções!$F$13:$J$17,5,0)="",
"(SELECT "&amp;VLOOKUP(B277,Instruções!$F$13:$J$17,4,0)&amp;" as "&amp;VLOOKUP(B277,Instruções!$F$13:$J$17,4,0)&amp;"_"&amp;$G$2&amp;", "&amp;E277&amp;" as "&amp;G277&amp;" FROM "&amp;D277&amp;" WHERE "&amp;Instruções!$D$21&amp;") B ",
"(SELECT "&amp;VLOOKUP(B277,Instruções!$F$13:$J$17,4,0)&amp;" as "&amp;VLOOKUP(B277,Instruções!$F$13:$J$17,4,0)&amp;"_"&amp;$G$2&amp;", "&amp;VLOOKUP(B277,Instruções!$F$13:$J$17,5,0)&amp;" as "&amp;VLOOKUP(B277,Instruções!$F$13:$J$17,5,0)&amp;"_"&amp;$G$2&amp;","&amp;E277&amp;" as "&amp;G277&amp;" FROM "&amp;D277&amp;" WHERE "&amp;Instruções!$D$21&amp;") B ")</f>
        <v xml:space="preserve">(SELECT instrmnt_id as instrmnt_id_, prps as prps_to_be FROM bu_loantape_work.lt002_instrument WHERE ref_date='2024-09-30' AND nome_perimetro='Individual Corporativo' AND segmento='ESTR' AND ambito='PM' AND entidade='00100' ) B </v>
      </c>
      <c r="J277" s="75" t="str">
        <f>+IF(VLOOKUP(B277,Instruções!$F$13:$J$17,5,0)="", "ON "&amp;VLOOKUP(B277,Instruções!$F$13:$J$17,4,0)&amp;"_"&amp;$F$7&amp;"="&amp;VLOOKUP(B277,Instruções!$F$13:$J$17,4,0)&amp;"_"&amp;$G$7&amp;" ", "ON "&amp;VLOOKUP(B277,Instruções!$F$13:$J$17,4,0)&amp;"_"&amp;$F$7&amp;"="&amp;VLOOKUP(B277,Instruções!$F$13:$J$17,4,0)&amp;"_"&amp;$G$7&amp;" AND "&amp;VLOOKUP(B277,Instruções!$F$13:$J$17,5,0)&amp;"_"&amp;$F$7&amp;"="&amp;VLOOKUP(B277,Instruções!$F$13:$J$17,5,0)&amp;"_"&amp;$G$7&amp;" ")</f>
        <v xml:space="preserve">ON instrmnt_id_as_is=instrmnt_id_to_be </v>
      </c>
      <c r="K277" s="75" t="str">
        <f t="shared" si="45"/>
        <v xml:space="preserve">WHERE coalesce(cast(prps_as_is AS string),'')&lt;&gt;coalesce(cast(prps_to_be AS string),'') </v>
      </c>
      <c r="L277" s="75" t="str">
        <f t="shared" si="46"/>
        <v xml:space="preserve">SELECT count(*) AS NUM_REG_DIF FROM (SELECT instrmnt_id as instrmnt_id_, prps as prps_as_is FROM cd_loan_tapes_bce.lt002_instrument WHERE ref_date='2024-09-30' AND nome_perimetro='Individual Corporativo' AND segmento='ESTR' AND ambito='PM' AND entidade='00100' ) A  Inner join (SELECT instrmnt_id as instrmnt_id_, prps as prps_to_be FROM bu_loantape_work.lt002_instrument WHERE ref_date='2024-09-30' AND nome_perimetro='Individual Corporativo' AND segmento='ESTR' AND ambito='PM' AND entidade='00100' ) B ON instrmnt_id_as_is=instrmnt_id_to_be WHERE coalesce(cast(prps_as_is AS string),'')&lt;&gt;coalesce(cast(prps_to_be AS string),'') </v>
      </c>
      <c r="M277" s="75" t="s">
        <v>55</v>
      </c>
      <c r="N277" s="75" t="str">
        <f>"SELECT 'Validação de campos' as tipologia_teste, '"&amp;VLOOKUP(B277,Instruções!$F$13:$J$17,3,0)&amp;"' AS TABELA, '"&amp;E277&amp;"' AS CAMPO, '"&amp;Instruções!$D$15&amp;"' as ref_date, coalesce(NUM_REG_DIF, 0) AS NUM_REG_DIF FROM ("&amp;L277&amp;") A "</f>
        <v xml:space="preserve">SELECT 'Validação de campos' as tipologia_teste, 'lt002_instrument' AS TABELA, 'prps' AS CAMPO, '2024-09-30' as ref_date, coalesce(NUM_REG_DIF, 0) AS NUM_REG_DIF FROM (SELECT count(*) AS NUM_REG_DIF FROM (SELECT instrmnt_id as instrmnt_id_, prps as prps_as_is FROM cd_loan_tapes_bce.lt002_instrument WHERE ref_date='2024-09-30' AND nome_perimetro='Individual Corporativo' AND segmento='ESTR' AND ambito='PM' AND entidade='00100' ) A  Inner join (SELECT instrmnt_id as instrmnt_id_, prps as prps_to_be FROM bu_loantape_work.lt002_instrument WHERE ref_date='2024-09-30' AND nome_perimetro='Individual Corporativo' AND segmento='ESTR' AND ambito='PM' AND entidade='00100' ) B ON instrmnt_id_as_is=instrmnt_id_to_be WHERE coalesce(cast(prps_as_is AS string),'')&lt;&gt;coalesce(cast(prps_to_be AS string),'') ) A </v>
      </c>
      <c r="O277" s="76" t="str">
        <f t="shared" si="47"/>
        <v>SELECT 'Validação de campos' as tipologia_teste, 'lt002_instrument' AS TABELA, 'prps' AS CAMPO, '2024-09-30' as ref_date, coalesce(NUM_REG_DIF, 0) AS NUM_REG_DIF FROM (SELECT count(*) AS NUM_REG_DIF FROM (SELECT instrmnt_id as instrmnt_id_, prps as prps_as_is FROM cd_loan_tapes_bce.lt002_instrument WHERE ref_date='2024-09-30' AND nome_perimetro='Individual Corporativo' AND segmento='ESTR' AND ambito='PM' AND entidade='00100' ) A  Inner join (SELECT instrmnt_id as instrmnt_id_, prps as prps_to_be FROM bu_loantape_work.lt002_instrument WHERE ref_date='2024-09-30' AND nome_perimetro='Individual Corporativo' AND segmento='ESTR' AND ambito='PM' AND entidade='00100' ) B ON instrmnt_id_as_is=instrmnt_id_to_be WHERE coalesce(cast(prps_as_is AS string),'')&lt;&gt;coalesce(cast(prps_to_be AS string),'') ) A Union all</v>
      </c>
      <c r="P277" s="75">
        <f t="shared" si="48"/>
        <v>14</v>
      </c>
    </row>
    <row r="278" spans="2:16" s="63" customFormat="1" ht="18" customHeight="1">
      <c r="B278" s="75" t="s">
        <v>26</v>
      </c>
      <c r="C278" s="75" t="str">
        <f>_xlfn.CONCAT(Instruções!$D$13,".",VLOOKUP(B278,Instruções!$F$12:$H$17,2,0))</f>
        <v>cd_loan_tapes_bce.lt002_instrument</v>
      </c>
      <c r="D278" s="75" t="str">
        <f>_xlfn.CONCAT(Instruções!$D$14,".",VLOOKUP(B278,Instruções!$F$12:$H$17,3,0))</f>
        <v>bu_loantape_work.lt002_instrument</v>
      </c>
      <c r="E278" s="75" t="s">
        <v>308</v>
      </c>
      <c r="F278" s="75" t="str">
        <f t="shared" si="43"/>
        <v>prt_lcr_bffr_as_is</v>
      </c>
      <c r="G278" s="75" t="str">
        <f t="shared" si="44"/>
        <v>prt_lcr_bffr_to_be</v>
      </c>
      <c r="H278" s="75" t="str">
        <f>IF(VLOOKUP(B278,Instruções!$F$13:$J$17,5,0)="",
"(SELECT "&amp;VLOOKUP(B278,Instruções!$F$13:$J$17,4,0)&amp;" as "&amp;VLOOKUP(B278,Instruções!$F$13:$J$17,4,0)&amp;"_"&amp;$F$2&amp;", "&amp;E278&amp;" as "&amp;F278&amp;" FROM "&amp;C278&amp;" WHERE "&amp;Instruções!$D$20&amp;") A ",
"(SELECT "&amp;VLOOKUP(B278,Instruções!$F$13:$J$17,4,0)&amp;" as "&amp;VLOOKUP(B278,Instruções!$F$13:$J$17,4,0)&amp;"_"&amp;$F$2&amp;", "&amp;VLOOKUP(B278,Instruções!$F$13:$J$17,5,0)&amp;" as "&amp;VLOOKUP(B278,Instruções!$F$13:$J$17,5,0)&amp;"_"&amp;$F$2&amp;","&amp;E278&amp;" as "&amp;F278&amp;" FROM "&amp;C278&amp;" WHERE "&amp;Instruções!$D$20&amp;") A ")</f>
        <v xml:space="preserve">(SELECT instrmnt_id as instrmnt_id_, prt_lcr_bffr as prt_lcr_bffr_as_is FROM cd_loan_tapes_bce.lt002_instrument WHERE ref_date='2024-09-30' AND nome_perimetro='Individual Corporativo' AND segmento='ESTR' AND ambito='PM' AND entidade='00100' ) A </v>
      </c>
      <c r="I278" s="75" t="str">
        <f>IF(VLOOKUP(B278,Instruções!$F$13:$J$17,5,0)="",
"(SELECT "&amp;VLOOKUP(B278,Instruções!$F$13:$J$17,4,0)&amp;" as "&amp;VLOOKUP(B278,Instruções!$F$13:$J$17,4,0)&amp;"_"&amp;$G$2&amp;", "&amp;E278&amp;" as "&amp;G278&amp;" FROM "&amp;D278&amp;" WHERE "&amp;Instruções!$D$21&amp;") B ",
"(SELECT "&amp;VLOOKUP(B278,Instruções!$F$13:$J$17,4,0)&amp;" as "&amp;VLOOKUP(B278,Instruções!$F$13:$J$17,4,0)&amp;"_"&amp;$G$2&amp;", "&amp;VLOOKUP(B278,Instruções!$F$13:$J$17,5,0)&amp;" as "&amp;VLOOKUP(B278,Instruções!$F$13:$J$17,5,0)&amp;"_"&amp;$G$2&amp;","&amp;E278&amp;" as "&amp;G278&amp;" FROM "&amp;D278&amp;" WHERE "&amp;Instruções!$D$21&amp;") B ")</f>
        <v xml:space="preserve">(SELECT instrmnt_id as instrmnt_id_, prt_lcr_bffr as prt_lcr_bffr_to_be FROM bu_loantape_work.lt002_instrument WHERE ref_date='2024-09-30' AND nome_perimetro='Individual Corporativo' AND segmento='ESTR' AND ambito='PM' AND entidade='00100' ) B </v>
      </c>
      <c r="J278" s="75" t="str">
        <f>+IF(VLOOKUP(B278,Instruções!$F$13:$J$17,5,0)="", "ON "&amp;VLOOKUP(B278,Instruções!$F$13:$J$17,4,0)&amp;"_"&amp;$F$7&amp;"="&amp;VLOOKUP(B278,Instruções!$F$13:$J$17,4,0)&amp;"_"&amp;$G$7&amp;" ", "ON "&amp;VLOOKUP(B278,Instruções!$F$13:$J$17,4,0)&amp;"_"&amp;$F$7&amp;"="&amp;VLOOKUP(B278,Instruções!$F$13:$J$17,4,0)&amp;"_"&amp;$G$7&amp;" AND "&amp;VLOOKUP(B278,Instruções!$F$13:$J$17,5,0)&amp;"_"&amp;$F$7&amp;"="&amp;VLOOKUP(B278,Instruções!$F$13:$J$17,5,0)&amp;"_"&amp;$G$7&amp;" ")</f>
        <v xml:space="preserve">ON instrmnt_id_as_is=instrmnt_id_to_be </v>
      </c>
      <c r="K278" s="75" t="str">
        <f t="shared" si="45"/>
        <v xml:space="preserve">WHERE coalesce(cast(prt_lcr_bffr_as_is AS string),'')&lt;&gt;coalesce(cast(prt_lcr_bffr_to_be AS string),'') </v>
      </c>
      <c r="L278" s="75" t="str">
        <f t="shared" si="46"/>
        <v xml:space="preserve">SELECT count(*) AS NUM_REG_DIF FROM (SELECT instrmnt_id as instrmnt_id_, prt_lcr_bffr as prt_lcr_bffr_as_is FROM cd_loan_tapes_bce.lt002_instrument WHERE ref_date='2024-09-30' AND nome_perimetro='Individual Corporativo' AND segmento='ESTR' AND ambito='PM' AND entidade='00100' ) A  Inner join (SELECT instrmnt_id as instrmnt_id_, prt_lcr_bffr as prt_lcr_bffr_to_be FROM bu_loantape_work.lt002_instrument WHERE ref_date='2024-09-30' AND nome_perimetro='Individual Corporativo' AND segmento='ESTR' AND ambito='PM' AND entidade='00100' ) B ON instrmnt_id_as_is=instrmnt_id_to_be WHERE coalesce(cast(prt_lcr_bffr_as_is AS string),'')&lt;&gt;coalesce(cast(prt_lcr_bffr_to_be AS string),'') </v>
      </c>
      <c r="M278" s="75" t="s">
        <v>55</v>
      </c>
      <c r="N278" s="75" t="str">
        <f>"SELECT 'Validação de campos' as tipologia_teste, '"&amp;VLOOKUP(B278,Instruções!$F$13:$J$17,3,0)&amp;"' AS TABELA, '"&amp;E278&amp;"' AS CAMPO, '"&amp;Instruções!$D$15&amp;"' as ref_date, coalesce(NUM_REG_DIF, 0) AS NUM_REG_DIF FROM ("&amp;L278&amp;") A "</f>
        <v xml:space="preserve">SELECT 'Validação de campos' as tipologia_teste, 'lt002_instrument' AS TABELA, 'prt_lcr_bffr' AS CAMPO, '2024-09-30' as ref_date, coalesce(NUM_REG_DIF, 0) AS NUM_REG_DIF FROM (SELECT count(*) AS NUM_REG_DIF FROM (SELECT instrmnt_id as instrmnt_id_, prt_lcr_bffr as prt_lcr_bffr_as_is FROM cd_loan_tapes_bce.lt002_instrument WHERE ref_date='2024-09-30' AND nome_perimetro='Individual Corporativo' AND segmento='ESTR' AND ambito='PM' AND entidade='00100' ) A  Inner join (SELECT instrmnt_id as instrmnt_id_, prt_lcr_bffr as prt_lcr_bffr_to_be FROM bu_loantape_work.lt002_instrument WHERE ref_date='2024-09-30' AND nome_perimetro='Individual Corporativo' AND segmento='ESTR' AND ambito='PM' AND entidade='00100' ) B ON instrmnt_id_as_is=instrmnt_id_to_be WHERE coalesce(cast(prt_lcr_bffr_as_is AS string),'')&lt;&gt;coalesce(cast(prt_lcr_bffr_to_be AS string),'') ) A </v>
      </c>
      <c r="O278" s="76" t="str">
        <f t="shared" si="47"/>
        <v>SELECT 'Validação de campos' as tipologia_teste, 'lt002_instrument' AS TABELA, 'prt_lcr_bffr' AS CAMPO, '2024-09-30' as ref_date, coalesce(NUM_REG_DIF, 0) AS NUM_REG_DIF FROM (SELECT count(*) AS NUM_REG_DIF FROM (SELECT instrmnt_id as instrmnt_id_, prt_lcr_bffr as prt_lcr_bffr_as_is FROM cd_loan_tapes_bce.lt002_instrument WHERE ref_date='2024-09-30' AND nome_perimetro='Individual Corporativo' AND segmento='ESTR' AND ambito='PM' AND entidade='00100' ) A  Inner join (SELECT instrmnt_id as instrmnt_id_, prt_lcr_bffr as prt_lcr_bffr_to_be FROM bu_loantape_work.lt002_instrument WHERE ref_date='2024-09-30' AND nome_perimetro='Individual Corporativo' AND segmento='ESTR' AND ambito='PM' AND entidade='00100' ) B ON instrmnt_id_as_is=instrmnt_id_to_be WHERE coalesce(cast(prt_lcr_bffr_as_is AS string),'')&lt;&gt;coalesce(cast(prt_lcr_bffr_to_be AS string),'') ) A Union all</v>
      </c>
      <c r="P278" s="75">
        <f t="shared" si="48"/>
        <v>15</v>
      </c>
    </row>
    <row r="279" spans="2:16" s="63" customFormat="1" ht="18" customHeight="1">
      <c r="B279" s="75" t="s">
        <v>26</v>
      </c>
      <c r="C279" s="75" t="str">
        <f>_xlfn.CONCAT(Instruções!$D$13,".",VLOOKUP(B279,Instruções!$F$12:$H$17,2,0))</f>
        <v>cd_loan_tapes_bce.lt002_instrument</v>
      </c>
      <c r="D279" s="75" t="str">
        <f>_xlfn.CONCAT(Instruções!$D$14,".",VLOOKUP(B279,Instruções!$F$12:$H$17,3,0))</f>
        <v>bu_loantape_work.lt002_instrument</v>
      </c>
      <c r="E279" s="75" t="s">
        <v>309</v>
      </c>
      <c r="F279" s="75" t="str">
        <f t="shared" si="43"/>
        <v>prvsns_off_blnc_sht_as_is</v>
      </c>
      <c r="G279" s="75" t="str">
        <f t="shared" si="44"/>
        <v>prvsns_off_blnc_sht_to_be</v>
      </c>
      <c r="H279" s="75" t="str">
        <f>IF(VLOOKUP(B279,Instruções!$F$13:$J$17,5,0)="",
"(SELECT "&amp;VLOOKUP(B279,Instruções!$F$13:$J$17,4,0)&amp;" as "&amp;VLOOKUP(B279,Instruções!$F$13:$J$17,4,0)&amp;"_"&amp;$F$2&amp;", "&amp;E279&amp;" as "&amp;F279&amp;" FROM "&amp;C279&amp;" WHERE "&amp;Instruções!$D$20&amp;") A ",
"(SELECT "&amp;VLOOKUP(B279,Instruções!$F$13:$J$17,4,0)&amp;" as "&amp;VLOOKUP(B279,Instruções!$F$13:$J$17,4,0)&amp;"_"&amp;$F$2&amp;", "&amp;VLOOKUP(B279,Instruções!$F$13:$J$17,5,0)&amp;" as "&amp;VLOOKUP(B279,Instruções!$F$13:$J$17,5,0)&amp;"_"&amp;$F$2&amp;","&amp;E279&amp;" as "&amp;F279&amp;" FROM "&amp;C279&amp;" WHERE "&amp;Instruções!$D$20&amp;") A ")</f>
        <v xml:space="preserve">(SELECT instrmnt_id as instrmnt_id_, prvsns_off_blnc_sht as prvsns_off_blnc_sht_as_is FROM cd_loan_tapes_bce.lt002_instrument WHERE ref_date='2024-09-30' AND nome_perimetro='Individual Corporativo' AND segmento='ESTR' AND ambito='PM' AND entidade='00100' ) A </v>
      </c>
      <c r="I279" s="75" t="str">
        <f>IF(VLOOKUP(B279,Instruções!$F$13:$J$17,5,0)="",
"(SELECT "&amp;VLOOKUP(B279,Instruções!$F$13:$J$17,4,0)&amp;" as "&amp;VLOOKUP(B279,Instruções!$F$13:$J$17,4,0)&amp;"_"&amp;$G$2&amp;", "&amp;E279&amp;" as "&amp;G279&amp;" FROM "&amp;D279&amp;" WHERE "&amp;Instruções!$D$21&amp;") B ",
"(SELECT "&amp;VLOOKUP(B279,Instruções!$F$13:$J$17,4,0)&amp;" as "&amp;VLOOKUP(B279,Instruções!$F$13:$J$17,4,0)&amp;"_"&amp;$G$2&amp;", "&amp;VLOOKUP(B279,Instruções!$F$13:$J$17,5,0)&amp;" as "&amp;VLOOKUP(B279,Instruções!$F$13:$J$17,5,0)&amp;"_"&amp;$G$2&amp;","&amp;E279&amp;" as "&amp;G279&amp;" FROM "&amp;D279&amp;" WHERE "&amp;Instruções!$D$21&amp;") B ")</f>
        <v xml:space="preserve">(SELECT instrmnt_id as instrmnt_id_, prvsns_off_blnc_sht as prvsns_off_blnc_sht_to_be FROM bu_loantape_work.lt002_instrument WHERE ref_date='2024-09-30' AND nome_perimetro='Individual Corporativo' AND segmento='ESTR' AND ambito='PM' AND entidade='00100' ) B </v>
      </c>
      <c r="J279" s="75" t="str">
        <f>+IF(VLOOKUP(B279,Instruções!$F$13:$J$17,5,0)="", "ON "&amp;VLOOKUP(B279,Instruções!$F$13:$J$17,4,0)&amp;"_"&amp;$F$7&amp;"="&amp;VLOOKUP(B279,Instruções!$F$13:$J$17,4,0)&amp;"_"&amp;$G$7&amp;" ", "ON "&amp;VLOOKUP(B279,Instruções!$F$13:$J$17,4,0)&amp;"_"&amp;$F$7&amp;"="&amp;VLOOKUP(B279,Instruções!$F$13:$J$17,4,0)&amp;"_"&amp;$G$7&amp;" AND "&amp;VLOOKUP(B279,Instruções!$F$13:$J$17,5,0)&amp;"_"&amp;$F$7&amp;"="&amp;VLOOKUP(B279,Instruções!$F$13:$J$17,5,0)&amp;"_"&amp;$G$7&amp;" ")</f>
        <v xml:space="preserve">ON instrmnt_id_as_is=instrmnt_id_to_be </v>
      </c>
      <c r="K279" s="75" t="str">
        <f t="shared" si="45"/>
        <v xml:space="preserve">WHERE coalesce(cast(prvsns_off_blnc_sht_as_is AS string),'')&lt;&gt;coalesce(cast(prvsns_off_blnc_sht_to_be AS string),'') </v>
      </c>
      <c r="L279" s="75" t="str">
        <f t="shared" si="46"/>
        <v xml:space="preserve">SELECT count(*) AS NUM_REG_DIF FROM (SELECT instrmnt_id as instrmnt_id_, prvsns_off_blnc_sht as prvsns_off_blnc_sht_as_is FROM cd_loan_tapes_bce.lt002_instrument WHERE ref_date='2024-09-30' AND nome_perimetro='Individual Corporativo' AND segmento='ESTR' AND ambito='PM' AND entidade='00100' ) A  Inner join (SELECT instrmnt_id as instrmnt_id_, prvsns_off_blnc_sht as prvsns_off_blnc_sht_to_be FROM bu_loantape_work.lt002_instrument WHERE ref_date='2024-09-30' AND nome_perimetro='Individual Corporativo' AND segmento='ESTR' AND ambito='PM' AND entidade='00100' ) B ON instrmnt_id_as_is=instrmnt_id_to_be WHERE coalesce(cast(prvsns_off_blnc_sht_as_is AS string),'')&lt;&gt;coalesce(cast(prvsns_off_blnc_sht_to_be AS string),'') </v>
      </c>
      <c r="M279" s="75" t="s">
        <v>55</v>
      </c>
      <c r="N279" s="75" t="str">
        <f>"SELECT 'Validação de campos' as tipologia_teste, '"&amp;VLOOKUP(B279,Instruções!$F$13:$J$17,3,0)&amp;"' AS TABELA, '"&amp;E279&amp;"' AS CAMPO, '"&amp;Instruções!$D$15&amp;"' as ref_date, coalesce(NUM_REG_DIF, 0) AS NUM_REG_DIF FROM ("&amp;L279&amp;") A "</f>
        <v xml:space="preserve">SELECT 'Validação de campos' as tipologia_teste, 'lt002_instrument' AS TABELA, 'prvsns_off_blnc_sht' AS CAMPO, '2024-09-30' as ref_date, coalesce(NUM_REG_DIF, 0) AS NUM_REG_DIF FROM (SELECT count(*) AS NUM_REG_DIF FROM (SELECT instrmnt_id as instrmnt_id_, prvsns_off_blnc_sht as prvsns_off_blnc_sht_as_is FROM cd_loan_tapes_bce.lt002_instrument WHERE ref_date='2024-09-30' AND nome_perimetro='Individual Corporativo' AND segmento='ESTR' AND ambito='PM' AND entidade='00100' ) A  Inner join (SELECT instrmnt_id as instrmnt_id_, prvsns_off_blnc_sht as prvsns_off_blnc_sht_to_be FROM bu_loantape_work.lt002_instrument WHERE ref_date='2024-09-30' AND nome_perimetro='Individual Corporativo' AND segmento='ESTR' AND ambito='PM' AND entidade='00100' ) B ON instrmnt_id_as_is=instrmnt_id_to_be WHERE coalesce(cast(prvsns_off_blnc_sht_as_is AS string),'')&lt;&gt;coalesce(cast(prvsns_off_blnc_sht_to_be AS string),'') ) A </v>
      </c>
      <c r="O279" s="76" t="str">
        <f t="shared" si="47"/>
        <v>SELECT 'Validação de campos' as tipologia_teste, 'lt002_instrument' AS TABELA, 'prvsns_off_blnc_sht' AS CAMPO, '2024-09-30' as ref_date, coalesce(NUM_REG_DIF, 0) AS NUM_REG_DIF FROM (SELECT count(*) AS NUM_REG_DIF FROM (SELECT instrmnt_id as instrmnt_id_, prvsns_off_blnc_sht as prvsns_off_blnc_sht_as_is FROM cd_loan_tapes_bce.lt002_instrument WHERE ref_date='2024-09-30' AND nome_perimetro='Individual Corporativo' AND segmento='ESTR' AND ambito='PM' AND entidade='00100' ) A  Inner join (SELECT instrmnt_id as instrmnt_id_, prvsns_off_blnc_sht as prvsns_off_blnc_sht_to_be FROM bu_loantape_work.lt002_instrument WHERE ref_date='2024-09-30' AND nome_perimetro='Individual Corporativo' AND segmento='ESTR' AND ambito='PM' AND entidade='00100' ) B ON instrmnt_id_as_is=instrmnt_id_to_be WHERE coalesce(cast(prvsns_off_blnc_sht_as_is AS string),'')&lt;&gt;coalesce(cast(prvsns_off_blnc_sht_to_be AS string),'') ) A Union all</v>
      </c>
      <c r="P279" s="75">
        <f t="shared" si="48"/>
        <v>16</v>
      </c>
    </row>
    <row r="280" spans="2:16" s="63" customFormat="1" ht="18" customHeight="1">
      <c r="B280" s="75" t="s">
        <v>26</v>
      </c>
      <c r="C280" s="75" t="str">
        <f>_xlfn.CONCAT(Instruções!$D$13,".",VLOOKUP(B280,Instruções!$F$12:$H$17,2,0))</f>
        <v>cd_loan_tapes_bce.lt002_instrument</v>
      </c>
      <c r="D280" s="75" t="str">
        <f>_xlfn.CONCAT(Instruções!$D$14,".",VLOOKUP(B280,Instruções!$F$12:$H$17,3,0))</f>
        <v>bu_loantape_work.lt002_instrument</v>
      </c>
      <c r="E280" s="75" t="s">
        <v>310</v>
      </c>
      <c r="F280" s="75" t="str">
        <f t="shared" si="43"/>
        <v>pymnt_frqncy_as_is</v>
      </c>
      <c r="G280" s="75" t="str">
        <f t="shared" si="44"/>
        <v>pymnt_frqncy_to_be</v>
      </c>
      <c r="H280" s="75" t="str">
        <f>IF(VLOOKUP(B280,Instruções!$F$13:$J$17,5,0)="",
"(SELECT "&amp;VLOOKUP(B280,Instruções!$F$13:$J$17,4,0)&amp;" as "&amp;VLOOKUP(B280,Instruções!$F$13:$J$17,4,0)&amp;"_"&amp;$F$2&amp;", "&amp;E280&amp;" as "&amp;F280&amp;" FROM "&amp;C280&amp;" WHERE "&amp;Instruções!$D$20&amp;") A ",
"(SELECT "&amp;VLOOKUP(B280,Instruções!$F$13:$J$17,4,0)&amp;" as "&amp;VLOOKUP(B280,Instruções!$F$13:$J$17,4,0)&amp;"_"&amp;$F$2&amp;", "&amp;VLOOKUP(B280,Instruções!$F$13:$J$17,5,0)&amp;" as "&amp;VLOOKUP(B280,Instruções!$F$13:$J$17,5,0)&amp;"_"&amp;$F$2&amp;","&amp;E280&amp;" as "&amp;F280&amp;" FROM "&amp;C280&amp;" WHERE "&amp;Instruções!$D$20&amp;") A ")</f>
        <v xml:space="preserve">(SELECT instrmnt_id as instrmnt_id_, pymnt_frqncy as pymnt_frqncy_as_is FROM cd_loan_tapes_bce.lt002_instrument WHERE ref_date='2024-09-30' AND nome_perimetro='Individual Corporativo' AND segmento='ESTR' AND ambito='PM' AND entidade='00100' ) A </v>
      </c>
      <c r="I280" s="75" t="str">
        <f>IF(VLOOKUP(B280,Instruções!$F$13:$J$17,5,0)="",
"(SELECT "&amp;VLOOKUP(B280,Instruções!$F$13:$J$17,4,0)&amp;" as "&amp;VLOOKUP(B280,Instruções!$F$13:$J$17,4,0)&amp;"_"&amp;$G$2&amp;", "&amp;E280&amp;" as "&amp;G280&amp;" FROM "&amp;D280&amp;" WHERE "&amp;Instruções!$D$21&amp;") B ",
"(SELECT "&amp;VLOOKUP(B280,Instruções!$F$13:$J$17,4,0)&amp;" as "&amp;VLOOKUP(B280,Instruções!$F$13:$J$17,4,0)&amp;"_"&amp;$G$2&amp;", "&amp;VLOOKUP(B280,Instruções!$F$13:$J$17,5,0)&amp;" as "&amp;VLOOKUP(B280,Instruções!$F$13:$J$17,5,0)&amp;"_"&amp;$G$2&amp;","&amp;E280&amp;" as "&amp;G280&amp;" FROM "&amp;D280&amp;" WHERE "&amp;Instruções!$D$21&amp;") B ")</f>
        <v xml:space="preserve">(SELECT instrmnt_id as instrmnt_id_, pymnt_frqncy as pymnt_frqncy_to_be FROM bu_loantape_work.lt002_instrument WHERE ref_date='2024-09-30' AND nome_perimetro='Individual Corporativo' AND segmento='ESTR' AND ambito='PM' AND entidade='00100' ) B </v>
      </c>
      <c r="J280" s="75" t="str">
        <f>+IF(VLOOKUP(B280,Instruções!$F$13:$J$17,5,0)="", "ON "&amp;VLOOKUP(B280,Instruções!$F$13:$J$17,4,0)&amp;"_"&amp;$F$7&amp;"="&amp;VLOOKUP(B280,Instruções!$F$13:$J$17,4,0)&amp;"_"&amp;$G$7&amp;" ", "ON "&amp;VLOOKUP(B280,Instruções!$F$13:$J$17,4,0)&amp;"_"&amp;$F$7&amp;"="&amp;VLOOKUP(B280,Instruções!$F$13:$J$17,4,0)&amp;"_"&amp;$G$7&amp;" AND "&amp;VLOOKUP(B280,Instruções!$F$13:$J$17,5,0)&amp;"_"&amp;$F$7&amp;"="&amp;VLOOKUP(B280,Instruções!$F$13:$J$17,5,0)&amp;"_"&amp;$G$7&amp;" ")</f>
        <v xml:space="preserve">ON instrmnt_id_as_is=instrmnt_id_to_be </v>
      </c>
      <c r="K280" s="75" t="str">
        <f t="shared" si="45"/>
        <v xml:space="preserve">WHERE coalesce(cast(pymnt_frqncy_as_is AS string),'')&lt;&gt;coalesce(cast(pymnt_frqncy_to_be AS string),'') </v>
      </c>
      <c r="L280" s="75" t="str">
        <f t="shared" si="46"/>
        <v xml:space="preserve">SELECT count(*) AS NUM_REG_DIF FROM (SELECT instrmnt_id as instrmnt_id_, pymnt_frqncy as pymnt_frqncy_as_is FROM cd_loan_tapes_bce.lt002_instrument WHERE ref_date='2024-09-30' AND nome_perimetro='Individual Corporativo' AND segmento='ESTR' AND ambito='PM' AND entidade='00100' ) A  Inner join (SELECT instrmnt_id as instrmnt_id_, pymnt_frqncy as pymnt_frqncy_to_be FROM bu_loantape_work.lt002_instrument WHERE ref_date='2024-09-30' AND nome_perimetro='Individual Corporativo' AND segmento='ESTR' AND ambito='PM' AND entidade='00100' ) B ON instrmnt_id_as_is=instrmnt_id_to_be WHERE coalesce(cast(pymnt_frqncy_as_is AS string),'')&lt;&gt;coalesce(cast(pymnt_frqncy_to_be AS string),'') </v>
      </c>
      <c r="M280" s="75" t="s">
        <v>55</v>
      </c>
      <c r="N280" s="75" t="str">
        <f>"SELECT 'Validação de campos' as tipologia_teste, '"&amp;VLOOKUP(B280,Instruções!$F$13:$J$17,3,0)&amp;"' AS TABELA, '"&amp;E280&amp;"' AS CAMPO, '"&amp;Instruções!$D$15&amp;"' as ref_date, coalesce(NUM_REG_DIF, 0) AS NUM_REG_DIF FROM ("&amp;L280&amp;") A "</f>
        <v xml:space="preserve">SELECT 'Validação de campos' as tipologia_teste, 'lt002_instrument' AS TABELA, 'pymnt_frqncy' AS CAMPO, '2024-09-30' as ref_date, coalesce(NUM_REG_DIF, 0) AS NUM_REG_DIF FROM (SELECT count(*) AS NUM_REG_DIF FROM (SELECT instrmnt_id as instrmnt_id_, pymnt_frqncy as pymnt_frqncy_as_is FROM cd_loan_tapes_bce.lt002_instrument WHERE ref_date='2024-09-30' AND nome_perimetro='Individual Corporativo' AND segmento='ESTR' AND ambito='PM' AND entidade='00100' ) A  Inner join (SELECT instrmnt_id as instrmnt_id_, pymnt_frqncy as pymnt_frqncy_to_be FROM bu_loantape_work.lt002_instrument WHERE ref_date='2024-09-30' AND nome_perimetro='Individual Corporativo' AND segmento='ESTR' AND ambito='PM' AND entidade='00100' ) B ON instrmnt_id_as_is=instrmnt_id_to_be WHERE coalesce(cast(pymnt_frqncy_as_is AS string),'')&lt;&gt;coalesce(cast(pymnt_frqncy_to_be AS string),'') ) A </v>
      </c>
      <c r="O280" s="76" t="str">
        <f t="shared" si="47"/>
        <v>SELECT 'Validação de campos' as tipologia_teste, 'lt002_instrument' AS TABELA, 'pymnt_frqncy' AS CAMPO, '2024-09-30' as ref_date, coalesce(NUM_REG_DIF, 0) AS NUM_REG_DIF FROM (SELECT count(*) AS NUM_REG_DIF FROM (SELECT instrmnt_id as instrmnt_id_, pymnt_frqncy as pymnt_frqncy_as_is FROM cd_loan_tapes_bce.lt002_instrument WHERE ref_date='2024-09-30' AND nome_perimetro='Individual Corporativo' AND segmento='ESTR' AND ambito='PM' AND entidade='00100' ) A  Inner join (SELECT instrmnt_id as instrmnt_id_, pymnt_frqncy as pymnt_frqncy_to_be FROM bu_loantape_work.lt002_instrument WHERE ref_date='2024-09-30' AND nome_perimetro='Individual Corporativo' AND segmento='ESTR' AND ambito='PM' AND entidade='00100' ) B ON instrmnt_id_as_is=instrmnt_id_to_be WHERE coalesce(cast(pymnt_frqncy_as_is AS string),'')&lt;&gt;coalesce(cast(pymnt_frqncy_to_be AS string),'') ) A Union all</v>
      </c>
      <c r="P280" s="75">
        <f t="shared" si="48"/>
        <v>17</v>
      </c>
    </row>
    <row r="281" spans="2:16" s="63" customFormat="1" ht="18" customHeight="1">
      <c r="B281" s="75" t="s">
        <v>26</v>
      </c>
      <c r="C281" s="75" t="str">
        <f>_xlfn.CONCAT(Instruções!$D$13,".",VLOOKUP(B281,Instruções!$F$12:$H$17,2,0))</f>
        <v>cd_loan_tapes_bce.lt002_instrument</v>
      </c>
      <c r="D281" s="75" t="str">
        <f>_xlfn.CONCAT(Instruções!$D$14,".",VLOOKUP(B281,Instruções!$F$12:$H$17,3,0))</f>
        <v>bu_loantape_work.lt002_instrument</v>
      </c>
      <c r="E281" s="75" t="s">
        <v>311</v>
      </c>
      <c r="F281" s="75" t="str">
        <f t="shared" si="43"/>
        <v>pymnt_intrst_only_as_is</v>
      </c>
      <c r="G281" s="75" t="str">
        <f t="shared" si="44"/>
        <v>pymnt_intrst_only_to_be</v>
      </c>
      <c r="H281" s="75" t="str">
        <f>IF(VLOOKUP(B281,Instruções!$F$13:$J$17,5,0)="",
"(SELECT "&amp;VLOOKUP(B281,Instruções!$F$13:$J$17,4,0)&amp;" as "&amp;VLOOKUP(B281,Instruções!$F$13:$J$17,4,0)&amp;"_"&amp;$F$2&amp;", "&amp;E281&amp;" as "&amp;F281&amp;" FROM "&amp;C281&amp;" WHERE "&amp;Instruções!$D$20&amp;") A ",
"(SELECT "&amp;VLOOKUP(B281,Instruções!$F$13:$J$17,4,0)&amp;" as "&amp;VLOOKUP(B281,Instruções!$F$13:$J$17,4,0)&amp;"_"&amp;$F$2&amp;", "&amp;VLOOKUP(B281,Instruções!$F$13:$J$17,5,0)&amp;" as "&amp;VLOOKUP(B281,Instruções!$F$13:$J$17,5,0)&amp;"_"&amp;$F$2&amp;","&amp;E281&amp;" as "&amp;F281&amp;" FROM "&amp;C281&amp;" WHERE "&amp;Instruções!$D$20&amp;") A ")</f>
        <v xml:space="preserve">(SELECT instrmnt_id as instrmnt_id_, pymnt_intrst_only as pymnt_intrst_only_as_is FROM cd_loan_tapes_bce.lt002_instrument WHERE ref_date='2024-09-30' AND nome_perimetro='Individual Corporativo' AND segmento='ESTR' AND ambito='PM' AND entidade='00100' ) A </v>
      </c>
      <c r="I281" s="75" t="str">
        <f>IF(VLOOKUP(B281,Instruções!$F$13:$J$17,5,0)="",
"(SELECT "&amp;VLOOKUP(B281,Instruções!$F$13:$J$17,4,0)&amp;" as "&amp;VLOOKUP(B281,Instruções!$F$13:$J$17,4,0)&amp;"_"&amp;$G$2&amp;", "&amp;E281&amp;" as "&amp;G281&amp;" FROM "&amp;D281&amp;" WHERE "&amp;Instruções!$D$21&amp;") B ",
"(SELECT "&amp;VLOOKUP(B281,Instruções!$F$13:$J$17,4,0)&amp;" as "&amp;VLOOKUP(B281,Instruções!$F$13:$J$17,4,0)&amp;"_"&amp;$G$2&amp;", "&amp;VLOOKUP(B281,Instruções!$F$13:$J$17,5,0)&amp;" as "&amp;VLOOKUP(B281,Instruções!$F$13:$J$17,5,0)&amp;"_"&amp;$G$2&amp;","&amp;E281&amp;" as "&amp;G281&amp;" FROM "&amp;D281&amp;" WHERE "&amp;Instruções!$D$21&amp;") B ")</f>
        <v xml:space="preserve">(SELECT instrmnt_id as instrmnt_id_, pymnt_intrst_only as pymnt_intrst_only_to_be FROM bu_loantape_work.lt002_instrument WHERE ref_date='2024-09-30' AND nome_perimetro='Individual Corporativo' AND segmento='ESTR' AND ambito='PM' AND entidade='00100' ) B </v>
      </c>
      <c r="J281" s="75" t="str">
        <f>+IF(VLOOKUP(B281,Instruções!$F$13:$J$17,5,0)="", "ON "&amp;VLOOKUP(B281,Instruções!$F$13:$J$17,4,0)&amp;"_"&amp;$F$7&amp;"="&amp;VLOOKUP(B281,Instruções!$F$13:$J$17,4,0)&amp;"_"&amp;$G$7&amp;" ", "ON "&amp;VLOOKUP(B281,Instruções!$F$13:$J$17,4,0)&amp;"_"&amp;$F$7&amp;"="&amp;VLOOKUP(B281,Instruções!$F$13:$J$17,4,0)&amp;"_"&amp;$G$7&amp;" AND "&amp;VLOOKUP(B281,Instruções!$F$13:$J$17,5,0)&amp;"_"&amp;$F$7&amp;"="&amp;VLOOKUP(B281,Instruções!$F$13:$J$17,5,0)&amp;"_"&amp;$G$7&amp;" ")</f>
        <v xml:space="preserve">ON instrmnt_id_as_is=instrmnt_id_to_be </v>
      </c>
      <c r="K281" s="75" t="str">
        <f t="shared" si="45"/>
        <v xml:space="preserve">WHERE coalesce(cast(pymnt_intrst_only_as_is AS string),'')&lt;&gt;coalesce(cast(pymnt_intrst_only_to_be AS string),'') </v>
      </c>
      <c r="L281" s="75" t="str">
        <f t="shared" si="46"/>
        <v xml:space="preserve">SELECT count(*) AS NUM_REG_DIF FROM (SELECT instrmnt_id as instrmnt_id_, pymnt_intrst_only as pymnt_intrst_only_as_is FROM cd_loan_tapes_bce.lt002_instrument WHERE ref_date='2024-09-30' AND nome_perimetro='Individual Corporativo' AND segmento='ESTR' AND ambito='PM' AND entidade='00100' ) A  Inner join (SELECT instrmnt_id as instrmnt_id_, pymnt_intrst_only as pymnt_intrst_only_to_be FROM bu_loantape_work.lt002_instrument WHERE ref_date='2024-09-30' AND nome_perimetro='Individual Corporativo' AND segmento='ESTR' AND ambito='PM' AND entidade='00100' ) B ON instrmnt_id_as_is=instrmnt_id_to_be WHERE coalesce(cast(pymnt_intrst_only_as_is AS string),'')&lt;&gt;coalesce(cast(pymnt_intrst_only_to_be AS string),'') </v>
      </c>
      <c r="M281" s="75" t="s">
        <v>55</v>
      </c>
      <c r="N281" s="75" t="str">
        <f>"SELECT 'Validação de campos' as tipologia_teste, '"&amp;VLOOKUP(B281,Instruções!$F$13:$J$17,3,0)&amp;"' AS TABELA, '"&amp;E281&amp;"' AS CAMPO, '"&amp;Instruções!$D$15&amp;"' as ref_date, coalesce(NUM_REG_DIF, 0) AS NUM_REG_DIF FROM ("&amp;L281&amp;") A "</f>
        <v xml:space="preserve">SELECT 'Validação de campos' as tipologia_teste, 'lt002_instrument' AS TABELA, 'pymnt_intrst_only' AS CAMPO, '2024-09-30' as ref_date, coalesce(NUM_REG_DIF, 0) AS NUM_REG_DIF FROM (SELECT count(*) AS NUM_REG_DIF FROM (SELECT instrmnt_id as instrmnt_id_, pymnt_intrst_only as pymnt_intrst_only_as_is FROM cd_loan_tapes_bce.lt002_instrument WHERE ref_date='2024-09-30' AND nome_perimetro='Individual Corporativo' AND segmento='ESTR' AND ambito='PM' AND entidade='00100' ) A  Inner join (SELECT instrmnt_id as instrmnt_id_, pymnt_intrst_only as pymnt_intrst_only_to_be FROM bu_loantape_work.lt002_instrument WHERE ref_date='2024-09-30' AND nome_perimetro='Individual Corporativo' AND segmento='ESTR' AND ambito='PM' AND entidade='00100' ) B ON instrmnt_id_as_is=instrmnt_id_to_be WHERE coalesce(cast(pymnt_intrst_only_as_is AS string),'')&lt;&gt;coalesce(cast(pymnt_intrst_only_to_be AS string),'') ) A </v>
      </c>
      <c r="O281" s="76" t="str">
        <f t="shared" si="47"/>
        <v>SELECT 'Validação de campos' as tipologia_teste, 'lt002_instrument' AS TABELA, 'pymnt_intrst_only' AS CAMPO, '2024-09-30' as ref_date, coalesce(NUM_REG_DIF, 0) AS NUM_REG_DIF FROM (SELECT count(*) AS NUM_REG_DIF FROM (SELECT instrmnt_id as instrmnt_id_, pymnt_intrst_only as pymnt_intrst_only_as_is FROM cd_loan_tapes_bce.lt002_instrument WHERE ref_date='2024-09-30' AND nome_perimetro='Individual Corporativo' AND segmento='ESTR' AND ambito='PM' AND entidade='00100' ) A  Inner join (SELECT instrmnt_id as instrmnt_id_, pymnt_intrst_only as pymnt_intrst_only_to_be FROM bu_loantape_work.lt002_instrument WHERE ref_date='2024-09-30' AND nome_perimetro='Individual Corporativo' AND segmento='ESTR' AND ambito='PM' AND entidade='00100' ) B ON instrmnt_id_as_is=instrmnt_id_to_be WHERE coalesce(cast(pymnt_intrst_only_as_is AS string),'')&lt;&gt;coalesce(cast(pymnt_intrst_only_to_be AS string),'') ) A Union all</v>
      </c>
      <c r="P281" s="75">
        <f t="shared" si="48"/>
        <v>18</v>
      </c>
    </row>
    <row r="282" spans="2:16" s="63" customFormat="1" ht="18" customHeight="1">
      <c r="B282" s="75" t="s">
        <v>26</v>
      </c>
      <c r="C282" s="75" t="str">
        <f>_xlfn.CONCAT(Instruções!$D$13,".",VLOOKUP(B282,Instruções!$F$12:$H$17,2,0))</f>
        <v>cd_loan_tapes_bce.lt002_instrument</v>
      </c>
      <c r="D282" s="75" t="str">
        <f>_xlfn.CONCAT(Instruções!$D$14,".",VLOOKUP(B282,Instruções!$F$12:$H$17,3,0))</f>
        <v>bu_loantape_work.lt002_instrument</v>
      </c>
      <c r="E282" s="75" t="s">
        <v>312</v>
      </c>
      <c r="F282" s="75" t="str">
        <f t="shared" si="43"/>
        <v>rcrs_as_is</v>
      </c>
      <c r="G282" s="75" t="str">
        <f t="shared" si="44"/>
        <v>rcrs_to_be</v>
      </c>
      <c r="H282" s="75" t="str">
        <f>IF(VLOOKUP(B282,Instruções!$F$13:$J$17,5,0)="",
"(SELECT "&amp;VLOOKUP(B282,Instruções!$F$13:$J$17,4,0)&amp;" as "&amp;VLOOKUP(B282,Instruções!$F$13:$J$17,4,0)&amp;"_"&amp;$F$2&amp;", "&amp;E282&amp;" as "&amp;F282&amp;" FROM "&amp;C282&amp;" WHERE "&amp;Instruções!$D$20&amp;") A ",
"(SELECT "&amp;VLOOKUP(B282,Instruções!$F$13:$J$17,4,0)&amp;" as "&amp;VLOOKUP(B282,Instruções!$F$13:$J$17,4,0)&amp;"_"&amp;$F$2&amp;", "&amp;VLOOKUP(B282,Instruções!$F$13:$J$17,5,0)&amp;" as "&amp;VLOOKUP(B282,Instruções!$F$13:$J$17,5,0)&amp;"_"&amp;$F$2&amp;","&amp;E282&amp;" as "&amp;F282&amp;" FROM "&amp;C282&amp;" WHERE "&amp;Instruções!$D$20&amp;") A ")</f>
        <v xml:space="preserve">(SELECT instrmnt_id as instrmnt_id_, rcrs as rcrs_as_is FROM cd_loan_tapes_bce.lt002_instrument WHERE ref_date='2024-09-30' AND nome_perimetro='Individual Corporativo' AND segmento='ESTR' AND ambito='PM' AND entidade='00100' ) A </v>
      </c>
      <c r="I282" s="75" t="str">
        <f>IF(VLOOKUP(B282,Instruções!$F$13:$J$17,5,0)="",
"(SELECT "&amp;VLOOKUP(B282,Instruções!$F$13:$J$17,4,0)&amp;" as "&amp;VLOOKUP(B282,Instruções!$F$13:$J$17,4,0)&amp;"_"&amp;$G$2&amp;", "&amp;E282&amp;" as "&amp;G282&amp;" FROM "&amp;D282&amp;" WHERE "&amp;Instruções!$D$21&amp;") B ",
"(SELECT "&amp;VLOOKUP(B282,Instruções!$F$13:$J$17,4,0)&amp;" as "&amp;VLOOKUP(B282,Instruções!$F$13:$J$17,4,0)&amp;"_"&amp;$G$2&amp;", "&amp;VLOOKUP(B282,Instruções!$F$13:$J$17,5,0)&amp;" as "&amp;VLOOKUP(B282,Instruções!$F$13:$J$17,5,0)&amp;"_"&amp;$G$2&amp;","&amp;E282&amp;" as "&amp;G282&amp;" FROM "&amp;D282&amp;" WHERE "&amp;Instruções!$D$21&amp;") B ")</f>
        <v xml:space="preserve">(SELECT instrmnt_id as instrmnt_id_, rcrs as rcrs_to_be FROM bu_loantape_work.lt002_instrument WHERE ref_date='2024-09-30' AND nome_perimetro='Individual Corporativo' AND segmento='ESTR' AND ambito='PM' AND entidade='00100' ) B </v>
      </c>
      <c r="J282" s="75" t="str">
        <f>+IF(VLOOKUP(B282,Instruções!$F$13:$J$17,5,0)="", "ON "&amp;VLOOKUP(B282,Instruções!$F$13:$J$17,4,0)&amp;"_"&amp;$F$7&amp;"="&amp;VLOOKUP(B282,Instruções!$F$13:$J$17,4,0)&amp;"_"&amp;$G$7&amp;" ", "ON "&amp;VLOOKUP(B282,Instruções!$F$13:$J$17,4,0)&amp;"_"&amp;$F$7&amp;"="&amp;VLOOKUP(B282,Instruções!$F$13:$J$17,4,0)&amp;"_"&amp;$G$7&amp;" AND "&amp;VLOOKUP(B282,Instruções!$F$13:$J$17,5,0)&amp;"_"&amp;$F$7&amp;"="&amp;VLOOKUP(B282,Instruções!$F$13:$J$17,5,0)&amp;"_"&amp;$G$7&amp;" ")</f>
        <v xml:space="preserve">ON instrmnt_id_as_is=instrmnt_id_to_be </v>
      </c>
      <c r="K282" s="75" t="str">
        <f t="shared" si="45"/>
        <v xml:space="preserve">WHERE coalesce(cast(rcrs_as_is AS string),'')&lt;&gt;coalesce(cast(rcrs_to_be AS string),'') </v>
      </c>
      <c r="L282" s="75" t="str">
        <f t="shared" si="46"/>
        <v xml:space="preserve">SELECT count(*) AS NUM_REG_DIF FROM (SELECT instrmnt_id as instrmnt_id_, rcrs as rcrs_as_is FROM cd_loan_tapes_bce.lt002_instrument WHERE ref_date='2024-09-30' AND nome_perimetro='Individual Corporativo' AND segmento='ESTR' AND ambito='PM' AND entidade='00100' ) A  Inner join (SELECT instrmnt_id as instrmnt_id_, rcrs as rcrs_to_be FROM bu_loantape_work.lt002_instrument WHERE ref_date='2024-09-30' AND nome_perimetro='Individual Corporativo' AND segmento='ESTR' AND ambito='PM' AND entidade='00100' ) B ON instrmnt_id_as_is=instrmnt_id_to_be WHERE coalesce(cast(rcrs_as_is AS string),'')&lt;&gt;coalesce(cast(rcrs_to_be AS string),'') </v>
      </c>
      <c r="M282" s="75" t="s">
        <v>55</v>
      </c>
      <c r="N282" s="75" t="str">
        <f>"SELECT 'Validação de campos' as tipologia_teste, '"&amp;VLOOKUP(B282,Instruções!$F$13:$J$17,3,0)&amp;"' AS TABELA, '"&amp;E282&amp;"' AS CAMPO, '"&amp;Instruções!$D$15&amp;"' as ref_date, coalesce(NUM_REG_DIF, 0) AS NUM_REG_DIF FROM ("&amp;L282&amp;") A "</f>
        <v xml:space="preserve">SELECT 'Validação de campos' as tipologia_teste, 'lt002_instrument' AS TABELA, 'rcrs' AS CAMPO, '2024-09-30' as ref_date, coalesce(NUM_REG_DIF, 0) AS NUM_REG_DIF FROM (SELECT count(*) AS NUM_REG_DIF FROM (SELECT instrmnt_id as instrmnt_id_, rcrs as rcrs_as_is FROM cd_loan_tapes_bce.lt002_instrument WHERE ref_date='2024-09-30' AND nome_perimetro='Individual Corporativo' AND segmento='ESTR' AND ambito='PM' AND entidade='00100' ) A  Inner join (SELECT instrmnt_id as instrmnt_id_, rcrs as rcrs_to_be FROM bu_loantape_work.lt002_instrument WHERE ref_date='2024-09-30' AND nome_perimetro='Individual Corporativo' AND segmento='ESTR' AND ambito='PM' AND entidade='00100' ) B ON instrmnt_id_as_is=instrmnt_id_to_be WHERE coalesce(cast(rcrs_as_is AS string),'')&lt;&gt;coalesce(cast(rcrs_to_be AS string),'') ) A </v>
      </c>
      <c r="O282" s="76" t="str">
        <f t="shared" si="47"/>
        <v>SELECT 'Validação de campos' as tipologia_teste, 'lt002_instrument' AS TABELA, 'rcrs' AS CAMPO, '2024-09-30' as ref_date, coalesce(NUM_REG_DIF, 0) AS NUM_REG_DIF FROM (SELECT count(*) AS NUM_REG_DIF FROM (SELECT instrmnt_id as instrmnt_id_, rcrs as rcrs_as_is FROM cd_loan_tapes_bce.lt002_instrument WHERE ref_date='2024-09-30' AND nome_perimetro='Individual Corporativo' AND segmento='ESTR' AND ambito='PM' AND entidade='00100' ) A  Inner join (SELECT instrmnt_id as instrmnt_id_, rcrs as rcrs_to_be FROM bu_loantape_work.lt002_instrument WHERE ref_date='2024-09-30' AND nome_perimetro='Individual Corporativo' AND segmento='ESTR' AND ambito='PM' AND entidade='00100' ) B ON instrmnt_id_as_is=instrmnt_id_to_be WHERE coalesce(cast(rcrs_as_is AS string),'')&lt;&gt;coalesce(cast(rcrs_to_be AS string),'') ) A Union all</v>
      </c>
      <c r="P282" s="75">
        <f t="shared" si="48"/>
        <v>19</v>
      </c>
    </row>
    <row r="283" spans="2:16" s="63" customFormat="1" ht="18" customHeight="1">
      <c r="B283" s="75" t="s">
        <v>26</v>
      </c>
      <c r="C283" s="75" t="str">
        <f>_xlfn.CONCAT(Instruções!$D$13,".",VLOOKUP(B283,Instruções!$F$12:$H$17,2,0))</f>
        <v>cd_loan_tapes_bce.lt002_instrument</v>
      </c>
      <c r="D283" s="75" t="str">
        <f>_xlfn.CONCAT(Instruções!$D$14,".",VLOOKUP(B283,Instruções!$F$12:$H$17,3,0))</f>
        <v>bu_loantape_work.lt002_instrument</v>
      </c>
      <c r="E283" s="75" t="s">
        <v>313</v>
      </c>
      <c r="F283" s="75" t="str">
        <f t="shared" si="43"/>
        <v>rcvd_amrtstn_12m_as_is</v>
      </c>
      <c r="G283" s="75" t="str">
        <f t="shared" si="44"/>
        <v>rcvd_amrtstn_12m_to_be</v>
      </c>
      <c r="H283" s="75" t="str">
        <f>IF(VLOOKUP(B283,Instruções!$F$13:$J$17,5,0)="",
"(SELECT "&amp;VLOOKUP(B283,Instruções!$F$13:$J$17,4,0)&amp;" as "&amp;VLOOKUP(B283,Instruções!$F$13:$J$17,4,0)&amp;"_"&amp;$F$2&amp;", "&amp;E283&amp;" as "&amp;F283&amp;" FROM "&amp;C283&amp;" WHERE "&amp;Instruções!$D$20&amp;") A ",
"(SELECT "&amp;VLOOKUP(B283,Instruções!$F$13:$J$17,4,0)&amp;" as "&amp;VLOOKUP(B283,Instruções!$F$13:$J$17,4,0)&amp;"_"&amp;$F$2&amp;", "&amp;VLOOKUP(B283,Instruções!$F$13:$J$17,5,0)&amp;" as "&amp;VLOOKUP(B283,Instruções!$F$13:$J$17,5,0)&amp;"_"&amp;$F$2&amp;","&amp;E283&amp;" as "&amp;F283&amp;" FROM "&amp;C283&amp;" WHERE "&amp;Instruções!$D$20&amp;") A ")</f>
        <v xml:space="preserve">(SELECT instrmnt_id as instrmnt_id_, rcvd_amrtstn_12m as rcvd_amrtstn_12m_as_is FROM cd_loan_tapes_bce.lt002_instrument WHERE ref_date='2024-09-30' AND nome_perimetro='Individual Corporativo' AND segmento='ESTR' AND ambito='PM' AND entidade='00100' ) A </v>
      </c>
      <c r="I283" s="75" t="str">
        <f>IF(VLOOKUP(B283,Instruções!$F$13:$J$17,5,0)="",
"(SELECT "&amp;VLOOKUP(B283,Instruções!$F$13:$J$17,4,0)&amp;" as "&amp;VLOOKUP(B283,Instruções!$F$13:$J$17,4,0)&amp;"_"&amp;$G$2&amp;", "&amp;E283&amp;" as "&amp;G283&amp;" FROM "&amp;D283&amp;" WHERE "&amp;Instruções!$D$21&amp;") B ",
"(SELECT "&amp;VLOOKUP(B283,Instruções!$F$13:$J$17,4,0)&amp;" as "&amp;VLOOKUP(B283,Instruções!$F$13:$J$17,4,0)&amp;"_"&amp;$G$2&amp;", "&amp;VLOOKUP(B283,Instruções!$F$13:$J$17,5,0)&amp;" as "&amp;VLOOKUP(B283,Instruções!$F$13:$J$17,5,0)&amp;"_"&amp;$G$2&amp;","&amp;E283&amp;" as "&amp;G283&amp;" FROM "&amp;D283&amp;" WHERE "&amp;Instruções!$D$21&amp;") B ")</f>
        <v xml:space="preserve">(SELECT instrmnt_id as instrmnt_id_, rcvd_amrtstn_12m as rcvd_amrtstn_12m_to_be FROM bu_loantape_work.lt002_instrument WHERE ref_date='2024-09-30' AND nome_perimetro='Individual Corporativo' AND segmento='ESTR' AND ambito='PM' AND entidade='00100' ) B </v>
      </c>
      <c r="J283" s="75" t="str">
        <f>+IF(VLOOKUP(B283,Instruções!$F$13:$J$17,5,0)="", "ON "&amp;VLOOKUP(B283,Instruções!$F$13:$J$17,4,0)&amp;"_"&amp;$F$7&amp;"="&amp;VLOOKUP(B283,Instruções!$F$13:$J$17,4,0)&amp;"_"&amp;$G$7&amp;" ", "ON "&amp;VLOOKUP(B283,Instruções!$F$13:$J$17,4,0)&amp;"_"&amp;$F$7&amp;"="&amp;VLOOKUP(B283,Instruções!$F$13:$J$17,4,0)&amp;"_"&amp;$G$7&amp;" AND "&amp;VLOOKUP(B283,Instruções!$F$13:$J$17,5,0)&amp;"_"&amp;$F$7&amp;"="&amp;VLOOKUP(B283,Instruções!$F$13:$J$17,5,0)&amp;"_"&amp;$G$7&amp;" ")</f>
        <v xml:space="preserve">ON instrmnt_id_as_is=instrmnt_id_to_be </v>
      </c>
      <c r="K283" s="75" t="str">
        <f t="shared" si="45"/>
        <v xml:space="preserve">WHERE coalesce(cast(rcvd_amrtstn_12m_as_is AS string),'')&lt;&gt;coalesce(cast(rcvd_amrtstn_12m_to_be AS string),'') </v>
      </c>
      <c r="L283" s="75" t="str">
        <f t="shared" si="46"/>
        <v xml:space="preserve">SELECT count(*) AS NUM_REG_DIF FROM (SELECT instrmnt_id as instrmnt_id_, rcvd_amrtstn_12m as rcvd_amrtstn_12m_as_is FROM cd_loan_tapes_bce.lt002_instrument WHERE ref_date='2024-09-30' AND nome_perimetro='Individual Corporativo' AND segmento='ESTR' AND ambito='PM' AND entidade='00100' ) A  Inner join (SELECT instrmnt_id as instrmnt_id_, rcvd_amrtstn_12m as rcvd_amrtstn_12m_to_be FROM bu_loantape_work.lt002_instrument WHERE ref_date='2024-09-30' AND nome_perimetro='Individual Corporativo' AND segmento='ESTR' AND ambito='PM' AND entidade='00100' ) B ON instrmnt_id_as_is=instrmnt_id_to_be WHERE coalesce(cast(rcvd_amrtstn_12m_as_is AS string),'')&lt;&gt;coalesce(cast(rcvd_amrtstn_12m_to_be AS string),'') </v>
      </c>
      <c r="M283" s="75" t="s">
        <v>55</v>
      </c>
      <c r="N283" s="75" t="str">
        <f>"SELECT 'Validação de campos' as tipologia_teste, '"&amp;VLOOKUP(B283,Instruções!$F$13:$J$17,3,0)&amp;"' AS TABELA, '"&amp;E283&amp;"' AS CAMPO, '"&amp;Instruções!$D$15&amp;"' as ref_date, coalesce(NUM_REG_DIF, 0) AS NUM_REG_DIF FROM ("&amp;L283&amp;") A "</f>
        <v xml:space="preserve">SELECT 'Validação de campos' as tipologia_teste, 'lt002_instrument' AS TABELA, 'rcvd_amrtstn_12m' AS CAMPO, '2024-09-30' as ref_date, coalesce(NUM_REG_DIF, 0) AS NUM_REG_DIF FROM (SELECT count(*) AS NUM_REG_DIF FROM (SELECT instrmnt_id as instrmnt_id_, rcvd_amrtstn_12m as rcvd_amrtstn_12m_as_is FROM cd_loan_tapes_bce.lt002_instrument WHERE ref_date='2024-09-30' AND nome_perimetro='Individual Corporativo' AND segmento='ESTR' AND ambito='PM' AND entidade='00100' ) A  Inner join (SELECT instrmnt_id as instrmnt_id_, rcvd_amrtstn_12m as rcvd_amrtstn_12m_to_be FROM bu_loantape_work.lt002_instrument WHERE ref_date='2024-09-30' AND nome_perimetro='Individual Corporativo' AND segmento='ESTR' AND ambito='PM' AND entidade='00100' ) B ON instrmnt_id_as_is=instrmnt_id_to_be WHERE coalesce(cast(rcvd_amrtstn_12m_as_is AS string),'')&lt;&gt;coalesce(cast(rcvd_amrtstn_12m_to_be AS string),'') ) A </v>
      </c>
      <c r="O283" s="76" t="str">
        <f t="shared" si="47"/>
        <v>SELECT 'Validação de campos' as tipologia_teste, 'lt002_instrument' AS TABELA, 'rcvd_amrtstn_12m' AS CAMPO, '2024-09-30' as ref_date, coalesce(NUM_REG_DIF, 0) AS NUM_REG_DIF FROM (SELECT count(*) AS NUM_REG_DIF FROM (SELECT instrmnt_id as instrmnt_id_, rcvd_amrtstn_12m as rcvd_amrtstn_12m_as_is FROM cd_loan_tapes_bce.lt002_instrument WHERE ref_date='2024-09-30' AND nome_perimetro='Individual Corporativo' AND segmento='ESTR' AND ambito='PM' AND entidade='00100' ) A  Inner join (SELECT instrmnt_id as instrmnt_id_, rcvd_amrtstn_12m as rcvd_amrtstn_12m_to_be FROM bu_loantape_work.lt002_instrument WHERE ref_date='2024-09-30' AND nome_perimetro='Individual Corporativo' AND segmento='ESTR' AND ambito='PM' AND entidade='00100' ) B ON instrmnt_id_as_is=instrmnt_id_to_be WHERE coalesce(cast(rcvd_amrtstn_12m_as_is AS string),'')&lt;&gt;coalesce(cast(rcvd_amrtstn_12m_to_be AS string),'') ) A Union all</v>
      </c>
      <c r="P283" s="75">
        <f t="shared" si="48"/>
        <v>20</v>
      </c>
    </row>
    <row r="284" spans="2:16" s="63" customFormat="1" ht="18" customHeight="1">
      <c r="B284" s="75" t="s">
        <v>26</v>
      </c>
      <c r="C284" s="75" t="str">
        <f>_xlfn.CONCAT(Instruções!$D$13,".",VLOOKUP(B284,Instruções!$F$12:$H$17,2,0))</f>
        <v>cd_loan_tapes_bce.lt002_instrument</v>
      </c>
      <c r="D284" s="75" t="str">
        <f>_xlfn.CONCAT(Instruções!$D$14,".",VLOOKUP(B284,Instruções!$F$12:$H$17,3,0))</f>
        <v>bu_loantape_work.lt002_instrument</v>
      </c>
      <c r="E284" s="75" t="s">
        <v>314</v>
      </c>
      <c r="F284" s="75" t="str">
        <f t="shared" si="43"/>
        <v>rcvd_amrtstn_24m_as_is</v>
      </c>
      <c r="G284" s="75" t="str">
        <f t="shared" si="44"/>
        <v>rcvd_amrtstn_24m_to_be</v>
      </c>
      <c r="H284" s="75" t="str">
        <f>IF(VLOOKUP(B284,Instruções!$F$13:$J$17,5,0)="",
"(SELECT "&amp;VLOOKUP(B284,Instruções!$F$13:$J$17,4,0)&amp;" as "&amp;VLOOKUP(B284,Instruções!$F$13:$J$17,4,0)&amp;"_"&amp;$F$2&amp;", "&amp;E284&amp;" as "&amp;F284&amp;" FROM "&amp;C284&amp;" WHERE "&amp;Instruções!$D$20&amp;") A ",
"(SELECT "&amp;VLOOKUP(B284,Instruções!$F$13:$J$17,4,0)&amp;" as "&amp;VLOOKUP(B284,Instruções!$F$13:$J$17,4,0)&amp;"_"&amp;$F$2&amp;", "&amp;VLOOKUP(B284,Instruções!$F$13:$J$17,5,0)&amp;" as "&amp;VLOOKUP(B284,Instruções!$F$13:$J$17,5,0)&amp;"_"&amp;$F$2&amp;","&amp;E284&amp;" as "&amp;F284&amp;" FROM "&amp;C284&amp;" WHERE "&amp;Instruções!$D$20&amp;") A ")</f>
        <v xml:space="preserve">(SELECT instrmnt_id as instrmnt_id_, rcvd_amrtstn_24m as rcvd_amrtstn_24m_as_is FROM cd_loan_tapes_bce.lt002_instrument WHERE ref_date='2024-09-30' AND nome_perimetro='Individual Corporativo' AND segmento='ESTR' AND ambito='PM' AND entidade='00100' ) A </v>
      </c>
      <c r="I284" s="75" t="str">
        <f>IF(VLOOKUP(B284,Instruções!$F$13:$J$17,5,0)="",
"(SELECT "&amp;VLOOKUP(B284,Instruções!$F$13:$J$17,4,0)&amp;" as "&amp;VLOOKUP(B284,Instruções!$F$13:$J$17,4,0)&amp;"_"&amp;$G$2&amp;", "&amp;E284&amp;" as "&amp;G284&amp;" FROM "&amp;D284&amp;" WHERE "&amp;Instruções!$D$21&amp;") B ",
"(SELECT "&amp;VLOOKUP(B284,Instruções!$F$13:$J$17,4,0)&amp;" as "&amp;VLOOKUP(B284,Instruções!$F$13:$J$17,4,0)&amp;"_"&amp;$G$2&amp;", "&amp;VLOOKUP(B284,Instruções!$F$13:$J$17,5,0)&amp;" as "&amp;VLOOKUP(B284,Instruções!$F$13:$J$17,5,0)&amp;"_"&amp;$G$2&amp;","&amp;E284&amp;" as "&amp;G284&amp;" FROM "&amp;D284&amp;" WHERE "&amp;Instruções!$D$21&amp;") B ")</f>
        <v xml:space="preserve">(SELECT instrmnt_id as instrmnt_id_, rcvd_amrtstn_24m as rcvd_amrtstn_24m_to_be FROM bu_loantape_work.lt002_instrument WHERE ref_date='2024-09-30' AND nome_perimetro='Individual Corporativo' AND segmento='ESTR' AND ambito='PM' AND entidade='00100' ) B </v>
      </c>
      <c r="J284" s="75" t="str">
        <f>+IF(VLOOKUP(B284,Instruções!$F$13:$J$17,5,0)="", "ON "&amp;VLOOKUP(B284,Instruções!$F$13:$J$17,4,0)&amp;"_"&amp;$F$7&amp;"="&amp;VLOOKUP(B284,Instruções!$F$13:$J$17,4,0)&amp;"_"&amp;$G$7&amp;" ", "ON "&amp;VLOOKUP(B284,Instruções!$F$13:$J$17,4,0)&amp;"_"&amp;$F$7&amp;"="&amp;VLOOKUP(B284,Instruções!$F$13:$J$17,4,0)&amp;"_"&amp;$G$7&amp;" AND "&amp;VLOOKUP(B284,Instruções!$F$13:$J$17,5,0)&amp;"_"&amp;$F$7&amp;"="&amp;VLOOKUP(B284,Instruções!$F$13:$J$17,5,0)&amp;"_"&amp;$G$7&amp;" ")</f>
        <v xml:space="preserve">ON instrmnt_id_as_is=instrmnt_id_to_be </v>
      </c>
      <c r="K284" s="75" t="str">
        <f t="shared" si="45"/>
        <v xml:space="preserve">WHERE coalesce(cast(rcvd_amrtstn_24m_as_is AS string),'')&lt;&gt;coalesce(cast(rcvd_amrtstn_24m_to_be AS string),'') </v>
      </c>
      <c r="L284" s="75" t="str">
        <f t="shared" si="46"/>
        <v xml:space="preserve">SELECT count(*) AS NUM_REG_DIF FROM (SELECT instrmnt_id as instrmnt_id_, rcvd_amrtstn_24m as rcvd_amrtstn_24m_as_is FROM cd_loan_tapes_bce.lt002_instrument WHERE ref_date='2024-09-30' AND nome_perimetro='Individual Corporativo' AND segmento='ESTR' AND ambito='PM' AND entidade='00100' ) A  Inner join (SELECT instrmnt_id as instrmnt_id_, rcvd_amrtstn_24m as rcvd_amrtstn_24m_to_be FROM bu_loantape_work.lt002_instrument WHERE ref_date='2024-09-30' AND nome_perimetro='Individual Corporativo' AND segmento='ESTR' AND ambito='PM' AND entidade='00100' ) B ON instrmnt_id_as_is=instrmnt_id_to_be WHERE coalesce(cast(rcvd_amrtstn_24m_as_is AS string),'')&lt;&gt;coalesce(cast(rcvd_amrtstn_24m_to_be AS string),'') </v>
      </c>
      <c r="M284" s="75" t="s">
        <v>55</v>
      </c>
      <c r="N284" s="75" t="str">
        <f>"SELECT 'Validação de campos' as tipologia_teste, '"&amp;VLOOKUP(B284,Instruções!$F$13:$J$17,3,0)&amp;"' AS TABELA, '"&amp;E284&amp;"' AS CAMPO, '"&amp;Instruções!$D$15&amp;"' as ref_date, coalesce(NUM_REG_DIF, 0) AS NUM_REG_DIF FROM ("&amp;L284&amp;") A "</f>
        <v xml:space="preserve">SELECT 'Validação de campos' as tipologia_teste, 'lt002_instrument' AS TABELA, 'rcvd_amrtstn_24m' AS CAMPO, '2024-09-30' as ref_date, coalesce(NUM_REG_DIF, 0) AS NUM_REG_DIF FROM (SELECT count(*) AS NUM_REG_DIF FROM (SELECT instrmnt_id as instrmnt_id_, rcvd_amrtstn_24m as rcvd_amrtstn_24m_as_is FROM cd_loan_tapes_bce.lt002_instrument WHERE ref_date='2024-09-30' AND nome_perimetro='Individual Corporativo' AND segmento='ESTR' AND ambito='PM' AND entidade='00100' ) A  Inner join (SELECT instrmnt_id as instrmnt_id_, rcvd_amrtstn_24m as rcvd_amrtstn_24m_to_be FROM bu_loantape_work.lt002_instrument WHERE ref_date='2024-09-30' AND nome_perimetro='Individual Corporativo' AND segmento='ESTR' AND ambito='PM' AND entidade='00100' ) B ON instrmnt_id_as_is=instrmnt_id_to_be WHERE coalesce(cast(rcvd_amrtstn_24m_as_is AS string),'')&lt;&gt;coalesce(cast(rcvd_amrtstn_24m_to_be AS string),'') ) A </v>
      </c>
      <c r="O284" s="76" t="str">
        <f t="shared" si="47"/>
        <v>SELECT 'Validação de campos' as tipologia_teste, 'lt002_instrument' AS TABELA, 'rcvd_amrtstn_24m' AS CAMPO, '2024-09-30' as ref_date, coalesce(NUM_REG_DIF, 0) AS NUM_REG_DIF FROM (SELECT count(*) AS NUM_REG_DIF FROM (SELECT instrmnt_id as instrmnt_id_, rcvd_amrtstn_24m as rcvd_amrtstn_24m_as_is FROM cd_loan_tapes_bce.lt002_instrument WHERE ref_date='2024-09-30' AND nome_perimetro='Individual Corporativo' AND segmento='ESTR' AND ambito='PM' AND entidade='00100' ) A  Inner join (SELECT instrmnt_id as instrmnt_id_, rcvd_amrtstn_24m as rcvd_amrtstn_24m_to_be FROM bu_loantape_work.lt002_instrument WHERE ref_date='2024-09-30' AND nome_perimetro='Individual Corporativo' AND segmento='ESTR' AND ambito='PM' AND entidade='00100' ) B ON instrmnt_id_as_is=instrmnt_id_to_be WHERE coalesce(cast(rcvd_amrtstn_24m_as_is AS string),'')&lt;&gt;coalesce(cast(rcvd_amrtstn_24m_to_be AS string),'') ) A Union all</v>
      </c>
      <c r="P284" s="75">
        <f t="shared" si="48"/>
        <v>21</v>
      </c>
    </row>
    <row r="285" spans="2:16" s="63" customFormat="1" ht="18" customHeight="1">
      <c r="B285" s="75" t="s">
        <v>26</v>
      </c>
      <c r="C285" s="75" t="str">
        <f>_xlfn.CONCAT(Instruções!$D$13,".",VLOOKUP(B285,Instruções!$F$12:$H$17,2,0))</f>
        <v>cd_loan_tapes_bce.lt002_instrument</v>
      </c>
      <c r="D285" s="75" t="str">
        <f>_xlfn.CONCAT(Instruções!$D$14,".",VLOOKUP(B285,Instruções!$F$12:$H$17,3,0))</f>
        <v>bu_loantape_work.lt002_instrument</v>
      </c>
      <c r="E285" s="75" t="s">
        <v>315</v>
      </c>
      <c r="F285" s="75" t="str">
        <f t="shared" si="43"/>
        <v>rcvd_intrst_12m_as_is</v>
      </c>
      <c r="G285" s="75" t="str">
        <f t="shared" si="44"/>
        <v>rcvd_intrst_12m_to_be</v>
      </c>
      <c r="H285" s="75" t="str">
        <f>IF(VLOOKUP(B285,Instruções!$F$13:$J$17,5,0)="",
"(SELECT "&amp;VLOOKUP(B285,Instruções!$F$13:$J$17,4,0)&amp;" as "&amp;VLOOKUP(B285,Instruções!$F$13:$J$17,4,0)&amp;"_"&amp;$F$2&amp;", "&amp;E285&amp;" as "&amp;F285&amp;" FROM "&amp;C285&amp;" WHERE "&amp;Instruções!$D$20&amp;") A ",
"(SELECT "&amp;VLOOKUP(B285,Instruções!$F$13:$J$17,4,0)&amp;" as "&amp;VLOOKUP(B285,Instruções!$F$13:$J$17,4,0)&amp;"_"&amp;$F$2&amp;", "&amp;VLOOKUP(B285,Instruções!$F$13:$J$17,5,0)&amp;" as "&amp;VLOOKUP(B285,Instruções!$F$13:$J$17,5,0)&amp;"_"&amp;$F$2&amp;","&amp;E285&amp;" as "&amp;F285&amp;" FROM "&amp;C285&amp;" WHERE "&amp;Instruções!$D$20&amp;") A ")</f>
        <v xml:space="preserve">(SELECT instrmnt_id as instrmnt_id_, rcvd_intrst_12m as rcvd_intrst_12m_as_is FROM cd_loan_tapes_bce.lt002_instrument WHERE ref_date='2024-09-30' AND nome_perimetro='Individual Corporativo' AND segmento='ESTR' AND ambito='PM' AND entidade='00100' ) A </v>
      </c>
      <c r="I285" s="75" t="str">
        <f>IF(VLOOKUP(B285,Instruções!$F$13:$J$17,5,0)="",
"(SELECT "&amp;VLOOKUP(B285,Instruções!$F$13:$J$17,4,0)&amp;" as "&amp;VLOOKUP(B285,Instruções!$F$13:$J$17,4,0)&amp;"_"&amp;$G$2&amp;", "&amp;E285&amp;" as "&amp;G285&amp;" FROM "&amp;D285&amp;" WHERE "&amp;Instruções!$D$21&amp;") B ",
"(SELECT "&amp;VLOOKUP(B285,Instruções!$F$13:$J$17,4,0)&amp;" as "&amp;VLOOKUP(B285,Instruções!$F$13:$J$17,4,0)&amp;"_"&amp;$G$2&amp;", "&amp;VLOOKUP(B285,Instruções!$F$13:$J$17,5,0)&amp;" as "&amp;VLOOKUP(B285,Instruções!$F$13:$J$17,5,0)&amp;"_"&amp;$G$2&amp;","&amp;E285&amp;" as "&amp;G285&amp;" FROM "&amp;D285&amp;" WHERE "&amp;Instruções!$D$21&amp;") B ")</f>
        <v xml:space="preserve">(SELECT instrmnt_id as instrmnt_id_, rcvd_intrst_12m as rcvd_intrst_12m_to_be FROM bu_loantape_work.lt002_instrument WHERE ref_date='2024-09-30' AND nome_perimetro='Individual Corporativo' AND segmento='ESTR' AND ambito='PM' AND entidade='00100' ) B </v>
      </c>
      <c r="J285" s="75" t="str">
        <f>+IF(VLOOKUP(B285,Instruções!$F$13:$J$17,5,0)="", "ON "&amp;VLOOKUP(B285,Instruções!$F$13:$J$17,4,0)&amp;"_"&amp;$F$7&amp;"="&amp;VLOOKUP(B285,Instruções!$F$13:$J$17,4,0)&amp;"_"&amp;$G$7&amp;" ", "ON "&amp;VLOOKUP(B285,Instruções!$F$13:$J$17,4,0)&amp;"_"&amp;$F$7&amp;"="&amp;VLOOKUP(B285,Instruções!$F$13:$J$17,4,0)&amp;"_"&amp;$G$7&amp;" AND "&amp;VLOOKUP(B285,Instruções!$F$13:$J$17,5,0)&amp;"_"&amp;$F$7&amp;"="&amp;VLOOKUP(B285,Instruções!$F$13:$J$17,5,0)&amp;"_"&amp;$G$7&amp;" ")</f>
        <v xml:space="preserve">ON instrmnt_id_as_is=instrmnt_id_to_be </v>
      </c>
      <c r="K285" s="75" t="str">
        <f t="shared" si="45"/>
        <v xml:space="preserve">WHERE coalesce(cast(rcvd_intrst_12m_as_is AS string),'')&lt;&gt;coalesce(cast(rcvd_intrst_12m_to_be AS string),'') </v>
      </c>
      <c r="L285" s="75" t="str">
        <f t="shared" si="46"/>
        <v xml:space="preserve">SELECT count(*) AS NUM_REG_DIF FROM (SELECT instrmnt_id as instrmnt_id_, rcvd_intrst_12m as rcvd_intrst_12m_as_is FROM cd_loan_tapes_bce.lt002_instrument WHERE ref_date='2024-09-30' AND nome_perimetro='Individual Corporativo' AND segmento='ESTR' AND ambito='PM' AND entidade='00100' ) A  Inner join (SELECT instrmnt_id as instrmnt_id_, rcvd_intrst_12m as rcvd_intrst_12m_to_be FROM bu_loantape_work.lt002_instrument WHERE ref_date='2024-09-30' AND nome_perimetro='Individual Corporativo' AND segmento='ESTR' AND ambito='PM' AND entidade='00100' ) B ON instrmnt_id_as_is=instrmnt_id_to_be WHERE coalesce(cast(rcvd_intrst_12m_as_is AS string),'')&lt;&gt;coalesce(cast(rcvd_intrst_12m_to_be AS string),'') </v>
      </c>
      <c r="M285" s="75" t="s">
        <v>55</v>
      </c>
      <c r="N285" s="75" t="str">
        <f>"SELECT 'Validação de campos' as tipologia_teste, '"&amp;VLOOKUP(B285,Instruções!$F$13:$J$17,3,0)&amp;"' AS TABELA, '"&amp;E285&amp;"' AS CAMPO, '"&amp;Instruções!$D$15&amp;"' as ref_date, coalesce(NUM_REG_DIF, 0) AS NUM_REG_DIF FROM ("&amp;L285&amp;") A "</f>
        <v xml:space="preserve">SELECT 'Validação de campos' as tipologia_teste, 'lt002_instrument' AS TABELA, 'rcvd_intrst_12m' AS CAMPO, '2024-09-30' as ref_date, coalesce(NUM_REG_DIF, 0) AS NUM_REG_DIF FROM (SELECT count(*) AS NUM_REG_DIF FROM (SELECT instrmnt_id as instrmnt_id_, rcvd_intrst_12m as rcvd_intrst_12m_as_is FROM cd_loan_tapes_bce.lt002_instrument WHERE ref_date='2024-09-30' AND nome_perimetro='Individual Corporativo' AND segmento='ESTR' AND ambito='PM' AND entidade='00100' ) A  Inner join (SELECT instrmnt_id as instrmnt_id_, rcvd_intrst_12m as rcvd_intrst_12m_to_be FROM bu_loantape_work.lt002_instrument WHERE ref_date='2024-09-30' AND nome_perimetro='Individual Corporativo' AND segmento='ESTR' AND ambito='PM' AND entidade='00100' ) B ON instrmnt_id_as_is=instrmnt_id_to_be WHERE coalesce(cast(rcvd_intrst_12m_as_is AS string),'')&lt;&gt;coalesce(cast(rcvd_intrst_12m_to_be AS string),'') ) A </v>
      </c>
      <c r="O285" s="76" t="str">
        <f t="shared" si="47"/>
        <v>SELECT 'Validação de campos' as tipologia_teste, 'lt002_instrument' AS TABELA, 'rcvd_intrst_12m' AS CAMPO, '2024-09-30' as ref_date, coalesce(NUM_REG_DIF, 0) AS NUM_REG_DIF FROM (SELECT count(*) AS NUM_REG_DIF FROM (SELECT instrmnt_id as instrmnt_id_, rcvd_intrst_12m as rcvd_intrst_12m_as_is FROM cd_loan_tapes_bce.lt002_instrument WHERE ref_date='2024-09-30' AND nome_perimetro='Individual Corporativo' AND segmento='ESTR' AND ambito='PM' AND entidade='00100' ) A  Inner join (SELECT instrmnt_id as instrmnt_id_, rcvd_intrst_12m as rcvd_intrst_12m_to_be FROM bu_loantape_work.lt002_instrument WHERE ref_date='2024-09-30' AND nome_perimetro='Individual Corporativo' AND segmento='ESTR' AND ambito='PM' AND entidade='00100' ) B ON instrmnt_id_as_is=instrmnt_id_to_be WHERE coalesce(cast(rcvd_intrst_12m_as_is AS string),'')&lt;&gt;coalesce(cast(rcvd_intrst_12m_to_be AS string),'') ) A Union all</v>
      </c>
      <c r="P285" s="75">
        <f t="shared" si="48"/>
        <v>22</v>
      </c>
    </row>
    <row r="286" spans="2:16" s="63" customFormat="1" ht="18" customHeight="1">
      <c r="B286" s="75" t="s">
        <v>26</v>
      </c>
      <c r="C286" s="75" t="str">
        <f>_xlfn.CONCAT(Instruções!$D$13,".",VLOOKUP(B286,Instruções!$F$12:$H$17,2,0))</f>
        <v>cd_loan_tapes_bce.lt002_instrument</v>
      </c>
      <c r="D286" s="75" t="str">
        <f>_xlfn.CONCAT(Instruções!$D$14,".",VLOOKUP(B286,Instruções!$F$12:$H$17,3,0))</f>
        <v>bu_loantape_work.lt002_instrument</v>
      </c>
      <c r="E286" s="75" t="s">
        <v>316</v>
      </c>
      <c r="F286" s="75" t="str">
        <f t="shared" si="43"/>
        <v>rcvd_intrst_24m_as_is</v>
      </c>
      <c r="G286" s="75" t="str">
        <f t="shared" si="44"/>
        <v>rcvd_intrst_24m_to_be</v>
      </c>
      <c r="H286" s="75" t="str">
        <f>IF(VLOOKUP(B286,Instruções!$F$13:$J$17,5,0)="",
"(SELECT "&amp;VLOOKUP(B286,Instruções!$F$13:$J$17,4,0)&amp;" as "&amp;VLOOKUP(B286,Instruções!$F$13:$J$17,4,0)&amp;"_"&amp;$F$2&amp;", "&amp;E286&amp;" as "&amp;F286&amp;" FROM "&amp;C286&amp;" WHERE "&amp;Instruções!$D$20&amp;") A ",
"(SELECT "&amp;VLOOKUP(B286,Instruções!$F$13:$J$17,4,0)&amp;" as "&amp;VLOOKUP(B286,Instruções!$F$13:$J$17,4,0)&amp;"_"&amp;$F$2&amp;", "&amp;VLOOKUP(B286,Instruções!$F$13:$J$17,5,0)&amp;" as "&amp;VLOOKUP(B286,Instruções!$F$13:$J$17,5,0)&amp;"_"&amp;$F$2&amp;","&amp;E286&amp;" as "&amp;F286&amp;" FROM "&amp;C286&amp;" WHERE "&amp;Instruções!$D$20&amp;") A ")</f>
        <v xml:space="preserve">(SELECT instrmnt_id as instrmnt_id_, rcvd_intrst_24m as rcvd_intrst_24m_as_is FROM cd_loan_tapes_bce.lt002_instrument WHERE ref_date='2024-09-30' AND nome_perimetro='Individual Corporativo' AND segmento='ESTR' AND ambito='PM' AND entidade='00100' ) A </v>
      </c>
      <c r="I286" s="75" t="str">
        <f>IF(VLOOKUP(B286,Instruções!$F$13:$J$17,5,0)="",
"(SELECT "&amp;VLOOKUP(B286,Instruções!$F$13:$J$17,4,0)&amp;" as "&amp;VLOOKUP(B286,Instruções!$F$13:$J$17,4,0)&amp;"_"&amp;$G$2&amp;", "&amp;E286&amp;" as "&amp;G286&amp;" FROM "&amp;D286&amp;" WHERE "&amp;Instruções!$D$21&amp;") B ",
"(SELECT "&amp;VLOOKUP(B286,Instruções!$F$13:$J$17,4,0)&amp;" as "&amp;VLOOKUP(B286,Instruções!$F$13:$J$17,4,0)&amp;"_"&amp;$G$2&amp;", "&amp;VLOOKUP(B286,Instruções!$F$13:$J$17,5,0)&amp;" as "&amp;VLOOKUP(B286,Instruções!$F$13:$J$17,5,0)&amp;"_"&amp;$G$2&amp;","&amp;E286&amp;" as "&amp;G286&amp;" FROM "&amp;D286&amp;" WHERE "&amp;Instruções!$D$21&amp;") B ")</f>
        <v xml:space="preserve">(SELECT instrmnt_id as instrmnt_id_, rcvd_intrst_24m as rcvd_intrst_24m_to_be FROM bu_loantape_work.lt002_instrument WHERE ref_date='2024-09-30' AND nome_perimetro='Individual Corporativo' AND segmento='ESTR' AND ambito='PM' AND entidade='00100' ) B </v>
      </c>
      <c r="J286" s="75" t="str">
        <f>+IF(VLOOKUP(B286,Instruções!$F$13:$J$17,5,0)="", "ON "&amp;VLOOKUP(B286,Instruções!$F$13:$J$17,4,0)&amp;"_"&amp;$F$7&amp;"="&amp;VLOOKUP(B286,Instruções!$F$13:$J$17,4,0)&amp;"_"&amp;$G$7&amp;" ", "ON "&amp;VLOOKUP(B286,Instruções!$F$13:$J$17,4,0)&amp;"_"&amp;$F$7&amp;"="&amp;VLOOKUP(B286,Instruções!$F$13:$J$17,4,0)&amp;"_"&amp;$G$7&amp;" AND "&amp;VLOOKUP(B286,Instruções!$F$13:$J$17,5,0)&amp;"_"&amp;$F$7&amp;"="&amp;VLOOKUP(B286,Instruções!$F$13:$J$17,5,0)&amp;"_"&amp;$G$7&amp;" ")</f>
        <v xml:space="preserve">ON instrmnt_id_as_is=instrmnt_id_to_be </v>
      </c>
      <c r="K286" s="75" t="str">
        <f t="shared" si="45"/>
        <v xml:space="preserve">WHERE coalesce(cast(rcvd_intrst_24m_as_is AS string),'')&lt;&gt;coalesce(cast(rcvd_intrst_24m_to_be AS string),'') </v>
      </c>
      <c r="L286" s="75" t="str">
        <f t="shared" si="46"/>
        <v xml:space="preserve">SELECT count(*) AS NUM_REG_DIF FROM (SELECT instrmnt_id as instrmnt_id_, rcvd_intrst_24m as rcvd_intrst_24m_as_is FROM cd_loan_tapes_bce.lt002_instrument WHERE ref_date='2024-09-30' AND nome_perimetro='Individual Corporativo' AND segmento='ESTR' AND ambito='PM' AND entidade='00100' ) A  Inner join (SELECT instrmnt_id as instrmnt_id_, rcvd_intrst_24m as rcvd_intrst_24m_to_be FROM bu_loantape_work.lt002_instrument WHERE ref_date='2024-09-30' AND nome_perimetro='Individual Corporativo' AND segmento='ESTR' AND ambito='PM' AND entidade='00100' ) B ON instrmnt_id_as_is=instrmnt_id_to_be WHERE coalesce(cast(rcvd_intrst_24m_as_is AS string),'')&lt;&gt;coalesce(cast(rcvd_intrst_24m_to_be AS string),'') </v>
      </c>
      <c r="M286" s="75" t="s">
        <v>55</v>
      </c>
      <c r="N286" s="75" t="str">
        <f>"SELECT 'Validação de campos' as tipologia_teste, '"&amp;VLOOKUP(B286,Instruções!$F$13:$J$17,3,0)&amp;"' AS TABELA, '"&amp;E286&amp;"' AS CAMPO, '"&amp;Instruções!$D$15&amp;"' as ref_date, coalesce(NUM_REG_DIF, 0) AS NUM_REG_DIF FROM ("&amp;L286&amp;") A "</f>
        <v xml:space="preserve">SELECT 'Validação de campos' as tipologia_teste, 'lt002_instrument' AS TABELA, 'rcvd_intrst_24m' AS CAMPO, '2024-09-30' as ref_date, coalesce(NUM_REG_DIF, 0) AS NUM_REG_DIF FROM (SELECT count(*) AS NUM_REG_DIF FROM (SELECT instrmnt_id as instrmnt_id_, rcvd_intrst_24m as rcvd_intrst_24m_as_is FROM cd_loan_tapes_bce.lt002_instrument WHERE ref_date='2024-09-30' AND nome_perimetro='Individual Corporativo' AND segmento='ESTR' AND ambito='PM' AND entidade='00100' ) A  Inner join (SELECT instrmnt_id as instrmnt_id_, rcvd_intrst_24m as rcvd_intrst_24m_to_be FROM bu_loantape_work.lt002_instrument WHERE ref_date='2024-09-30' AND nome_perimetro='Individual Corporativo' AND segmento='ESTR' AND ambito='PM' AND entidade='00100' ) B ON instrmnt_id_as_is=instrmnt_id_to_be WHERE coalesce(cast(rcvd_intrst_24m_as_is AS string),'')&lt;&gt;coalesce(cast(rcvd_intrst_24m_to_be AS string),'') ) A </v>
      </c>
      <c r="O286" s="76" t="str">
        <f t="shared" si="47"/>
        <v>SELECT 'Validação de campos' as tipologia_teste, 'lt002_instrument' AS TABELA, 'rcvd_intrst_24m' AS CAMPO, '2024-09-30' as ref_date, coalesce(NUM_REG_DIF, 0) AS NUM_REG_DIF FROM (SELECT count(*) AS NUM_REG_DIF FROM (SELECT instrmnt_id as instrmnt_id_, rcvd_intrst_24m as rcvd_intrst_24m_as_is FROM cd_loan_tapes_bce.lt002_instrument WHERE ref_date='2024-09-30' AND nome_perimetro='Individual Corporativo' AND segmento='ESTR' AND ambito='PM' AND entidade='00100' ) A  Inner join (SELECT instrmnt_id as instrmnt_id_, rcvd_intrst_24m as rcvd_intrst_24m_to_be FROM bu_loantape_work.lt002_instrument WHERE ref_date='2024-09-30' AND nome_perimetro='Individual Corporativo' AND segmento='ESTR' AND ambito='PM' AND entidade='00100' ) B ON instrmnt_id_as_is=instrmnt_id_to_be WHERE coalesce(cast(rcvd_intrst_24m_as_is AS string),'')&lt;&gt;coalesce(cast(rcvd_intrst_24m_to_be AS string),'') ) A Union all</v>
      </c>
      <c r="P286" s="75">
        <f t="shared" si="48"/>
        <v>23</v>
      </c>
    </row>
    <row r="287" spans="2:16" s="63" customFormat="1" ht="18" customHeight="1">
      <c r="B287" s="75" t="s">
        <v>26</v>
      </c>
      <c r="C287" s="75" t="str">
        <f>_xlfn.CONCAT(Instruções!$D$13,".",VLOOKUP(B287,Instruções!$F$12:$H$17,2,0))</f>
        <v>cd_loan_tapes_bce.lt002_instrument</v>
      </c>
      <c r="D287" s="75" t="str">
        <f>_xlfn.CONCAT(Instruções!$D$14,".",VLOOKUP(B287,Instruções!$F$12:$H$17,3,0))</f>
        <v>bu_loantape_work.lt002_instrument</v>
      </c>
      <c r="E287" s="75" t="s">
        <v>317</v>
      </c>
      <c r="F287" s="75" t="str">
        <f t="shared" si="43"/>
        <v>rfnnc_prps_as_is</v>
      </c>
      <c r="G287" s="75" t="str">
        <f t="shared" si="44"/>
        <v>rfnnc_prps_to_be</v>
      </c>
      <c r="H287" s="75" t="str">
        <f>IF(VLOOKUP(B287,Instruções!$F$13:$J$17,5,0)="",
"(SELECT "&amp;VLOOKUP(B287,Instruções!$F$13:$J$17,4,0)&amp;" as "&amp;VLOOKUP(B287,Instruções!$F$13:$J$17,4,0)&amp;"_"&amp;$F$2&amp;", "&amp;E287&amp;" as "&amp;F287&amp;" FROM "&amp;C287&amp;" WHERE "&amp;Instruções!$D$20&amp;") A ",
"(SELECT "&amp;VLOOKUP(B287,Instruções!$F$13:$J$17,4,0)&amp;" as "&amp;VLOOKUP(B287,Instruções!$F$13:$J$17,4,0)&amp;"_"&amp;$F$2&amp;", "&amp;VLOOKUP(B287,Instruções!$F$13:$J$17,5,0)&amp;" as "&amp;VLOOKUP(B287,Instruções!$F$13:$J$17,5,0)&amp;"_"&amp;$F$2&amp;","&amp;E287&amp;" as "&amp;F287&amp;" FROM "&amp;C287&amp;" WHERE "&amp;Instruções!$D$20&amp;") A ")</f>
        <v xml:space="preserve">(SELECT instrmnt_id as instrmnt_id_, rfnnc_prps as rfnnc_prps_as_is FROM cd_loan_tapes_bce.lt002_instrument WHERE ref_date='2024-09-30' AND nome_perimetro='Individual Corporativo' AND segmento='ESTR' AND ambito='PM' AND entidade='00100' ) A </v>
      </c>
      <c r="I287" s="75" t="str">
        <f>IF(VLOOKUP(B287,Instruções!$F$13:$J$17,5,0)="",
"(SELECT "&amp;VLOOKUP(B287,Instruções!$F$13:$J$17,4,0)&amp;" as "&amp;VLOOKUP(B287,Instruções!$F$13:$J$17,4,0)&amp;"_"&amp;$G$2&amp;", "&amp;E287&amp;" as "&amp;G287&amp;" FROM "&amp;D287&amp;" WHERE "&amp;Instruções!$D$21&amp;") B ",
"(SELECT "&amp;VLOOKUP(B287,Instruções!$F$13:$J$17,4,0)&amp;" as "&amp;VLOOKUP(B287,Instruções!$F$13:$J$17,4,0)&amp;"_"&amp;$G$2&amp;", "&amp;VLOOKUP(B287,Instruções!$F$13:$J$17,5,0)&amp;" as "&amp;VLOOKUP(B287,Instruções!$F$13:$J$17,5,0)&amp;"_"&amp;$G$2&amp;","&amp;E287&amp;" as "&amp;G287&amp;" FROM "&amp;D287&amp;" WHERE "&amp;Instruções!$D$21&amp;") B ")</f>
        <v xml:space="preserve">(SELECT instrmnt_id as instrmnt_id_, rfnnc_prps as rfnnc_prps_to_be FROM bu_loantape_work.lt002_instrument WHERE ref_date='2024-09-30' AND nome_perimetro='Individual Corporativo' AND segmento='ESTR' AND ambito='PM' AND entidade='00100' ) B </v>
      </c>
      <c r="J287" s="75" t="str">
        <f>+IF(VLOOKUP(B287,Instruções!$F$13:$J$17,5,0)="", "ON "&amp;VLOOKUP(B287,Instruções!$F$13:$J$17,4,0)&amp;"_"&amp;$F$7&amp;"="&amp;VLOOKUP(B287,Instruções!$F$13:$J$17,4,0)&amp;"_"&amp;$G$7&amp;" ", "ON "&amp;VLOOKUP(B287,Instruções!$F$13:$J$17,4,0)&amp;"_"&amp;$F$7&amp;"="&amp;VLOOKUP(B287,Instruções!$F$13:$J$17,4,0)&amp;"_"&amp;$G$7&amp;" AND "&amp;VLOOKUP(B287,Instruções!$F$13:$J$17,5,0)&amp;"_"&amp;$F$7&amp;"="&amp;VLOOKUP(B287,Instruções!$F$13:$J$17,5,0)&amp;"_"&amp;$G$7&amp;" ")</f>
        <v xml:space="preserve">ON instrmnt_id_as_is=instrmnt_id_to_be </v>
      </c>
      <c r="K287" s="75" t="str">
        <f t="shared" si="45"/>
        <v xml:space="preserve">WHERE coalesce(cast(rfnnc_prps_as_is AS string),'')&lt;&gt;coalesce(cast(rfnnc_prps_to_be AS string),'') </v>
      </c>
      <c r="L287" s="75" t="str">
        <f t="shared" si="46"/>
        <v xml:space="preserve">SELECT count(*) AS NUM_REG_DIF FROM (SELECT instrmnt_id as instrmnt_id_, rfnnc_prps as rfnnc_prps_as_is FROM cd_loan_tapes_bce.lt002_instrument WHERE ref_date='2024-09-30' AND nome_perimetro='Individual Corporativo' AND segmento='ESTR' AND ambito='PM' AND entidade='00100' ) A  Inner join (SELECT instrmnt_id as instrmnt_id_, rfnnc_prps as rfnnc_prps_to_be FROM bu_loantape_work.lt002_instrument WHERE ref_date='2024-09-30' AND nome_perimetro='Individual Corporativo' AND segmento='ESTR' AND ambito='PM' AND entidade='00100' ) B ON instrmnt_id_as_is=instrmnt_id_to_be WHERE coalesce(cast(rfnnc_prps_as_is AS string),'')&lt;&gt;coalesce(cast(rfnnc_prps_to_be AS string),'') </v>
      </c>
      <c r="M287" s="75" t="s">
        <v>55</v>
      </c>
      <c r="N287" s="75" t="str">
        <f>"SELECT 'Validação de campos' as tipologia_teste, '"&amp;VLOOKUP(B287,Instruções!$F$13:$J$17,3,0)&amp;"' AS TABELA, '"&amp;E287&amp;"' AS CAMPO, '"&amp;Instruções!$D$15&amp;"' as ref_date, coalesce(NUM_REG_DIF, 0) AS NUM_REG_DIF FROM ("&amp;L287&amp;") A "</f>
        <v xml:space="preserve">SELECT 'Validação de campos' as tipologia_teste, 'lt002_instrument' AS TABELA, 'rfnnc_prps' AS CAMPO, '2024-09-30' as ref_date, coalesce(NUM_REG_DIF, 0) AS NUM_REG_DIF FROM (SELECT count(*) AS NUM_REG_DIF FROM (SELECT instrmnt_id as instrmnt_id_, rfnnc_prps as rfnnc_prps_as_is FROM cd_loan_tapes_bce.lt002_instrument WHERE ref_date='2024-09-30' AND nome_perimetro='Individual Corporativo' AND segmento='ESTR' AND ambito='PM' AND entidade='00100' ) A  Inner join (SELECT instrmnt_id as instrmnt_id_, rfnnc_prps as rfnnc_prps_to_be FROM bu_loantape_work.lt002_instrument WHERE ref_date='2024-09-30' AND nome_perimetro='Individual Corporativo' AND segmento='ESTR' AND ambito='PM' AND entidade='00100' ) B ON instrmnt_id_as_is=instrmnt_id_to_be WHERE coalesce(cast(rfnnc_prps_as_is AS string),'')&lt;&gt;coalesce(cast(rfnnc_prps_to_be AS string),'') ) A </v>
      </c>
      <c r="O287" s="76" t="str">
        <f t="shared" si="47"/>
        <v>SELECT 'Validação de campos' as tipologia_teste, 'lt002_instrument' AS TABELA, 'rfnnc_prps' AS CAMPO, '2024-09-30' as ref_date, coalesce(NUM_REG_DIF, 0) AS NUM_REG_DIF FROM (SELECT count(*) AS NUM_REG_DIF FROM (SELECT instrmnt_id as instrmnt_id_, rfnnc_prps as rfnnc_prps_as_is FROM cd_loan_tapes_bce.lt002_instrument WHERE ref_date='2024-09-30' AND nome_perimetro='Individual Corporativo' AND segmento='ESTR' AND ambito='PM' AND entidade='00100' ) A  Inner join (SELECT instrmnt_id as instrmnt_id_, rfnnc_prps as rfnnc_prps_to_be FROM bu_loantape_work.lt002_instrument WHERE ref_date='2024-09-30' AND nome_perimetro='Individual Corporativo' AND segmento='ESTR' AND ambito='PM' AND entidade='00100' ) B ON instrmnt_id_as_is=instrmnt_id_to_be WHERE coalesce(cast(rfnnc_prps_as_is AS string),'')&lt;&gt;coalesce(cast(rfnnc_prps_to_be AS string),'') ) A Union all</v>
      </c>
      <c r="P287" s="75">
        <f t="shared" si="48"/>
        <v>24</v>
      </c>
    </row>
    <row r="288" spans="2:16" s="63" customFormat="1" ht="18" customHeight="1">
      <c r="B288" s="75" t="s">
        <v>26</v>
      </c>
      <c r="C288" s="75" t="str">
        <f>_xlfn.CONCAT(Instruções!$D$13,".",VLOOKUP(B288,Instruções!$F$12:$H$17,2,0))</f>
        <v>cd_loan_tapes_bce.lt002_instrument</v>
      </c>
      <c r="D288" s="75" t="str">
        <f>_xlfn.CONCAT(Instruções!$D$14,".",VLOOKUP(B288,Instruções!$F$12:$H$17,3,0))</f>
        <v>bu_loantape_work.lt002_instrument</v>
      </c>
      <c r="E288" s="75" t="s">
        <v>318</v>
      </c>
      <c r="F288" s="75" t="str">
        <f t="shared" si="43"/>
        <v>rfrnc_rt_as_is</v>
      </c>
      <c r="G288" s="75" t="str">
        <f t="shared" si="44"/>
        <v>rfrnc_rt_to_be</v>
      </c>
      <c r="H288" s="75" t="str">
        <f>IF(VLOOKUP(B288,Instruções!$F$13:$J$17,5,0)="",
"(SELECT "&amp;VLOOKUP(B288,Instruções!$F$13:$J$17,4,0)&amp;" as "&amp;VLOOKUP(B288,Instruções!$F$13:$J$17,4,0)&amp;"_"&amp;$F$2&amp;", "&amp;E288&amp;" as "&amp;F288&amp;" FROM "&amp;C288&amp;" WHERE "&amp;Instruções!$D$20&amp;") A ",
"(SELECT "&amp;VLOOKUP(B288,Instruções!$F$13:$J$17,4,0)&amp;" as "&amp;VLOOKUP(B288,Instruções!$F$13:$J$17,4,0)&amp;"_"&amp;$F$2&amp;", "&amp;VLOOKUP(B288,Instruções!$F$13:$J$17,5,0)&amp;" as "&amp;VLOOKUP(B288,Instruções!$F$13:$J$17,5,0)&amp;"_"&amp;$F$2&amp;","&amp;E288&amp;" as "&amp;F288&amp;" FROM "&amp;C288&amp;" WHERE "&amp;Instruções!$D$20&amp;") A ")</f>
        <v xml:space="preserve">(SELECT instrmnt_id as instrmnt_id_, rfrnc_rt as rfrnc_rt_as_is FROM cd_loan_tapes_bce.lt002_instrument WHERE ref_date='2024-09-30' AND nome_perimetro='Individual Corporativo' AND segmento='ESTR' AND ambito='PM' AND entidade='00100' ) A </v>
      </c>
      <c r="I288" s="75" t="str">
        <f>IF(VLOOKUP(B288,Instruções!$F$13:$J$17,5,0)="",
"(SELECT "&amp;VLOOKUP(B288,Instruções!$F$13:$J$17,4,0)&amp;" as "&amp;VLOOKUP(B288,Instruções!$F$13:$J$17,4,0)&amp;"_"&amp;$G$2&amp;", "&amp;E288&amp;" as "&amp;G288&amp;" FROM "&amp;D288&amp;" WHERE "&amp;Instruções!$D$21&amp;") B ",
"(SELECT "&amp;VLOOKUP(B288,Instruções!$F$13:$J$17,4,0)&amp;" as "&amp;VLOOKUP(B288,Instruções!$F$13:$J$17,4,0)&amp;"_"&amp;$G$2&amp;", "&amp;VLOOKUP(B288,Instruções!$F$13:$J$17,5,0)&amp;" as "&amp;VLOOKUP(B288,Instruções!$F$13:$J$17,5,0)&amp;"_"&amp;$G$2&amp;","&amp;E288&amp;" as "&amp;G288&amp;" FROM "&amp;D288&amp;" WHERE "&amp;Instruções!$D$21&amp;") B ")</f>
        <v xml:space="preserve">(SELECT instrmnt_id as instrmnt_id_, rfrnc_rt as rfrnc_rt_to_be FROM bu_loantape_work.lt002_instrument WHERE ref_date='2024-09-30' AND nome_perimetro='Individual Corporativo' AND segmento='ESTR' AND ambito='PM' AND entidade='00100' ) B </v>
      </c>
      <c r="J288" s="75" t="str">
        <f>+IF(VLOOKUP(B288,Instruções!$F$13:$J$17,5,0)="", "ON "&amp;VLOOKUP(B288,Instruções!$F$13:$J$17,4,0)&amp;"_"&amp;$F$7&amp;"="&amp;VLOOKUP(B288,Instruções!$F$13:$J$17,4,0)&amp;"_"&amp;$G$7&amp;" ", "ON "&amp;VLOOKUP(B288,Instruções!$F$13:$J$17,4,0)&amp;"_"&amp;$F$7&amp;"="&amp;VLOOKUP(B288,Instruções!$F$13:$J$17,4,0)&amp;"_"&amp;$G$7&amp;" AND "&amp;VLOOKUP(B288,Instruções!$F$13:$J$17,5,0)&amp;"_"&amp;$F$7&amp;"="&amp;VLOOKUP(B288,Instruções!$F$13:$J$17,5,0)&amp;"_"&amp;$G$7&amp;" ")</f>
        <v xml:space="preserve">ON instrmnt_id_as_is=instrmnt_id_to_be </v>
      </c>
      <c r="K288" s="75" t="str">
        <f t="shared" si="45"/>
        <v xml:space="preserve">WHERE coalesce(cast(rfrnc_rt_as_is AS string),'')&lt;&gt;coalesce(cast(rfrnc_rt_to_be AS string),'') </v>
      </c>
      <c r="L288" s="75" t="str">
        <f t="shared" si="46"/>
        <v xml:space="preserve">SELECT count(*) AS NUM_REG_DIF FROM (SELECT instrmnt_id as instrmnt_id_, rfrnc_rt as rfrnc_rt_as_is FROM cd_loan_tapes_bce.lt002_instrument WHERE ref_date='2024-09-30' AND nome_perimetro='Individual Corporativo' AND segmento='ESTR' AND ambito='PM' AND entidade='00100' ) A  Inner join (SELECT instrmnt_id as instrmnt_id_, rfrnc_rt as rfrnc_rt_to_be FROM bu_loantape_work.lt002_instrument WHERE ref_date='2024-09-30' AND nome_perimetro='Individual Corporativo' AND segmento='ESTR' AND ambito='PM' AND entidade='00100' ) B ON instrmnt_id_as_is=instrmnt_id_to_be WHERE coalesce(cast(rfrnc_rt_as_is AS string),'')&lt;&gt;coalesce(cast(rfrnc_rt_to_be AS string),'') </v>
      </c>
      <c r="M288" s="75" t="s">
        <v>55</v>
      </c>
      <c r="N288" s="75" t="str">
        <f>"SELECT 'Validação de campos' as tipologia_teste, '"&amp;VLOOKUP(B288,Instruções!$F$13:$J$17,3,0)&amp;"' AS TABELA, '"&amp;E288&amp;"' AS CAMPO, '"&amp;Instruções!$D$15&amp;"' as ref_date, coalesce(NUM_REG_DIF, 0) AS NUM_REG_DIF FROM ("&amp;L288&amp;") A "</f>
        <v xml:space="preserve">SELECT 'Validação de campos' as tipologia_teste, 'lt002_instrument' AS TABELA, 'rfrnc_rt' AS CAMPO, '2024-09-30' as ref_date, coalesce(NUM_REG_DIF, 0) AS NUM_REG_DIF FROM (SELECT count(*) AS NUM_REG_DIF FROM (SELECT instrmnt_id as instrmnt_id_, rfrnc_rt as rfrnc_rt_as_is FROM cd_loan_tapes_bce.lt002_instrument WHERE ref_date='2024-09-30' AND nome_perimetro='Individual Corporativo' AND segmento='ESTR' AND ambito='PM' AND entidade='00100' ) A  Inner join (SELECT instrmnt_id as instrmnt_id_, rfrnc_rt as rfrnc_rt_to_be FROM bu_loantape_work.lt002_instrument WHERE ref_date='2024-09-30' AND nome_perimetro='Individual Corporativo' AND segmento='ESTR' AND ambito='PM' AND entidade='00100' ) B ON instrmnt_id_as_is=instrmnt_id_to_be WHERE coalesce(cast(rfrnc_rt_as_is AS string),'')&lt;&gt;coalesce(cast(rfrnc_rt_to_be AS string),'') ) A </v>
      </c>
      <c r="O288" s="76" t="str">
        <f t="shared" si="47"/>
        <v>SELECT 'Validação de campos' as tipologia_teste, 'lt002_instrument' AS TABELA, 'rfrnc_rt' AS CAMPO, '2024-09-30' as ref_date, coalesce(NUM_REG_DIF, 0) AS NUM_REG_DIF FROM (SELECT count(*) AS NUM_REG_DIF FROM (SELECT instrmnt_id as instrmnt_id_, rfrnc_rt as rfrnc_rt_as_is FROM cd_loan_tapes_bce.lt002_instrument WHERE ref_date='2024-09-30' AND nome_perimetro='Individual Corporativo' AND segmento='ESTR' AND ambito='PM' AND entidade='00100' ) A  Inner join (SELECT instrmnt_id as instrmnt_id_, rfrnc_rt as rfrnc_rt_to_be FROM bu_loantape_work.lt002_instrument WHERE ref_date='2024-09-30' AND nome_perimetro='Individual Corporativo' AND segmento='ESTR' AND ambito='PM' AND entidade='00100' ) B ON instrmnt_id_as_is=instrmnt_id_to_be WHERE coalesce(cast(rfrnc_rt_as_is AS string),'')&lt;&gt;coalesce(cast(rfrnc_rt_to_be AS string),'') ) A Union all</v>
      </c>
      <c r="P288" s="75">
        <f t="shared" si="48"/>
        <v>25</v>
      </c>
    </row>
    <row r="289" spans="2:16" s="63" customFormat="1" ht="18" customHeight="1">
      <c r="B289" s="75" t="s">
        <v>26</v>
      </c>
      <c r="C289" s="75" t="str">
        <f>_xlfn.CONCAT(Instruções!$D$13,".",VLOOKUP(B289,Instruções!$F$12:$H$17,2,0))</f>
        <v>cd_loan_tapes_bce.lt002_instrument</v>
      </c>
      <c r="D289" s="75" t="str">
        <f>_xlfn.CONCAT(Instruções!$D$14,".",VLOOKUP(B289,Instruções!$F$12:$H$17,3,0))</f>
        <v>bu_loantape_work.lt002_instrument</v>
      </c>
      <c r="E289" s="75" t="s">
        <v>143</v>
      </c>
      <c r="F289" s="75" t="str">
        <f t="shared" si="43"/>
        <v>rorac_as_is</v>
      </c>
      <c r="G289" s="75" t="str">
        <f t="shared" si="44"/>
        <v>rorac_to_be</v>
      </c>
      <c r="H289" s="75" t="str">
        <f>IF(VLOOKUP(B289,Instruções!$F$13:$J$17,5,0)="",
"(SELECT "&amp;VLOOKUP(B289,Instruções!$F$13:$J$17,4,0)&amp;" as "&amp;VLOOKUP(B289,Instruções!$F$13:$J$17,4,0)&amp;"_"&amp;$F$2&amp;", "&amp;E289&amp;" as "&amp;F289&amp;" FROM "&amp;C289&amp;" WHERE "&amp;Instruções!$D$20&amp;") A ",
"(SELECT "&amp;VLOOKUP(B289,Instruções!$F$13:$J$17,4,0)&amp;" as "&amp;VLOOKUP(B289,Instruções!$F$13:$J$17,4,0)&amp;"_"&amp;$F$2&amp;", "&amp;VLOOKUP(B289,Instruções!$F$13:$J$17,5,0)&amp;" as "&amp;VLOOKUP(B289,Instruções!$F$13:$J$17,5,0)&amp;"_"&amp;$F$2&amp;","&amp;E289&amp;" as "&amp;F289&amp;" FROM "&amp;C289&amp;" WHERE "&amp;Instruções!$D$20&amp;") A ")</f>
        <v xml:space="preserve">(SELECT instrmnt_id as instrmnt_id_, rorac as rorac_as_is FROM cd_loan_tapes_bce.lt002_instrument WHERE ref_date='2024-09-30' AND nome_perimetro='Individual Corporativo' AND segmento='ESTR' AND ambito='PM' AND entidade='00100' ) A </v>
      </c>
      <c r="I289" s="75" t="str">
        <f>IF(VLOOKUP(B289,Instruções!$F$13:$J$17,5,0)="",
"(SELECT "&amp;VLOOKUP(B289,Instruções!$F$13:$J$17,4,0)&amp;" as "&amp;VLOOKUP(B289,Instruções!$F$13:$J$17,4,0)&amp;"_"&amp;$G$2&amp;", "&amp;E289&amp;" as "&amp;G289&amp;" FROM "&amp;D289&amp;" WHERE "&amp;Instruções!$D$21&amp;") B ",
"(SELECT "&amp;VLOOKUP(B289,Instruções!$F$13:$J$17,4,0)&amp;" as "&amp;VLOOKUP(B289,Instruções!$F$13:$J$17,4,0)&amp;"_"&amp;$G$2&amp;", "&amp;VLOOKUP(B289,Instruções!$F$13:$J$17,5,0)&amp;" as "&amp;VLOOKUP(B289,Instruções!$F$13:$J$17,5,0)&amp;"_"&amp;$G$2&amp;","&amp;E289&amp;" as "&amp;G289&amp;" FROM "&amp;D289&amp;" WHERE "&amp;Instruções!$D$21&amp;") B ")</f>
        <v xml:space="preserve">(SELECT instrmnt_id as instrmnt_id_, rorac as rorac_to_be FROM bu_loantape_work.lt002_instrument WHERE ref_date='2024-09-30' AND nome_perimetro='Individual Corporativo' AND segmento='ESTR' AND ambito='PM' AND entidade='00100' ) B </v>
      </c>
      <c r="J289" s="75" t="str">
        <f>+IF(VLOOKUP(B289,Instruções!$F$13:$J$17,5,0)="", "ON "&amp;VLOOKUP(B289,Instruções!$F$13:$J$17,4,0)&amp;"_"&amp;$F$7&amp;"="&amp;VLOOKUP(B289,Instruções!$F$13:$J$17,4,0)&amp;"_"&amp;$G$7&amp;" ", "ON "&amp;VLOOKUP(B289,Instruções!$F$13:$J$17,4,0)&amp;"_"&amp;$F$7&amp;"="&amp;VLOOKUP(B289,Instruções!$F$13:$J$17,4,0)&amp;"_"&amp;$G$7&amp;" AND "&amp;VLOOKUP(B289,Instruções!$F$13:$J$17,5,0)&amp;"_"&amp;$F$7&amp;"="&amp;VLOOKUP(B289,Instruções!$F$13:$J$17,5,0)&amp;"_"&amp;$G$7&amp;" ")</f>
        <v xml:space="preserve">ON instrmnt_id_as_is=instrmnt_id_to_be </v>
      </c>
      <c r="K289" s="75" t="str">
        <f t="shared" si="45"/>
        <v xml:space="preserve">WHERE coalesce(cast(rorac_as_is AS string),'')&lt;&gt;coalesce(cast(rorac_to_be AS string),'') </v>
      </c>
      <c r="L289" s="75" t="str">
        <f t="shared" si="46"/>
        <v xml:space="preserve">SELECT count(*) AS NUM_REG_DIF FROM (SELECT instrmnt_id as instrmnt_id_, rorac as rorac_as_is FROM cd_loan_tapes_bce.lt002_instrument WHERE ref_date='2024-09-30' AND nome_perimetro='Individual Corporativo' AND segmento='ESTR' AND ambito='PM' AND entidade='00100' ) A  Inner join (SELECT instrmnt_id as instrmnt_id_, rorac as rorac_to_be FROM bu_loantape_work.lt002_instrument WHERE ref_date='2024-09-30' AND nome_perimetro='Individual Corporativo' AND segmento='ESTR' AND ambito='PM' AND entidade='00100' ) B ON instrmnt_id_as_is=instrmnt_id_to_be WHERE coalesce(cast(rorac_as_is AS string),'')&lt;&gt;coalesce(cast(rorac_to_be AS string),'') </v>
      </c>
      <c r="M289" s="75" t="s">
        <v>55</v>
      </c>
      <c r="N289" s="75" t="str">
        <f>"SELECT 'Validação de campos' as tipologia_teste, '"&amp;VLOOKUP(B289,Instruções!$F$13:$J$17,3,0)&amp;"' AS TABELA, '"&amp;E289&amp;"' AS CAMPO, '"&amp;Instruções!$D$15&amp;"' as ref_date, coalesce(NUM_REG_DIF, 0) AS NUM_REG_DIF FROM ("&amp;L289&amp;") A "</f>
        <v xml:space="preserve">SELECT 'Validação de campos' as tipologia_teste, 'lt002_instrument' AS TABELA, 'rorac' AS CAMPO, '2024-09-30' as ref_date, coalesce(NUM_REG_DIF, 0) AS NUM_REG_DIF FROM (SELECT count(*) AS NUM_REG_DIF FROM (SELECT instrmnt_id as instrmnt_id_, rorac as rorac_as_is FROM cd_loan_tapes_bce.lt002_instrument WHERE ref_date='2024-09-30' AND nome_perimetro='Individual Corporativo' AND segmento='ESTR' AND ambito='PM' AND entidade='00100' ) A  Inner join (SELECT instrmnt_id as instrmnt_id_, rorac as rorac_to_be FROM bu_loantape_work.lt002_instrument WHERE ref_date='2024-09-30' AND nome_perimetro='Individual Corporativo' AND segmento='ESTR' AND ambito='PM' AND entidade='00100' ) B ON instrmnt_id_as_is=instrmnt_id_to_be WHERE coalesce(cast(rorac_as_is AS string),'')&lt;&gt;coalesce(cast(rorac_to_be AS string),'') ) A </v>
      </c>
      <c r="O289" s="76" t="str">
        <f t="shared" si="47"/>
        <v>SELECT 'Validação de campos' as tipologia_teste, 'lt002_instrument' AS TABELA, 'rorac' AS CAMPO, '2024-09-30' as ref_date, coalesce(NUM_REG_DIF, 0) AS NUM_REG_DIF FROM (SELECT count(*) AS NUM_REG_DIF FROM (SELECT instrmnt_id as instrmnt_id_, rorac as rorac_as_is FROM cd_loan_tapes_bce.lt002_instrument WHERE ref_date='2024-09-30' AND nome_perimetro='Individual Corporativo' AND segmento='ESTR' AND ambito='PM' AND entidade='00100' ) A  Inner join (SELECT instrmnt_id as instrmnt_id_, rorac as rorac_to_be FROM bu_loantape_work.lt002_instrument WHERE ref_date='2024-09-30' AND nome_perimetro='Individual Corporativo' AND segmento='ESTR' AND ambito='PM' AND entidade='00100' ) B ON instrmnt_id_as_is=instrmnt_id_to_be WHERE coalesce(cast(rorac_as_is AS string),'')&lt;&gt;coalesce(cast(rorac_to_be AS string),'') ) A Union all</v>
      </c>
      <c r="P289" s="75">
        <f t="shared" si="48"/>
        <v>26</v>
      </c>
    </row>
    <row r="290" spans="2:16" s="63" customFormat="1" ht="18" customHeight="1">
      <c r="B290" s="75" t="s">
        <v>26</v>
      </c>
      <c r="C290" s="75" t="str">
        <f>_xlfn.CONCAT(Instruções!$D$13,".",VLOOKUP(B290,Instruções!$F$12:$H$17,2,0))</f>
        <v>cd_loan_tapes_bce.lt002_instrument</v>
      </c>
      <c r="D290" s="75" t="str">
        <f>_xlfn.CONCAT(Instruções!$D$14,".",VLOOKUP(B290,Instruções!$F$12:$H$17,3,0))</f>
        <v>bu_loantape_work.lt002_instrument</v>
      </c>
      <c r="E290" s="75" t="s">
        <v>144</v>
      </c>
      <c r="F290" s="75" t="str">
        <f t="shared" si="43"/>
        <v>rorwa_as_is</v>
      </c>
      <c r="G290" s="75" t="str">
        <f t="shared" si="44"/>
        <v>rorwa_to_be</v>
      </c>
      <c r="H290" s="75" t="str">
        <f>IF(VLOOKUP(B290,Instruções!$F$13:$J$17,5,0)="",
"(SELECT "&amp;VLOOKUP(B290,Instruções!$F$13:$J$17,4,0)&amp;" as "&amp;VLOOKUP(B290,Instruções!$F$13:$J$17,4,0)&amp;"_"&amp;$F$2&amp;", "&amp;E290&amp;" as "&amp;F290&amp;" FROM "&amp;C290&amp;" WHERE "&amp;Instruções!$D$20&amp;") A ",
"(SELECT "&amp;VLOOKUP(B290,Instruções!$F$13:$J$17,4,0)&amp;" as "&amp;VLOOKUP(B290,Instruções!$F$13:$J$17,4,0)&amp;"_"&amp;$F$2&amp;", "&amp;VLOOKUP(B290,Instruções!$F$13:$J$17,5,0)&amp;" as "&amp;VLOOKUP(B290,Instruções!$F$13:$J$17,5,0)&amp;"_"&amp;$F$2&amp;","&amp;E290&amp;" as "&amp;F290&amp;" FROM "&amp;C290&amp;" WHERE "&amp;Instruções!$D$20&amp;") A ")</f>
        <v xml:space="preserve">(SELECT instrmnt_id as instrmnt_id_, rorwa as rorwa_as_is FROM cd_loan_tapes_bce.lt002_instrument WHERE ref_date='2024-09-30' AND nome_perimetro='Individual Corporativo' AND segmento='ESTR' AND ambito='PM' AND entidade='00100' ) A </v>
      </c>
      <c r="I290" s="75" t="str">
        <f>IF(VLOOKUP(B290,Instruções!$F$13:$J$17,5,0)="",
"(SELECT "&amp;VLOOKUP(B290,Instruções!$F$13:$J$17,4,0)&amp;" as "&amp;VLOOKUP(B290,Instruções!$F$13:$J$17,4,0)&amp;"_"&amp;$G$2&amp;", "&amp;E290&amp;" as "&amp;G290&amp;" FROM "&amp;D290&amp;" WHERE "&amp;Instruções!$D$21&amp;") B ",
"(SELECT "&amp;VLOOKUP(B290,Instruções!$F$13:$J$17,4,0)&amp;" as "&amp;VLOOKUP(B290,Instruções!$F$13:$J$17,4,0)&amp;"_"&amp;$G$2&amp;", "&amp;VLOOKUP(B290,Instruções!$F$13:$J$17,5,0)&amp;" as "&amp;VLOOKUP(B290,Instruções!$F$13:$J$17,5,0)&amp;"_"&amp;$G$2&amp;","&amp;E290&amp;" as "&amp;G290&amp;" FROM "&amp;D290&amp;" WHERE "&amp;Instruções!$D$21&amp;") B ")</f>
        <v xml:space="preserve">(SELECT instrmnt_id as instrmnt_id_, rorwa as rorwa_to_be FROM bu_loantape_work.lt002_instrument WHERE ref_date='2024-09-30' AND nome_perimetro='Individual Corporativo' AND segmento='ESTR' AND ambito='PM' AND entidade='00100' ) B </v>
      </c>
      <c r="J290" s="75" t="str">
        <f>+IF(VLOOKUP(B290,Instruções!$F$13:$J$17,5,0)="", "ON "&amp;VLOOKUP(B290,Instruções!$F$13:$J$17,4,0)&amp;"_"&amp;$F$7&amp;"="&amp;VLOOKUP(B290,Instruções!$F$13:$J$17,4,0)&amp;"_"&amp;$G$7&amp;" ", "ON "&amp;VLOOKUP(B290,Instruções!$F$13:$J$17,4,0)&amp;"_"&amp;$F$7&amp;"="&amp;VLOOKUP(B290,Instruções!$F$13:$J$17,4,0)&amp;"_"&amp;$G$7&amp;" AND "&amp;VLOOKUP(B290,Instruções!$F$13:$J$17,5,0)&amp;"_"&amp;$F$7&amp;"="&amp;VLOOKUP(B290,Instruções!$F$13:$J$17,5,0)&amp;"_"&amp;$G$7&amp;" ")</f>
        <v xml:space="preserve">ON instrmnt_id_as_is=instrmnt_id_to_be </v>
      </c>
      <c r="K290" s="75" t="str">
        <f t="shared" si="45"/>
        <v xml:space="preserve">WHERE coalesce(cast(rorwa_as_is AS string),'')&lt;&gt;coalesce(cast(rorwa_to_be AS string),'') </v>
      </c>
      <c r="L290" s="75" t="str">
        <f t="shared" si="46"/>
        <v xml:space="preserve">SELECT count(*) AS NUM_REG_DIF FROM (SELECT instrmnt_id as instrmnt_id_, rorwa as rorwa_as_is FROM cd_loan_tapes_bce.lt002_instrument WHERE ref_date='2024-09-30' AND nome_perimetro='Individual Corporativo' AND segmento='ESTR' AND ambito='PM' AND entidade='00100' ) A  Inner join (SELECT instrmnt_id as instrmnt_id_, rorwa as rorwa_to_be FROM bu_loantape_work.lt002_instrument WHERE ref_date='2024-09-30' AND nome_perimetro='Individual Corporativo' AND segmento='ESTR' AND ambito='PM' AND entidade='00100' ) B ON instrmnt_id_as_is=instrmnt_id_to_be WHERE coalesce(cast(rorwa_as_is AS string),'')&lt;&gt;coalesce(cast(rorwa_to_be AS string),'') </v>
      </c>
      <c r="M290" s="75" t="s">
        <v>55</v>
      </c>
      <c r="N290" s="75" t="str">
        <f>"SELECT 'Validação de campos' as tipologia_teste, '"&amp;VLOOKUP(B290,Instruções!$F$13:$J$17,3,0)&amp;"' AS TABELA, '"&amp;E290&amp;"' AS CAMPO, '"&amp;Instruções!$D$15&amp;"' as ref_date, coalesce(NUM_REG_DIF, 0) AS NUM_REG_DIF FROM ("&amp;L290&amp;") A "</f>
        <v xml:space="preserve">SELECT 'Validação de campos' as tipologia_teste, 'lt002_instrument' AS TABELA, 'rorwa' AS CAMPO, '2024-09-30' as ref_date, coalesce(NUM_REG_DIF, 0) AS NUM_REG_DIF FROM (SELECT count(*) AS NUM_REG_DIF FROM (SELECT instrmnt_id as instrmnt_id_, rorwa as rorwa_as_is FROM cd_loan_tapes_bce.lt002_instrument WHERE ref_date='2024-09-30' AND nome_perimetro='Individual Corporativo' AND segmento='ESTR' AND ambito='PM' AND entidade='00100' ) A  Inner join (SELECT instrmnt_id as instrmnt_id_, rorwa as rorwa_to_be FROM bu_loantape_work.lt002_instrument WHERE ref_date='2024-09-30' AND nome_perimetro='Individual Corporativo' AND segmento='ESTR' AND ambito='PM' AND entidade='00100' ) B ON instrmnt_id_as_is=instrmnt_id_to_be WHERE coalesce(cast(rorwa_as_is AS string),'')&lt;&gt;coalesce(cast(rorwa_to_be AS string),'') ) A </v>
      </c>
      <c r="O290" s="76" t="str">
        <f t="shared" si="47"/>
        <v>SELECT 'Validação de campos' as tipologia_teste, 'lt002_instrument' AS TABELA, 'rorwa' AS CAMPO, '2024-09-30' as ref_date, coalesce(NUM_REG_DIF, 0) AS NUM_REG_DIF FROM (SELECT count(*) AS NUM_REG_DIF FROM (SELECT instrmnt_id as instrmnt_id_, rorwa as rorwa_as_is FROM cd_loan_tapes_bce.lt002_instrument WHERE ref_date='2024-09-30' AND nome_perimetro='Individual Corporativo' AND segmento='ESTR' AND ambito='PM' AND entidade='00100' ) A  Inner join (SELECT instrmnt_id as instrmnt_id_, rorwa as rorwa_to_be FROM bu_loantape_work.lt002_instrument WHERE ref_date='2024-09-30' AND nome_perimetro='Individual Corporativo' AND segmento='ESTR' AND ambito='PM' AND entidade='00100' ) B ON instrmnt_id_as_is=instrmnt_id_to_be WHERE coalesce(cast(rorwa_as_is AS string),'')&lt;&gt;coalesce(cast(rorwa_to_be AS string),'') ) A Union all</v>
      </c>
      <c r="P290" s="75">
        <f t="shared" si="48"/>
        <v>27</v>
      </c>
    </row>
    <row r="291" spans="2:16" s="63" customFormat="1" ht="18" customHeight="1">
      <c r="B291" s="75" t="s">
        <v>26</v>
      </c>
      <c r="C291" s="75" t="str">
        <f>_xlfn.CONCAT(Instruções!$D$13,".",VLOOKUP(B291,Instruções!$F$12:$H$17,2,0))</f>
        <v>cd_loan_tapes_bce.lt002_instrument</v>
      </c>
      <c r="D291" s="75" t="str">
        <f>_xlfn.CONCAT(Instruções!$D$14,".",VLOOKUP(B291,Instruções!$F$12:$H$17,3,0))</f>
        <v>bu_loantape_work.lt002_instrument</v>
      </c>
      <c r="E291" s="75" t="s">
        <v>319</v>
      </c>
      <c r="F291" s="75" t="str">
        <f t="shared" si="43"/>
        <v>rre_fnrp18_as_is</v>
      </c>
      <c r="G291" s="75" t="str">
        <f t="shared" si="44"/>
        <v>rre_fnrp18_to_be</v>
      </c>
      <c r="H291" s="75" t="str">
        <f>IF(VLOOKUP(B291,Instruções!$F$13:$J$17,5,0)="",
"(SELECT "&amp;VLOOKUP(B291,Instruções!$F$13:$J$17,4,0)&amp;" as "&amp;VLOOKUP(B291,Instruções!$F$13:$J$17,4,0)&amp;"_"&amp;$F$2&amp;", "&amp;E291&amp;" as "&amp;F291&amp;" FROM "&amp;C291&amp;" WHERE "&amp;Instruções!$D$20&amp;") A ",
"(SELECT "&amp;VLOOKUP(B291,Instruções!$F$13:$J$17,4,0)&amp;" as "&amp;VLOOKUP(B291,Instruções!$F$13:$J$17,4,0)&amp;"_"&amp;$F$2&amp;", "&amp;VLOOKUP(B291,Instruções!$F$13:$J$17,5,0)&amp;" as "&amp;VLOOKUP(B291,Instruções!$F$13:$J$17,5,0)&amp;"_"&amp;$F$2&amp;","&amp;E291&amp;" as "&amp;F291&amp;" FROM "&amp;C291&amp;" WHERE "&amp;Instruções!$D$20&amp;") A ")</f>
        <v xml:space="preserve">(SELECT instrmnt_id as instrmnt_id_, rre_fnrp18 as rre_fnrp18_as_is FROM cd_loan_tapes_bce.lt002_instrument WHERE ref_date='2024-09-30' AND nome_perimetro='Individual Corporativo' AND segmento='ESTR' AND ambito='PM' AND entidade='00100' ) A </v>
      </c>
      <c r="I291" s="75" t="str">
        <f>IF(VLOOKUP(B291,Instruções!$F$13:$J$17,5,0)="",
"(SELECT "&amp;VLOOKUP(B291,Instruções!$F$13:$J$17,4,0)&amp;" as "&amp;VLOOKUP(B291,Instruções!$F$13:$J$17,4,0)&amp;"_"&amp;$G$2&amp;", "&amp;E291&amp;" as "&amp;G291&amp;" FROM "&amp;D291&amp;" WHERE "&amp;Instruções!$D$21&amp;") B ",
"(SELECT "&amp;VLOOKUP(B291,Instruções!$F$13:$J$17,4,0)&amp;" as "&amp;VLOOKUP(B291,Instruções!$F$13:$J$17,4,0)&amp;"_"&amp;$G$2&amp;", "&amp;VLOOKUP(B291,Instruções!$F$13:$J$17,5,0)&amp;" as "&amp;VLOOKUP(B291,Instruções!$F$13:$J$17,5,0)&amp;"_"&amp;$G$2&amp;","&amp;E291&amp;" as "&amp;G291&amp;" FROM "&amp;D291&amp;" WHERE "&amp;Instruções!$D$21&amp;") B ")</f>
        <v xml:space="preserve">(SELECT instrmnt_id as instrmnt_id_, rre_fnrp18 as rre_fnrp18_to_be FROM bu_loantape_work.lt002_instrument WHERE ref_date='2024-09-30' AND nome_perimetro='Individual Corporativo' AND segmento='ESTR' AND ambito='PM' AND entidade='00100' ) B </v>
      </c>
      <c r="J291" s="75" t="str">
        <f>+IF(VLOOKUP(B291,Instruções!$F$13:$J$17,5,0)="", "ON "&amp;VLOOKUP(B291,Instruções!$F$13:$J$17,4,0)&amp;"_"&amp;$F$7&amp;"="&amp;VLOOKUP(B291,Instruções!$F$13:$J$17,4,0)&amp;"_"&amp;$G$7&amp;" ", "ON "&amp;VLOOKUP(B291,Instruções!$F$13:$J$17,4,0)&amp;"_"&amp;$F$7&amp;"="&amp;VLOOKUP(B291,Instruções!$F$13:$J$17,4,0)&amp;"_"&amp;$G$7&amp;" AND "&amp;VLOOKUP(B291,Instruções!$F$13:$J$17,5,0)&amp;"_"&amp;$F$7&amp;"="&amp;VLOOKUP(B291,Instruções!$F$13:$J$17,5,0)&amp;"_"&amp;$G$7&amp;" ")</f>
        <v xml:space="preserve">ON instrmnt_id_as_is=instrmnt_id_to_be </v>
      </c>
      <c r="K291" s="75" t="str">
        <f t="shared" si="45"/>
        <v xml:space="preserve">WHERE coalesce(cast(rre_fnrp18_as_is AS string),'')&lt;&gt;coalesce(cast(rre_fnrp18_to_be AS string),'') </v>
      </c>
      <c r="L291" s="75" t="str">
        <f t="shared" si="46"/>
        <v xml:space="preserve">SELECT count(*) AS NUM_REG_DIF FROM (SELECT instrmnt_id as instrmnt_id_, rre_fnrp18 as rre_fnrp18_as_is FROM cd_loan_tapes_bce.lt002_instrument WHERE ref_date='2024-09-30' AND nome_perimetro='Individual Corporativo' AND segmento='ESTR' AND ambito='PM' AND entidade='00100' ) A  Inner join (SELECT instrmnt_id as instrmnt_id_, rre_fnrp18 as rre_fnrp18_to_be FROM bu_loantape_work.lt002_instrument WHERE ref_date='2024-09-30' AND nome_perimetro='Individual Corporativo' AND segmento='ESTR' AND ambito='PM' AND entidade='00100' ) B ON instrmnt_id_as_is=instrmnt_id_to_be WHERE coalesce(cast(rre_fnrp18_as_is AS string),'')&lt;&gt;coalesce(cast(rre_fnrp18_to_be AS string),'') </v>
      </c>
      <c r="M291" s="75" t="s">
        <v>55</v>
      </c>
      <c r="N291" s="75" t="str">
        <f>"SELECT 'Validação de campos' as tipologia_teste, '"&amp;VLOOKUP(B291,Instruções!$F$13:$J$17,3,0)&amp;"' AS TABELA, '"&amp;E291&amp;"' AS CAMPO, '"&amp;Instruções!$D$15&amp;"' as ref_date, coalesce(NUM_REG_DIF, 0) AS NUM_REG_DIF FROM ("&amp;L291&amp;") A "</f>
        <v xml:space="preserve">SELECT 'Validação de campos' as tipologia_teste, 'lt002_instrument' AS TABELA, 'rre_fnrp18' AS CAMPO, '2024-09-30' as ref_date, coalesce(NUM_REG_DIF, 0) AS NUM_REG_DIF FROM (SELECT count(*) AS NUM_REG_DIF FROM (SELECT instrmnt_id as instrmnt_id_, rre_fnrp18 as rre_fnrp18_as_is FROM cd_loan_tapes_bce.lt002_instrument WHERE ref_date='2024-09-30' AND nome_perimetro='Individual Corporativo' AND segmento='ESTR' AND ambito='PM' AND entidade='00100' ) A  Inner join (SELECT instrmnt_id as instrmnt_id_, rre_fnrp18 as rre_fnrp18_to_be FROM bu_loantape_work.lt002_instrument WHERE ref_date='2024-09-30' AND nome_perimetro='Individual Corporativo' AND segmento='ESTR' AND ambito='PM' AND entidade='00100' ) B ON instrmnt_id_as_is=instrmnt_id_to_be WHERE coalesce(cast(rre_fnrp18_as_is AS string),'')&lt;&gt;coalesce(cast(rre_fnrp18_to_be AS string),'') ) A </v>
      </c>
      <c r="O291" s="76" t="str">
        <f t="shared" si="47"/>
        <v>SELECT 'Validação de campos' as tipologia_teste, 'lt002_instrument' AS TABELA, 'rre_fnrp18' AS CAMPO, '2024-09-30' as ref_date, coalesce(NUM_REG_DIF, 0) AS NUM_REG_DIF FROM (SELECT count(*) AS NUM_REG_DIF FROM (SELECT instrmnt_id as instrmnt_id_, rre_fnrp18 as rre_fnrp18_as_is FROM cd_loan_tapes_bce.lt002_instrument WHERE ref_date='2024-09-30' AND nome_perimetro='Individual Corporativo' AND segmento='ESTR' AND ambito='PM' AND entidade='00100' ) A  Inner join (SELECT instrmnt_id as instrmnt_id_, rre_fnrp18 as rre_fnrp18_to_be FROM bu_loantape_work.lt002_instrument WHERE ref_date='2024-09-30' AND nome_perimetro='Individual Corporativo' AND segmento='ESTR' AND ambito='PM' AND entidade='00100' ) B ON instrmnt_id_as_is=instrmnt_id_to_be WHERE coalesce(cast(rre_fnrp18_as_is AS string),'')&lt;&gt;coalesce(cast(rre_fnrp18_to_be AS string),'') ) A Union all</v>
      </c>
      <c r="P291" s="75">
        <f t="shared" si="48"/>
        <v>28</v>
      </c>
    </row>
    <row r="292" spans="2:16" s="63" customFormat="1" ht="18" customHeight="1">
      <c r="B292" s="75" t="s">
        <v>26</v>
      </c>
      <c r="C292" s="75" t="str">
        <f>_xlfn.CONCAT(Instruções!$D$13,".",VLOOKUP(B292,Instruções!$F$12:$H$17,2,0))</f>
        <v>cd_loan_tapes_bce.lt002_instrument</v>
      </c>
      <c r="D292" s="75" t="str">
        <f>_xlfn.CONCAT(Instruções!$D$14,".",VLOOKUP(B292,Instruções!$F$12:$H$17,3,0))</f>
        <v>bu_loantape_work.lt002_instrument</v>
      </c>
      <c r="E292" s="75" t="s">
        <v>145</v>
      </c>
      <c r="F292" s="75" t="str">
        <f t="shared" si="43"/>
        <v>rtng_mthd_as_is</v>
      </c>
      <c r="G292" s="75" t="str">
        <f t="shared" si="44"/>
        <v>rtng_mthd_to_be</v>
      </c>
      <c r="H292" s="75" t="str">
        <f>IF(VLOOKUP(B292,Instruções!$F$13:$J$17,5,0)="",
"(SELECT "&amp;VLOOKUP(B292,Instruções!$F$13:$J$17,4,0)&amp;" as "&amp;VLOOKUP(B292,Instruções!$F$13:$J$17,4,0)&amp;"_"&amp;$F$2&amp;", "&amp;E292&amp;" as "&amp;F292&amp;" FROM "&amp;C292&amp;" WHERE "&amp;Instruções!$D$20&amp;") A ",
"(SELECT "&amp;VLOOKUP(B292,Instruções!$F$13:$J$17,4,0)&amp;" as "&amp;VLOOKUP(B292,Instruções!$F$13:$J$17,4,0)&amp;"_"&amp;$F$2&amp;", "&amp;VLOOKUP(B292,Instruções!$F$13:$J$17,5,0)&amp;" as "&amp;VLOOKUP(B292,Instruções!$F$13:$J$17,5,0)&amp;"_"&amp;$F$2&amp;","&amp;E292&amp;" as "&amp;F292&amp;" FROM "&amp;C292&amp;" WHERE "&amp;Instruções!$D$20&amp;") A ")</f>
        <v xml:space="preserve">(SELECT instrmnt_id as instrmnt_id_, rtng_mthd as rtng_mthd_as_is FROM cd_loan_tapes_bce.lt002_instrument WHERE ref_date='2024-09-30' AND nome_perimetro='Individual Corporativo' AND segmento='ESTR' AND ambito='PM' AND entidade='00100' ) A </v>
      </c>
      <c r="I292" s="75" t="str">
        <f>IF(VLOOKUP(B292,Instruções!$F$13:$J$17,5,0)="",
"(SELECT "&amp;VLOOKUP(B292,Instruções!$F$13:$J$17,4,0)&amp;" as "&amp;VLOOKUP(B292,Instruções!$F$13:$J$17,4,0)&amp;"_"&amp;$G$2&amp;", "&amp;E292&amp;" as "&amp;G292&amp;" FROM "&amp;D292&amp;" WHERE "&amp;Instruções!$D$21&amp;") B ",
"(SELECT "&amp;VLOOKUP(B292,Instruções!$F$13:$J$17,4,0)&amp;" as "&amp;VLOOKUP(B292,Instruções!$F$13:$J$17,4,0)&amp;"_"&amp;$G$2&amp;", "&amp;VLOOKUP(B292,Instruções!$F$13:$J$17,5,0)&amp;" as "&amp;VLOOKUP(B292,Instruções!$F$13:$J$17,5,0)&amp;"_"&amp;$G$2&amp;","&amp;E292&amp;" as "&amp;G292&amp;" FROM "&amp;D292&amp;" WHERE "&amp;Instruções!$D$21&amp;") B ")</f>
        <v xml:space="preserve">(SELECT instrmnt_id as instrmnt_id_, rtng_mthd as rtng_mthd_to_be FROM bu_loantape_work.lt002_instrument WHERE ref_date='2024-09-30' AND nome_perimetro='Individual Corporativo' AND segmento='ESTR' AND ambito='PM' AND entidade='00100' ) B </v>
      </c>
      <c r="J292" s="75" t="str">
        <f>+IF(VLOOKUP(B292,Instruções!$F$13:$J$17,5,0)="", "ON "&amp;VLOOKUP(B292,Instruções!$F$13:$J$17,4,0)&amp;"_"&amp;$F$7&amp;"="&amp;VLOOKUP(B292,Instruções!$F$13:$J$17,4,0)&amp;"_"&amp;$G$7&amp;" ", "ON "&amp;VLOOKUP(B292,Instruções!$F$13:$J$17,4,0)&amp;"_"&amp;$F$7&amp;"="&amp;VLOOKUP(B292,Instruções!$F$13:$J$17,4,0)&amp;"_"&amp;$G$7&amp;" AND "&amp;VLOOKUP(B292,Instruções!$F$13:$J$17,5,0)&amp;"_"&amp;$F$7&amp;"="&amp;VLOOKUP(B292,Instruções!$F$13:$J$17,5,0)&amp;"_"&amp;$G$7&amp;" ")</f>
        <v xml:space="preserve">ON instrmnt_id_as_is=instrmnt_id_to_be </v>
      </c>
      <c r="K292" s="75" t="str">
        <f t="shared" si="45"/>
        <v xml:space="preserve">WHERE coalesce(cast(rtng_mthd_as_is AS string),'')&lt;&gt;coalesce(cast(rtng_mthd_to_be AS string),'') </v>
      </c>
      <c r="L292" s="75" t="str">
        <f t="shared" si="46"/>
        <v xml:space="preserve">SELECT count(*) AS NUM_REG_DIF FROM (SELECT instrmnt_id as instrmnt_id_, rtng_mthd as rtng_mthd_as_is FROM cd_loan_tapes_bce.lt002_instrument WHERE ref_date='2024-09-30' AND nome_perimetro='Individual Corporativo' AND segmento='ESTR' AND ambito='PM' AND entidade='00100' ) A  Inner join (SELECT instrmnt_id as instrmnt_id_, rtng_mthd as rtng_mthd_to_be FROM bu_loantape_work.lt002_instrument WHERE ref_date='2024-09-30' AND nome_perimetro='Individual Corporativo' AND segmento='ESTR' AND ambito='PM' AND entidade='00100' ) B ON instrmnt_id_as_is=instrmnt_id_to_be WHERE coalesce(cast(rtng_mthd_as_is AS string),'')&lt;&gt;coalesce(cast(rtng_mthd_to_be AS string),'') </v>
      </c>
      <c r="M292" s="75" t="s">
        <v>55</v>
      </c>
      <c r="N292" s="75" t="str">
        <f>"SELECT 'Validação de campos' as tipologia_teste, '"&amp;VLOOKUP(B292,Instruções!$F$13:$J$17,3,0)&amp;"' AS TABELA, '"&amp;E292&amp;"' AS CAMPO, '"&amp;Instruções!$D$15&amp;"' as ref_date, coalesce(NUM_REG_DIF, 0) AS NUM_REG_DIF FROM ("&amp;L292&amp;") A "</f>
        <v xml:space="preserve">SELECT 'Validação de campos' as tipologia_teste, 'lt002_instrument' AS TABELA, 'rtng_mthd' AS CAMPO, '2024-09-30' as ref_date, coalesce(NUM_REG_DIF, 0) AS NUM_REG_DIF FROM (SELECT count(*) AS NUM_REG_DIF FROM (SELECT instrmnt_id as instrmnt_id_, rtng_mthd as rtng_mthd_as_is FROM cd_loan_tapes_bce.lt002_instrument WHERE ref_date='2024-09-30' AND nome_perimetro='Individual Corporativo' AND segmento='ESTR' AND ambito='PM' AND entidade='00100' ) A  Inner join (SELECT instrmnt_id as instrmnt_id_, rtng_mthd as rtng_mthd_to_be FROM bu_loantape_work.lt002_instrument WHERE ref_date='2024-09-30' AND nome_perimetro='Individual Corporativo' AND segmento='ESTR' AND ambito='PM' AND entidade='00100' ) B ON instrmnt_id_as_is=instrmnt_id_to_be WHERE coalesce(cast(rtng_mthd_as_is AS string),'')&lt;&gt;coalesce(cast(rtng_mthd_to_be AS string),'') ) A </v>
      </c>
      <c r="O292" s="76" t="str">
        <f t="shared" si="47"/>
        <v>SELECT 'Validação de campos' as tipologia_teste, 'lt002_instrument' AS TABELA, 'rtng_mthd' AS CAMPO, '2024-09-30' as ref_date, coalesce(NUM_REG_DIF, 0) AS NUM_REG_DIF FROM (SELECT count(*) AS NUM_REG_DIF FROM (SELECT instrmnt_id as instrmnt_id_, rtng_mthd as rtng_mthd_as_is FROM cd_loan_tapes_bce.lt002_instrument WHERE ref_date='2024-09-30' AND nome_perimetro='Individual Corporativo' AND segmento='ESTR' AND ambito='PM' AND entidade='00100' ) A  Inner join (SELECT instrmnt_id as instrmnt_id_, rtng_mthd as rtng_mthd_to_be FROM bu_loantape_work.lt002_instrument WHERE ref_date='2024-09-30' AND nome_perimetro='Individual Corporativo' AND segmento='ESTR' AND ambito='PM' AND entidade='00100' ) B ON instrmnt_id_as_is=instrmnt_id_to_be WHERE coalesce(cast(rtng_mthd_as_is AS string),'')&lt;&gt;coalesce(cast(rtng_mthd_to_be AS string),'') ) A Union all</v>
      </c>
      <c r="P292" s="75">
        <f t="shared" si="48"/>
        <v>29</v>
      </c>
    </row>
    <row r="293" spans="2:16" s="63" customFormat="1" ht="18" customHeight="1">
      <c r="B293" s="75" t="s">
        <v>26</v>
      </c>
      <c r="C293" s="75" t="str">
        <f>_xlfn.CONCAT(Instruções!$D$13,".",VLOOKUP(B293,Instruções!$F$12:$H$17,2,0))</f>
        <v>cd_loan_tapes_bce.lt002_instrument</v>
      </c>
      <c r="D293" s="75" t="str">
        <f>_xlfn.CONCAT(Instruções!$D$14,".",VLOOKUP(B293,Instruções!$F$12:$H$17,3,0))</f>
        <v>bu_loantape_work.lt002_instrument</v>
      </c>
      <c r="E293" s="75" t="s">
        <v>146</v>
      </c>
      <c r="F293" s="75" t="str">
        <f t="shared" si="43"/>
        <v>rtng_scl_as_is</v>
      </c>
      <c r="G293" s="75" t="str">
        <f t="shared" si="44"/>
        <v>rtng_scl_to_be</v>
      </c>
      <c r="H293" s="75" t="str">
        <f>IF(VLOOKUP(B293,Instruções!$F$13:$J$17,5,0)="",
"(SELECT "&amp;VLOOKUP(B293,Instruções!$F$13:$J$17,4,0)&amp;" as "&amp;VLOOKUP(B293,Instruções!$F$13:$J$17,4,0)&amp;"_"&amp;$F$2&amp;", "&amp;E293&amp;" as "&amp;F293&amp;" FROM "&amp;C293&amp;" WHERE "&amp;Instruções!$D$20&amp;") A ",
"(SELECT "&amp;VLOOKUP(B293,Instruções!$F$13:$J$17,4,0)&amp;" as "&amp;VLOOKUP(B293,Instruções!$F$13:$J$17,4,0)&amp;"_"&amp;$F$2&amp;", "&amp;VLOOKUP(B293,Instruções!$F$13:$J$17,5,0)&amp;" as "&amp;VLOOKUP(B293,Instruções!$F$13:$J$17,5,0)&amp;"_"&amp;$F$2&amp;","&amp;E293&amp;" as "&amp;F293&amp;" FROM "&amp;C293&amp;" WHERE "&amp;Instruções!$D$20&amp;") A ")</f>
        <v xml:space="preserve">(SELECT instrmnt_id as instrmnt_id_, rtng_scl as rtng_scl_as_is FROM cd_loan_tapes_bce.lt002_instrument WHERE ref_date='2024-09-30' AND nome_perimetro='Individual Corporativo' AND segmento='ESTR' AND ambito='PM' AND entidade='00100' ) A </v>
      </c>
      <c r="I293" s="75" t="str">
        <f>IF(VLOOKUP(B293,Instruções!$F$13:$J$17,5,0)="",
"(SELECT "&amp;VLOOKUP(B293,Instruções!$F$13:$J$17,4,0)&amp;" as "&amp;VLOOKUP(B293,Instruções!$F$13:$J$17,4,0)&amp;"_"&amp;$G$2&amp;", "&amp;E293&amp;" as "&amp;G293&amp;" FROM "&amp;D293&amp;" WHERE "&amp;Instruções!$D$21&amp;") B ",
"(SELECT "&amp;VLOOKUP(B293,Instruções!$F$13:$J$17,4,0)&amp;" as "&amp;VLOOKUP(B293,Instruções!$F$13:$J$17,4,0)&amp;"_"&amp;$G$2&amp;", "&amp;VLOOKUP(B293,Instruções!$F$13:$J$17,5,0)&amp;" as "&amp;VLOOKUP(B293,Instruções!$F$13:$J$17,5,0)&amp;"_"&amp;$G$2&amp;","&amp;E293&amp;" as "&amp;G293&amp;" FROM "&amp;D293&amp;" WHERE "&amp;Instruções!$D$21&amp;") B ")</f>
        <v xml:space="preserve">(SELECT instrmnt_id as instrmnt_id_, rtng_scl as rtng_scl_to_be FROM bu_loantape_work.lt002_instrument WHERE ref_date='2024-09-30' AND nome_perimetro='Individual Corporativo' AND segmento='ESTR' AND ambito='PM' AND entidade='00100' ) B </v>
      </c>
      <c r="J293" s="75" t="str">
        <f>+IF(VLOOKUP(B293,Instruções!$F$13:$J$17,5,0)="", "ON "&amp;VLOOKUP(B293,Instruções!$F$13:$J$17,4,0)&amp;"_"&amp;$F$7&amp;"="&amp;VLOOKUP(B293,Instruções!$F$13:$J$17,4,0)&amp;"_"&amp;$G$7&amp;" ", "ON "&amp;VLOOKUP(B293,Instruções!$F$13:$J$17,4,0)&amp;"_"&amp;$F$7&amp;"="&amp;VLOOKUP(B293,Instruções!$F$13:$J$17,4,0)&amp;"_"&amp;$G$7&amp;" AND "&amp;VLOOKUP(B293,Instruções!$F$13:$J$17,5,0)&amp;"_"&amp;$F$7&amp;"="&amp;VLOOKUP(B293,Instruções!$F$13:$J$17,5,0)&amp;"_"&amp;$G$7&amp;" ")</f>
        <v xml:space="preserve">ON instrmnt_id_as_is=instrmnt_id_to_be </v>
      </c>
      <c r="K293" s="75" t="str">
        <f t="shared" si="45"/>
        <v xml:space="preserve">WHERE coalesce(cast(rtng_scl_as_is AS string),'')&lt;&gt;coalesce(cast(rtng_scl_to_be AS string),'') </v>
      </c>
      <c r="L293" s="75" t="str">
        <f t="shared" si="46"/>
        <v xml:space="preserve">SELECT count(*) AS NUM_REG_DIF FROM (SELECT instrmnt_id as instrmnt_id_, rtng_scl as rtng_scl_as_is FROM cd_loan_tapes_bce.lt002_instrument WHERE ref_date='2024-09-30' AND nome_perimetro='Individual Corporativo' AND segmento='ESTR' AND ambito='PM' AND entidade='00100' ) A  Inner join (SELECT instrmnt_id as instrmnt_id_, rtng_scl as rtng_scl_to_be FROM bu_loantape_work.lt002_instrument WHERE ref_date='2024-09-30' AND nome_perimetro='Individual Corporativo' AND segmento='ESTR' AND ambito='PM' AND entidade='00100' ) B ON instrmnt_id_as_is=instrmnt_id_to_be WHERE coalesce(cast(rtng_scl_as_is AS string),'')&lt;&gt;coalesce(cast(rtng_scl_to_be AS string),'') </v>
      </c>
      <c r="M293" s="75" t="s">
        <v>55</v>
      </c>
      <c r="N293" s="75" t="str">
        <f>"SELECT 'Validação de campos' as tipologia_teste, '"&amp;VLOOKUP(B293,Instruções!$F$13:$J$17,3,0)&amp;"' AS TABELA, '"&amp;E293&amp;"' AS CAMPO, '"&amp;Instruções!$D$15&amp;"' as ref_date, coalesce(NUM_REG_DIF, 0) AS NUM_REG_DIF FROM ("&amp;L293&amp;") A "</f>
        <v xml:space="preserve">SELECT 'Validação de campos' as tipologia_teste, 'lt002_instrument' AS TABELA, 'rtng_scl' AS CAMPO, '2024-09-30' as ref_date, coalesce(NUM_REG_DIF, 0) AS NUM_REG_DIF FROM (SELECT count(*) AS NUM_REG_DIF FROM (SELECT instrmnt_id as instrmnt_id_, rtng_scl as rtng_scl_as_is FROM cd_loan_tapes_bce.lt002_instrument WHERE ref_date='2024-09-30' AND nome_perimetro='Individual Corporativo' AND segmento='ESTR' AND ambito='PM' AND entidade='00100' ) A  Inner join (SELECT instrmnt_id as instrmnt_id_, rtng_scl as rtng_scl_to_be FROM bu_loantape_work.lt002_instrument WHERE ref_date='2024-09-30' AND nome_perimetro='Individual Corporativo' AND segmento='ESTR' AND ambito='PM' AND entidade='00100' ) B ON instrmnt_id_as_is=instrmnt_id_to_be WHERE coalesce(cast(rtng_scl_as_is AS string),'')&lt;&gt;coalesce(cast(rtng_scl_to_be AS string),'') ) A </v>
      </c>
      <c r="O293" s="76" t="str">
        <f t="shared" si="47"/>
        <v>SELECT 'Validação de campos' as tipologia_teste, 'lt002_instrument' AS TABELA, 'rtng_scl' AS CAMPO, '2024-09-30' as ref_date, coalesce(NUM_REG_DIF, 0) AS NUM_REG_DIF FROM (SELECT count(*) AS NUM_REG_DIF FROM (SELECT instrmnt_id as instrmnt_id_, rtng_scl as rtng_scl_as_is FROM cd_loan_tapes_bce.lt002_instrument WHERE ref_date='2024-09-30' AND nome_perimetro='Individual Corporativo' AND segmento='ESTR' AND ambito='PM' AND entidade='00100' ) A  Inner join (SELECT instrmnt_id as instrmnt_id_, rtng_scl as rtng_scl_to_be FROM bu_loantape_work.lt002_instrument WHERE ref_date='2024-09-30' AND nome_perimetro='Individual Corporativo' AND segmento='ESTR' AND ambito='PM' AND entidade='00100' ) B ON instrmnt_id_as_is=instrmnt_id_to_be WHERE coalesce(cast(rtng_scl_as_is AS string),'')&lt;&gt;coalesce(cast(rtng_scl_to_be AS string),'') ) A Union all</v>
      </c>
      <c r="P293" s="75">
        <f t="shared" si="48"/>
        <v>30</v>
      </c>
    </row>
    <row r="294" spans="2:16" s="63" customFormat="1" ht="18" customHeight="1">
      <c r="B294" s="75" t="s">
        <v>26</v>
      </c>
      <c r="C294" s="75" t="str">
        <f>_xlfn.CONCAT(Instruções!$D$13,".",VLOOKUP(B294,Instruções!$F$12:$H$17,2,0))</f>
        <v>cd_loan_tapes_bce.lt002_instrument</v>
      </c>
      <c r="D294" s="75" t="str">
        <f>_xlfn.CONCAT(Instruções!$D$14,".",VLOOKUP(B294,Instruções!$F$12:$H$17,3,0))</f>
        <v>bu_loantape_work.lt002_instrument</v>
      </c>
      <c r="E294" s="75" t="s">
        <v>320</v>
      </c>
      <c r="F294" s="75" t="str">
        <f t="shared" si="43"/>
        <v>rtntn_shr_as_is</v>
      </c>
      <c r="G294" s="75" t="str">
        <f t="shared" si="44"/>
        <v>rtntn_shr_to_be</v>
      </c>
      <c r="H294" s="75" t="str">
        <f>IF(VLOOKUP(B294,Instruções!$F$13:$J$17,5,0)="",
"(SELECT "&amp;VLOOKUP(B294,Instruções!$F$13:$J$17,4,0)&amp;" as "&amp;VLOOKUP(B294,Instruções!$F$13:$J$17,4,0)&amp;"_"&amp;$F$2&amp;", "&amp;E294&amp;" as "&amp;F294&amp;" FROM "&amp;C294&amp;" WHERE "&amp;Instruções!$D$20&amp;") A ",
"(SELECT "&amp;VLOOKUP(B294,Instruções!$F$13:$J$17,4,0)&amp;" as "&amp;VLOOKUP(B294,Instruções!$F$13:$J$17,4,0)&amp;"_"&amp;$F$2&amp;", "&amp;VLOOKUP(B294,Instruções!$F$13:$J$17,5,0)&amp;" as "&amp;VLOOKUP(B294,Instruções!$F$13:$J$17,5,0)&amp;"_"&amp;$F$2&amp;","&amp;E294&amp;" as "&amp;F294&amp;" FROM "&amp;C294&amp;" WHERE "&amp;Instruções!$D$20&amp;") A ")</f>
        <v xml:space="preserve">(SELECT instrmnt_id as instrmnt_id_, rtntn_shr as rtntn_shr_as_is FROM cd_loan_tapes_bce.lt002_instrument WHERE ref_date='2024-09-30' AND nome_perimetro='Individual Corporativo' AND segmento='ESTR' AND ambito='PM' AND entidade='00100' ) A </v>
      </c>
      <c r="I294" s="75" t="str">
        <f>IF(VLOOKUP(B294,Instruções!$F$13:$J$17,5,0)="",
"(SELECT "&amp;VLOOKUP(B294,Instruções!$F$13:$J$17,4,0)&amp;" as "&amp;VLOOKUP(B294,Instruções!$F$13:$J$17,4,0)&amp;"_"&amp;$G$2&amp;", "&amp;E294&amp;" as "&amp;G294&amp;" FROM "&amp;D294&amp;" WHERE "&amp;Instruções!$D$21&amp;") B ",
"(SELECT "&amp;VLOOKUP(B294,Instruções!$F$13:$J$17,4,0)&amp;" as "&amp;VLOOKUP(B294,Instruções!$F$13:$J$17,4,0)&amp;"_"&amp;$G$2&amp;", "&amp;VLOOKUP(B294,Instruções!$F$13:$J$17,5,0)&amp;" as "&amp;VLOOKUP(B294,Instruções!$F$13:$J$17,5,0)&amp;"_"&amp;$G$2&amp;","&amp;E294&amp;" as "&amp;G294&amp;" FROM "&amp;D294&amp;" WHERE "&amp;Instruções!$D$21&amp;") B ")</f>
        <v xml:space="preserve">(SELECT instrmnt_id as instrmnt_id_, rtntn_shr as rtntn_shr_to_be FROM bu_loantape_work.lt002_instrument WHERE ref_date='2024-09-30' AND nome_perimetro='Individual Corporativo' AND segmento='ESTR' AND ambito='PM' AND entidade='00100' ) B </v>
      </c>
      <c r="J294" s="75" t="str">
        <f>+IF(VLOOKUP(B294,Instruções!$F$13:$J$17,5,0)="", "ON "&amp;VLOOKUP(B294,Instruções!$F$13:$J$17,4,0)&amp;"_"&amp;$F$7&amp;"="&amp;VLOOKUP(B294,Instruções!$F$13:$J$17,4,0)&amp;"_"&amp;$G$7&amp;" ", "ON "&amp;VLOOKUP(B294,Instruções!$F$13:$J$17,4,0)&amp;"_"&amp;$F$7&amp;"="&amp;VLOOKUP(B294,Instruções!$F$13:$J$17,4,0)&amp;"_"&amp;$G$7&amp;" AND "&amp;VLOOKUP(B294,Instruções!$F$13:$J$17,5,0)&amp;"_"&amp;$F$7&amp;"="&amp;VLOOKUP(B294,Instruções!$F$13:$J$17,5,0)&amp;"_"&amp;$G$7&amp;" ")</f>
        <v xml:space="preserve">ON instrmnt_id_as_is=instrmnt_id_to_be </v>
      </c>
      <c r="K294" s="75" t="str">
        <f t="shared" si="45"/>
        <v xml:space="preserve">WHERE coalesce(cast(rtntn_shr_as_is AS string),'')&lt;&gt;coalesce(cast(rtntn_shr_to_be AS string),'') </v>
      </c>
      <c r="L294" s="75" t="str">
        <f t="shared" si="46"/>
        <v xml:space="preserve">SELECT count(*) AS NUM_REG_DIF FROM (SELECT instrmnt_id as instrmnt_id_, rtntn_shr as rtntn_shr_as_is FROM cd_loan_tapes_bce.lt002_instrument WHERE ref_date='2024-09-30' AND nome_perimetro='Individual Corporativo' AND segmento='ESTR' AND ambito='PM' AND entidade='00100' ) A  Inner join (SELECT instrmnt_id as instrmnt_id_, rtntn_shr as rtntn_shr_to_be FROM bu_loantape_work.lt002_instrument WHERE ref_date='2024-09-30' AND nome_perimetro='Individual Corporativo' AND segmento='ESTR' AND ambito='PM' AND entidade='00100' ) B ON instrmnt_id_as_is=instrmnt_id_to_be WHERE coalesce(cast(rtntn_shr_as_is AS string),'')&lt;&gt;coalesce(cast(rtntn_shr_to_be AS string),'') </v>
      </c>
      <c r="M294" s="75" t="s">
        <v>55</v>
      </c>
      <c r="N294" s="75" t="str">
        <f>"SELECT 'Validação de campos' as tipologia_teste, '"&amp;VLOOKUP(B294,Instruções!$F$13:$J$17,3,0)&amp;"' AS TABELA, '"&amp;E294&amp;"' AS CAMPO, '"&amp;Instruções!$D$15&amp;"' as ref_date, coalesce(NUM_REG_DIF, 0) AS NUM_REG_DIF FROM ("&amp;L294&amp;") A "</f>
        <v xml:space="preserve">SELECT 'Validação de campos' as tipologia_teste, 'lt002_instrument' AS TABELA, 'rtntn_shr' AS CAMPO, '2024-09-30' as ref_date, coalesce(NUM_REG_DIF, 0) AS NUM_REG_DIF FROM (SELECT count(*) AS NUM_REG_DIF FROM (SELECT instrmnt_id as instrmnt_id_, rtntn_shr as rtntn_shr_as_is FROM cd_loan_tapes_bce.lt002_instrument WHERE ref_date='2024-09-30' AND nome_perimetro='Individual Corporativo' AND segmento='ESTR' AND ambito='PM' AND entidade='00100' ) A  Inner join (SELECT instrmnt_id as instrmnt_id_, rtntn_shr as rtntn_shr_to_be FROM bu_loantape_work.lt002_instrument WHERE ref_date='2024-09-30' AND nome_perimetro='Individual Corporativo' AND segmento='ESTR' AND ambito='PM' AND entidade='00100' ) B ON instrmnt_id_as_is=instrmnt_id_to_be WHERE coalesce(cast(rtntn_shr_as_is AS string),'')&lt;&gt;coalesce(cast(rtntn_shr_to_be AS string),'') ) A </v>
      </c>
      <c r="O294" s="76" t="str">
        <f t="shared" si="47"/>
        <v>SELECT 'Validação de campos' as tipologia_teste, 'lt002_instrument' AS TABELA, 'rtntn_shr' AS CAMPO, '2024-09-30' as ref_date, coalesce(NUM_REG_DIF, 0) AS NUM_REG_DIF FROM (SELECT count(*) AS NUM_REG_DIF FROM (SELECT instrmnt_id as instrmnt_id_, rtntn_shr as rtntn_shr_as_is FROM cd_loan_tapes_bce.lt002_instrument WHERE ref_date='2024-09-30' AND nome_perimetro='Individual Corporativo' AND segmento='ESTR' AND ambito='PM' AND entidade='00100' ) A  Inner join (SELECT instrmnt_id as instrmnt_id_, rtntn_shr as rtntn_shr_to_be FROM bu_loantape_work.lt002_instrument WHERE ref_date='2024-09-30' AND nome_perimetro='Individual Corporativo' AND segmento='ESTR' AND ambito='PM' AND entidade='00100' ) B ON instrmnt_id_as_is=instrmnt_id_to_be WHERE coalesce(cast(rtntn_shr_as_is AS string),'')&lt;&gt;coalesce(cast(rtntn_shr_to_be AS string),'') ) A Union all</v>
      </c>
      <c r="P294" s="75">
        <f t="shared" si="48"/>
        <v>31</v>
      </c>
    </row>
    <row r="295" spans="2:16" s="63" customFormat="1" ht="18" customHeight="1">
      <c r="B295" s="75" t="s">
        <v>26</v>
      </c>
      <c r="C295" s="75" t="str">
        <f>_xlfn.CONCAT(Instruções!$D$13,".",VLOOKUP(B295,Instruções!$F$12:$H$17,2,0))</f>
        <v>cd_loan_tapes_bce.lt002_instrument</v>
      </c>
      <c r="D295" s="75" t="str">
        <f>_xlfn.CONCAT(Instruções!$D$14,".",VLOOKUP(B295,Instruções!$F$12:$H$17,3,0))</f>
        <v>bu_loantape_work.lt002_instrument</v>
      </c>
      <c r="E295" s="75" t="s">
        <v>321</v>
      </c>
      <c r="F295" s="75" t="str">
        <f t="shared" si="43"/>
        <v>rwa_as_is</v>
      </c>
      <c r="G295" s="75" t="str">
        <f t="shared" si="44"/>
        <v>rwa_to_be</v>
      </c>
      <c r="H295" s="75" t="str">
        <f>IF(VLOOKUP(B295,Instruções!$F$13:$J$17,5,0)="",
"(SELECT "&amp;VLOOKUP(B295,Instruções!$F$13:$J$17,4,0)&amp;" as "&amp;VLOOKUP(B295,Instruções!$F$13:$J$17,4,0)&amp;"_"&amp;$F$2&amp;", "&amp;E295&amp;" as "&amp;F295&amp;" FROM "&amp;C295&amp;" WHERE "&amp;Instruções!$D$20&amp;") A ",
"(SELECT "&amp;VLOOKUP(B295,Instruções!$F$13:$J$17,4,0)&amp;" as "&amp;VLOOKUP(B295,Instruções!$F$13:$J$17,4,0)&amp;"_"&amp;$F$2&amp;", "&amp;VLOOKUP(B295,Instruções!$F$13:$J$17,5,0)&amp;" as "&amp;VLOOKUP(B295,Instruções!$F$13:$J$17,5,0)&amp;"_"&amp;$F$2&amp;","&amp;E295&amp;" as "&amp;F295&amp;" FROM "&amp;C295&amp;" WHERE "&amp;Instruções!$D$20&amp;") A ")</f>
        <v xml:space="preserve">(SELECT instrmnt_id as instrmnt_id_, rwa as rwa_as_is FROM cd_loan_tapes_bce.lt002_instrument WHERE ref_date='2024-09-30' AND nome_perimetro='Individual Corporativo' AND segmento='ESTR' AND ambito='PM' AND entidade='00100' ) A </v>
      </c>
      <c r="I295" s="75" t="str">
        <f>IF(VLOOKUP(B295,Instruções!$F$13:$J$17,5,0)="",
"(SELECT "&amp;VLOOKUP(B295,Instruções!$F$13:$J$17,4,0)&amp;" as "&amp;VLOOKUP(B295,Instruções!$F$13:$J$17,4,0)&amp;"_"&amp;$G$2&amp;", "&amp;E295&amp;" as "&amp;G295&amp;" FROM "&amp;D295&amp;" WHERE "&amp;Instruções!$D$21&amp;") B ",
"(SELECT "&amp;VLOOKUP(B295,Instruções!$F$13:$J$17,4,0)&amp;" as "&amp;VLOOKUP(B295,Instruções!$F$13:$J$17,4,0)&amp;"_"&amp;$G$2&amp;", "&amp;VLOOKUP(B295,Instruções!$F$13:$J$17,5,0)&amp;" as "&amp;VLOOKUP(B295,Instruções!$F$13:$J$17,5,0)&amp;"_"&amp;$G$2&amp;","&amp;E295&amp;" as "&amp;G295&amp;" FROM "&amp;D295&amp;" WHERE "&amp;Instruções!$D$21&amp;") B ")</f>
        <v xml:space="preserve">(SELECT instrmnt_id as instrmnt_id_, rwa as rwa_to_be FROM bu_loantape_work.lt002_instrument WHERE ref_date='2024-09-30' AND nome_perimetro='Individual Corporativo' AND segmento='ESTR' AND ambito='PM' AND entidade='00100' ) B </v>
      </c>
      <c r="J295" s="75" t="str">
        <f>+IF(VLOOKUP(B295,Instruções!$F$13:$J$17,5,0)="", "ON "&amp;VLOOKUP(B295,Instruções!$F$13:$J$17,4,0)&amp;"_"&amp;$F$7&amp;"="&amp;VLOOKUP(B295,Instruções!$F$13:$J$17,4,0)&amp;"_"&amp;$G$7&amp;" ", "ON "&amp;VLOOKUP(B295,Instruções!$F$13:$J$17,4,0)&amp;"_"&amp;$F$7&amp;"="&amp;VLOOKUP(B295,Instruções!$F$13:$J$17,4,0)&amp;"_"&amp;$G$7&amp;" AND "&amp;VLOOKUP(B295,Instruções!$F$13:$J$17,5,0)&amp;"_"&amp;$F$7&amp;"="&amp;VLOOKUP(B295,Instruções!$F$13:$J$17,5,0)&amp;"_"&amp;$G$7&amp;" ")</f>
        <v xml:space="preserve">ON instrmnt_id_as_is=instrmnt_id_to_be </v>
      </c>
      <c r="K295" s="75" t="str">
        <f t="shared" si="45"/>
        <v xml:space="preserve">WHERE coalesce(cast(rwa_as_is AS string),'')&lt;&gt;coalesce(cast(rwa_to_be AS string),'') </v>
      </c>
      <c r="L295" s="75" t="str">
        <f t="shared" si="46"/>
        <v xml:space="preserve">SELECT count(*) AS NUM_REG_DIF FROM (SELECT instrmnt_id as instrmnt_id_, rwa as rwa_as_is FROM cd_loan_tapes_bce.lt002_instrument WHERE ref_date='2024-09-30' AND nome_perimetro='Individual Corporativo' AND segmento='ESTR' AND ambito='PM' AND entidade='00100' ) A  Inner join (SELECT instrmnt_id as instrmnt_id_, rwa as rwa_to_be FROM bu_loantape_work.lt002_instrument WHERE ref_date='2024-09-30' AND nome_perimetro='Individual Corporativo' AND segmento='ESTR' AND ambito='PM' AND entidade='00100' ) B ON instrmnt_id_as_is=instrmnt_id_to_be WHERE coalesce(cast(rwa_as_is AS string),'')&lt;&gt;coalesce(cast(rwa_to_be AS string),'') </v>
      </c>
      <c r="M295" s="75" t="s">
        <v>55</v>
      </c>
      <c r="N295" s="75" t="str">
        <f>"SELECT 'Validação de campos' as tipologia_teste, '"&amp;VLOOKUP(B295,Instruções!$F$13:$J$17,3,0)&amp;"' AS TABELA, '"&amp;E295&amp;"' AS CAMPO, '"&amp;Instruções!$D$15&amp;"' as ref_date, coalesce(NUM_REG_DIF, 0) AS NUM_REG_DIF FROM ("&amp;L295&amp;") A "</f>
        <v xml:space="preserve">SELECT 'Validação de campos' as tipologia_teste, 'lt002_instrument' AS TABELA, 'rwa' AS CAMPO, '2024-09-30' as ref_date, coalesce(NUM_REG_DIF, 0) AS NUM_REG_DIF FROM (SELECT count(*) AS NUM_REG_DIF FROM (SELECT instrmnt_id as instrmnt_id_, rwa as rwa_as_is FROM cd_loan_tapes_bce.lt002_instrument WHERE ref_date='2024-09-30' AND nome_perimetro='Individual Corporativo' AND segmento='ESTR' AND ambito='PM' AND entidade='00100' ) A  Inner join (SELECT instrmnt_id as instrmnt_id_, rwa as rwa_to_be FROM bu_loantape_work.lt002_instrument WHERE ref_date='2024-09-30' AND nome_perimetro='Individual Corporativo' AND segmento='ESTR' AND ambito='PM' AND entidade='00100' ) B ON instrmnt_id_as_is=instrmnt_id_to_be WHERE coalesce(cast(rwa_as_is AS string),'')&lt;&gt;coalesce(cast(rwa_to_be AS string),'') ) A </v>
      </c>
      <c r="O295" s="76" t="str">
        <f t="shared" si="47"/>
        <v>SELECT 'Validação de campos' as tipologia_teste, 'lt002_instrument' AS TABELA, 'rwa' AS CAMPO, '2024-09-30' as ref_date, coalesce(NUM_REG_DIF, 0) AS NUM_REG_DIF FROM (SELECT count(*) AS NUM_REG_DIF FROM (SELECT instrmnt_id as instrmnt_id_, rwa as rwa_as_is FROM cd_loan_tapes_bce.lt002_instrument WHERE ref_date='2024-09-30' AND nome_perimetro='Individual Corporativo' AND segmento='ESTR' AND ambito='PM' AND entidade='00100' ) A  Inner join (SELECT instrmnt_id as instrmnt_id_, rwa as rwa_to_be FROM bu_loantape_work.lt002_instrument WHERE ref_date='2024-09-30' AND nome_perimetro='Individual Corporativo' AND segmento='ESTR' AND ambito='PM' AND entidade='00100' ) B ON instrmnt_id_as_is=instrmnt_id_to_be WHERE coalesce(cast(rwa_as_is AS string),'')&lt;&gt;coalesce(cast(rwa_to_be AS string),'') ) A Union all</v>
      </c>
      <c r="P295" s="75">
        <f t="shared" si="48"/>
        <v>32</v>
      </c>
    </row>
    <row r="296" spans="2:16" s="63" customFormat="1" ht="18" customHeight="1">
      <c r="B296" s="75" t="s">
        <v>26</v>
      </c>
      <c r="C296" s="75" t="str">
        <f>_xlfn.CONCAT(Instruções!$D$13,".",VLOOKUP(B296,Instruções!$F$12:$H$17,2,0))</f>
        <v>cd_loan_tapes_bce.lt002_instrument</v>
      </c>
      <c r="D296" s="75" t="str">
        <f>_xlfn.CONCAT(Instruções!$D$14,".",VLOOKUP(B296,Instruções!$F$12:$H$17,3,0))</f>
        <v>bu_loantape_work.lt002_instrument</v>
      </c>
      <c r="E296" s="75" t="s">
        <v>322</v>
      </c>
      <c r="F296" s="75" t="str">
        <f t="shared" ref="F296:F313" si="49">E296&amp;"_"&amp;$F$7</f>
        <v>rwa_mtgtn_as_is</v>
      </c>
      <c r="G296" s="75" t="str">
        <f t="shared" ref="G296:G313" si="50">E296&amp;"_"&amp;$G$7</f>
        <v>rwa_mtgtn_to_be</v>
      </c>
      <c r="H296" s="75" t="str">
        <f>IF(VLOOKUP(B296,Instruções!$F$13:$J$17,5,0)="",
"(SELECT "&amp;VLOOKUP(B296,Instruções!$F$13:$J$17,4,0)&amp;" as "&amp;VLOOKUP(B296,Instruções!$F$13:$J$17,4,0)&amp;"_"&amp;$F$2&amp;", "&amp;E296&amp;" as "&amp;F296&amp;" FROM "&amp;C296&amp;" WHERE "&amp;Instruções!$D$20&amp;") A ",
"(SELECT "&amp;VLOOKUP(B296,Instruções!$F$13:$J$17,4,0)&amp;" as "&amp;VLOOKUP(B296,Instruções!$F$13:$J$17,4,0)&amp;"_"&amp;$F$2&amp;", "&amp;VLOOKUP(B296,Instruções!$F$13:$J$17,5,0)&amp;" as "&amp;VLOOKUP(B296,Instruções!$F$13:$J$17,5,0)&amp;"_"&amp;$F$2&amp;","&amp;E296&amp;" as "&amp;F296&amp;" FROM "&amp;C296&amp;" WHERE "&amp;Instruções!$D$20&amp;") A ")</f>
        <v xml:space="preserve">(SELECT instrmnt_id as instrmnt_id_, rwa_mtgtn as rwa_mtgtn_as_is FROM cd_loan_tapes_bce.lt002_instrument WHERE ref_date='2024-09-30' AND nome_perimetro='Individual Corporativo' AND segmento='ESTR' AND ambito='PM' AND entidade='00100' ) A </v>
      </c>
      <c r="I296" s="75" t="str">
        <f>IF(VLOOKUP(B296,Instruções!$F$13:$J$17,5,0)="",
"(SELECT "&amp;VLOOKUP(B296,Instruções!$F$13:$J$17,4,0)&amp;" as "&amp;VLOOKUP(B296,Instruções!$F$13:$J$17,4,0)&amp;"_"&amp;$G$2&amp;", "&amp;E296&amp;" as "&amp;G296&amp;" FROM "&amp;D296&amp;" WHERE "&amp;Instruções!$D$21&amp;") B ",
"(SELECT "&amp;VLOOKUP(B296,Instruções!$F$13:$J$17,4,0)&amp;" as "&amp;VLOOKUP(B296,Instruções!$F$13:$J$17,4,0)&amp;"_"&amp;$G$2&amp;", "&amp;VLOOKUP(B296,Instruções!$F$13:$J$17,5,0)&amp;" as "&amp;VLOOKUP(B296,Instruções!$F$13:$J$17,5,0)&amp;"_"&amp;$G$2&amp;","&amp;E296&amp;" as "&amp;G296&amp;" FROM "&amp;D296&amp;" WHERE "&amp;Instruções!$D$21&amp;") B ")</f>
        <v xml:space="preserve">(SELECT instrmnt_id as instrmnt_id_, rwa_mtgtn as rwa_mtgtn_to_be FROM bu_loantape_work.lt002_instrument WHERE ref_date='2024-09-30' AND nome_perimetro='Individual Corporativo' AND segmento='ESTR' AND ambito='PM' AND entidade='00100' ) B </v>
      </c>
      <c r="J296" s="75" t="str">
        <f>+IF(VLOOKUP(B296,Instruções!$F$13:$J$17,5,0)="", "ON "&amp;VLOOKUP(B296,Instruções!$F$13:$J$17,4,0)&amp;"_"&amp;$F$7&amp;"="&amp;VLOOKUP(B296,Instruções!$F$13:$J$17,4,0)&amp;"_"&amp;$G$7&amp;" ", "ON "&amp;VLOOKUP(B296,Instruções!$F$13:$J$17,4,0)&amp;"_"&amp;$F$7&amp;"="&amp;VLOOKUP(B296,Instruções!$F$13:$J$17,4,0)&amp;"_"&amp;$G$7&amp;" AND "&amp;VLOOKUP(B296,Instruções!$F$13:$J$17,5,0)&amp;"_"&amp;$F$7&amp;"="&amp;VLOOKUP(B296,Instruções!$F$13:$J$17,5,0)&amp;"_"&amp;$G$7&amp;" ")</f>
        <v xml:space="preserve">ON instrmnt_id_as_is=instrmnt_id_to_be </v>
      </c>
      <c r="K296" s="75" t="str">
        <f t="shared" si="45"/>
        <v xml:space="preserve">WHERE coalesce(cast(rwa_mtgtn_as_is AS string),'')&lt;&gt;coalesce(cast(rwa_mtgtn_to_be AS string),'') </v>
      </c>
      <c r="L296" s="75" t="str">
        <f t="shared" si="46"/>
        <v xml:space="preserve">SELECT count(*) AS NUM_REG_DIF FROM (SELECT instrmnt_id as instrmnt_id_, rwa_mtgtn as rwa_mtgtn_as_is FROM cd_loan_tapes_bce.lt002_instrument WHERE ref_date='2024-09-30' AND nome_perimetro='Individual Corporativo' AND segmento='ESTR' AND ambito='PM' AND entidade='00100' ) A  Inner join (SELECT instrmnt_id as instrmnt_id_, rwa_mtgtn as rwa_mtgtn_to_be FROM bu_loantape_work.lt002_instrument WHERE ref_date='2024-09-30' AND nome_perimetro='Individual Corporativo' AND segmento='ESTR' AND ambito='PM' AND entidade='00100' ) B ON instrmnt_id_as_is=instrmnt_id_to_be WHERE coalesce(cast(rwa_mtgtn_as_is AS string),'')&lt;&gt;coalesce(cast(rwa_mtgtn_to_be AS string),'') </v>
      </c>
      <c r="M296" s="75" t="s">
        <v>55</v>
      </c>
      <c r="N296" s="75" t="str">
        <f>"SELECT 'Validação de campos' as tipologia_teste, '"&amp;VLOOKUP(B296,Instruções!$F$13:$J$17,3,0)&amp;"' AS TABELA, '"&amp;E296&amp;"' AS CAMPO, '"&amp;Instruções!$D$15&amp;"' as ref_date, coalesce(NUM_REG_DIF, 0) AS NUM_REG_DIF FROM ("&amp;L296&amp;") A "</f>
        <v xml:space="preserve">SELECT 'Validação de campos' as tipologia_teste, 'lt002_instrument' AS TABELA, 'rwa_mtgtn' AS CAMPO, '2024-09-30' as ref_date, coalesce(NUM_REG_DIF, 0) AS NUM_REG_DIF FROM (SELECT count(*) AS NUM_REG_DIF FROM (SELECT instrmnt_id as instrmnt_id_, rwa_mtgtn as rwa_mtgtn_as_is FROM cd_loan_tapes_bce.lt002_instrument WHERE ref_date='2024-09-30' AND nome_perimetro='Individual Corporativo' AND segmento='ESTR' AND ambito='PM' AND entidade='00100' ) A  Inner join (SELECT instrmnt_id as instrmnt_id_, rwa_mtgtn as rwa_mtgtn_to_be FROM bu_loantape_work.lt002_instrument WHERE ref_date='2024-09-30' AND nome_perimetro='Individual Corporativo' AND segmento='ESTR' AND ambito='PM' AND entidade='00100' ) B ON instrmnt_id_as_is=instrmnt_id_to_be WHERE coalesce(cast(rwa_mtgtn_as_is AS string),'')&lt;&gt;coalesce(cast(rwa_mtgtn_to_be AS string),'') ) A </v>
      </c>
      <c r="O296" s="76" t="str">
        <f t="shared" si="47"/>
        <v>SELECT 'Validação de campos' as tipologia_teste, 'lt002_instrument' AS TABELA, 'rwa_mtgtn' AS CAMPO, '2024-09-30' as ref_date, coalesce(NUM_REG_DIF, 0) AS NUM_REG_DIF FROM (SELECT count(*) AS NUM_REG_DIF FROM (SELECT instrmnt_id as instrmnt_id_, rwa_mtgtn as rwa_mtgtn_as_is FROM cd_loan_tapes_bce.lt002_instrument WHERE ref_date='2024-09-30' AND nome_perimetro='Individual Corporativo' AND segmento='ESTR' AND ambito='PM' AND entidade='00100' ) A  Inner join (SELECT instrmnt_id as instrmnt_id_, rwa_mtgtn as rwa_mtgtn_to_be FROM bu_loantape_work.lt002_instrument WHERE ref_date='2024-09-30' AND nome_perimetro='Individual Corporativo' AND segmento='ESTR' AND ambito='PM' AND entidade='00100' ) B ON instrmnt_id_as_is=instrmnt_id_to_be WHERE coalesce(cast(rwa_mtgtn_as_is AS string),'')&lt;&gt;coalesce(cast(rwa_mtgtn_to_be AS string),'') ) A Union all</v>
      </c>
      <c r="P296" s="75">
        <f t="shared" si="48"/>
        <v>33</v>
      </c>
    </row>
    <row r="297" spans="2:16" s="63" customFormat="1" ht="18" customHeight="1">
      <c r="B297" s="75" t="s">
        <v>26</v>
      </c>
      <c r="C297" s="75" t="str">
        <f>_xlfn.CONCAT(Instruções!$D$13,".",VLOOKUP(B297,Instruções!$F$12:$H$17,2,0))</f>
        <v>cd_loan_tapes_bce.lt002_instrument</v>
      </c>
      <c r="D297" s="75" t="str">
        <f>_xlfn.CONCAT(Instruções!$D$14,".",VLOOKUP(B297,Instruções!$F$12:$H$17,3,0))</f>
        <v>bu_loantape_work.lt002_instrument</v>
      </c>
      <c r="E297" s="75" t="s">
        <v>323</v>
      </c>
      <c r="F297" s="75" t="str">
        <f t="shared" si="49"/>
        <v>rwa_mthd_as_is</v>
      </c>
      <c r="G297" s="75" t="str">
        <f t="shared" si="50"/>
        <v>rwa_mthd_to_be</v>
      </c>
      <c r="H297" s="75" t="str">
        <f>IF(VLOOKUP(B297,Instruções!$F$13:$J$17,5,0)="",
"(SELECT "&amp;VLOOKUP(B297,Instruções!$F$13:$J$17,4,0)&amp;" as "&amp;VLOOKUP(B297,Instruções!$F$13:$J$17,4,0)&amp;"_"&amp;$F$2&amp;", "&amp;E297&amp;" as "&amp;F297&amp;" FROM "&amp;C297&amp;" WHERE "&amp;Instruções!$D$20&amp;") A ",
"(SELECT "&amp;VLOOKUP(B297,Instruções!$F$13:$J$17,4,0)&amp;" as "&amp;VLOOKUP(B297,Instruções!$F$13:$J$17,4,0)&amp;"_"&amp;$F$2&amp;", "&amp;VLOOKUP(B297,Instruções!$F$13:$J$17,5,0)&amp;" as "&amp;VLOOKUP(B297,Instruções!$F$13:$J$17,5,0)&amp;"_"&amp;$F$2&amp;","&amp;E297&amp;" as "&amp;F297&amp;" FROM "&amp;C297&amp;" WHERE "&amp;Instruções!$D$20&amp;") A ")</f>
        <v xml:space="preserve">(SELECT instrmnt_id as instrmnt_id_, rwa_mthd as rwa_mthd_as_is FROM cd_loan_tapes_bce.lt002_instrument WHERE ref_date='2024-09-30' AND nome_perimetro='Individual Corporativo' AND segmento='ESTR' AND ambito='PM' AND entidade='00100' ) A </v>
      </c>
      <c r="I297" s="75" t="str">
        <f>IF(VLOOKUP(B297,Instruções!$F$13:$J$17,5,0)="",
"(SELECT "&amp;VLOOKUP(B297,Instruções!$F$13:$J$17,4,0)&amp;" as "&amp;VLOOKUP(B297,Instruções!$F$13:$J$17,4,0)&amp;"_"&amp;$G$2&amp;", "&amp;E297&amp;" as "&amp;G297&amp;" FROM "&amp;D297&amp;" WHERE "&amp;Instruções!$D$21&amp;") B ",
"(SELECT "&amp;VLOOKUP(B297,Instruções!$F$13:$J$17,4,0)&amp;" as "&amp;VLOOKUP(B297,Instruções!$F$13:$J$17,4,0)&amp;"_"&amp;$G$2&amp;", "&amp;VLOOKUP(B297,Instruções!$F$13:$J$17,5,0)&amp;" as "&amp;VLOOKUP(B297,Instruções!$F$13:$J$17,5,0)&amp;"_"&amp;$G$2&amp;","&amp;E297&amp;" as "&amp;G297&amp;" FROM "&amp;D297&amp;" WHERE "&amp;Instruções!$D$21&amp;") B ")</f>
        <v xml:space="preserve">(SELECT instrmnt_id as instrmnt_id_, rwa_mthd as rwa_mthd_to_be FROM bu_loantape_work.lt002_instrument WHERE ref_date='2024-09-30' AND nome_perimetro='Individual Corporativo' AND segmento='ESTR' AND ambito='PM' AND entidade='00100' ) B </v>
      </c>
      <c r="J297" s="75" t="str">
        <f>+IF(VLOOKUP(B297,Instruções!$F$13:$J$17,5,0)="", "ON "&amp;VLOOKUP(B297,Instruções!$F$13:$J$17,4,0)&amp;"_"&amp;$F$7&amp;"="&amp;VLOOKUP(B297,Instruções!$F$13:$J$17,4,0)&amp;"_"&amp;$G$7&amp;" ", "ON "&amp;VLOOKUP(B297,Instruções!$F$13:$J$17,4,0)&amp;"_"&amp;$F$7&amp;"="&amp;VLOOKUP(B297,Instruções!$F$13:$J$17,4,0)&amp;"_"&amp;$G$7&amp;" AND "&amp;VLOOKUP(B297,Instruções!$F$13:$J$17,5,0)&amp;"_"&amp;$F$7&amp;"="&amp;VLOOKUP(B297,Instruções!$F$13:$J$17,5,0)&amp;"_"&amp;$G$7&amp;" ")</f>
        <v xml:space="preserve">ON instrmnt_id_as_is=instrmnt_id_to_be </v>
      </c>
      <c r="K297" s="75" t="str">
        <f t="shared" si="45"/>
        <v xml:space="preserve">WHERE coalesce(cast(rwa_mthd_as_is AS string),'')&lt;&gt;coalesce(cast(rwa_mthd_to_be AS string),'') </v>
      </c>
      <c r="L297" s="75" t="str">
        <f t="shared" si="46"/>
        <v xml:space="preserve">SELECT count(*) AS NUM_REG_DIF FROM (SELECT instrmnt_id as instrmnt_id_, rwa_mthd as rwa_mthd_as_is FROM cd_loan_tapes_bce.lt002_instrument WHERE ref_date='2024-09-30' AND nome_perimetro='Individual Corporativo' AND segmento='ESTR' AND ambito='PM' AND entidade='00100' ) A  Inner join (SELECT instrmnt_id as instrmnt_id_, rwa_mthd as rwa_mthd_to_be FROM bu_loantape_work.lt002_instrument WHERE ref_date='2024-09-30' AND nome_perimetro='Individual Corporativo' AND segmento='ESTR' AND ambito='PM' AND entidade='00100' ) B ON instrmnt_id_as_is=instrmnt_id_to_be WHERE coalesce(cast(rwa_mthd_as_is AS string),'')&lt;&gt;coalesce(cast(rwa_mthd_to_be AS string),'') </v>
      </c>
      <c r="M297" s="75" t="s">
        <v>55</v>
      </c>
      <c r="N297" s="75" t="str">
        <f>"SELECT 'Validação de campos' as tipologia_teste, '"&amp;VLOOKUP(B297,Instruções!$F$13:$J$17,3,0)&amp;"' AS TABELA, '"&amp;E297&amp;"' AS CAMPO, '"&amp;Instruções!$D$15&amp;"' as ref_date, coalesce(NUM_REG_DIF, 0) AS NUM_REG_DIF FROM ("&amp;L297&amp;") A "</f>
        <v xml:space="preserve">SELECT 'Validação de campos' as tipologia_teste, 'lt002_instrument' AS TABELA, 'rwa_mthd' AS CAMPO, '2024-09-30' as ref_date, coalesce(NUM_REG_DIF, 0) AS NUM_REG_DIF FROM (SELECT count(*) AS NUM_REG_DIF FROM (SELECT instrmnt_id as instrmnt_id_, rwa_mthd as rwa_mthd_as_is FROM cd_loan_tapes_bce.lt002_instrument WHERE ref_date='2024-09-30' AND nome_perimetro='Individual Corporativo' AND segmento='ESTR' AND ambito='PM' AND entidade='00100' ) A  Inner join (SELECT instrmnt_id as instrmnt_id_, rwa_mthd as rwa_mthd_to_be FROM bu_loantape_work.lt002_instrument WHERE ref_date='2024-09-30' AND nome_perimetro='Individual Corporativo' AND segmento='ESTR' AND ambito='PM' AND entidade='00100' ) B ON instrmnt_id_as_is=instrmnt_id_to_be WHERE coalesce(cast(rwa_mthd_as_is AS string),'')&lt;&gt;coalesce(cast(rwa_mthd_to_be AS string),'') ) A </v>
      </c>
      <c r="O297" s="76" t="str">
        <f t="shared" si="47"/>
        <v>SELECT 'Validação de campos' as tipologia_teste, 'lt002_instrument' AS TABELA, 'rwa_mthd' AS CAMPO, '2024-09-30' as ref_date, coalesce(NUM_REG_DIF, 0) AS NUM_REG_DIF FROM (SELECT count(*) AS NUM_REG_DIF FROM (SELECT instrmnt_id as instrmnt_id_, rwa_mthd as rwa_mthd_as_is FROM cd_loan_tapes_bce.lt002_instrument WHERE ref_date='2024-09-30' AND nome_perimetro='Individual Corporativo' AND segmento='ESTR' AND ambito='PM' AND entidade='00100' ) A  Inner join (SELECT instrmnt_id as instrmnt_id_, rwa_mthd as rwa_mthd_to_be FROM bu_loantape_work.lt002_instrument WHERE ref_date='2024-09-30' AND nome_perimetro='Individual Corporativo' AND segmento='ESTR' AND ambito='PM' AND entidade='00100' ) B ON instrmnt_id_as_is=instrmnt_id_to_be WHERE coalesce(cast(rwa_mthd_as_is AS string),'')&lt;&gt;coalesce(cast(rwa_mthd_to_be AS string),'') ) A Union all</v>
      </c>
      <c r="P297" s="75">
        <f t="shared" si="48"/>
        <v>34</v>
      </c>
    </row>
    <row r="298" spans="2:16" s="63" customFormat="1" ht="18" customHeight="1">
      <c r="B298" s="75" t="s">
        <v>26</v>
      </c>
      <c r="C298" s="75" t="str">
        <f>_xlfn.CONCAT(Instruções!$D$13,".",VLOOKUP(B298,Instruções!$F$12:$H$17,2,0))</f>
        <v>cd_loan_tapes_bce.lt002_instrument</v>
      </c>
      <c r="D298" s="75" t="str">
        <f>_xlfn.CONCAT(Instruções!$D$14,".",VLOOKUP(B298,Instruções!$F$12:$H$17,3,0))</f>
        <v>bu_loantape_work.lt002_instrument</v>
      </c>
      <c r="E298" s="75" t="s">
        <v>324</v>
      </c>
      <c r="F298" s="75" t="str">
        <f t="shared" si="49"/>
        <v>rwa_prmtgtn_as_is</v>
      </c>
      <c r="G298" s="75" t="str">
        <f t="shared" si="50"/>
        <v>rwa_prmtgtn_to_be</v>
      </c>
      <c r="H298" s="75" t="str">
        <f>IF(VLOOKUP(B298,Instruções!$F$13:$J$17,5,0)="",
"(SELECT "&amp;VLOOKUP(B298,Instruções!$F$13:$J$17,4,0)&amp;" as "&amp;VLOOKUP(B298,Instruções!$F$13:$J$17,4,0)&amp;"_"&amp;$F$2&amp;", "&amp;E298&amp;" as "&amp;F298&amp;" FROM "&amp;C298&amp;" WHERE "&amp;Instruções!$D$20&amp;") A ",
"(SELECT "&amp;VLOOKUP(B298,Instruções!$F$13:$J$17,4,0)&amp;" as "&amp;VLOOKUP(B298,Instruções!$F$13:$J$17,4,0)&amp;"_"&amp;$F$2&amp;", "&amp;VLOOKUP(B298,Instruções!$F$13:$J$17,5,0)&amp;" as "&amp;VLOOKUP(B298,Instruções!$F$13:$J$17,5,0)&amp;"_"&amp;$F$2&amp;","&amp;E298&amp;" as "&amp;F298&amp;" FROM "&amp;C298&amp;" WHERE "&amp;Instruções!$D$20&amp;") A ")</f>
        <v xml:space="preserve">(SELECT instrmnt_id as instrmnt_id_, rwa_prmtgtn as rwa_prmtgtn_as_is FROM cd_loan_tapes_bce.lt002_instrument WHERE ref_date='2024-09-30' AND nome_perimetro='Individual Corporativo' AND segmento='ESTR' AND ambito='PM' AND entidade='00100' ) A </v>
      </c>
      <c r="I298" s="75" t="str">
        <f>IF(VLOOKUP(B298,Instruções!$F$13:$J$17,5,0)="",
"(SELECT "&amp;VLOOKUP(B298,Instruções!$F$13:$J$17,4,0)&amp;" as "&amp;VLOOKUP(B298,Instruções!$F$13:$J$17,4,0)&amp;"_"&amp;$G$2&amp;", "&amp;E298&amp;" as "&amp;G298&amp;" FROM "&amp;D298&amp;" WHERE "&amp;Instruções!$D$21&amp;") B ",
"(SELECT "&amp;VLOOKUP(B298,Instruções!$F$13:$J$17,4,0)&amp;" as "&amp;VLOOKUP(B298,Instruções!$F$13:$J$17,4,0)&amp;"_"&amp;$G$2&amp;", "&amp;VLOOKUP(B298,Instruções!$F$13:$J$17,5,0)&amp;" as "&amp;VLOOKUP(B298,Instruções!$F$13:$J$17,5,0)&amp;"_"&amp;$G$2&amp;","&amp;E298&amp;" as "&amp;G298&amp;" FROM "&amp;D298&amp;" WHERE "&amp;Instruções!$D$21&amp;") B ")</f>
        <v xml:space="preserve">(SELECT instrmnt_id as instrmnt_id_, rwa_prmtgtn as rwa_prmtgtn_to_be FROM bu_loantape_work.lt002_instrument WHERE ref_date='2024-09-30' AND nome_perimetro='Individual Corporativo' AND segmento='ESTR' AND ambito='PM' AND entidade='00100' ) B </v>
      </c>
      <c r="J298" s="75" t="str">
        <f>+IF(VLOOKUP(B298,Instruções!$F$13:$J$17,5,0)="", "ON "&amp;VLOOKUP(B298,Instruções!$F$13:$J$17,4,0)&amp;"_"&amp;$F$7&amp;"="&amp;VLOOKUP(B298,Instruções!$F$13:$J$17,4,0)&amp;"_"&amp;$G$7&amp;" ", "ON "&amp;VLOOKUP(B298,Instruções!$F$13:$J$17,4,0)&amp;"_"&amp;$F$7&amp;"="&amp;VLOOKUP(B298,Instruções!$F$13:$J$17,4,0)&amp;"_"&amp;$G$7&amp;" AND "&amp;VLOOKUP(B298,Instruções!$F$13:$J$17,5,0)&amp;"_"&amp;$F$7&amp;"="&amp;VLOOKUP(B298,Instruções!$F$13:$J$17,5,0)&amp;"_"&amp;$G$7&amp;" ")</f>
        <v xml:space="preserve">ON instrmnt_id_as_is=instrmnt_id_to_be </v>
      </c>
      <c r="K298" s="75" t="str">
        <f t="shared" si="45"/>
        <v xml:space="preserve">WHERE coalesce(cast(rwa_prmtgtn_as_is AS string),'')&lt;&gt;coalesce(cast(rwa_prmtgtn_to_be AS string),'') </v>
      </c>
      <c r="L298" s="75" t="str">
        <f t="shared" si="46"/>
        <v xml:space="preserve">SELECT count(*) AS NUM_REG_DIF FROM (SELECT instrmnt_id as instrmnt_id_, rwa_prmtgtn as rwa_prmtgtn_as_is FROM cd_loan_tapes_bce.lt002_instrument WHERE ref_date='2024-09-30' AND nome_perimetro='Individual Corporativo' AND segmento='ESTR' AND ambito='PM' AND entidade='00100' ) A  Inner join (SELECT instrmnt_id as instrmnt_id_, rwa_prmtgtn as rwa_prmtgtn_to_be FROM bu_loantape_work.lt002_instrument WHERE ref_date='2024-09-30' AND nome_perimetro='Individual Corporativo' AND segmento='ESTR' AND ambito='PM' AND entidade='00100' ) B ON instrmnt_id_as_is=instrmnt_id_to_be WHERE coalesce(cast(rwa_prmtgtn_as_is AS string),'')&lt;&gt;coalesce(cast(rwa_prmtgtn_to_be AS string),'') </v>
      </c>
      <c r="M298" s="75" t="s">
        <v>55</v>
      </c>
      <c r="N298" s="75" t="str">
        <f>"SELECT 'Validação de campos' as tipologia_teste, '"&amp;VLOOKUP(B298,Instruções!$F$13:$J$17,3,0)&amp;"' AS TABELA, '"&amp;E298&amp;"' AS CAMPO, '"&amp;Instruções!$D$15&amp;"' as ref_date, coalesce(NUM_REG_DIF, 0) AS NUM_REG_DIF FROM ("&amp;L298&amp;") A "</f>
        <v xml:space="preserve">SELECT 'Validação de campos' as tipologia_teste, 'lt002_instrument' AS TABELA, 'rwa_prmtgtn' AS CAMPO, '2024-09-30' as ref_date, coalesce(NUM_REG_DIF, 0) AS NUM_REG_DIF FROM (SELECT count(*) AS NUM_REG_DIF FROM (SELECT instrmnt_id as instrmnt_id_, rwa_prmtgtn as rwa_prmtgtn_as_is FROM cd_loan_tapes_bce.lt002_instrument WHERE ref_date='2024-09-30' AND nome_perimetro='Individual Corporativo' AND segmento='ESTR' AND ambito='PM' AND entidade='00100' ) A  Inner join (SELECT instrmnt_id as instrmnt_id_, rwa_prmtgtn as rwa_prmtgtn_to_be FROM bu_loantape_work.lt002_instrument WHERE ref_date='2024-09-30' AND nome_perimetro='Individual Corporativo' AND segmento='ESTR' AND ambito='PM' AND entidade='00100' ) B ON instrmnt_id_as_is=instrmnt_id_to_be WHERE coalesce(cast(rwa_prmtgtn_as_is AS string),'')&lt;&gt;coalesce(cast(rwa_prmtgtn_to_be AS string),'') ) A </v>
      </c>
      <c r="O298" s="76" t="str">
        <f t="shared" si="47"/>
        <v>SELECT 'Validação de campos' as tipologia_teste, 'lt002_instrument' AS TABELA, 'rwa_prmtgtn' AS CAMPO, '2024-09-30' as ref_date, coalesce(NUM_REG_DIF, 0) AS NUM_REG_DIF FROM (SELECT count(*) AS NUM_REG_DIF FROM (SELECT instrmnt_id as instrmnt_id_, rwa_prmtgtn as rwa_prmtgtn_as_is FROM cd_loan_tapes_bce.lt002_instrument WHERE ref_date='2024-09-30' AND nome_perimetro='Individual Corporativo' AND segmento='ESTR' AND ambito='PM' AND entidade='00100' ) A  Inner join (SELECT instrmnt_id as instrmnt_id_, rwa_prmtgtn as rwa_prmtgtn_to_be FROM bu_loantape_work.lt002_instrument WHERE ref_date='2024-09-30' AND nome_perimetro='Individual Corporativo' AND segmento='ESTR' AND ambito='PM' AND entidade='00100' ) B ON instrmnt_id_as_is=instrmnt_id_to_be WHERE coalesce(cast(rwa_prmtgtn_as_is AS string),'')&lt;&gt;coalesce(cast(rwa_prmtgtn_to_be AS string),'') ) A Union all</v>
      </c>
      <c r="P298" s="75">
        <f t="shared" si="48"/>
        <v>35</v>
      </c>
    </row>
    <row r="299" spans="2:16" s="63" customFormat="1" ht="18" customHeight="1">
      <c r="B299" s="75" t="s">
        <v>26</v>
      </c>
      <c r="C299" s="75" t="str">
        <f>_xlfn.CONCAT(Instruções!$D$13,".",VLOOKUP(B299,Instruções!$F$12:$H$17,2,0))</f>
        <v>cd_loan_tapes_bce.lt002_instrument</v>
      </c>
      <c r="D299" s="75" t="str">
        <f>_xlfn.CONCAT(Instruções!$D$14,".",VLOOKUP(B299,Instruções!$F$12:$H$17,3,0))</f>
        <v>bu_loantape_work.lt002_instrument</v>
      </c>
      <c r="E299" s="75" t="s">
        <v>325</v>
      </c>
      <c r="F299" s="75" t="str">
        <f t="shared" si="49"/>
        <v>sbjct_pblc_grnt_schm_c19_as_is</v>
      </c>
      <c r="G299" s="75" t="str">
        <f t="shared" si="50"/>
        <v>sbjct_pblc_grnt_schm_c19_to_be</v>
      </c>
      <c r="H299" s="75" t="str">
        <f>IF(VLOOKUP(B299,Instruções!$F$13:$J$17,5,0)="",
"(SELECT "&amp;VLOOKUP(B299,Instruções!$F$13:$J$17,4,0)&amp;" as "&amp;VLOOKUP(B299,Instruções!$F$13:$J$17,4,0)&amp;"_"&amp;$F$2&amp;", "&amp;E299&amp;" as "&amp;F299&amp;" FROM "&amp;C299&amp;" WHERE "&amp;Instruções!$D$20&amp;") A ",
"(SELECT "&amp;VLOOKUP(B299,Instruções!$F$13:$J$17,4,0)&amp;" as "&amp;VLOOKUP(B299,Instruções!$F$13:$J$17,4,0)&amp;"_"&amp;$F$2&amp;", "&amp;VLOOKUP(B299,Instruções!$F$13:$J$17,5,0)&amp;" as "&amp;VLOOKUP(B299,Instruções!$F$13:$J$17,5,0)&amp;"_"&amp;$F$2&amp;","&amp;E299&amp;" as "&amp;F299&amp;" FROM "&amp;C299&amp;" WHERE "&amp;Instruções!$D$20&amp;") A ")</f>
        <v xml:space="preserve">(SELECT instrmnt_id as instrmnt_id_, sbjct_pblc_grnt_schm_c19 as sbjct_pblc_grnt_schm_c19_as_is FROM cd_loan_tapes_bce.lt002_instrument WHERE ref_date='2024-09-30' AND nome_perimetro='Individual Corporativo' AND segmento='ESTR' AND ambito='PM' AND entidade='00100' ) A </v>
      </c>
      <c r="I299" s="75" t="str">
        <f>IF(VLOOKUP(B299,Instruções!$F$13:$J$17,5,0)="",
"(SELECT "&amp;VLOOKUP(B299,Instruções!$F$13:$J$17,4,0)&amp;" as "&amp;VLOOKUP(B299,Instruções!$F$13:$J$17,4,0)&amp;"_"&amp;$G$2&amp;", "&amp;E299&amp;" as "&amp;G299&amp;" FROM "&amp;D299&amp;" WHERE "&amp;Instruções!$D$21&amp;") B ",
"(SELECT "&amp;VLOOKUP(B299,Instruções!$F$13:$J$17,4,0)&amp;" as "&amp;VLOOKUP(B299,Instruções!$F$13:$J$17,4,0)&amp;"_"&amp;$G$2&amp;", "&amp;VLOOKUP(B299,Instruções!$F$13:$J$17,5,0)&amp;" as "&amp;VLOOKUP(B299,Instruções!$F$13:$J$17,5,0)&amp;"_"&amp;$G$2&amp;","&amp;E299&amp;" as "&amp;G299&amp;" FROM "&amp;D299&amp;" WHERE "&amp;Instruções!$D$21&amp;") B ")</f>
        <v xml:space="preserve">(SELECT instrmnt_id as instrmnt_id_, sbjct_pblc_grnt_schm_c19 as sbjct_pblc_grnt_schm_c19_to_be FROM bu_loantape_work.lt002_instrument WHERE ref_date='2024-09-30' AND nome_perimetro='Individual Corporativo' AND segmento='ESTR' AND ambito='PM' AND entidade='00100' ) B </v>
      </c>
      <c r="J299" s="75" t="str">
        <f>+IF(VLOOKUP(B299,Instruções!$F$13:$J$17,5,0)="", "ON "&amp;VLOOKUP(B299,Instruções!$F$13:$J$17,4,0)&amp;"_"&amp;$F$7&amp;"="&amp;VLOOKUP(B299,Instruções!$F$13:$J$17,4,0)&amp;"_"&amp;$G$7&amp;" ", "ON "&amp;VLOOKUP(B299,Instruções!$F$13:$J$17,4,0)&amp;"_"&amp;$F$7&amp;"="&amp;VLOOKUP(B299,Instruções!$F$13:$J$17,4,0)&amp;"_"&amp;$G$7&amp;" AND "&amp;VLOOKUP(B299,Instruções!$F$13:$J$17,5,0)&amp;"_"&amp;$F$7&amp;"="&amp;VLOOKUP(B299,Instruções!$F$13:$J$17,5,0)&amp;"_"&amp;$G$7&amp;" ")</f>
        <v xml:space="preserve">ON instrmnt_id_as_is=instrmnt_id_to_be </v>
      </c>
      <c r="K299" s="75" t="str">
        <f t="shared" si="45"/>
        <v xml:space="preserve">WHERE coalesce(cast(sbjct_pblc_grnt_schm_c19_as_is AS string),'')&lt;&gt;coalesce(cast(sbjct_pblc_grnt_schm_c19_to_be AS string),'') </v>
      </c>
      <c r="L299" s="75" t="str">
        <f t="shared" si="46"/>
        <v xml:space="preserve">SELECT count(*) AS NUM_REG_DIF FROM (SELECT instrmnt_id as instrmnt_id_,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instrmnt_id_, sbjct_pblc_grnt_schm_c19 as sbjct_pblc_grnt_schm_c19_to_be FROM bu_loantape_work.lt002_instrument WHERE ref_date='2024-09-30' AND nome_perimetro='Individual Corporativo' AND segmento='ESTR' AND ambito='PM' AND entidade='00100' ) B ON instrmnt_id_as_is=instrmnt_id_to_be WHERE coalesce(cast(sbjct_pblc_grnt_schm_c19_as_is AS string),'')&lt;&gt;coalesce(cast(sbjct_pblc_grnt_schm_c19_to_be AS string),'') </v>
      </c>
      <c r="M299" s="75" t="s">
        <v>55</v>
      </c>
      <c r="N299" s="75" t="str">
        <f>"SELECT 'Validação de campos' as tipologia_teste, '"&amp;VLOOKUP(B299,Instruções!$F$13:$J$17,3,0)&amp;"' AS TABELA, '"&amp;E299&amp;"' AS CAMPO, '"&amp;Instruções!$D$15&amp;"' as ref_date, coalesce(NUM_REG_DIF, 0) AS NUM_REG_DIF FROM ("&amp;L299&amp;") A "</f>
        <v xml:space="preserve">SELECT 'Validação de campos' as tipologia_teste, 'lt002_instrument' AS TABELA, 'sbjct_pblc_grnt_schm_c19' AS CAMPO, '2024-09-30' as ref_date, coalesce(NUM_REG_DIF, 0) AS NUM_REG_DIF FROM (SELECT count(*) AS NUM_REG_DIF FROM (SELECT instrmnt_id as instrmnt_id_,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instrmnt_id_, sbjct_pblc_grnt_schm_c19 as sbjct_pblc_grnt_schm_c19_to_be FROM bu_loantape_work.lt002_instrument WHERE ref_date='2024-09-30' AND nome_perimetro='Individual Corporativo' AND segmento='ESTR' AND ambito='PM' AND entidade='00100' ) B ON instrmnt_id_as_is=instrmnt_id_to_be WHERE coalesce(cast(sbjct_pblc_grnt_schm_c19_as_is AS string),'')&lt;&gt;coalesce(cast(sbjct_pblc_grnt_schm_c19_to_be AS string),'') ) A </v>
      </c>
      <c r="O299" s="76" t="str">
        <f t="shared" si="47"/>
        <v>SELECT 'Validação de campos' as tipologia_teste, 'lt002_instrument' AS TABELA, 'sbjct_pblc_grnt_schm_c19' AS CAMPO, '2024-09-30' as ref_date, coalesce(NUM_REG_DIF, 0) AS NUM_REG_DIF FROM (SELECT count(*) AS NUM_REG_DIF FROM (SELECT instrmnt_id as instrmnt_id_,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instrmnt_id_, sbjct_pblc_grnt_schm_c19 as sbjct_pblc_grnt_schm_c19_to_be FROM bu_loantape_work.lt002_instrument WHERE ref_date='2024-09-30' AND nome_perimetro='Individual Corporativo' AND segmento='ESTR' AND ambito='PM' AND entidade='00100' ) B ON instrmnt_id_as_is=instrmnt_id_to_be WHERE coalesce(cast(sbjct_pblc_grnt_schm_c19_as_is AS string),'')&lt;&gt;coalesce(cast(sbjct_pblc_grnt_schm_c19_to_be AS string),'') ) A Union all</v>
      </c>
      <c r="P299" s="75">
        <f t="shared" si="48"/>
        <v>36</v>
      </c>
    </row>
    <row r="300" spans="2:16" s="63" customFormat="1" ht="18" customHeight="1">
      <c r="B300" s="75" t="s">
        <v>26</v>
      </c>
      <c r="C300" s="75" t="str">
        <f>_xlfn.CONCAT(Instruções!$D$13,".",VLOOKUP(B300,Instruções!$F$12:$H$17,2,0))</f>
        <v>cd_loan_tapes_bce.lt002_instrument</v>
      </c>
      <c r="D300" s="75" t="str">
        <f>_xlfn.CONCAT(Instruções!$D$14,".",VLOOKUP(B300,Instruções!$F$12:$H$17,3,0))</f>
        <v>bu_loantape_work.lt002_instrument</v>
      </c>
      <c r="E300" s="75" t="s">
        <v>326</v>
      </c>
      <c r="F300" s="75" t="str">
        <f t="shared" si="49"/>
        <v>sicr_assssmnt_mthd_as_is</v>
      </c>
      <c r="G300" s="75" t="str">
        <f t="shared" si="50"/>
        <v>sicr_assssmnt_mthd_to_be</v>
      </c>
      <c r="H300" s="75" t="str">
        <f>IF(VLOOKUP(B300,Instruções!$F$13:$J$17,5,0)="",
"(SELECT "&amp;VLOOKUP(B300,Instruções!$F$13:$J$17,4,0)&amp;" as "&amp;VLOOKUP(B300,Instruções!$F$13:$J$17,4,0)&amp;"_"&amp;$F$2&amp;", "&amp;E300&amp;" as "&amp;F300&amp;" FROM "&amp;C300&amp;" WHERE "&amp;Instruções!$D$20&amp;") A ",
"(SELECT "&amp;VLOOKUP(B300,Instruções!$F$13:$J$17,4,0)&amp;" as "&amp;VLOOKUP(B300,Instruções!$F$13:$J$17,4,0)&amp;"_"&amp;$F$2&amp;", "&amp;VLOOKUP(B300,Instruções!$F$13:$J$17,5,0)&amp;" as "&amp;VLOOKUP(B300,Instruções!$F$13:$J$17,5,0)&amp;"_"&amp;$F$2&amp;","&amp;E300&amp;" as "&amp;F300&amp;" FROM "&amp;C300&amp;" WHERE "&amp;Instruções!$D$20&amp;") A ")</f>
        <v xml:space="preserve">(SELECT instrmnt_id as instrmnt_id_, sicr_assssmnt_mthd as sicr_assssmnt_mthd_as_is FROM cd_loan_tapes_bce.lt002_instrument WHERE ref_date='2024-09-30' AND nome_perimetro='Individual Corporativo' AND segmento='ESTR' AND ambito='PM' AND entidade='00100' ) A </v>
      </c>
      <c r="I300" s="75" t="str">
        <f>IF(VLOOKUP(B300,Instruções!$F$13:$J$17,5,0)="",
"(SELECT "&amp;VLOOKUP(B300,Instruções!$F$13:$J$17,4,0)&amp;" as "&amp;VLOOKUP(B300,Instruções!$F$13:$J$17,4,0)&amp;"_"&amp;$G$2&amp;", "&amp;E300&amp;" as "&amp;G300&amp;" FROM "&amp;D300&amp;" WHERE "&amp;Instruções!$D$21&amp;") B ",
"(SELECT "&amp;VLOOKUP(B300,Instruções!$F$13:$J$17,4,0)&amp;" as "&amp;VLOOKUP(B300,Instruções!$F$13:$J$17,4,0)&amp;"_"&amp;$G$2&amp;", "&amp;VLOOKUP(B300,Instruções!$F$13:$J$17,5,0)&amp;" as "&amp;VLOOKUP(B300,Instruções!$F$13:$J$17,5,0)&amp;"_"&amp;$G$2&amp;","&amp;E300&amp;" as "&amp;G300&amp;" FROM "&amp;D300&amp;" WHERE "&amp;Instruções!$D$21&amp;") B ")</f>
        <v xml:space="preserve">(SELECT instrmnt_id as instrmnt_id_, sicr_assssmnt_mthd as sicr_assssmnt_mthd_to_be FROM bu_loantape_work.lt002_instrument WHERE ref_date='2024-09-30' AND nome_perimetro='Individual Corporativo' AND segmento='ESTR' AND ambito='PM' AND entidade='00100' ) B </v>
      </c>
      <c r="J300" s="75" t="str">
        <f>+IF(VLOOKUP(B300,Instruções!$F$13:$J$17,5,0)="", "ON "&amp;VLOOKUP(B300,Instruções!$F$13:$J$17,4,0)&amp;"_"&amp;$F$7&amp;"="&amp;VLOOKUP(B300,Instruções!$F$13:$J$17,4,0)&amp;"_"&amp;$G$7&amp;" ", "ON "&amp;VLOOKUP(B300,Instruções!$F$13:$J$17,4,0)&amp;"_"&amp;$F$7&amp;"="&amp;VLOOKUP(B300,Instruções!$F$13:$J$17,4,0)&amp;"_"&amp;$G$7&amp;" AND "&amp;VLOOKUP(B300,Instruções!$F$13:$J$17,5,0)&amp;"_"&amp;$F$7&amp;"="&amp;VLOOKUP(B300,Instruções!$F$13:$J$17,5,0)&amp;"_"&amp;$G$7&amp;" ")</f>
        <v xml:space="preserve">ON instrmnt_id_as_is=instrmnt_id_to_be </v>
      </c>
      <c r="K300" s="75" t="str">
        <f t="shared" si="45"/>
        <v xml:space="preserve">WHERE coalesce(cast(sicr_assssmnt_mthd_as_is AS string),'')&lt;&gt;coalesce(cast(sicr_assssmnt_mthd_to_be AS string),'') </v>
      </c>
      <c r="L300" s="75" t="str">
        <f t="shared" si="46"/>
        <v xml:space="preserve">SELECT count(*) AS NUM_REG_DIF FROM (SELECT instrmnt_id as instrmnt_id_, sicr_assssmnt_mthd as sicr_assssmnt_mthd_as_is FROM cd_loan_tapes_bce.lt002_instrument WHERE ref_date='2024-09-30' AND nome_perimetro='Individual Corporativo' AND segmento='ESTR' AND ambito='PM' AND entidade='00100' ) A  Inner join (SELECT instrmnt_id as instrmnt_id_, sicr_assssmnt_mthd as sicr_assssmnt_mthd_to_be FROM bu_loantape_work.lt002_instrument WHERE ref_date='2024-09-30' AND nome_perimetro='Individual Corporativo' AND segmento='ESTR' AND ambito='PM' AND entidade='00100' ) B ON instrmnt_id_as_is=instrmnt_id_to_be WHERE coalesce(cast(sicr_assssmnt_mthd_as_is AS string),'')&lt;&gt;coalesce(cast(sicr_assssmnt_mthd_to_be AS string),'') </v>
      </c>
      <c r="M300" s="75" t="s">
        <v>55</v>
      </c>
      <c r="N300" s="75" t="str">
        <f>"SELECT 'Validação de campos' as tipologia_teste, '"&amp;VLOOKUP(B300,Instruções!$F$13:$J$17,3,0)&amp;"' AS TABELA, '"&amp;E300&amp;"' AS CAMPO, '"&amp;Instruções!$D$15&amp;"' as ref_date, coalesce(NUM_REG_DIF, 0) AS NUM_REG_DIF FROM ("&amp;L300&amp;") A "</f>
        <v xml:space="preserve">SELECT 'Validação de campos' as tipologia_teste, 'lt002_instrument' AS TABELA, 'sicr_assssmnt_mthd' AS CAMPO, '2024-09-30' as ref_date, coalesce(NUM_REG_DIF, 0) AS NUM_REG_DIF FROM (SELECT count(*) AS NUM_REG_DIF FROM (SELECT instrmnt_id as instrmnt_id_, sicr_assssmnt_mthd as sicr_assssmnt_mthd_as_is FROM cd_loan_tapes_bce.lt002_instrument WHERE ref_date='2024-09-30' AND nome_perimetro='Individual Corporativo' AND segmento='ESTR' AND ambito='PM' AND entidade='00100' ) A  Inner join (SELECT instrmnt_id as instrmnt_id_, sicr_assssmnt_mthd as sicr_assssmnt_mthd_to_be FROM bu_loantape_work.lt002_instrument WHERE ref_date='2024-09-30' AND nome_perimetro='Individual Corporativo' AND segmento='ESTR' AND ambito='PM' AND entidade='00100' ) B ON instrmnt_id_as_is=instrmnt_id_to_be WHERE coalesce(cast(sicr_assssmnt_mthd_as_is AS string),'')&lt;&gt;coalesce(cast(sicr_assssmnt_mthd_to_be AS string),'') ) A </v>
      </c>
      <c r="O300" s="76" t="str">
        <f t="shared" si="47"/>
        <v>SELECT 'Validação de campos' as tipologia_teste, 'lt002_instrument' AS TABELA, 'sicr_assssmnt_mthd' AS CAMPO, '2024-09-30' as ref_date, coalesce(NUM_REG_DIF, 0) AS NUM_REG_DIF FROM (SELECT count(*) AS NUM_REG_DIF FROM (SELECT instrmnt_id as instrmnt_id_, sicr_assssmnt_mthd as sicr_assssmnt_mthd_as_is FROM cd_loan_tapes_bce.lt002_instrument WHERE ref_date='2024-09-30' AND nome_perimetro='Individual Corporativo' AND segmento='ESTR' AND ambito='PM' AND entidade='00100' ) A  Inner join (SELECT instrmnt_id as instrmnt_id_, sicr_assssmnt_mthd as sicr_assssmnt_mthd_to_be FROM bu_loantape_work.lt002_instrument WHERE ref_date='2024-09-30' AND nome_perimetro='Individual Corporativo' AND segmento='ESTR' AND ambito='PM' AND entidade='00100' ) B ON instrmnt_id_as_is=instrmnt_id_to_be WHERE coalesce(cast(sicr_assssmnt_mthd_as_is AS string),'')&lt;&gt;coalesce(cast(sicr_assssmnt_mthd_to_be AS string),'') ) A Union all</v>
      </c>
      <c r="P300" s="75">
        <f t="shared" si="48"/>
        <v>37</v>
      </c>
    </row>
    <row r="301" spans="2:16" s="63" customFormat="1" ht="18" customHeight="1">
      <c r="B301" s="75" t="s">
        <v>26</v>
      </c>
      <c r="C301" s="75" t="str">
        <f>_xlfn.CONCAT(Instruções!$D$13,".",VLOOKUP(B301,Instruções!$F$12:$H$17,2,0))</f>
        <v>cd_loan_tapes_bce.lt002_instrument</v>
      </c>
      <c r="D301" s="75" t="str">
        <f>_xlfn.CONCAT(Instruções!$D$14,".",VLOOKUP(B301,Instruções!$F$12:$H$17,3,0))</f>
        <v>bu_loantape_work.lt002_instrument</v>
      </c>
      <c r="E301" s="75" t="s">
        <v>327</v>
      </c>
      <c r="F301" s="75" t="str">
        <f t="shared" si="49"/>
        <v>sme_fnrp18_as_is</v>
      </c>
      <c r="G301" s="75" t="str">
        <f t="shared" si="50"/>
        <v>sme_fnrp18_to_be</v>
      </c>
      <c r="H301" s="75" t="str">
        <f>IF(VLOOKUP(B301,Instruções!$F$13:$J$17,5,0)="",
"(SELECT "&amp;VLOOKUP(B301,Instruções!$F$13:$J$17,4,0)&amp;" as "&amp;VLOOKUP(B301,Instruções!$F$13:$J$17,4,0)&amp;"_"&amp;$F$2&amp;", "&amp;E301&amp;" as "&amp;F301&amp;" FROM "&amp;C301&amp;" WHERE "&amp;Instruções!$D$20&amp;") A ",
"(SELECT "&amp;VLOOKUP(B301,Instruções!$F$13:$J$17,4,0)&amp;" as "&amp;VLOOKUP(B301,Instruções!$F$13:$J$17,4,0)&amp;"_"&amp;$F$2&amp;", "&amp;VLOOKUP(B301,Instruções!$F$13:$J$17,5,0)&amp;" as "&amp;VLOOKUP(B301,Instruções!$F$13:$J$17,5,0)&amp;"_"&amp;$F$2&amp;","&amp;E301&amp;" as "&amp;F301&amp;" FROM "&amp;C301&amp;" WHERE "&amp;Instruções!$D$20&amp;") A ")</f>
        <v xml:space="preserve">(SELECT instrmnt_id as instrmnt_id_, sme_fnrp18 as sme_fnrp18_as_is FROM cd_loan_tapes_bce.lt002_instrument WHERE ref_date='2024-09-30' AND nome_perimetro='Individual Corporativo' AND segmento='ESTR' AND ambito='PM' AND entidade='00100' ) A </v>
      </c>
      <c r="I301" s="75" t="str">
        <f>IF(VLOOKUP(B301,Instruções!$F$13:$J$17,5,0)="",
"(SELECT "&amp;VLOOKUP(B301,Instruções!$F$13:$J$17,4,0)&amp;" as "&amp;VLOOKUP(B301,Instruções!$F$13:$J$17,4,0)&amp;"_"&amp;$G$2&amp;", "&amp;E301&amp;" as "&amp;G301&amp;" FROM "&amp;D301&amp;" WHERE "&amp;Instruções!$D$21&amp;") B ",
"(SELECT "&amp;VLOOKUP(B301,Instruções!$F$13:$J$17,4,0)&amp;" as "&amp;VLOOKUP(B301,Instruções!$F$13:$J$17,4,0)&amp;"_"&amp;$G$2&amp;", "&amp;VLOOKUP(B301,Instruções!$F$13:$J$17,5,0)&amp;" as "&amp;VLOOKUP(B301,Instruções!$F$13:$J$17,5,0)&amp;"_"&amp;$G$2&amp;","&amp;E301&amp;" as "&amp;G301&amp;" FROM "&amp;D301&amp;" WHERE "&amp;Instruções!$D$21&amp;") B ")</f>
        <v xml:space="preserve">(SELECT instrmnt_id as instrmnt_id_, sme_fnrp18 as sme_fnrp18_to_be FROM bu_loantape_work.lt002_instrument WHERE ref_date='2024-09-30' AND nome_perimetro='Individual Corporativo' AND segmento='ESTR' AND ambito='PM' AND entidade='00100' ) B </v>
      </c>
      <c r="J301" s="75" t="str">
        <f>+IF(VLOOKUP(B301,Instruções!$F$13:$J$17,5,0)="", "ON "&amp;VLOOKUP(B301,Instruções!$F$13:$J$17,4,0)&amp;"_"&amp;$F$7&amp;"="&amp;VLOOKUP(B301,Instruções!$F$13:$J$17,4,0)&amp;"_"&amp;$G$7&amp;" ", "ON "&amp;VLOOKUP(B301,Instruções!$F$13:$J$17,4,0)&amp;"_"&amp;$F$7&amp;"="&amp;VLOOKUP(B301,Instruções!$F$13:$J$17,4,0)&amp;"_"&amp;$G$7&amp;" AND "&amp;VLOOKUP(B301,Instruções!$F$13:$J$17,5,0)&amp;"_"&amp;$F$7&amp;"="&amp;VLOOKUP(B301,Instruções!$F$13:$J$17,5,0)&amp;"_"&amp;$G$7&amp;" ")</f>
        <v xml:space="preserve">ON instrmnt_id_as_is=instrmnt_id_to_be </v>
      </c>
      <c r="K301" s="75" t="str">
        <f t="shared" si="45"/>
        <v xml:space="preserve">WHERE coalesce(cast(sme_fnrp18_as_is AS string),'')&lt;&gt;coalesce(cast(sme_fnrp18_to_be AS string),'') </v>
      </c>
      <c r="L301" s="75" t="str">
        <f t="shared" si="46"/>
        <v xml:space="preserve">SELECT count(*) AS NUM_REG_DIF FROM (SELECT instrmnt_id as instrmnt_id_, sme_fnrp18 as sme_fnrp18_as_is FROM cd_loan_tapes_bce.lt002_instrument WHERE ref_date='2024-09-30' AND nome_perimetro='Individual Corporativo' AND segmento='ESTR' AND ambito='PM' AND entidade='00100' ) A  Inner join (SELECT instrmnt_id as instrmnt_id_, sme_fnrp18 as sme_fnrp18_to_be FROM bu_loantape_work.lt002_instrument WHERE ref_date='2024-09-30' AND nome_perimetro='Individual Corporativo' AND segmento='ESTR' AND ambito='PM' AND entidade='00100' ) B ON instrmnt_id_as_is=instrmnt_id_to_be WHERE coalesce(cast(sme_fnrp18_as_is AS string),'')&lt;&gt;coalesce(cast(sme_fnrp18_to_be AS string),'') </v>
      </c>
      <c r="M301" s="75" t="s">
        <v>55</v>
      </c>
      <c r="N301" s="75" t="str">
        <f>"SELECT 'Validação de campos' as tipologia_teste, '"&amp;VLOOKUP(B301,Instruções!$F$13:$J$17,3,0)&amp;"' AS TABELA, '"&amp;E301&amp;"' AS CAMPO, '"&amp;Instruções!$D$15&amp;"' as ref_date, coalesce(NUM_REG_DIF, 0) AS NUM_REG_DIF FROM ("&amp;L301&amp;") A "</f>
        <v xml:space="preserve">SELECT 'Validação de campos' as tipologia_teste, 'lt002_instrument' AS TABELA, 'sme_fnrp18' AS CAMPO, '2024-09-30' as ref_date, coalesce(NUM_REG_DIF, 0) AS NUM_REG_DIF FROM (SELECT count(*) AS NUM_REG_DIF FROM (SELECT instrmnt_id as instrmnt_id_, sme_fnrp18 as sme_fnrp18_as_is FROM cd_loan_tapes_bce.lt002_instrument WHERE ref_date='2024-09-30' AND nome_perimetro='Individual Corporativo' AND segmento='ESTR' AND ambito='PM' AND entidade='00100' ) A  Inner join (SELECT instrmnt_id as instrmnt_id_, sme_fnrp18 as sme_fnrp18_to_be FROM bu_loantape_work.lt002_instrument WHERE ref_date='2024-09-30' AND nome_perimetro='Individual Corporativo' AND segmento='ESTR' AND ambito='PM' AND entidade='00100' ) B ON instrmnt_id_as_is=instrmnt_id_to_be WHERE coalesce(cast(sme_fnrp18_as_is AS string),'')&lt;&gt;coalesce(cast(sme_fnrp18_to_be AS string),'') ) A </v>
      </c>
      <c r="O301" s="76" t="str">
        <f t="shared" si="47"/>
        <v>SELECT 'Validação de campos' as tipologia_teste, 'lt002_instrument' AS TABELA, 'sme_fnrp18' AS CAMPO, '2024-09-30' as ref_date, coalesce(NUM_REG_DIF, 0) AS NUM_REG_DIF FROM (SELECT count(*) AS NUM_REG_DIF FROM (SELECT instrmnt_id as instrmnt_id_, sme_fnrp18 as sme_fnrp18_as_is FROM cd_loan_tapes_bce.lt002_instrument WHERE ref_date='2024-09-30' AND nome_perimetro='Individual Corporativo' AND segmento='ESTR' AND ambito='PM' AND entidade='00100' ) A  Inner join (SELECT instrmnt_id as instrmnt_id_, sme_fnrp18 as sme_fnrp18_to_be FROM bu_loantape_work.lt002_instrument WHERE ref_date='2024-09-30' AND nome_perimetro='Individual Corporativo' AND segmento='ESTR' AND ambito='PM' AND entidade='00100' ) B ON instrmnt_id_as_is=instrmnt_id_to_be WHERE coalesce(cast(sme_fnrp18_as_is AS string),'')&lt;&gt;coalesce(cast(sme_fnrp18_to_be AS string),'') ) A Union all</v>
      </c>
      <c r="P301" s="75">
        <f t="shared" si="48"/>
        <v>38</v>
      </c>
    </row>
    <row r="302" spans="2:16" s="63" customFormat="1" ht="18" customHeight="1">
      <c r="B302" s="75" t="s">
        <v>26</v>
      </c>
      <c r="C302" s="75" t="str">
        <f>_xlfn.CONCAT(Instruções!$D$13,".",VLOOKUP(B302,Instruções!$F$12:$H$17,2,0))</f>
        <v>cd_loan_tapes_bce.lt002_instrument</v>
      </c>
      <c r="D302" s="75" t="str">
        <f>_xlfn.CONCAT(Instruções!$D$14,".",VLOOKUP(B302,Instruções!$F$12:$H$17,3,0))</f>
        <v>bu_loantape_work.lt002_instrument</v>
      </c>
      <c r="E302" s="75" t="s">
        <v>328</v>
      </c>
      <c r="F302" s="75" t="str">
        <f t="shared" si="49"/>
        <v>spcltv_lndng_as_is</v>
      </c>
      <c r="G302" s="75" t="str">
        <f t="shared" si="50"/>
        <v>spcltv_lndng_to_be</v>
      </c>
      <c r="H302" s="75" t="str">
        <f>IF(VLOOKUP(B302,Instruções!$F$13:$J$17,5,0)="",
"(SELECT "&amp;VLOOKUP(B302,Instruções!$F$13:$J$17,4,0)&amp;" as "&amp;VLOOKUP(B302,Instruções!$F$13:$J$17,4,0)&amp;"_"&amp;$F$2&amp;", "&amp;E302&amp;" as "&amp;F302&amp;" FROM "&amp;C302&amp;" WHERE "&amp;Instruções!$D$20&amp;") A ",
"(SELECT "&amp;VLOOKUP(B302,Instruções!$F$13:$J$17,4,0)&amp;" as "&amp;VLOOKUP(B302,Instruções!$F$13:$J$17,4,0)&amp;"_"&amp;$F$2&amp;", "&amp;VLOOKUP(B302,Instruções!$F$13:$J$17,5,0)&amp;" as "&amp;VLOOKUP(B302,Instruções!$F$13:$J$17,5,0)&amp;"_"&amp;$F$2&amp;","&amp;E302&amp;" as "&amp;F302&amp;" FROM "&amp;C302&amp;" WHERE "&amp;Instruções!$D$20&amp;") A ")</f>
        <v xml:space="preserve">(SELECT instrmnt_id as instrmnt_id_, spcltv_lndng as spcltv_lndng_as_is FROM cd_loan_tapes_bce.lt002_instrument WHERE ref_date='2024-09-30' AND nome_perimetro='Individual Corporativo' AND segmento='ESTR' AND ambito='PM' AND entidade='00100' ) A </v>
      </c>
      <c r="I302" s="75" t="str">
        <f>IF(VLOOKUP(B302,Instruções!$F$13:$J$17,5,0)="",
"(SELECT "&amp;VLOOKUP(B302,Instruções!$F$13:$J$17,4,0)&amp;" as "&amp;VLOOKUP(B302,Instruções!$F$13:$J$17,4,0)&amp;"_"&amp;$G$2&amp;", "&amp;E302&amp;" as "&amp;G302&amp;" FROM "&amp;D302&amp;" WHERE "&amp;Instruções!$D$21&amp;") B ",
"(SELECT "&amp;VLOOKUP(B302,Instruções!$F$13:$J$17,4,0)&amp;" as "&amp;VLOOKUP(B302,Instruções!$F$13:$J$17,4,0)&amp;"_"&amp;$G$2&amp;", "&amp;VLOOKUP(B302,Instruções!$F$13:$J$17,5,0)&amp;" as "&amp;VLOOKUP(B302,Instruções!$F$13:$J$17,5,0)&amp;"_"&amp;$G$2&amp;","&amp;E302&amp;" as "&amp;G302&amp;" FROM "&amp;D302&amp;" WHERE "&amp;Instruções!$D$21&amp;") B ")</f>
        <v xml:space="preserve">(SELECT instrmnt_id as instrmnt_id_, spcltv_lndng as spcltv_lndng_to_be FROM bu_loantape_work.lt002_instrument WHERE ref_date='2024-09-30' AND nome_perimetro='Individual Corporativo' AND segmento='ESTR' AND ambito='PM' AND entidade='00100' ) B </v>
      </c>
      <c r="J302" s="75" t="str">
        <f>+IF(VLOOKUP(B302,Instruções!$F$13:$J$17,5,0)="", "ON "&amp;VLOOKUP(B302,Instruções!$F$13:$J$17,4,0)&amp;"_"&amp;$F$7&amp;"="&amp;VLOOKUP(B302,Instruções!$F$13:$J$17,4,0)&amp;"_"&amp;$G$7&amp;" ", "ON "&amp;VLOOKUP(B302,Instruções!$F$13:$J$17,4,0)&amp;"_"&amp;$F$7&amp;"="&amp;VLOOKUP(B302,Instruções!$F$13:$J$17,4,0)&amp;"_"&amp;$G$7&amp;" AND "&amp;VLOOKUP(B302,Instruções!$F$13:$J$17,5,0)&amp;"_"&amp;$F$7&amp;"="&amp;VLOOKUP(B302,Instruções!$F$13:$J$17,5,0)&amp;"_"&amp;$G$7&amp;" ")</f>
        <v xml:space="preserve">ON instrmnt_id_as_is=instrmnt_id_to_be </v>
      </c>
      <c r="K302" s="75" t="str">
        <f t="shared" si="45"/>
        <v xml:space="preserve">WHERE coalesce(cast(spcltv_lndng_as_is AS string),'')&lt;&gt;coalesce(cast(spcltv_lndng_to_be AS string),'') </v>
      </c>
      <c r="L302" s="75" t="str">
        <f t="shared" si="46"/>
        <v xml:space="preserve">SELECT count(*) AS NUM_REG_DIF FROM (SELECT instrmnt_id as instrmnt_id_, spcltv_lndng as spcltv_lndng_as_is FROM cd_loan_tapes_bce.lt002_instrument WHERE ref_date='2024-09-30' AND nome_perimetro='Individual Corporativo' AND segmento='ESTR' AND ambito='PM' AND entidade='00100' ) A  Inner join (SELECT instrmnt_id as instrmnt_id_, spcltv_lndng as spcltv_lndng_to_be FROM bu_loantape_work.lt002_instrument WHERE ref_date='2024-09-30' AND nome_perimetro='Individual Corporativo' AND segmento='ESTR' AND ambito='PM' AND entidade='00100' ) B ON instrmnt_id_as_is=instrmnt_id_to_be WHERE coalesce(cast(spcltv_lndng_as_is AS string),'')&lt;&gt;coalesce(cast(spcltv_lndng_to_be AS string),'') </v>
      </c>
      <c r="M302" s="75" t="s">
        <v>55</v>
      </c>
      <c r="N302" s="75" t="str">
        <f>"SELECT 'Validação de campos' as tipologia_teste, '"&amp;VLOOKUP(B302,Instruções!$F$13:$J$17,3,0)&amp;"' AS TABELA, '"&amp;E302&amp;"' AS CAMPO, '"&amp;Instruções!$D$15&amp;"' as ref_date, coalesce(NUM_REG_DIF, 0) AS NUM_REG_DIF FROM ("&amp;L302&amp;") A "</f>
        <v xml:space="preserve">SELECT 'Validação de campos' as tipologia_teste, 'lt002_instrument' AS TABELA, 'spcltv_lndng' AS CAMPO, '2024-09-30' as ref_date, coalesce(NUM_REG_DIF, 0) AS NUM_REG_DIF FROM (SELECT count(*) AS NUM_REG_DIF FROM (SELECT instrmnt_id as instrmnt_id_, spcltv_lndng as spcltv_lndng_as_is FROM cd_loan_tapes_bce.lt002_instrument WHERE ref_date='2024-09-30' AND nome_perimetro='Individual Corporativo' AND segmento='ESTR' AND ambito='PM' AND entidade='00100' ) A  Inner join (SELECT instrmnt_id as instrmnt_id_, spcltv_lndng as spcltv_lndng_to_be FROM bu_loantape_work.lt002_instrument WHERE ref_date='2024-09-30' AND nome_perimetro='Individual Corporativo' AND segmento='ESTR' AND ambito='PM' AND entidade='00100' ) B ON instrmnt_id_as_is=instrmnt_id_to_be WHERE coalesce(cast(spcltv_lndng_as_is AS string),'')&lt;&gt;coalesce(cast(spcltv_lndng_to_be AS string),'') ) A </v>
      </c>
      <c r="O302" s="76" t="str">
        <f t="shared" si="47"/>
        <v>SELECT 'Validação de campos' as tipologia_teste, 'lt002_instrument' AS TABELA, 'spcltv_lndng' AS CAMPO, '2024-09-30' as ref_date, coalesce(NUM_REG_DIF, 0) AS NUM_REG_DIF FROM (SELECT count(*) AS NUM_REG_DIF FROM (SELECT instrmnt_id as instrmnt_id_, spcltv_lndng as spcltv_lndng_as_is FROM cd_loan_tapes_bce.lt002_instrument WHERE ref_date='2024-09-30' AND nome_perimetro='Individual Corporativo' AND segmento='ESTR' AND ambito='PM' AND entidade='00100' ) A  Inner join (SELECT instrmnt_id as instrmnt_id_, spcltv_lndng as spcltv_lndng_to_be FROM bu_loantape_work.lt002_instrument WHERE ref_date='2024-09-30' AND nome_perimetro='Individual Corporativo' AND segmento='ESTR' AND ambito='PM' AND entidade='00100' ) B ON instrmnt_id_as_is=instrmnt_id_to_be WHERE coalesce(cast(spcltv_lndng_as_is AS string),'')&lt;&gt;coalesce(cast(spcltv_lndng_to_be AS string),'') ) A Union all</v>
      </c>
      <c r="P302" s="75">
        <f t="shared" si="48"/>
        <v>39</v>
      </c>
    </row>
    <row r="303" spans="2:16" s="63" customFormat="1" ht="18" customHeight="1">
      <c r="B303" s="75" t="s">
        <v>26</v>
      </c>
      <c r="C303" s="75" t="str">
        <f>_xlfn.CONCAT(Instruções!$D$13,".",VLOOKUP(B303,Instruções!$F$12:$H$17,2,0))</f>
        <v>cd_loan_tapes_bce.lt002_instrument</v>
      </c>
      <c r="D303" s="75" t="str">
        <f>_xlfn.CONCAT(Instruções!$D$14,".",VLOOKUP(B303,Instruções!$F$12:$H$17,3,0))</f>
        <v>bu_loantape_work.lt002_instrument</v>
      </c>
      <c r="E303" s="75" t="s">
        <v>329</v>
      </c>
      <c r="F303" s="75" t="str">
        <f t="shared" si="49"/>
        <v>spnsr_nm_as_is</v>
      </c>
      <c r="G303" s="75" t="str">
        <f t="shared" si="50"/>
        <v>spnsr_nm_to_be</v>
      </c>
      <c r="H303" s="75" t="str">
        <f>IF(VLOOKUP(B303,Instruções!$F$13:$J$17,5,0)="",
"(SELECT "&amp;VLOOKUP(B303,Instruções!$F$13:$J$17,4,0)&amp;" as "&amp;VLOOKUP(B303,Instruções!$F$13:$J$17,4,0)&amp;"_"&amp;$F$2&amp;", "&amp;E303&amp;" as "&amp;F303&amp;" FROM "&amp;C303&amp;" WHERE "&amp;Instruções!$D$20&amp;") A ",
"(SELECT "&amp;VLOOKUP(B303,Instruções!$F$13:$J$17,4,0)&amp;" as "&amp;VLOOKUP(B303,Instruções!$F$13:$J$17,4,0)&amp;"_"&amp;$F$2&amp;", "&amp;VLOOKUP(B303,Instruções!$F$13:$J$17,5,0)&amp;" as "&amp;VLOOKUP(B303,Instruções!$F$13:$J$17,5,0)&amp;"_"&amp;$F$2&amp;","&amp;E303&amp;" as "&amp;F303&amp;" FROM "&amp;C303&amp;" WHERE "&amp;Instruções!$D$20&amp;") A ")</f>
        <v xml:space="preserve">(SELECT instrmnt_id as instrmnt_id_, spnsr_nm as spnsr_nm_as_is FROM cd_loan_tapes_bce.lt002_instrument WHERE ref_date='2024-09-30' AND nome_perimetro='Individual Corporativo' AND segmento='ESTR' AND ambito='PM' AND entidade='00100' ) A </v>
      </c>
      <c r="I303" s="75" t="str">
        <f>IF(VLOOKUP(B303,Instruções!$F$13:$J$17,5,0)="",
"(SELECT "&amp;VLOOKUP(B303,Instruções!$F$13:$J$17,4,0)&amp;" as "&amp;VLOOKUP(B303,Instruções!$F$13:$J$17,4,0)&amp;"_"&amp;$G$2&amp;", "&amp;E303&amp;" as "&amp;G303&amp;" FROM "&amp;D303&amp;" WHERE "&amp;Instruções!$D$21&amp;") B ",
"(SELECT "&amp;VLOOKUP(B303,Instruções!$F$13:$J$17,4,0)&amp;" as "&amp;VLOOKUP(B303,Instruções!$F$13:$J$17,4,0)&amp;"_"&amp;$G$2&amp;", "&amp;VLOOKUP(B303,Instruções!$F$13:$J$17,5,0)&amp;" as "&amp;VLOOKUP(B303,Instruções!$F$13:$J$17,5,0)&amp;"_"&amp;$G$2&amp;","&amp;E303&amp;" as "&amp;G303&amp;" FROM "&amp;D303&amp;" WHERE "&amp;Instruções!$D$21&amp;") B ")</f>
        <v xml:space="preserve">(SELECT instrmnt_id as instrmnt_id_, spnsr_nm as spnsr_nm_to_be FROM bu_loantape_work.lt002_instrument WHERE ref_date='2024-09-30' AND nome_perimetro='Individual Corporativo' AND segmento='ESTR' AND ambito='PM' AND entidade='00100' ) B </v>
      </c>
      <c r="J303" s="75" t="str">
        <f>+IF(VLOOKUP(B303,Instruções!$F$13:$J$17,5,0)="", "ON "&amp;VLOOKUP(B303,Instruções!$F$13:$J$17,4,0)&amp;"_"&amp;$F$7&amp;"="&amp;VLOOKUP(B303,Instruções!$F$13:$J$17,4,0)&amp;"_"&amp;$G$7&amp;" ", "ON "&amp;VLOOKUP(B303,Instruções!$F$13:$J$17,4,0)&amp;"_"&amp;$F$7&amp;"="&amp;VLOOKUP(B303,Instruções!$F$13:$J$17,4,0)&amp;"_"&amp;$G$7&amp;" AND "&amp;VLOOKUP(B303,Instruções!$F$13:$J$17,5,0)&amp;"_"&amp;$F$7&amp;"="&amp;VLOOKUP(B303,Instruções!$F$13:$J$17,5,0)&amp;"_"&amp;$G$7&amp;" ")</f>
        <v xml:space="preserve">ON instrmnt_id_as_is=instrmnt_id_to_be </v>
      </c>
      <c r="K303" s="75" t="str">
        <f t="shared" si="45"/>
        <v xml:space="preserve">WHERE coalesce(cast(spnsr_nm_as_is AS string),'')&lt;&gt;coalesce(cast(spnsr_nm_to_be AS string),'') </v>
      </c>
      <c r="L303" s="75" t="str">
        <f t="shared" si="46"/>
        <v xml:space="preserve">SELECT count(*) AS NUM_REG_DIF FROM (SELECT instrmnt_id as instrmnt_id_, spnsr_nm as spnsr_nm_as_is FROM cd_loan_tapes_bce.lt002_instrument WHERE ref_date='2024-09-30' AND nome_perimetro='Individual Corporativo' AND segmento='ESTR' AND ambito='PM' AND entidade='00100' ) A  Inner join (SELECT instrmnt_id as instrmnt_id_, spnsr_nm as spnsr_nm_to_be FROM bu_loantape_work.lt002_instrument WHERE ref_date='2024-09-30' AND nome_perimetro='Individual Corporativo' AND segmento='ESTR' AND ambito='PM' AND entidade='00100' ) B ON instrmnt_id_as_is=instrmnt_id_to_be WHERE coalesce(cast(spnsr_nm_as_is AS string),'')&lt;&gt;coalesce(cast(spnsr_nm_to_be AS string),'') </v>
      </c>
      <c r="M303" s="75" t="s">
        <v>55</v>
      </c>
      <c r="N303" s="75" t="str">
        <f>"SELECT 'Validação de campos' as tipologia_teste, '"&amp;VLOOKUP(B303,Instruções!$F$13:$J$17,3,0)&amp;"' AS TABELA, '"&amp;E303&amp;"' AS CAMPO, '"&amp;Instruções!$D$15&amp;"' as ref_date, coalesce(NUM_REG_DIF, 0) AS NUM_REG_DIF FROM ("&amp;L303&amp;") A "</f>
        <v xml:space="preserve">SELECT 'Validação de campos' as tipologia_teste, 'lt002_instrument' AS TABELA, 'spnsr_nm' AS CAMPO, '2024-09-30' as ref_date, coalesce(NUM_REG_DIF, 0) AS NUM_REG_DIF FROM (SELECT count(*) AS NUM_REG_DIF FROM (SELECT instrmnt_id as instrmnt_id_, spnsr_nm as spnsr_nm_as_is FROM cd_loan_tapes_bce.lt002_instrument WHERE ref_date='2024-09-30' AND nome_perimetro='Individual Corporativo' AND segmento='ESTR' AND ambito='PM' AND entidade='00100' ) A  Inner join (SELECT instrmnt_id as instrmnt_id_, spnsr_nm as spnsr_nm_to_be FROM bu_loantape_work.lt002_instrument WHERE ref_date='2024-09-30' AND nome_perimetro='Individual Corporativo' AND segmento='ESTR' AND ambito='PM' AND entidade='00100' ) B ON instrmnt_id_as_is=instrmnt_id_to_be WHERE coalesce(cast(spnsr_nm_as_is AS string),'')&lt;&gt;coalesce(cast(spnsr_nm_to_be AS string),'') ) A </v>
      </c>
      <c r="O303" s="76" t="str">
        <f t="shared" si="47"/>
        <v>SELECT 'Validação de campos' as tipologia_teste, 'lt002_instrument' AS TABELA, 'spnsr_nm' AS CAMPO, '2024-09-30' as ref_date, coalesce(NUM_REG_DIF, 0) AS NUM_REG_DIF FROM (SELECT count(*) AS NUM_REG_DIF FROM (SELECT instrmnt_id as instrmnt_id_, spnsr_nm as spnsr_nm_as_is FROM cd_loan_tapes_bce.lt002_instrument WHERE ref_date='2024-09-30' AND nome_perimetro='Individual Corporativo' AND segmento='ESTR' AND ambito='PM' AND entidade='00100' ) A  Inner join (SELECT instrmnt_id as instrmnt_id_, spnsr_nm as spnsr_nm_to_be FROM bu_loantape_work.lt002_instrument WHERE ref_date='2024-09-30' AND nome_perimetro='Individual Corporativo' AND segmento='ESTR' AND ambito='PM' AND entidade='00100' ) B ON instrmnt_id_as_is=instrmnt_id_to_be WHERE coalesce(cast(spnsr_nm_as_is AS string),'')&lt;&gt;coalesce(cast(spnsr_nm_to_be AS string),'') ) A Union all</v>
      </c>
      <c r="P303" s="75">
        <f t="shared" si="48"/>
        <v>40</v>
      </c>
    </row>
    <row r="304" spans="2:16" s="63" customFormat="1" ht="18" customHeight="1">
      <c r="B304" s="75" t="s">
        <v>26</v>
      </c>
      <c r="C304" s="75" t="str">
        <f>_xlfn.CONCAT(Instruções!$D$13,".",VLOOKUP(B304,Instruções!$F$12:$H$17,2,0))</f>
        <v>cd_loan_tapes_bce.lt002_instrument</v>
      </c>
      <c r="D304" s="75" t="str">
        <f>_xlfn.CONCAT(Instruções!$D$14,".",VLOOKUP(B304,Instruções!$F$12:$H$17,3,0))</f>
        <v>bu_loantape_work.lt002_instrument</v>
      </c>
      <c r="E304" s="75" t="s">
        <v>330</v>
      </c>
      <c r="F304" s="75" t="str">
        <f t="shared" si="49"/>
        <v>sprd_as_is</v>
      </c>
      <c r="G304" s="75" t="str">
        <f t="shared" si="50"/>
        <v>sprd_to_be</v>
      </c>
      <c r="H304" s="75" t="str">
        <f>IF(VLOOKUP(B304,Instruções!$F$13:$J$17,5,0)="",
"(SELECT "&amp;VLOOKUP(B304,Instruções!$F$13:$J$17,4,0)&amp;" as "&amp;VLOOKUP(B304,Instruções!$F$13:$J$17,4,0)&amp;"_"&amp;$F$2&amp;", "&amp;E304&amp;" as "&amp;F304&amp;" FROM "&amp;C304&amp;" WHERE "&amp;Instruções!$D$20&amp;") A ",
"(SELECT "&amp;VLOOKUP(B304,Instruções!$F$13:$J$17,4,0)&amp;" as "&amp;VLOOKUP(B304,Instruções!$F$13:$J$17,4,0)&amp;"_"&amp;$F$2&amp;", "&amp;VLOOKUP(B304,Instruções!$F$13:$J$17,5,0)&amp;" as "&amp;VLOOKUP(B304,Instruções!$F$13:$J$17,5,0)&amp;"_"&amp;$F$2&amp;","&amp;E304&amp;" as "&amp;F304&amp;" FROM "&amp;C304&amp;" WHERE "&amp;Instruções!$D$20&amp;") A ")</f>
        <v xml:space="preserve">(SELECT instrmnt_id as instrmnt_id_, sprd as sprd_as_is FROM cd_loan_tapes_bce.lt002_instrument WHERE ref_date='2024-09-30' AND nome_perimetro='Individual Corporativo' AND segmento='ESTR' AND ambito='PM' AND entidade='00100' ) A </v>
      </c>
      <c r="I304" s="75" t="str">
        <f>IF(VLOOKUP(B304,Instruções!$F$13:$J$17,5,0)="",
"(SELECT "&amp;VLOOKUP(B304,Instruções!$F$13:$J$17,4,0)&amp;" as "&amp;VLOOKUP(B304,Instruções!$F$13:$J$17,4,0)&amp;"_"&amp;$G$2&amp;", "&amp;E304&amp;" as "&amp;G304&amp;" FROM "&amp;D304&amp;" WHERE "&amp;Instruções!$D$21&amp;") B ",
"(SELECT "&amp;VLOOKUP(B304,Instruções!$F$13:$J$17,4,0)&amp;" as "&amp;VLOOKUP(B304,Instruções!$F$13:$J$17,4,0)&amp;"_"&amp;$G$2&amp;", "&amp;VLOOKUP(B304,Instruções!$F$13:$J$17,5,0)&amp;" as "&amp;VLOOKUP(B304,Instruções!$F$13:$J$17,5,0)&amp;"_"&amp;$G$2&amp;","&amp;E304&amp;" as "&amp;G304&amp;" FROM "&amp;D304&amp;" WHERE "&amp;Instruções!$D$21&amp;") B ")</f>
        <v xml:space="preserve">(SELECT instrmnt_id as instrmnt_id_, sprd as sprd_to_be FROM bu_loantape_work.lt002_instrument WHERE ref_date='2024-09-30' AND nome_perimetro='Individual Corporativo' AND segmento='ESTR' AND ambito='PM' AND entidade='00100' ) B </v>
      </c>
      <c r="J304" s="75" t="str">
        <f>+IF(VLOOKUP(B304,Instruções!$F$13:$J$17,5,0)="", "ON "&amp;VLOOKUP(B304,Instruções!$F$13:$J$17,4,0)&amp;"_"&amp;$F$7&amp;"="&amp;VLOOKUP(B304,Instruções!$F$13:$J$17,4,0)&amp;"_"&amp;$G$7&amp;" ", "ON "&amp;VLOOKUP(B304,Instruções!$F$13:$J$17,4,0)&amp;"_"&amp;$F$7&amp;"="&amp;VLOOKUP(B304,Instruções!$F$13:$J$17,4,0)&amp;"_"&amp;$G$7&amp;" AND "&amp;VLOOKUP(B304,Instruções!$F$13:$J$17,5,0)&amp;"_"&amp;$F$7&amp;"="&amp;VLOOKUP(B304,Instruções!$F$13:$J$17,5,0)&amp;"_"&amp;$G$7&amp;" ")</f>
        <v xml:space="preserve">ON instrmnt_id_as_is=instrmnt_id_to_be </v>
      </c>
      <c r="K304" s="75" t="str">
        <f t="shared" si="45"/>
        <v xml:space="preserve">WHERE coalesce(cast(sprd_as_is AS string),'')&lt;&gt;coalesce(cast(sprd_to_be AS string),'') </v>
      </c>
      <c r="L304" s="75" t="str">
        <f t="shared" si="46"/>
        <v xml:space="preserve">SELECT count(*) AS NUM_REG_DIF FROM (SELECT instrmnt_id as instrmnt_id_, sprd as sprd_as_is FROM cd_loan_tapes_bce.lt002_instrument WHERE ref_date='2024-09-30' AND nome_perimetro='Individual Corporativo' AND segmento='ESTR' AND ambito='PM' AND entidade='00100' ) A  Inner join (SELECT instrmnt_id as instrmnt_id_, sprd as sprd_to_be FROM bu_loantape_work.lt002_instrument WHERE ref_date='2024-09-30' AND nome_perimetro='Individual Corporativo' AND segmento='ESTR' AND ambito='PM' AND entidade='00100' ) B ON instrmnt_id_as_is=instrmnt_id_to_be WHERE coalesce(cast(sprd_as_is AS string),'')&lt;&gt;coalesce(cast(sprd_to_be AS string),'') </v>
      </c>
      <c r="M304" s="75" t="s">
        <v>55</v>
      </c>
      <c r="N304" s="75" t="str">
        <f>"SELECT 'Validação de campos' as tipologia_teste, '"&amp;VLOOKUP(B304,Instruções!$F$13:$J$17,3,0)&amp;"' AS TABELA, '"&amp;E304&amp;"' AS CAMPO, '"&amp;Instruções!$D$15&amp;"' as ref_date, coalesce(NUM_REG_DIF, 0) AS NUM_REG_DIF FROM ("&amp;L304&amp;") A "</f>
        <v xml:space="preserve">SELECT 'Validação de campos' as tipologia_teste, 'lt002_instrument' AS TABELA, 'sprd' AS CAMPO, '2024-09-30' as ref_date, coalesce(NUM_REG_DIF, 0) AS NUM_REG_DIF FROM (SELECT count(*) AS NUM_REG_DIF FROM (SELECT instrmnt_id as instrmnt_id_, sprd as sprd_as_is FROM cd_loan_tapes_bce.lt002_instrument WHERE ref_date='2024-09-30' AND nome_perimetro='Individual Corporativo' AND segmento='ESTR' AND ambito='PM' AND entidade='00100' ) A  Inner join (SELECT instrmnt_id as instrmnt_id_, sprd as sprd_to_be FROM bu_loantape_work.lt002_instrument WHERE ref_date='2024-09-30' AND nome_perimetro='Individual Corporativo' AND segmento='ESTR' AND ambito='PM' AND entidade='00100' ) B ON instrmnt_id_as_is=instrmnt_id_to_be WHERE coalesce(cast(sprd_as_is AS string),'')&lt;&gt;coalesce(cast(sprd_to_be AS string),'') ) A </v>
      </c>
      <c r="O304" s="76" t="str">
        <f t="shared" si="47"/>
        <v>SELECT 'Validação de campos' as tipologia_teste, 'lt002_instrument' AS TABELA, 'sprd' AS CAMPO, '2024-09-30' as ref_date, coalesce(NUM_REG_DIF, 0) AS NUM_REG_DIF FROM (SELECT count(*) AS NUM_REG_DIF FROM (SELECT instrmnt_id as instrmnt_id_, sprd as sprd_as_is FROM cd_loan_tapes_bce.lt002_instrument WHERE ref_date='2024-09-30' AND nome_perimetro='Individual Corporativo' AND segmento='ESTR' AND ambito='PM' AND entidade='00100' ) A  Inner join (SELECT instrmnt_id as instrmnt_id_, sprd as sprd_to_be FROM bu_loantape_work.lt002_instrument WHERE ref_date='2024-09-30' AND nome_perimetro='Individual Corporativo' AND segmento='ESTR' AND ambito='PM' AND entidade='00100' ) B ON instrmnt_id_as_is=instrmnt_id_to_be WHERE coalesce(cast(sprd_as_is AS string),'')&lt;&gt;coalesce(cast(sprd_to_be AS string),'') ) A Union all</v>
      </c>
      <c r="P304" s="75">
        <f t="shared" si="48"/>
        <v>41</v>
      </c>
    </row>
    <row r="305" spans="2:16" s="63" customFormat="1" ht="18" customHeight="1">
      <c r="B305" s="75" t="s">
        <v>26</v>
      </c>
      <c r="C305" s="75" t="str">
        <f>_xlfn.CONCAT(Instruções!$D$13,".",VLOOKUP(B305,Instruções!$F$12:$H$17,2,0))</f>
        <v>cd_loan_tapes_bce.lt002_instrument</v>
      </c>
      <c r="D305" s="75" t="str">
        <f>_xlfn.CONCAT(Instruções!$D$14,".",VLOOKUP(B305,Instruções!$F$12:$H$17,3,0))</f>
        <v>bu_loantape_work.lt002_instrument</v>
      </c>
      <c r="E305" s="75" t="s">
        <v>331</v>
      </c>
      <c r="F305" s="75" t="str">
        <f t="shared" si="49"/>
        <v>srcs_encmbrnc_as_is</v>
      </c>
      <c r="G305" s="75" t="str">
        <f t="shared" si="50"/>
        <v>srcs_encmbrnc_to_be</v>
      </c>
      <c r="H305" s="75" t="str">
        <f>IF(VLOOKUP(B305,Instruções!$F$13:$J$17,5,0)="",
"(SELECT "&amp;VLOOKUP(B305,Instruções!$F$13:$J$17,4,0)&amp;" as "&amp;VLOOKUP(B305,Instruções!$F$13:$J$17,4,0)&amp;"_"&amp;$F$2&amp;", "&amp;E305&amp;" as "&amp;F305&amp;" FROM "&amp;C305&amp;" WHERE "&amp;Instruções!$D$20&amp;") A ",
"(SELECT "&amp;VLOOKUP(B305,Instruções!$F$13:$J$17,4,0)&amp;" as "&amp;VLOOKUP(B305,Instruções!$F$13:$J$17,4,0)&amp;"_"&amp;$F$2&amp;", "&amp;VLOOKUP(B305,Instruções!$F$13:$J$17,5,0)&amp;" as "&amp;VLOOKUP(B305,Instruções!$F$13:$J$17,5,0)&amp;"_"&amp;$F$2&amp;","&amp;E305&amp;" as "&amp;F305&amp;" FROM "&amp;C305&amp;" WHERE "&amp;Instruções!$D$20&amp;") A ")</f>
        <v xml:space="preserve">(SELECT instrmnt_id as instrmnt_id_, srcs_encmbrnc as srcs_encmbrnc_as_is FROM cd_loan_tapes_bce.lt002_instrument WHERE ref_date='2024-09-30' AND nome_perimetro='Individual Corporativo' AND segmento='ESTR' AND ambito='PM' AND entidade='00100' ) A </v>
      </c>
      <c r="I305" s="75" t="str">
        <f>IF(VLOOKUP(B305,Instruções!$F$13:$J$17,5,0)="",
"(SELECT "&amp;VLOOKUP(B305,Instruções!$F$13:$J$17,4,0)&amp;" as "&amp;VLOOKUP(B305,Instruções!$F$13:$J$17,4,0)&amp;"_"&amp;$G$2&amp;", "&amp;E305&amp;" as "&amp;G305&amp;" FROM "&amp;D305&amp;" WHERE "&amp;Instruções!$D$21&amp;") B ",
"(SELECT "&amp;VLOOKUP(B305,Instruções!$F$13:$J$17,4,0)&amp;" as "&amp;VLOOKUP(B305,Instruções!$F$13:$J$17,4,0)&amp;"_"&amp;$G$2&amp;", "&amp;VLOOKUP(B305,Instruções!$F$13:$J$17,5,0)&amp;" as "&amp;VLOOKUP(B305,Instruções!$F$13:$J$17,5,0)&amp;"_"&amp;$G$2&amp;","&amp;E305&amp;" as "&amp;G305&amp;" FROM "&amp;D305&amp;" WHERE "&amp;Instruções!$D$21&amp;") B ")</f>
        <v xml:space="preserve">(SELECT instrmnt_id as instrmnt_id_, srcs_encmbrnc as srcs_encmbrnc_to_be FROM bu_loantape_work.lt002_instrument WHERE ref_date='2024-09-30' AND nome_perimetro='Individual Corporativo' AND segmento='ESTR' AND ambito='PM' AND entidade='00100' ) B </v>
      </c>
      <c r="J305" s="75" t="str">
        <f>+IF(VLOOKUP(B305,Instruções!$F$13:$J$17,5,0)="", "ON "&amp;VLOOKUP(B305,Instruções!$F$13:$J$17,4,0)&amp;"_"&amp;$F$7&amp;"="&amp;VLOOKUP(B305,Instruções!$F$13:$J$17,4,0)&amp;"_"&amp;$G$7&amp;" ", "ON "&amp;VLOOKUP(B305,Instruções!$F$13:$J$17,4,0)&amp;"_"&amp;$F$7&amp;"="&amp;VLOOKUP(B305,Instruções!$F$13:$J$17,4,0)&amp;"_"&amp;$G$7&amp;" AND "&amp;VLOOKUP(B305,Instruções!$F$13:$J$17,5,0)&amp;"_"&amp;$F$7&amp;"="&amp;VLOOKUP(B305,Instruções!$F$13:$J$17,5,0)&amp;"_"&amp;$G$7&amp;" ")</f>
        <v xml:space="preserve">ON instrmnt_id_as_is=instrmnt_id_to_be </v>
      </c>
      <c r="K305" s="75" t="str">
        <f t="shared" si="45"/>
        <v xml:space="preserve">WHERE coalesce(cast(srcs_encmbrnc_as_is AS string),'')&lt;&gt;coalesce(cast(srcs_encmbrnc_to_be AS string),'') </v>
      </c>
      <c r="L305" s="75" t="str">
        <f t="shared" si="46"/>
        <v xml:space="preserve">SELECT count(*) AS NUM_REG_DIF FROM (SELECT instrmnt_id as instrmnt_id_, srcs_encmbrnc as srcs_encmbrnc_as_is FROM cd_loan_tapes_bce.lt002_instrument WHERE ref_date='2024-09-30' AND nome_perimetro='Individual Corporativo' AND segmento='ESTR' AND ambito='PM' AND entidade='00100' ) A  Inner join (SELECT instrmnt_id as instrmnt_id_, srcs_encmbrnc as srcs_encmbrnc_to_be FROM bu_loantape_work.lt002_instrument WHERE ref_date='2024-09-30' AND nome_perimetro='Individual Corporativo' AND segmento='ESTR' AND ambito='PM' AND entidade='00100' ) B ON instrmnt_id_as_is=instrmnt_id_to_be WHERE coalesce(cast(srcs_encmbrnc_as_is AS string),'')&lt;&gt;coalesce(cast(srcs_encmbrnc_to_be AS string),'') </v>
      </c>
      <c r="M305" s="75" t="s">
        <v>55</v>
      </c>
      <c r="N305" s="75" t="str">
        <f>"SELECT 'Validação de campos' as tipologia_teste, '"&amp;VLOOKUP(B305,Instruções!$F$13:$J$17,3,0)&amp;"' AS TABELA, '"&amp;E305&amp;"' AS CAMPO, '"&amp;Instruções!$D$15&amp;"' as ref_date, coalesce(NUM_REG_DIF, 0) AS NUM_REG_DIF FROM ("&amp;L305&amp;") A "</f>
        <v xml:space="preserve">SELECT 'Validação de campos' as tipologia_teste, 'lt002_instrument' AS TABELA, 'srcs_encmbrnc' AS CAMPO, '2024-09-30' as ref_date, coalesce(NUM_REG_DIF, 0) AS NUM_REG_DIF FROM (SELECT count(*) AS NUM_REG_DIF FROM (SELECT instrmnt_id as instrmnt_id_, srcs_encmbrnc as srcs_encmbrnc_as_is FROM cd_loan_tapes_bce.lt002_instrument WHERE ref_date='2024-09-30' AND nome_perimetro='Individual Corporativo' AND segmento='ESTR' AND ambito='PM' AND entidade='00100' ) A  Inner join (SELECT instrmnt_id as instrmnt_id_, srcs_encmbrnc as srcs_encmbrnc_to_be FROM bu_loantape_work.lt002_instrument WHERE ref_date='2024-09-30' AND nome_perimetro='Individual Corporativo' AND segmento='ESTR' AND ambito='PM' AND entidade='00100' ) B ON instrmnt_id_as_is=instrmnt_id_to_be WHERE coalesce(cast(srcs_encmbrnc_as_is AS string),'')&lt;&gt;coalesce(cast(srcs_encmbrnc_to_be AS string),'') ) A </v>
      </c>
      <c r="O305" s="76" t="str">
        <f t="shared" si="47"/>
        <v>SELECT 'Validação de campos' as tipologia_teste, 'lt002_instrument' AS TABELA, 'srcs_encmbrnc' AS CAMPO, '2024-09-30' as ref_date, coalesce(NUM_REG_DIF, 0) AS NUM_REG_DIF FROM (SELECT count(*) AS NUM_REG_DIF FROM (SELECT instrmnt_id as instrmnt_id_, srcs_encmbrnc as srcs_encmbrnc_as_is FROM cd_loan_tapes_bce.lt002_instrument WHERE ref_date='2024-09-30' AND nome_perimetro='Individual Corporativo' AND segmento='ESTR' AND ambito='PM' AND entidade='00100' ) A  Inner join (SELECT instrmnt_id as instrmnt_id_, srcs_encmbrnc as srcs_encmbrnc_to_be FROM bu_loantape_work.lt002_instrument WHERE ref_date='2024-09-30' AND nome_perimetro='Individual Corporativo' AND segmento='ESTR' AND ambito='PM' AND entidade='00100' ) B ON instrmnt_id_as_is=instrmnt_id_to_be WHERE coalesce(cast(srcs_encmbrnc_as_is AS string),'')&lt;&gt;coalesce(cast(srcs_encmbrnc_to_be AS string),'') ) A Union all</v>
      </c>
      <c r="P305" s="75">
        <f t="shared" si="48"/>
        <v>42</v>
      </c>
    </row>
    <row r="306" spans="2:16" s="63" customFormat="1" ht="18" customHeight="1">
      <c r="B306" s="75" t="s">
        <v>26</v>
      </c>
      <c r="C306" s="75" t="str">
        <f>_xlfn.CONCAT(Instruções!$D$13,".",VLOOKUP(B306,Instruções!$F$12:$H$17,2,0))</f>
        <v>cd_loan_tapes_bce.lt002_instrument</v>
      </c>
      <c r="D306" s="75" t="str">
        <f>_xlfn.CONCAT(Instruções!$D$14,".",VLOOKUP(B306,Instruções!$F$12:$H$17,3,0))</f>
        <v>bu_loantape_work.lt002_instrument</v>
      </c>
      <c r="E306" s="75" t="s">
        <v>332</v>
      </c>
      <c r="F306" s="75" t="str">
        <f t="shared" si="49"/>
        <v>stts_undrwrttn_trnsctn_as_is</v>
      </c>
      <c r="G306" s="75" t="str">
        <f t="shared" si="50"/>
        <v>stts_undrwrttn_trnsctn_to_be</v>
      </c>
      <c r="H306" s="75" t="str">
        <f>IF(VLOOKUP(B306,Instruções!$F$13:$J$17,5,0)="",
"(SELECT "&amp;VLOOKUP(B306,Instruções!$F$13:$J$17,4,0)&amp;" as "&amp;VLOOKUP(B306,Instruções!$F$13:$J$17,4,0)&amp;"_"&amp;$F$2&amp;", "&amp;E306&amp;" as "&amp;F306&amp;" FROM "&amp;C306&amp;" WHERE "&amp;Instruções!$D$20&amp;") A ",
"(SELECT "&amp;VLOOKUP(B306,Instruções!$F$13:$J$17,4,0)&amp;" as "&amp;VLOOKUP(B306,Instruções!$F$13:$J$17,4,0)&amp;"_"&amp;$F$2&amp;", "&amp;VLOOKUP(B306,Instruções!$F$13:$J$17,5,0)&amp;" as "&amp;VLOOKUP(B306,Instruções!$F$13:$J$17,5,0)&amp;"_"&amp;$F$2&amp;","&amp;E306&amp;" as "&amp;F306&amp;" FROM "&amp;C306&amp;" WHERE "&amp;Instruções!$D$20&amp;") A ")</f>
        <v xml:space="preserve">(SELECT instrmnt_id as instrmnt_id_, stts_undrwrttn_trnsctn as stts_undrwrttn_trnsctn_as_is FROM cd_loan_tapes_bce.lt002_instrument WHERE ref_date='2024-09-30' AND nome_perimetro='Individual Corporativo' AND segmento='ESTR' AND ambito='PM' AND entidade='00100' ) A </v>
      </c>
      <c r="I306" s="75" t="str">
        <f>IF(VLOOKUP(B306,Instruções!$F$13:$J$17,5,0)="",
"(SELECT "&amp;VLOOKUP(B306,Instruções!$F$13:$J$17,4,0)&amp;" as "&amp;VLOOKUP(B306,Instruções!$F$13:$J$17,4,0)&amp;"_"&amp;$G$2&amp;", "&amp;E306&amp;" as "&amp;G306&amp;" FROM "&amp;D306&amp;" WHERE "&amp;Instruções!$D$21&amp;") B ",
"(SELECT "&amp;VLOOKUP(B306,Instruções!$F$13:$J$17,4,0)&amp;" as "&amp;VLOOKUP(B306,Instruções!$F$13:$J$17,4,0)&amp;"_"&amp;$G$2&amp;", "&amp;VLOOKUP(B306,Instruções!$F$13:$J$17,5,0)&amp;" as "&amp;VLOOKUP(B306,Instruções!$F$13:$J$17,5,0)&amp;"_"&amp;$G$2&amp;","&amp;E306&amp;" as "&amp;G306&amp;" FROM "&amp;D306&amp;" WHERE "&amp;Instruções!$D$21&amp;") B ")</f>
        <v xml:space="preserve">(SELECT instrmnt_id as instrmnt_id_, stts_undrwrttn_trnsctn as stts_undrwrttn_trnsctn_to_be FROM bu_loantape_work.lt002_instrument WHERE ref_date='2024-09-30' AND nome_perimetro='Individual Corporativo' AND segmento='ESTR' AND ambito='PM' AND entidade='00100' ) B </v>
      </c>
      <c r="J306" s="75" t="str">
        <f>+IF(VLOOKUP(B306,Instruções!$F$13:$J$17,5,0)="", "ON "&amp;VLOOKUP(B306,Instruções!$F$13:$J$17,4,0)&amp;"_"&amp;$F$7&amp;"="&amp;VLOOKUP(B306,Instruções!$F$13:$J$17,4,0)&amp;"_"&amp;$G$7&amp;" ", "ON "&amp;VLOOKUP(B306,Instruções!$F$13:$J$17,4,0)&amp;"_"&amp;$F$7&amp;"="&amp;VLOOKUP(B306,Instruções!$F$13:$J$17,4,0)&amp;"_"&amp;$G$7&amp;" AND "&amp;VLOOKUP(B306,Instruções!$F$13:$J$17,5,0)&amp;"_"&amp;$F$7&amp;"="&amp;VLOOKUP(B306,Instruções!$F$13:$J$17,5,0)&amp;"_"&amp;$G$7&amp;" ")</f>
        <v xml:space="preserve">ON instrmnt_id_as_is=instrmnt_id_to_be </v>
      </c>
      <c r="K306" s="75" t="str">
        <f t="shared" si="45"/>
        <v xml:space="preserve">WHERE coalesce(cast(stts_undrwrttn_trnsctn_as_is AS string),'')&lt;&gt;coalesce(cast(stts_undrwrttn_trnsctn_to_be AS string),'') </v>
      </c>
      <c r="L306" s="75" t="str">
        <f t="shared" si="46"/>
        <v xml:space="preserve">SELECT count(*) AS NUM_REG_DIF FROM (SELECT instrmnt_id as instrmnt_id_, stts_undrwrttn_trnsctn as stts_undrwrttn_trnsctn_as_is FROM cd_loan_tapes_bce.lt002_instrument WHERE ref_date='2024-09-30' AND nome_perimetro='Individual Corporativo' AND segmento='ESTR' AND ambito='PM' AND entidade='00100' ) A  Inner join (SELECT instrmnt_id as instrmnt_id_, stts_undrwrttn_trnsctn as stts_undrwrttn_trnsctn_to_be FROM bu_loantape_work.lt002_instrument WHERE ref_date='2024-09-30' AND nome_perimetro='Individual Corporativo' AND segmento='ESTR' AND ambito='PM' AND entidade='00100' ) B ON instrmnt_id_as_is=instrmnt_id_to_be WHERE coalesce(cast(stts_undrwrttn_trnsctn_as_is AS string),'')&lt;&gt;coalesce(cast(stts_undrwrttn_trnsctn_to_be AS string),'') </v>
      </c>
      <c r="M306" s="75" t="s">
        <v>55</v>
      </c>
      <c r="N306" s="75" t="str">
        <f>"SELECT 'Validação de campos' as tipologia_teste, '"&amp;VLOOKUP(B306,Instruções!$F$13:$J$17,3,0)&amp;"' AS TABELA, '"&amp;E306&amp;"' AS CAMPO, '"&amp;Instruções!$D$15&amp;"' as ref_date, coalesce(NUM_REG_DIF, 0) AS NUM_REG_DIF FROM ("&amp;L306&amp;") A "</f>
        <v xml:space="preserve">SELECT 'Validação de campos' as tipologia_teste, 'lt002_instrument' AS TABELA, 'stts_undrwrttn_trnsctn' AS CAMPO, '2024-09-30' as ref_date, coalesce(NUM_REG_DIF, 0) AS NUM_REG_DIF FROM (SELECT count(*) AS NUM_REG_DIF FROM (SELECT instrmnt_id as instrmnt_id_, stts_undrwrttn_trnsctn as stts_undrwrttn_trnsctn_as_is FROM cd_loan_tapes_bce.lt002_instrument WHERE ref_date='2024-09-30' AND nome_perimetro='Individual Corporativo' AND segmento='ESTR' AND ambito='PM' AND entidade='00100' ) A  Inner join (SELECT instrmnt_id as instrmnt_id_, stts_undrwrttn_trnsctn as stts_undrwrttn_trnsctn_to_be FROM bu_loantape_work.lt002_instrument WHERE ref_date='2024-09-30' AND nome_perimetro='Individual Corporativo' AND segmento='ESTR' AND ambito='PM' AND entidade='00100' ) B ON instrmnt_id_as_is=instrmnt_id_to_be WHERE coalesce(cast(stts_undrwrttn_trnsctn_as_is AS string),'')&lt;&gt;coalesce(cast(stts_undrwrttn_trnsctn_to_be AS string),'') ) A </v>
      </c>
      <c r="O306" s="76" t="str">
        <f t="shared" si="47"/>
        <v>SELECT 'Validação de campos' as tipologia_teste, 'lt002_instrument' AS TABELA, 'stts_undrwrttn_trnsctn' AS CAMPO, '2024-09-30' as ref_date, coalesce(NUM_REG_DIF, 0) AS NUM_REG_DIF FROM (SELECT count(*) AS NUM_REG_DIF FROM (SELECT instrmnt_id as instrmnt_id_, stts_undrwrttn_trnsctn as stts_undrwrttn_trnsctn_as_is FROM cd_loan_tapes_bce.lt002_instrument WHERE ref_date='2024-09-30' AND nome_perimetro='Individual Corporativo' AND segmento='ESTR' AND ambito='PM' AND entidade='00100' ) A  Inner join (SELECT instrmnt_id as instrmnt_id_, stts_undrwrttn_trnsctn as stts_undrwrttn_trnsctn_to_be FROM bu_loantape_work.lt002_instrument WHERE ref_date='2024-09-30' AND nome_perimetro='Individual Corporativo' AND segmento='ESTR' AND ambito='PM' AND entidade='00100' ) B ON instrmnt_id_as_is=instrmnt_id_to_be WHERE coalesce(cast(stts_undrwrttn_trnsctn_as_is AS string),'')&lt;&gt;coalesce(cast(stts_undrwrttn_trnsctn_to_be AS string),'') ) A Union all</v>
      </c>
      <c r="P306" s="75">
        <f t="shared" si="48"/>
        <v>43</v>
      </c>
    </row>
    <row r="307" spans="2:16" s="63" customFormat="1" ht="18" customHeight="1">
      <c r="B307" s="75" t="s">
        <v>26</v>
      </c>
      <c r="C307" s="75" t="str">
        <f>_xlfn.CONCAT(Instruções!$D$13,".",VLOOKUP(B307,Instruções!$F$12:$H$17,2,0))</f>
        <v>cd_loan_tapes_bce.lt002_instrument</v>
      </c>
      <c r="D307" s="75" t="str">
        <f>_xlfn.CONCAT(Instruções!$D$14,".",VLOOKUP(B307,Instruções!$F$12:$H$17,3,0))</f>
        <v>bu_loantape_work.lt002_instrument</v>
      </c>
      <c r="E307" s="75" t="s">
        <v>333</v>
      </c>
      <c r="F307" s="75" t="str">
        <f t="shared" si="49"/>
        <v>subportfolio_id_as_is</v>
      </c>
      <c r="G307" s="75" t="str">
        <f t="shared" si="50"/>
        <v>subportfolio_id_to_be</v>
      </c>
      <c r="H307" s="75" t="str">
        <f>IF(VLOOKUP(B307,Instruções!$F$13:$J$17,5,0)="",
"(SELECT "&amp;VLOOKUP(B307,Instruções!$F$13:$J$17,4,0)&amp;" as "&amp;VLOOKUP(B307,Instruções!$F$13:$J$17,4,0)&amp;"_"&amp;$F$2&amp;", "&amp;E307&amp;" as "&amp;F307&amp;" FROM "&amp;C307&amp;" WHERE "&amp;Instruções!$D$20&amp;") A ",
"(SELECT "&amp;VLOOKUP(B307,Instruções!$F$13:$J$17,4,0)&amp;" as "&amp;VLOOKUP(B307,Instruções!$F$13:$J$17,4,0)&amp;"_"&amp;$F$2&amp;", "&amp;VLOOKUP(B307,Instruções!$F$13:$J$17,5,0)&amp;" as "&amp;VLOOKUP(B307,Instruções!$F$13:$J$17,5,0)&amp;"_"&amp;$F$2&amp;","&amp;E307&amp;" as "&amp;F307&amp;" FROM "&amp;C307&amp;" WHERE "&amp;Instruções!$D$20&amp;") A ")</f>
        <v xml:space="preserve">(SELECT instrmnt_id as instrmnt_id_, subportfolio_id as subportfolio_id_as_is FROM cd_loan_tapes_bce.lt002_instrument WHERE ref_date='2024-09-30' AND nome_perimetro='Individual Corporativo' AND segmento='ESTR' AND ambito='PM' AND entidade='00100' ) A </v>
      </c>
      <c r="I307" s="75" t="str">
        <f>IF(VLOOKUP(B307,Instruções!$F$13:$J$17,5,0)="",
"(SELECT "&amp;VLOOKUP(B307,Instruções!$F$13:$J$17,4,0)&amp;" as "&amp;VLOOKUP(B307,Instruções!$F$13:$J$17,4,0)&amp;"_"&amp;$G$2&amp;", "&amp;E307&amp;" as "&amp;G307&amp;" FROM "&amp;D307&amp;" WHERE "&amp;Instruções!$D$21&amp;") B ",
"(SELECT "&amp;VLOOKUP(B307,Instruções!$F$13:$J$17,4,0)&amp;" as "&amp;VLOOKUP(B307,Instruções!$F$13:$J$17,4,0)&amp;"_"&amp;$G$2&amp;", "&amp;VLOOKUP(B307,Instruções!$F$13:$J$17,5,0)&amp;" as "&amp;VLOOKUP(B307,Instruções!$F$13:$J$17,5,0)&amp;"_"&amp;$G$2&amp;","&amp;E307&amp;" as "&amp;G307&amp;" FROM "&amp;D307&amp;" WHERE "&amp;Instruções!$D$21&amp;") B ")</f>
        <v xml:space="preserve">(SELECT instrmnt_id as instrmnt_id_, subportfolio_id as subportfolio_id_to_be FROM bu_loantape_work.lt002_instrument WHERE ref_date='2024-09-30' AND nome_perimetro='Individual Corporativo' AND segmento='ESTR' AND ambito='PM' AND entidade='00100' ) B </v>
      </c>
      <c r="J307" s="75" t="str">
        <f>+IF(VLOOKUP(B307,Instruções!$F$13:$J$17,5,0)="", "ON "&amp;VLOOKUP(B307,Instruções!$F$13:$J$17,4,0)&amp;"_"&amp;$F$7&amp;"="&amp;VLOOKUP(B307,Instruções!$F$13:$J$17,4,0)&amp;"_"&amp;$G$7&amp;" ", "ON "&amp;VLOOKUP(B307,Instruções!$F$13:$J$17,4,0)&amp;"_"&amp;$F$7&amp;"="&amp;VLOOKUP(B307,Instruções!$F$13:$J$17,4,0)&amp;"_"&amp;$G$7&amp;" AND "&amp;VLOOKUP(B307,Instruções!$F$13:$J$17,5,0)&amp;"_"&amp;$F$7&amp;"="&amp;VLOOKUP(B307,Instruções!$F$13:$J$17,5,0)&amp;"_"&amp;$G$7&amp;" ")</f>
        <v xml:space="preserve">ON instrmnt_id_as_is=instrmnt_id_to_be </v>
      </c>
      <c r="K307" s="75" t="str">
        <f t="shared" si="45"/>
        <v xml:space="preserve">WHERE coalesce(cast(subportfolio_id_as_is AS string),'')&lt;&gt;coalesce(cast(subportfolio_id_to_be AS string),'') </v>
      </c>
      <c r="L307" s="75" t="str">
        <f t="shared" si="46"/>
        <v xml:space="preserve">SELECT count(*) AS NUM_REG_DIF FROM (SELECT instrmnt_id as instrmnt_id_, subportfolio_id as subportfolio_id_as_is FROM cd_loan_tapes_bce.lt002_instrument WHERE ref_date='2024-09-30' AND nome_perimetro='Individual Corporativo' AND segmento='ESTR' AND ambito='PM' AND entidade='00100' ) A  Inner join (SELECT instrmnt_id as instrmnt_id_, subportfolio_id as subportfolio_id_to_be FROM bu_loantape_work.lt002_instrument WHERE ref_date='2024-09-30' AND nome_perimetro='Individual Corporativo' AND segmento='ESTR' AND ambito='PM' AND entidade='00100' ) B ON instrmnt_id_as_is=instrmnt_id_to_be WHERE coalesce(cast(subportfolio_id_as_is AS string),'')&lt;&gt;coalesce(cast(subportfolio_id_to_be AS string),'') </v>
      </c>
      <c r="M307" s="75" t="s">
        <v>55</v>
      </c>
      <c r="N307" s="75" t="str">
        <f>"SELECT 'Validação de campos' as tipologia_teste, '"&amp;VLOOKUP(B307,Instruções!$F$13:$J$17,3,0)&amp;"' AS TABELA, '"&amp;E307&amp;"' AS CAMPO, '"&amp;Instruções!$D$15&amp;"' as ref_date, coalesce(NUM_REG_DIF, 0) AS NUM_REG_DIF FROM ("&amp;L307&amp;") A "</f>
        <v xml:space="preserve">SELECT 'Validação de campos' as tipologia_teste, 'lt002_instrument' AS TABELA, 'subportfolio_id' AS CAMPO, '2024-09-30' as ref_date, coalesce(NUM_REG_DIF, 0) AS NUM_REG_DIF FROM (SELECT count(*) AS NUM_REG_DIF FROM (SELECT instrmnt_id as instrmnt_id_, subportfolio_id as subportfolio_id_as_is FROM cd_loan_tapes_bce.lt002_instrument WHERE ref_date='2024-09-30' AND nome_perimetro='Individual Corporativo' AND segmento='ESTR' AND ambito='PM' AND entidade='00100' ) A  Inner join (SELECT instrmnt_id as instrmnt_id_, subportfolio_id as subportfolio_id_to_be FROM bu_loantape_work.lt002_instrument WHERE ref_date='2024-09-30' AND nome_perimetro='Individual Corporativo' AND segmento='ESTR' AND ambito='PM' AND entidade='00100' ) B ON instrmnt_id_as_is=instrmnt_id_to_be WHERE coalesce(cast(subportfolio_id_as_is AS string),'')&lt;&gt;coalesce(cast(subportfolio_id_to_be AS string),'') ) A </v>
      </c>
      <c r="O307" s="76" t="str">
        <f t="shared" si="47"/>
        <v>SELECT 'Validação de campos' as tipologia_teste, 'lt002_instrument' AS TABELA, 'subportfolio_id' AS CAMPO, '2024-09-30' as ref_date, coalesce(NUM_REG_DIF, 0) AS NUM_REG_DIF FROM (SELECT count(*) AS NUM_REG_DIF FROM (SELECT instrmnt_id as instrmnt_id_, subportfolio_id as subportfolio_id_as_is FROM cd_loan_tapes_bce.lt002_instrument WHERE ref_date='2024-09-30' AND nome_perimetro='Individual Corporativo' AND segmento='ESTR' AND ambito='PM' AND entidade='00100' ) A  Inner join (SELECT instrmnt_id as instrmnt_id_, subportfolio_id as subportfolio_id_to_be FROM bu_loantape_work.lt002_instrument WHERE ref_date='2024-09-30' AND nome_perimetro='Individual Corporativo' AND segmento='ESTR' AND ambito='PM' AND entidade='00100' ) B ON instrmnt_id_as_is=instrmnt_id_to_be WHERE coalesce(cast(subportfolio_id_as_is AS string),'')&lt;&gt;coalesce(cast(subportfolio_id_to_be AS string),'') ) A Union all</v>
      </c>
      <c r="P307" s="75">
        <f t="shared" si="48"/>
        <v>44</v>
      </c>
    </row>
    <row r="308" spans="2:16" s="63" customFormat="1" ht="18" customHeight="1">
      <c r="B308" s="75" t="s">
        <v>26</v>
      </c>
      <c r="C308" s="75" t="str">
        <f>_xlfn.CONCAT(Instruções!$D$13,".",VLOOKUP(B308,Instruções!$F$12:$H$17,2,0))</f>
        <v>cd_loan_tapes_bce.lt002_instrument</v>
      </c>
      <c r="D308" s="75" t="str">
        <f>_xlfn.CONCAT(Instruções!$D$14,".",VLOOKUP(B308,Instruções!$F$12:$H$17,3,0))</f>
        <v>bu_loantape_work.lt002_instrument</v>
      </c>
      <c r="E308" s="75" t="s">
        <v>334</v>
      </c>
      <c r="F308" s="75" t="str">
        <f t="shared" si="49"/>
        <v>syndct_rl_as_is</v>
      </c>
      <c r="G308" s="75" t="str">
        <f t="shared" si="50"/>
        <v>syndct_rl_to_be</v>
      </c>
      <c r="H308" s="75" t="str">
        <f>IF(VLOOKUP(B308,Instruções!$F$13:$J$17,5,0)="",
"(SELECT "&amp;VLOOKUP(B308,Instruções!$F$13:$J$17,4,0)&amp;" as "&amp;VLOOKUP(B308,Instruções!$F$13:$J$17,4,0)&amp;"_"&amp;$F$2&amp;", "&amp;E308&amp;" as "&amp;F308&amp;" FROM "&amp;C308&amp;" WHERE "&amp;Instruções!$D$20&amp;") A ",
"(SELECT "&amp;VLOOKUP(B308,Instruções!$F$13:$J$17,4,0)&amp;" as "&amp;VLOOKUP(B308,Instruções!$F$13:$J$17,4,0)&amp;"_"&amp;$F$2&amp;", "&amp;VLOOKUP(B308,Instruções!$F$13:$J$17,5,0)&amp;" as "&amp;VLOOKUP(B308,Instruções!$F$13:$J$17,5,0)&amp;"_"&amp;$F$2&amp;","&amp;E308&amp;" as "&amp;F308&amp;" FROM "&amp;C308&amp;" WHERE "&amp;Instruções!$D$20&amp;") A ")</f>
        <v xml:space="preserve">(SELECT instrmnt_id as instrmnt_id_, syndct_rl as syndct_rl_as_is FROM cd_loan_tapes_bce.lt002_instrument WHERE ref_date='2024-09-30' AND nome_perimetro='Individual Corporativo' AND segmento='ESTR' AND ambito='PM' AND entidade='00100' ) A </v>
      </c>
      <c r="I308" s="75" t="str">
        <f>IF(VLOOKUP(B308,Instruções!$F$13:$J$17,5,0)="",
"(SELECT "&amp;VLOOKUP(B308,Instruções!$F$13:$J$17,4,0)&amp;" as "&amp;VLOOKUP(B308,Instruções!$F$13:$J$17,4,0)&amp;"_"&amp;$G$2&amp;", "&amp;E308&amp;" as "&amp;G308&amp;" FROM "&amp;D308&amp;" WHERE "&amp;Instruções!$D$21&amp;") B ",
"(SELECT "&amp;VLOOKUP(B308,Instruções!$F$13:$J$17,4,0)&amp;" as "&amp;VLOOKUP(B308,Instruções!$F$13:$J$17,4,0)&amp;"_"&amp;$G$2&amp;", "&amp;VLOOKUP(B308,Instruções!$F$13:$J$17,5,0)&amp;" as "&amp;VLOOKUP(B308,Instruções!$F$13:$J$17,5,0)&amp;"_"&amp;$G$2&amp;","&amp;E308&amp;" as "&amp;G308&amp;" FROM "&amp;D308&amp;" WHERE "&amp;Instruções!$D$21&amp;") B ")</f>
        <v xml:space="preserve">(SELECT instrmnt_id as instrmnt_id_, syndct_rl as syndct_rl_to_be FROM bu_loantape_work.lt002_instrument WHERE ref_date='2024-09-30' AND nome_perimetro='Individual Corporativo' AND segmento='ESTR' AND ambito='PM' AND entidade='00100' ) B </v>
      </c>
      <c r="J308" s="75" t="str">
        <f>+IF(VLOOKUP(B308,Instruções!$F$13:$J$17,5,0)="", "ON "&amp;VLOOKUP(B308,Instruções!$F$13:$J$17,4,0)&amp;"_"&amp;$F$7&amp;"="&amp;VLOOKUP(B308,Instruções!$F$13:$J$17,4,0)&amp;"_"&amp;$G$7&amp;" ", "ON "&amp;VLOOKUP(B308,Instruções!$F$13:$J$17,4,0)&amp;"_"&amp;$F$7&amp;"="&amp;VLOOKUP(B308,Instruções!$F$13:$J$17,4,0)&amp;"_"&amp;$G$7&amp;" AND "&amp;VLOOKUP(B308,Instruções!$F$13:$J$17,5,0)&amp;"_"&amp;$F$7&amp;"="&amp;VLOOKUP(B308,Instruções!$F$13:$J$17,5,0)&amp;"_"&amp;$G$7&amp;" ")</f>
        <v xml:space="preserve">ON instrmnt_id_as_is=instrmnt_id_to_be </v>
      </c>
      <c r="K308" s="75" t="str">
        <f t="shared" si="45"/>
        <v xml:space="preserve">WHERE coalesce(cast(syndct_rl_as_is AS string),'')&lt;&gt;coalesce(cast(syndct_rl_to_be AS string),'') </v>
      </c>
      <c r="L308" s="75" t="str">
        <f t="shared" si="46"/>
        <v xml:space="preserve">SELECT count(*) AS NUM_REG_DIF FROM (SELECT instrmnt_id as instrmnt_id_, syndct_rl as syndct_rl_as_is FROM cd_loan_tapes_bce.lt002_instrument WHERE ref_date='2024-09-30' AND nome_perimetro='Individual Corporativo' AND segmento='ESTR' AND ambito='PM' AND entidade='00100' ) A  Inner join (SELECT instrmnt_id as instrmnt_id_, syndct_rl as syndct_rl_to_be FROM bu_loantape_work.lt002_instrument WHERE ref_date='2024-09-30' AND nome_perimetro='Individual Corporativo' AND segmento='ESTR' AND ambito='PM' AND entidade='00100' ) B ON instrmnt_id_as_is=instrmnt_id_to_be WHERE coalesce(cast(syndct_rl_as_is AS string),'')&lt;&gt;coalesce(cast(syndct_rl_to_be AS string),'') </v>
      </c>
      <c r="M308" s="75" t="s">
        <v>55</v>
      </c>
      <c r="N308" s="75" t="str">
        <f>"SELECT 'Validação de campos' as tipologia_teste, '"&amp;VLOOKUP(B308,Instruções!$F$13:$J$17,3,0)&amp;"' AS TABELA, '"&amp;E308&amp;"' AS CAMPO, '"&amp;Instruções!$D$15&amp;"' as ref_date, coalesce(NUM_REG_DIF, 0) AS NUM_REG_DIF FROM ("&amp;L308&amp;") A "</f>
        <v xml:space="preserve">SELECT 'Validação de campos' as tipologia_teste, 'lt002_instrument' AS TABELA, 'syndct_rl' AS CAMPO, '2024-09-30' as ref_date, coalesce(NUM_REG_DIF, 0) AS NUM_REG_DIF FROM (SELECT count(*) AS NUM_REG_DIF FROM (SELECT instrmnt_id as instrmnt_id_, syndct_rl as syndct_rl_as_is FROM cd_loan_tapes_bce.lt002_instrument WHERE ref_date='2024-09-30' AND nome_perimetro='Individual Corporativo' AND segmento='ESTR' AND ambito='PM' AND entidade='00100' ) A  Inner join (SELECT instrmnt_id as instrmnt_id_, syndct_rl as syndct_rl_to_be FROM bu_loantape_work.lt002_instrument WHERE ref_date='2024-09-30' AND nome_perimetro='Individual Corporativo' AND segmento='ESTR' AND ambito='PM' AND entidade='00100' ) B ON instrmnt_id_as_is=instrmnt_id_to_be WHERE coalesce(cast(syndct_rl_as_is AS string),'')&lt;&gt;coalesce(cast(syndct_rl_to_be AS string),'') ) A </v>
      </c>
      <c r="O308" s="76" t="str">
        <f t="shared" si="47"/>
        <v>SELECT 'Validação de campos' as tipologia_teste, 'lt002_instrument' AS TABELA, 'syndct_rl' AS CAMPO, '2024-09-30' as ref_date, coalesce(NUM_REG_DIF, 0) AS NUM_REG_DIF FROM (SELECT count(*) AS NUM_REG_DIF FROM (SELECT instrmnt_id as instrmnt_id_, syndct_rl as syndct_rl_as_is FROM cd_loan_tapes_bce.lt002_instrument WHERE ref_date='2024-09-30' AND nome_perimetro='Individual Corporativo' AND segmento='ESTR' AND ambito='PM' AND entidade='00100' ) A  Inner join (SELECT instrmnt_id as instrmnt_id_, syndct_rl as syndct_rl_to_be FROM bu_loantape_work.lt002_instrument WHERE ref_date='2024-09-30' AND nome_perimetro='Individual Corporativo' AND segmento='ESTR' AND ambito='PM' AND entidade='00100' ) B ON instrmnt_id_as_is=instrmnt_id_to_be WHERE coalesce(cast(syndct_rl_as_is AS string),'')&lt;&gt;coalesce(cast(syndct_rl_to_be AS string),'') ) A Union all</v>
      </c>
      <c r="P308" s="75">
        <f t="shared" si="48"/>
        <v>45</v>
      </c>
    </row>
    <row r="309" spans="2:16" s="63" customFormat="1" ht="18" customHeight="1">
      <c r="B309" s="75" t="s">
        <v>26</v>
      </c>
      <c r="C309" s="75" t="str">
        <f>_xlfn.CONCAT(Instruções!$D$13,".",VLOOKUP(B309,Instruções!$F$12:$H$17,2,0))</f>
        <v>cd_loan_tapes_bce.lt002_instrument</v>
      </c>
      <c r="D309" s="75" t="str">
        <f>_xlfn.CONCAT(Instruções!$D$14,".",VLOOKUP(B309,Instruções!$F$12:$H$17,3,0))</f>
        <v>bu_loantape_work.lt002_instrument</v>
      </c>
      <c r="E309" s="75" t="s">
        <v>335</v>
      </c>
      <c r="F309" s="75" t="str">
        <f t="shared" si="49"/>
        <v>syndctd_agnt_as_is</v>
      </c>
      <c r="G309" s="75" t="str">
        <f t="shared" si="50"/>
        <v>syndctd_agnt_to_be</v>
      </c>
      <c r="H309" s="75" t="str">
        <f>IF(VLOOKUP(B309,Instruções!$F$13:$J$17,5,0)="",
"(SELECT "&amp;VLOOKUP(B309,Instruções!$F$13:$J$17,4,0)&amp;" as "&amp;VLOOKUP(B309,Instruções!$F$13:$J$17,4,0)&amp;"_"&amp;$F$2&amp;", "&amp;E309&amp;" as "&amp;F309&amp;" FROM "&amp;C309&amp;" WHERE "&amp;Instruções!$D$20&amp;") A ",
"(SELECT "&amp;VLOOKUP(B309,Instruções!$F$13:$J$17,4,0)&amp;" as "&amp;VLOOKUP(B309,Instruções!$F$13:$J$17,4,0)&amp;"_"&amp;$F$2&amp;", "&amp;VLOOKUP(B309,Instruções!$F$13:$J$17,5,0)&amp;" as "&amp;VLOOKUP(B309,Instruções!$F$13:$J$17,5,0)&amp;"_"&amp;$F$2&amp;","&amp;E309&amp;" as "&amp;F309&amp;" FROM "&amp;C309&amp;" WHERE "&amp;Instruções!$D$20&amp;") A ")</f>
        <v xml:space="preserve">(SELECT instrmnt_id as instrmnt_id_, syndctd_agnt as syndctd_agnt_as_is FROM cd_loan_tapes_bce.lt002_instrument WHERE ref_date='2024-09-30' AND nome_perimetro='Individual Corporativo' AND segmento='ESTR' AND ambito='PM' AND entidade='00100' ) A </v>
      </c>
      <c r="I309" s="75" t="str">
        <f>IF(VLOOKUP(B309,Instruções!$F$13:$J$17,5,0)="",
"(SELECT "&amp;VLOOKUP(B309,Instruções!$F$13:$J$17,4,0)&amp;" as "&amp;VLOOKUP(B309,Instruções!$F$13:$J$17,4,0)&amp;"_"&amp;$G$2&amp;", "&amp;E309&amp;" as "&amp;G309&amp;" FROM "&amp;D309&amp;" WHERE "&amp;Instruções!$D$21&amp;") B ",
"(SELECT "&amp;VLOOKUP(B309,Instruções!$F$13:$J$17,4,0)&amp;" as "&amp;VLOOKUP(B309,Instruções!$F$13:$J$17,4,0)&amp;"_"&amp;$G$2&amp;", "&amp;VLOOKUP(B309,Instruções!$F$13:$J$17,5,0)&amp;" as "&amp;VLOOKUP(B309,Instruções!$F$13:$J$17,5,0)&amp;"_"&amp;$G$2&amp;","&amp;E309&amp;" as "&amp;G309&amp;" FROM "&amp;D309&amp;" WHERE "&amp;Instruções!$D$21&amp;") B ")</f>
        <v xml:space="preserve">(SELECT instrmnt_id as instrmnt_id_, syndctd_agnt as syndctd_agnt_to_be FROM bu_loantape_work.lt002_instrument WHERE ref_date='2024-09-30' AND nome_perimetro='Individual Corporativo' AND segmento='ESTR' AND ambito='PM' AND entidade='00100' ) B </v>
      </c>
      <c r="J309" s="75" t="str">
        <f>+IF(VLOOKUP(B309,Instruções!$F$13:$J$17,5,0)="", "ON "&amp;VLOOKUP(B309,Instruções!$F$13:$J$17,4,0)&amp;"_"&amp;$F$7&amp;"="&amp;VLOOKUP(B309,Instruções!$F$13:$J$17,4,0)&amp;"_"&amp;$G$7&amp;" ", "ON "&amp;VLOOKUP(B309,Instruções!$F$13:$J$17,4,0)&amp;"_"&amp;$F$7&amp;"="&amp;VLOOKUP(B309,Instruções!$F$13:$J$17,4,0)&amp;"_"&amp;$G$7&amp;" AND "&amp;VLOOKUP(B309,Instruções!$F$13:$J$17,5,0)&amp;"_"&amp;$F$7&amp;"="&amp;VLOOKUP(B309,Instruções!$F$13:$J$17,5,0)&amp;"_"&amp;$G$7&amp;" ")</f>
        <v xml:space="preserve">ON instrmnt_id_as_is=instrmnt_id_to_be </v>
      </c>
      <c r="K309" s="75" t="str">
        <f t="shared" si="45"/>
        <v xml:space="preserve">WHERE coalesce(cast(syndctd_agnt_as_is AS string),'')&lt;&gt;coalesce(cast(syndctd_agnt_to_be AS string),'') </v>
      </c>
      <c r="L309" s="75" t="str">
        <f t="shared" si="46"/>
        <v xml:space="preserve">SELECT count(*) AS NUM_REG_DIF FROM (SELECT instrmnt_id as instrmnt_id_, syndctd_agnt as syndctd_agnt_as_is FROM cd_loan_tapes_bce.lt002_instrument WHERE ref_date='2024-09-30' AND nome_perimetro='Individual Corporativo' AND segmento='ESTR' AND ambito='PM' AND entidade='00100' ) A  Inner join (SELECT instrmnt_id as instrmnt_id_, syndctd_agnt as syndctd_agnt_to_be FROM bu_loantape_work.lt002_instrument WHERE ref_date='2024-09-30' AND nome_perimetro='Individual Corporativo' AND segmento='ESTR' AND ambito='PM' AND entidade='00100' ) B ON instrmnt_id_as_is=instrmnt_id_to_be WHERE coalesce(cast(syndctd_agnt_as_is AS string),'')&lt;&gt;coalesce(cast(syndctd_agnt_to_be AS string),'') </v>
      </c>
      <c r="M309" s="75" t="s">
        <v>55</v>
      </c>
      <c r="N309" s="75" t="str">
        <f>"SELECT 'Validação de campos' as tipologia_teste, '"&amp;VLOOKUP(B309,Instruções!$F$13:$J$17,3,0)&amp;"' AS TABELA, '"&amp;E309&amp;"' AS CAMPO, '"&amp;Instruções!$D$15&amp;"' as ref_date, coalesce(NUM_REG_DIF, 0) AS NUM_REG_DIF FROM ("&amp;L309&amp;") A "</f>
        <v xml:space="preserve">SELECT 'Validação de campos' as tipologia_teste, 'lt002_instrument' AS TABELA, 'syndctd_agnt' AS CAMPO, '2024-09-30' as ref_date, coalesce(NUM_REG_DIF, 0) AS NUM_REG_DIF FROM (SELECT count(*) AS NUM_REG_DIF FROM (SELECT instrmnt_id as instrmnt_id_, syndctd_agnt as syndctd_agnt_as_is FROM cd_loan_tapes_bce.lt002_instrument WHERE ref_date='2024-09-30' AND nome_perimetro='Individual Corporativo' AND segmento='ESTR' AND ambito='PM' AND entidade='00100' ) A  Inner join (SELECT instrmnt_id as instrmnt_id_, syndctd_agnt as syndctd_agnt_to_be FROM bu_loantape_work.lt002_instrument WHERE ref_date='2024-09-30' AND nome_perimetro='Individual Corporativo' AND segmento='ESTR' AND ambito='PM' AND entidade='00100' ) B ON instrmnt_id_as_is=instrmnt_id_to_be WHERE coalesce(cast(syndctd_agnt_as_is AS string),'')&lt;&gt;coalesce(cast(syndctd_agnt_to_be AS string),'') ) A </v>
      </c>
      <c r="O309" s="76" t="str">
        <f t="shared" si="47"/>
        <v>SELECT 'Validação de campos' as tipologia_teste, 'lt002_instrument' AS TABELA, 'syndctd_agnt' AS CAMPO, '2024-09-30' as ref_date, coalesce(NUM_REG_DIF, 0) AS NUM_REG_DIF FROM (SELECT count(*) AS NUM_REG_DIF FROM (SELECT instrmnt_id as instrmnt_id_, syndctd_agnt as syndctd_agnt_as_is FROM cd_loan_tapes_bce.lt002_instrument WHERE ref_date='2024-09-30' AND nome_perimetro='Individual Corporativo' AND segmento='ESTR' AND ambito='PM' AND entidade='00100' ) A  Inner join (SELECT instrmnt_id as instrmnt_id_, syndctd_agnt as syndctd_agnt_to_be FROM bu_loantape_work.lt002_instrument WHERE ref_date='2024-09-30' AND nome_perimetro='Individual Corporativo' AND segmento='ESTR' AND ambito='PM' AND entidade='00100' ) B ON instrmnt_id_as_is=instrmnt_id_to_be WHERE coalesce(cast(syndctd_agnt_as_is AS string),'')&lt;&gt;coalesce(cast(syndctd_agnt_to_be AS string),'') ) A Union all</v>
      </c>
      <c r="P309" s="75">
        <f t="shared" si="48"/>
        <v>46</v>
      </c>
    </row>
    <row r="310" spans="2:16" s="63" customFormat="1" ht="18" customHeight="1">
      <c r="B310" s="75" t="s">
        <v>26</v>
      </c>
      <c r="C310" s="75" t="str">
        <f>_xlfn.CONCAT(Instruções!$D$13,".",VLOOKUP(B310,Instruções!$F$12:$H$17,2,0))</f>
        <v>cd_loan_tapes_bce.lt002_instrument</v>
      </c>
      <c r="D310" s="75" t="str">
        <f>_xlfn.CONCAT(Instruções!$D$14,".",VLOOKUP(B310,Instruções!$F$12:$H$17,3,0))</f>
        <v>bu_loantape_work.lt002_instrument</v>
      </c>
      <c r="E310" s="75" t="s">
        <v>336</v>
      </c>
      <c r="F310" s="75" t="str">
        <f t="shared" si="49"/>
        <v>syndctd_cntrct_id_as_is</v>
      </c>
      <c r="G310" s="75" t="str">
        <f t="shared" si="50"/>
        <v>syndctd_cntrct_id_to_be</v>
      </c>
      <c r="H310" s="75" t="str">
        <f>IF(VLOOKUP(B310,Instruções!$F$13:$J$17,5,0)="",
"(SELECT "&amp;VLOOKUP(B310,Instruções!$F$13:$J$17,4,0)&amp;" as "&amp;VLOOKUP(B310,Instruções!$F$13:$J$17,4,0)&amp;"_"&amp;$F$2&amp;", "&amp;E310&amp;" as "&amp;F310&amp;" FROM "&amp;C310&amp;" WHERE "&amp;Instruções!$D$20&amp;") A ",
"(SELECT "&amp;VLOOKUP(B310,Instruções!$F$13:$J$17,4,0)&amp;" as "&amp;VLOOKUP(B310,Instruções!$F$13:$J$17,4,0)&amp;"_"&amp;$F$2&amp;", "&amp;VLOOKUP(B310,Instruções!$F$13:$J$17,5,0)&amp;" as "&amp;VLOOKUP(B310,Instruções!$F$13:$J$17,5,0)&amp;"_"&amp;$F$2&amp;","&amp;E310&amp;" as "&amp;F310&amp;" FROM "&amp;C310&amp;" WHERE "&amp;Instruções!$D$20&amp;") A ")</f>
        <v xml:space="preserve">(SELECT instrmnt_id as instrmnt_id_, syndctd_cntrct_id as syndctd_cntrct_id_as_is FROM cd_loan_tapes_bce.lt002_instrument WHERE ref_date='2024-09-30' AND nome_perimetro='Individual Corporativo' AND segmento='ESTR' AND ambito='PM' AND entidade='00100' ) A </v>
      </c>
      <c r="I310" s="75" t="str">
        <f>IF(VLOOKUP(B310,Instruções!$F$13:$J$17,5,0)="",
"(SELECT "&amp;VLOOKUP(B310,Instruções!$F$13:$J$17,4,0)&amp;" as "&amp;VLOOKUP(B310,Instruções!$F$13:$J$17,4,0)&amp;"_"&amp;$G$2&amp;", "&amp;E310&amp;" as "&amp;G310&amp;" FROM "&amp;D310&amp;" WHERE "&amp;Instruções!$D$21&amp;") B ",
"(SELECT "&amp;VLOOKUP(B310,Instruções!$F$13:$J$17,4,0)&amp;" as "&amp;VLOOKUP(B310,Instruções!$F$13:$J$17,4,0)&amp;"_"&amp;$G$2&amp;", "&amp;VLOOKUP(B310,Instruções!$F$13:$J$17,5,0)&amp;" as "&amp;VLOOKUP(B310,Instruções!$F$13:$J$17,5,0)&amp;"_"&amp;$G$2&amp;","&amp;E310&amp;" as "&amp;G310&amp;" FROM "&amp;D310&amp;" WHERE "&amp;Instruções!$D$21&amp;") B ")</f>
        <v xml:space="preserve">(SELECT instrmnt_id as instrmnt_id_, syndctd_cntrct_id as syndctd_cntrct_id_to_be FROM bu_loantape_work.lt002_instrument WHERE ref_date='2024-09-30' AND nome_perimetro='Individual Corporativo' AND segmento='ESTR' AND ambito='PM' AND entidade='00100' ) B </v>
      </c>
      <c r="J310" s="75" t="str">
        <f>+IF(VLOOKUP(B310,Instruções!$F$13:$J$17,5,0)="", "ON "&amp;VLOOKUP(B310,Instruções!$F$13:$J$17,4,0)&amp;"_"&amp;$F$7&amp;"="&amp;VLOOKUP(B310,Instruções!$F$13:$J$17,4,0)&amp;"_"&amp;$G$7&amp;" ", "ON "&amp;VLOOKUP(B310,Instruções!$F$13:$J$17,4,0)&amp;"_"&amp;$F$7&amp;"="&amp;VLOOKUP(B310,Instruções!$F$13:$J$17,4,0)&amp;"_"&amp;$G$7&amp;" AND "&amp;VLOOKUP(B310,Instruções!$F$13:$J$17,5,0)&amp;"_"&amp;$F$7&amp;"="&amp;VLOOKUP(B310,Instruções!$F$13:$J$17,5,0)&amp;"_"&amp;$G$7&amp;" ")</f>
        <v xml:space="preserve">ON instrmnt_id_as_is=instrmnt_id_to_be </v>
      </c>
      <c r="K310" s="75" t="str">
        <f t="shared" si="45"/>
        <v xml:space="preserve">WHERE coalesce(cast(syndctd_cntrct_id_as_is AS string),'')&lt;&gt;coalesce(cast(syndctd_cntrct_id_to_be AS string),'') </v>
      </c>
      <c r="L310" s="75" t="str">
        <f t="shared" si="46"/>
        <v xml:space="preserve">SELECT count(*) AS NUM_REG_DIF FROM (SELECT instrmnt_id as instrmnt_id_, syndctd_cntrct_id as syndctd_cntrct_id_as_is FROM cd_loan_tapes_bce.lt002_instrument WHERE ref_date='2024-09-30' AND nome_perimetro='Individual Corporativo' AND segmento='ESTR' AND ambito='PM' AND entidade='00100' ) A  Inner join (SELECT instrmnt_id as instrmnt_id_, syndctd_cntrct_id as syndctd_cntrct_id_to_be FROM bu_loantape_work.lt002_instrument WHERE ref_date='2024-09-30' AND nome_perimetro='Individual Corporativo' AND segmento='ESTR' AND ambito='PM' AND entidade='00100' ) B ON instrmnt_id_as_is=instrmnt_id_to_be WHERE coalesce(cast(syndctd_cntrct_id_as_is AS string),'')&lt;&gt;coalesce(cast(syndctd_cntrct_id_to_be AS string),'') </v>
      </c>
      <c r="M310" s="75" t="s">
        <v>55</v>
      </c>
      <c r="N310" s="75" t="str">
        <f>"SELECT 'Validação de campos' as tipologia_teste, '"&amp;VLOOKUP(B310,Instruções!$F$13:$J$17,3,0)&amp;"' AS TABELA, '"&amp;E310&amp;"' AS CAMPO, '"&amp;Instruções!$D$15&amp;"' as ref_date, coalesce(NUM_REG_DIF, 0) AS NUM_REG_DIF FROM ("&amp;L310&amp;") A "</f>
        <v xml:space="preserve">SELECT 'Validação de campos' as tipologia_teste, 'lt002_instrument' AS TABELA, 'syndctd_cntrct_id' AS CAMPO, '2024-09-30' as ref_date, coalesce(NUM_REG_DIF, 0) AS NUM_REG_DIF FROM (SELECT count(*) AS NUM_REG_DIF FROM (SELECT instrmnt_id as instrmnt_id_, syndctd_cntrct_id as syndctd_cntrct_id_as_is FROM cd_loan_tapes_bce.lt002_instrument WHERE ref_date='2024-09-30' AND nome_perimetro='Individual Corporativo' AND segmento='ESTR' AND ambito='PM' AND entidade='00100' ) A  Inner join (SELECT instrmnt_id as instrmnt_id_, syndctd_cntrct_id as syndctd_cntrct_id_to_be FROM bu_loantape_work.lt002_instrument WHERE ref_date='2024-09-30' AND nome_perimetro='Individual Corporativo' AND segmento='ESTR' AND ambito='PM' AND entidade='00100' ) B ON instrmnt_id_as_is=instrmnt_id_to_be WHERE coalesce(cast(syndctd_cntrct_id_as_is AS string),'')&lt;&gt;coalesce(cast(syndctd_cntrct_id_to_be AS string),'') ) A </v>
      </c>
      <c r="O310" s="76" t="str">
        <f t="shared" si="47"/>
        <v>SELECT 'Validação de campos' as tipologia_teste, 'lt002_instrument' AS TABELA, 'syndctd_cntrct_id' AS CAMPO, '2024-09-30' as ref_date, coalesce(NUM_REG_DIF, 0) AS NUM_REG_DIF FROM (SELECT count(*) AS NUM_REG_DIF FROM (SELECT instrmnt_id as instrmnt_id_, syndctd_cntrct_id as syndctd_cntrct_id_as_is FROM cd_loan_tapes_bce.lt002_instrument WHERE ref_date='2024-09-30' AND nome_perimetro='Individual Corporativo' AND segmento='ESTR' AND ambito='PM' AND entidade='00100' ) A  Inner join (SELECT instrmnt_id as instrmnt_id_, syndctd_cntrct_id as syndctd_cntrct_id_to_be FROM bu_loantape_work.lt002_instrument WHERE ref_date='2024-09-30' AND nome_perimetro='Individual Corporativo' AND segmento='ESTR' AND ambito='PM' AND entidade='00100' ) B ON instrmnt_id_as_is=instrmnt_id_to_be WHERE coalesce(cast(syndctd_cntrct_id_as_is AS string),'')&lt;&gt;coalesce(cast(syndctd_cntrct_id_to_be AS string),'') ) A Union all</v>
      </c>
      <c r="P310" s="75">
        <f t="shared" si="48"/>
        <v>47</v>
      </c>
    </row>
    <row r="311" spans="2:16" s="63" customFormat="1" ht="18" customHeight="1">
      <c r="B311" s="75" t="s">
        <v>26</v>
      </c>
      <c r="C311" s="75" t="str">
        <f>_xlfn.CONCAT(Instruções!$D$13,".",VLOOKUP(B311,Instruções!$F$12:$H$17,2,0))</f>
        <v>cd_loan_tapes_bce.lt002_instrument</v>
      </c>
      <c r="D311" s="75" t="str">
        <f>_xlfn.CONCAT(Instruções!$D$14,".",VLOOKUP(B311,Instruções!$F$12:$H$17,3,0))</f>
        <v>bu_loantape_work.lt002_instrument</v>
      </c>
      <c r="E311" s="75" t="s">
        <v>337</v>
      </c>
      <c r="F311" s="75" t="str">
        <f t="shared" si="49"/>
        <v>syndctd_lndrs_as_is</v>
      </c>
      <c r="G311" s="75" t="str">
        <f t="shared" si="50"/>
        <v>syndctd_lndrs_to_be</v>
      </c>
      <c r="H311" s="75" t="str">
        <f>IF(VLOOKUP(B311,Instruções!$F$13:$J$17,5,0)="",
"(SELECT "&amp;VLOOKUP(B311,Instruções!$F$13:$J$17,4,0)&amp;" as "&amp;VLOOKUP(B311,Instruções!$F$13:$J$17,4,0)&amp;"_"&amp;$F$2&amp;", "&amp;E311&amp;" as "&amp;F311&amp;" FROM "&amp;C311&amp;" WHERE "&amp;Instruções!$D$20&amp;") A ",
"(SELECT "&amp;VLOOKUP(B311,Instruções!$F$13:$J$17,4,0)&amp;" as "&amp;VLOOKUP(B311,Instruções!$F$13:$J$17,4,0)&amp;"_"&amp;$F$2&amp;", "&amp;VLOOKUP(B311,Instruções!$F$13:$J$17,5,0)&amp;" as "&amp;VLOOKUP(B311,Instruções!$F$13:$J$17,5,0)&amp;"_"&amp;$F$2&amp;","&amp;E311&amp;" as "&amp;F311&amp;" FROM "&amp;C311&amp;" WHERE "&amp;Instruções!$D$20&amp;") A ")</f>
        <v xml:space="preserve">(SELECT instrmnt_id as instrmnt_id_, syndctd_lndrs as syndctd_lndrs_as_is FROM cd_loan_tapes_bce.lt002_instrument WHERE ref_date='2024-09-30' AND nome_perimetro='Individual Corporativo' AND segmento='ESTR' AND ambito='PM' AND entidade='00100' ) A </v>
      </c>
      <c r="I311" s="75" t="str">
        <f>IF(VLOOKUP(B311,Instruções!$F$13:$J$17,5,0)="",
"(SELECT "&amp;VLOOKUP(B311,Instruções!$F$13:$J$17,4,0)&amp;" as "&amp;VLOOKUP(B311,Instruções!$F$13:$J$17,4,0)&amp;"_"&amp;$G$2&amp;", "&amp;E311&amp;" as "&amp;G311&amp;" FROM "&amp;D311&amp;" WHERE "&amp;Instruções!$D$21&amp;") B ",
"(SELECT "&amp;VLOOKUP(B311,Instruções!$F$13:$J$17,4,0)&amp;" as "&amp;VLOOKUP(B311,Instruções!$F$13:$J$17,4,0)&amp;"_"&amp;$G$2&amp;", "&amp;VLOOKUP(B311,Instruções!$F$13:$J$17,5,0)&amp;" as "&amp;VLOOKUP(B311,Instruções!$F$13:$J$17,5,0)&amp;"_"&amp;$G$2&amp;","&amp;E311&amp;" as "&amp;G311&amp;" FROM "&amp;D311&amp;" WHERE "&amp;Instruções!$D$21&amp;") B ")</f>
        <v xml:space="preserve">(SELECT instrmnt_id as instrmnt_id_, syndctd_lndrs as syndctd_lndrs_to_be FROM bu_loantape_work.lt002_instrument WHERE ref_date='2024-09-30' AND nome_perimetro='Individual Corporativo' AND segmento='ESTR' AND ambito='PM' AND entidade='00100' ) B </v>
      </c>
      <c r="J311" s="75" t="str">
        <f>+IF(VLOOKUP(B311,Instruções!$F$13:$J$17,5,0)="", "ON "&amp;VLOOKUP(B311,Instruções!$F$13:$J$17,4,0)&amp;"_"&amp;$F$7&amp;"="&amp;VLOOKUP(B311,Instruções!$F$13:$J$17,4,0)&amp;"_"&amp;$G$7&amp;" ", "ON "&amp;VLOOKUP(B311,Instruções!$F$13:$J$17,4,0)&amp;"_"&amp;$F$7&amp;"="&amp;VLOOKUP(B311,Instruções!$F$13:$J$17,4,0)&amp;"_"&amp;$G$7&amp;" AND "&amp;VLOOKUP(B311,Instruções!$F$13:$J$17,5,0)&amp;"_"&amp;$F$7&amp;"="&amp;VLOOKUP(B311,Instruções!$F$13:$J$17,5,0)&amp;"_"&amp;$G$7&amp;" ")</f>
        <v xml:space="preserve">ON instrmnt_id_as_is=instrmnt_id_to_be </v>
      </c>
      <c r="K311" s="75" t="str">
        <f t="shared" si="45"/>
        <v xml:space="preserve">WHERE coalesce(cast(syndctd_lndrs_as_is AS string),'')&lt;&gt;coalesce(cast(syndctd_lndrs_to_be AS string),'') </v>
      </c>
      <c r="L311" s="75" t="str">
        <f t="shared" si="46"/>
        <v xml:space="preserve">SELECT count(*) AS NUM_REG_DIF FROM (SELECT instrmnt_id as instrmnt_id_, syndctd_lndrs as syndctd_lndrs_as_is FROM cd_loan_tapes_bce.lt002_instrument WHERE ref_date='2024-09-30' AND nome_perimetro='Individual Corporativo' AND segmento='ESTR' AND ambito='PM' AND entidade='00100' ) A  Inner join (SELECT instrmnt_id as instrmnt_id_, syndctd_lndrs as syndctd_lndrs_to_be FROM bu_loantape_work.lt002_instrument WHERE ref_date='2024-09-30' AND nome_perimetro='Individual Corporativo' AND segmento='ESTR' AND ambito='PM' AND entidade='00100' ) B ON instrmnt_id_as_is=instrmnt_id_to_be WHERE coalesce(cast(syndctd_lndrs_as_is AS string),'')&lt;&gt;coalesce(cast(syndctd_lndrs_to_be AS string),'') </v>
      </c>
      <c r="M311" s="75" t="s">
        <v>55</v>
      </c>
      <c r="N311" s="75" t="str">
        <f>"SELECT 'Validação de campos' as tipologia_teste, '"&amp;VLOOKUP(B311,Instruções!$F$13:$J$17,3,0)&amp;"' AS TABELA, '"&amp;E311&amp;"' AS CAMPO, '"&amp;Instruções!$D$15&amp;"' as ref_date, coalesce(NUM_REG_DIF, 0) AS NUM_REG_DIF FROM ("&amp;L311&amp;") A "</f>
        <v xml:space="preserve">SELECT 'Validação de campos' as tipologia_teste, 'lt002_instrument' AS TABELA, 'syndctd_lndrs' AS CAMPO, '2024-09-30' as ref_date, coalesce(NUM_REG_DIF, 0) AS NUM_REG_DIF FROM (SELECT count(*) AS NUM_REG_DIF FROM (SELECT instrmnt_id as instrmnt_id_, syndctd_lndrs as syndctd_lndrs_as_is FROM cd_loan_tapes_bce.lt002_instrument WHERE ref_date='2024-09-30' AND nome_perimetro='Individual Corporativo' AND segmento='ESTR' AND ambito='PM' AND entidade='00100' ) A  Inner join (SELECT instrmnt_id as instrmnt_id_, syndctd_lndrs as syndctd_lndrs_to_be FROM bu_loantape_work.lt002_instrument WHERE ref_date='2024-09-30' AND nome_perimetro='Individual Corporativo' AND segmento='ESTR' AND ambito='PM' AND entidade='00100' ) B ON instrmnt_id_as_is=instrmnt_id_to_be WHERE coalesce(cast(syndctd_lndrs_as_is AS string),'')&lt;&gt;coalesce(cast(syndctd_lndrs_to_be AS string),'') ) A </v>
      </c>
      <c r="O311" s="76" t="str">
        <f t="shared" si="47"/>
        <v>SELECT 'Validação de campos' as tipologia_teste, 'lt002_instrument' AS TABELA, 'syndctd_lndrs' AS CAMPO, '2024-09-30' as ref_date, coalesce(NUM_REG_DIF, 0) AS NUM_REG_DIF FROM (SELECT count(*) AS NUM_REG_DIF FROM (SELECT instrmnt_id as instrmnt_id_, syndctd_lndrs as syndctd_lndrs_as_is FROM cd_loan_tapes_bce.lt002_instrument WHERE ref_date='2024-09-30' AND nome_perimetro='Individual Corporativo' AND segmento='ESTR' AND ambito='PM' AND entidade='00100' ) A  Inner join (SELECT instrmnt_id as instrmnt_id_, syndctd_lndrs as syndctd_lndrs_to_be FROM bu_loantape_work.lt002_instrument WHERE ref_date='2024-09-30' AND nome_perimetro='Individual Corporativo' AND segmento='ESTR' AND ambito='PM' AND entidade='00100' ) B ON instrmnt_id_as_is=instrmnt_id_to_be WHERE coalesce(cast(syndctd_lndrs_as_is AS string),'')&lt;&gt;coalesce(cast(syndctd_lndrs_to_be AS string),'') ) A Union all</v>
      </c>
      <c r="P311" s="75">
        <f t="shared" si="48"/>
        <v>48</v>
      </c>
    </row>
    <row r="312" spans="2:16" s="63" customFormat="1" ht="18" customHeight="1">
      <c r="B312" s="75" t="s">
        <v>26</v>
      </c>
      <c r="C312" s="75" t="str">
        <f>_xlfn.CONCAT(Instruções!$D$13,".",VLOOKUP(B312,Instruções!$F$12:$H$17,2,0))</f>
        <v>cd_loan_tapes_bce.lt002_instrument</v>
      </c>
      <c r="D312" s="75" t="str">
        <f>_xlfn.CONCAT(Instruções!$D$14,".",VLOOKUP(B312,Instruções!$F$12:$H$17,3,0))</f>
        <v>bu_loantape_work.lt002_instrument</v>
      </c>
      <c r="E312" s="75" t="s">
        <v>338</v>
      </c>
      <c r="F312" s="75" t="str">
        <f t="shared" si="49"/>
        <v>syndctd_shr_as_is</v>
      </c>
      <c r="G312" s="75" t="str">
        <f t="shared" si="50"/>
        <v>syndctd_shr_to_be</v>
      </c>
      <c r="H312" s="75" t="str">
        <f>IF(VLOOKUP(B312,Instruções!$F$13:$J$17,5,0)="",
"(SELECT "&amp;VLOOKUP(B312,Instruções!$F$13:$J$17,4,0)&amp;" as "&amp;VLOOKUP(B312,Instruções!$F$13:$J$17,4,0)&amp;"_"&amp;$F$2&amp;", "&amp;E312&amp;" as "&amp;F312&amp;" FROM "&amp;C312&amp;" WHERE "&amp;Instruções!$D$20&amp;") A ",
"(SELECT "&amp;VLOOKUP(B312,Instruções!$F$13:$J$17,4,0)&amp;" as "&amp;VLOOKUP(B312,Instruções!$F$13:$J$17,4,0)&amp;"_"&amp;$F$2&amp;", "&amp;VLOOKUP(B312,Instruções!$F$13:$J$17,5,0)&amp;" as "&amp;VLOOKUP(B312,Instruções!$F$13:$J$17,5,0)&amp;"_"&amp;$F$2&amp;","&amp;E312&amp;" as "&amp;F312&amp;" FROM "&amp;C312&amp;" WHERE "&amp;Instruções!$D$20&amp;") A ")</f>
        <v xml:space="preserve">(SELECT instrmnt_id as instrmnt_id_, syndctd_shr as syndctd_shr_as_is FROM cd_loan_tapes_bce.lt002_instrument WHERE ref_date='2024-09-30' AND nome_perimetro='Individual Corporativo' AND segmento='ESTR' AND ambito='PM' AND entidade='00100' ) A </v>
      </c>
      <c r="I312" s="75" t="str">
        <f>IF(VLOOKUP(B312,Instruções!$F$13:$J$17,5,0)="",
"(SELECT "&amp;VLOOKUP(B312,Instruções!$F$13:$J$17,4,0)&amp;" as "&amp;VLOOKUP(B312,Instruções!$F$13:$J$17,4,0)&amp;"_"&amp;$G$2&amp;", "&amp;E312&amp;" as "&amp;G312&amp;" FROM "&amp;D312&amp;" WHERE "&amp;Instruções!$D$21&amp;") B ",
"(SELECT "&amp;VLOOKUP(B312,Instruções!$F$13:$J$17,4,0)&amp;" as "&amp;VLOOKUP(B312,Instruções!$F$13:$J$17,4,0)&amp;"_"&amp;$G$2&amp;", "&amp;VLOOKUP(B312,Instruções!$F$13:$J$17,5,0)&amp;" as "&amp;VLOOKUP(B312,Instruções!$F$13:$J$17,5,0)&amp;"_"&amp;$G$2&amp;","&amp;E312&amp;" as "&amp;G312&amp;" FROM "&amp;D312&amp;" WHERE "&amp;Instruções!$D$21&amp;") B ")</f>
        <v xml:space="preserve">(SELECT instrmnt_id as instrmnt_id_, syndctd_shr as syndctd_shr_to_be FROM bu_loantape_work.lt002_instrument WHERE ref_date='2024-09-30' AND nome_perimetro='Individual Corporativo' AND segmento='ESTR' AND ambito='PM' AND entidade='00100' ) B </v>
      </c>
      <c r="J312" s="75" t="str">
        <f>+IF(VLOOKUP(B312,Instruções!$F$13:$J$17,5,0)="", "ON "&amp;VLOOKUP(B312,Instruções!$F$13:$J$17,4,0)&amp;"_"&amp;$F$7&amp;"="&amp;VLOOKUP(B312,Instruções!$F$13:$J$17,4,0)&amp;"_"&amp;$G$7&amp;" ", "ON "&amp;VLOOKUP(B312,Instruções!$F$13:$J$17,4,0)&amp;"_"&amp;$F$7&amp;"="&amp;VLOOKUP(B312,Instruções!$F$13:$J$17,4,0)&amp;"_"&amp;$G$7&amp;" AND "&amp;VLOOKUP(B312,Instruções!$F$13:$J$17,5,0)&amp;"_"&amp;$F$7&amp;"="&amp;VLOOKUP(B312,Instruções!$F$13:$J$17,5,0)&amp;"_"&amp;$G$7&amp;" ")</f>
        <v xml:space="preserve">ON instrmnt_id_as_is=instrmnt_id_to_be </v>
      </c>
      <c r="K312" s="75" t="str">
        <f t="shared" si="45"/>
        <v xml:space="preserve">WHERE coalesce(cast(syndctd_shr_as_is AS string),'')&lt;&gt;coalesce(cast(syndctd_shr_to_be AS string),'') </v>
      </c>
      <c r="L312" s="75" t="str">
        <f t="shared" si="46"/>
        <v xml:space="preserve">SELECT count(*) AS NUM_REG_DIF FROM (SELECT instrmnt_id as instrmnt_id_, syndctd_shr as syndctd_shr_as_is FROM cd_loan_tapes_bce.lt002_instrument WHERE ref_date='2024-09-30' AND nome_perimetro='Individual Corporativo' AND segmento='ESTR' AND ambito='PM' AND entidade='00100' ) A  Inner join (SELECT instrmnt_id as instrmnt_id_, syndctd_shr as syndctd_shr_to_be FROM bu_loantape_work.lt002_instrument WHERE ref_date='2024-09-30' AND nome_perimetro='Individual Corporativo' AND segmento='ESTR' AND ambito='PM' AND entidade='00100' ) B ON instrmnt_id_as_is=instrmnt_id_to_be WHERE coalesce(cast(syndctd_shr_as_is AS string),'')&lt;&gt;coalesce(cast(syndctd_shr_to_be AS string),'') </v>
      </c>
      <c r="M312" s="75" t="s">
        <v>55</v>
      </c>
      <c r="N312" s="75" t="str">
        <f>"SELECT 'Validação de campos' as tipologia_teste, '"&amp;VLOOKUP(B312,Instruções!$F$13:$J$17,3,0)&amp;"' AS TABELA, '"&amp;E312&amp;"' AS CAMPO, '"&amp;Instruções!$D$15&amp;"' as ref_date, coalesce(NUM_REG_DIF, 0) AS NUM_REG_DIF FROM ("&amp;L312&amp;") A "</f>
        <v xml:space="preserve">SELECT 'Validação de campos' as tipologia_teste, 'lt002_instrument' AS TABELA, 'syndctd_shr' AS CAMPO, '2024-09-30' as ref_date, coalesce(NUM_REG_DIF, 0) AS NUM_REG_DIF FROM (SELECT count(*) AS NUM_REG_DIF FROM (SELECT instrmnt_id as instrmnt_id_, syndctd_shr as syndctd_shr_as_is FROM cd_loan_tapes_bce.lt002_instrument WHERE ref_date='2024-09-30' AND nome_perimetro='Individual Corporativo' AND segmento='ESTR' AND ambito='PM' AND entidade='00100' ) A  Inner join (SELECT instrmnt_id as instrmnt_id_, syndctd_shr as syndctd_shr_to_be FROM bu_loantape_work.lt002_instrument WHERE ref_date='2024-09-30' AND nome_perimetro='Individual Corporativo' AND segmento='ESTR' AND ambito='PM' AND entidade='00100' ) B ON instrmnt_id_as_is=instrmnt_id_to_be WHERE coalesce(cast(syndctd_shr_as_is AS string),'')&lt;&gt;coalesce(cast(syndctd_shr_to_be AS string),'') ) A </v>
      </c>
      <c r="O312" s="76" t="str">
        <f t="shared" si="47"/>
        <v>SELECT 'Validação de campos' as tipologia_teste, 'lt002_instrument' AS TABELA, 'syndctd_shr' AS CAMPO, '2024-09-30' as ref_date, coalesce(NUM_REG_DIF, 0) AS NUM_REG_DIF FROM (SELECT count(*) AS NUM_REG_DIF FROM (SELECT instrmnt_id as instrmnt_id_, syndctd_shr as syndctd_shr_as_is FROM cd_loan_tapes_bce.lt002_instrument WHERE ref_date='2024-09-30' AND nome_perimetro='Individual Corporativo' AND segmento='ESTR' AND ambito='PM' AND entidade='00100' ) A  Inner join (SELECT instrmnt_id as instrmnt_id_, syndctd_shr as syndctd_shr_to_be FROM bu_loantape_work.lt002_instrument WHERE ref_date='2024-09-30' AND nome_perimetro='Individual Corporativo' AND segmento='ESTR' AND ambito='PM' AND entidade='00100' ) B ON instrmnt_id_as_is=instrmnt_id_to_be WHERE coalesce(cast(syndctd_shr_as_is AS string),'')&lt;&gt;coalesce(cast(syndctd_shr_to_be AS string),'') ) A Union all</v>
      </c>
      <c r="P312" s="75">
        <f t="shared" si="48"/>
        <v>49</v>
      </c>
    </row>
    <row r="313" spans="2:16" s="63" customFormat="1" ht="18" customHeight="1">
      <c r="B313" s="75" t="s">
        <v>26</v>
      </c>
      <c r="C313" s="75" t="str">
        <f>_xlfn.CONCAT(Instruções!$D$13,".",VLOOKUP(B313,Instruções!$F$12:$H$17,2,0))</f>
        <v>cd_loan_tapes_bce.lt002_instrument</v>
      </c>
      <c r="D313" s="75" t="str">
        <f>_xlfn.CONCAT(Instruções!$D$14,".",VLOOKUP(B313,Instruções!$F$12:$H$17,3,0))</f>
        <v>bu_loantape_work.lt002_instrument</v>
      </c>
      <c r="E313" s="75" t="s">
        <v>339</v>
      </c>
      <c r="F313" s="75" t="str">
        <f t="shared" si="49"/>
        <v>syndctn_typ_as_is</v>
      </c>
      <c r="G313" s="75" t="str">
        <f t="shared" si="50"/>
        <v>syndctn_typ_to_be</v>
      </c>
      <c r="H313" s="75" t="str">
        <f>IF(VLOOKUP(B313,Instruções!$F$13:$J$17,5,0)="",
"(SELECT "&amp;VLOOKUP(B313,Instruções!$F$13:$J$17,4,0)&amp;" as "&amp;VLOOKUP(B313,Instruções!$F$13:$J$17,4,0)&amp;"_"&amp;$F$2&amp;", "&amp;E313&amp;" as "&amp;F313&amp;" FROM "&amp;C313&amp;" WHERE "&amp;Instruções!$D$20&amp;") A ",
"(SELECT "&amp;VLOOKUP(B313,Instruções!$F$13:$J$17,4,0)&amp;" as "&amp;VLOOKUP(B313,Instruções!$F$13:$J$17,4,0)&amp;"_"&amp;$F$2&amp;", "&amp;VLOOKUP(B313,Instruções!$F$13:$J$17,5,0)&amp;" as "&amp;VLOOKUP(B313,Instruções!$F$13:$J$17,5,0)&amp;"_"&amp;$F$2&amp;","&amp;E313&amp;" as "&amp;F313&amp;" FROM "&amp;C313&amp;" WHERE "&amp;Instruções!$D$20&amp;") A ")</f>
        <v xml:space="preserve">(SELECT instrmnt_id as instrmnt_id_, syndctn_typ as syndctn_typ_as_is FROM cd_loan_tapes_bce.lt002_instrument WHERE ref_date='2024-09-30' AND nome_perimetro='Individual Corporativo' AND segmento='ESTR' AND ambito='PM' AND entidade='00100' ) A </v>
      </c>
      <c r="I313" s="75" t="str">
        <f>IF(VLOOKUP(B313,Instruções!$F$13:$J$17,5,0)="",
"(SELECT "&amp;VLOOKUP(B313,Instruções!$F$13:$J$17,4,0)&amp;" as "&amp;VLOOKUP(B313,Instruções!$F$13:$J$17,4,0)&amp;"_"&amp;$G$2&amp;", "&amp;E313&amp;" as "&amp;G313&amp;" FROM "&amp;D313&amp;" WHERE "&amp;Instruções!$D$21&amp;") B ",
"(SELECT "&amp;VLOOKUP(B313,Instruções!$F$13:$J$17,4,0)&amp;" as "&amp;VLOOKUP(B313,Instruções!$F$13:$J$17,4,0)&amp;"_"&amp;$G$2&amp;", "&amp;VLOOKUP(B313,Instruções!$F$13:$J$17,5,0)&amp;" as "&amp;VLOOKUP(B313,Instruções!$F$13:$J$17,5,0)&amp;"_"&amp;$G$2&amp;","&amp;E313&amp;" as "&amp;G313&amp;" FROM "&amp;D313&amp;" WHERE "&amp;Instruções!$D$21&amp;") B ")</f>
        <v xml:space="preserve">(SELECT instrmnt_id as instrmnt_id_, syndctn_typ as syndctn_typ_to_be FROM bu_loantape_work.lt002_instrument WHERE ref_date='2024-09-30' AND nome_perimetro='Individual Corporativo' AND segmento='ESTR' AND ambito='PM' AND entidade='00100' ) B </v>
      </c>
      <c r="J313" s="75" t="str">
        <f>+IF(VLOOKUP(B313,Instruções!$F$13:$J$17,5,0)="", "ON "&amp;VLOOKUP(B313,Instruções!$F$13:$J$17,4,0)&amp;"_"&amp;$F$7&amp;"="&amp;VLOOKUP(B313,Instruções!$F$13:$J$17,4,0)&amp;"_"&amp;$G$7&amp;" ", "ON "&amp;VLOOKUP(B313,Instruções!$F$13:$J$17,4,0)&amp;"_"&amp;$F$7&amp;"="&amp;VLOOKUP(B313,Instruções!$F$13:$J$17,4,0)&amp;"_"&amp;$G$7&amp;" AND "&amp;VLOOKUP(B313,Instruções!$F$13:$J$17,5,0)&amp;"_"&amp;$F$7&amp;"="&amp;VLOOKUP(B313,Instruções!$F$13:$J$17,5,0)&amp;"_"&amp;$G$7&amp;" ")</f>
        <v xml:space="preserve">ON instrmnt_id_as_is=instrmnt_id_to_be </v>
      </c>
      <c r="K313" s="75" t="str">
        <f t="shared" si="45"/>
        <v xml:space="preserve">WHERE coalesce(cast(syndctn_typ_as_is AS string),'')&lt;&gt;coalesce(cast(syndctn_typ_to_be AS string),'') </v>
      </c>
      <c r="L313" s="75" t="str">
        <f t="shared" si="46"/>
        <v xml:space="preserve">SELECT count(*) AS NUM_REG_DIF FROM (SELECT instrmnt_id as instrmnt_id_, syndctn_typ as syndctn_typ_as_is FROM cd_loan_tapes_bce.lt002_instrument WHERE ref_date='2024-09-30' AND nome_perimetro='Individual Corporativo' AND segmento='ESTR' AND ambito='PM' AND entidade='00100' ) A  Inner join (SELECT instrmnt_id as instrmnt_id_, syndctn_typ as syndctn_typ_to_be FROM bu_loantape_work.lt002_instrument WHERE ref_date='2024-09-30' AND nome_perimetro='Individual Corporativo' AND segmento='ESTR' AND ambito='PM' AND entidade='00100' ) B ON instrmnt_id_as_is=instrmnt_id_to_be WHERE coalesce(cast(syndctn_typ_as_is AS string),'')&lt;&gt;coalesce(cast(syndctn_typ_to_be AS string),'') </v>
      </c>
      <c r="M313" s="75" t="s">
        <v>55</v>
      </c>
      <c r="N313" s="75" t="str">
        <f>"SELECT 'Validação de campos' as tipologia_teste, '"&amp;VLOOKUP(B313,Instruções!$F$13:$J$17,3,0)&amp;"' AS TABELA, '"&amp;E313&amp;"' AS CAMPO, '"&amp;Instruções!$D$15&amp;"' as ref_date, coalesce(NUM_REG_DIF, 0) AS NUM_REG_DIF FROM ("&amp;L313&amp;") A "</f>
        <v xml:space="preserve">SELECT 'Validação de campos' as tipologia_teste, 'lt002_instrument' AS TABELA, 'syndctn_typ' AS CAMPO, '2024-09-30' as ref_date, coalesce(NUM_REG_DIF, 0) AS NUM_REG_DIF FROM (SELECT count(*) AS NUM_REG_DIF FROM (SELECT instrmnt_id as instrmnt_id_, syndctn_typ as syndctn_typ_as_is FROM cd_loan_tapes_bce.lt002_instrument WHERE ref_date='2024-09-30' AND nome_perimetro='Individual Corporativo' AND segmento='ESTR' AND ambito='PM' AND entidade='00100' ) A  Inner join (SELECT instrmnt_id as instrmnt_id_, syndctn_typ as syndctn_typ_to_be FROM bu_loantape_work.lt002_instrument WHERE ref_date='2024-09-30' AND nome_perimetro='Individual Corporativo' AND segmento='ESTR' AND ambito='PM' AND entidade='00100' ) B ON instrmnt_id_as_is=instrmnt_id_to_be WHERE coalesce(cast(syndctn_typ_as_is AS string),'')&lt;&gt;coalesce(cast(syndctn_typ_to_be AS string),'') ) A </v>
      </c>
      <c r="O313" s="76" t="str">
        <f>IF(O314="",N313,N313&amp;$O$8)</f>
        <v xml:space="preserve">SELECT 'Validação de campos' as tipologia_teste, 'lt002_instrument' AS TABELA, 'syndctn_typ' AS CAMPO, '2024-09-30' as ref_date, coalesce(NUM_REG_DIF, 0) AS NUM_REG_DIF FROM (SELECT count(*) AS NUM_REG_DIF FROM (SELECT instrmnt_id as instrmnt_id_, syndctn_typ as syndctn_typ_as_is FROM cd_loan_tapes_bce.lt002_instrument WHERE ref_date='2024-09-30' AND nome_perimetro='Individual Corporativo' AND segmento='ESTR' AND ambito='PM' AND entidade='00100' ) A  Inner join (SELECT instrmnt_id as instrmnt_id_, syndctn_typ as syndctn_typ_to_be FROM bu_loantape_work.lt002_instrument WHERE ref_date='2024-09-30' AND nome_perimetro='Individual Corporativo' AND segmento='ESTR' AND ambito='PM' AND entidade='00100' ) B ON instrmnt_id_as_is=instrmnt_id_to_be WHERE coalesce(cast(syndctn_typ_as_is AS string),'')&lt;&gt;coalesce(cast(syndctn_typ_to_be AS string),'') ) A </v>
      </c>
      <c r="P313" s="75">
        <f t="shared" si="48"/>
        <v>50</v>
      </c>
    </row>
    <row r="314" spans="2:16" s="63" customFormat="1" ht="4.9000000000000004" customHeight="1"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80"/>
      <c r="P314" s="81"/>
    </row>
    <row r="315" spans="2:16" s="63" customFormat="1" ht="18" customHeight="1">
      <c r="B315" s="75" t="s">
        <v>26</v>
      </c>
      <c r="C315" s="75" t="str">
        <f>_xlfn.CONCAT(Instruções!$D$13,".",VLOOKUP(B315,Instruções!$F$12:$H$17,2,0))</f>
        <v>cd_loan_tapes_bce.lt002_instrument</v>
      </c>
      <c r="D315" s="75" t="str">
        <f>_xlfn.CONCAT(Instruções!$D$14,".",VLOOKUP(B315,Instruções!$F$12:$H$17,3,0))</f>
        <v>bu_loantape_work.lt002_instrument</v>
      </c>
      <c r="E315" s="75" t="s">
        <v>340</v>
      </c>
      <c r="F315" s="75" t="str">
        <f t="shared" ref="F315:F346" si="51">E315&amp;"_"&amp;$F$7</f>
        <v>trnch_as_is</v>
      </c>
      <c r="G315" s="75" t="str">
        <f t="shared" ref="G315:G346" si="52">E315&amp;"_"&amp;$G$7</f>
        <v>trnch_to_be</v>
      </c>
      <c r="H315" s="75" t="str">
        <f>IF(VLOOKUP(B315,Instruções!$F$13:$J$17,5,0)="",
"(SELECT "&amp;VLOOKUP(B315,Instruções!$F$13:$J$17,4,0)&amp;" as "&amp;VLOOKUP(B315,Instruções!$F$13:$J$17,4,0)&amp;"_"&amp;$F$2&amp;", "&amp;E315&amp;" as "&amp;F315&amp;" FROM "&amp;C315&amp;" WHERE "&amp;Instruções!$D$20&amp;") A ",
"(SELECT "&amp;VLOOKUP(B315,Instruções!$F$13:$J$17,4,0)&amp;" as "&amp;VLOOKUP(B315,Instruções!$F$13:$J$17,4,0)&amp;"_"&amp;$F$2&amp;", "&amp;VLOOKUP(B315,Instruções!$F$13:$J$17,5,0)&amp;" as "&amp;VLOOKUP(B315,Instruções!$F$13:$J$17,5,0)&amp;"_"&amp;$F$2&amp;","&amp;E315&amp;" as "&amp;F315&amp;" FROM "&amp;C315&amp;" WHERE "&amp;Instruções!$D$20&amp;") A ")</f>
        <v xml:space="preserve">(SELECT instrmnt_id as instrmnt_id_, trnch as trnch_as_is FROM cd_loan_tapes_bce.lt002_instrument WHERE ref_date='2024-09-30' AND nome_perimetro='Individual Corporativo' AND segmento='ESTR' AND ambito='PM' AND entidade='00100' ) A </v>
      </c>
      <c r="I315" s="75" t="str">
        <f>IF(VLOOKUP(B315,Instruções!$F$13:$J$17,5,0)="",
"(SELECT "&amp;VLOOKUP(B315,Instruções!$F$13:$J$17,4,0)&amp;" as "&amp;VLOOKUP(B315,Instruções!$F$13:$J$17,4,0)&amp;"_"&amp;$G$2&amp;", "&amp;E315&amp;" as "&amp;G315&amp;" FROM "&amp;D315&amp;" WHERE "&amp;Instruções!$D$21&amp;") B ",
"(SELECT "&amp;VLOOKUP(B315,Instruções!$F$13:$J$17,4,0)&amp;" as "&amp;VLOOKUP(B315,Instruções!$F$13:$J$17,4,0)&amp;"_"&amp;$G$2&amp;", "&amp;VLOOKUP(B315,Instruções!$F$13:$J$17,5,0)&amp;" as "&amp;VLOOKUP(B315,Instruções!$F$13:$J$17,5,0)&amp;"_"&amp;$G$2&amp;","&amp;E315&amp;" as "&amp;G315&amp;" FROM "&amp;D315&amp;" WHERE "&amp;Instruções!$D$21&amp;") B ")</f>
        <v xml:space="preserve">(SELECT instrmnt_id as instrmnt_id_, trnch as trnch_to_be FROM bu_loantape_work.lt002_instrument WHERE ref_date='2024-09-30' AND nome_perimetro='Individual Corporativo' AND segmento='ESTR' AND ambito='PM' AND entidade='00100' ) B </v>
      </c>
      <c r="J315" s="75" t="str">
        <f>+IF(VLOOKUP(B315,Instruções!$F$13:$J$17,5,0)="", "ON "&amp;VLOOKUP(B315,Instruções!$F$13:$J$17,4,0)&amp;"_"&amp;$F$7&amp;"="&amp;VLOOKUP(B315,Instruções!$F$13:$J$17,4,0)&amp;"_"&amp;$G$7&amp;" ", "ON "&amp;VLOOKUP(B315,Instruções!$F$13:$J$17,4,0)&amp;"_"&amp;$F$7&amp;"="&amp;VLOOKUP(B315,Instruções!$F$13:$J$17,4,0)&amp;"_"&amp;$G$7&amp;" AND "&amp;VLOOKUP(B315,Instruções!$F$13:$J$17,5,0)&amp;"_"&amp;$F$7&amp;"="&amp;VLOOKUP(B315,Instruções!$F$13:$J$17,5,0)&amp;"_"&amp;$G$7&amp;" ")</f>
        <v xml:space="preserve">ON instrmnt_id_as_is=instrmnt_id_to_be </v>
      </c>
      <c r="K315" s="75" t="str">
        <f t="shared" ref="K315:K364" si="53">"WHERE coalesce(cast("&amp;F315&amp;" AS string),'')&lt;&gt;coalesce(cast("&amp;G315&amp;" AS string),'') "</f>
        <v xml:space="preserve">WHERE coalesce(cast(trnch_as_is AS string),'')&lt;&gt;coalesce(cast(trnch_to_be AS string),'') </v>
      </c>
      <c r="L315" s="75" t="str">
        <f t="shared" ref="L315:L364" si="54">"SELECT count(*) AS NUM_REG_DIF FROM "&amp;H315&amp;" Inner join "&amp;I315&amp;J315&amp;K315</f>
        <v xml:space="preserve">SELECT count(*) AS NUM_REG_DIF FROM (SELECT instrmnt_id as instrmnt_id_, trnch as trnch_as_is FROM cd_loan_tapes_bce.lt002_instrument WHERE ref_date='2024-09-30' AND nome_perimetro='Individual Corporativo' AND segmento='ESTR' AND ambito='PM' AND entidade='00100' ) A  Inner join (SELECT instrmnt_id as instrmnt_id_, trnch as trnch_to_be FROM bu_loantape_work.lt002_instrument WHERE ref_date='2024-09-30' AND nome_perimetro='Individual Corporativo' AND segmento='ESTR' AND ambito='PM' AND entidade='00100' ) B ON instrmnt_id_as_is=instrmnt_id_to_be WHERE coalesce(cast(trnch_as_is AS string),'')&lt;&gt;coalesce(cast(trnch_to_be AS string),'') </v>
      </c>
      <c r="M315" s="75" t="s">
        <v>55</v>
      </c>
      <c r="N315" s="75" t="str">
        <f>"SELECT 'Validação de campos' as tipologia_teste, '"&amp;VLOOKUP(B315,Instruções!$F$13:$J$17,3,0)&amp;"' AS TABELA, '"&amp;E315&amp;"' AS CAMPO, '"&amp;Instruções!$D$15&amp;"' as ref_date, coalesce(NUM_REG_DIF, 0) AS NUM_REG_DIF FROM ("&amp;L315&amp;") A "</f>
        <v xml:space="preserve">SELECT 'Validação de campos' as tipologia_teste, 'lt002_instrument' AS TABELA, 'trnch' AS CAMPO, '2024-09-30' as ref_date, coalesce(NUM_REG_DIF, 0) AS NUM_REG_DIF FROM (SELECT count(*) AS NUM_REG_DIF FROM (SELECT instrmnt_id as instrmnt_id_, trnch as trnch_as_is FROM cd_loan_tapes_bce.lt002_instrument WHERE ref_date='2024-09-30' AND nome_perimetro='Individual Corporativo' AND segmento='ESTR' AND ambito='PM' AND entidade='00100' ) A  Inner join (SELECT instrmnt_id as instrmnt_id_, trnch as trnch_to_be FROM bu_loantape_work.lt002_instrument WHERE ref_date='2024-09-30' AND nome_perimetro='Individual Corporativo' AND segmento='ESTR' AND ambito='PM' AND entidade='00100' ) B ON instrmnt_id_as_is=instrmnt_id_to_be WHERE coalesce(cast(trnch_as_is AS string),'')&lt;&gt;coalesce(cast(trnch_to_be AS string),'') ) A </v>
      </c>
      <c r="O315" s="76" t="str">
        <f t="shared" ref="O315:O369" si="55">IF(O316="",N315,N315&amp;$O$8)</f>
        <v>SELECT 'Validação de campos' as tipologia_teste, 'lt002_instrument' AS TABELA, 'trnch' AS CAMPO, '2024-09-30' as ref_date, coalesce(NUM_REG_DIF, 0) AS NUM_REG_DIF FROM (SELECT count(*) AS NUM_REG_DIF FROM (SELECT instrmnt_id as instrmnt_id_, trnch as trnch_as_is FROM cd_loan_tapes_bce.lt002_instrument WHERE ref_date='2024-09-30' AND nome_perimetro='Individual Corporativo' AND segmento='ESTR' AND ambito='PM' AND entidade='00100' ) A  Inner join (SELECT instrmnt_id as instrmnt_id_, trnch as trnch_to_be FROM bu_loantape_work.lt002_instrument WHERE ref_date='2024-09-30' AND nome_perimetro='Individual Corporativo' AND segmento='ESTR' AND ambito='PM' AND entidade='00100' ) B ON instrmnt_id_as_is=instrmnt_id_to_be WHERE coalesce(cast(trnch_as_is AS string),'')&lt;&gt;coalesce(cast(trnch_to_be AS string),'') ) A Union all</v>
      </c>
      <c r="P315" s="75">
        <f>+P314+1</f>
        <v>1</v>
      </c>
    </row>
    <row r="316" spans="2:16" s="63" customFormat="1" ht="18" customHeight="1">
      <c r="B316" s="75" t="s">
        <v>26</v>
      </c>
      <c r="C316" s="75" t="str">
        <f>_xlfn.CONCAT(Instruções!$D$13,".",VLOOKUP(B316,Instruções!$F$12:$H$17,2,0))</f>
        <v>cd_loan_tapes_bce.lt002_instrument</v>
      </c>
      <c r="D316" s="75" t="str">
        <f>_xlfn.CONCAT(Instruções!$D$14,".",VLOOKUP(B316,Instruções!$F$12:$H$17,3,0))</f>
        <v>bu_loantape_work.lt002_instrument</v>
      </c>
      <c r="E316" s="75" t="s">
        <v>341</v>
      </c>
      <c r="F316" s="75" t="str">
        <f t="shared" si="51"/>
        <v>ttl_lvrg_rt_incptn_as_is</v>
      </c>
      <c r="G316" s="75" t="str">
        <f t="shared" si="52"/>
        <v>ttl_lvrg_rt_incptn_to_be</v>
      </c>
      <c r="H316" s="75" t="str">
        <f>IF(VLOOKUP(B316,Instruções!$F$13:$J$17,5,0)="",
"(SELECT "&amp;VLOOKUP(B316,Instruções!$F$13:$J$17,4,0)&amp;" as "&amp;VLOOKUP(B316,Instruções!$F$13:$J$17,4,0)&amp;"_"&amp;$F$2&amp;", "&amp;E316&amp;" as "&amp;F316&amp;" FROM "&amp;C316&amp;" WHERE "&amp;Instruções!$D$20&amp;") A ",
"(SELECT "&amp;VLOOKUP(B316,Instruções!$F$13:$J$17,4,0)&amp;" as "&amp;VLOOKUP(B316,Instruções!$F$13:$J$17,4,0)&amp;"_"&amp;$F$2&amp;", "&amp;VLOOKUP(B316,Instruções!$F$13:$J$17,5,0)&amp;" as "&amp;VLOOKUP(B316,Instruções!$F$13:$J$17,5,0)&amp;"_"&amp;$F$2&amp;","&amp;E316&amp;" as "&amp;F316&amp;" FROM "&amp;C316&amp;" WHERE "&amp;Instruções!$D$20&amp;") A ")</f>
        <v xml:space="preserve">(SELECT instrmnt_id as instrmnt_id_, ttl_lvrg_rt_incptn as ttl_lvrg_rt_incptn_as_is FROM cd_loan_tapes_bce.lt002_instrument WHERE ref_date='2024-09-30' AND nome_perimetro='Individual Corporativo' AND segmento='ESTR' AND ambito='PM' AND entidade='00100' ) A </v>
      </c>
      <c r="I316" s="75" t="str">
        <f>IF(VLOOKUP(B316,Instruções!$F$13:$J$17,5,0)="",
"(SELECT "&amp;VLOOKUP(B316,Instruções!$F$13:$J$17,4,0)&amp;" as "&amp;VLOOKUP(B316,Instruções!$F$13:$J$17,4,0)&amp;"_"&amp;$G$2&amp;", "&amp;E316&amp;" as "&amp;G316&amp;" FROM "&amp;D316&amp;" WHERE "&amp;Instruções!$D$21&amp;") B ",
"(SELECT "&amp;VLOOKUP(B316,Instruções!$F$13:$J$17,4,0)&amp;" as "&amp;VLOOKUP(B316,Instruções!$F$13:$J$17,4,0)&amp;"_"&amp;$G$2&amp;", "&amp;VLOOKUP(B316,Instruções!$F$13:$J$17,5,0)&amp;" as "&amp;VLOOKUP(B316,Instruções!$F$13:$J$17,5,0)&amp;"_"&amp;$G$2&amp;","&amp;E316&amp;" as "&amp;G316&amp;" FROM "&amp;D316&amp;" WHERE "&amp;Instruções!$D$21&amp;") B ")</f>
        <v xml:space="preserve">(SELECT instrmnt_id as instrmnt_id_, ttl_lvrg_rt_incptn as ttl_lvrg_rt_incptn_to_be FROM bu_loantape_work.lt002_instrument WHERE ref_date='2024-09-30' AND nome_perimetro='Individual Corporativo' AND segmento='ESTR' AND ambito='PM' AND entidade='00100' ) B </v>
      </c>
      <c r="J316" s="75" t="str">
        <f>+IF(VLOOKUP(B316,Instruções!$F$13:$J$17,5,0)="", "ON "&amp;VLOOKUP(B316,Instruções!$F$13:$J$17,4,0)&amp;"_"&amp;$F$7&amp;"="&amp;VLOOKUP(B316,Instruções!$F$13:$J$17,4,0)&amp;"_"&amp;$G$7&amp;" ", "ON "&amp;VLOOKUP(B316,Instruções!$F$13:$J$17,4,0)&amp;"_"&amp;$F$7&amp;"="&amp;VLOOKUP(B316,Instruções!$F$13:$J$17,4,0)&amp;"_"&amp;$G$7&amp;" AND "&amp;VLOOKUP(B316,Instruções!$F$13:$J$17,5,0)&amp;"_"&amp;$F$7&amp;"="&amp;VLOOKUP(B316,Instruções!$F$13:$J$17,5,0)&amp;"_"&amp;$G$7&amp;" ")</f>
        <v xml:space="preserve">ON instrmnt_id_as_is=instrmnt_id_to_be </v>
      </c>
      <c r="K316" s="75" t="str">
        <f t="shared" si="53"/>
        <v xml:space="preserve">WHERE coalesce(cast(ttl_lvrg_rt_incptn_as_is AS string),'')&lt;&gt;coalesce(cast(ttl_lvrg_rt_incptn_to_be AS string),'') </v>
      </c>
      <c r="L316" s="75" t="str">
        <f t="shared" si="54"/>
        <v xml:space="preserve">SELECT count(*) AS NUM_REG_DIF FROM (SELECT instrmnt_id as instrmnt_id_, ttl_lvrg_rt_incptn as ttl_lvrg_rt_incptn_as_is FROM cd_loan_tapes_bce.lt002_instrument WHERE ref_date='2024-09-30' AND nome_perimetro='Individual Corporativo' AND segmento='ESTR' AND ambito='PM' AND entidade='00100' ) A  Inner join (SELECT instrmnt_id as instrmnt_id_, ttl_lvrg_rt_incptn as ttl_lvrg_rt_incptn_to_be FROM bu_loantape_work.lt002_instrument WHERE ref_date='2024-09-30' AND nome_perimetro='Individual Corporativo' AND segmento='ESTR' AND ambito='PM' AND entidade='00100' ) B ON instrmnt_id_as_is=instrmnt_id_to_be WHERE coalesce(cast(ttl_lvrg_rt_incptn_as_is AS string),'')&lt;&gt;coalesce(cast(ttl_lvrg_rt_incptn_to_be AS string),'') </v>
      </c>
      <c r="M316" s="75" t="s">
        <v>55</v>
      </c>
      <c r="N316" s="75" t="str">
        <f>"SELECT 'Validação de campos' as tipologia_teste, '"&amp;VLOOKUP(B316,Instruções!$F$13:$J$17,3,0)&amp;"' AS TABELA, '"&amp;E316&amp;"' AS CAMPO, '"&amp;Instruções!$D$15&amp;"' as ref_date, coalesce(NUM_REG_DIF, 0) AS NUM_REG_DIF FROM ("&amp;L316&amp;") A "</f>
        <v xml:space="preserve">SELECT 'Validação de campos' as tipologia_teste, 'lt002_instrument' AS TABELA, 'ttl_lvrg_rt_incptn' AS CAMPO, '2024-09-30' as ref_date, coalesce(NUM_REG_DIF, 0) AS NUM_REG_DIF FROM (SELECT count(*) AS NUM_REG_DIF FROM (SELECT instrmnt_id as instrmnt_id_, ttl_lvrg_rt_incptn as ttl_lvrg_rt_incptn_as_is FROM cd_loan_tapes_bce.lt002_instrument WHERE ref_date='2024-09-30' AND nome_perimetro='Individual Corporativo' AND segmento='ESTR' AND ambito='PM' AND entidade='00100' ) A  Inner join (SELECT instrmnt_id as instrmnt_id_, ttl_lvrg_rt_incptn as ttl_lvrg_rt_incptn_to_be FROM bu_loantape_work.lt002_instrument WHERE ref_date='2024-09-30' AND nome_perimetro='Individual Corporativo' AND segmento='ESTR' AND ambito='PM' AND entidade='00100' ) B ON instrmnt_id_as_is=instrmnt_id_to_be WHERE coalesce(cast(ttl_lvrg_rt_incptn_as_is AS string),'')&lt;&gt;coalesce(cast(ttl_lvrg_rt_incptn_to_be AS string),'') ) A </v>
      </c>
      <c r="O316" s="76" t="str">
        <f t="shared" si="55"/>
        <v>SELECT 'Validação de campos' as tipologia_teste, 'lt002_instrument' AS TABELA, 'ttl_lvrg_rt_incptn' AS CAMPO, '2024-09-30' as ref_date, coalesce(NUM_REG_DIF, 0) AS NUM_REG_DIF FROM (SELECT count(*) AS NUM_REG_DIF FROM (SELECT instrmnt_id as instrmnt_id_, ttl_lvrg_rt_incptn as ttl_lvrg_rt_incptn_as_is FROM cd_loan_tapes_bce.lt002_instrument WHERE ref_date='2024-09-30' AND nome_perimetro='Individual Corporativo' AND segmento='ESTR' AND ambito='PM' AND entidade='00100' ) A  Inner join (SELECT instrmnt_id as instrmnt_id_, ttl_lvrg_rt_incptn as ttl_lvrg_rt_incptn_to_be FROM bu_loantape_work.lt002_instrument WHERE ref_date='2024-09-30' AND nome_perimetro='Individual Corporativo' AND segmento='ESTR' AND ambito='PM' AND entidade='00100' ) B ON instrmnt_id_as_is=instrmnt_id_to_be WHERE coalesce(cast(ttl_lvrg_rt_incptn_as_is AS string),'')&lt;&gt;coalesce(cast(ttl_lvrg_rt_incptn_to_be AS string),'') ) A Union all</v>
      </c>
      <c r="P316" s="75">
        <f t="shared" ref="P316:P352" si="56">+P315+1</f>
        <v>2</v>
      </c>
    </row>
    <row r="317" spans="2:16" s="63" customFormat="1" ht="18" customHeight="1">
      <c r="B317" s="75" t="s">
        <v>26</v>
      </c>
      <c r="C317" s="75" t="str">
        <f>_xlfn.CONCAT(Instruções!$D$13,".",VLOOKUP(B317,Instruções!$F$12:$H$17,2,0))</f>
        <v>cd_loan_tapes_bce.lt002_instrument</v>
      </c>
      <c r="D317" s="75" t="str">
        <f>_xlfn.CONCAT(Instruções!$D$14,".",VLOOKUP(B317,Instruções!$F$12:$H$17,3,0))</f>
        <v>bu_loantape_work.lt002_instrument</v>
      </c>
      <c r="E317" s="75" t="s">
        <v>342</v>
      </c>
      <c r="F317" s="75" t="str">
        <f t="shared" si="51"/>
        <v>typ_amrtstn_as_is</v>
      </c>
      <c r="G317" s="75" t="str">
        <f t="shared" si="52"/>
        <v>typ_amrtstn_to_be</v>
      </c>
      <c r="H317" s="75" t="str">
        <f>IF(VLOOKUP(B317,Instruções!$F$13:$J$17,5,0)="",
"(SELECT "&amp;VLOOKUP(B317,Instruções!$F$13:$J$17,4,0)&amp;" as "&amp;VLOOKUP(B317,Instruções!$F$13:$J$17,4,0)&amp;"_"&amp;$F$2&amp;", "&amp;E317&amp;" as "&amp;F317&amp;" FROM "&amp;C317&amp;" WHERE "&amp;Instruções!$D$20&amp;") A ",
"(SELECT "&amp;VLOOKUP(B317,Instruções!$F$13:$J$17,4,0)&amp;" as "&amp;VLOOKUP(B317,Instruções!$F$13:$J$17,4,0)&amp;"_"&amp;$F$2&amp;", "&amp;VLOOKUP(B317,Instruções!$F$13:$J$17,5,0)&amp;" as "&amp;VLOOKUP(B317,Instruções!$F$13:$J$17,5,0)&amp;"_"&amp;$F$2&amp;","&amp;E317&amp;" as "&amp;F317&amp;" FROM "&amp;C317&amp;" WHERE "&amp;Instruções!$D$20&amp;") A ")</f>
        <v xml:space="preserve">(SELECT instrmnt_id as instrmnt_id_, typ_amrtstn as typ_amrtstn_as_is FROM cd_loan_tapes_bce.lt002_instrument WHERE ref_date='2024-09-30' AND nome_perimetro='Individual Corporativo' AND segmento='ESTR' AND ambito='PM' AND entidade='00100' ) A </v>
      </c>
      <c r="I317" s="75" t="str">
        <f>IF(VLOOKUP(B317,Instruções!$F$13:$J$17,5,0)="",
"(SELECT "&amp;VLOOKUP(B317,Instruções!$F$13:$J$17,4,0)&amp;" as "&amp;VLOOKUP(B317,Instruções!$F$13:$J$17,4,0)&amp;"_"&amp;$G$2&amp;", "&amp;E317&amp;" as "&amp;G317&amp;" FROM "&amp;D317&amp;" WHERE "&amp;Instruções!$D$21&amp;") B ",
"(SELECT "&amp;VLOOKUP(B317,Instruções!$F$13:$J$17,4,0)&amp;" as "&amp;VLOOKUP(B317,Instruções!$F$13:$J$17,4,0)&amp;"_"&amp;$G$2&amp;", "&amp;VLOOKUP(B317,Instruções!$F$13:$J$17,5,0)&amp;" as "&amp;VLOOKUP(B317,Instruções!$F$13:$J$17,5,0)&amp;"_"&amp;$G$2&amp;","&amp;E317&amp;" as "&amp;G317&amp;" FROM "&amp;D317&amp;" WHERE "&amp;Instruções!$D$21&amp;") B ")</f>
        <v xml:space="preserve">(SELECT instrmnt_id as instrmnt_id_, typ_amrtstn as typ_amrtstn_to_be FROM bu_loantape_work.lt002_instrument WHERE ref_date='2024-09-30' AND nome_perimetro='Individual Corporativo' AND segmento='ESTR' AND ambito='PM' AND entidade='00100' ) B </v>
      </c>
      <c r="J317" s="75" t="str">
        <f>+IF(VLOOKUP(B317,Instruções!$F$13:$J$17,5,0)="", "ON "&amp;VLOOKUP(B317,Instruções!$F$13:$J$17,4,0)&amp;"_"&amp;$F$7&amp;"="&amp;VLOOKUP(B317,Instruções!$F$13:$J$17,4,0)&amp;"_"&amp;$G$7&amp;" ", "ON "&amp;VLOOKUP(B317,Instruções!$F$13:$J$17,4,0)&amp;"_"&amp;$F$7&amp;"="&amp;VLOOKUP(B317,Instruções!$F$13:$J$17,4,0)&amp;"_"&amp;$G$7&amp;" AND "&amp;VLOOKUP(B317,Instruções!$F$13:$J$17,5,0)&amp;"_"&amp;$F$7&amp;"="&amp;VLOOKUP(B317,Instruções!$F$13:$J$17,5,0)&amp;"_"&amp;$G$7&amp;" ")</f>
        <v xml:space="preserve">ON instrmnt_id_as_is=instrmnt_id_to_be </v>
      </c>
      <c r="K317" s="75" t="str">
        <f t="shared" si="53"/>
        <v xml:space="preserve">WHERE coalesce(cast(typ_amrtstn_as_is AS string),'')&lt;&gt;coalesce(cast(typ_amrtstn_to_be AS string),'') </v>
      </c>
      <c r="L317" s="75" t="str">
        <f t="shared" si="54"/>
        <v xml:space="preserve">SELECT count(*) AS NUM_REG_DIF FROM (SELECT instrmnt_id as instrmnt_id_, typ_amrtstn as typ_amrtstn_as_is FROM cd_loan_tapes_bce.lt002_instrument WHERE ref_date='2024-09-30' AND nome_perimetro='Individual Corporativo' AND segmento='ESTR' AND ambito='PM' AND entidade='00100' ) A  Inner join (SELECT instrmnt_id as instrmnt_id_, typ_amrtstn as typ_amrtstn_to_be FROM bu_loantape_work.lt002_instrument WHERE ref_date='2024-09-30' AND nome_perimetro='Individual Corporativo' AND segmento='ESTR' AND ambito='PM' AND entidade='00100' ) B ON instrmnt_id_as_is=instrmnt_id_to_be WHERE coalesce(cast(typ_amrtstn_as_is AS string),'')&lt;&gt;coalesce(cast(typ_amrtstn_to_be AS string),'') </v>
      </c>
      <c r="M317" s="75" t="s">
        <v>55</v>
      </c>
      <c r="N317" s="75" t="str">
        <f>"SELECT 'Validação de campos' as tipologia_teste, '"&amp;VLOOKUP(B317,Instruções!$F$13:$J$17,3,0)&amp;"' AS TABELA, '"&amp;E317&amp;"' AS CAMPO, '"&amp;Instruções!$D$15&amp;"' as ref_date, coalesce(NUM_REG_DIF, 0) AS NUM_REG_DIF FROM ("&amp;L317&amp;") A "</f>
        <v xml:space="preserve">SELECT 'Validação de campos' as tipologia_teste, 'lt002_instrument' AS TABELA, 'typ_amrtstn' AS CAMPO, '2024-09-30' as ref_date, coalesce(NUM_REG_DIF, 0) AS NUM_REG_DIF FROM (SELECT count(*) AS NUM_REG_DIF FROM (SELECT instrmnt_id as instrmnt_id_, typ_amrtstn as typ_amrtstn_as_is FROM cd_loan_tapes_bce.lt002_instrument WHERE ref_date='2024-09-30' AND nome_perimetro='Individual Corporativo' AND segmento='ESTR' AND ambito='PM' AND entidade='00100' ) A  Inner join (SELECT instrmnt_id as instrmnt_id_, typ_amrtstn as typ_amrtstn_to_be FROM bu_loantape_work.lt002_instrument WHERE ref_date='2024-09-30' AND nome_perimetro='Individual Corporativo' AND segmento='ESTR' AND ambito='PM' AND entidade='00100' ) B ON instrmnt_id_as_is=instrmnt_id_to_be WHERE coalesce(cast(typ_amrtstn_as_is AS string),'')&lt;&gt;coalesce(cast(typ_amrtstn_to_be AS string),'') ) A </v>
      </c>
      <c r="O317" s="76" t="str">
        <f t="shared" si="55"/>
        <v>SELECT 'Validação de campos' as tipologia_teste, 'lt002_instrument' AS TABELA, 'typ_amrtstn' AS CAMPO, '2024-09-30' as ref_date, coalesce(NUM_REG_DIF, 0) AS NUM_REG_DIF FROM (SELECT count(*) AS NUM_REG_DIF FROM (SELECT instrmnt_id as instrmnt_id_, typ_amrtstn as typ_amrtstn_as_is FROM cd_loan_tapes_bce.lt002_instrument WHERE ref_date='2024-09-30' AND nome_perimetro='Individual Corporativo' AND segmento='ESTR' AND ambito='PM' AND entidade='00100' ) A  Inner join (SELECT instrmnt_id as instrmnt_id_, typ_amrtstn as typ_amrtstn_to_be FROM bu_loantape_work.lt002_instrument WHERE ref_date='2024-09-30' AND nome_perimetro='Individual Corporativo' AND segmento='ESTR' AND ambito='PM' AND entidade='00100' ) B ON instrmnt_id_as_is=instrmnt_id_to_be WHERE coalesce(cast(typ_amrtstn_as_is AS string),'')&lt;&gt;coalesce(cast(typ_amrtstn_to_be AS string),'') ) A Union all</v>
      </c>
      <c r="P317" s="75">
        <f t="shared" si="56"/>
        <v>3</v>
      </c>
    </row>
    <row r="318" spans="2:16" s="63" customFormat="1" ht="18" customHeight="1">
      <c r="B318" s="75" t="s">
        <v>26</v>
      </c>
      <c r="C318" s="75" t="str">
        <f>_xlfn.CONCAT(Instruções!$D$13,".",VLOOKUP(B318,Instruções!$F$12:$H$17,2,0))</f>
        <v>cd_loan_tapes_bce.lt002_instrument</v>
      </c>
      <c r="D318" s="75" t="str">
        <f>_xlfn.CONCAT(Instruções!$D$14,".",VLOOKUP(B318,Instruções!$F$12:$H$17,3,0))</f>
        <v>bu_loantape_work.lt002_instrument</v>
      </c>
      <c r="E318" s="75" t="s">
        <v>343</v>
      </c>
      <c r="F318" s="75" t="str">
        <f t="shared" si="51"/>
        <v>typ_cl_as_is</v>
      </c>
      <c r="G318" s="75" t="str">
        <f t="shared" si="52"/>
        <v>typ_cl_to_be</v>
      </c>
      <c r="H318" s="75" t="str">
        <f>IF(VLOOKUP(B318,Instruções!$F$13:$J$17,5,0)="",
"(SELECT "&amp;VLOOKUP(B318,Instruções!$F$13:$J$17,4,0)&amp;" as "&amp;VLOOKUP(B318,Instruções!$F$13:$J$17,4,0)&amp;"_"&amp;$F$2&amp;", "&amp;E318&amp;" as "&amp;F318&amp;" FROM "&amp;C318&amp;" WHERE "&amp;Instruções!$D$20&amp;") A ",
"(SELECT "&amp;VLOOKUP(B318,Instruções!$F$13:$J$17,4,0)&amp;" as "&amp;VLOOKUP(B318,Instruções!$F$13:$J$17,4,0)&amp;"_"&amp;$F$2&amp;", "&amp;VLOOKUP(B318,Instruções!$F$13:$J$17,5,0)&amp;" as "&amp;VLOOKUP(B318,Instruções!$F$13:$J$17,5,0)&amp;"_"&amp;$F$2&amp;","&amp;E318&amp;" as "&amp;F318&amp;" FROM "&amp;C318&amp;" WHERE "&amp;Instruções!$D$20&amp;") A ")</f>
        <v xml:space="preserve">(SELECT instrmnt_id as instrmnt_id_, typ_cl as typ_cl_as_is FROM cd_loan_tapes_bce.lt002_instrument WHERE ref_date='2024-09-30' AND nome_perimetro='Individual Corporativo' AND segmento='ESTR' AND ambito='PM' AND entidade='00100' ) A </v>
      </c>
      <c r="I318" s="75" t="str">
        <f>IF(VLOOKUP(B318,Instruções!$F$13:$J$17,5,0)="",
"(SELECT "&amp;VLOOKUP(B318,Instruções!$F$13:$J$17,4,0)&amp;" as "&amp;VLOOKUP(B318,Instruções!$F$13:$J$17,4,0)&amp;"_"&amp;$G$2&amp;", "&amp;E318&amp;" as "&amp;G318&amp;" FROM "&amp;D318&amp;" WHERE "&amp;Instruções!$D$21&amp;") B ",
"(SELECT "&amp;VLOOKUP(B318,Instruções!$F$13:$J$17,4,0)&amp;" as "&amp;VLOOKUP(B318,Instruções!$F$13:$J$17,4,0)&amp;"_"&amp;$G$2&amp;", "&amp;VLOOKUP(B318,Instruções!$F$13:$J$17,5,0)&amp;" as "&amp;VLOOKUP(B318,Instruções!$F$13:$J$17,5,0)&amp;"_"&amp;$G$2&amp;","&amp;E318&amp;" as "&amp;G318&amp;" FROM "&amp;D318&amp;" WHERE "&amp;Instruções!$D$21&amp;") B ")</f>
        <v xml:space="preserve">(SELECT instrmnt_id as instrmnt_id_, typ_cl as typ_cl_to_be FROM bu_loantape_work.lt002_instrument WHERE ref_date='2024-09-30' AND nome_perimetro='Individual Corporativo' AND segmento='ESTR' AND ambito='PM' AND entidade='00100' ) B </v>
      </c>
      <c r="J318" s="75" t="str">
        <f>+IF(VLOOKUP(B318,Instruções!$F$13:$J$17,5,0)="", "ON "&amp;VLOOKUP(B318,Instruções!$F$13:$J$17,4,0)&amp;"_"&amp;$F$7&amp;"="&amp;VLOOKUP(B318,Instruções!$F$13:$J$17,4,0)&amp;"_"&amp;$G$7&amp;" ", "ON "&amp;VLOOKUP(B318,Instruções!$F$13:$J$17,4,0)&amp;"_"&amp;$F$7&amp;"="&amp;VLOOKUP(B318,Instruções!$F$13:$J$17,4,0)&amp;"_"&amp;$G$7&amp;" AND "&amp;VLOOKUP(B318,Instruções!$F$13:$J$17,5,0)&amp;"_"&amp;$F$7&amp;"="&amp;VLOOKUP(B318,Instruções!$F$13:$J$17,5,0)&amp;"_"&amp;$G$7&amp;" ")</f>
        <v xml:space="preserve">ON instrmnt_id_as_is=instrmnt_id_to_be </v>
      </c>
      <c r="K318" s="75" t="str">
        <f t="shared" si="53"/>
        <v xml:space="preserve">WHERE coalesce(cast(typ_cl_as_is AS string),'')&lt;&gt;coalesce(cast(typ_cl_to_be AS string),'') </v>
      </c>
      <c r="L318" s="75" t="str">
        <f t="shared" si="54"/>
        <v xml:space="preserve">SELECT count(*) AS NUM_REG_DIF FROM (SELECT instrmnt_id as instrmnt_id_, typ_cl as typ_cl_as_is FROM cd_loan_tapes_bce.lt002_instrument WHERE ref_date='2024-09-30' AND nome_perimetro='Individual Corporativo' AND segmento='ESTR' AND ambito='PM' AND entidade='00100' ) A  Inner join (SELECT instrmnt_id as instrmnt_id_, typ_cl as typ_cl_to_be FROM bu_loantape_work.lt002_instrument WHERE ref_date='2024-09-30' AND nome_perimetro='Individual Corporativo' AND segmento='ESTR' AND ambito='PM' AND entidade='00100' ) B ON instrmnt_id_as_is=instrmnt_id_to_be WHERE coalesce(cast(typ_cl_as_is AS string),'')&lt;&gt;coalesce(cast(typ_cl_to_be AS string),'') </v>
      </c>
      <c r="M318" s="75" t="s">
        <v>55</v>
      </c>
      <c r="N318" s="75" t="str">
        <f>"SELECT 'Validação de campos' as tipologia_teste, '"&amp;VLOOKUP(B318,Instruções!$F$13:$J$17,3,0)&amp;"' AS TABELA, '"&amp;E318&amp;"' AS CAMPO, '"&amp;Instruções!$D$15&amp;"' as ref_date, coalesce(NUM_REG_DIF, 0) AS NUM_REG_DIF FROM ("&amp;L318&amp;") A "</f>
        <v xml:space="preserve">SELECT 'Validação de campos' as tipologia_teste, 'lt002_instrument' AS TABELA, 'typ_cl' AS CAMPO, '2024-09-30' as ref_date, coalesce(NUM_REG_DIF, 0) AS NUM_REG_DIF FROM (SELECT count(*) AS NUM_REG_DIF FROM (SELECT instrmnt_id as instrmnt_id_, typ_cl as typ_cl_as_is FROM cd_loan_tapes_bce.lt002_instrument WHERE ref_date='2024-09-30' AND nome_perimetro='Individual Corporativo' AND segmento='ESTR' AND ambito='PM' AND entidade='00100' ) A  Inner join (SELECT instrmnt_id as instrmnt_id_, typ_cl as typ_cl_to_be FROM bu_loantape_work.lt002_instrument WHERE ref_date='2024-09-30' AND nome_perimetro='Individual Corporativo' AND segmento='ESTR' AND ambito='PM' AND entidade='00100' ) B ON instrmnt_id_as_is=instrmnt_id_to_be WHERE coalesce(cast(typ_cl_as_is AS string),'')&lt;&gt;coalesce(cast(typ_cl_to_be AS string),'') ) A </v>
      </c>
      <c r="O318" s="76" t="str">
        <f t="shared" si="55"/>
        <v>SELECT 'Validação de campos' as tipologia_teste, 'lt002_instrument' AS TABELA, 'typ_cl' AS CAMPO, '2024-09-30' as ref_date, coalesce(NUM_REG_DIF, 0) AS NUM_REG_DIF FROM (SELECT count(*) AS NUM_REG_DIF FROM (SELECT instrmnt_id as instrmnt_id_, typ_cl as typ_cl_as_is FROM cd_loan_tapes_bce.lt002_instrument WHERE ref_date='2024-09-30' AND nome_perimetro='Individual Corporativo' AND segmento='ESTR' AND ambito='PM' AND entidade='00100' ) A  Inner join (SELECT instrmnt_id as instrmnt_id_, typ_cl as typ_cl_to_be FROM bu_loantape_work.lt002_instrument WHERE ref_date='2024-09-30' AND nome_perimetro='Individual Corporativo' AND segmento='ESTR' AND ambito='PM' AND entidade='00100' ) B ON instrmnt_id_as_is=instrmnt_id_to_be WHERE coalesce(cast(typ_cl_as_is AS string),'')&lt;&gt;coalesce(cast(typ_cl_to_be AS string),'') ) A Union all</v>
      </c>
      <c r="P318" s="75">
        <f t="shared" si="56"/>
        <v>4</v>
      </c>
    </row>
    <row r="319" spans="2:16" s="63" customFormat="1" ht="18" customHeight="1">
      <c r="B319" s="75" t="s">
        <v>26</v>
      </c>
      <c r="C319" s="75" t="str">
        <f>_xlfn.CONCAT(Instruções!$D$13,".",VLOOKUP(B319,Instruções!$F$12:$H$17,2,0))</f>
        <v>cd_loan_tapes_bce.lt002_instrument</v>
      </c>
      <c r="D319" s="75" t="str">
        <f>_xlfn.CONCAT(Instruções!$D$14,".",VLOOKUP(B319,Instruções!$F$12:$H$17,3,0))</f>
        <v>bu_loantape_work.lt002_instrument</v>
      </c>
      <c r="E319" s="75" t="s">
        <v>344</v>
      </c>
      <c r="F319" s="75" t="str">
        <f t="shared" si="51"/>
        <v>typ_cmplnt_mrtr_c19_as_is</v>
      </c>
      <c r="G319" s="75" t="str">
        <f t="shared" si="52"/>
        <v>typ_cmplnt_mrtr_c19_to_be</v>
      </c>
      <c r="H319" s="75" t="str">
        <f>IF(VLOOKUP(B319,Instruções!$F$13:$J$17,5,0)="",
"(SELECT "&amp;VLOOKUP(B319,Instruções!$F$13:$J$17,4,0)&amp;" as "&amp;VLOOKUP(B319,Instruções!$F$13:$J$17,4,0)&amp;"_"&amp;$F$2&amp;", "&amp;E319&amp;" as "&amp;F319&amp;" FROM "&amp;C319&amp;" WHERE "&amp;Instruções!$D$20&amp;") A ",
"(SELECT "&amp;VLOOKUP(B319,Instruções!$F$13:$J$17,4,0)&amp;" as "&amp;VLOOKUP(B319,Instruções!$F$13:$J$17,4,0)&amp;"_"&amp;$F$2&amp;", "&amp;VLOOKUP(B319,Instruções!$F$13:$J$17,5,0)&amp;" as "&amp;VLOOKUP(B319,Instruções!$F$13:$J$17,5,0)&amp;"_"&amp;$F$2&amp;","&amp;E319&amp;" as "&amp;F319&amp;" FROM "&amp;C319&amp;" WHERE "&amp;Instruções!$D$20&amp;") A ")</f>
        <v xml:space="preserve">(SELECT instrmnt_id as instrmnt_id_, typ_cmplnt_mrtr_c19 as typ_cmplnt_mrtr_c19_as_is FROM cd_loan_tapes_bce.lt002_instrument WHERE ref_date='2024-09-30' AND nome_perimetro='Individual Corporativo' AND segmento='ESTR' AND ambito='PM' AND entidade='00100' ) A </v>
      </c>
      <c r="I319" s="75" t="str">
        <f>IF(VLOOKUP(B319,Instruções!$F$13:$J$17,5,0)="",
"(SELECT "&amp;VLOOKUP(B319,Instruções!$F$13:$J$17,4,0)&amp;" as "&amp;VLOOKUP(B319,Instruções!$F$13:$J$17,4,0)&amp;"_"&amp;$G$2&amp;", "&amp;E319&amp;" as "&amp;G319&amp;" FROM "&amp;D319&amp;" WHERE "&amp;Instruções!$D$21&amp;") B ",
"(SELECT "&amp;VLOOKUP(B319,Instruções!$F$13:$J$17,4,0)&amp;" as "&amp;VLOOKUP(B319,Instruções!$F$13:$J$17,4,0)&amp;"_"&amp;$G$2&amp;", "&amp;VLOOKUP(B319,Instruções!$F$13:$J$17,5,0)&amp;" as "&amp;VLOOKUP(B319,Instruções!$F$13:$J$17,5,0)&amp;"_"&amp;$G$2&amp;","&amp;E319&amp;" as "&amp;G319&amp;" FROM "&amp;D319&amp;" WHERE "&amp;Instruções!$D$21&amp;") B ")</f>
        <v xml:space="preserve">(SELECT instrmnt_id as instrmnt_id_, typ_cmplnt_mrtr_c19 as typ_cmplnt_mrtr_c19_to_be FROM bu_loantape_work.lt002_instrument WHERE ref_date='2024-09-30' AND nome_perimetro='Individual Corporativo' AND segmento='ESTR' AND ambito='PM' AND entidade='00100' ) B </v>
      </c>
      <c r="J319" s="75" t="str">
        <f>+IF(VLOOKUP(B319,Instruções!$F$13:$J$17,5,0)="", "ON "&amp;VLOOKUP(B319,Instruções!$F$13:$J$17,4,0)&amp;"_"&amp;$F$7&amp;"="&amp;VLOOKUP(B319,Instruções!$F$13:$J$17,4,0)&amp;"_"&amp;$G$7&amp;" ", "ON "&amp;VLOOKUP(B319,Instruções!$F$13:$J$17,4,0)&amp;"_"&amp;$F$7&amp;"="&amp;VLOOKUP(B319,Instruções!$F$13:$J$17,4,0)&amp;"_"&amp;$G$7&amp;" AND "&amp;VLOOKUP(B319,Instruções!$F$13:$J$17,5,0)&amp;"_"&amp;$F$7&amp;"="&amp;VLOOKUP(B319,Instruções!$F$13:$J$17,5,0)&amp;"_"&amp;$G$7&amp;" ")</f>
        <v xml:space="preserve">ON instrmnt_id_as_is=instrmnt_id_to_be </v>
      </c>
      <c r="K319" s="75" t="str">
        <f t="shared" si="53"/>
        <v xml:space="preserve">WHERE coalesce(cast(typ_cmplnt_mrtr_c19_as_is AS string),'')&lt;&gt;coalesce(cast(typ_cmplnt_mrtr_c19_to_be AS string),'') </v>
      </c>
      <c r="L319" s="75" t="str">
        <f t="shared" si="54"/>
        <v xml:space="preserve">SELECT count(*) AS NUM_REG_DIF FROM (SELECT instrmnt_id as instrmnt_id_, typ_cmplnt_mrtr_c19 as typ_cmplnt_mrtr_c19_as_is FROM cd_loan_tapes_bce.lt002_instrument WHERE ref_date='2024-09-30' AND nome_perimetro='Individual Corporativo' AND segmento='ESTR' AND ambito='PM' AND entidade='00100' ) A  Inner join (SELECT instrmnt_id as instrmnt_id_, typ_cmplnt_mrtr_c19 as typ_cmplnt_mrtr_c19_to_be FROM bu_loantape_work.lt002_instrument WHERE ref_date='2024-09-30' AND nome_perimetro='Individual Corporativo' AND segmento='ESTR' AND ambito='PM' AND entidade='00100' ) B ON instrmnt_id_as_is=instrmnt_id_to_be WHERE coalesce(cast(typ_cmplnt_mrtr_c19_as_is AS string),'')&lt;&gt;coalesce(cast(typ_cmplnt_mrtr_c19_to_be AS string),'') </v>
      </c>
      <c r="M319" s="75" t="s">
        <v>55</v>
      </c>
      <c r="N319" s="75" t="str">
        <f>"SELECT 'Validação de campos' as tipologia_teste, '"&amp;VLOOKUP(B319,Instruções!$F$13:$J$17,3,0)&amp;"' AS TABELA, '"&amp;E319&amp;"' AS CAMPO, '"&amp;Instruções!$D$15&amp;"' as ref_date, coalesce(NUM_REG_DIF, 0) AS NUM_REG_DIF FROM ("&amp;L319&amp;") A "</f>
        <v xml:space="preserve">SELECT 'Validação de campos' as tipologia_teste, 'lt002_instrument' AS TABELA, 'typ_cmplnt_mrtr_c19' AS CAMPO, '2024-09-30' as ref_date, coalesce(NUM_REG_DIF, 0) AS NUM_REG_DIF FROM (SELECT count(*) AS NUM_REG_DIF FROM (SELECT instrmnt_id as instrmnt_id_, typ_cmplnt_mrtr_c19 as typ_cmplnt_mrtr_c19_as_is FROM cd_loan_tapes_bce.lt002_instrument WHERE ref_date='2024-09-30' AND nome_perimetro='Individual Corporativo' AND segmento='ESTR' AND ambito='PM' AND entidade='00100' ) A  Inner join (SELECT instrmnt_id as instrmnt_id_, typ_cmplnt_mrtr_c19 as typ_cmplnt_mrtr_c19_to_be FROM bu_loantape_work.lt002_instrument WHERE ref_date='2024-09-30' AND nome_perimetro='Individual Corporativo' AND segmento='ESTR' AND ambito='PM' AND entidade='00100' ) B ON instrmnt_id_as_is=instrmnt_id_to_be WHERE coalesce(cast(typ_cmplnt_mrtr_c19_as_is AS string),'')&lt;&gt;coalesce(cast(typ_cmplnt_mrtr_c19_to_be AS string),'') ) A </v>
      </c>
      <c r="O319" s="76" t="str">
        <f t="shared" si="55"/>
        <v>SELECT 'Validação de campos' as tipologia_teste, 'lt002_instrument' AS TABELA, 'typ_cmplnt_mrtr_c19' AS CAMPO, '2024-09-30' as ref_date, coalesce(NUM_REG_DIF, 0) AS NUM_REG_DIF FROM (SELECT count(*) AS NUM_REG_DIF FROM (SELECT instrmnt_id as instrmnt_id_, typ_cmplnt_mrtr_c19 as typ_cmplnt_mrtr_c19_as_is FROM cd_loan_tapes_bce.lt002_instrument WHERE ref_date='2024-09-30' AND nome_perimetro='Individual Corporativo' AND segmento='ESTR' AND ambito='PM' AND entidade='00100' ) A  Inner join (SELECT instrmnt_id as instrmnt_id_, typ_cmplnt_mrtr_c19 as typ_cmplnt_mrtr_c19_to_be FROM bu_loantape_work.lt002_instrument WHERE ref_date='2024-09-30' AND nome_perimetro='Individual Corporativo' AND segmento='ESTR' AND ambito='PM' AND entidade='00100' ) B ON instrmnt_id_as_is=instrmnt_id_to_be WHERE coalesce(cast(typ_cmplnt_mrtr_c19_as_is AS string),'')&lt;&gt;coalesce(cast(typ_cmplnt_mrtr_c19_to_be AS string),'') ) A Union all</v>
      </c>
      <c r="P319" s="75">
        <f t="shared" si="56"/>
        <v>5</v>
      </c>
    </row>
    <row r="320" spans="2:16" s="63" customFormat="1" ht="18" customHeight="1">
      <c r="B320" s="75" t="s">
        <v>26</v>
      </c>
      <c r="C320" s="75" t="str">
        <f>_xlfn.CONCAT(Instruções!$D$13,".",VLOOKUP(B320,Instruções!$F$12:$H$17,2,0))</f>
        <v>cd_loan_tapes_bce.lt002_instrument</v>
      </c>
      <c r="D320" s="75" t="str">
        <f>_xlfn.CONCAT(Instruções!$D$14,".",VLOOKUP(B320,Instruções!$F$12:$H$17,3,0))</f>
        <v>bu_loantape_work.lt002_instrument</v>
      </c>
      <c r="E320" s="75" t="s">
        <v>345</v>
      </c>
      <c r="F320" s="75" t="str">
        <f t="shared" si="51"/>
        <v>typ_cre_oprtn_as_is</v>
      </c>
      <c r="G320" s="75" t="str">
        <f t="shared" si="52"/>
        <v>typ_cre_oprtn_to_be</v>
      </c>
      <c r="H320" s="75" t="str">
        <f>IF(VLOOKUP(B320,Instruções!$F$13:$J$17,5,0)="",
"(SELECT "&amp;VLOOKUP(B320,Instruções!$F$13:$J$17,4,0)&amp;" as "&amp;VLOOKUP(B320,Instruções!$F$13:$J$17,4,0)&amp;"_"&amp;$F$2&amp;", "&amp;E320&amp;" as "&amp;F320&amp;" FROM "&amp;C320&amp;" WHERE "&amp;Instruções!$D$20&amp;") A ",
"(SELECT "&amp;VLOOKUP(B320,Instruções!$F$13:$J$17,4,0)&amp;" as "&amp;VLOOKUP(B320,Instruções!$F$13:$J$17,4,0)&amp;"_"&amp;$F$2&amp;", "&amp;VLOOKUP(B320,Instruções!$F$13:$J$17,5,0)&amp;" as "&amp;VLOOKUP(B320,Instruções!$F$13:$J$17,5,0)&amp;"_"&amp;$F$2&amp;","&amp;E320&amp;" as "&amp;F320&amp;" FROM "&amp;C320&amp;" WHERE "&amp;Instruções!$D$20&amp;") A ")</f>
        <v xml:space="preserve">(SELECT instrmnt_id as instrmnt_id_, typ_cre_oprtn as typ_cre_oprtn_as_is FROM cd_loan_tapes_bce.lt002_instrument WHERE ref_date='2024-09-30' AND nome_perimetro='Individual Corporativo' AND segmento='ESTR' AND ambito='PM' AND entidade='00100' ) A </v>
      </c>
      <c r="I320" s="75" t="str">
        <f>IF(VLOOKUP(B320,Instruções!$F$13:$J$17,5,0)="",
"(SELECT "&amp;VLOOKUP(B320,Instruções!$F$13:$J$17,4,0)&amp;" as "&amp;VLOOKUP(B320,Instruções!$F$13:$J$17,4,0)&amp;"_"&amp;$G$2&amp;", "&amp;E320&amp;" as "&amp;G320&amp;" FROM "&amp;D320&amp;" WHERE "&amp;Instruções!$D$21&amp;") B ",
"(SELECT "&amp;VLOOKUP(B320,Instruções!$F$13:$J$17,4,0)&amp;" as "&amp;VLOOKUP(B320,Instruções!$F$13:$J$17,4,0)&amp;"_"&amp;$G$2&amp;", "&amp;VLOOKUP(B320,Instruções!$F$13:$J$17,5,0)&amp;" as "&amp;VLOOKUP(B320,Instruções!$F$13:$J$17,5,0)&amp;"_"&amp;$G$2&amp;","&amp;E320&amp;" as "&amp;G320&amp;" FROM "&amp;D320&amp;" WHERE "&amp;Instruções!$D$21&amp;") B ")</f>
        <v xml:space="preserve">(SELECT instrmnt_id as instrmnt_id_, typ_cre_oprtn as typ_cre_oprtn_to_be FROM bu_loantape_work.lt002_instrument WHERE ref_date='2024-09-30' AND nome_perimetro='Individual Corporativo' AND segmento='ESTR' AND ambito='PM' AND entidade='00100' ) B </v>
      </c>
      <c r="J320" s="75" t="str">
        <f>+IF(VLOOKUP(B320,Instruções!$F$13:$J$17,5,0)="", "ON "&amp;VLOOKUP(B320,Instruções!$F$13:$J$17,4,0)&amp;"_"&amp;$F$7&amp;"="&amp;VLOOKUP(B320,Instruções!$F$13:$J$17,4,0)&amp;"_"&amp;$G$7&amp;" ", "ON "&amp;VLOOKUP(B320,Instruções!$F$13:$J$17,4,0)&amp;"_"&amp;$F$7&amp;"="&amp;VLOOKUP(B320,Instruções!$F$13:$J$17,4,0)&amp;"_"&amp;$G$7&amp;" AND "&amp;VLOOKUP(B320,Instruções!$F$13:$J$17,5,0)&amp;"_"&amp;$F$7&amp;"="&amp;VLOOKUP(B320,Instruções!$F$13:$J$17,5,0)&amp;"_"&amp;$G$7&amp;" ")</f>
        <v xml:space="preserve">ON instrmnt_id_as_is=instrmnt_id_to_be </v>
      </c>
      <c r="K320" s="75" t="str">
        <f t="shared" si="53"/>
        <v xml:space="preserve">WHERE coalesce(cast(typ_cre_oprtn_as_is AS string),'')&lt;&gt;coalesce(cast(typ_cre_oprtn_to_be AS string),'') </v>
      </c>
      <c r="L320" s="75" t="str">
        <f t="shared" si="54"/>
        <v xml:space="preserve">SELECT count(*) AS NUM_REG_DIF FROM (SELECT instrmnt_id as instrmnt_id_, typ_cre_oprtn as typ_cre_oprtn_as_is FROM cd_loan_tapes_bce.lt002_instrument WHERE ref_date='2024-09-30' AND nome_perimetro='Individual Corporativo' AND segmento='ESTR' AND ambito='PM' AND entidade='00100' ) A  Inner join (SELECT instrmnt_id as instrmnt_id_, typ_cre_oprtn as typ_cre_oprtn_to_be FROM bu_loantape_work.lt002_instrument WHERE ref_date='2024-09-30' AND nome_perimetro='Individual Corporativo' AND segmento='ESTR' AND ambito='PM' AND entidade='00100' ) B ON instrmnt_id_as_is=instrmnt_id_to_be WHERE coalesce(cast(typ_cre_oprtn_as_is AS string),'')&lt;&gt;coalesce(cast(typ_cre_oprtn_to_be AS string),'') </v>
      </c>
      <c r="M320" s="75" t="s">
        <v>55</v>
      </c>
      <c r="N320" s="75" t="str">
        <f>"SELECT 'Validação de campos' as tipologia_teste, '"&amp;VLOOKUP(B320,Instruções!$F$13:$J$17,3,0)&amp;"' AS TABELA, '"&amp;E320&amp;"' AS CAMPO, '"&amp;Instruções!$D$15&amp;"' as ref_date, coalesce(NUM_REG_DIF, 0) AS NUM_REG_DIF FROM ("&amp;L320&amp;") A "</f>
        <v xml:space="preserve">SELECT 'Validação de campos' as tipologia_teste, 'lt002_instrument' AS TABELA, 'typ_cre_oprtn' AS CAMPO, '2024-09-30' as ref_date, coalesce(NUM_REG_DIF, 0) AS NUM_REG_DIF FROM (SELECT count(*) AS NUM_REG_DIF FROM (SELECT instrmnt_id as instrmnt_id_, typ_cre_oprtn as typ_cre_oprtn_as_is FROM cd_loan_tapes_bce.lt002_instrument WHERE ref_date='2024-09-30' AND nome_perimetro='Individual Corporativo' AND segmento='ESTR' AND ambito='PM' AND entidade='00100' ) A  Inner join (SELECT instrmnt_id as instrmnt_id_, typ_cre_oprtn as typ_cre_oprtn_to_be FROM bu_loantape_work.lt002_instrument WHERE ref_date='2024-09-30' AND nome_perimetro='Individual Corporativo' AND segmento='ESTR' AND ambito='PM' AND entidade='00100' ) B ON instrmnt_id_as_is=instrmnt_id_to_be WHERE coalesce(cast(typ_cre_oprtn_as_is AS string),'')&lt;&gt;coalesce(cast(typ_cre_oprtn_to_be AS string),'') ) A </v>
      </c>
      <c r="O320" s="76" t="str">
        <f t="shared" si="55"/>
        <v>SELECT 'Validação de campos' as tipologia_teste, 'lt002_instrument' AS TABELA, 'typ_cre_oprtn' AS CAMPO, '2024-09-30' as ref_date, coalesce(NUM_REG_DIF, 0) AS NUM_REG_DIF FROM (SELECT count(*) AS NUM_REG_DIF FROM (SELECT instrmnt_id as instrmnt_id_, typ_cre_oprtn as typ_cre_oprtn_as_is FROM cd_loan_tapes_bce.lt002_instrument WHERE ref_date='2024-09-30' AND nome_perimetro='Individual Corporativo' AND segmento='ESTR' AND ambito='PM' AND entidade='00100' ) A  Inner join (SELECT instrmnt_id as instrmnt_id_, typ_cre_oprtn as typ_cre_oprtn_to_be FROM bu_loantape_work.lt002_instrument WHERE ref_date='2024-09-30' AND nome_perimetro='Individual Corporativo' AND segmento='ESTR' AND ambito='PM' AND entidade='00100' ) B ON instrmnt_id_as_is=instrmnt_id_to_be WHERE coalesce(cast(typ_cre_oprtn_as_is AS string),'')&lt;&gt;coalesce(cast(typ_cre_oprtn_to_be AS string),'') ) A Union all</v>
      </c>
      <c r="P320" s="75">
        <f t="shared" si="56"/>
        <v>6</v>
      </c>
    </row>
    <row r="321" spans="2:16" s="63" customFormat="1" ht="18" customHeight="1">
      <c r="B321" s="75" t="s">
        <v>26</v>
      </c>
      <c r="C321" s="75" t="str">
        <f>_xlfn.CONCAT(Instruções!$D$13,".",VLOOKUP(B321,Instruções!$F$12:$H$17,2,0))</f>
        <v>cd_loan_tapes_bce.lt002_instrument</v>
      </c>
      <c r="D321" s="75" t="str">
        <f>_xlfn.CONCAT(Instruções!$D$14,".",VLOOKUP(B321,Instruções!$F$12:$H$17,3,0))</f>
        <v>bu_loantape_work.lt002_instrument</v>
      </c>
      <c r="E321" s="75" t="s">
        <v>346</v>
      </c>
      <c r="F321" s="75" t="str">
        <f t="shared" si="51"/>
        <v>typ_dl_as_is</v>
      </c>
      <c r="G321" s="75" t="str">
        <f t="shared" si="52"/>
        <v>typ_dl_to_be</v>
      </c>
      <c r="H321" s="75" t="str">
        <f>IF(VLOOKUP(B321,Instruções!$F$13:$J$17,5,0)="",
"(SELECT "&amp;VLOOKUP(B321,Instruções!$F$13:$J$17,4,0)&amp;" as "&amp;VLOOKUP(B321,Instruções!$F$13:$J$17,4,0)&amp;"_"&amp;$F$2&amp;", "&amp;E321&amp;" as "&amp;F321&amp;" FROM "&amp;C321&amp;" WHERE "&amp;Instruções!$D$20&amp;") A ",
"(SELECT "&amp;VLOOKUP(B321,Instruções!$F$13:$J$17,4,0)&amp;" as "&amp;VLOOKUP(B321,Instruções!$F$13:$J$17,4,0)&amp;"_"&amp;$F$2&amp;", "&amp;VLOOKUP(B321,Instruções!$F$13:$J$17,5,0)&amp;" as "&amp;VLOOKUP(B321,Instruções!$F$13:$J$17,5,0)&amp;"_"&amp;$F$2&amp;","&amp;E321&amp;" as "&amp;F321&amp;" FROM "&amp;C321&amp;" WHERE "&amp;Instruções!$D$20&amp;") A ")</f>
        <v xml:space="preserve">(SELECT instrmnt_id as instrmnt_id_, typ_dl as typ_dl_as_is FROM cd_loan_tapes_bce.lt002_instrument WHERE ref_date='2024-09-30' AND nome_perimetro='Individual Corporativo' AND segmento='ESTR' AND ambito='PM' AND entidade='00100' ) A </v>
      </c>
      <c r="I321" s="75" t="str">
        <f>IF(VLOOKUP(B321,Instruções!$F$13:$J$17,5,0)="",
"(SELECT "&amp;VLOOKUP(B321,Instruções!$F$13:$J$17,4,0)&amp;" as "&amp;VLOOKUP(B321,Instruções!$F$13:$J$17,4,0)&amp;"_"&amp;$G$2&amp;", "&amp;E321&amp;" as "&amp;G321&amp;" FROM "&amp;D321&amp;" WHERE "&amp;Instruções!$D$21&amp;") B ",
"(SELECT "&amp;VLOOKUP(B321,Instruções!$F$13:$J$17,4,0)&amp;" as "&amp;VLOOKUP(B321,Instruções!$F$13:$J$17,4,0)&amp;"_"&amp;$G$2&amp;", "&amp;VLOOKUP(B321,Instruções!$F$13:$J$17,5,0)&amp;" as "&amp;VLOOKUP(B321,Instruções!$F$13:$J$17,5,0)&amp;"_"&amp;$G$2&amp;","&amp;E321&amp;" as "&amp;G321&amp;" FROM "&amp;D321&amp;" WHERE "&amp;Instruções!$D$21&amp;") B ")</f>
        <v xml:space="preserve">(SELECT instrmnt_id as instrmnt_id_, typ_dl as typ_dl_to_be FROM bu_loantape_work.lt002_instrument WHERE ref_date='2024-09-30' AND nome_perimetro='Individual Corporativo' AND segmento='ESTR' AND ambito='PM' AND entidade='00100' ) B </v>
      </c>
      <c r="J321" s="75" t="str">
        <f>+IF(VLOOKUP(B321,Instruções!$F$13:$J$17,5,0)="", "ON "&amp;VLOOKUP(B321,Instruções!$F$13:$J$17,4,0)&amp;"_"&amp;$F$7&amp;"="&amp;VLOOKUP(B321,Instruções!$F$13:$J$17,4,0)&amp;"_"&amp;$G$7&amp;" ", "ON "&amp;VLOOKUP(B321,Instruções!$F$13:$J$17,4,0)&amp;"_"&amp;$F$7&amp;"="&amp;VLOOKUP(B321,Instruções!$F$13:$J$17,4,0)&amp;"_"&amp;$G$7&amp;" AND "&amp;VLOOKUP(B321,Instruções!$F$13:$J$17,5,0)&amp;"_"&amp;$F$7&amp;"="&amp;VLOOKUP(B321,Instruções!$F$13:$J$17,5,0)&amp;"_"&amp;$G$7&amp;" ")</f>
        <v xml:space="preserve">ON instrmnt_id_as_is=instrmnt_id_to_be </v>
      </c>
      <c r="K321" s="75" t="str">
        <f t="shared" si="53"/>
        <v xml:space="preserve">WHERE coalesce(cast(typ_dl_as_is AS string),'')&lt;&gt;coalesce(cast(typ_dl_to_be AS string),'') </v>
      </c>
      <c r="L321" s="75" t="str">
        <f t="shared" si="54"/>
        <v xml:space="preserve">SELECT count(*) AS NUM_REG_DIF FROM (SELECT instrmnt_id as instrmnt_id_, typ_dl as typ_dl_as_is FROM cd_loan_tapes_bce.lt002_instrument WHERE ref_date='2024-09-30' AND nome_perimetro='Individual Corporativo' AND segmento='ESTR' AND ambito='PM' AND entidade='00100' ) A  Inner join (SELECT instrmnt_id as instrmnt_id_, typ_dl as typ_dl_to_be FROM bu_loantape_work.lt002_instrument WHERE ref_date='2024-09-30' AND nome_perimetro='Individual Corporativo' AND segmento='ESTR' AND ambito='PM' AND entidade='00100' ) B ON instrmnt_id_as_is=instrmnt_id_to_be WHERE coalesce(cast(typ_dl_as_is AS string),'')&lt;&gt;coalesce(cast(typ_dl_to_be AS string),'') </v>
      </c>
      <c r="M321" s="75" t="s">
        <v>55</v>
      </c>
      <c r="N321" s="75" t="str">
        <f>"SELECT 'Validação de campos' as tipologia_teste, '"&amp;VLOOKUP(B321,Instruções!$F$13:$J$17,3,0)&amp;"' AS TABELA, '"&amp;E321&amp;"' AS CAMPO, '"&amp;Instruções!$D$15&amp;"' as ref_date, coalesce(NUM_REG_DIF, 0) AS NUM_REG_DIF FROM ("&amp;L321&amp;") A "</f>
        <v xml:space="preserve">SELECT 'Validação de campos' as tipologia_teste, 'lt002_instrument' AS TABELA, 'typ_dl' AS CAMPO, '2024-09-30' as ref_date, coalesce(NUM_REG_DIF, 0) AS NUM_REG_DIF FROM (SELECT count(*) AS NUM_REG_DIF FROM (SELECT instrmnt_id as instrmnt_id_, typ_dl as typ_dl_as_is FROM cd_loan_tapes_bce.lt002_instrument WHERE ref_date='2024-09-30' AND nome_perimetro='Individual Corporativo' AND segmento='ESTR' AND ambito='PM' AND entidade='00100' ) A  Inner join (SELECT instrmnt_id as instrmnt_id_, typ_dl as typ_dl_to_be FROM bu_loantape_work.lt002_instrument WHERE ref_date='2024-09-30' AND nome_perimetro='Individual Corporativo' AND segmento='ESTR' AND ambito='PM' AND entidade='00100' ) B ON instrmnt_id_as_is=instrmnt_id_to_be WHERE coalesce(cast(typ_dl_as_is AS string),'')&lt;&gt;coalesce(cast(typ_dl_to_be AS string),'') ) A </v>
      </c>
      <c r="O321" s="76" t="str">
        <f t="shared" si="55"/>
        <v>SELECT 'Validação de campos' as tipologia_teste, 'lt002_instrument' AS TABELA, 'typ_dl' AS CAMPO, '2024-09-30' as ref_date, coalesce(NUM_REG_DIF, 0) AS NUM_REG_DIF FROM (SELECT count(*) AS NUM_REG_DIF FROM (SELECT instrmnt_id as instrmnt_id_, typ_dl as typ_dl_as_is FROM cd_loan_tapes_bce.lt002_instrument WHERE ref_date='2024-09-30' AND nome_perimetro='Individual Corporativo' AND segmento='ESTR' AND ambito='PM' AND entidade='00100' ) A  Inner join (SELECT instrmnt_id as instrmnt_id_, typ_dl as typ_dl_to_be FROM bu_loantape_work.lt002_instrument WHERE ref_date='2024-09-30' AND nome_perimetro='Individual Corporativo' AND segmento='ESTR' AND ambito='PM' AND entidade='00100' ) B ON instrmnt_id_as_is=instrmnt_id_to_be WHERE coalesce(cast(typ_dl_as_is AS string),'')&lt;&gt;coalesce(cast(typ_dl_to_be AS string),'') ) A Union all</v>
      </c>
      <c r="P321" s="75">
        <f t="shared" si="56"/>
        <v>7</v>
      </c>
    </row>
    <row r="322" spans="2:16" s="63" customFormat="1" ht="18" customHeight="1">
      <c r="B322" s="75" t="s">
        <v>26</v>
      </c>
      <c r="C322" s="75" t="str">
        <f>_xlfn.CONCAT(Instruções!$D$13,".",VLOOKUP(B322,Instruções!$F$12:$H$17,2,0))</f>
        <v>cd_loan_tapes_bce.lt002_instrument</v>
      </c>
      <c r="D322" s="75" t="str">
        <f>_xlfn.CONCAT(Instruções!$D$14,".",VLOOKUP(B322,Instruções!$F$12:$H$17,3,0))</f>
        <v>bu_loantape_work.lt002_instrument</v>
      </c>
      <c r="E322" s="75" t="s">
        <v>347</v>
      </c>
      <c r="F322" s="75" t="str">
        <f t="shared" si="51"/>
        <v>typ_fclty_as_is</v>
      </c>
      <c r="G322" s="75" t="str">
        <f t="shared" si="52"/>
        <v>typ_fclty_to_be</v>
      </c>
      <c r="H322" s="75" t="str">
        <f>IF(VLOOKUP(B322,Instruções!$F$13:$J$17,5,0)="",
"(SELECT "&amp;VLOOKUP(B322,Instruções!$F$13:$J$17,4,0)&amp;" as "&amp;VLOOKUP(B322,Instruções!$F$13:$J$17,4,0)&amp;"_"&amp;$F$2&amp;", "&amp;E322&amp;" as "&amp;F322&amp;" FROM "&amp;C322&amp;" WHERE "&amp;Instruções!$D$20&amp;") A ",
"(SELECT "&amp;VLOOKUP(B322,Instruções!$F$13:$J$17,4,0)&amp;" as "&amp;VLOOKUP(B322,Instruções!$F$13:$J$17,4,0)&amp;"_"&amp;$F$2&amp;", "&amp;VLOOKUP(B322,Instruções!$F$13:$J$17,5,0)&amp;" as "&amp;VLOOKUP(B322,Instruções!$F$13:$J$17,5,0)&amp;"_"&amp;$F$2&amp;","&amp;E322&amp;" as "&amp;F322&amp;" FROM "&amp;C322&amp;" WHERE "&amp;Instruções!$D$20&amp;") A ")</f>
        <v xml:space="preserve">(SELECT instrmnt_id as instrmnt_id_, typ_fclty as typ_fclty_as_is FROM cd_loan_tapes_bce.lt002_instrument WHERE ref_date='2024-09-30' AND nome_perimetro='Individual Corporativo' AND segmento='ESTR' AND ambito='PM' AND entidade='00100' ) A </v>
      </c>
      <c r="I322" s="75" t="str">
        <f>IF(VLOOKUP(B322,Instruções!$F$13:$J$17,5,0)="",
"(SELECT "&amp;VLOOKUP(B322,Instruções!$F$13:$J$17,4,0)&amp;" as "&amp;VLOOKUP(B322,Instruções!$F$13:$J$17,4,0)&amp;"_"&amp;$G$2&amp;", "&amp;E322&amp;" as "&amp;G322&amp;" FROM "&amp;D322&amp;" WHERE "&amp;Instruções!$D$21&amp;") B ",
"(SELECT "&amp;VLOOKUP(B322,Instruções!$F$13:$J$17,4,0)&amp;" as "&amp;VLOOKUP(B322,Instruções!$F$13:$J$17,4,0)&amp;"_"&amp;$G$2&amp;", "&amp;VLOOKUP(B322,Instruções!$F$13:$J$17,5,0)&amp;" as "&amp;VLOOKUP(B322,Instruções!$F$13:$J$17,5,0)&amp;"_"&amp;$G$2&amp;","&amp;E322&amp;" as "&amp;G322&amp;" FROM "&amp;D322&amp;" WHERE "&amp;Instruções!$D$21&amp;") B ")</f>
        <v xml:space="preserve">(SELECT instrmnt_id as instrmnt_id_, typ_fclty as typ_fclty_to_be FROM bu_loantape_work.lt002_instrument WHERE ref_date='2024-09-30' AND nome_perimetro='Individual Corporativo' AND segmento='ESTR' AND ambito='PM' AND entidade='00100' ) B </v>
      </c>
      <c r="J322" s="75" t="str">
        <f>+IF(VLOOKUP(B322,Instruções!$F$13:$J$17,5,0)="", "ON "&amp;VLOOKUP(B322,Instruções!$F$13:$J$17,4,0)&amp;"_"&amp;$F$7&amp;"="&amp;VLOOKUP(B322,Instruções!$F$13:$J$17,4,0)&amp;"_"&amp;$G$7&amp;" ", "ON "&amp;VLOOKUP(B322,Instruções!$F$13:$J$17,4,0)&amp;"_"&amp;$F$7&amp;"="&amp;VLOOKUP(B322,Instruções!$F$13:$J$17,4,0)&amp;"_"&amp;$G$7&amp;" AND "&amp;VLOOKUP(B322,Instruções!$F$13:$J$17,5,0)&amp;"_"&amp;$F$7&amp;"="&amp;VLOOKUP(B322,Instruções!$F$13:$J$17,5,0)&amp;"_"&amp;$G$7&amp;" ")</f>
        <v xml:space="preserve">ON instrmnt_id_as_is=instrmnt_id_to_be </v>
      </c>
      <c r="K322" s="75" t="str">
        <f t="shared" si="53"/>
        <v xml:space="preserve">WHERE coalesce(cast(typ_fclty_as_is AS string),'')&lt;&gt;coalesce(cast(typ_fclty_to_be AS string),'') </v>
      </c>
      <c r="L322" s="75" t="str">
        <f t="shared" si="54"/>
        <v xml:space="preserve">SELECT count(*) AS NUM_REG_DIF FROM (SELECT instrmnt_id as instrmnt_id_, typ_fclty as typ_fclty_as_is FROM cd_loan_tapes_bce.lt002_instrument WHERE ref_date='2024-09-30' AND nome_perimetro='Individual Corporativo' AND segmento='ESTR' AND ambito='PM' AND entidade='00100' ) A  Inner join (SELECT instrmnt_id as instrmnt_id_, typ_fclty as typ_fclty_to_be FROM bu_loantape_work.lt002_instrument WHERE ref_date='2024-09-30' AND nome_perimetro='Individual Corporativo' AND segmento='ESTR' AND ambito='PM' AND entidade='00100' ) B ON instrmnt_id_as_is=instrmnt_id_to_be WHERE coalesce(cast(typ_fclty_as_is AS string),'')&lt;&gt;coalesce(cast(typ_fclty_to_be AS string),'') </v>
      </c>
      <c r="M322" s="75" t="s">
        <v>55</v>
      </c>
      <c r="N322" s="75" t="str">
        <f>"SELECT 'Validação de campos' as tipologia_teste, '"&amp;VLOOKUP(B322,Instruções!$F$13:$J$17,3,0)&amp;"' AS TABELA, '"&amp;E322&amp;"' AS CAMPO, '"&amp;Instruções!$D$15&amp;"' as ref_date, coalesce(NUM_REG_DIF, 0) AS NUM_REG_DIF FROM ("&amp;L322&amp;") A "</f>
        <v xml:space="preserve">SELECT 'Validação de campos' as tipologia_teste, 'lt002_instrument' AS TABELA, 'typ_fclty' AS CAMPO, '2024-09-30' as ref_date, coalesce(NUM_REG_DIF, 0) AS NUM_REG_DIF FROM (SELECT count(*) AS NUM_REG_DIF FROM (SELECT instrmnt_id as instrmnt_id_, typ_fclty as typ_fclty_as_is FROM cd_loan_tapes_bce.lt002_instrument WHERE ref_date='2024-09-30' AND nome_perimetro='Individual Corporativo' AND segmento='ESTR' AND ambito='PM' AND entidade='00100' ) A  Inner join (SELECT instrmnt_id as instrmnt_id_, typ_fclty as typ_fclty_to_be FROM bu_loantape_work.lt002_instrument WHERE ref_date='2024-09-30' AND nome_perimetro='Individual Corporativo' AND segmento='ESTR' AND ambito='PM' AND entidade='00100' ) B ON instrmnt_id_as_is=instrmnt_id_to_be WHERE coalesce(cast(typ_fclty_as_is AS string),'')&lt;&gt;coalesce(cast(typ_fclty_to_be AS string),'') ) A </v>
      </c>
      <c r="O322" s="76" t="str">
        <f t="shared" si="55"/>
        <v>SELECT 'Validação de campos' as tipologia_teste, 'lt002_instrument' AS TABELA, 'typ_fclty' AS CAMPO, '2024-09-30' as ref_date, coalesce(NUM_REG_DIF, 0) AS NUM_REG_DIF FROM (SELECT count(*) AS NUM_REG_DIF FROM (SELECT instrmnt_id as instrmnt_id_, typ_fclty as typ_fclty_as_is FROM cd_loan_tapes_bce.lt002_instrument WHERE ref_date='2024-09-30' AND nome_perimetro='Individual Corporativo' AND segmento='ESTR' AND ambito='PM' AND entidade='00100' ) A  Inner join (SELECT instrmnt_id as instrmnt_id_, typ_fclty as typ_fclty_to_be FROM bu_loantape_work.lt002_instrument WHERE ref_date='2024-09-30' AND nome_perimetro='Individual Corporativo' AND segmento='ESTR' AND ambito='PM' AND entidade='00100' ) B ON instrmnt_id_as_is=instrmnt_id_to_be WHERE coalesce(cast(typ_fclty_as_is AS string),'')&lt;&gt;coalesce(cast(typ_fclty_to_be AS string),'') ) A Union all</v>
      </c>
      <c r="P322" s="75">
        <f t="shared" si="56"/>
        <v>8</v>
      </c>
    </row>
    <row r="323" spans="2:16" s="63" customFormat="1" ht="18" customHeight="1">
      <c r="B323" s="75" t="s">
        <v>26</v>
      </c>
      <c r="C323" s="75" t="str">
        <f>_xlfn.CONCAT(Instruções!$D$13,".",VLOOKUP(B323,Instruções!$F$12:$H$17,2,0))</f>
        <v>cd_loan_tapes_bce.lt002_instrument</v>
      </c>
      <c r="D323" s="75" t="str">
        <f>_xlfn.CONCAT(Instruções!$D$14,".",VLOOKUP(B323,Instruções!$F$12:$H$17,3,0))</f>
        <v>bu_loantape_work.lt002_instrument</v>
      </c>
      <c r="E323" s="75" t="s">
        <v>348</v>
      </c>
      <c r="F323" s="75" t="str">
        <f t="shared" si="51"/>
        <v>typ_instrmnt_as_is</v>
      </c>
      <c r="G323" s="75" t="str">
        <f t="shared" si="52"/>
        <v>typ_instrmnt_to_be</v>
      </c>
      <c r="H323" s="75" t="str">
        <f>IF(VLOOKUP(B323,Instruções!$F$13:$J$17,5,0)="",
"(SELECT "&amp;VLOOKUP(B323,Instruções!$F$13:$J$17,4,0)&amp;" as "&amp;VLOOKUP(B323,Instruções!$F$13:$J$17,4,0)&amp;"_"&amp;$F$2&amp;", "&amp;E323&amp;" as "&amp;F323&amp;" FROM "&amp;C323&amp;" WHERE "&amp;Instruções!$D$20&amp;") A ",
"(SELECT "&amp;VLOOKUP(B323,Instruções!$F$13:$J$17,4,0)&amp;" as "&amp;VLOOKUP(B323,Instruções!$F$13:$J$17,4,0)&amp;"_"&amp;$F$2&amp;", "&amp;VLOOKUP(B323,Instruções!$F$13:$J$17,5,0)&amp;" as "&amp;VLOOKUP(B323,Instruções!$F$13:$J$17,5,0)&amp;"_"&amp;$F$2&amp;","&amp;E323&amp;" as "&amp;F323&amp;" FROM "&amp;C323&amp;" WHERE "&amp;Instruções!$D$20&amp;") A ")</f>
        <v xml:space="preserve">(SELECT instrmnt_id as instrmnt_id_, typ_instrmnt as typ_instrmnt_as_is FROM cd_loan_tapes_bce.lt002_instrument WHERE ref_date='2024-09-30' AND nome_perimetro='Individual Corporativo' AND segmento='ESTR' AND ambito='PM' AND entidade='00100' ) A </v>
      </c>
      <c r="I323" s="75" t="str">
        <f>IF(VLOOKUP(B323,Instruções!$F$13:$J$17,5,0)="",
"(SELECT "&amp;VLOOKUP(B323,Instruções!$F$13:$J$17,4,0)&amp;" as "&amp;VLOOKUP(B323,Instruções!$F$13:$J$17,4,0)&amp;"_"&amp;$G$2&amp;", "&amp;E323&amp;" as "&amp;G323&amp;" FROM "&amp;D323&amp;" WHERE "&amp;Instruções!$D$21&amp;") B ",
"(SELECT "&amp;VLOOKUP(B323,Instruções!$F$13:$J$17,4,0)&amp;" as "&amp;VLOOKUP(B323,Instruções!$F$13:$J$17,4,0)&amp;"_"&amp;$G$2&amp;", "&amp;VLOOKUP(B323,Instruções!$F$13:$J$17,5,0)&amp;" as "&amp;VLOOKUP(B323,Instruções!$F$13:$J$17,5,0)&amp;"_"&amp;$G$2&amp;","&amp;E323&amp;" as "&amp;G323&amp;" FROM "&amp;D323&amp;" WHERE "&amp;Instruções!$D$21&amp;") B ")</f>
        <v xml:space="preserve">(SELECT instrmnt_id as instrmnt_id_, typ_instrmnt as typ_instrmnt_to_be FROM bu_loantape_work.lt002_instrument WHERE ref_date='2024-09-30' AND nome_perimetro='Individual Corporativo' AND segmento='ESTR' AND ambito='PM' AND entidade='00100' ) B </v>
      </c>
      <c r="J323" s="75" t="str">
        <f>+IF(VLOOKUP(B323,Instruções!$F$13:$J$17,5,0)="", "ON "&amp;VLOOKUP(B323,Instruções!$F$13:$J$17,4,0)&amp;"_"&amp;$F$7&amp;"="&amp;VLOOKUP(B323,Instruções!$F$13:$J$17,4,0)&amp;"_"&amp;$G$7&amp;" ", "ON "&amp;VLOOKUP(B323,Instruções!$F$13:$J$17,4,0)&amp;"_"&amp;$F$7&amp;"="&amp;VLOOKUP(B323,Instruções!$F$13:$J$17,4,0)&amp;"_"&amp;$G$7&amp;" AND "&amp;VLOOKUP(B323,Instruções!$F$13:$J$17,5,0)&amp;"_"&amp;$F$7&amp;"="&amp;VLOOKUP(B323,Instruções!$F$13:$J$17,5,0)&amp;"_"&amp;$G$7&amp;" ")</f>
        <v xml:space="preserve">ON instrmnt_id_as_is=instrmnt_id_to_be </v>
      </c>
      <c r="K323" s="75" t="str">
        <f t="shared" si="53"/>
        <v xml:space="preserve">WHERE coalesce(cast(typ_instrmnt_as_is AS string),'')&lt;&gt;coalesce(cast(typ_instrmnt_to_be AS string),'') </v>
      </c>
      <c r="L323" s="75" t="str">
        <f t="shared" si="54"/>
        <v xml:space="preserve">SELECT count(*) AS NUM_REG_DIF FROM (SELECT instrmnt_id as instrmnt_id_, typ_instrmnt as typ_instrmnt_as_is FROM cd_loan_tapes_bce.lt002_instrument WHERE ref_date='2024-09-30' AND nome_perimetro='Individual Corporativo' AND segmento='ESTR' AND ambito='PM' AND entidade='00100' ) A  Inner join (SELECT instrmnt_id as instrmnt_id_, typ_instrmnt as typ_instrmnt_to_be FROM bu_loantape_work.lt002_instrument WHERE ref_date='2024-09-30' AND nome_perimetro='Individual Corporativo' AND segmento='ESTR' AND ambito='PM' AND entidade='00100' ) B ON instrmnt_id_as_is=instrmnt_id_to_be WHERE coalesce(cast(typ_instrmnt_as_is AS string),'')&lt;&gt;coalesce(cast(typ_instrmnt_to_be AS string),'') </v>
      </c>
      <c r="M323" s="75" t="s">
        <v>55</v>
      </c>
      <c r="N323" s="75" t="str">
        <f>"SELECT 'Validação de campos' as tipologia_teste, '"&amp;VLOOKUP(B323,Instruções!$F$13:$J$17,3,0)&amp;"' AS TABELA, '"&amp;E323&amp;"' AS CAMPO, '"&amp;Instruções!$D$15&amp;"' as ref_date, coalesce(NUM_REG_DIF, 0) AS NUM_REG_DIF FROM ("&amp;L323&amp;") A "</f>
        <v xml:space="preserve">SELECT 'Validação de campos' as tipologia_teste, 'lt002_instrument' AS TABELA, 'typ_instrmnt' AS CAMPO, '2024-09-30' as ref_date, coalesce(NUM_REG_DIF, 0) AS NUM_REG_DIF FROM (SELECT count(*) AS NUM_REG_DIF FROM (SELECT instrmnt_id as instrmnt_id_, typ_instrmnt as typ_instrmnt_as_is FROM cd_loan_tapes_bce.lt002_instrument WHERE ref_date='2024-09-30' AND nome_perimetro='Individual Corporativo' AND segmento='ESTR' AND ambito='PM' AND entidade='00100' ) A  Inner join (SELECT instrmnt_id as instrmnt_id_, typ_instrmnt as typ_instrmnt_to_be FROM bu_loantape_work.lt002_instrument WHERE ref_date='2024-09-30' AND nome_perimetro='Individual Corporativo' AND segmento='ESTR' AND ambito='PM' AND entidade='00100' ) B ON instrmnt_id_as_is=instrmnt_id_to_be WHERE coalesce(cast(typ_instrmnt_as_is AS string),'')&lt;&gt;coalesce(cast(typ_instrmnt_to_be AS string),'') ) A </v>
      </c>
      <c r="O323" s="76" t="str">
        <f t="shared" si="55"/>
        <v>SELECT 'Validação de campos' as tipologia_teste, 'lt002_instrument' AS TABELA, 'typ_instrmnt' AS CAMPO, '2024-09-30' as ref_date, coalesce(NUM_REG_DIF, 0) AS NUM_REG_DIF FROM (SELECT count(*) AS NUM_REG_DIF FROM (SELECT instrmnt_id as instrmnt_id_, typ_instrmnt as typ_instrmnt_as_is FROM cd_loan_tapes_bce.lt002_instrument WHERE ref_date='2024-09-30' AND nome_perimetro='Individual Corporativo' AND segmento='ESTR' AND ambito='PM' AND entidade='00100' ) A  Inner join (SELECT instrmnt_id as instrmnt_id_, typ_instrmnt as typ_instrmnt_to_be FROM bu_loantape_work.lt002_instrument WHERE ref_date='2024-09-30' AND nome_perimetro='Individual Corporativo' AND segmento='ESTR' AND ambito='PM' AND entidade='00100' ) B ON instrmnt_id_as_is=instrmnt_id_to_be WHERE coalesce(cast(typ_instrmnt_as_is AS string),'')&lt;&gt;coalesce(cast(typ_instrmnt_to_be AS string),'') ) A Union all</v>
      </c>
      <c r="P323" s="75">
        <f t="shared" si="56"/>
        <v>9</v>
      </c>
    </row>
    <row r="324" spans="2:16" s="63" customFormat="1" ht="18" customHeight="1">
      <c r="B324" s="75" t="s">
        <v>26</v>
      </c>
      <c r="C324" s="75" t="str">
        <f>_xlfn.CONCAT(Instruções!$D$13,".",VLOOKUP(B324,Instruções!$F$12:$H$17,2,0))</f>
        <v>cd_loan_tapes_bce.lt002_instrument</v>
      </c>
      <c r="D324" s="75" t="str">
        <f>_xlfn.CONCAT(Instruções!$D$14,".",VLOOKUP(B324,Instruções!$F$12:$H$17,3,0))</f>
        <v>bu_loantape_work.lt002_instrument</v>
      </c>
      <c r="E324" s="75" t="s">
        <v>349</v>
      </c>
      <c r="F324" s="75" t="str">
        <f t="shared" si="51"/>
        <v>typ_intrst_rt_as_is</v>
      </c>
      <c r="G324" s="75" t="str">
        <f t="shared" si="52"/>
        <v>typ_intrst_rt_to_be</v>
      </c>
      <c r="H324" s="75" t="str">
        <f>IF(VLOOKUP(B324,Instruções!$F$13:$J$17,5,0)="",
"(SELECT "&amp;VLOOKUP(B324,Instruções!$F$13:$J$17,4,0)&amp;" as "&amp;VLOOKUP(B324,Instruções!$F$13:$J$17,4,0)&amp;"_"&amp;$F$2&amp;", "&amp;E324&amp;" as "&amp;F324&amp;" FROM "&amp;C324&amp;" WHERE "&amp;Instruções!$D$20&amp;") A ",
"(SELECT "&amp;VLOOKUP(B324,Instruções!$F$13:$J$17,4,0)&amp;" as "&amp;VLOOKUP(B324,Instruções!$F$13:$J$17,4,0)&amp;"_"&amp;$F$2&amp;", "&amp;VLOOKUP(B324,Instruções!$F$13:$J$17,5,0)&amp;" as "&amp;VLOOKUP(B324,Instruções!$F$13:$J$17,5,0)&amp;"_"&amp;$F$2&amp;","&amp;E324&amp;" as "&amp;F324&amp;" FROM "&amp;C324&amp;" WHERE "&amp;Instruções!$D$20&amp;") A ")</f>
        <v xml:space="preserve">(SELECT instrmnt_id as instrmnt_id_, typ_intrst_rt as typ_intrst_rt_as_is FROM cd_loan_tapes_bce.lt002_instrument WHERE ref_date='2024-09-30' AND nome_perimetro='Individual Corporativo' AND segmento='ESTR' AND ambito='PM' AND entidade='00100' ) A </v>
      </c>
      <c r="I324" s="75" t="str">
        <f>IF(VLOOKUP(B324,Instruções!$F$13:$J$17,5,0)="",
"(SELECT "&amp;VLOOKUP(B324,Instruções!$F$13:$J$17,4,0)&amp;" as "&amp;VLOOKUP(B324,Instruções!$F$13:$J$17,4,0)&amp;"_"&amp;$G$2&amp;", "&amp;E324&amp;" as "&amp;G324&amp;" FROM "&amp;D324&amp;" WHERE "&amp;Instruções!$D$21&amp;") B ",
"(SELECT "&amp;VLOOKUP(B324,Instruções!$F$13:$J$17,4,0)&amp;" as "&amp;VLOOKUP(B324,Instruções!$F$13:$J$17,4,0)&amp;"_"&amp;$G$2&amp;", "&amp;VLOOKUP(B324,Instruções!$F$13:$J$17,5,0)&amp;" as "&amp;VLOOKUP(B324,Instruções!$F$13:$J$17,5,0)&amp;"_"&amp;$G$2&amp;","&amp;E324&amp;" as "&amp;G324&amp;" FROM "&amp;D324&amp;" WHERE "&amp;Instruções!$D$21&amp;") B ")</f>
        <v xml:space="preserve">(SELECT instrmnt_id as instrmnt_id_, typ_intrst_rt as typ_intrst_rt_to_be FROM bu_loantape_work.lt002_instrument WHERE ref_date='2024-09-30' AND nome_perimetro='Individual Corporativo' AND segmento='ESTR' AND ambito='PM' AND entidade='00100' ) B </v>
      </c>
      <c r="J324" s="75" t="str">
        <f>+IF(VLOOKUP(B324,Instruções!$F$13:$J$17,5,0)="", "ON "&amp;VLOOKUP(B324,Instruções!$F$13:$J$17,4,0)&amp;"_"&amp;$F$7&amp;"="&amp;VLOOKUP(B324,Instruções!$F$13:$J$17,4,0)&amp;"_"&amp;$G$7&amp;" ", "ON "&amp;VLOOKUP(B324,Instruções!$F$13:$J$17,4,0)&amp;"_"&amp;$F$7&amp;"="&amp;VLOOKUP(B324,Instruções!$F$13:$J$17,4,0)&amp;"_"&amp;$G$7&amp;" AND "&amp;VLOOKUP(B324,Instruções!$F$13:$J$17,5,0)&amp;"_"&amp;$F$7&amp;"="&amp;VLOOKUP(B324,Instruções!$F$13:$J$17,5,0)&amp;"_"&amp;$G$7&amp;" ")</f>
        <v xml:space="preserve">ON instrmnt_id_as_is=instrmnt_id_to_be </v>
      </c>
      <c r="K324" s="75" t="str">
        <f t="shared" si="53"/>
        <v xml:space="preserve">WHERE coalesce(cast(typ_intrst_rt_as_is AS string),'')&lt;&gt;coalesce(cast(typ_intrst_rt_to_be AS string),'') </v>
      </c>
      <c r="L324" s="75" t="str">
        <f t="shared" si="54"/>
        <v xml:space="preserve">SELECT count(*) AS NUM_REG_DIF FROM (SELECT instrmnt_id as instrmnt_id_, typ_intrst_rt as typ_intrst_rt_as_is FROM cd_loan_tapes_bce.lt002_instrument WHERE ref_date='2024-09-30' AND nome_perimetro='Individual Corporativo' AND segmento='ESTR' AND ambito='PM' AND entidade='00100' ) A  Inner join (SELECT instrmnt_id as instrmnt_id_, typ_intrst_rt as typ_intrst_rt_to_be FROM bu_loantape_work.lt002_instrument WHERE ref_date='2024-09-30' AND nome_perimetro='Individual Corporativo' AND segmento='ESTR' AND ambito='PM' AND entidade='00100' ) B ON instrmnt_id_as_is=instrmnt_id_to_be WHERE coalesce(cast(typ_intrst_rt_as_is AS string),'')&lt;&gt;coalesce(cast(typ_intrst_rt_to_be AS string),'') </v>
      </c>
      <c r="M324" s="75" t="s">
        <v>55</v>
      </c>
      <c r="N324" s="75" t="str">
        <f>"SELECT 'Validação de campos' as tipologia_teste, '"&amp;VLOOKUP(B324,Instruções!$F$13:$J$17,3,0)&amp;"' AS TABELA, '"&amp;E324&amp;"' AS CAMPO, '"&amp;Instruções!$D$15&amp;"' as ref_date, coalesce(NUM_REG_DIF, 0) AS NUM_REG_DIF FROM ("&amp;L324&amp;") A "</f>
        <v xml:space="preserve">SELECT 'Validação de campos' as tipologia_teste, 'lt002_instrument' AS TABELA, 'typ_intrst_rt' AS CAMPO, '2024-09-30' as ref_date, coalesce(NUM_REG_DIF, 0) AS NUM_REG_DIF FROM (SELECT count(*) AS NUM_REG_DIF FROM (SELECT instrmnt_id as instrmnt_id_, typ_intrst_rt as typ_intrst_rt_as_is FROM cd_loan_tapes_bce.lt002_instrument WHERE ref_date='2024-09-30' AND nome_perimetro='Individual Corporativo' AND segmento='ESTR' AND ambito='PM' AND entidade='00100' ) A  Inner join (SELECT instrmnt_id as instrmnt_id_, typ_intrst_rt as typ_intrst_rt_to_be FROM bu_loantape_work.lt002_instrument WHERE ref_date='2024-09-30' AND nome_perimetro='Individual Corporativo' AND segmento='ESTR' AND ambito='PM' AND entidade='00100' ) B ON instrmnt_id_as_is=instrmnt_id_to_be WHERE coalesce(cast(typ_intrst_rt_as_is AS string),'')&lt;&gt;coalesce(cast(typ_intrst_rt_to_be AS string),'') ) A </v>
      </c>
      <c r="O324" s="76" t="str">
        <f t="shared" si="55"/>
        <v>SELECT 'Validação de campos' as tipologia_teste, 'lt002_instrument' AS TABELA, 'typ_intrst_rt' AS CAMPO, '2024-09-30' as ref_date, coalesce(NUM_REG_DIF, 0) AS NUM_REG_DIF FROM (SELECT count(*) AS NUM_REG_DIF FROM (SELECT instrmnt_id as instrmnt_id_, typ_intrst_rt as typ_intrst_rt_as_is FROM cd_loan_tapes_bce.lt002_instrument WHERE ref_date='2024-09-30' AND nome_perimetro='Individual Corporativo' AND segmento='ESTR' AND ambito='PM' AND entidade='00100' ) A  Inner join (SELECT instrmnt_id as instrmnt_id_, typ_intrst_rt as typ_intrst_rt_to_be FROM bu_loantape_work.lt002_instrument WHERE ref_date='2024-09-30' AND nome_perimetro='Individual Corporativo' AND segmento='ESTR' AND ambito='PM' AND entidade='00100' ) B ON instrmnt_id_as_is=instrmnt_id_to_be WHERE coalesce(cast(typ_intrst_rt_as_is AS string),'')&lt;&gt;coalesce(cast(typ_intrst_rt_to_be AS string),'') ) A Union all</v>
      </c>
      <c r="P324" s="75">
        <f t="shared" si="56"/>
        <v>10</v>
      </c>
    </row>
    <row r="325" spans="2:16" s="63" customFormat="1" ht="18" customHeight="1">
      <c r="B325" s="75" t="s">
        <v>26</v>
      </c>
      <c r="C325" s="75" t="str">
        <f>_xlfn.CONCAT(Instruções!$D$13,".",VLOOKUP(B325,Instruções!$F$12:$H$17,2,0))</f>
        <v>cd_loan_tapes_bce.lt002_instrument</v>
      </c>
      <c r="D325" s="75" t="str">
        <f>_xlfn.CONCAT(Instruções!$D$14,".",VLOOKUP(B325,Instruções!$F$12:$H$17,3,0))</f>
        <v>bu_loantape_work.lt002_instrument</v>
      </c>
      <c r="E325" s="75" t="s">
        <v>350</v>
      </c>
      <c r="F325" s="75" t="str">
        <f t="shared" si="51"/>
        <v>typ_mrtgg_as_is</v>
      </c>
      <c r="G325" s="75" t="str">
        <f t="shared" si="52"/>
        <v>typ_mrtgg_to_be</v>
      </c>
      <c r="H325" s="75" t="str">
        <f>IF(VLOOKUP(B325,Instruções!$F$13:$J$17,5,0)="",
"(SELECT "&amp;VLOOKUP(B325,Instruções!$F$13:$J$17,4,0)&amp;" as "&amp;VLOOKUP(B325,Instruções!$F$13:$J$17,4,0)&amp;"_"&amp;$F$2&amp;", "&amp;E325&amp;" as "&amp;F325&amp;" FROM "&amp;C325&amp;" WHERE "&amp;Instruções!$D$20&amp;") A ",
"(SELECT "&amp;VLOOKUP(B325,Instruções!$F$13:$J$17,4,0)&amp;" as "&amp;VLOOKUP(B325,Instruções!$F$13:$J$17,4,0)&amp;"_"&amp;$F$2&amp;", "&amp;VLOOKUP(B325,Instruções!$F$13:$J$17,5,0)&amp;" as "&amp;VLOOKUP(B325,Instruções!$F$13:$J$17,5,0)&amp;"_"&amp;$F$2&amp;","&amp;E325&amp;" as "&amp;F325&amp;" FROM "&amp;C325&amp;" WHERE "&amp;Instruções!$D$20&amp;") A ")</f>
        <v xml:space="preserve">(SELECT instrmnt_id as instrmnt_id_, typ_mrtgg as typ_mrtgg_as_is FROM cd_loan_tapes_bce.lt002_instrument WHERE ref_date='2024-09-30' AND nome_perimetro='Individual Corporativo' AND segmento='ESTR' AND ambito='PM' AND entidade='00100' ) A </v>
      </c>
      <c r="I325" s="75" t="str">
        <f>IF(VLOOKUP(B325,Instruções!$F$13:$J$17,5,0)="",
"(SELECT "&amp;VLOOKUP(B325,Instruções!$F$13:$J$17,4,0)&amp;" as "&amp;VLOOKUP(B325,Instruções!$F$13:$J$17,4,0)&amp;"_"&amp;$G$2&amp;", "&amp;E325&amp;" as "&amp;G325&amp;" FROM "&amp;D325&amp;" WHERE "&amp;Instruções!$D$21&amp;") B ",
"(SELECT "&amp;VLOOKUP(B325,Instruções!$F$13:$J$17,4,0)&amp;" as "&amp;VLOOKUP(B325,Instruções!$F$13:$J$17,4,0)&amp;"_"&amp;$G$2&amp;", "&amp;VLOOKUP(B325,Instruções!$F$13:$J$17,5,0)&amp;" as "&amp;VLOOKUP(B325,Instruções!$F$13:$J$17,5,0)&amp;"_"&amp;$G$2&amp;","&amp;E325&amp;" as "&amp;G325&amp;" FROM "&amp;D325&amp;" WHERE "&amp;Instruções!$D$21&amp;") B ")</f>
        <v xml:space="preserve">(SELECT instrmnt_id as instrmnt_id_, typ_mrtgg as typ_mrtgg_to_be FROM bu_loantape_work.lt002_instrument WHERE ref_date='2024-09-30' AND nome_perimetro='Individual Corporativo' AND segmento='ESTR' AND ambito='PM' AND entidade='00100' ) B </v>
      </c>
      <c r="J325" s="75" t="str">
        <f>+IF(VLOOKUP(B325,Instruções!$F$13:$J$17,5,0)="", "ON "&amp;VLOOKUP(B325,Instruções!$F$13:$J$17,4,0)&amp;"_"&amp;$F$7&amp;"="&amp;VLOOKUP(B325,Instruções!$F$13:$J$17,4,0)&amp;"_"&amp;$G$7&amp;" ", "ON "&amp;VLOOKUP(B325,Instruções!$F$13:$J$17,4,0)&amp;"_"&amp;$F$7&amp;"="&amp;VLOOKUP(B325,Instruções!$F$13:$J$17,4,0)&amp;"_"&amp;$G$7&amp;" AND "&amp;VLOOKUP(B325,Instruções!$F$13:$J$17,5,0)&amp;"_"&amp;$F$7&amp;"="&amp;VLOOKUP(B325,Instruções!$F$13:$J$17,5,0)&amp;"_"&amp;$G$7&amp;" ")</f>
        <v xml:space="preserve">ON instrmnt_id_as_is=instrmnt_id_to_be </v>
      </c>
      <c r="K325" s="75" t="str">
        <f t="shared" si="53"/>
        <v xml:space="preserve">WHERE coalesce(cast(typ_mrtgg_as_is AS string),'')&lt;&gt;coalesce(cast(typ_mrtgg_to_be AS string),'') </v>
      </c>
      <c r="L325" s="75" t="str">
        <f t="shared" si="54"/>
        <v xml:space="preserve">SELECT count(*) AS NUM_REG_DIF FROM (SELECT instrmnt_id as instrmnt_id_, typ_mrtgg as typ_mrtgg_as_is FROM cd_loan_tapes_bce.lt002_instrument WHERE ref_date='2024-09-30' AND nome_perimetro='Individual Corporativo' AND segmento='ESTR' AND ambito='PM' AND entidade='00100' ) A  Inner join (SELECT instrmnt_id as instrmnt_id_, typ_mrtgg as typ_mrtgg_to_be FROM bu_loantape_work.lt002_instrument WHERE ref_date='2024-09-30' AND nome_perimetro='Individual Corporativo' AND segmento='ESTR' AND ambito='PM' AND entidade='00100' ) B ON instrmnt_id_as_is=instrmnt_id_to_be WHERE coalesce(cast(typ_mrtgg_as_is AS string),'')&lt;&gt;coalesce(cast(typ_mrtgg_to_be AS string),'') </v>
      </c>
      <c r="M325" s="75" t="s">
        <v>55</v>
      </c>
      <c r="N325" s="75" t="str">
        <f>"SELECT 'Validação de campos' as tipologia_teste, '"&amp;VLOOKUP(B325,Instruções!$F$13:$J$17,3,0)&amp;"' AS TABELA, '"&amp;E325&amp;"' AS CAMPO, '"&amp;Instruções!$D$15&amp;"' as ref_date, coalesce(NUM_REG_DIF, 0) AS NUM_REG_DIF FROM ("&amp;L325&amp;") A "</f>
        <v xml:space="preserve">SELECT 'Validação de campos' as tipologia_teste, 'lt002_instrument' AS TABELA, 'typ_mrtgg' AS CAMPO, '2024-09-30' as ref_date, coalesce(NUM_REG_DIF, 0) AS NUM_REG_DIF FROM (SELECT count(*) AS NUM_REG_DIF FROM (SELECT instrmnt_id as instrmnt_id_, typ_mrtgg as typ_mrtgg_as_is FROM cd_loan_tapes_bce.lt002_instrument WHERE ref_date='2024-09-30' AND nome_perimetro='Individual Corporativo' AND segmento='ESTR' AND ambito='PM' AND entidade='00100' ) A  Inner join (SELECT instrmnt_id as instrmnt_id_, typ_mrtgg as typ_mrtgg_to_be FROM bu_loantape_work.lt002_instrument WHERE ref_date='2024-09-30' AND nome_perimetro='Individual Corporativo' AND segmento='ESTR' AND ambito='PM' AND entidade='00100' ) B ON instrmnt_id_as_is=instrmnt_id_to_be WHERE coalesce(cast(typ_mrtgg_as_is AS string),'')&lt;&gt;coalesce(cast(typ_mrtgg_to_be AS string),'') ) A </v>
      </c>
      <c r="O325" s="76" t="str">
        <f t="shared" si="55"/>
        <v>SELECT 'Validação de campos' as tipologia_teste, 'lt002_instrument' AS TABELA, 'typ_mrtgg' AS CAMPO, '2024-09-30' as ref_date, coalesce(NUM_REG_DIF, 0) AS NUM_REG_DIF FROM (SELECT count(*) AS NUM_REG_DIF FROM (SELECT instrmnt_id as instrmnt_id_, typ_mrtgg as typ_mrtgg_as_is FROM cd_loan_tapes_bce.lt002_instrument WHERE ref_date='2024-09-30' AND nome_perimetro='Individual Corporativo' AND segmento='ESTR' AND ambito='PM' AND entidade='00100' ) A  Inner join (SELECT instrmnt_id as instrmnt_id_, typ_mrtgg as typ_mrtgg_to_be FROM bu_loantape_work.lt002_instrument WHERE ref_date='2024-09-30' AND nome_perimetro='Individual Corporativo' AND segmento='ESTR' AND ambito='PM' AND entidade='00100' ) B ON instrmnt_id_as_is=instrmnt_id_to_be WHERE coalesce(cast(typ_mrtgg_as_is AS string),'')&lt;&gt;coalesce(cast(typ_mrtgg_to_be AS string),'') ) A Union all</v>
      </c>
      <c r="P325" s="75">
        <f t="shared" si="56"/>
        <v>11</v>
      </c>
    </row>
    <row r="326" spans="2:16" s="63" customFormat="1" ht="18" customHeight="1">
      <c r="B326" s="75" t="s">
        <v>26</v>
      </c>
      <c r="C326" s="75" t="str">
        <f>_xlfn.CONCAT(Instruções!$D$13,".",VLOOKUP(B326,Instruções!$F$12:$H$17,2,0))</f>
        <v>cd_loan_tapes_bce.lt002_instrument</v>
      </c>
      <c r="D326" s="75" t="str">
        <f>_xlfn.CONCAT(Instruções!$D$14,".",VLOOKUP(B326,Instruções!$F$12:$H$17,3,0))</f>
        <v>bu_loantape_work.lt002_instrument</v>
      </c>
      <c r="E326" s="75" t="s">
        <v>351</v>
      </c>
      <c r="F326" s="75" t="str">
        <f t="shared" si="51"/>
        <v>type_of_plcmnt_as_is</v>
      </c>
      <c r="G326" s="75" t="str">
        <f t="shared" si="52"/>
        <v>type_of_plcmnt_to_be</v>
      </c>
      <c r="H326" s="75" t="str">
        <f>IF(VLOOKUP(B326,Instruções!$F$13:$J$17,5,0)="",
"(SELECT "&amp;VLOOKUP(B326,Instruções!$F$13:$J$17,4,0)&amp;" as "&amp;VLOOKUP(B326,Instruções!$F$13:$J$17,4,0)&amp;"_"&amp;$F$2&amp;", "&amp;E326&amp;" as "&amp;F326&amp;" FROM "&amp;C326&amp;" WHERE "&amp;Instruções!$D$20&amp;") A ",
"(SELECT "&amp;VLOOKUP(B326,Instruções!$F$13:$J$17,4,0)&amp;" as "&amp;VLOOKUP(B326,Instruções!$F$13:$J$17,4,0)&amp;"_"&amp;$F$2&amp;", "&amp;VLOOKUP(B326,Instruções!$F$13:$J$17,5,0)&amp;" as "&amp;VLOOKUP(B326,Instruções!$F$13:$J$17,5,0)&amp;"_"&amp;$F$2&amp;","&amp;E326&amp;" as "&amp;F326&amp;" FROM "&amp;C326&amp;" WHERE "&amp;Instruções!$D$20&amp;") A ")</f>
        <v xml:space="preserve">(SELECT instrmnt_id as instrmnt_id_, type_of_plcmnt as type_of_plcmnt_as_is FROM cd_loan_tapes_bce.lt002_instrument WHERE ref_date='2024-09-30' AND nome_perimetro='Individual Corporativo' AND segmento='ESTR' AND ambito='PM' AND entidade='00100' ) A </v>
      </c>
      <c r="I326" s="75" t="str">
        <f>IF(VLOOKUP(B326,Instruções!$F$13:$J$17,5,0)="",
"(SELECT "&amp;VLOOKUP(B326,Instruções!$F$13:$J$17,4,0)&amp;" as "&amp;VLOOKUP(B326,Instruções!$F$13:$J$17,4,0)&amp;"_"&amp;$G$2&amp;", "&amp;E326&amp;" as "&amp;G326&amp;" FROM "&amp;D326&amp;" WHERE "&amp;Instruções!$D$21&amp;") B ",
"(SELECT "&amp;VLOOKUP(B326,Instruções!$F$13:$J$17,4,0)&amp;" as "&amp;VLOOKUP(B326,Instruções!$F$13:$J$17,4,0)&amp;"_"&amp;$G$2&amp;", "&amp;VLOOKUP(B326,Instruções!$F$13:$J$17,5,0)&amp;" as "&amp;VLOOKUP(B326,Instruções!$F$13:$J$17,5,0)&amp;"_"&amp;$G$2&amp;","&amp;E326&amp;" as "&amp;G326&amp;" FROM "&amp;D326&amp;" WHERE "&amp;Instruções!$D$21&amp;") B ")</f>
        <v xml:space="preserve">(SELECT instrmnt_id as instrmnt_id_, type_of_plcmnt as type_of_plcmnt_to_be FROM bu_loantape_work.lt002_instrument WHERE ref_date='2024-09-30' AND nome_perimetro='Individual Corporativo' AND segmento='ESTR' AND ambito='PM' AND entidade='00100' ) B </v>
      </c>
      <c r="J326" s="75" t="str">
        <f>+IF(VLOOKUP(B326,Instruções!$F$13:$J$17,5,0)="", "ON "&amp;VLOOKUP(B326,Instruções!$F$13:$J$17,4,0)&amp;"_"&amp;$F$7&amp;"="&amp;VLOOKUP(B326,Instruções!$F$13:$J$17,4,0)&amp;"_"&amp;$G$7&amp;" ", "ON "&amp;VLOOKUP(B326,Instruções!$F$13:$J$17,4,0)&amp;"_"&amp;$F$7&amp;"="&amp;VLOOKUP(B326,Instruções!$F$13:$J$17,4,0)&amp;"_"&amp;$G$7&amp;" AND "&amp;VLOOKUP(B326,Instruções!$F$13:$J$17,5,0)&amp;"_"&amp;$F$7&amp;"="&amp;VLOOKUP(B326,Instruções!$F$13:$J$17,5,0)&amp;"_"&amp;$G$7&amp;" ")</f>
        <v xml:space="preserve">ON instrmnt_id_as_is=instrmnt_id_to_be </v>
      </c>
      <c r="K326" s="75" t="str">
        <f t="shared" si="53"/>
        <v xml:space="preserve">WHERE coalesce(cast(type_of_plcmnt_as_is AS string),'')&lt;&gt;coalesce(cast(type_of_plcmnt_to_be AS string),'') </v>
      </c>
      <c r="L326" s="75" t="str">
        <f t="shared" si="54"/>
        <v xml:space="preserve">SELECT count(*) AS NUM_REG_DIF FROM (SELECT instrmnt_id as instrmnt_id_, type_of_plcmnt as type_of_plcmnt_as_is FROM cd_loan_tapes_bce.lt002_instrument WHERE ref_date='2024-09-30' AND nome_perimetro='Individual Corporativo' AND segmento='ESTR' AND ambito='PM' AND entidade='00100' ) A  Inner join (SELECT instrmnt_id as instrmnt_id_, type_of_plcmnt as type_of_plcmnt_to_be FROM bu_loantape_work.lt002_instrument WHERE ref_date='2024-09-30' AND nome_perimetro='Individual Corporativo' AND segmento='ESTR' AND ambito='PM' AND entidade='00100' ) B ON instrmnt_id_as_is=instrmnt_id_to_be WHERE coalesce(cast(type_of_plcmnt_as_is AS string),'')&lt;&gt;coalesce(cast(type_of_plcmnt_to_be AS string),'') </v>
      </c>
      <c r="M326" s="75" t="s">
        <v>55</v>
      </c>
      <c r="N326" s="75" t="str">
        <f>"SELECT 'Validação de campos' as tipologia_teste, '"&amp;VLOOKUP(B326,Instruções!$F$13:$J$17,3,0)&amp;"' AS TABELA, '"&amp;E326&amp;"' AS CAMPO, '"&amp;Instruções!$D$15&amp;"' as ref_date, coalesce(NUM_REG_DIF, 0) AS NUM_REG_DIF FROM ("&amp;L326&amp;") A "</f>
        <v xml:space="preserve">SELECT 'Validação de campos' as tipologia_teste, 'lt002_instrument' AS TABELA, 'type_of_plcmnt' AS CAMPO, '2024-09-30' as ref_date, coalesce(NUM_REG_DIF, 0) AS NUM_REG_DIF FROM (SELECT count(*) AS NUM_REG_DIF FROM (SELECT instrmnt_id as instrmnt_id_, type_of_plcmnt as type_of_plcmnt_as_is FROM cd_loan_tapes_bce.lt002_instrument WHERE ref_date='2024-09-30' AND nome_perimetro='Individual Corporativo' AND segmento='ESTR' AND ambito='PM' AND entidade='00100' ) A  Inner join (SELECT instrmnt_id as instrmnt_id_, type_of_plcmnt as type_of_plcmnt_to_be FROM bu_loantape_work.lt002_instrument WHERE ref_date='2024-09-30' AND nome_perimetro='Individual Corporativo' AND segmento='ESTR' AND ambito='PM' AND entidade='00100' ) B ON instrmnt_id_as_is=instrmnt_id_to_be WHERE coalesce(cast(type_of_plcmnt_as_is AS string),'')&lt;&gt;coalesce(cast(type_of_plcmnt_to_be AS string),'') ) A </v>
      </c>
      <c r="O326" s="76" t="str">
        <f t="shared" si="55"/>
        <v>SELECT 'Validação de campos' as tipologia_teste, 'lt002_instrument' AS TABELA, 'type_of_plcmnt' AS CAMPO, '2024-09-30' as ref_date, coalesce(NUM_REG_DIF, 0) AS NUM_REG_DIF FROM (SELECT count(*) AS NUM_REG_DIF FROM (SELECT instrmnt_id as instrmnt_id_, type_of_plcmnt as type_of_plcmnt_as_is FROM cd_loan_tapes_bce.lt002_instrument WHERE ref_date='2024-09-30' AND nome_perimetro='Individual Corporativo' AND segmento='ESTR' AND ambito='PM' AND entidade='00100' ) A  Inner join (SELECT instrmnt_id as instrmnt_id_, type_of_plcmnt as type_of_plcmnt_to_be FROM bu_loantape_work.lt002_instrument WHERE ref_date='2024-09-30' AND nome_perimetro='Individual Corporativo' AND segmento='ESTR' AND ambito='PM' AND entidade='00100' ) B ON instrmnt_id_as_is=instrmnt_id_to_be WHERE coalesce(cast(type_of_plcmnt_as_is AS string),'')&lt;&gt;coalesce(cast(type_of_plcmnt_to_be AS string),'') ) A Union all</v>
      </c>
      <c r="P326" s="75">
        <f t="shared" si="56"/>
        <v>12</v>
      </c>
    </row>
    <row r="327" spans="2:16" s="63" customFormat="1" ht="18" customHeight="1">
      <c r="B327" s="75" t="s">
        <v>26</v>
      </c>
      <c r="C327" s="75" t="str">
        <f>_xlfn.CONCAT(Instruções!$D$13,".",VLOOKUP(B327,Instruções!$F$12:$H$17,2,0))</f>
        <v>cd_loan_tapes_bce.lt002_instrument</v>
      </c>
      <c r="D327" s="75" t="str">
        <f>_xlfn.CONCAT(Instruções!$D$14,".",VLOOKUP(B327,Instruções!$F$12:$H$17,3,0))</f>
        <v>bu_loantape_work.lt002_instrument</v>
      </c>
      <c r="E327" s="75" t="s">
        <v>352</v>
      </c>
      <c r="F327" s="75" t="str">
        <f t="shared" si="51"/>
        <v>type_off_blnc_prdct_as_is</v>
      </c>
      <c r="G327" s="75" t="str">
        <f t="shared" si="52"/>
        <v>type_off_blnc_prdct_to_be</v>
      </c>
      <c r="H327" s="75" t="str">
        <f>IF(VLOOKUP(B327,Instruções!$F$13:$J$17,5,0)="",
"(SELECT "&amp;VLOOKUP(B327,Instruções!$F$13:$J$17,4,0)&amp;" as "&amp;VLOOKUP(B327,Instruções!$F$13:$J$17,4,0)&amp;"_"&amp;$F$2&amp;", "&amp;E327&amp;" as "&amp;F327&amp;" FROM "&amp;C327&amp;" WHERE "&amp;Instruções!$D$20&amp;") A ",
"(SELECT "&amp;VLOOKUP(B327,Instruções!$F$13:$J$17,4,0)&amp;" as "&amp;VLOOKUP(B327,Instruções!$F$13:$J$17,4,0)&amp;"_"&amp;$F$2&amp;", "&amp;VLOOKUP(B327,Instruções!$F$13:$J$17,5,0)&amp;" as "&amp;VLOOKUP(B327,Instruções!$F$13:$J$17,5,0)&amp;"_"&amp;$F$2&amp;","&amp;E327&amp;" as "&amp;F327&amp;" FROM "&amp;C327&amp;" WHERE "&amp;Instruções!$D$20&amp;") A ")</f>
        <v xml:space="preserve">(SELECT instrmnt_id as instrmnt_id_, type_off_blnc_prdct as type_off_blnc_prdct_as_is FROM cd_loan_tapes_bce.lt002_instrument WHERE ref_date='2024-09-30' AND nome_perimetro='Individual Corporativo' AND segmento='ESTR' AND ambito='PM' AND entidade='00100' ) A </v>
      </c>
      <c r="I327" s="75" t="str">
        <f>IF(VLOOKUP(B327,Instruções!$F$13:$J$17,5,0)="",
"(SELECT "&amp;VLOOKUP(B327,Instruções!$F$13:$J$17,4,0)&amp;" as "&amp;VLOOKUP(B327,Instruções!$F$13:$J$17,4,0)&amp;"_"&amp;$G$2&amp;", "&amp;E327&amp;" as "&amp;G327&amp;" FROM "&amp;D327&amp;" WHERE "&amp;Instruções!$D$21&amp;") B ",
"(SELECT "&amp;VLOOKUP(B327,Instruções!$F$13:$J$17,4,0)&amp;" as "&amp;VLOOKUP(B327,Instruções!$F$13:$J$17,4,0)&amp;"_"&amp;$G$2&amp;", "&amp;VLOOKUP(B327,Instruções!$F$13:$J$17,5,0)&amp;" as "&amp;VLOOKUP(B327,Instruções!$F$13:$J$17,5,0)&amp;"_"&amp;$G$2&amp;","&amp;E327&amp;" as "&amp;G327&amp;" FROM "&amp;D327&amp;" WHERE "&amp;Instruções!$D$21&amp;") B ")</f>
        <v xml:space="preserve">(SELECT instrmnt_id as instrmnt_id_, type_off_blnc_prdct as type_off_blnc_prdct_to_be FROM bu_loantape_work.lt002_instrument WHERE ref_date='2024-09-30' AND nome_perimetro='Individual Corporativo' AND segmento='ESTR' AND ambito='PM' AND entidade='00100' ) B </v>
      </c>
      <c r="J327" s="75" t="str">
        <f>+IF(VLOOKUP(B327,Instruções!$F$13:$J$17,5,0)="", "ON "&amp;VLOOKUP(B327,Instruções!$F$13:$J$17,4,0)&amp;"_"&amp;$F$7&amp;"="&amp;VLOOKUP(B327,Instruções!$F$13:$J$17,4,0)&amp;"_"&amp;$G$7&amp;" ", "ON "&amp;VLOOKUP(B327,Instruções!$F$13:$J$17,4,0)&amp;"_"&amp;$F$7&amp;"="&amp;VLOOKUP(B327,Instruções!$F$13:$J$17,4,0)&amp;"_"&amp;$G$7&amp;" AND "&amp;VLOOKUP(B327,Instruções!$F$13:$J$17,5,0)&amp;"_"&amp;$F$7&amp;"="&amp;VLOOKUP(B327,Instruções!$F$13:$J$17,5,0)&amp;"_"&amp;$G$7&amp;" ")</f>
        <v xml:space="preserve">ON instrmnt_id_as_is=instrmnt_id_to_be </v>
      </c>
      <c r="K327" s="75" t="str">
        <f t="shared" si="53"/>
        <v xml:space="preserve">WHERE coalesce(cast(type_off_blnc_prdct_as_is AS string),'')&lt;&gt;coalesce(cast(type_off_blnc_prdct_to_be AS string),'') </v>
      </c>
      <c r="L327" s="75" t="str">
        <f t="shared" si="54"/>
        <v xml:space="preserve">SELECT count(*) AS NUM_REG_DIF FROM (SELECT instrmnt_id as instrmnt_id_, type_off_blnc_prdct as type_off_blnc_prdct_as_is FROM cd_loan_tapes_bce.lt002_instrument WHERE ref_date='2024-09-30' AND nome_perimetro='Individual Corporativo' AND segmento='ESTR' AND ambito='PM' AND entidade='00100' ) A  Inner join (SELECT instrmnt_id as instrmnt_id_, type_off_blnc_prdct as type_off_blnc_prdct_to_be FROM bu_loantape_work.lt002_instrument WHERE ref_date='2024-09-30' AND nome_perimetro='Individual Corporativo' AND segmento='ESTR' AND ambito='PM' AND entidade='00100' ) B ON instrmnt_id_as_is=instrmnt_id_to_be WHERE coalesce(cast(type_off_blnc_prdct_as_is AS string),'')&lt;&gt;coalesce(cast(type_off_blnc_prdct_to_be AS string),'') </v>
      </c>
      <c r="M327" s="75" t="s">
        <v>55</v>
      </c>
      <c r="N327" s="75" t="str">
        <f>"SELECT 'Validação de campos' as tipologia_teste, '"&amp;VLOOKUP(B327,Instruções!$F$13:$J$17,3,0)&amp;"' AS TABELA, '"&amp;E327&amp;"' AS CAMPO, '"&amp;Instruções!$D$15&amp;"' as ref_date, coalesce(NUM_REG_DIF, 0) AS NUM_REG_DIF FROM ("&amp;L327&amp;") A "</f>
        <v xml:space="preserve">SELECT 'Validação de campos' as tipologia_teste, 'lt002_instrument' AS TABELA, 'type_off_blnc_prdct' AS CAMPO, '2024-09-30' as ref_date, coalesce(NUM_REG_DIF, 0) AS NUM_REG_DIF FROM (SELECT count(*) AS NUM_REG_DIF FROM (SELECT instrmnt_id as instrmnt_id_, type_off_blnc_prdct as type_off_blnc_prdct_as_is FROM cd_loan_tapes_bce.lt002_instrument WHERE ref_date='2024-09-30' AND nome_perimetro='Individual Corporativo' AND segmento='ESTR' AND ambito='PM' AND entidade='00100' ) A  Inner join (SELECT instrmnt_id as instrmnt_id_, type_off_blnc_prdct as type_off_blnc_prdct_to_be FROM bu_loantape_work.lt002_instrument WHERE ref_date='2024-09-30' AND nome_perimetro='Individual Corporativo' AND segmento='ESTR' AND ambito='PM' AND entidade='00100' ) B ON instrmnt_id_as_is=instrmnt_id_to_be WHERE coalesce(cast(type_off_blnc_prdct_as_is AS string),'')&lt;&gt;coalesce(cast(type_off_blnc_prdct_to_be AS string),'') ) A </v>
      </c>
      <c r="O327" s="76" t="str">
        <f t="shared" si="55"/>
        <v>SELECT 'Validação de campos' as tipologia_teste, 'lt002_instrument' AS TABELA, 'type_off_blnc_prdct' AS CAMPO, '2024-09-30' as ref_date, coalesce(NUM_REG_DIF, 0) AS NUM_REG_DIF FROM (SELECT count(*) AS NUM_REG_DIF FROM (SELECT instrmnt_id as instrmnt_id_, type_off_blnc_prdct as type_off_blnc_prdct_as_is FROM cd_loan_tapes_bce.lt002_instrument WHERE ref_date='2024-09-30' AND nome_perimetro='Individual Corporativo' AND segmento='ESTR' AND ambito='PM' AND entidade='00100' ) A  Inner join (SELECT instrmnt_id as instrmnt_id_, type_off_blnc_prdct as type_off_blnc_prdct_to_be FROM bu_loantape_work.lt002_instrument WHERE ref_date='2024-09-30' AND nome_perimetro='Individual Corporativo' AND segmento='ESTR' AND ambito='PM' AND entidade='00100' ) B ON instrmnt_id_as_is=instrmnt_id_to_be WHERE coalesce(cast(type_off_blnc_prdct_as_is AS string),'')&lt;&gt;coalesce(cast(type_off_blnc_prdct_to_be AS string),'') ) A Union all</v>
      </c>
      <c r="P327" s="75">
        <f t="shared" si="56"/>
        <v>13</v>
      </c>
    </row>
    <row r="328" spans="2:16" s="63" customFormat="1" ht="18" customHeight="1">
      <c r="B328" s="75" t="s">
        <v>26</v>
      </c>
      <c r="C328" s="75" t="str">
        <f>_xlfn.CONCAT(Instruções!$D$13,".",VLOOKUP(B328,Instruções!$F$12:$H$17,2,0))</f>
        <v>cd_loan_tapes_bce.lt002_instrument</v>
      </c>
      <c r="D328" s="75" t="str">
        <f>_xlfn.CONCAT(Instruções!$D$14,".",VLOOKUP(B328,Instruções!$F$12:$H$17,3,0))</f>
        <v>bu_loantape_work.lt002_instrument</v>
      </c>
      <c r="E328" s="75" t="s">
        <v>353</v>
      </c>
      <c r="F328" s="75" t="str">
        <f t="shared" si="51"/>
        <v>us_prcds_as_is</v>
      </c>
      <c r="G328" s="75" t="str">
        <f t="shared" si="52"/>
        <v>us_prcds_to_be</v>
      </c>
      <c r="H328" s="75" t="str">
        <f>IF(VLOOKUP(B328,Instruções!$F$13:$J$17,5,0)="",
"(SELECT "&amp;VLOOKUP(B328,Instruções!$F$13:$J$17,4,0)&amp;" as "&amp;VLOOKUP(B328,Instruções!$F$13:$J$17,4,0)&amp;"_"&amp;$F$2&amp;", "&amp;E328&amp;" as "&amp;F328&amp;" FROM "&amp;C328&amp;" WHERE "&amp;Instruções!$D$20&amp;") A ",
"(SELECT "&amp;VLOOKUP(B328,Instruções!$F$13:$J$17,4,0)&amp;" as "&amp;VLOOKUP(B328,Instruções!$F$13:$J$17,4,0)&amp;"_"&amp;$F$2&amp;", "&amp;VLOOKUP(B328,Instruções!$F$13:$J$17,5,0)&amp;" as "&amp;VLOOKUP(B328,Instruções!$F$13:$J$17,5,0)&amp;"_"&amp;$F$2&amp;","&amp;E328&amp;" as "&amp;F328&amp;" FROM "&amp;C328&amp;" WHERE "&amp;Instruções!$D$20&amp;") A ")</f>
        <v xml:space="preserve">(SELECT instrmnt_id as instrmnt_id_, us_prcds as us_prcds_as_is FROM cd_loan_tapes_bce.lt002_instrument WHERE ref_date='2024-09-30' AND nome_perimetro='Individual Corporativo' AND segmento='ESTR' AND ambito='PM' AND entidade='00100' ) A </v>
      </c>
      <c r="I328" s="75" t="str">
        <f>IF(VLOOKUP(B328,Instruções!$F$13:$J$17,5,0)="",
"(SELECT "&amp;VLOOKUP(B328,Instruções!$F$13:$J$17,4,0)&amp;" as "&amp;VLOOKUP(B328,Instruções!$F$13:$J$17,4,0)&amp;"_"&amp;$G$2&amp;", "&amp;E328&amp;" as "&amp;G328&amp;" FROM "&amp;D328&amp;" WHERE "&amp;Instruções!$D$21&amp;") B ",
"(SELECT "&amp;VLOOKUP(B328,Instruções!$F$13:$J$17,4,0)&amp;" as "&amp;VLOOKUP(B328,Instruções!$F$13:$J$17,4,0)&amp;"_"&amp;$G$2&amp;", "&amp;VLOOKUP(B328,Instruções!$F$13:$J$17,5,0)&amp;" as "&amp;VLOOKUP(B328,Instruções!$F$13:$J$17,5,0)&amp;"_"&amp;$G$2&amp;","&amp;E328&amp;" as "&amp;G328&amp;" FROM "&amp;D328&amp;" WHERE "&amp;Instruções!$D$21&amp;") B ")</f>
        <v xml:space="preserve">(SELECT instrmnt_id as instrmnt_id_, us_prcds as us_prcds_to_be FROM bu_loantape_work.lt002_instrument WHERE ref_date='2024-09-30' AND nome_perimetro='Individual Corporativo' AND segmento='ESTR' AND ambito='PM' AND entidade='00100' ) B </v>
      </c>
      <c r="J328" s="75" t="str">
        <f>+IF(VLOOKUP(B328,Instruções!$F$13:$J$17,5,0)="", "ON "&amp;VLOOKUP(B328,Instruções!$F$13:$J$17,4,0)&amp;"_"&amp;$F$7&amp;"="&amp;VLOOKUP(B328,Instruções!$F$13:$J$17,4,0)&amp;"_"&amp;$G$7&amp;" ", "ON "&amp;VLOOKUP(B328,Instruções!$F$13:$J$17,4,0)&amp;"_"&amp;$F$7&amp;"="&amp;VLOOKUP(B328,Instruções!$F$13:$J$17,4,0)&amp;"_"&amp;$G$7&amp;" AND "&amp;VLOOKUP(B328,Instruções!$F$13:$J$17,5,0)&amp;"_"&amp;$F$7&amp;"="&amp;VLOOKUP(B328,Instruções!$F$13:$J$17,5,0)&amp;"_"&amp;$G$7&amp;" ")</f>
        <v xml:space="preserve">ON instrmnt_id_as_is=instrmnt_id_to_be </v>
      </c>
      <c r="K328" s="75" t="str">
        <f t="shared" si="53"/>
        <v xml:space="preserve">WHERE coalesce(cast(us_prcds_as_is AS string),'')&lt;&gt;coalesce(cast(us_prcds_to_be AS string),'') </v>
      </c>
      <c r="L328" s="75" t="str">
        <f t="shared" si="54"/>
        <v xml:space="preserve">SELECT count(*) AS NUM_REG_DIF FROM (SELECT instrmnt_id as instrmnt_id_, us_prcds as us_prcds_as_is FROM cd_loan_tapes_bce.lt002_instrument WHERE ref_date='2024-09-30' AND nome_perimetro='Individual Corporativo' AND segmento='ESTR' AND ambito='PM' AND entidade='00100' ) A  Inner join (SELECT instrmnt_id as instrmnt_id_, us_prcds as us_prcds_to_be FROM bu_loantape_work.lt002_instrument WHERE ref_date='2024-09-30' AND nome_perimetro='Individual Corporativo' AND segmento='ESTR' AND ambito='PM' AND entidade='00100' ) B ON instrmnt_id_as_is=instrmnt_id_to_be WHERE coalesce(cast(us_prcds_as_is AS string),'')&lt;&gt;coalesce(cast(us_prcds_to_be AS string),'') </v>
      </c>
      <c r="M328" s="75" t="s">
        <v>55</v>
      </c>
      <c r="N328" s="75" t="str">
        <f>"SELECT 'Validação de campos' as tipologia_teste, '"&amp;VLOOKUP(B328,Instruções!$F$13:$J$17,3,0)&amp;"' AS TABELA, '"&amp;E328&amp;"' AS CAMPO, '"&amp;Instruções!$D$15&amp;"' as ref_date, coalesce(NUM_REG_DIF, 0) AS NUM_REG_DIF FROM ("&amp;L328&amp;") A "</f>
        <v xml:space="preserve">SELECT 'Validação de campos' as tipologia_teste, 'lt002_instrument' AS TABELA, 'us_prcds' AS CAMPO, '2024-09-30' as ref_date, coalesce(NUM_REG_DIF, 0) AS NUM_REG_DIF FROM (SELECT count(*) AS NUM_REG_DIF FROM (SELECT instrmnt_id as instrmnt_id_, us_prcds as us_prcds_as_is FROM cd_loan_tapes_bce.lt002_instrument WHERE ref_date='2024-09-30' AND nome_perimetro='Individual Corporativo' AND segmento='ESTR' AND ambito='PM' AND entidade='00100' ) A  Inner join (SELECT instrmnt_id as instrmnt_id_, us_prcds as us_prcds_to_be FROM bu_loantape_work.lt002_instrument WHERE ref_date='2024-09-30' AND nome_perimetro='Individual Corporativo' AND segmento='ESTR' AND ambito='PM' AND entidade='00100' ) B ON instrmnt_id_as_is=instrmnt_id_to_be WHERE coalesce(cast(us_prcds_as_is AS string),'')&lt;&gt;coalesce(cast(us_prcds_to_be AS string),'') ) A </v>
      </c>
      <c r="O328" s="76" t="str">
        <f t="shared" si="55"/>
        <v>SELECT 'Validação de campos' as tipologia_teste, 'lt002_instrument' AS TABELA, 'us_prcds' AS CAMPO, '2024-09-30' as ref_date, coalesce(NUM_REG_DIF, 0) AS NUM_REG_DIF FROM (SELECT count(*) AS NUM_REG_DIF FROM (SELECT instrmnt_id as instrmnt_id_, us_prcds as us_prcds_as_is FROM cd_loan_tapes_bce.lt002_instrument WHERE ref_date='2024-09-30' AND nome_perimetro='Individual Corporativo' AND segmento='ESTR' AND ambito='PM' AND entidade='00100' ) A  Inner join (SELECT instrmnt_id as instrmnt_id_, us_prcds as us_prcds_to_be FROM bu_loantape_work.lt002_instrument WHERE ref_date='2024-09-30' AND nome_perimetro='Individual Corporativo' AND segmento='ESTR' AND ambito='PM' AND entidade='00100' ) B ON instrmnt_id_as_is=instrmnt_id_to_be WHERE coalesce(cast(us_prcds_as_is AS string),'')&lt;&gt;coalesce(cast(us_prcds_to_be AS string),'') ) A Union all</v>
      </c>
      <c r="P328" s="75">
        <f t="shared" si="56"/>
        <v>14</v>
      </c>
    </row>
    <row r="329" spans="2:16" s="63" customFormat="1" ht="18" customHeight="1">
      <c r="B329" s="75" t="s">
        <v>26</v>
      </c>
      <c r="C329" s="75" t="str">
        <f>_xlfn.CONCAT(Instruções!$D$13,".",VLOOKUP(B329,Instruções!$F$12:$H$17,2,0))</f>
        <v>cd_loan_tapes_bce.lt002_instrument</v>
      </c>
      <c r="D329" s="75" t="str">
        <f>_xlfn.CONCAT(Instruções!$D$14,".",VLOOKUP(B329,Instruções!$F$12:$H$17,3,0))</f>
        <v>bu_loantape_work.lt002_instrument</v>
      </c>
      <c r="E329" s="75" t="s">
        <v>354</v>
      </c>
      <c r="F329" s="75" t="str">
        <f t="shared" si="51"/>
        <v>vltn_crrncy_as_is</v>
      </c>
      <c r="G329" s="75" t="str">
        <f t="shared" si="52"/>
        <v>vltn_crrncy_to_be</v>
      </c>
      <c r="H329" s="75" t="str">
        <f>IF(VLOOKUP(B329,Instruções!$F$13:$J$17,5,0)="",
"(SELECT "&amp;VLOOKUP(B329,Instruções!$F$13:$J$17,4,0)&amp;" as "&amp;VLOOKUP(B329,Instruções!$F$13:$J$17,4,0)&amp;"_"&amp;$F$2&amp;", "&amp;E329&amp;" as "&amp;F329&amp;" FROM "&amp;C329&amp;" WHERE "&amp;Instruções!$D$20&amp;") A ",
"(SELECT "&amp;VLOOKUP(B329,Instruções!$F$13:$J$17,4,0)&amp;" as "&amp;VLOOKUP(B329,Instruções!$F$13:$J$17,4,0)&amp;"_"&amp;$F$2&amp;", "&amp;VLOOKUP(B329,Instruções!$F$13:$J$17,5,0)&amp;" as "&amp;VLOOKUP(B329,Instruções!$F$13:$J$17,5,0)&amp;"_"&amp;$F$2&amp;","&amp;E329&amp;" as "&amp;F329&amp;" FROM "&amp;C329&amp;" WHERE "&amp;Instruções!$D$20&amp;") A ")</f>
        <v xml:space="preserve">(SELECT instrmnt_id as instrmnt_id_, vltn_crrncy as vltn_crrncy_as_is FROM cd_loan_tapes_bce.lt002_instrument WHERE ref_date='2024-09-30' AND nome_perimetro='Individual Corporativo' AND segmento='ESTR' AND ambito='PM' AND entidade='00100' ) A </v>
      </c>
      <c r="I329" s="75" t="str">
        <f>IF(VLOOKUP(B329,Instruções!$F$13:$J$17,5,0)="",
"(SELECT "&amp;VLOOKUP(B329,Instruções!$F$13:$J$17,4,0)&amp;" as "&amp;VLOOKUP(B329,Instruções!$F$13:$J$17,4,0)&amp;"_"&amp;$G$2&amp;", "&amp;E329&amp;" as "&amp;G329&amp;" FROM "&amp;D329&amp;" WHERE "&amp;Instruções!$D$21&amp;") B ",
"(SELECT "&amp;VLOOKUP(B329,Instruções!$F$13:$J$17,4,0)&amp;" as "&amp;VLOOKUP(B329,Instruções!$F$13:$J$17,4,0)&amp;"_"&amp;$G$2&amp;", "&amp;VLOOKUP(B329,Instruções!$F$13:$J$17,5,0)&amp;" as "&amp;VLOOKUP(B329,Instruções!$F$13:$J$17,5,0)&amp;"_"&amp;$G$2&amp;","&amp;E329&amp;" as "&amp;G329&amp;" FROM "&amp;D329&amp;" WHERE "&amp;Instruções!$D$21&amp;") B ")</f>
        <v xml:space="preserve">(SELECT instrmnt_id as instrmnt_id_, vltn_crrncy as vltn_crrncy_to_be FROM bu_loantape_work.lt002_instrument WHERE ref_date='2024-09-30' AND nome_perimetro='Individual Corporativo' AND segmento='ESTR' AND ambito='PM' AND entidade='00100' ) B </v>
      </c>
      <c r="J329" s="75" t="str">
        <f>+IF(VLOOKUP(B329,Instruções!$F$13:$J$17,5,0)="", "ON "&amp;VLOOKUP(B329,Instruções!$F$13:$J$17,4,0)&amp;"_"&amp;$F$7&amp;"="&amp;VLOOKUP(B329,Instruções!$F$13:$J$17,4,0)&amp;"_"&amp;$G$7&amp;" ", "ON "&amp;VLOOKUP(B329,Instruções!$F$13:$J$17,4,0)&amp;"_"&amp;$F$7&amp;"="&amp;VLOOKUP(B329,Instruções!$F$13:$J$17,4,0)&amp;"_"&amp;$G$7&amp;" AND "&amp;VLOOKUP(B329,Instruções!$F$13:$J$17,5,0)&amp;"_"&amp;$F$7&amp;"="&amp;VLOOKUP(B329,Instruções!$F$13:$J$17,5,0)&amp;"_"&amp;$G$7&amp;" ")</f>
        <v xml:space="preserve">ON instrmnt_id_as_is=instrmnt_id_to_be </v>
      </c>
      <c r="K329" s="75" t="str">
        <f t="shared" si="53"/>
        <v xml:space="preserve">WHERE coalesce(cast(vltn_crrncy_as_is AS string),'')&lt;&gt;coalesce(cast(vltn_crrncy_to_be AS string),'') </v>
      </c>
      <c r="L329" s="75" t="str">
        <f t="shared" si="54"/>
        <v xml:space="preserve">SELECT count(*) AS NUM_REG_DIF FROM (SELECT instrmnt_id as instrmnt_id_, vltn_crrncy as vltn_crrncy_as_is FROM cd_loan_tapes_bce.lt002_instrument WHERE ref_date='2024-09-30' AND nome_perimetro='Individual Corporativo' AND segmento='ESTR' AND ambito='PM' AND entidade='00100' ) A  Inner join (SELECT instrmnt_id as instrmnt_id_, vltn_crrncy as vltn_crrncy_to_be FROM bu_loantape_work.lt002_instrument WHERE ref_date='2024-09-30' AND nome_perimetro='Individual Corporativo' AND segmento='ESTR' AND ambito='PM' AND entidade='00100' ) B ON instrmnt_id_as_is=instrmnt_id_to_be WHERE coalesce(cast(vltn_crrncy_as_is AS string),'')&lt;&gt;coalesce(cast(vltn_crrncy_to_be AS string),'') </v>
      </c>
      <c r="M329" s="75" t="s">
        <v>55</v>
      </c>
      <c r="N329" s="75" t="str">
        <f>"SELECT 'Validação de campos' as tipologia_teste, '"&amp;VLOOKUP(B329,Instruções!$F$13:$J$17,3,0)&amp;"' AS TABELA, '"&amp;E329&amp;"' AS CAMPO, '"&amp;Instruções!$D$15&amp;"' as ref_date, coalesce(NUM_REG_DIF, 0) AS NUM_REG_DIF FROM ("&amp;L329&amp;") A "</f>
        <v xml:space="preserve">SELECT 'Validação de campos' as tipologia_teste, 'lt002_instrument' AS TABELA, 'vltn_crrncy' AS CAMPO, '2024-09-30' as ref_date, coalesce(NUM_REG_DIF, 0) AS NUM_REG_DIF FROM (SELECT count(*) AS NUM_REG_DIF FROM (SELECT instrmnt_id as instrmnt_id_, vltn_crrncy as vltn_crrncy_as_is FROM cd_loan_tapes_bce.lt002_instrument WHERE ref_date='2024-09-30' AND nome_perimetro='Individual Corporativo' AND segmento='ESTR' AND ambito='PM' AND entidade='00100' ) A  Inner join (SELECT instrmnt_id as instrmnt_id_, vltn_crrncy as vltn_crrncy_to_be FROM bu_loantape_work.lt002_instrument WHERE ref_date='2024-09-30' AND nome_perimetro='Individual Corporativo' AND segmento='ESTR' AND ambito='PM' AND entidade='00100' ) B ON instrmnt_id_as_is=instrmnt_id_to_be WHERE coalesce(cast(vltn_crrncy_as_is AS string),'')&lt;&gt;coalesce(cast(vltn_crrncy_to_be AS string),'') ) A </v>
      </c>
      <c r="O329" s="76" t="str">
        <f t="shared" si="55"/>
        <v>SELECT 'Validação de campos' as tipologia_teste, 'lt002_instrument' AS TABELA, 'vltn_crrncy' AS CAMPO, '2024-09-30' as ref_date, coalesce(NUM_REG_DIF, 0) AS NUM_REG_DIF FROM (SELECT count(*) AS NUM_REG_DIF FROM (SELECT instrmnt_id as instrmnt_id_, vltn_crrncy as vltn_crrncy_as_is FROM cd_loan_tapes_bce.lt002_instrument WHERE ref_date='2024-09-30' AND nome_perimetro='Individual Corporativo' AND segmento='ESTR' AND ambito='PM' AND entidade='00100' ) A  Inner join (SELECT instrmnt_id as instrmnt_id_, vltn_crrncy as vltn_crrncy_to_be FROM bu_loantape_work.lt002_instrument WHERE ref_date='2024-09-30' AND nome_perimetro='Individual Corporativo' AND segmento='ESTR' AND ambito='PM' AND entidade='00100' ) B ON instrmnt_id_as_is=instrmnt_id_to_be WHERE coalesce(cast(vltn_crrncy_as_is AS string),'')&lt;&gt;coalesce(cast(vltn_crrncy_to_be AS string),'') ) A Union all</v>
      </c>
      <c r="P329" s="75">
        <f t="shared" si="56"/>
        <v>15</v>
      </c>
    </row>
    <row r="330" spans="2:16" s="63" customFormat="1" ht="18" customHeight="1">
      <c r="B330" s="75" t="s">
        <v>26</v>
      </c>
      <c r="C330" s="75" t="str">
        <f>_xlfn.CONCAT(Instruções!$D$13,".",VLOOKUP(B330,Instruções!$F$12:$H$17,2,0))</f>
        <v>cd_loan_tapes_bce.lt002_instrument</v>
      </c>
      <c r="D330" s="75" t="str">
        <f>_xlfn.CONCAT(Instruções!$D$14,".",VLOOKUP(B330,Instruções!$F$12:$H$17,3,0))</f>
        <v>bu_loantape_work.lt002_instrument</v>
      </c>
      <c r="E330" s="75" t="s">
        <v>355</v>
      </c>
      <c r="F330" s="75" t="str">
        <f t="shared" si="51"/>
        <v>vltn_typ_as_is</v>
      </c>
      <c r="G330" s="75" t="str">
        <f t="shared" si="52"/>
        <v>vltn_typ_to_be</v>
      </c>
      <c r="H330" s="75" t="str">
        <f>IF(VLOOKUP(B330,Instruções!$F$13:$J$17,5,0)="",
"(SELECT "&amp;VLOOKUP(B330,Instruções!$F$13:$J$17,4,0)&amp;" as "&amp;VLOOKUP(B330,Instruções!$F$13:$J$17,4,0)&amp;"_"&amp;$F$2&amp;", "&amp;E330&amp;" as "&amp;F330&amp;" FROM "&amp;C330&amp;" WHERE "&amp;Instruções!$D$20&amp;") A ",
"(SELECT "&amp;VLOOKUP(B330,Instruções!$F$13:$J$17,4,0)&amp;" as "&amp;VLOOKUP(B330,Instruções!$F$13:$J$17,4,0)&amp;"_"&amp;$F$2&amp;", "&amp;VLOOKUP(B330,Instruções!$F$13:$J$17,5,0)&amp;" as "&amp;VLOOKUP(B330,Instruções!$F$13:$J$17,5,0)&amp;"_"&amp;$F$2&amp;","&amp;E330&amp;" as "&amp;F330&amp;" FROM "&amp;C330&amp;" WHERE "&amp;Instruções!$D$20&amp;") A ")</f>
        <v xml:space="preserve">(SELECT instrmnt_id as instrmnt_id_, vltn_typ as vltn_typ_as_is FROM cd_loan_tapes_bce.lt002_instrument WHERE ref_date='2024-09-30' AND nome_perimetro='Individual Corporativo' AND segmento='ESTR' AND ambito='PM' AND entidade='00100' ) A </v>
      </c>
      <c r="I330" s="75" t="str">
        <f>IF(VLOOKUP(B330,Instruções!$F$13:$J$17,5,0)="",
"(SELECT "&amp;VLOOKUP(B330,Instruções!$F$13:$J$17,4,0)&amp;" as "&amp;VLOOKUP(B330,Instruções!$F$13:$J$17,4,0)&amp;"_"&amp;$G$2&amp;", "&amp;E330&amp;" as "&amp;G330&amp;" FROM "&amp;D330&amp;" WHERE "&amp;Instruções!$D$21&amp;") B ",
"(SELECT "&amp;VLOOKUP(B330,Instruções!$F$13:$J$17,4,0)&amp;" as "&amp;VLOOKUP(B330,Instruções!$F$13:$J$17,4,0)&amp;"_"&amp;$G$2&amp;", "&amp;VLOOKUP(B330,Instruções!$F$13:$J$17,5,0)&amp;" as "&amp;VLOOKUP(B330,Instruções!$F$13:$J$17,5,0)&amp;"_"&amp;$G$2&amp;","&amp;E330&amp;" as "&amp;G330&amp;" FROM "&amp;D330&amp;" WHERE "&amp;Instruções!$D$21&amp;") B ")</f>
        <v xml:space="preserve">(SELECT instrmnt_id as instrmnt_id_, vltn_typ as vltn_typ_to_be FROM bu_loantape_work.lt002_instrument WHERE ref_date='2024-09-30' AND nome_perimetro='Individual Corporativo' AND segmento='ESTR' AND ambito='PM' AND entidade='00100' ) B </v>
      </c>
      <c r="J330" s="75" t="str">
        <f>+IF(VLOOKUP(B330,Instruções!$F$13:$J$17,5,0)="", "ON "&amp;VLOOKUP(B330,Instruções!$F$13:$J$17,4,0)&amp;"_"&amp;$F$7&amp;"="&amp;VLOOKUP(B330,Instruções!$F$13:$J$17,4,0)&amp;"_"&amp;$G$7&amp;" ", "ON "&amp;VLOOKUP(B330,Instruções!$F$13:$J$17,4,0)&amp;"_"&amp;$F$7&amp;"="&amp;VLOOKUP(B330,Instruções!$F$13:$J$17,4,0)&amp;"_"&amp;$G$7&amp;" AND "&amp;VLOOKUP(B330,Instruções!$F$13:$J$17,5,0)&amp;"_"&amp;$F$7&amp;"="&amp;VLOOKUP(B330,Instruções!$F$13:$J$17,5,0)&amp;"_"&amp;$G$7&amp;" ")</f>
        <v xml:space="preserve">ON instrmnt_id_as_is=instrmnt_id_to_be </v>
      </c>
      <c r="K330" s="75" t="str">
        <f t="shared" si="53"/>
        <v xml:space="preserve">WHERE coalesce(cast(vltn_typ_as_is AS string),'')&lt;&gt;coalesce(cast(vltn_typ_to_be AS string),'') </v>
      </c>
      <c r="L330" s="75" t="str">
        <f t="shared" si="54"/>
        <v xml:space="preserve">SELECT count(*) AS NUM_REG_DIF FROM (SELECT instrmnt_id as instrmnt_id_, vltn_typ as vltn_typ_as_is FROM cd_loan_tapes_bce.lt002_instrument WHERE ref_date='2024-09-30' AND nome_perimetro='Individual Corporativo' AND segmento='ESTR' AND ambito='PM' AND entidade='00100' ) A  Inner join (SELECT instrmnt_id as instrmnt_id_, vltn_typ as vltn_typ_to_be FROM bu_loantape_work.lt002_instrument WHERE ref_date='2024-09-30' AND nome_perimetro='Individual Corporativo' AND segmento='ESTR' AND ambito='PM' AND entidade='00100' ) B ON instrmnt_id_as_is=instrmnt_id_to_be WHERE coalesce(cast(vltn_typ_as_is AS string),'')&lt;&gt;coalesce(cast(vltn_typ_to_be AS string),'') </v>
      </c>
      <c r="M330" s="75" t="s">
        <v>55</v>
      </c>
      <c r="N330" s="75" t="str">
        <f>"SELECT 'Validação de campos' as tipologia_teste, '"&amp;VLOOKUP(B330,Instruções!$F$13:$J$17,3,0)&amp;"' AS TABELA, '"&amp;E330&amp;"' AS CAMPO, '"&amp;Instruções!$D$15&amp;"' as ref_date, coalesce(NUM_REG_DIF, 0) AS NUM_REG_DIF FROM ("&amp;L330&amp;") A "</f>
        <v xml:space="preserve">SELECT 'Validação de campos' as tipologia_teste, 'lt002_instrument' AS TABELA, 'vltn_typ' AS CAMPO, '2024-09-30' as ref_date, coalesce(NUM_REG_DIF, 0) AS NUM_REG_DIF FROM (SELECT count(*) AS NUM_REG_DIF FROM (SELECT instrmnt_id as instrmnt_id_, vltn_typ as vltn_typ_as_is FROM cd_loan_tapes_bce.lt002_instrument WHERE ref_date='2024-09-30' AND nome_perimetro='Individual Corporativo' AND segmento='ESTR' AND ambito='PM' AND entidade='00100' ) A  Inner join (SELECT instrmnt_id as instrmnt_id_, vltn_typ as vltn_typ_to_be FROM bu_loantape_work.lt002_instrument WHERE ref_date='2024-09-30' AND nome_perimetro='Individual Corporativo' AND segmento='ESTR' AND ambito='PM' AND entidade='00100' ) B ON instrmnt_id_as_is=instrmnt_id_to_be WHERE coalesce(cast(vltn_typ_as_is AS string),'')&lt;&gt;coalesce(cast(vltn_typ_to_be AS string),'') ) A </v>
      </c>
      <c r="O330" s="76" t="str">
        <f t="shared" si="55"/>
        <v>SELECT 'Validação de campos' as tipologia_teste, 'lt002_instrument' AS TABELA, 'vltn_typ' AS CAMPO, '2024-09-30' as ref_date, coalesce(NUM_REG_DIF, 0) AS NUM_REG_DIF FROM (SELECT count(*) AS NUM_REG_DIF FROM (SELECT instrmnt_id as instrmnt_id_, vltn_typ as vltn_typ_as_is FROM cd_loan_tapes_bce.lt002_instrument WHERE ref_date='2024-09-30' AND nome_perimetro='Individual Corporativo' AND segmento='ESTR' AND ambito='PM' AND entidade='00100' ) A  Inner join (SELECT instrmnt_id as instrmnt_id_, vltn_typ as vltn_typ_to_be FROM bu_loantape_work.lt002_instrument WHERE ref_date='2024-09-30' AND nome_perimetro='Individual Corporativo' AND segmento='ESTR' AND ambito='PM' AND entidade='00100' ) B ON instrmnt_id_as_is=instrmnt_id_to_be WHERE coalesce(cast(vltn_typ_as_is AS string),'')&lt;&gt;coalesce(cast(vltn_typ_to_be AS string),'') ) A Union all</v>
      </c>
      <c r="P330" s="75">
        <f t="shared" si="56"/>
        <v>16</v>
      </c>
    </row>
    <row r="331" spans="2:16" s="63" customFormat="1" ht="18" customHeight="1">
      <c r="B331" s="75" t="s">
        <v>30</v>
      </c>
      <c r="C331" s="75" t="str">
        <f>_xlfn.CONCAT(Instruções!$D$13,".",VLOOKUP(B331,Instruções!$F$12:$H$17,2,0))</f>
        <v>cd_loan_tapes_bce.lt004_protection</v>
      </c>
      <c r="D331" s="75" t="str">
        <f>_xlfn.CONCAT(Instruções!$D$14,".",VLOOKUP(B331,Instruções!$F$12:$H$17,3,0))</f>
        <v>bu_loantape_work.lt004_protection</v>
      </c>
      <c r="E331" s="75" t="s">
        <v>356</v>
      </c>
      <c r="F331" s="75" t="str">
        <f t="shared" si="51"/>
        <v>apprsl_crrncy_as_is</v>
      </c>
      <c r="G331" s="75" t="str">
        <f t="shared" si="52"/>
        <v>apprsl_crrncy_to_be</v>
      </c>
      <c r="H331" s="75" t="str">
        <f>IF(VLOOKUP(B331,Instruções!$F$13:$J$17,5,0)="",
"(SELECT "&amp;VLOOKUP(B331,Instruções!$F$13:$J$17,4,0)&amp;" as "&amp;VLOOKUP(B331,Instruções!$F$13:$J$17,4,0)&amp;"_"&amp;$F$2&amp;", "&amp;E331&amp;" as "&amp;F331&amp;" FROM "&amp;C331&amp;" WHERE "&amp;Instruções!$D$20&amp;") A ",
"(SELECT "&amp;VLOOKUP(B331,Instruções!$F$13:$J$17,4,0)&amp;" as "&amp;VLOOKUP(B331,Instruções!$F$13:$J$17,4,0)&amp;"_"&amp;$F$2&amp;", "&amp;VLOOKUP(B331,Instruções!$F$13:$J$17,5,0)&amp;" as "&amp;VLOOKUP(B331,Instruções!$F$13:$J$17,5,0)&amp;"_"&amp;$F$2&amp;","&amp;E331&amp;" as "&amp;F331&amp;" FROM "&amp;C331&amp;" WHERE "&amp;Instruções!$D$20&amp;") A ")</f>
        <v xml:space="preserve">(SELECT prtctn_id as prtctn_id_, apprsl_crrncy as apprsl_crrncy_as_is FROM cd_loan_tapes_bce.lt004_protection WHERE ref_date='2024-09-30' AND nome_perimetro='Individual Corporativo' AND segmento='ESTR' AND ambito='PM' AND entidade='00100' ) A </v>
      </c>
      <c r="I331" s="75" t="str">
        <f>IF(VLOOKUP(B331,Instruções!$F$13:$J$17,5,0)="",
"(SELECT "&amp;VLOOKUP(B331,Instruções!$F$13:$J$17,4,0)&amp;" as "&amp;VLOOKUP(B331,Instruções!$F$13:$J$17,4,0)&amp;"_"&amp;$G$2&amp;", "&amp;E331&amp;" as "&amp;G331&amp;" FROM "&amp;D331&amp;" WHERE "&amp;Instruções!$D$21&amp;") B ",
"(SELECT "&amp;VLOOKUP(B331,Instruções!$F$13:$J$17,4,0)&amp;" as "&amp;VLOOKUP(B331,Instruções!$F$13:$J$17,4,0)&amp;"_"&amp;$G$2&amp;", "&amp;VLOOKUP(B331,Instruções!$F$13:$J$17,5,0)&amp;" as "&amp;VLOOKUP(B331,Instruções!$F$13:$J$17,5,0)&amp;"_"&amp;$G$2&amp;","&amp;E331&amp;" as "&amp;G331&amp;" FROM "&amp;D331&amp;" WHERE "&amp;Instruções!$D$21&amp;") B ")</f>
        <v xml:space="preserve">(SELECT prtctn_id as prtctn_id_, apprsl_crrncy as apprsl_crrncy_to_be FROM bu_loantape_work.lt004_protection WHERE ref_date='2024-09-30' AND nome_perimetro='Individual Corporativo' AND segmento='ESTR' AND ambito='PM' AND entidade='00100' ) B </v>
      </c>
      <c r="J331" s="75" t="str">
        <f>+IF(VLOOKUP(B331,Instruções!$F$13:$J$17,5,0)="", "ON "&amp;VLOOKUP(B331,Instruções!$F$13:$J$17,4,0)&amp;"_"&amp;$F$7&amp;"="&amp;VLOOKUP(B331,Instruções!$F$13:$J$17,4,0)&amp;"_"&amp;$G$7&amp;" ", "ON "&amp;VLOOKUP(B331,Instruções!$F$13:$J$17,4,0)&amp;"_"&amp;$F$7&amp;"="&amp;VLOOKUP(B331,Instruções!$F$13:$J$17,4,0)&amp;"_"&amp;$G$7&amp;" AND "&amp;VLOOKUP(B331,Instruções!$F$13:$J$17,5,0)&amp;"_"&amp;$F$7&amp;"="&amp;VLOOKUP(B331,Instruções!$F$13:$J$17,5,0)&amp;"_"&amp;$G$7&amp;" ")</f>
        <v xml:space="preserve">ON prtctn_id_as_is=prtctn_id_to_be </v>
      </c>
      <c r="K331" s="75" t="str">
        <f t="shared" si="53"/>
        <v xml:space="preserve">WHERE coalesce(cast(apprsl_crrncy_as_is AS string),'')&lt;&gt;coalesce(cast(apprsl_crrncy_to_be AS string),'') </v>
      </c>
      <c r="L331" s="75" t="str">
        <f t="shared" si="54"/>
        <v xml:space="preserve">SELECT count(*) AS NUM_REG_DIF FROM (SELECT prtctn_id as prtctn_id_, apprsl_crrncy as apprsl_crrncy_as_is FROM cd_loan_tapes_bce.lt004_protection WHERE ref_date='2024-09-30' AND nome_perimetro='Individual Corporativo' AND segmento='ESTR' AND ambito='PM' AND entidade='00100' ) A  Inner join (SELECT prtctn_id as prtctn_id_, apprsl_crrncy as apprsl_crrncy_to_be FROM bu_loantape_work.lt004_protection WHERE ref_date='2024-09-30' AND nome_perimetro='Individual Corporativo' AND segmento='ESTR' AND ambito='PM' AND entidade='00100' ) B ON prtctn_id_as_is=prtctn_id_to_be WHERE coalesce(cast(apprsl_crrncy_as_is AS string),'')&lt;&gt;coalesce(cast(apprsl_crrncy_to_be AS string),'') </v>
      </c>
      <c r="M331" s="75" t="s">
        <v>55</v>
      </c>
      <c r="N331" s="75" t="str">
        <f>"SELECT 'Validação de campos' as tipologia_teste, '"&amp;VLOOKUP(B331,Instruções!$F$13:$J$17,3,0)&amp;"' AS TABELA, '"&amp;E331&amp;"' AS CAMPO, '"&amp;Instruções!$D$15&amp;"' as ref_date, coalesce(NUM_REG_DIF, 0) AS NUM_REG_DIF FROM ("&amp;L331&amp;") A "</f>
        <v xml:space="preserve">SELECT 'Validação de campos' as tipologia_teste, 'lt004_protection' AS TABELA, 'apprsl_crrncy' AS CAMPO, '2024-09-30' as ref_date, coalesce(NUM_REG_DIF, 0) AS NUM_REG_DIF FROM (SELECT count(*) AS NUM_REG_DIF FROM (SELECT prtctn_id as prtctn_id_, apprsl_crrncy as apprsl_crrncy_as_is FROM cd_loan_tapes_bce.lt004_protection WHERE ref_date='2024-09-30' AND nome_perimetro='Individual Corporativo' AND segmento='ESTR' AND ambito='PM' AND entidade='00100' ) A  Inner join (SELECT prtctn_id as prtctn_id_, apprsl_crrncy as apprsl_crrncy_to_be FROM bu_loantape_work.lt004_protection WHERE ref_date='2024-09-30' AND nome_perimetro='Individual Corporativo' AND segmento='ESTR' AND ambito='PM' AND entidade='00100' ) B ON prtctn_id_as_is=prtctn_id_to_be WHERE coalesce(cast(apprsl_crrncy_as_is AS string),'')&lt;&gt;coalesce(cast(apprsl_crrncy_to_be AS string),'') ) A </v>
      </c>
      <c r="O331" s="76" t="str">
        <f t="shared" si="55"/>
        <v>SELECT 'Validação de campos' as tipologia_teste, 'lt004_protection' AS TABELA, 'apprsl_crrncy' AS CAMPO, '2024-09-30' as ref_date, coalesce(NUM_REG_DIF, 0) AS NUM_REG_DIF FROM (SELECT count(*) AS NUM_REG_DIF FROM (SELECT prtctn_id as prtctn_id_, apprsl_crrncy as apprsl_crrncy_as_is FROM cd_loan_tapes_bce.lt004_protection WHERE ref_date='2024-09-30' AND nome_perimetro='Individual Corporativo' AND segmento='ESTR' AND ambito='PM' AND entidade='00100' ) A  Inner join (SELECT prtctn_id as prtctn_id_, apprsl_crrncy as apprsl_crrncy_to_be FROM bu_loantape_work.lt004_protection WHERE ref_date='2024-09-30' AND nome_perimetro='Individual Corporativo' AND segmento='ESTR' AND ambito='PM' AND entidade='00100' ) B ON prtctn_id_as_is=prtctn_id_to_be WHERE coalesce(cast(apprsl_crrncy_as_is AS string),'')&lt;&gt;coalesce(cast(apprsl_crrncy_to_be AS string),'') ) A Union all</v>
      </c>
      <c r="P331" s="75">
        <f t="shared" si="56"/>
        <v>17</v>
      </c>
    </row>
    <row r="332" spans="2:16" s="63" customFormat="1" ht="18" customHeight="1">
      <c r="B332" s="75" t="s">
        <v>30</v>
      </c>
      <c r="C332" s="75" t="str">
        <f>_xlfn.CONCAT(Instruções!$D$13,".",VLOOKUP(B332,Instruções!$F$12:$H$17,2,0))</f>
        <v>cd_loan_tapes_bce.lt004_protection</v>
      </c>
      <c r="D332" s="75" t="str">
        <f>_xlfn.CONCAT(Instruções!$D$14,".",VLOOKUP(B332,Instruções!$F$12:$H$17,3,0))</f>
        <v>bu_loantape_work.lt004_protection</v>
      </c>
      <c r="E332" s="75" t="s">
        <v>357</v>
      </c>
      <c r="F332" s="75" t="str">
        <f t="shared" si="51"/>
        <v>apprsr_as_is</v>
      </c>
      <c r="G332" s="75" t="str">
        <f t="shared" si="52"/>
        <v>apprsr_to_be</v>
      </c>
      <c r="H332" s="75" t="str">
        <f>IF(VLOOKUP(B332,Instruções!$F$13:$J$17,5,0)="",
"(SELECT "&amp;VLOOKUP(B332,Instruções!$F$13:$J$17,4,0)&amp;" as "&amp;VLOOKUP(B332,Instruções!$F$13:$J$17,4,0)&amp;"_"&amp;$F$2&amp;", "&amp;E332&amp;" as "&amp;F332&amp;" FROM "&amp;C332&amp;" WHERE "&amp;Instruções!$D$20&amp;") A ",
"(SELECT "&amp;VLOOKUP(B332,Instruções!$F$13:$J$17,4,0)&amp;" as "&amp;VLOOKUP(B332,Instruções!$F$13:$J$17,4,0)&amp;"_"&amp;$F$2&amp;", "&amp;VLOOKUP(B332,Instruções!$F$13:$J$17,5,0)&amp;" as "&amp;VLOOKUP(B332,Instruções!$F$13:$J$17,5,0)&amp;"_"&amp;$F$2&amp;","&amp;E332&amp;" as "&amp;F332&amp;" FROM "&amp;C332&amp;" WHERE "&amp;Instruções!$D$20&amp;") A ")</f>
        <v xml:space="preserve">(SELECT prtctn_id as prtctn_id_, apprsr as apprsr_as_is FROM cd_loan_tapes_bce.lt004_protection WHERE ref_date='2024-09-30' AND nome_perimetro='Individual Corporativo' AND segmento='ESTR' AND ambito='PM' AND entidade='00100' ) A </v>
      </c>
      <c r="I332" s="75" t="str">
        <f>IF(VLOOKUP(B332,Instruções!$F$13:$J$17,5,0)="",
"(SELECT "&amp;VLOOKUP(B332,Instruções!$F$13:$J$17,4,0)&amp;" as "&amp;VLOOKUP(B332,Instruções!$F$13:$J$17,4,0)&amp;"_"&amp;$G$2&amp;", "&amp;E332&amp;" as "&amp;G332&amp;" FROM "&amp;D332&amp;" WHERE "&amp;Instruções!$D$21&amp;") B ",
"(SELECT "&amp;VLOOKUP(B332,Instruções!$F$13:$J$17,4,0)&amp;" as "&amp;VLOOKUP(B332,Instruções!$F$13:$J$17,4,0)&amp;"_"&amp;$G$2&amp;", "&amp;VLOOKUP(B332,Instruções!$F$13:$J$17,5,0)&amp;" as "&amp;VLOOKUP(B332,Instruções!$F$13:$J$17,5,0)&amp;"_"&amp;$G$2&amp;","&amp;E332&amp;" as "&amp;G332&amp;" FROM "&amp;D332&amp;" WHERE "&amp;Instruções!$D$21&amp;") B ")</f>
        <v xml:space="preserve">(SELECT prtctn_id as prtctn_id_, apprsr as apprsr_to_be FROM bu_loantape_work.lt004_protection WHERE ref_date='2024-09-30' AND nome_perimetro='Individual Corporativo' AND segmento='ESTR' AND ambito='PM' AND entidade='00100' ) B </v>
      </c>
      <c r="J332" s="75" t="str">
        <f>+IF(VLOOKUP(B332,Instruções!$F$13:$J$17,5,0)="", "ON "&amp;VLOOKUP(B332,Instruções!$F$13:$J$17,4,0)&amp;"_"&amp;$F$7&amp;"="&amp;VLOOKUP(B332,Instruções!$F$13:$J$17,4,0)&amp;"_"&amp;$G$7&amp;" ", "ON "&amp;VLOOKUP(B332,Instruções!$F$13:$J$17,4,0)&amp;"_"&amp;$F$7&amp;"="&amp;VLOOKUP(B332,Instruções!$F$13:$J$17,4,0)&amp;"_"&amp;$G$7&amp;" AND "&amp;VLOOKUP(B332,Instruções!$F$13:$J$17,5,0)&amp;"_"&amp;$F$7&amp;"="&amp;VLOOKUP(B332,Instruções!$F$13:$J$17,5,0)&amp;"_"&amp;$G$7&amp;" ")</f>
        <v xml:space="preserve">ON prtctn_id_as_is=prtctn_id_to_be </v>
      </c>
      <c r="K332" s="75" t="str">
        <f t="shared" si="53"/>
        <v xml:space="preserve">WHERE coalesce(cast(apprsr_as_is AS string),'')&lt;&gt;coalesce(cast(apprsr_to_be AS string),'') </v>
      </c>
      <c r="L332" s="75" t="str">
        <f t="shared" si="54"/>
        <v xml:space="preserve">SELECT count(*) AS NUM_REG_DIF FROM (SELECT prtctn_id as prtctn_id_, apprsr as apprsr_as_is FROM cd_loan_tapes_bce.lt004_protection WHERE ref_date='2024-09-30' AND nome_perimetro='Individual Corporativo' AND segmento='ESTR' AND ambito='PM' AND entidade='00100' ) A  Inner join (SELECT prtctn_id as prtctn_id_, apprsr as apprsr_to_be FROM bu_loantape_work.lt004_protection WHERE ref_date='2024-09-30' AND nome_perimetro='Individual Corporativo' AND segmento='ESTR' AND ambito='PM' AND entidade='00100' ) B ON prtctn_id_as_is=prtctn_id_to_be WHERE coalesce(cast(apprsr_as_is AS string),'')&lt;&gt;coalesce(cast(apprsr_to_be AS string),'') </v>
      </c>
      <c r="M332" s="75" t="s">
        <v>55</v>
      </c>
      <c r="N332" s="75" t="str">
        <f>"SELECT 'Validação de campos' as tipologia_teste, '"&amp;VLOOKUP(B332,Instruções!$F$13:$J$17,3,0)&amp;"' AS TABELA, '"&amp;E332&amp;"' AS CAMPO, '"&amp;Instruções!$D$15&amp;"' as ref_date, coalesce(NUM_REG_DIF, 0) AS NUM_REG_DIF FROM ("&amp;L332&amp;") A "</f>
        <v xml:space="preserve">SELECT 'Validação de campos' as tipologia_teste, 'lt004_protection' AS TABELA, 'apprsr' AS CAMPO, '2024-09-30' as ref_date, coalesce(NUM_REG_DIF, 0) AS NUM_REG_DIF FROM (SELECT count(*) AS NUM_REG_DIF FROM (SELECT prtctn_id as prtctn_id_, apprsr as apprsr_as_is FROM cd_loan_tapes_bce.lt004_protection WHERE ref_date='2024-09-30' AND nome_perimetro='Individual Corporativo' AND segmento='ESTR' AND ambito='PM' AND entidade='00100' ) A  Inner join (SELECT prtctn_id as prtctn_id_, apprsr as apprsr_to_be FROM bu_loantape_work.lt004_protection WHERE ref_date='2024-09-30' AND nome_perimetro='Individual Corporativo' AND segmento='ESTR' AND ambito='PM' AND entidade='00100' ) B ON prtctn_id_as_is=prtctn_id_to_be WHERE coalesce(cast(apprsr_as_is AS string),'')&lt;&gt;coalesce(cast(apprsr_to_be AS string),'') ) A </v>
      </c>
      <c r="O332" s="76" t="str">
        <f t="shared" si="55"/>
        <v>SELECT 'Validação de campos' as tipologia_teste, 'lt004_protection' AS TABELA, 'apprsr' AS CAMPO, '2024-09-30' as ref_date, coalesce(NUM_REG_DIF, 0) AS NUM_REG_DIF FROM (SELECT count(*) AS NUM_REG_DIF FROM (SELECT prtctn_id as prtctn_id_, apprsr as apprsr_as_is FROM cd_loan_tapes_bce.lt004_protection WHERE ref_date='2024-09-30' AND nome_perimetro='Individual Corporativo' AND segmento='ESTR' AND ambito='PM' AND entidade='00100' ) A  Inner join (SELECT prtctn_id as prtctn_id_, apprsr as apprsr_to_be FROM bu_loantape_work.lt004_protection WHERE ref_date='2024-09-30' AND nome_perimetro='Individual Corporativo' AND segmento='ESTR' AND ambito='PM' AND entidade='00100' ) B ON prtctn_id_as_is=prtctn_id_to_be WHERE coalesce(cast(apprsr_as_is AS string),'')&lt;&gt;coalesce(cast(apprsr_to_be AS string),'') ) A Union all</v>
      </c>
      <c r="P332" s="75">
        <f t="shared" si="56"/>
        <v>18</v>
      </c>
    </row>
    <row r="333" spans="2:16" s="63" customFormat="1" ht="18" customHeight="1">
      <c r="B333" s="75" t="s">
        <v>30</v>
      </c>
      <c r="C333" s="75" t="str">
        <f>_xlfn.CONCAT(Instruções!$D$13,".",VLOOKUP(B333,Instruções!$F$12:$H$17,2,0))</f>
        <v>cd_loan_tapes_bce.lt004_protection</v>
      </c>
      <c r="D333" s="75" t="str">
        <f>_xlfn.CONCAT(Instruções!$D$14,".",VLOOKUP(B333,Instruções!$F$12:$H$17,3,0))</f>
        <v>bu_loantape_work.lt004_protection</v>
      </c>
      <c r="E333" s="75" t="s">
        <v>358</v>
      </c>
      <c r="F333" s="75" t="str">
        <f t="shared" si="51"/>
        <v>cnstrctn_stts_as_is</v>
      </c>
      <c r="G333" s="75" t="str">
        <f t="shared" si="52"/>
        <v>cnstrctn_stts_to_be</v>
      </c>
      <c r="H333" s="75" t="str">
        <f>IF(VLOOKUP(B333,Instruções!$F$13:$J$17,5,0)="",
"(SELECT "&amp;VLOOKUP(B333,Instruções!$F$13:$J$17,4,0)&amp;" as "&amp;VLOOKUP(B333,Instruções!$F$13:$J$17,4,0)&amp;"_"&amp;$F$2&amp;", "&amp;E333&amp;" as "&amp;F333&amp;" FROM "&amp;C333&amp;" WHERE "&amp;Instruções!$D$20&amp;") A ",
"(SELECT "&amp;VLOOKUP(B333,Instruções!$F$13:$J$17,4,0)&amp;" as "&amp;VLOOKUP(B333,Instruções!$F$13:$J$17,4,0)&amp;"_"&amp;$F$2&amp;", "&amp;VLOOKUP(B333,Instruções!$F$13:$J$17,5,0)&amp;" as "&amp;VLOOKUP(B333,Instruções!$F$13:$J$17,5,0)&amp;"_"&amp;$F$2&amp;","&amp;E333&amp;" as "&amp;F333&amp;" FROM "&amp;C333&amp;" WHERE "&amp;Instruções!$D$20&amp;") A ")</f>
        <v xml:space="preserve">(SELECT prtctn_id as prtctn_id_, cnstrctn_stts as cnstrctn_stts_as_is FROM cd_loan_tapes_bce.lt004_protection WHERE ref_date='2024-09-30' AND nome_perimetro='Individual Corporativo' AND segmento='ESTR' AND ambito='PM' AND entidade='00100' ) A </v>
      </c>
      <c r="I333" s="75" t="str">
        <f>IF(VLOOKUP(B333,Instruções!$F$13:$J$17,5,0)="",
"(SELECT "&amp;VLOOKUP(B333,Instruções!$F$13:$J$17,4,0)&amp;" as "&amp;VLOOKUP(B333,Instruções!$F$13:$J$17,4,0)&amp;"_"&amp;$G$2&amp;", "&amp;E333&amp;" as "&amp;G333&amp;" FROM "&amp;D333&amp;" WHERE "&amp;Instruções!$D$21&amp;") B ",
"(SELECT "&amp;VLOOKUP(B333,Instruções!$F$13:$J$17,4,0)&amp;" as "&amp;VLOOKUP(B333,Instruções!$F$13:$J$17,4,0)&amp;"_"&amp;$G$2&amp;", "&amp;VLOOKUP(B333,Instruções!$F$13:$J$17,5,0)&amp;" as "&amp;VLOOKUP(B333,Instruções!$F$13:$J$17,5,0)&amp;"_"&amp;$G$2&amp;","&amp;E333&amp;" as "&amp;G333&amp;" FROM "&amp;D333&amp;" WHERE "&amp;Instruções!$D$21&amp;") B ")</f>
        <v xml:space="preserve">(SELECT prtctn_id as prtctn_id_, cnstrctn_stts as cnstrctn_stts_to_be FROM bu_loantape_work.lt004_protection WHERE ref_date='2024-09-30' AND nome_perimetro='Individual Corporativo' AND segmento='ESTR' AND ambito='PM' AND entidade='00100' ) B </v>
      </c>
      <c r="J333" s="75" t="str">
        <f>+IF(VLOOKUP(B333,Instruções!$F$13:$J$17,5,0)="", "ON "&amp;VLOOKUP(B333,Instruções!$F$13:$J$17,4,0)&amp;"_"&amp;$F$7&amp;"="&amp;VLOOKUP(B333,Instruções!$F$13:$J$17,4,0)&amp;"_"&amp;$G$7&amp;" ", "ON "&amp;VLOOKUP(B333,Instruções!$F$13:$J$17,4,0)&amp;"_"&amp;$F$7&amp;"="&amp;VLOOKUP(B333,Instruções!$F$13:$J$17,4,0)&amp;"_"&amp;$G$7&amp;" AND "&amp;VLOOKUP(B333,Instruções!$F$13:$J$17,5,0)&amp;"_"&amp;$F$7&amp;"="&amp;VLOOKUP(B333,Instruções!$F$13:$J$17,5,0)&amp;"_"&amp;$G$7&amp;" ")</f>
        <v xml:space="preserve">ON prtctn_id_as_is=prtctn_id_to_be </v>
      </c>
      <c r="K333" s="75" t="str">
        <f t="shared" si="53"/>
        <v xml:space="preserve">WHERE coalesce(cast(cnstrctn_stts_as_is AS string),'')&lt;&gt;coalesce(cast(cnstrctn_stts_to_be AS string),'') </v>
      </c>
      <c r="L333" s="75" t="str">
        <f t="shared" si="54"/>
        <v xml:space="preserve">SELECT count(*) AS NUM_REG_DIF FROM (SELECT prtctn_id as prtctn_id_, cnstrctn_stts as cnstrctn_stts_as_is FROM cd_loan_tapes_bce.lt004_protection WHERE ref_date='2024-09-30' AND nome_perimetro='Individual Corporativo' AND segmento='ESTR' AND ambito='PM' AND entidade='00100' ) A  Inner join (SELECT prtctn_id as prtctn_id_, cnstrctn_stts as cnstrctn_stts_to_be FROM bu_loantape_work.lt004_protection WHERE ref_date='2024-09-30' AND nome_perimetro='Individual Corporativo' AND segmento='ESTR' AND ambito='PM' AND entidade='00100' ) B ON prtctn_id_as_is=prtctn_id_to_be WHERE coalesce(cast(cnstrctn_stts_as_is AS string),'')&lt;&gt;coalesce(cast(cnstrctn_stts_to_be AS string),'') </v>
      </c>
      <c r="M333" s="75" t="s">
        <v>55</v>
      </c>
      <c r="N333" s="75" t="str">
        <f>"SELECT 'Validação de campos' as tipologia_teste, '"&amp;VLOOKUP(B333,Instruções!$F$13:$J$17,3,0)&amp;"' AS TABELA, '"&amp;E333&amp;"' AS CAMPO, '"&amp;Instruções!$D$15&amp;"' as ref_date, coalesce(NUM_REG_DIF, 0) AS NUM_REG_DIF FROM ("&amp;L333&amp;") A "</f>
        <v xml:space="preserve">SELECT 'Validação de campos' as tipologia_teste, 'lt004_protection' AS TABELA, 'cnstrctn_stts' AS CAMPO, '2024-09-30' as ref_date, coalesce(NUM_REG_DIF, 0) AS NUM_REG_DIF FROM (SELECT count(*) AS NUM_REG_DIF FROM (SELECT prtctn_id as prtctn_id_, cnstrctn_stts as cnstrctn_stts_as_is FROM cd_loan_tapes_bce.lt004_protection WHERE ref_date='2024-09-30' AND nome_perimetro='Individual Corporativo' AND segmento='ESTR' AND ambito='PM' AND entidade='00100' ) A  Inner join (SELECT prtctn_id as prtctn_id_, cnstrctn_stts as cnstrctn_stts_to_be FROM bu_loantape_work.lt004_protection WHERE ref_date='2024-09-30' AND nome_perimetro='Individual Corporativo' AND segmento='ESTR' AND ambito='PM' AND entidade='00100' ) B ON prtctn_id_as_is=prtctn_id_to_be WHERE coalesce(cast(cnstrctn_stts_as_is AS string),'')&lt;&gt;coalesce(cast(cnstrctn_stts_to_be AS string),'') ) A </v>
      </c>
      <c r="O333" s="76" t="str">
        <f t="shared" si="55"/>
        <v>SELECT 'Validação de campos' as tipologia_teste, 'lt004_protection' AS TABELA, 'cnstrctn_stts' AS CAMPO, '2024-09-30' as ref_date, coalesce(NUM_REG_DIF, 0) AS NUM_REG_DIF FROM (SELECT count(*) AS NUM_REG_DIF FROM (SELECT prtctn_id as prtctn_id_, cnstrctn_stts as cnstrctn_stts_as_is FROM cd_loan_tapes_bce.lt004_protection WHERE ref_date='2024-09-30' AND nome_perimetro='Individual Corporativo' AND segmento='ESTR' AND ambito='PM' AND entidade='00100' ) A  Inner join (SELECT prtctn_id as prtctn_id_, cnstrctn_stts as cnstrctn_stts_to_be FROM bu_loantape_work.lt004_protection WHERE ref_date='2024-09-30' AND nome_perimetro='Individual Corporativo' AND segmento='ESTR' AND ambito='PM' AND entidade='00100' ) B ON prtctn_id_as_is=prtctn_id_to_be WHERE coalesce(cast(cnstrctn_stts_as_is AS string),'')&lt;&gt;coalesce(cast(cnstrctn_stts_to_be AS string),'') ) A Union all</v>
      </c>
      <c r="P333" s="75">
        <f t="shared" si="56"/>
        <v>19</v>
      </c>
    </row>
    <row r="334" spans="2:16" s="63" customFormat="1" ht="18" customHeight="1">
      <c r="B334" s="75" t="s">
        <v>30</v>
      </c>
      <c r="C334" s="75" t="str">
        <f>_xlfn.CONCAT(Instruções!$D$13,".",VLOOKUP(B334,Instruções!$F$12:$H$17,2,0))</f>
        <v>cd_loan_tapes_bce.lt004_protection</v>
      </c>
      <c r="D334" s="75" t="str">
        <f>_xlfn.CONCAT(Instruções!$D$14,".",VLOOKUP(B334,Instruções!$F$12:$H$17,3,0))</f>
        <v>bu_loantape_work.lt004_protection</v>
      </c>
      <c r="E334" s="75" t="s">
        <v>64</v>
      </c>
      <c r="F334" s="75" t="str">
        <f t="shared" si="51"/>
        <v>cod_soc_as_is</v>
      </c>
      <c r="G334" s="75" t="str">
        <f t="shared" si="52"/>
        <v>cod_soc_to_be</v>
      </c>
      <c r="H334" s="75" t="str">
        <f>IF(VLOOKUP(B334,Instruções!$F$13:$J$17,5,0)="",
"(SELECT "&amp;VLOOKUP(B334,Instruções!$F$13:$J$17,4,0)&amp;" as "&amp;VLOOKUP(B334,Instruções!$F$13:$J$17,4,0)&amp;"_"&amp;$F$2&amp;", "&amp;E334&amp;" as "&amp;F334&amp;" FROM "&amp;C334&amp;" WHERE "&amp;Instruções!$D$20&amp;") A ",
"(SELECT "&amp;VLOOKUP(B334,Instruções!$F$13:$J$17,4,0)&amp;" as "&amp;VLOOKUP(B334,Instruções!$F$13:$J$17,4,0)&amp;"_"&amp;$F$2&amp;", "&amp;VLOOKUP(B334,Instruções!$F$13:$J$17,5,0)&amp;" as "&amp;VLOOKUP(B334,Instruções!$F$13:$J$17,5,0)&amp;"_"&amp;$F$2&amp;","&amp;E334&amp;" as "&amp;F334&amp;" FROM "&amp;C334&amp;" WHERE "&amp;Instruções!$D$20&amp;") A ")</f>
        <v xml:space="preserve">(SELECT prtctn_id as prtctn_id_, cod_soc as cod_soc_as_is FROM cd_loan_tapes_bce.lt004_protection WHERE ref_date='2024-09-30' AND nome_perimetro='Individual Corporativo' AND segmento='ESTR' AND ambito='PM' AND entidade='00100' ) A </v>
      </c>
      <c r="I334" s="75" t="str">
        <f>IF(VLOOKUP(B334,Instruções!$F$13:$J$17,5,0)="",
"(SELECT "&amp;VLOOKUP(B334,Instruções!$F$13:$J$17,4,0)&amp;" as "&amp;VLOOKUP(B334,Instruções!$F$13:$J$17,4,0)&amp;"_"&amp;$G$2&amp;", "&amp;E334&amp;" as "&amp;G334&amp;" FROM "&amp;D334&amp;" WHERE "&amp;Instruções!$D$21&amp;") B ",
"(SELECT "&amp;VLOOKUP(B334,Instruções!$F$13:$J$17,4,0)&amp;" as "&amp;VLOOKUP(B334,Instruções!$F$13:$J$17,4,0)&amp;"_"&amp;$G$2&amp;", "&amp;VLOOKUP(B334,Instruções!$F$13:$J$17,5,0)&amp;" as "&amp;VLOOKUP(B334,Instruções!$F$13:$J$17,5,0)&amp;"_"&amp;$G$2&amp;","&amp;E334&amp;" as "&amp;G334&amp;" FROM "&amp;D334&amp;" WHERE "&amp;Instruções!$D$21&amp;") B ")</f>
        <v xml:space="preserve">(SELECT prtctn_id as prtctn_id_, cod_soc as cod_soc_to_be FROM bu_loantape_work.lt004_protection WHERE ref_date='2024-09-30' AND nome_perimetro='Individual Corporativo' AND segmento='ESTR' AND ambito='PM' AND entidade='00100' ) B </v>
      </c>
      <c r="J334" s="75" t="str">
        <f>+IF(VLOOKUP(B334,Instruções!$F$13:$J$17,5,0)="", "ON "&amp;VLOOKUP(B334,Instruções!$F$13:$J$17,4,0)&amp;"_"&amp;$F$7&amp;"="&amp;VLOOKUP(B334,Instruções!$F$13:$J$17,4,0)&amp;"_"&amp;$G$7&amp;" ", "ON "&amp;VLOOKUP(B334,Instruções!$F$13:$J$17,4,0)&amp;"_"&amp;$F$7&amp;"="&amp;VLOOKUP(B334,Instruções!$F$13:$J$17,4,0)&amp;"_"&amp;$G$7&amp;" AND "&amp;VLOOKUP(B334,Instruções!$F$13:$J$17,5,0)&amp;"_"&amp;$F$7&amp;"="&amp;VLOOKUP(B334,Instruções!$F$13:$J$17,5,0)&amp;"_"&amp;$G$7&amp;" ")</f>
        <v xml:space="preserve">ON prtctn_id_as_is=prtctn_id_to_be </v>
      </c>
      <c r="K334" s="75" t="str">
        <f t="shared" si="53"/>
        <v xml:space="preserve">WHERE coalesce(cast(cod_soc_as_is AS string),'')&lt;&gt;coalesce(cast(cod_soc_to_be AS string),'') </v>
      </c>
      <c r="L334" s="75" t="str">
        <f t="shared" si="54"/>
        <v xml:space="preserve">SELECT count(*) AS NUM_REG_DIF FROM (SELECT prtctn_id as prtctn_id_, cod_soc as cod_soc_as_is FROM cd_loan_tapes_bce.lt004_protection WHERE ref_date='2024-09-30' AND nome_perimetro='Individual Corporativo' AND segmento='ESTR' AND ambito='PM' AND entidade='00100' ) A  Inner join (SELECT prtctn_id as prtctn_id_, cod_soc as cod_soc_to_be FROM bu_loantape_work.lt004_protection WHERE ref_date='2024-09-30' AND nome_perimetro='Individual Corporativo' AND segmento='ESTR' AND ambito='PM' AND entidade='00100' ) B ON prtctn_id_as_is=prtctn_id_to_be WHERE coalesce(cast(cod_soc_as_is AS string),'')&lt;&gt;coalesce(cast(cod_soc_to_be AS string),'') </v>
      </c>
      <c r="M334" s="75" t="s">
        <v>55</v>
      </c>
      <c r="N334" s="75" t="str">
        <f>"SELECT 'Validação de campos' as tipologia_teste, '"&amp;VLOOKUP(B334,Instruções!$F$13:$J$17,3,0)&amp;"' AS TABELA, '"&amp;E334&amp;"' AS CAMPO, '"&amp;Instruções!$D$15&amp;"' as ref_date, coalesce(NUM_REG_DIF, 0) AS NUM_REG_DIF FROM ("&amp;L334&amp;") A "</f>
        <v xml:space="preserve">SELECT 'Validação de campos' as tipologia_teste, 'lt004_protection' AS TABELA, 'cod_soc' AS CAMPO, '2024-09-30' as ref_date, coalesce(NUM_REG_DIF, 0) AS NUM_REG_DIF FROM (SELECT count(*) AS NUM_REG_DIF FROM (SELECT prtctn_id as prtctn_id_, cod_soc as cod_soc_as_is FROM cd_loan_tapes_bce.lt004_protection WHERE ref_date='2024-09-30' AND nome_perimetro='Individual Corporativo' AND segmento='ESTR' AND ambito='PM' AND entidade='00100' ) A  Inner join (SELECT prtctn_id as prtctn_id_, cod_soc as cod_soc_to_be FROM bu_loantape_work.lt004_protection WHERE ref_date='2024-09-30' AND nome_perimetro='Individual Corporativo' AND segmento='ESTR' AND ambito='PM' AND entidade='00100' ) B ON prtctn_id_as_is=prtctn_id_to_be WHERE coalesce(cast(cod_soc_as_is AS string),'')&lt;&gt;coalesce(cast(cod_soc_to_be AS string),'') ) A </v>
      </c>
      <c r="O334" s="76" t="str">
        <f t="shared" si="55"/>
        <v>SELECT 'Validação de campos' as tipologia_teste, 'lt004_protection' AS TABELA, 'cod_soc' AS CAMPO, '2024-09-30' as ref_date, coalesce(NUM_REG_DIF, 0) AS NUM_REG_DIF FROM (SELECT count(*) AS NUM_REG_DIF FROM (SELECT prtctn_id as prtctn_id_, cod_soc as cod_soc_as_is FROM cd_loan_tapes_bce.lt004_protection WHERE ref_date='2024-09-30' AND nome_perimetro='Individual Corporativo' AND segmento='ESTR' AND ambito='PM' AND entidade='00100' ) A  Inner join (SELECT prtctn_id as prtctn_id_, cod_soc as cod_soc_to_be FROM bu_loantape_work.lt004_protection WHERE ref_date='2024-09-30' AND nome_perimetro='Individual Corporativo' AND segmento='ESTR' AND ambito='PM' AND entidade='00100' ) B ON prtctn_id_as_is=prtctn_id_to_be WHERE coalesce(cast(cod_soc_as_is AS string),'')&lt;&gt;coalesce(cast(cod_soc_to_be AS string),'') ) A Union all</v>
      </c>
      <c r="P334" s="75">
        <f t="shared" si="56"/>
        <v>20</v>
      </c>
    </row>
    <row r="335" spans="2:16" s="63" customFormat="1" ht="18" customHeight="1">
      <c r="B335" s="75" t="s">
        <v>30</v>
      </c>
      <c r="C335" s="75" t="str">
        <f>_xlfn.CONCAT(Instruções!$D$13,".",VLOOKUP(B335,Instruções!$F$12:$H$17,2,0))</f>
        <v>cd_loan_tapes_bce.lt004_protection</v>
      </c>
      <c r="D335" s="75" t="str">
        <f>_xlfn.CONCAT(Instruções!$D$14,".",VLOOKUP(B335,Instruções!$F$12:$H$17,3,0))</f>
        <v>bu_loantape_work.lt004_protection</v>
      </c>
      <c r="E335" s="75" t="s">
        <v>359</v>
      </c>
      <c r="F335" s="75" t="str">
        <f t="shared" si="51"/>
        <v>cre_incm_crrncy_as_is</v>
      </c>
      <c r="G335" s="75" t="str">
        <f t="shared" si="52"/>
        <v>cre_incm_crrncy_to_be</v>
      </c>
      <c r="H335" s="75" t="str">
        <f>IF(VLOOKUP(B335,Instruções!$F$13:$J$17,5,0)="",
"(SELECT "&amp;VLOOKUP(B335,Instruções!$F$13:$J$17,4,0)&amp;" as "&amp;VLOOKUP(B335,Instruções!$F$13:$J$17,4,0)&amp;"_"&amp;$F$2&amp;", "&amp;E335&amp;" as "&amp;F335&amp;" FROM "&amp;C335&amp;" WHERE "&amp;Instruções!$D$20&amp;") A ",
"(SELECT "&amp;VLOOKUP(B335,Instruções!$F$13:$J$17,4,0)&amp;" as "&amp;VLOOKUP(B335,Instruções!$F$13:$J$17,4,0)&amp;"_"&amp;$F$2&amp;", "&amp;VLOOKUP(B335,Instruções!$F$13:$J$17,5,0)&amp;" as "&amp;VLOOKUP(B335,Instruções!$F$13:$J$17,5,0)&amp;"_"&amp;$F$2&amp;","&amp;E335&amp;" as "&amp;F335&amp;" FROM "&amp;C335&amp;" WHERE "&amp;Instruções!$D$20&amp;") A ")</f>
        <v xml:space="preserve">(SELECT prtctn_id as prtctn_id_, cre_incm_crrncy as cre_incm_crrncy_as_is FROM cd_loan_tapes_bce.lt004_protection WHERE ref_date='2024-09-30' AND nome_perimetro='Individual Corporativo' AND segmento='ESTR' AND ambito='PM' AND entidade='00100' ) A </v>
      </c>
      <c r="I335" s="75" t="str">
        <f>IF(VLOOKUP(B335,Instruções!$F$13:$J$17,5,0)="",
"(SELECT "&amp;VLOOKUP(B335,Instruções!$F$13:$J$17,4,0)&amp;" as "&amp;VLOOKUP(B335,Instruções!$F$13:$J$17,4,0)&amp;"_"&amp;$G$2&amp;", "&amp;E335&amp;" as "&amp;G335&amp;" FROM "&amp;D335&amp;" WHERE "&amp;Instruções!$D$21&amp;") B ",
"(SELECT "&amp;VLOOKUP(B335,Instruções!$F$13:$J$17,4,0)&amp;" as "&amp;VLOOKUP(B335,Instruções!$F$13:$J$17,4,0)&amp;"_"&amp;$G$2&amp;", "&amp;VLOOKUP(B335,Instruções!$F$13:$J$17,5,0)&amp;" as "&amp;VLOOKUP(B335,Instruções!$F$13:$J$17,5,0)&amp;"_"&amp;$G$2&amp;","&amp;E335&amp;" as "&amp;G335&amp;" FROM "&amp;D335&amp;" WHERE "&amp;Instruções!$D$21&amp;") B ")</f>
        <v xml:space="preserve">(SELECT prtctn_id as prtctn_id_, cre_incm_crrncy as cre_incm_crrncy_to_be FROM bu_loantape_work.lt004_protection WHERE ref_date='2024-09-30' AND nome_perimetro='Individual Corporativo' AND segmento='ESTR' AND ambito='PM' AND entidade='00100' ) B </v>
      </c>
      <c r="J335" s="75" t="str">
        <f>+IF(VLOOKUP(B335,Instruções!$F$13:$J$17,5,0)="", "ON "&amp;VLOOKUP(B335,Instruções!$F$13:$J$17,4,0)&amp;"_"&amp;$F$7&amp;"="&amp;VLOOKUP(B335,Instruções!$F$13:$J$17,4,0)&amp;"_"&amp;$G$7&amp;" ", "ON "&amp;VLOOKUP(B335,Instruções!$F$13:$J$17,4,0)&amp;"_"&amp;$F$7&amp;"="&amp;VLOOKUP(B335,Instruções!$F$13:$J$17,4,0)&amp;"_"&amp;$G$7&amp;" AND "&amp;VLOOKUP(B335,Instruções!$F$13:$J$17,5,0)&amp;"_"&amp;$F$7&amp;"="&amp;VLOOKUP(B335,Instruções!$F$13:$J$17,5,0)&amp;"_"&amp;$G$7&amp;" ")</f>
        <v xml:space="preserve">ON prtctn_id_as_is=prtctn_id_to_be </v>
      </c>
      <c r="K335" s="75" t="str">
        <f t="shared" si="53"/>
        <v xml:space="preserve">WHERE coalesce(cast(cre_incm_crrncy_as_is AS string),'')&lt;&gt;coalesce(cast(cre_incm_crrncy_to_be AS string),'') </v>
      </c>
      <c r="L335" s="75" t="str">
        <f t="shared" si="54"/>
        <v xml:space="preserve">SELECT count(*) AS NUM_REG_DIF FROM (SELECT prtctn_id as prtctn_id_, cre_incm_crrncy as cre_incm_crrncy_as_is FROM cd_loan_tapes_bce.lt004_protection WHERE ref_date='2024-09-30' AND nome_perimetro='Individual Corporativo' AND segmento='ESTR' AND ambito='PM' AND entidade='00100' ) A  Inner join (SELECT prtctn_id as prtctn_id_, cre_incm_crrncy as cre_incm_crrncy_to_be FROM bu_loantape_work.lt004_protection WHERE ref_date='2024-09-30' AND nome_perimetro='Individual Corporativo' AND segmento='ESTR' AND ambito='PM' AND entidade='00100' ) B ON prtctn_id_as_is=prtctn_id_to_be WHERE coalesce(cast(cre_incm_crrncy_as_is AS string),'')&lt;&gt;coalesce(cast(cre_incm_crrncy_to_be AS string),'') </v>
      </c>
      <c r="M335" s="75" t="s">
        <v>55</v>
      </c>
      <c r="N335" s="75" t="str">
        <f>"SELECT 'Validação de campos' as tipologia_teste, '"&amp;VLOOKUP(B335,Instruções!$F$13:$J$17,3,0)&amp;"' AS TABELA, '"&amp;E335&amp;"' AS CAMPO, '"&amp;Instruções!$D$15&amp;"' as ref_date, coalesce(NUM_REG_DIF, 0) AS NUM_REG_DIF FROM ("&amp;L335&amp;") A "</f>
        <v xml:space="preserve">SELECT 'Validação de campos' as tipologia_teste, 'lt004_protection' AS TABELA, 'cre_incm_crrncy' AS CAMPO, '2024-09-30' as ref_date, coalesce(NUM_REG_DIF, 0) AS NUM_REG_DIF FROM (SELECT count(*) AS NUM_REG_DIF FROM (SELECT prtctn_id as prtctn_id_, cre_incm_crrncy as cre_incm_crrncy_as_is FROM cd_loan_tapes_bce.lt004_protection WHERE ref_date='2024-09-30' AND nome_perimetro='Individual Corporativo' AND segmento='ESTR' AND ambito='PM' AND entidade='00100' ) A  Inner join (SELECT prtctn_id as prtctn_id_, cre_incm_crrncy as cre_incm_crrncy_to_be FROM bu_loantape_work.lt004_protection WHERE ref_date='2024-09-30' AND nome_perimetro='Individual Corporativo' AND segmento='ESTR' AND ambito='PM' AND entidade='00100' ) B ON prtctn_id_as_is=prtctn_id_to_be WHERE coalesce(cast(cre_incm_crrncy_as_is AS string),'')&lt;&gt;coalesce(cast(cre_incm_crrncy_to_be AS string),'') ) A </v>
      </c>
      <c r="O335" s="76" t="str">
        <f t="shared" si="55"/>
        <v>SELECT 'Validação de campos' as tipologia_teste, 'lt004_protection' AS TABELA, 'cre_incm_crrncy' AS CAMPO, '2024-09-30' as ref_date, coalesce(NUM_REG_DIF, 0) AS NUM_REG_DIF FROM (SELECT count(*) AS NUM_REG_DIF FROM (SELECT prtctn_id as prtctn_id_, cre_incm_crrncy as cre_incm_crrncy_as_is FROM cd_loan_tapes_bce.lt004_protection WHERE ref_date='2024-09-30' AND nome_perimetro='Individual Corporativo' AND segmento='ESTR' AND ambito='PM' AND entidade='00100' ) A  Inner join (SELECT prtctn_id as prtctn_id_, cre_incm_crrncy as cre_incm_crrncy_to_be FROM bu_loantape_work.lt004_protection WHERE ref_date='2024-09-30' AND nome_perimetro='Individual Corporativo' AND segmento='ESTR' AND ambito='PM' AND entidade='00100' ) B ON prtctn_id_as_is=prtctn_id_to_be WHERE coalesce(cast(cre_incm_crrncy_as_is AS string),'')&lt;&gt;coalesce(cast(cre_incm_crrncy_to_be AS string),'') ) A Union all</v>
      </c>
      <c r="P335" s="75">
        <f t="shared" si="56"/>
        <v>21</v>
      </c>
    </row>
    <row r="336" spans="2:16" s="63" customFormat="1" ht="18" customHeight="1">
      <c r="B336" s="75" t="s">
        <v>30</v>
      </c>
      <c r="C336" s="75" t="str">
        <f>_xlfn.CONCAT(Instruções!$D$13,".",VLOOKUP(B336,Instruções!$F$12:$H$17,2,0))</f>
        <v>cd_loan_tapes_bce.lt004_protection</v>
      </c>
      <c r="D336" s="75" t="str">
        <f>_xlfn.CONCAT(Instruções!$D$14,".",VLOOKUP(B336,Instruções!$F$12:$H$17,3,0))</f>
        <v>bu_loantape_work.lt004_protection</v>
      </c>
      <c r="E336" s="75" t="s">
        <v>360</v>
      </c>
      <c r="F336" s="75" t="str">
        <f t="shared" si="51"/>
        <v>cre_yrly_expnss_as_is</v>
      </c>
      <c r="G336" s="75" t="str">
        <f t="shared" si="52"/>
        <v>cre_yrly_expnss_to_be</v>
      </c>
      <c r="H336" s="75" t="str">
        <f>IF(VLOOKUP(B336,Instruções!$F$13:$J$17,5,0)="",
"(SELECT "&amp;VLOOKUP(B336,Instruções!$F$13:$J$17,4,0)&amp;" as "&amp;VLOOKUP(B336,Instruções!$F$13:$J$17,4,0)&amp;"_"&amp;$F$2&amp;", "&amp;E336&amp;" as "&amp;F336&amp;" FROM "&amp;C336&amp;" WHERE "&amp;Instruções!$D$20&amp;") A ",
"(SELECT "&amp;VLOOKUP(B336,Instruções!$F$13:$J$17,4,0)&amp;" as "&amp;VLOOKUP(B336,Instruções!$F$13:$J$17,4,0)&amp;"_"&amp;$F$2&amp;", "&amp;VLOOKUP(B336,Instruções!$F$13:$J$17,5,0)&amp;" as "&amp;VLOOKUP(B336,Instruções!$F$13:$J$17,5,0)&amp;"_"&amp;$F$2&amp;","&amp;E336&amp;" as "&amp;F336&amp;" FROM "&amp;C336&amp;" WHERE "&amp;Instruções!$D$20&amp;") A ")</f>
        <v xml:space="preserve">(SELECT prtctn_id as prtctn_id_, cre_yrly_expnss as cre_yrly_expnss_as_is FROM cd_loan_tapes_bce.lt004_protection WHERE ref_date='2024-09-30' AND nome_perimetro='Individual Corporativo' AND segmento='ESTR' AND ambito='PM' AND entidade='00100' ) A </v>
      </c>
      <c r="I336" s="75" t="str">
        <f>IF(VLOOKUP(B336,Instruções!$F$13:$J$17,5,0)="",
"(SELECT "&amp;VLOOKUP(B336,Instruções!$F$13:$J$17,4,0)&amp;" as "&amp;VLOOKUP(B336,Instruções!$F$13:$J$17,4,0)&amp;"_"&amp;$G$2&amp;", "&amp;E336&amp;" as "&amp;G336&amp;" FROM "&amp;D336&amp;" WHERE "&amp;Instruções!$D$21&amp;") B ",
"(SELECT "&amp;VLOOKUP(B336,Instruções!$F$13:$J$17,4,0)&amp;" as "&amp;VLOOKUP(B336,Instruções!$F$13:$J$17,4,0)&amp;"_"&amp;$G$2&amp;", "&amp;VLOOKUP(B336,Instruções!$F$13:$J$17,5,0)&amp;" as "&amp;VLOOKUP(B336,Instruções!$F$13:$J$17,5,0)&amp;"_"&amp;$G$2&amp;","&amp;E336&amp;" as "&amp;G336&amp;" FROM "&amp;D336&amp;" WHERE "&amp;Instruções!$D$21&amp;") B ")</f>
        <v xml:space="preserve">(SELECT prtctn_id as prtctn_id_, cre_yrly_expnss as cre_yrly_expnss_to_be FROM bu_loantape_work.lt004_protection WHERE ref_date='2024-09-30' AND nome_perimetro='Individual Corporativo' AND segmento='ESTR' AND ambito='PM' AND entidade='00100' ) B </v>
      </c>
      <c r="J336" s="75" t="str">
        <f>+IF(VLOOKUP(B336,Instruções!$F$13:$J$17,5,0)="", "ON "&amp;VLOOKUP(B336,Instruções!$F$13:$J$17,4,0)&amp;"_"&amp;$F$7&amp;"="&amp;VLOOKUP(B336,Instruções!$F$13:$J$17,4,0)&amp;"_"&amp;$G$7&amp;" ", "ON "&amp;VLOOKUP(B336,Instruções!$F$13:$J$17,4,0)&amp;"_"&amp;$F$7&amp;"="&amp;VLOOKUP(B336,Instruções!$F$13:$J$17,4,0)&amp;"_"&amp;$G$7&amp;" AND "&amp;VLOOKUP(B336,Instruções!$F$13:$J$17,5,0)&amp;"_"&amp;$F$7&amp;"="&amp;VLOOKUP(B336,Instruções!$F$13:$J$17,5,0)&amp;"_"&amp;$G$7&amp;" ")</f>
        <v xml:space="preserve">ON prtctn_id_as_is=prtctn_id_to_be </v>
      </c>
      <c r="K336" s="75" t="str">
        <f t="shared" si="53"/>
        <v xml:space="preserve">WHERE coalesce(cast(cre_yrly_expnss_as_is AS string),'')&lt;&gt;coalesce(cast(cre_yrly_expnss_to_be AS string),'') </v>
      </c>
      <c r="L336" s="75" t="str">
        <f t="shared" si="54"/>
        <v xml:space="preserve">SELECT count(*) AS NUM_REG_DIF FROM (SELECT prtctn_id as prtctn_id_, cre_yrly_expnss as cre_yrly_expnss_as_is FROM cd_loan_tapes_bce.lt004_protection WHERE ref_date='2024-09-30' AND nome_perimetro='Individual Corporativo' AND segmento='ESTR' AND ambito='PM' AND entidade='00100' ) A  Inner join (SELECT prtctn_id as prtctn_id_, cre_yrly_expnss as cre_yrly_expnss_to_be FROM bu_loantape_work.lt004_protection WHERE ref_date='2024-09-30' AND nome_perimetro='Individual Corporativo' AND segmento='ESTR' AND ambito='PM' AND entidade='00100' ) B ON prtctn_id_as_is=prtctn_id_to_be WHERE coalesce(cast(cre_yrly_expnss_as_is AS string),'')&lt;&gt;coalesce(cast(cre_yrly_expnss_to_be AS string),'') </v>
      </c>
      <c r="M336" s="75" t="s">
        <v>55</v>
      </c>
      <c r="N336" s="75" t="str">
        <f>"SELECT 'Validação de campos' as tipologia_teste, '"&amp;VLOOKUP(B336,Instruções!$F$13:$J$17,3,0)&amp;"' AS TABELA, '"&amp;E336&amp;"' AS CAMPO, '"&amp;Instruções!$D$15&amp;"' as ref_date, coalesce(NUM_REG_DIF, 0) AS NUM_REG_DIF FROM ("&amp;L336&amp;") A "</f>
        <v xml:space="preserve">SELECT 'Validação de campos' as tipologia_teste, 'lt004_protection' AS TABELA, 'cre_yrly_expnss' AS CAMPO, '2024-09-30' as ref_date, coalesce(NUM_REG_DIF, 0) AS NUM_REG_DIF FROM (SELECT count(*) AS NUM_REG_DIF FROM (SELECT prtctn_id as prtctn_id_, cre_yrly_expnss as cre_yrly_expnss_as_is FROM cd_loan_tapes_bce.lt004_protection WHERE ref_date='2024-09-30' AND nome_perimetro='Individual Corporativo' AND segmento='ESTR' AND ambito='PM' AND entidade='00100' ) A  Inner join (SELECT prtctn_id as prtctn_id_, cre_yrly_expnss as cre_yrly_expnss_to_be FROM bu_loantape_work.lt004_protection WHERE ref_date='2024-09-30' AND nome_perimetro='Individual Corporativo' AND segmento='ESTR' AND ambito='PM' AND entidade='00100' ) B ON prtctn_id_as_is=prtctn_id_to_be WHERE coalesce(cast(cre_yrly_expnss_as_is AS string),'')&lt;&gt;coalesce(cast(cre_yrly_expnss_to_be AS string),'') ) A </v>
      </c>
      <c r="O336" s="76" t="str">
        <f t="shared" si="55"/>
        <v>SELECT 'Validação de campos' as tipologia_teste, 'lt004_protection' AS TABELA, 'cre_yrly_expnss' AS CAMPO, '2024-09-30' as ref_date, coalesce(NUM_REG_DIF, 0) AS NUM_REG_DIF FROM (SELECT count(*) AS NUM_REG_DIF FROM (SELECT prtctn_id as prtctn_id_, cre_yrly_expnss as cre_yrly_expnss_as_is FROM cd_loan_tapes_bce.lt004_protection WHERE ref_date='2024-09-30' AND nome_perimetro='Individual Corporativo' AND segmento='ESTR' AND ambito='PM' AND entidade='00100' ) A  Inner join (SELECT prtctn_id as prtctn_id_, cre_yrly_expnss as cre_yrly_expnss_to_be FROM bu_loantape_work.lt004_protection WHERE ref_date='2024-09-30' AND nome_perimetro='Individual Corporativo' AND segmento='ESTR' AND ambito='PM' AND entidade='00100' ) B ON prtctn_id_as_is=prtctn_id_to_be WHERE coalesce(cast(cre_yrly_expnss_as_is AS string),'')&lt;&gt;coalesce(cast(cre_yrly_expnss_to_be AS string),'') ) A Union all</v>
      </c>
      <c r="P336" s="75">
        <f t="shared" si="56"/>
        <v>22</v>
      </c>
    </row>
    <row r="337" spans="2:16" s="63" customFormat="1" ht="18" customHeight="1">
      <c r="B337" s="75" t="s">
        <v>30</v>
      </c>
      <c r="C337" s="75" t="str">
        <f>_xlfn.CONCAT(Instruções!$D$13,".",VLOOKUP(B337,Instruções!$F$12:$H$17,2,0))</f>
        <v>cd_loan_tapes_bce.lt004_protection</v>
      </c>
      <c r="D337" s="75" t="str">
        <f>_xlfn.CONCAT(Instruções!$D$14,".",VLOOKUP(B337,Instruções!$F$12:$H$17,3,0))</f>
        <v>bu_loantape_work.lt004_protection</v>
      </c>
      <c r="E337" s="75" t="s">
        <v>361</v>
      </c>
      <c r="F337" s="75" t="str">
        <f t="shared" si="51"/>
        <v>cre_yrly_incm_as_is</v>
      </c>
      <c r="G337" s="75" t="str">
        <f t="shared" si="52"/>
        <v>cre_yrly_incm_to_be</v>
      </c>
      <c r="H337" s="75" t="str">
        <f>IF(VLOOKUP(B337,Instruções!$F$13:$J$17,5,0)="",
"(SELECT "&amp;VLOOKUP(B337,Instruções!$F$13:$J$17,4,0)&amp;" as "&amp;VLOOKUP(B337,Instruções!$F$13:$J$17,4,0)&amp;"_"&amp;$F$2&amp;", "&amp;E337&amp;" as "&amp;F337&amp;" FROM "&amp;C337&amp;" WHERE "&amp;Instruções!$D$20&amp;") A ",
"(SELECT "&amp;VLOOKUP(B337,Instruções!$F$13:$J$17,4,0)&amp;" as "&amp;VLOOKUP(B337,Instruções!$F$13:$J$17,4,0)&amp;"_"&amp;$F$2&amp;", "&amp;VLOOKUP(B337,Instruções!$F$13:$J$17,5,0)&amp;" as "&amp;VLOOKUP(B337,Instruções!$F$13:$J$17,5,0)&amp;"_"&amp;$F$2&amp;","&amp;E337&amp;" as "&amp;F337&amp;" FROM "&amp;C337&amp;" WHERE "&amp;Instruções!$D$20&amp;") A ")</f>
        <v xml:space="preserve">(SELECT prtctn_id as prtctn_id_, cre_yrly_incm as cre_yrly_incm_as_is FROM cd_loan_tapes_bce.lt004_protection WHERE ref_date='2024-09-30' AND nome_perimetro='Individual Corporativo' AND segmento='ESTR' AND ambito='PM' AND entidade='00100' ) A </v>
      </c>
      <c r="I337" s="75" t="str">
        <f>IF(VLOOKUP(B337,Instruções!$F$13:$J$17,5,0)="",
"(SELECT "&amp;VLOOKUP(B337,Instruções!$F$13:$J$17,4,0)&amp;" as "&amp;VLOOKUP(B337,Instruções!$F$13:$J$17,4,0)&amp;"_"&amp;$G$2&amp;", "&amp;E337&amp;" as "&amp;G337&amp;" FROM "&amp;D337&amp;" WHERE "&amp;Instruções!$D$21&amp;") B ",
"(SELECT "&amp;VLOOKUP(B337,Instruções!$F$13:$J$17,4,0)&amp;" as "&amp;VLOOKUP(B337,Instruções!$F$13:$J$17,4,0)&amp;"_"&amp;$G$2&amp;", "&amp;VLOOKUP(B337,Instruções!$F$13:$J$17,5,0)&amp;" as "&amp;VLOOKUP(B337,Instruções!$F$13:$J$17,5,0)&amp;"_"&amp;$G$2&amp;","&amp;E337&amp;" as "&amp;G337&amp;" FROM "&amp;D337&amp;" WHERE "&amp;Instruções!$D$21&amp;") B ")</f>
        <v xml:space="preserve">(SELECT prtctn_id as prtctn_id_, cre_yrly_incm as cre_yrly_incm_to_be FROM bu_loantape_work.lt004_protection WHERE ref_date='2024-09-30' AND nome_perimetro='Individual Corporativo' AND segmento='ESTR' AND ambito='PM' AND entidade='00100' ) B </v>
      </c>
      <c r="J337" s="75" t="str">
        <f>+IF(VLOOKUP(B337,Instruções!$F$13:$J$17,5,0)="", "ON "&amp;VLOOKUP(B337,Instruções!$F$13:$J$17,4,0)&amp;"_"&amp;$F$7&amp;"="&amp;VLOOKUP(B337,Instruções!$F$13:$J$17,4,0)&amp;"_"&amp;$G$7&amp;" ", "ON "&amp;VLOOKUP(B337,Instruções!$F$13:$J$17,4,0)&amp;"_"&amp;$F$7&amp;"="&amp;VLOOKUP(B337,Instruções!$F$13:$J$17,4,0)&amp;"_"&amp;$G$7&amp;" AND "&amp;VLOOKUP(B337,Instruções!$F$13:$J$17,5,0)&amp;"_"&amp;$F$7&amp;"="&amp;VLOOKUP(B337,Instruções!$F$13:$J$17,5,0)&amp;"_"&amp;$G$7&amp;" ")</f>
        <v xml:space="preserve">ON prtctn_id_as_is=prtctn_id_to_be </v>
      </c>
      <c r="K337" s="75" t="str">
        <f t="shared" si="53"/>
        <v xml:space="preserve">WHERE coalesce(cast(cre_yrly_incm_as_is AS string),'')&lt;&gt;coalesce(cast(cre_yrly_incm_to_be AS string),'') </v>
      </c>
      <c r="L337" s="75" t="str">
        <f t="shared" si="54"/>
        <v xml:space="preserve">SELECT count(*) AS NUM_REG_DIF FROM (SELECT prtctn_id as prtctn_id_, cre_yrly_incm as cre_yrly_incm_as_is FROM cd_loan_tapes_bce.lt004_protection WHERE ref_date='2024-09-30' AND nome_perimetro='Individual Corporativo' AND segmento='ESTR' AND ambito='PM' AND entidade='00100' ) A  Inner join (SELECT prtctn_id as prtctn_id_, cre_yrly_incm as cre_yrly_incm_to_be FROM bu_loantape_work.lt004_protection WHERE ref_date='2024-09-30' AND nome_perimetro='Individual Corporativo' AND segmento='ESTR' AND ambito='PM' AND entidade='00100' ) B ON prtctn_id_as_is=prtctn_id_to_be WHERE coalesce(cast(cre_yrly_incm_as_is AS string),'')&lt;&gt;coalesce(cast(cre_yrly_incm_to_be AS string),'') </v>
      </c>
      <c r="M337" s="75" t="s">
        <v>55</v>
      </c>
      <c r="N337" s="75" t="str">
        <f>"SELECT 'Validação de campos' as tipologia_teste, '"&amp;VLOOKUP(B337,Instruções!$F$13:$J$17,3,0)&amp;"' AS TABELA, '"&amp;E337&amp;"' AS CAMPO, '"&amp;Instruções!$D$15&amp;"' as ref_date, coalesce(NUM_REG_DIF, 0) AS NUM_REG_DIF FROM ("&amp;L337&amp;") A "</f>
        <v xml:space="preserve">SELECT 'Validação de campos' as tipologia_teste, 'lt004_protection' AS TABELA, 'cre_yrly_incm' AS CAMPO, '2024-09-30' as ref_date, coalesce(NUM_REG_DIF, 0) AS NUM_REG_DIF FROM (SELECT count(*) AS NUM_REG_DIF FROM (SELECT prtctn_id as prtctn_id_, cre_yrly_incm as cre_yrly_incm_as_is FROM cd_loan_tapes_bce.lt004_protection WHERE ref_date='2024-09-30' AND nome_perimetro='Individual Corporativo' AND segmento='ESTR' AND ambito='PM' AND entidade='00100' ) A  Inner join (SELECT prtctn_id as prtctn_id_, cre_yrly_incm as cre_yrly_incm_to_be FROM bu_loantape_work.lt004_protection WHERE ref_date='2024-09-30' AND nome_perimetro='Individual Corporativo' AND segmento='ESTR' AND ambito='PM' AND entidade='00100' ) B ON prtctn_id_as_is=prtctn_id_to_be WHERE coalesce(cast(cre_yrly_incm_as_is AS string),'')&lt;&gt;coalesce(cast(cre_yrly_incm_to_be AS string),'') ) A </v>
      </c>
      <c r="O337" s="76" t="str">
        <f t="shared" si="55"/>
        <v>SELECT 'Validação de campos' as tipologia_teste, 'lt004_protection' AS TABELA, 'cre_yrly_incm' AS CAMPO, '2024-09-30' as ref_date, coalesce(NUM_REG_DIF, 0) AS NUM_REG_DIF FROM (SELECT count(*) AS NUM_REG_DIF FROM (SELECT prtctn_id as prtctn_id_, cre_yrly_incm as cre_yrly_incm_as_is FROM cd_loan_tapes_bce.lt004_protection WHERE ref_date='2024-09-30' AND nome_perimetro='Individual Corporativo' AND segmento='ESTR' AND ambito='PM' AND entidade='00100' ) A  Inner join (SELECT prtctn_id as prtctn_id_, cre_yrly_incm as cre_yrly_incm_to_be FROM bu_loantape_work.lt004_protection WHERE ref_date='2024-09-30' AND nome_perimetro='Individual Corporativo' AND segmento='ESTR' AND ambito='PM' AND entidade='00100' ) B ON prtctn_id_as_is=prtctn_id_to_be WHERE coalesce(cast(cre_yrly_incm_as_is AS string),'')&lt;&gt;coalesce(cast(cre_yrly_incm_to_be AS string),'') ) A Union all</v>
      </c>
      <c r="P337" s="75">
        <f t="shared" si="56"/>
        <v>23</v>
      </c>
    </row>
    <row r="338" spans="2:16" s="63" customFormat="1" ht="18" customHeight="1">
      <c r="B338" s="75" t="s">
        <v>30</v>
      </c>
      <c r="C338" s="75" t="str">
        <f>_xlfn.CONCAT(Instruções!$D$13,".",VLOOKUP(B338,Instruções!$F$12:$H$17,2,0))</f>
        <v>cd_loan_tapes_bce.lt004_protection</v>
      </c>
      <c r="D338" s="75" t="str">
        <f>_xlfn.CONCAT(Instruções!$D$14,".",VLOOKUP(B338,Instruções!$F$12:$H$17,3,0))</f>
        <v>bu_loantape_work.lt004_protection</v>
      </c>
      <c r="E338" s="75" t="s">
        <v>362</v>
      </c>
      <c r="F338" s="75" t="str">
        <f t="shared" si="51"/>
        <v>dt_apprsl_prvs_as_is</v>
      </c>
      <c r="G338" s="75" t="str">
        <f t="shared" si="52"/>
        <v>dt_apprsl_prvs_to_be</v>
      </c>
      <c r="H338" s="75" t="str">
        <f>IF(VLOOKUP(B338,Instruções!$F$13:$J$17,5,0)="",
"(SELECT "&amp;VLOOKUP(B338,Instruções!$F$13:$J$17,4,0)&amp;" as "&amp;VLOOKUP(B338,Instruções!$F$13:$J$17,4,0)&amp;"_"&amp;$F$2&amp;", "&amp;E338&amp;" as "&amp;F338&amp;" FROM "&amp;C338&amp;" WHERE "&amp;Instruções!$D$20&amp;") A ",
"(SELECT "&amp;VLOOKUP(B338,Instruções!$F$13:$J$17,4,0)&amp;" as "&amp;VLOOKUP(B338,Instruções!$F$13:$J$17,4,0)&amp;"_"&amp;$F$2&amp;", "&amp;VLOOKUP(B338,Instruções!$F$13:$J$17,5,0)&amp;" as "&amp;VLOOKUP(B338,Instruções!$F$13:$J$17,5,0)&amp;"_"&amp;$F$2&amp;","&amp;E338&amp;" as "&amp;F338&amp;" FROM "&amp;C338&amp;" WHERE "&amp;Instruções!$D$20&amp;") A ")</f>
        <v xml:space="preserve">(SELECT prtctn_id as prtctn_id_, dt_apprsl_prvs as dt_apprsl_prvs_as_is FROM cd_loan_tapes_bce.lt004_protection WHERE ref_date='2024-09-30' AND nome_perimetro='Individual Corporativo' AND segmento='ESTR' AND ambito='PM' AND entidade='00100' ) A </v>
      </c>
      <c r="I338" s="75" t="str">
        <f>IF(VLOOKUP(B338,Instruções!$F$13:$J$17,5,0)="",
"(SELECT "&amp;VLOOKUP(B338,Instruções!$F$13:$J$17,4,0)&amp;" as "&amp;VLOOKUP(B338,Instruções!$F$13:$J$17,4,0)&amp;"_"&amp;$G$2&amp;", "&amp;E338&amp;" as "&amp;G338&amp;" FROM "&amp;D338&amp;" WHERE "&amp;Instruções!$D$21&amp;") B ",
"(SELECT "&amp;VLOOKUP(B338,Instruções!$F$13:$J$17,4,0)&amp;" as "&amp;VLOOKUP(B338,Instruções!$F$13:$J$17,4,0)&amp;"_"&amp;$G$2&amp;", "&amp;VLOOKUP(B338,Instruções!$F$13:$J$17,5,0)&amp;" as "&amp;VLOOKUP(B338,Instruções!$F$13:$J$17,5,0)&amp;"_"&amp;$G$2&amp;","&amp;E338&amp;" as "&amp;G338&amp;" FROM "&amp;D338&amp;" WHERE "&amp;Instruções!$D$21&amp;") B ")</f>
        <v xml:space="preserve">(SELECT prtctn_id as prtctn_id_, dt_apprsl_prvs as dt_apprsl_prvs_to_be FROM bu_loantape_work.lt004_protection WHERE ref_date='2024-09-30' AND nome_perimetro='Individual Corporativo' AND segmento='ESTR' AND ambito='PM' AND entidade='00100' ) B </v>
      </c>
      <c r="J338" s="75" t="str">
        <f>+IF(VLOOKUP(B338,Instruções!$F$13:$J$17,5,0)="", "ON "&amp;VLOOKUP(B338,Instruções!$F$13:$J$17,4,0)&amp;"_"&amp;$F$7&amp;"="&amp;VLOOKUP(B338,Instruções!$F$13:$J$17,4,0)&amp;"_"&amp;$G$7&amp;" ", "ON "&amp;VLOOKUP(B338,Instruções!$F$13:$J$17,4,0)&amp;"_"&amp;$F$7&amp;"="&amp;VLOOKUP(B338,Instruções!$F$13:$J$17,4,0)&amp;"_"&amp;$G$7&amp;" AND "&amp;VLOOKUP(B338,Instruções!$F$13:$J$17,5,0)&amp;"_"&amp;$F$7&amp;"="&amp;VLOOKUP(B338,Instruções!$F$13:$J$17,5,0)&amp;"_"&amp;$G$7&amp;" ")</f>
        <v xml:space="preserve">ON prtctn_id_as_is=prtctn_id_to_be </v>
      </c>
      <c r="K338" s="75" t="str">
        <f t="shared" si="53"/>
        <v xml:space="preserve">WHERE coalesce(cast(dt_apprsl_prvs_as_is AS string),'')&lt;&gt;coalesce(cast(dt_apprsl_prvs_to_be AS string),'') </v>
      </c>
      <c r="L338" s="75" t="str">
        <f t="shared" si="54"/>
        <v xml:space="preserve">SELECT count(*) AS NUM_REG_DIF FROM (SELECT prtctn_id as prtctn_id_, dt_apprsl_prvs as dt_apprsl_prvs_as_is FROM cd_loan_tapes_bce.lt004_protection WHERE ref_date='2024-09-30' AND nome_perimetro='Individual Corporativo' AND segmento='ESTR' AND ambito='PM' AND entidade='00100' ) A  Inner join (SELECT prtctn_id as prtctn_id_, dt_apprsl_prvs as dt_apprsl_prvs_to_be FROM bu_loantape_work.lt004_protection WHERE ref_date='2024-09-30' AND nome_perimetro='Individual Corporativo' AND segmento='ESTR' AND ambito='PM' AND entidade='00100' ) B ON prtctn_id_as_is=prtctn_id_to_be WHERE coalesce(cast(dt_apprsl_prvs_as_is AS string),'')&lt;&gt;coalesce(cast(dt_apprsl_prvs_to_be AS string),'') </v>
      </c>
      <c r="M338" s="75" t="s">
        <v>55</v>
      </c>
      <c r="N338" s="75" t="str">
        <f>"SELECT 'Validação de campos' as tipologia_teste, '"&amp;VLOOKUP(B338,Instruções!$F$13:$J$17,3,0)&amp;"' AS TABELA, '"&amp;E338&amp;"' AS CAMPO, '"&amp;Instruções!$D$15&amp;"' as ref_date, coalesce(NUM_REG_DIF, 0) AS NUM_REG_DIF FROM ("&amp;L338&amp;") A "</f>
        <v xml:space="preserve">SELECT 'Validação de campos' as tipologia_teste, 'lt004_protection' AS TABELA, 'dt_apprsl_prvs' AS CAMPO, '2024-09-30' as ref_date, coalesce(NUM_REG_DIF, 0) AS NUM_REG_DIF FROM (SELECT count(*) AS NUM_REG_DIF FROM (SELECT prtctn_id as prtctn_id_, dt_apprsl_prvs as dt_apprsl_prvs_as_is FROM cd_loan_tapes_bce.lt004_protection WHERE ref_date='2024-09-30' AND nome_perimetro='Individual Corporativo' AND segmento='ESTR' AND ambito='PM' AND entidade='00100' ) A  Inner join (SELECT prtctn_id as prtctn_id_, dt_apprsl_prvs as dt_apprsl_prvs_to_be FROM bu_loantape_work.lt004_protection WHERE ref_date='2024-09-30' AND nome_perimetro='Individual Corporativo' AND segmento='ESTR' AND ambito='PM' AND entidade='00100' ) B ON prtctn_id_as_is=prtctn_id_to_be WHERE coalesce(cast(dt_apprsl_prvs_as_is AS string),'')&lt;&gt;coalesce(cast(dt_apprsl_prvs_to_be AS string),'') ) A </v>
      </c>
      <c r="O338" s="76" t="str">
        <f t="shared" si="55"/>
        <v>SELECT 'Validação de campos' as tipologia_teste, 'lt004_protection' AS TABELA, 'dt_apprsl_prvs' AS CAMPO, '2024-09-30' as ref_date, coalesce(NUM_REG_DIF, 0) AS NUM_REG_DIF FROM (SELECT count(*) AS NUM_REG_DIF FROM (SELECT prtctn_id as prtctn_id_, dt_apprsl_prvs as dt_apprsl_prvs_as_is FROM cd_loan_tapes_bce.lt004_protection WHERE ref_date='2024-09-30' AND nome_perimetro='Individual Corporativo' AND segmento='ESTR' AND ambito='PM' AND entidade='00100' ) A  Inner join (SELECT prtctn_id as prtctn_id_, dt_apprsl_prvs as dt_apprsl_prvs_to_be FROM bu_loantape_work.lt004_protection WHERE ref_date='2024-09-30' AND nome_perimetro='Individual Corporativo' AND segmento='ESTR' AND ambito='PM' AND entidade='00100' ) B ON prtctn_id_as_is=prtctn_id_to_be WHERE coalesce(cast(dt_apprsl_prvs_as_is AS string),'')&lt;&gt;coalesce(cast(dt_apprsl_prvs_to_be AS string),'') ) A Union all</v>
      </c>
      <c r="P338" s="75">
        <f t="shared" si="56"/>
        <v>24</v>
      </c>
    </row>
    <row r="339" spans="2:16" s="63" customFormat="1" ht="18" customHeight="1">
      <c r="B339" s="75" t="s">
        <v>30</v>
      </c>
      <c r="C339" s="75" t="str">
        <f>_xlfn.CONCAT(Instruções!$D$13,".",VLOOKUP(B339,Instruções!$F$12:$H$17,2,0))</f>
        <v>cd_loan_tapes_bce.lt004_protection</v>
      </c>
      <c r="D339" s="75" t="str">
        <f>_xlfn.CONCAT(Instruções!$D$14,".",VLOOKUP(B339,Instruções!$F$12:$H$17,3,0))</f>
        <v>bu_loantape_work.lt004_protection</v>
      </c>
      <c r="E339" s="75" t="s">
        <v>363</v>
      </c>
      <c r="F339" s="75" t="str">
        <f t="shared" si="51"/>
        <v>dt_cnstrctn_stts_as_is</v>
      </c>
      <c r="G339" s="75" t="str">
        <f t="shared" si="52"/>
        <v>dt_cnstrctn_stts_to_be</v>
      </c>
      <c r="H339" s="75" t="str">
        <f>IF(VLOOKUP(B339,Instruções!$F$13:$J$17,5,0)="",
"(SELECT "&amp;VLOOKUP(B339,Instruções!$F$13:$J$17,4,0)&amp;" as "&amp;VLOOKUP(B339,Instruções!$F$13:$J$17,4,0)&amp;"_"&amp;$F$2&amp;", "&amp;E339&amp;" as "&amp;F339&amp;" FROM "&amp;C339&amp;" WHERE "&amp;Instruções!$D$20&amp;") A ",
"(SELECT "&amp;VLOOKUP(B339,Instruções!$F$13:$J$17,4,0)&amp;" as "&amp;VLOOKUP(B339,Instruções!$F$13:$J$17,4,0)&amp;"_"&amp;$F$2&amp;", "&amp;VLOOKUP(B339,Instruções!$F$13:$J$17,5,0)&amp;" as "&amp;VLOOKUP(B339,Instruções!$F$13:$J$17,5,0)&amp;"_"&amp;$F$2&amp;","&amp;E339&amp;" as "&amp;F339&amp;" FROM "&amp;C339&amp;" WHERE "&amp;Instruções!$D$20&amp;") A ")</f>
        <v xml:space="preserve">(SELECT prtctn_id as prtctn_id_, dt_cnstrctn_stts as dt_cnstrctn_stts_as_is FROM cd_loan_tapes_bce.lt004_protection WHERE ref_date='2024-09-30' AND nome_perimetro='Individual Corporativo' AND segmento='ESTR' AND ambito='PM' AND entidade='00100' ) A </v>
      </c>
      <c r="I339" s="75" t="str">
        <f>IF(VLOOKUP(B339,Instruções!$F$13:$J$17,5,0)="",
"(SELECT "&amp;VLOOKUP(B339,Instruções!$F$13:$J$17,4,0)&amp;" as "&amp;VLOOKUP(B339,Instruções!$F$13:$J$17,4,0)&amp;"_"&amp;$G$2&amp;", "&amp;E339&amp;" as "&amp;G339&amp;" FROM "&amp;D339&amp;" WHERE "&amp;Instruções!$D$21&amp;") B ",
"(SELECT "&amp;VLOOKUP(B339,Instruções!$F$13:$J$17,4,0)&amp;" as "&amp;VLOOKUP(B339,Instruções!$F$13:$J$17,4,0)&amp;"_"&amp;$G$2&amp;", "&amp;VLOOKUP(B339,Instruções!$F$13:$J$17,5,0)&amp;" as "&amp;VLOOKUP(B339,Instruções!$F$13:$J$17,5,0)&amp;"_"&amp;$G$2&amp;","&amp;E339&amp;" as "&amp;G339&amp;" FROM "&amp;D339&amp;" WHERE "&amp;Instruções!$D$21&amp;") B ")</f>
        <v xml:space="preserve">(SELECT prtctn_id as prtctn_id_, dt_cnstrctn_stts as dt_cnstrctn_stts_to_be FROM bu_loantape_work.lt004_protection WHERE ref_date='2024-09-30' AND nome_perimetro='Individual Corporativo' AND segmento='ESTR' AND ambito='PM' AND entidade='00100' ) B </v>
      </c>
      <c r="J339" s="75" t="str">
        <f>+IF(VLOOKUP(B339,Instruções!$F$13:$J$17,5,0)="", "ON "&amp;VLOOKUP(B339,Instruções!$F$13:$J$17,4,0)&amp;"_"&amp;$F$7&amp;"="&amp;VLOOKUP(B339,Instruções!$F$13:$J$17,4,0)&amp;"_"&amp;$G$7&amp;" ", "ON "&amp;VLOOKUP(B339,Instruções!$F$13:$J$17,4,0)&amp;"_"&amp;$F$7&amp;"="&amp;VLOOKUP(B339,Instruções!$F$13:$J$17,4,0)&amp;"_"&amp;$G$7&amp;" AND "&amp;VLOOKUP(B339,Instruções!$F$13:$J$17,5,0)&amp;"_"&amp;$F$7&amp;"="&amp;VLOOKUP(B339,Instruções!$F$13:$J$17,5,0)&amp;"_"&amp;$G$7&amp;" ")</f>
        <v xml:space="preserve">ON prtctn_id_as_is=prtctn_id_to_be </v>
      </c>
      <c r="K339" s="75" t="str">
        <f t="shared" si="53"/>
        <v xml:space="preserve">WHERE coalesce(cast(dt_cnstrctn_stts_as_is AS string),'')&lt;&gt;coalesce(cast(dt_cnstrctn_stts_to_be AS string),'') </v>
      </c>
      <c r="L339" s="75" t="str">
        <f t="shared" si="54"/>
        <v xml:space="preserve">SELECT count(*) AS NUM_REG_DIF FROM (SELECT prtctn_id as prtctn_id_, dt_cnstrctn_stts as dt_cnstrctn_stts_as_is FROM cd_loan_tapes_bce.lt004_protection WHERE ref_date='2024-09-30' AND nome_perimetro='Individual Corporativo' AND segmento='ESTR' AND ambito='PM' AND entidade='00100' ) A  Inner join (SELECT prtctn_id as prtctn_id_, dt_cnstrctn_stts as dt_cnstrctn_stts_to_be FROM bu_loantape_work.lt004_protection WHERE ref_date='2024-09-30' AND nome_perimetro='Individual Corporativo' AND segmento='ESTR' AND ambito='PM' AND entidade='00100' ) B ON prtctn_id_as_is=prtctn_id_to_be WHERE coalesce(cast(dt_cnstrctn_stts_as_is AS string),'')&lt;&gt;coalesce(cast(dt_cnstrctn_stts_to_be AS string),'') </v>
      </c>
      <c r="M339" s="75" t="s">
        <v>55</v>
      </c>
      <c r="N339" s="75" t="str">
        <f>"SELECT 'Validação de campos' as tipologia_teste, '"&amp;VLOOKUP(B339,Instruções!$F$13:$J$17,3,0)&amp;"' AS TABELA, '"&amp;E339&amp;"' AS CAMPO, '"&amp;Instruções!$D$15&amp;"' as ref_date, coalesce(NUM_REG_DIF, 0) AS NUM_REG_DIF FROM ("&amp;L339&amp;") A "</f>
        <v xml:space="preserve">SELECT 'Validação de campos' as tipologia_teste, 'lt004_protection' AS TABELA, 'dt_cnstrctn_stts' AS CAMPO, '2024-09-30' as ref_date, coalesce(NUM_REG_DIF, 0) AS NUM_REG_DIF FROM (SELECT count(*) AS NUM_REG_DIF FROM (SELECT prtctn_id as prtctn_id_, dt_cnstrctn_stts as dt_cnstrctn_stts_as_is FROM cd_loan_tapes_bce.lt004_protection WHERE ref_date='2024-09-30' AND nome_perimetro='Individual Corporativo' AND segmento='ESTR' AND ambito='PM' AND entidade='00100' ) A  Inner join (SELECT prtctn_id as prtctn_id_, dt_cnstrctn_stts as dt_cnstrctn_stts_to_be FROM bu_loantape_work.lt004_protection WHERE ref_date='2024-09-30' AND nome_perimetro='Individual Corporativo' AND segmento='ESTR' AND ambito='PM' AND entidade='00100' ) B ON prtctn_id_as_is=prtctn_id_to_be WHERE coalesce(cast(dt_cnstrctn_stts_as_is AS string),'')&lt;&gt;coalesce(cast(dt_cnstrctn_stts_to_be AS string),'') ) A </v>
      </c>
      <c r="O339" s="76" t="str">
        <f t="shared" si="55"/>
        <v>SELECT 'Validação de campos' as tipologia_teste, 'lt004_protection' AS TABELA, 'dt_cnstrctn_stts' AS CAMPO, '2024-09-30' as ref_date, coalesce(NUM_REG_DIF, 0) AS NUM_REG_DIF FROM (SELECT count(*) AS NUM_REG_DIF FROM (SELECT prtctn_id as prtctn_id_, dt_cnstrctn_stts as dt_cnstrctn_stts_as_is FROM cd_loan_tapes_bce.lt004_protection WHERE ref_date='2024-09-30' AND nome_perimetro='Individual Corporativo' AND segmento='ESTR' AND ambito='PM' AND entidade='00100' ) A  Inner join (SELECT prtctn_id as prtctn_id_, dt_cnstrctn_stts as dt_cnstrctn_stts_to_be FROM bu_loantape_work.lt004_protection WHERE ref_date='2024-09-30' AND nome_perimetro='Individual Corporativo' AND segmento='ESTR' AND ambito='PM' AND entidade='00100' ) B ON prtctn_id_as_is=prtctn_id_to_be WHERE coalesce(cast(dt_cnstrctn_stts_as_is AS string),'')&lt;&gt;coalesce(cast(dt_cnstrctn_stts_to_be AS string),'') ) A Union all</v>
      </c>
      <c r="P339" s="75">
        <f t="shared" si="56"/>
        <v>25</v>
      </c>
    </row>
    <row r="340" spans="2:16" s="63" customFormat="1" ht="18" customHeight="1">
      <c r="B340" s="75" t="s">
        <v>30</v>
      </c>
      <c r="C340" s="75" t="str">
        <f>_xlfn.CONCAT(Instruções!$D$13,".",VLOOKUP(B340,Instruções!$F$12:$H$17,2,0))</f>
        <v>cd_loan_tapes_bce.lt004_protection</v>
      </c>
      <c r="D340" s="75" t="str">
        <f>_xlfn.CONCAT(Instruções!$D$14,".",VLOOKUP(B340,Instruções!$F$12:$H$17,3,0))</f>
        <v>bu_loantape_work.lt004_protection</v>
      </c>
      <c r="E340" s="75" t="s">
        <v>364</v>
      </c>
      <c r="F340" s="75" t="str">
        <f t="shared" si="51"/>
        <v>dt_frst_usg_as_is</v>
      </c>
      <c r="G340" s="75" t="str">
        <f t="shared" si="52"/>
        <v>dt_frst_usg_to_be</v>
      </c>
      <c r="H340" s="75" t="str">
        <f>IF(VLOOKUP(B340,Instruções!$F$13:$J$17,5,0)="",
"(SELECT "&amp;VLOOKUP(B340,Instruções!$F$13:$J$17,4,0)&amp;" as "&amp;VLOOKUP(B340,Instruções!$F$13:$J$17,4,0)&amp;"_"&amp;$F$2&amp;", "&amp;E340&amp;" as "&amp;F340&amp;" FROM "&amp;C340&amp;" WHERE "&amp;Instruções!$D$20&amp;") A ",
"(SELECT "&amp;VLOOKUP(B340,Instruções!$F$13:$J$17,4,0)&amp;" as "&amp;VLOOKUP(B340,Instruções!$F$13:$J$17,4,0)&amp;"_"&amp;$F$2&amp;", "&amp;VLOOKUP(B340,Instruções!$F$13:$J$17,5,0)&amp;" as "&amp;VLOOKUP(B340,Instruções!$F$13:$J$17,5,0)&amp;"_"&amp;$F$2&amp;","&amp;E340&amp;" as "&amp;F340&amp;" FROM "&amp;C340&amp;" WHERE "&amp;Instruções!$D$20&amp;") A ")</f>
        <v xml:space="preserve">(SELECT prtctn_id as prtctn_id_, dt_frst_usg as dt_frst_usg_as_is FROM cd_loan_tapes_bce.lt004_protection WHERE ref_date='2024-09-30' AND nome_perimetro='Individual Corporativo' AND segmento='ESTR' AND ambito='PM' AND entidade='00100' ) A </v>
      </c>
      <c r="I340" s="75" t="str">
        <f>IF(VLOOKUP(B340,Instruções!$F$13:$J$17,5,0)="",
"(SELECT "&amp;VLOOKUP(B340,Instruções!$F$13:$J$17,4,0)&amp;" as "&amp;VLOOKUP(B340,Instruções!$F$13:$J$17,4,0)&amp;"_"&amp;$G$2&amp;", "&amp;E340&amp;" as "&amp;G340&amp;" FROM "&amp;D340&amp;" WHERE "&amp;Instruções!$D$21&amp;") B ",
"(SELECT "&amp;VLOOKUP(B340,Instruções!$F$13:$J$17,4,0)&amp;" as "&amp;VLOOKUP(B340,Instruções!$F$13:$J$17,4,0)&amp;"_"&amp;$G$2&amp;", "&amp;VLOOKUP(B340,Instruções!$F$13:$J$17,5,0)&amp;" as "&amp;VLOOKUP(B340,Instruções!$F$13:$J$17,5,0)&amp;"_"&amp;$G$2&amp;","&amp;E340&amp;" as "&amp;G340&amp;" FROM "&amp;D340&amp;" WHERE "&amp;Instruções!$D$21&amp;") B ")</f>
        <v xml:space="preserve">(SELECT prtctn_id as prtctn_id_, dt_frst_usg as dt_frst_usg_to_be FROM bu_loantape_work.lt004_protection WHERE ref_date='2024-09-30' AND nome_perimetro='Individual Corporativo' AND segmento='ESTR' AND ambito='PM' AND entidade='00100' ) B </v>
      </c>
      <c r="J340" s="75" t="str">
        <f>+IF(VLOOKUP(B340,Instruções!$F$13:$J$17,5,0)="", "ON "&amp;VLOOKUP(B340,Instruções!$F$13:$J$17,4,0)&amp;"_"&amp;$F$7&amp;"="&amp;VLOOKUP(B340,Instruções!$F$13:$J$17,4,0)&amp;"_"&amp;$G$7&amp;" ", "ON "&amp;VLOOKUP(B340,Instruções!$F$13:$J$17,4,0)&amp;"_"&amp;$F$7&amp;"="&amp;VLOOKUP(B340,Instruções!$F$13:$J$17,4,0)&amp;"_"&amp;$G$7&amp;" AND "&amp;VLOOKUP(B340,Instruções!$F$13:$J$17,5,0)&amp;"_"&amp;$F$7&amp;"="&amp;VLOOKUP(B340,Instruções!$F$13:$J$17,5,0)&amp;"_"&amp;$G$7&amp;" ")</f>
        <v xml:space="preserve">ON prtctn_id_as_is=prtctn_id_to_be </v>
      </c>
      <c r="K340" s="75" t="str">
        <f t="shared" si="53"/>
        <v xml:space="preserve">WHERE coalesce(cast(dt_frst_usg_as_is AS string),'')&lt;&gt;coalesce(cast(dt_frst_usg_to_be AS string),'') </v>
      </c>
      <c r="L340" s="75" t="str">
        <f t="shared" si="54"/>
        <v xml:space="preserve">SELECT count(*) AS NUM_REG_DIF FROM (SELECT prtctn_id as prtctn_id_, dt_frst_usg as dt_frst_usg_as_is FROM cd_loan_tapes_bce.lt004_protection WHERE ref_date='2024-09-30' AND nome_perimetro='Individual Corporativo' AND segmento='ESTR' AND ambito='PM' AND entidade='00100' ) A  Inner join (SELECT prtctn_id as prtctn_id_, dt_frst_usg as dt_frst_usg_to_be FROM bu_loantape_work.lt004_protection WHERE ref_date='2024-09-30' AND nome_perimetro='Individual Corporativo' AND segmento='ESTR' AND ambito='PM' AND entidade='00100' ) B ON prtctn_id_as_is=prtctn_id_to_be WHERE coalesce(cast(dt_frst_usg_as_is AS string),'')&lt;&gt;coalesce(cast(dt_frst_usg_to_be AS string),'') </v>
      </c>
      <c r="M340" s="75" t="s">
        <v>55</v>
      </c>
      <c r="N340" s="75" t="str">
        <f>"SELECT 'Validação de campos' as tipologia_teste, '"&amp;VLOOKUP(B340,Instruções!$F$13:$J$17,3,0)&amp;"' AS TABELA, '"&amp;E340&amp;"' AS CAMPO, '"&amp;Instruções!$D$15&amp;"' as ref_date, coalesce(NUM_REG_DIF, 0) AS NUM_REG_DIF FROM ("&amp;L340&amp;") A "</f>
        <v xml:space="preserve">SELECT 'Validação de campos' as tipologia_teste, 'lt004_protection' AS TABELA, 'dt_frst_usg' AS CAMPO, '2024-09-30' as ref_date, coalesce(NUM_REG_DIF, 0) AS NUM_REG_DIF FROM (SELECT count(*) AS NUM_REG_DIF FROM (SELECT prtctn_id as prtctn_id_, dt_frst_usg as dt_frst_usg_as_is FROM cd_loan_tapes_bce.lt004_protection WHERE ref_date='2024-09-30' AND nome_perimetro='Individual Corporativo' AND segmento='ESTR' AND ambito='PM' AND entidade='00100' ) A  Inner join (SELECT prtctn_id as prtctn_id_, dt_frst_usg as dt_frst_usg_to_be FROM bu_loantape_work.lt004_protection WHERE ref_date='2024-09-30' AND nome_perimetro='Individual Corporativo' AND segmento='ESTR' AND ambito='PM' AND entidade='00100' ) B ON prtctn_id_as_is=prtctn_id_to_be WHERE coalesce(cast(dt_frst_usg_as_is AS string),'')&lt;&gt;coalesce(cast(dt_frst_usg_to_be AS string),'') ) A </v>
      </c>
      <c r="O340" s="76" t="str">
        <f t="shared" si="55"/>
        <v>SELECT 'Validação de campos' as tipologia_teste, 'lt004_protection' AS TABELA, 'dt_frst_usg' AS CAMPO, '2024-09-30' as ref_date, coalesce(NUM_REG_DIF, 0) AS NUM_REG_DIF FROM (SELECT count(*) AS NUM_REG_DIF FROM (SELECT prtctn_id as prtctn_id_, dt_frst_usg as dt_frst_usg_as_is FROM cd_loan_tapes_bce.lt004_protection WHERE ref_date='2024-09-30' AND nome_perimetro='Individual Corporativo' AND segmento='ESTR' AND ambito='PM' AND entidade='00100' ) A  Inner join (SELECT prtctn_id as prtctn_id_, dt_frst_usg as dt_frst_usg_to_be FROM bu_loantape_work.lt004_protection WHERE ref_date='2024-09-30' AND nome_perimetro='Individual Corporativo' AND segmento='ESTR' AND ambito='PM' AND entidade='00100' ) B ON prtctn_id_as_is=prtctn_id_to_be WHERE coalesce(cast(dt_frst_usg_as_is AS string),'')&lt;&gt;coalesce(cast(dt_frst_usg_to_be AS string),'') ) A Union all</v>
      </c>
      <c r="P340" s="75">
        <f t="shared" si="56"/>
        <v>26</v>
      </c>
    </row>
    <row r="341" spans="2:16" s="63" customFormat="1" ht="18" customHeight="1">
      <c r="B341" s="75" t="s">
        <v>30</v>
      </c>
      <c r="C341" s="75" t="str">
        <f>_xlfn.CONCAT(Instruções!$D$13,".",VLOOKUP(B341,Instruções!$F$12:$H$17,2,0))</f>
        <v>cd_loan_tapes_bce.lt004_protection</v>
      </c>
      <c r="D341" s="75" t="str">
        <f>_xlfn.CONCAT(Instruções!$D$14,".",VLOOKUP(B341,Instruções!$F$12:$H$17,3,0))</f>
        <v>bu_loantape_work.lt004_protection</v>
      </c>
      <c r="E341" s="75" t="s">
        <v>365</v>
      </c>
      <c r="F341" s="75" t="str">
        <f t="shared" si="51"/>
        <v>dt_lst_fll_apprsl_as_is</v>
      </c>
      <c r="G341" s="75" t="str">
        <f t="shared" si="52"/>
        <v>dt_lst_fll_apprsl_to_be</v>
      </c>
      <c r="H341" s="75" t="str">
        <f>IF(VLOOKUP(B341,Instruções!$F$13:$J$17,5,0)="",
"(SELECT "&amp;VLOOKUP(B341,Instruções!$F$13:$J$17,4,0)&amp;" as "&amp;VLOOKUP(B341,Instruções!$F$13:$J$17,4,0)&amp;"_"&amp;$F$2&amp;", "&amp;E341&amp;" as "&amp;F341&amp;" FROM "&amp;C341&amp;" WHERE "&amp;Instruções!$D$20&amp;") A ",
"(SELECT "&amp;VLOOKUP(B341,Instruções!$F$13:$J$17,4,0)&amp;" as "&amp;VLOOKUP(B341,Instruções!$F$13:$J$17,4,0)&amp;"_"&amp;$F$2&amp;", "&amp;VLOOKUP(B341,Instruções!$F$13:$J$17,5,0)&amp;" as "&amp;VLOOKUP(B341,Instruções!$F$13:$J$17,5,0)&amp;"_"&amp;$F$2&amp;","&amp;E341&amp;" as "&amp;F341&amp;" FROM "&amp;C341&amp;" WHERE "&amp;Instruções!$D$20&amp;") A ")</f>
        <v xml:space="preserve">(SELECT prtctn_id as prtctn_id_, dt_lst_fll_apprsl as dt_lst_fll_apprsl_as_is FROM cd_loan_tapes_bce.lt004_protection WHERE ref_date='2024-09-30' AND nome_perimetro='Individual Corporativo' AND segmento='ESTR' AND ambito='PM' AND entidade='00100' ) A </v>
      </c>
      <c r="I341" s="75" t="str">
        <f>IF(VLOOKUP(B341,Instruções!$F$13:$J$17,5,0)="",
"(SELECT "&amp;VLOOKUP(B341,Instruções!$F$13:$J$17,4,0)&amp;" as "&amp;VLOOKUP(B341,Instruções!$F$13:$J$17,4,0)&amp;"_"&amp;$G$2&amp;", "&amp;E341&amp;" as "&amp;G341&amp;" FROM "&amp;D341&amp;" WHERE "&amp;Instruções!$D$21&amp;") B ",
"(SELECT "&amp;VLOOKUP(B341,Instruções!$F$13:$J$17,4,0)&amp;" as "&amp;VLOOKUP(B341,Instruções!$F$13:$J$17,4,0)&amp;"_"&amp;$G$2&amp;", "&amp;VLOOKUP(B341,Instruções!$F$13:$J$17,5,0)&amp;" as "&amp;VLOOKUP(B341,Instruções!$F$13:$J$17,5,0)&amp;"_"&amp;$G$2&amp;","&amp;E341&amp;" as "&amp;G341&amp;" FROM "&amp;D341&amp;" WHERE "&amp;Instruções!$D$21&amp;") B ")</f>
        <v xml:space="preserve">(SELECT prtctn_id as prtctn_id_, dt_lst_fll_apprsl as dt_lst_fll_apprsl_to_be FROM bu_loantape_work.lt004_protection WHERE ref_date='2024-09-30' AND nome_perimetro='Individual Corporativo' AND segmento='ESTR' AND ambito='PM' AND entidade='00100' ) B </v>
      </c>
      <c r="J341" s="75" t="str">
        <f>+IF(VLOOKUP(B341,Instruções!$F$13:$J$17,5,0)="", "ON "&amp;VLOOKUP(B341,Instruções!$F$13:$J$17,4,0)&amp;"_"&amp;$F$7&amp;"="&amp;VLOOKUP(B341,Instruções!$F$13:$J$17,4,0)&amp;"_"&amp;$G$7&amp;" ", "ON "&amp;VLOOKUP(B341,Instruções!$F$13:$J$17,4,0)&amp;"_"&amp;$F$7&amp;"="&amp;VLOOKUP(B341,Instruções!$F$13:$J$17,4,0)&amp;"_"&amp;$G$7&amp;" AND "&amp;VLOOKUP(B341,Instruções!$F$13:$J$17,5,0)&amp;"_"&amp;$F$7&amp;"="&amp;VLOOKUP(B341,Instruções!$F$13:$J$17,5,0)&amp;"_"&amp;$G$7&amp;" ")</f>
        <v xml:space="preserve">ON prtctn_id_as_is=prtctn_id_to_be </v>
      </c>
      <c r="K341" s="75" t="str">
        <f t="shared" si="53"/>
        <v xml:space="preserve">WHERE coalesce(cast(dt_lst_fll_apprsl_as_is AS string),'')&lt;&gt;coalesce(cast(dt_lst_fll_apprsl_to_be AS string),'') </v>
      </c>
      <c r="L341" s="75" t="str">
        <f t="shared" si="54"/>
        <v xml:space="preserve">SELECT count(*) AS NUM_REG_DIF FROM (SELECT prtctn_id as prtctn_id_, dt_lst_fll_apprsl as dt_lst_fll_apprsl_as_is FROM cd_loan_tapes_bce.lt004_protection WHERE ref_date='2024-09-30' AND nome_perimetro='Individual Corporativo' AND segmento='ESTR' AND ambito='PM' AND entidade='00100' ) A  Inner join (SELECT prtctn_id as prtctn_id_, dt_lst_fll_apprsl as dt_lst_fll_apprsl_to_be FROM bu_loantape_work.lt004_protection WHERE ref_date='2024-09-30' AND nome_perimetro='Individual Corporativo' AND segmento='ESTR' AND ambito='PM' AND entidade='00100' ) B ON prtctn_id_as_is=prtctn_id_to_be WHERE coalesce(cast(dt_lst_fll_apprsl_as_is AS string),'')&lt;&gt;coalesce(cast(dt_lst_fll_apprsl_to_be AS string),'') </v>
      </c>
      <c r="M341" s="75" t="s">
        <v>55</v>
      </c>
      <c r="N341" s="75" t="str">
        <f>"SELECT 'Validação de campos' as tipologia_teste, '"&amp;VLOOKUP(B341,Instruções!$F$13:$J$17,3,0)&amp;"' AS TABELA, '"&amp;E341&amp;"' AS CAMPO, '"&amp;Instruções!$D$15&amp;"' as ref_date, coalesce(NUM_REG_DIF, 0) AS NUM_REG_DIF FROM ("&amp;L341&amp;") A "</f>
        <v xml:space="preserve">SELECT 'Validação de campos' as tipologia_teste, 'lt004_protection' AS TABELA, 'dt_lst_fll_apprsl' AS CAMPO, '2024-09-30' as ref_date, coalesce(NUM_REG_DIF, 0) AS NUM_REG_DIF FROM (SELECT count(*) AS NUM_REG_DIF FROM (SELECT prtctn_id as prtctn_id_, dt_lst_fll_apprsl as dt_lst_fll_apprsl_as_is FROM cd_loan_tapes_bce.lt004_protection WHERE ref_date='2024-09-30' AND nome_perimetro='Individual Corporativo' AND segmento='ESTR' AND ambito='PM' AND entidade='00100' ) A  Inner join (SELECT prtctn_id as prtctn_id_, dt_lst_fll_apprsl as dt_lst_fll_apprsl_to_be FROM bu_loantape_work.lt004_protection WHERE ref_date='2024-09-30' AND nome_perimetro='Individual Corporativo' AND segmento='ESTR' AND ambito='PM' AND entidade='00100' ) B ON prtctn_id_as_is=prtctn_id_to_be WHERE coalesce(cast(dt_lst_fll_apprsl_as_is AS string),'')&lt;&gt;coalesce(cast(dt_lst_fll_apprsl_to_be AS string),'') ) A </v>
      </c>
      <c r="O341" s="76" t="str">
        <f t="shared" si="55"/>
        <v>SELECT 'Validação de campos' as tipologia_teste, 'lt004_protection' AS TABELA, 'dt_lst_fll_apprsl' AS CAMPO, '2024-09-30' as ref_date, coalesce(NUM_REG_DIF, 0) AS NUM_REG_DIF FROM (SELECT count(*) AS NUM_REG_DIF FROM (SELECT prtctn_id as prtctn_id_, dt_lst_fll_apprsl as dt_lst_fll_apprsl_as_is FROM cd_loan_tapes_bce.lt004_protection WHERE ref_date='2024-09-30' AND nome_perimetro='Individual Corporativo' AND segmento='ESTR' AND ambito='PM' AND entidade='00100' ) A  Inner join (SELECT prtctn_id as prtctn_id_, dt_lst_fll_apprsl as dt_lst_fll_apprsl_to_be FROM bu_loantape_work.lt004_protection WHERE ref_date='2024-09-30' AND nome_perimetro='Individual Corporativo' AND segmento='ESTR' AND ambito='PM' AND entidade='00100' ) B ON prtctn_id_as_is=prtctn_id_to_be WHERE coalesce(cast(dt_lst_fll_apprsl_as_is AS string),'')&lt;&gt;coalesce(cast(dt_lst_fll_apprsl_to_be AS string),'') ) A Union all</v>
      </c>
      <c r="P341" s="75">
        <f t="shared" si="56"/>
        <v>27</v>
      </c>
    </row>
    <row r="342" spans="2:16" s="63" customFormat="1" ht="18" customHeight="1">
      <c r="B342" s="75" t="s">
        <v>30</v>
      </c>
      <c r="C342" s="75" t="str">
        <f>_xlfn.CONCAT(Instruções!$D$13,".",VLOOKUP(B342,Instruções!$F$12:$H$17,2,0))</f>
        <v>cd_loan_tapes_bce.lt004_protection</v>
      </c>
      <c r="D342" s="75" t="str">
        <f>_xlfn.CONCAT(Instruções!$D$14,".",VLOOKUP(B342,Instruções!$F$12:$H$17,3,0))</f>
        <v>bu_loantape_work.lt004_protection</v>
      </c>
      <c r="E342" s="75" t="s">
        <v>366</v>
      </c>
      <c r="F342" s="75" t="str">
        <f t="shared" si="51"/>
        <v>dt_mtrty_prtctn_as_is</v>
      </c>
      <c r="G342" s="75" t="str">
        <f t="shared" si="52"/>
        <v>dt_mtrty_prtctn_to_be</v>
      </c>
      <c r="H342" s="75" t="str">
        <f>IF(VLOOKUP(B342,Instruções!$F$13:$J$17,5,0)="",
"(SELECT "&amp;VLOOKUP(B342,Instruções!$F$13:$J$17,4,0)&amp;" as "&amp;VLOOKUP(B342,Instruções!$F$13:$J$17,4,0)&amp;"_"&amp;$F$2&amp;", "&amp;E342&amp;" as "&amp;F342&amp;" FROM "&amp;C342&amp;" WHERE "&amp;Instruções!$D$20&amp;") A ",
"(SELECT "&amp;VLOOKUP(B342,Instruções!$F$13:$J$17,4,0)&amp;" as "&amp;VLOOKUP(B342,Instruções!$F$13:$J$17,4,0)&amp;"_"&amp;$F$2&amp;", "&amp;VLOOKUP(B342,Instruções!$F$13:$J$17,5,0)&amp;" as "&amp;VLOOKUP(B342,Instruções!$F$13:$J$17,5,0)&amp;"_"&amp;$F$2&amp;","&amp;E342&amp;" as "&amp;F342&amp;" FROM "&amp;C342&amp;" WHERE "&amp;Instruções!$D$20&amp;") A ")</f>
        <v xml:space="preserve">(SELECT prtctn_id as prtctn_id_, dt_mtrty_prtctn as dt_mtrty_prtctn_as_is FROM cd_loan_tapes_bce.lt004_protection WHERE ref_date='2024-09-30' AND nome_perimetro='Individual Corporativo' AND segmento='ESTR' AND ambito='PM' AND entidade='00100' ) A </v>
      </c>
      <c r="I342" s="75" t="str">
        <f>IF(VLOOKUP(B342,Instruções!$F$13:$J$17,5,0)="",
"(SELECT "&amp;VLOOKUP(B342,Instruções!$F$13:$J$17,4,0)&amp;" as "&amp;VLOOKUP(B342,Instruções!$F$13:$J$17,4,0)&amp;"_"&amp;$G$2&amp;", "&amp;E342&amp;" as "&amp;G342&amp;" FROM "&amp;D342&amp;" WHERE "&amp;Instruções!$D$21&amp;") B ",
"(SELECT "&amp;VLOOKUP(B342,Instruções!$F$13:$J$17,4,0)&amp;" as "&amp;VLOOKUP(B342,Instruções!$F$13:$J$17,4,0)&amp;"_"&amp;$G$2&amp;", "&amp;VLOOKUP(B342,Instruções!$F$13:$J$17,5,0)&amp;" as "&amp;VLOOKUP(B342,Instruções!$F$13:$J$17,5,0)&amp;"_"&amp;$G$2&amp;","&amp;E342&amp;" as "&amp;G342&amp;" FROM "&amp;D342&amp;" WHERE "&amp;Instruções!$D$21&amp;") B ")</f>
        <v xml:space="preserve">(SELECT prtctn_id as prtctn_id_, dt_mtrty_prtctn as dt_mtrty_prtctn_to_be FROM bu_loantape_work.lt004_protection WHERE ref_date='2024-09-30' AND nome_perimetro='Individual Corporativo' AND segmento='ESTR' AND ambito='PM' AND entidade='00100' ) B </v>
      </c>
      <c r="J342" s="75" t="str">
        <f>+IF(VLOOKUP(B342,Instruções!$F$13:$J$17,5,0)="", "ON "&amp;VLOOKUP(B342,Instruções!$F$13:$J$17,4,0)&amp;"_"&amp;$F$7&amp;"="&amp;VLOOKUP(B342,Instruções!$F$13:$J$17,4,0)&amp;"_"&amp;$G$7&amp;" ", "ON "&amp;VLOOKUP(B342,Instruções!$F$13:$J$17,4,0)&amp;"_"&amp;$F$7&amp;"="&amp;VLOOKUP(B342,Instruções!$F$13:$J$17,4,0)&amp;"_"&amp;$G$7&amp;" AND "&amp;VLOOKUP(B342,Instruções!$F$13:$J$17,5,0)&amp;"_"&amp;$F$7&amp;"="&amp;VLOOKUP(B342,Instruções!$F$13:$J$17,5,0)&amp;"_"&amp;$G$7&amp;" ")</f>
        <v xml:space="preserve">ON prtctn_id_as_is=prtctn_id_to_be </v>
      </c>
      <c r="K342" s="75" t="str">
        <f t="shared" si="53"/>
        <v xml:space="preserve">WHERE coalesce(cast(dt_mtrty_prtctn_as_is AS string),'')&lt;&gt;coalesce(cast(dt_mtrty_prtctn_to_be AS string),'') </v>
      </c>
      <c r="L342" s="75" t="str">
        <f t="shared" si="54"/>
        <v xml:space="preserve">SELECT count(*) AS NUM_REG_DIF FROM (SELECT prtctn_id as prtctn_id_, dt_mtrty_prtctn as dt_mtrty_prtctn_as_is FROM cd_loan_tapes_bce.lt004_protection WHERE ref_date='2024-09-30' AND nome_perimetro='Individual Corporativo' AND segmento='ESTR' AND ambito='PM' AND entidade='00100' ) A  Inner join (SELECT prtctn_id as prtctn_id_, dt_mtrty_prtctn as dt_mtrty_prtctn_to_be FROM bu_loantape_work.lt004_protection WHERE ref_date='2024-09-30' AND nome_perimetro='Individual Corporativo' AND segmento='ESTR' AND ambito='PM' AND entidade='00100' ) B ON prtctn_id_as_is=prtctn_id_to_be WHERE coalesce(cast(dt_mtrty_prtctn_as_is AS string),'')&lt;&gt;coalesce(cast(dt_mtrty_prtctn_to_be AS string),'') </v>
      </c>
      <c r="M342" s="75" t="s">
        <v>55</v>
      </c>
      <c r="N342" s="75" t="str">
        <f>"SELECT 'Validação de campos' as tipologia_teste, '"&amp;VLOOKUP(B342,Instruções!$F$13:$J$17,3,0)&amp;"' AS TABELA, '"&amp;E342&amp;"' AS CAMPO, '"&amp;Instruções!$D$15&amp;"' as ref_date, coalesce(NUM_REG_DIF, 0) AS NUM_REG_DIF FROM ("&amp;L342&amp;") A "</f>
        <v xml:space="preserve">SELECT 'Validação de campos' as tipologia_teste, 'lt004_protection' AS TABELA, 'dt_mtrty_prtctn' AS CAMPO, '2024-09-30' as ref_date, coalesce(NUM_REG_DIF, 0) AS NUM_REG_DIF FROM (SELECT count(*) AS NUM_REG_DIF FROM (SELECT prtctn_id as prtctn_id_, dt_mtrty_prtctn as dt_mtrty_prtctn_as_is FROM cd_loan_tapes_bce.lt004_protection WHERE ref_date='2024-09-30' AND nome_perimetro='Individual Corporativo' AND segmento='ESTR' AND ambito='PM' AND entidade='00100' ) A  Inner join (SELECT prtctn_id as prtctn_id_, dt_mtrty_prtctn as dt_mtrty_prtctn_to_be FROM bu_loantape_work.lt004_protection WHERE ref_date='2024-09-30' AND nome_perimetro='Individual Corporativo' AND segmento='ESTR' AND ambito='PM' AND entidade='00100' ) B ON prtctn_id_as_is=prtctn_id_to_be WHERE coalesce(cast(dt_mtrty_prtctn_as_is AS string),'')&lt;&gt;coalesce(cast(dt_mtrty_prtctn_to_be AS string),'') ) A </v>
      </c>
      <c r="O342" s="76" t="str">
        <f t="shared" si="55"/>
        <v>SELECT 'Validação de campos' as tipologia_teste, 'lt004_protection' AS TABELA, 'dt_mtrty_prtctn' AS CAMPO, '2024-09-30' as ref_date, coalesce(NUM_REG_DIF, 0) AS NUM_REG_DIF FROM (SELECT count(*) AS NUM_REG_DIF FROM (SELECT prtctn_id as prtctn_id_, dt_mtrty_prtctn as dt_mtrty_prtctn_as_is FROM cd_loan_tapes_bce.lt004_protection WHERE ref_date='2024-09-30' AND nome_perimetro='Individual Corporativo' AND segmento='ESTR' AND ambito='PM' AND entidade='00100' ) A  Inner join (SELECT prtctn_id as prtctn_id_, dt_mtrty_prtctn as dt_mtrty_prtctn_to_be FROM bu_loantape_work.lt004_protection WHERE ref_date='2024-09-30' AND nome_perimetro='Individual Corporativo' AND segmento='ESTR' AND ambito='PM' AND entidade='00100' ) B ON prtctn_id_as_is=prtctn_id_to_be WHERE coalesce(cast(dt_mtrty_prtctn_as_is AS string),'')&lt;&gt;coalesce(cast(dt_mtrty_prtctn_to_be AS string),'') ) A Union all</v>
      </c>
      <c r="P342" s="75">
        <f t="shared" si="56"/>
        <v>28</v>
      </c>
    </row>
    <row r="343" spans="2:16" s="63" customFormat="1" ht="18" customHeight="1">
      <c r="B343" s="75" t="s">
        <v>30</v>
      </c>
      <c r="C343" s="75" t="str">
        <f>_xlfn.CONCAT(Instruções!$D$13,".",VLOOKUP(B343,Instruções!$F$12:$H$17,2,0))</f>
        <v>cd_loan_tapes_bce.lt004_protection</v>
      </c>
      <c r="D343" s="75" t="str">
        <f>_xlfn.CONCAT(Instruções!$D$14,".",VLOOKUP(B343,Instruções!$F$12:$H$17,3,0))</f>
        <v>bu_loantape_work.lt004_protection</v>
      </c>
      <c r="E343" s="75" t="s">
        <v>367</v>
      </c>
      <c r="F343" s="75" t="str">
        <f t="shared" si="51"/>
        <v>dt_orgnl_prtctn_vl_as_is</v>
      </c>
      <c r="G343" s="75" t="str">
        <f t="shared" si="52"/>
        <v>dt_orgnl_prtctn_vl_to_be</v>
      </c>
      <c r="H343" s="75" t="str">
        <f>IF(VLOOKUP(B343,Instruções!$F$13:$J$17,5,0)="",
"(SELECT "&amp;VLOOKUP(B343,Instruções!$F$13:$J$17,4,0)&amp;" as "&amp;VLOOKUP(B343,Instruções!$F$13:$J$17,4,0)&amp;"_"&amp;$F$2&amp;", "&amp;E343&amp;" as "&amp;F343&amp;" FROM "&amp;C343&amp;" WHERE "&amp;Instruções!$D$20&amp;") A ",
"(SELECT "&amp;VLOOKUP(B343,Instruções!$F$13:$J$17,4,0)&amp;" as "&amp;VLOOKUP(B343,Instruções!$F$13:$J$17,4,0)&amp;"_"&amp;$F$2&amp;", "&amp;VLOOKUP(B343,Instruções!$F$13:$J$17,5,0)&amp;" as "&amp;VLOOKUP(B343,Instruções!$F$13:$J$17,5,0)&amp;"_"&amp;$F$2&amp;","&amp;E343&amp;" as "&amp;F343&amp;" FROM "&amp;C343&amp;" WHERE "&amp;Instruções!$D$20&amp;") A ")</f>
        <v xml:space="preserve">(SELECT prtctn_id as prtctn_id_, dt_orgnl_prtctn_vl as dt_orgnl_prtctn_vl_as_is FROM cd_loan_tapes_bce.lt004_protection WHERE ref_date='2024-09-30' AND nome_perimetro='Individual Corporativo' AND segmento='ESTR' AND ambito='PM' AND entidade='00100' ) A </v>
      </c>
      <c r="I343" s="75" t="str">
        <f>IF(VLOOKUP(B343,Instruções!$F$13:$J$17,5,0)="",
"(SELECT "&amp;VLOOKUP(B343,Instruções!$F$13:$J$17,4,0)&amp;" as "&amp;VLOOKUP(B343,Instruções!$F$13:$J$17,4,0)&amp;"_"&amp;$G$2&amp;", "&amp;E343&amp;" as "&amp;G343&amp;" FROM "&amp;D343&amp;" WHERE "&amp;Instruções!$D$21&amp;") B ",
"(SELECT "&amp;VLOOKUP(B343,Instruções!$F$13:$J$17,4,0)&amp;" as "&amp;VLOOKUP(B343,Instruções!$F$13:$J$17,4,0)&amp;"_"&amp;$G$2&amp;", "&amp;VLOOKUP(B343,Instruções!$F$13:$J$17,5,0)&amp;" as "&amp;VLOOKUP(B343,Instruções!$F$13:$J$17,5,0)&amp;"_"&amp;$G$2&amp;","&amp;E343&amp;" as "&amp;G343&amp;" FROM "&amp;D343&amp;" WHERE "&amp;Instruções!$D$21&amp;") B ")</f>
        <v xml:space="preserve">(SELECT prtctn_id as prtctn_id_, dt_orgnl_prtctn_vl as dt_orgnl_prtctn_vl_to_be FROM bu_loantape_work.lt004_protection WHERE ref_date='2024-09-30' AND nome_perimetro='Individual Corporativo' AND segmento='ESTR' AND ambito='PM' AND entidade='00100' ) B </v>
      </c>
      <c r="J343" s="75" t="str">
        <f>+IF(VLOOKUP(B343,Instruções!$F$13:$J$17,5,0)="", "ON "&amp;VLOOKUP(B343,Instruções!$F$13:$J$17,4,0)&amp;"_"&amp;$F$7&amp;"="&amp;VLOOKUP(B343,Instruções!$F$13:$J$17,4,0)&amp;"_"&amp;$G$7&amp;" ", "ON "&amp;VLOOKUP(B343,Instruções!$F$13:$J$17,4,0)&amp;"_"&amp;$F$7&amp;"="&amp;VLOOKUP(B343,Instruções!$F$13:$J$17,4,0)&amp;"_"&amp;$G$7&amp;" AND "&amp;VLOOKUP(B343,Instruções!$F$13:$J$17,5,0)&amp;"_"&amp;$F$7&amp;"="&amp;VLOOKUP(B343,Instruções!$F$13:$J$17,5,0)&amp;"_"&amp;$G$7&amp;" ")</f>
        <v xml:space="preserve">ON prtctn_id_as_is=prtctn_id_to_be </v>
      </c>
      <c r="K343" s="75" t="str">
        <f t="shared" si="53"/>
        <v xml:space="preserve">WHERE coalesce(cast(dt_orgnl_prtctn_vl_as_is AS string),'')&lt;&gt;coalesce(cast(dt_orgnl_prtctn_vl_to_be AS string),'') </v>
      </c>
      <c r="L343" s="75" t="str">
        <f t="shared" si="54"/>
        <v xml:space="preserve">SELECT count(*) AS NUM_REG_DIF FROM (SELECT prtctn_id as prtctn_id_, dt_orgnl_prtctn_vl as dt_orgnl_prtctn_vl_as_is FROM cd_loan_tapes_bce.lt004_protection WHERE ref_date='2024-09-30' AND nome_perimetro='Individual Corporativo' AND segmento='ESTR' AND ambito='PM' AND entidade='00100' ) A  Inner join (SELECT prtctn_id as prtctn_id_, dt_orgnl_prtctn_vl as dt_orgnl_prtctn_vl_to_be FROM bu_loantape_work.lt004_protection WHERE ref_date='2024-09-30' AND nome_perimetro='Individual Corporativo' AND segmento='ESTR' AND ambito='PM' AND entidade='00100' ) B ON prtctn_id_as_is=prtctn_id_to_be WHERE coalesce(cast(dt_orgnl_prtctn_vl_as_is AS string),'')&lt;&gt;coalesce(cast(dt_orgnl_prtctn_vl_to_be AS string),'') </v>
      </c>
      <c r="M343" s="75" t="s">
        <v>55</v>
      </c>
      <c r="N343" s="75" t="str">
        <f>"SELECT 'Validação de campos' as tipologia_teste, '"&amp;VLOOKUP(B343,Instruções!$F$13:$J$17,3,0)&amp;"' AS TABELA, '"&amp;E343&amp;"' AS CAMPO, '"&amp;Instruções!$D$15&amp;"' as ref_date, coalesce(NUM_REG_DIF, 0) AS NUM_REG_DIF FROM ("&amp;L343&amp;") A "</f>
        <v xml:space="preserve">SELECT 'Validação de campos' as tipologia_teste, 'lt004_protection' AS TABELA, 'dt_orgnl_prtctn_vl' AS CAMPO, '2024-09-30' as ref_date, coalesce(NUM_REG_DIF, 0) AS NUM_REG_DIF FROM (SELECT count(*) AS NUM_REG_DIF FROM (SELECT prtctn_id as prtctn_id_, dt_orgnl_prtctn_vl as dt_orgnl_prtctn_vl_as_is FROM cd_loan_tapes_bce.lt004_protection WHERE ref_date='2024-09-30' AND nome_perimetro='Individual Corporativo' AND segmento='ESTR' AND ambito='PM' AND entidade='00100' ) A  Inner join (SELECT prtctn_id as prtctn_id_, dt_orgnl_prtctn_vl as dt_orgnl_prtctn_vl_to_be FROM bu_loantape_work.lt004_protection WHERE ref_date='2024-09-30' AND nome_perimetro='Individual Corporativo' AND segmento='ESTR' AND ambito='PM' AND entidade='00100' ) B ON prtctn_id_as_is=prtctn_id_to_be WHERE coalesce(cast(dt_orgnl_prtctn_vl_as_is AS string),'')&lt;&gt;coalesce(cast(dt_orgnl_prtctn_vl_to_be AS string),'') ) A </v>
      </c>
      <c r="O343" s="76" t="str">
        <f t="shared" si="55"/>
        <v>SELECT 'Validação de campos' as tipologia_teste, 'lt004_protection' AS TABELA, 'dt_orgnl_prtctn_vl' AS CAMPO, '2024-09-30' as ref_date, coalesce(NUM_REG_DIF, 0) AS NUM_REG_DIF FROM (SELECT count(*) AS NUM_REG_DIF FROM (SELECT prtctn_id as prtctn_id_, dt_orgnl_prtctn_vl as dt_orgnl_prtctn_vl_as_is FROM cd_loan_tapes_bce.lt004_protection WHERE ref_date='2024-09-30' AND nome_perimetro='Individual Corporativo' AND segmento='ESTR' AND ambito='PM' AND entidade='00100' ) A  Inner join (SELECT prtctn_id as prtctn_id_, dt_orgnl_prtctn_vl as dt_orgnl_prtctn_vl_to_be FROM bu_loantape_work.lt004_protection WHERE ref_date='2024-09-30' AND nome_perimetro='Individual Corporativo' AND segmento='ESTR' AND ambito='PM' AND entidade='00100' ) B ON prtctn_id_as_is=prtctn_id_to_be WHERE coalesce(cast(dt_orgnl_prtctn_vl_as_is AS string),'')&lt;&gt;coalesce(cast(dt_orgnl_prtctn_vl_to_be AS string),'') ) A Union all</v>
      </c>
      <c r="P343" s="75">
        <f t="shared" si="56"/>
        <v>29</v>
      </c>
    </row>
    <row r="344" spans="2:16" s="63" customFormat="1" ht="18" customHeight="1">
      <c r="B344" s="75" t="s">
        <v>30</v>
      </c>
      <c r="C344" s="75" t="str">
        <f>_xlfn.CONCAT(Instruções!$D$13,".",VLOOKUP(B344,Instruções!$F$12:$H$17,2,0))</f>
        <v>cd_loan_tapes_bce.lt004_protection</v>
      </c>
      <c r="D344" s="75" t="str">
        <f>_xlfn.CONCAT(Instruções!$D$14,".",VLOOKUP(B344,Instruções!$F$12:$H$17,3,0))</f>
        <v>bu_loantape_work.lt004_protection</v>
      </c>
      <c r="E344" s="75" t="s">
        <v>368</v>
      </c>
      <c r="F344" s="75" t="str">
        <f t="shared" si="51"/>
        <v>dt_prtctn_vl_as_is</v>
      </c>
      <c r="G344" s="75" t="str">
        <f t="shared" si="52"/>
        <v>dt_prtctn_vl_to_be</v>
      </c>
      <c r="H344" s="75" t="str">
        <f>IF(VLOOKUP(B344,Instruções!$F$13:$J$17,5,0)="",
"(SELECT "&amp;VLOOKUP(B344,Instruções!$F$13:$J$17,4,0)&amp;" as "&amp;VLOOKUP(B344,Instruções!$F$13:$J$17,4,0)&amp;"_"&amp;$F$2&amp;", "&amp;E344&amp;" as "&amp;F344&amp;" FROM "&amp;C344&amp;" WHERE "&amp;Instruções!$D$20&amp;") A ",
"(SELECT "&amp;VLOOKUP(B344,Instruções!$F$13:$J$17,4,0)&amp;" as "&amp;VLOOKUP(B344,Instruções!$F$13:$J$17,4,0)&amp;"_"&amp;$F$2&amp;", "&amp;VLOOKUP(B344,Instruções!$F$13:$J$17,5,0)&amp;" as "&amp;VLOOKUP(B344,Instruções!$F$13:$J$17,5,0)&amp;"_"&amp;$F$2&amp;","&amp;E344&amp;" as "&amp;F344&amp;" FROM "&amp;C344&amp;" WHERE "&amp;Instruções!$D$20&amp;") A ")</f>
        <v xml:space="preserve">(SELECT prtctn_id as prtctn_id_, dt_prtctn_vl as dt_prtctn_vl_as_is FROM cd_loan_tapes_bce.lt004_protection WHERE ref_date='2024-09-30' AND nome_perimetro='Individual Corporativo' AND segmento='ESTR' AND ambito='PM' AND entidade='00100' ) A </v>
      </c>
      <c r="I344" s="75" t="str">
        <f>IF(VLOOKUP(B344,Instruções!$F$13:$J$17,5,0)="",
"(SELECT "&amp;VLOOKUP(B344,Instruções!$F$13:$J$17,4,0)&amp;" as "&amp;VLOOKUP(B344,Instruções!$F$13:$J$17,4,0)&amp;"_"&amp;$G$2&amp;", "&amp;E344&amp;" as "&amp;G344&amp;" FROM "&amp;D344&amp;" WHERE "&amp;Instruções!$D$21&amp;") B ",
"(SELECT "&amp;VLOOKUP(B344,Instruções!$F$13:$J$17,4,0)&amp;" as "&amp;VLOOKUP(B344,Instruções!$F$13:$J$17,4,0)&amp;"_"&amp;$G$2&amp;", "&amp;VLOOKUP(B344,Instruções!$F$13:$J$17,5,0)&amp;" as "&amp;VLOOKUP(B344,Instruções!$F$13:$J$17,5,0)&amp;"_"&amp;$G$2&amp;","&amp;E344&amp;" as "&amp;G344&amp;" FROM "&amp;D344&amp;" WHERE "&amp;Instruções!$D$21&amp;") B ")</f>
        <v xml:space="preserve">(SELECT prtctn_id as prtctn_id_, dt_prtctn_vl as dt_prtctn_vl_to_be FROM bu_loantape_work.lt004_protection WHERE ref_date='2024-09-30' AND nome_perimetro='Individual Corporativo' AND segmento='ESTR' AND ambito='PM' AND entidade='00100' ) B </v>
      </c>
      <c r="J344" s="75" t="str">
        <f>+IF(VLOOKUP(B344,Instruções!$F$13:$J$17,5,0)="", "ON "&amp;VLOOKUP(B344,Instruções!$F$13:$J$17,4,0)&amp;"_"&amp;$F$7&amp;"="&amp;VLOOKUP(B344,Instruções!$F$13:$J$17,4,0)&amp;"_"&amp;$G$7&amp;" ", "ON "&amp;VLOOKUP(B344,Instruções!$F$13:$J$17,4,0)&amp;"_"&amp;$F$7&amp;"="&amp;VLOOKUP(B344,Instruções!$F$13:$J$17,4,0)&amp;"_"&amp;$G$7&amp;" AND "&amp;VLOOKUP(B344,Instruções!$F$13:$J$17,5,0)&amp;"_"&amp;$F$7&amp;"="&amp;VLOOKUP(B344,Instruções!$F$13:$J$17,5,0)&amp;"_"&amp;$G$7&amp;" ")</f>
        <v xml:space="preserve">ON prtctn_id_as_is=prtctn_id_to_be </v>
      </c>
      <c r="K344" s="75" t="str">
        <f t="shared" si="53"/>
        <v xml:space="preserve">WHERE coalesce(cast(dt_prtctn_vl_as_is AS string),'')&lt;&gt;coalesce(cast(dt_prtctn_vl_to_be AS string),'') </v>
      </c>
      <c r="L344" s="75" t="str">
        <f t="shared" si="54"/>
        <v xml:space="preserve">SELECT count(*) AS NUM_REG_DIF FROM (SELECT prtctn_id as prtctn_id_, dt_prtctn_vl as dt_prtctn_vl_as_is FROM cd_loan_tapes_bce.lt004_protection WHERE ref_date='2024-09-30' AND nome_perimetro='Individual Corporativo' AND segmento='ESTR' AND ambito='PM' AND entidade='00100' ) A  Inner join (SELECT prtctn_id as prtctn_id_, dt_prtctn_vl as dt_prtctn_vl_to_be FROM bu_loantape_work.lt004_protection WHERE ref_date='2024-09-30' AND nome_perimetro='Individual Corporativo' AND segmento='ESTR' AND ambito='PM' AND entidade='00100' ) B ON prtctn_id_as_is=prtctn_id_to_be WHERE coalesce(cast(dt_prtctn_vl_as_is AS string),'')&lt;&gt;coalesce(cast(dt_prtctn_vl_to_be AS string),'') </v>
      </c>
      <c r="M344" s="75" t="s">
        <v>55</v>
      </c>
      <c r="N344" s="75" t="str">
        <f>"SELECT 'Validação de campos' as tipologia_teste, '"&amp;VLOOKUP(B344,Instruções!$F$13:$J$17,3,0)&amp;"' AS TABELA, '"&amp;E344&amp;"' AS CAMPO, '"&amp;Instruções!$D$15&amp;"' as ref_date, coalesce(NUM_REG_DIF, 0) AS NUM_REG_DIF FROM ("&amp;L344&amp;") A "</f>
        <v xml:space="preserve">SELECT 'Validação de campos' as tipologia_teste, 'lt004_protection' AS TABELA, 'dt_prtctn_vl' AS CAMPO, '2024-09-30' as ref_date, coalesce(NUM_REG_DIF, 0) AS NUM_REG_DIF FROM (SELECT count(*) AS NUM_REG_DIF FROM (SELECT prtctn_id as prtctn_id_, dt_prtctn_vl as dt_prtctn_vl_as_is FROM cd_loan_tapes_bce.lt004_protection WHERE ref_date='2024-09-30' AND nome_perimetro='Individual Corporativo' AND segmento='ESTR' AND ambito='PM' AND entidade='00100' ) A  Inner join (SELECT prtctn_id as prtctn_id_, dt_prtctn_vl as dt_prtctn_vl_to_be FROM bu_loantape_work.lt004_protection WHERE ref_date='2024-09-30' AND nome_perimetro='Individual Corporativo' AND segmento='ESTR' AND ambito='PM' AND entidade='00100' ) B ON prtctn_id_as_is=prtctn_id_to_be WHERE coalesce(cast(dt_prtctn_vl_as_is AS string),'')&lt;&gt;coalesce(cast(dt_prtctn_vl_to_be AS string),'') ) A </v>
      </c>
      <c r="O344" s="76" t="str">
        <f t="shared" si="55"/>
        <v>SELECT 'Validação de campos' as tipologia_teste, 'lt004_protection' AS TABELA, 'dt_prtctn_vl' AS CAMPO, '2024-09-30' as ref_date, coalesce(NUM_REG_DIF, 0) AS NUM_REG_DIF FROM (SELECT count(*) AS NUM_REG_DIF FROM (SELECT prtctn_id as prtctn_id_, dt_prtctn_vl as dt_prtctn_vl_as_is FROM cd_loan_tapes_bce.lt004_protection WHERE ref_date='2024-09-30' AND nome_perimetro='Individual Corporativo' AND segmento='ESTR' AND ambito='PM' AND entidade='00100' ) A  Inner join (SELECT prtctn_id as prtctn_id_, dt_prtctn_vl as dt_prtctn_vl_to_be FROM bu_loantape_work.lt004_protection WHERE ref_date='2024-09-30' AND nome_perimetro='Individual Corporativo' AND segmento='ESTR' AND ambito='PM' AND entidade='00100' ) B ON prtctn_id_as_is=prtctn_id_to_be WHERE coalesce(cast(dt_prtctn_vl_as_is AS string),'')&lt;&gt;coalesce(cast(dt_prtctn_vl_to_be AS string),'') ) A Union all</v>
      </c>
      <c r="P344" s="75">
        <f t="shared" si="56"/>
        <v>30</v>
      </c>
    </row>
    <row r="345" spans="2:16" s="63" customFormat="1" ht="18" customHeight="1">
      <c r="B345" s="75" t="s">
        <v>30</v>
      </c>
      <c r="C345" s="75" t="str">
        <f>_xlfn.CONCAT(Instruções!$D$13,".",VLOOKUP(B345,Instruções!$F$12:$H$17,2,0))</f>
        <v>cd_loan_tapes_bce.lt004_protection</v>
      </c>
      <c r="D345" s="75" t="str">
        <f>_xlfn.CONCAT(Instruções!$D$14,".",VLOOKUP(B345,Instruções!$F$12:$H$17,3,0))</f>
        <v>bu_loantape_work.lt004_protection</v>
      </c>
      <c r="E345" s="75" t="s">
        <v>369</v>
      </c>
      <c r="F345" s="75" t="str">
        <f t="shared" si="51"/>
        <v>dvlpmnt_stts_as_is</v>
      </c>
      <c r="G345" s="75" t="str">
        <f t="shared" si="52"/>
        <v>dvlpmnt_stts_to_be</v>
      </c>
      <c r="H345" s="75" t="str">
        <f>IF(VLOOKUP(B345,Instruções!$F$13:$J$17,5,0)="",
"(SELECT "&amp;VLOOKUP(B345,Instruções!$F$13:$J$17,4,0)&amp;" as "&amp;VLOOKUP(B345,Instruções!$F$13:$J$17,4,0)&amp;"_"&amp;$F$2&amp;", "&amp;E345&amp;" as "&amp;F345&amp;" FROM "&amp;C345&amp;" WHERE "&amp;Instruções!$D$20&amp;") A ",
"(SELECT "&amp;VLOOKUP(B345,Instruções!$F$13:$J$17,4,0)&amp;" as "&amp;VLOOKUP(B345,Instruções!$F$13:$J$17,4,0)&amp;"_"&amp;$F$2&amp;", "&amp;VLOOKUP(B345,Instruções!$F$13:$J$17,5,0)&amp;" as "&amp;VLOOKUP(B345,Instruções!$F$13:$J$17,5,0)&amp;"_"&amp;$F$2&amp;","&amp;E345&amp;" as "&amp;F345&amp;" FROM "&amp;C345&amp;" WHERE "&amp;Instruções!$D$20&amp;") A ")</f>
        <v xml:space="preserve">(SELECT prtctn_id as prtctn_id_, dvlpmnt_stts as dvlpmnt_stts_as_is FROM cd_loan_tapes_bce.lt004_protection WHERE ref_date='2024-09-30' AND nome_perimetro='Individual Corporativo' AND segmento='ESTR' AND ambito='PM' AND entidade='00100' ) A </v>
      </c>
      <c r="I345" s="75" t="str">
        <f>IF(VLOOKUP(B345,Instruções!$F$13:$J$17,5,0)="",
"(SELECT "&amp;VLOOKUP(B345,Instruções!$F$13:$J$17,4,0)&amp;" as "&amp;VLOOKUP(B345,Instruções!$F$13:$J$17,4,0)&amp;"_"&amp;$G$2&amp;", "&amp;E345&amp;" as "&amp;G345&amp;" FROM "&amp;D345&amp;" WHERE "&amp;Instruções!$D$21&amp;") B ",
"(SELECT "&amp;VLOOKUP(B345,Instruções!$F$13:$J$17,4,0)&amp;" as "&amp;VLOOKUP(B345,Instruções!$F$13:$J$17,4,0)&amp;"_"&amp;$G$2&amp;", "&amp;VLOOKUP(B345,Instruções!$F$13:$J$17,5,0)&amp;" as "&amp;VLOOKUP(B345,Instruções!$F$13:$J$17,5,0)&amp;"_"&amp;$G$2&amp;","&amp;E345&amp;" as "&amp;G345&amp;" FROM "&amp;D345&amp;" WHERE "&amp;Instruções!$D$21&amp;") B ")</f>
        <v xml:space="preserve">(SELECT prtctn_id as prtctn_id_, dvlpmnt_stts as dvlpmnt_stts_to_be FROM bu_loantape_work.lt004_protection WHERE ref_date='2024-09-30' AND nome_perimetro='Individual Corporativo' AND segmento='ESTR' AND ambito='PM' AND entidade='00100' ) B </v>
      </c>
      <c r="J345" s="75" t="str">
        <f>+IF(VLOOKUP(B345,Instruções!$F$13:$J$17,5,0)="", "ON "&amp;VLOOKUP(B345,Instruções!$F$13:$J$17,4,0)&amp;"_"&amp;$F$7&amp;"="&amp;VLOOKUP(B345,Instruções!$F$13:$J$17,4,0)&amp;"_"&amp;$G$7&amp;" ", "ON "&amp;VLOOKUP(B345,Instruções!$F$13:$J$17,4,0)&amp;"_"&amp;$F$7&amp;"="&amp;VLOOKUP(B345,Instruções!$F$13:$J$17,4,0)&amp;"_"&amp;$G$7&amp;" AND "&amp;VLOOKUP(B345,Instruções!$F$13:$J$17,5,0)&amp;"_"&amp;$F$7&amp;"="&amp;VLOOKUP(B345,Instruções!$F$13:$J$17,5,0)&amp;"_"&amp;$G$7&amp;" ")</f>
        <v xml:space="preserve">ON prtctn_id_as_is=prtctn_id_to_be </v>
      </c>
      <c r="K345" s="75" t="str">
        <f t="shared" si="53"/>
        <v xml:space="preserve">WHERE coalesce(cast(dvlpmnt_stts_as_is AS string),'')&lt;&gt;coalesce(cast(dvlpmnt_stts_to_be AS string),'') </v>
      </c>
      <c r="L345" s="75" t="str">
        <f t="shared" si="54"/>
        <v xml:space="preserve">SELECT count(*) AS NUM_REG_DIF FROM (SELECT prtctn_id as prtctn_id_, dvlpmnt_stts as dvlpmnt_stts_as_is FROM cd_loan_tapes_bce.lt004_protection WHERE ref_date='2024-09-30' AND nome_perimetro='Individual Corporativo' AND segmento='ESTR' AND ambito='PM' AND entidade='00100' ) A  Inner join (SELECT prtctn_id as prtctn_id_, dvlpmnt_stts as dvlpmnt_stts_to_be FROM bu_loantape_work.lt004_protection WHERE ref_date='2024-09-30' AND nome_perimetro='Individual Corporativo' AND segmento='ESTR' AND ambito='PM' AND entidade='00100' ) B ON prtctn_id_as_is=prtctn_id_to_be WHERE coalesce(cast(dvlpmnt_stts_as_is AS string),'')&lt;&gt;coalesce(cast(dvlpmnt_stts_to_be AS string),'') </v>
      </c>
      <c r="M345" s="75" t="s">
        <v>55</v>
      </c>
      <c r="N345" s="75" t="str">
        <f>"SELECT 'Validação de campos' as tipologia_teste, '"&amp;VLOOKUP(B345,Instruções!$F$13:$J$17,3,0)&amp;"' AS TABELA, '"&amp;E345&amp;"' AS CAMPO, '"&amp;Instruções!$D$15&amp;"' as ref_date, coalesce(NUM_REG_DIF, 0) AS NUM_REG_DIF FROM ("&amp;L345&amp;") A "</f>
        <v xml:space="preserve">SELECT 'Validação de campos' as tipologia_teste, 'lt004_protection' AS TABELA, 'dvlpmnt_stts' AS CAMPO, '2024-09-30' as ref_date, coalesce(NUM_REG_DIF, 0) AS NUM_REG_DIF FROM (SELECT count(*) AS NUM_REG_DIF FROM (SELECT prtctn_id as prtctn_id_, dvlpmnt_stts as dvlpmnt_stts_as_is FROM cd_loan_tapes_bce.lt004_protection WHERE ref_date='2024-09-30' AND nome_perimetro='Individual Corporativo' AND segmento='ESTR' AND ambito='PM' AND entidade='00100' ) A  Inner join (SELECT prtctn_id as prtctn_id_, dvlpmnt_stts as dvlpmnt_stts_to_be FROM bu_loantape_work.lt004_protection WHERE ref_date='2024-09-30' AND nome_perimetro='Individual Corporativo' AND segmento='ESTR' AND ambito='PM' AND entidade='00100' ) B ON prtctn_id_as_is=prtctn_id_to_be WHERE coalesce(cast(dvlpmnt_stts_as_is AS string),'')&lt;&gt;coalesce(cast(dvlpmnt_stts_to_be AS string),'') ) A </v>
      </c>
      <c r="O345" s="76" t="str">
        <f t="shared" si="55"/>
        <v>SELECT 'Validação de campos' as tipologia_teste, 'lt004_protection' AS TABELA, 'dvlpmnt_stts' AS CAMPO, '2024-09-30' as ref_date, coalesce(NUM_REG_DIF, 0) AS NUM_REG_DIF FROM (SELECT count(*) AS NUM_REG_DIF FROM (SELECT prtctn_id as prtctn_id_, dvlpmnt_stts as dvlpmnt_stts_as_is FROM cd_loan_tapes_bce.lt004_protection WHERE ref_date='2024-09-30' AND nome_perimetro='Individual Corporativo' AND segmento='ESTR' AND ambito='PM' AND entidade='00100' ) A  Inner join (SELECT prtctn_id as prtctn_id_, dvlpmnt_stts as dvlpmnt_stts_to_be FROM bu_loantape_work.lt004_protection WHERE ref_date='2024-09-30' AND nome_perimetro='Individual Corporativo' AND segmento='ESTR' AND ambito='PM' AND entidade='00100' ) B ON prtctn_id_as_is=prtctn_id_to_be WHERE coalesce(cast(dvlpmnt_stts_as_is AS string),'')&lt;&gt;coalesce(cast(dvlpmnt_stts_to_be AS string),'') ) A Union all</v>
      </c>
      <c r="P345" s="75">
        <f t="shared" si="56"/>
        <v>31</v>
      </c>
    </row>
    <row r="346" spans="2:16" s="63" customFormat="1" ht="18" customHeight="1">
      <c r="B346" s="75" t="s">
        <v>30</v>
      </c>
      <c r="C346" s="75" t="str">
        <f>_xlfn.CONCAT(Instruções!$D$13,".",VLOOKUP(B346,Instruções!$F$12:$H$17,2,0))</f>
        <v>cd_loan_tapes_bce.lt004_protection</v>
      </c>
      <c r="D346" s="75" t="str">
        <f>_xlfn.CONCAT(Instruções!$D$14,".",VLOOKUP(B346,Instruções!$F$12:$H$17,3,0))</f>
        <v>bu_loantape_work.lt004_protection</v>
      </c>
      <c r="E346" s="75" t="s">
        <v>370</v>
      </c>
      <c r="F346" s="75" t="str">
        <f t="shared" si="51"/>
        <v>hrct_mv_as_is</v>
      </c>
      <c r="G346" s="75" t="str">
        <f t="shared" si="52"/>
        <v>hrct_mv_to_be</v>
      </c>
      <c r="H346" s="75" t="str">
        <f>IF(VLOOKUP(B346,Instruções!$F$13:$J$17,5,0)="",
"(SELECT "&amp;VLOOKUP(B346,Instruções!$F$13:$J$17,4,0)&amp;" as "&amp;VLOOKUP(B346,Instruções!$F$13:$J$17,4,0)&amp;"_"&amp;$F$2&amp;", "&amp;E346&amp;" as "&amp;F346&amp;" FROM "&amp;C346&amp;" WHERE "&amp;Instruções!$D$20&amp;") A ",
"(SELECT "&amp;VLOOKUP(B346,Instruções!$F$13:$J$17,4,0)&amp;" as "&amp;VLOOKUP(B346,Instruções!$F$13:$J$17,4,0)&amp;"_"&amp;$F$2&amp;", "&amp;VLOOKUP(B346,Instruções!$F$13:$J$17,5,0)&amp;" as "&amp;VLOOKUP(B346,Instruções!$F$13:$J$17,5,0)&amp;"_"&amp;$F$2&amp;","&amp;E346&amp;" as "&amp;F346&amp;" FROM "&amp;C346&amp;" WHERE "&amp;Instruções!$D$20&amp;") A ")</f>
        <v xml:space="preserve">(SELECT prtctn_id as prtctn_id_, hrct_mv as hrct_mv_as_is FROM cd_loan_tapes_bce.lt004_protection WHERE ref_date='2024-09-30' AND nome_perimetro='Individual Corporativo' AND segmento='ESTR' AND ambito='PM' AND entidade='00100' ) A </v>
      </c>
      <c r="I346" s="75" t="str">
        <f>IF(VLOOKUP(B346,Instruções!$F$13:$J$17,5,0)="",
"(SELECT "&amp;VLOOKUP(B346,Instruções!$F$13:$J$17,4,0)&amp;" as "&amp;VLOOKUP(B346,Instruções!$F$13:$J$17,4,0)&amp;"_"&amp;$G$2&amp;", "&amp;E346&amp;" as "&amp;G346&amp;" FROM "&amp;D346&amp;" WHERE "&amp;Instruções!$D$21&amp;") B ",
"(SELECT "&amp;VLOOKUP(B346,Instruções!$F$13:$J$17,4,0)&amp;" as "&amp;VLOOKUP(B346,Instruções!$F$13:$J$17,4,0)&amp;"_"&amp;$G$2&amp;", "&amp;VLOOKUP(B346,Instruções!$F$13:$J$17,5,0)&amp;" as "&amp;VLOOKUP(B346,Instruções!$F$13:$J$17,5,0)&amp;"_"&amp;$G$2&amp;","&amp;E346&amp;" as "&amp;G346&amp;" FROM "&amp;D346&amp;" WHERE "&amp;Instruções!$D$21&amp;") B ")</f>
        <v xml:space="preserve">(SELECT prtctn_id as prtctn_id_, hrct_mv as hrct_mv_to_be FROM bu_loantape_work.lt004_protection WHERE ref_date='2024-09-30' AND nome_perimetro='Individual Corporativo' AND segmento='ESTR' AND ambito='PM' AND entidade='00100' ) B </v>
      </c>
      <c r="J346" s="75" t="str">
        <f>+IF(VLOOKUP(B346,Instruções!$F$13:$J$17,5,0)="", "ON "&amp;VLOOKUP(B346,Instruções!$F$13:$J$17,4,0)&amp;"_"&amp;$F$7&amp;"="&amp;VLOOKUP(B346,Instruções!$F$13:$J$17,4,0)&amp;"_"&amp;$G$7&amp;" ", "ON "&amp;VLOOKUP(B346,Instruções!$F$13:$J$17,4,0)&amp;"_"&amp;$F$7&amp;"="&amp;VLOOKUP(B346,Instruções!$F$13:$J$17,4,0)&amp;"_"&amp;$G$7&amp;" AND "&amp;VLOOKUP(B346,Instruções!$F$13:$J$17,5,0)&amp;"_"&amp;$F$7&amp;"="&amp;VLOOKUP(B346,Instruções!$F$13:$J$17,5,0)&amp;"_"&amp;$G$7&amp;" ")</f>
        <v xml:space="preserve">ON prtctn_id_as_is=prtctn_id_to_be </v>
      </c>
      <c r="K346" s="75" t="str">
        <f t="shared" si="53"/>
        <v xml:space="preserve">WHERE coalesce(cast(hrct_mv_as_is AS string),'')&lt;&gt;coalesce(cast(hrct_mv_to_be AS string),'') </v>
      </c>
      <c r="L346" s="75" t="str">
        <f t="shared" si="54"/>
        <v xml:space="preserve">SELECT count(*) AS NUM_REG_DIF FROM (SELECT prtctn_id as prtctn_id_, hrct_mv as hrct_mv_as_is FROM cd_loan_tapes_bce.lt004_protection WHERE ref_date='2024-09-30' AND nome_perimetro='Individual Corporativo' AND segmento='ESTR' AND ambito='PM' AND entidade='00100' ) A  Inner join (SELECT prtctn_id as prtctn_id_, hrct_mv as hrct_mv_to_be FROM bu_loantape_work.lt004_protection WHERE ref_date='2024-09-30' AND nome_perimetro='Individual Corporativo' AND segmento='ESTR' AND ambito='PM' AND entidade='00100' ) B ON prtctn_id_as_is=prtctn_id_to_be WHERE coalesce(cast(hrct_mv_as_is AS string),'')&lt;&gt;coalesce(cast(hrct_mv_to_be AS string),'') </v>
      </c>
      <c r="M346" s="75" t="s">
        <v>55</v>
      </c>
      <c r="N346" s="75" t="str">
        <f>"SELECT 'Validação de campos' as tipologia_teste, '"&amp;VLOOKUP(B346,Instruções!$F$13:$J$17,3,0)&amp;"' AS TABELA, '"&amp;E346&amp;"' AS CAMPO, '"&amp;Instruções!$D$15&amp;"' as ref_date, coalesce(NUM_REG_DIF, 0) AS NUM_REG_DIF FROM ("&amp;L346&amp;") A "</f>
        <v xml:space="preserve">SELECT 'Validação de campos' as tipologia_teste, 'lt004_protection' AS TABELA, 'hrct_mv' AS CAMPO, '2024-09-30' as ref_date, coalesce(NUM_REG_DIF, 0) AS NUM_REG_DIF FROM (SELECT count(*) AS NUM_REG_DIF FROM (SELECT prtctn_id as prtctn_id_, hrct_mv as hrct_mv_as_is FROM cd_loan_tapes_bce.lt004_protection WHERE ref_date='2024-09-30' AND nome_perimetro='Individual Corporativo' AND segmento='ESTR' AND ambito='PM' AND entidade='00100' ) A  Inner join (SELECT prtctn_id as prtctn_id_, hrct_mv as hrct_mv_to_be FROM bu_loantape_work.lt004_protection WHERE ref_date='2024-09-30' AND nome_perimetro='Individual Corporativo' AND segmento='ESTR' AND ambito='PM' AND entidade='00100' ) B ON prtctn_id_as_is=prtctn_id_to_be WHERE coalesce(cast(hrct_mv_as_is AS string),'')&lt;&gt;coalesce(cast(hrct_mv_to_be AS string),'') ) A </v>
      </c>
      <c r="O346" s="76" t="str">
        <f t="shared" si="55"/>
        <v>SELECT 'Validação de campos' as tipologia_teste, 'lt004_protection' AS TABELA, 'hrct_mv' AS CAMPO, '2024-09-30' as ref_date, coalesce(NUM_REG_DIF, 0) AS NUM_REG_DIF FROM (SELECT count(*) AS NUM_REG_DIF FROM (SELECT prtctn_id as prtctn_id_, hrct_mv as hrct_mv_as_is FROM cd_loan_tapes_bce.lt004_protection WHERE ref_date='2024-09-30' AND nome_perimetro='Individual Corporativo' AND segmento='ESTR' AND ambito='PM' AND entidade='00100' ) A  Inner join (SELECT prtctn_id as prtctn_id_, hrct_mv as hrct_mv_to_be FROM bu_loantape_work.lt004_protection WHERE ref_date='2024-09-30' AND nome_perimetro='Individual Corporativo' AND segmento='ESTR' AND ambito='PM' AND entidade='00100' ) B ON prtctn_id_as_is=prtctn_id_to_be WHERE coalesce(cast(hrct_mv_as_is AS string),'')&lt;&gt;coalesce(cast(hrct_mv_to_be AS string),'') ) A Union all</v>
      </c>
      <c r="P346" s="75">
        <f t="shared" si="56"/>
        <v>32</v>
      </c>
    </row>
    <row r="347" spans="2:16" s="63" customFormat="1" ht="18" customHeight="1">
      <c r="B347" s="75" t="s">
        <v>30</v>
      </c>
      <c r="C347" s="75" t="str">
        <f>_xlfn.CONCAT(Instruções!$D$13,".",VLOOKUP(B347,Instruções!$F$12:$H$17,2,0))</f>
        <v>cd_loan_tapes_bce.lt004_protection</v>
      </c>
      <c r="D347" s="75" t="str">
        <f>_xlfn.CONCAT(Instruções!$D$14,".",VLOOKUP(B347,Instruções!$F$12:$H$17,3,0))</f>
        <v>bu_loantape_work.lt004_protection</v>
      </c>
      <c r="E347" s="75" t="s">
        <v>371</v>
      </c>
      <c r="F347" s="75" t="str">
        <f t="shared" ref="F347:F364" si="57">E347&amp;"_"&amp;$F$7</f>
        <v>mn_prps_as_is</v>
      </c>
      <c r="G347" s="75" t="str">
        <f t="shared" ref="G347:G364" si="58">E347&amp;"_"&amp;$G$7</f>
        <v>mn_prps_to_be</v>
      </c>
      <c r="H347" s="75" t="str">
        <f>IF(VLOOKUP(B347,Instruções!$F$13:$J$17,5,0)="",
"(SELECT "&amp;VLOOKUP(B347,Instruções!$F$13:$J$17,4,0)&amp;" as "&amp;VLOOKUP(B347,Instruções!$F$13:$J$17,4,0)&amp;"_"&amp;$F$2&amp;", "&amp;E347&amp;" as "&amp;F347&amp;" FROM "&amp;C347&amp;" WHERE "&amp;Instruções!$D$20&amp;") A ",
"(SELECT "&amp;VLOOKUP(B347,Instruções!$F$13:$J$17,4,0)&amp;" as "&amp;VLOOKUP(B347,Instruções!$F$13:$J$17,4,0)&amp;"_"&amp;$F$2&amp;", "&amp;VLOOKUP(B347,Instruções!$F$13:$J$17,5,0)&amp;" as "&amp;VLOOKUP(B347,Instruções!$F$13:$J$17,5,0)&amp;"_"&amp;$F$2&amp;","&amp;E347&amp;" as "&amp;F347&amp;" FROM "&amp;C347&amp;" WHERE "&amp;Instruções!$D$20&amp;") A ")</f>
        <v xml:space="preserve">(SELECT prtctn_id as prtctn_id_, mn_prps as mn_prps_as_is FROM cd_loan_tapes_bce.lt004_protection WHERE ref_date='2024-09-30' AND nome_perimetro='Individual Corporativo' AND segmento='ESTR' AND ambito='PM' AND entidade='00100' ) A </v>
      </c>
      <c r="I347" s="75" t="str">
        <f>IF(VLOOKUP(B347,Instruções!$F$13:$J$17,5,0)="",
"(SELECT "&amp;VLOOKUP(B347,Instruções!$F$13:$J$17,4,0)&amp;" as "&amp;VLOOKUP(B347,Instruções!$F$13:$J$17,4,0)&amp;"_"&amp;$G$2&amp;", "&amp;E347&amp;" as "&amp;G347&amp;" FROM "&amp;D347&amp;" WHERE "&amp;Instruções!$D$21&amp;") B ",
"(SELECT "&amp;VLOOKUP(B347,Instruções!$F$13:$J$17,4,0)&amp;" as "&amp;VLOOKUP(B347,Instruções!$F$13:$J$17,4,0)&amp;"_"&amp;$G$2&amp;", "&amp;VLOOKUP(B347,Instruções!$F$13:$J$17,5,0)&amp;" as "&amp;VLOOKUP(B347,Instruções!$F$13:$J$17,5,0)&amp;"_"&amp;$G$2&amp;","&amp;E347&amp;" as "&amp;G347&amp;" FROM "&amp;D347&amp;" WHERE "&amp;Instruções!$D$21&amp;") B ")</f>
        <v xml:space="preserve">(SELECT prtctn_id as prtctn_id_, mn_prps as mn_prps_to_be FROM bu_loantape_work.lt004_protection WHERE ref_date='2024-09-30' AND nome_perimetro='Individual Corporativo' AND segmento='ESTR' AND ambito='PM' AND entidade='00100' ) B </v>
      </c>
      <c r="J347" s="75" t="str">
        <f>+IF(VLOOKUP(B347,Instruções!$F$13:$J$17,5,0)="", "ON "&amp;VLOOKUP(B347,Instruções!$F$13:$J$17,4,0)&amp;"_"&amp;$F$7&amp;"="&amp;VLOOKUP(B347,Instruções!$F$13:$J$17,4,0)&amp;"_"&amp;$G$7&amp;" ", "ON "&amp;VLOOKUP(B347,Instruções!$F$13:$J$17,4,0)&amp;"_"&amp;$F$7&amp;"="&amp;VLOOKUP(B347,Instruções!$F$13:$J$17,4,0)&amp;"_"&amp;$G$7&amp;" AND "&amp;VLOOKUP(B347,Instruções!$F$13:$J$17,5,0)&amp;"_"&amp;$F$7&amp;"="&amp;VLOOKUP(B347,Instruções!$F$13:$J$17,5,0)&amp;"_"&amp;$G$7&amp;" ")</f>
        <v xml:space="preserve">ON prtctn_id_as_is=prtctn_id_to_be </v>
      </c>
      <c r="K347" s="75" t="str">
        <f t="shared" si="53"/>
        <v xml:space="preserve">WHERE coalesce(cast(mn_prps_as_is AS string),'')&lt;&gt;coalesce(cast(mn_prps_to_be AS string),'') </v>
      </c>
      <c r="L347" s="75" t="str">
        <f t="shared" si="54"/>
        <v xml:space="preserve">SELECT count(*) AS NUM_REG_DIF FROM (SELECT prtctn_id as prtctn_id_, mn_prps as mn_prps_as_is FROM cd_loan_tapes_bce.lt004_protection WHERE ref_date='2024-09-30' AND nome_perimetro='Individual Corporativo' AND segmento='ESTR' AND ambito='PM' AND entidade='00100' ) A  Inner join (SELECT prtctn_id as prtctn_id_, mn_prps as mn_prps_to_be FROM bu_loantape_work.lt004_protection WHERE ref_date='2024-09-30' AND nome_perimetro='Individual Corporativo' AND segmento='ESTR' AND ambito='PM' AND entidade='00100' ) B ON prtctn_id_as_is=prtctn_id_to_be WHERE coalesce(cast(mn_prps_as_is AS string),'')&lt;&gt;coalesce(cast(mn_prps_to_be AS string),'') </v>
      </c>
      <c r="M347" s="75" t="s">
        <v>55</v>
      </c>
      <c r="N347" s="75" t="str">
        <f>"SELECT 'Validação de campos' as tipologia_teste, '"&amp;VLOOKUP(B347,Instruções!$F$13:$J$17,3,0)&amp;"' AS TABELA, '"&amp;E347&amp;"' AS CAMPO, '"&amp;Instruções!$D$15&amp;"' as ref_date, coalesce(NUM_REG_DIF, 0) AS NUM_REG_DIF FROM ("&amp;L347&amp;") A "</f>
        <v xml:space="preserve">SELECT 'Validação de campos' as tipologia_teste, 'lt004_protection' AS TABELA, 'mn_prps' AS CAMPO, '2024-09-30' as ref_date, coalesce(NUM_REG_DIF, 0) AS NUM_REG_DIF FROM (SELECT count(*) AS NUM_REG_DIF FROM (SELECT prtctn_id as prtctn_id_, mn_prps as mn_prps_as_is FROM cd_loan_tapes_bce.lt004_protection WHERE ref_date='2024-09-30' AND nome_perimetro='Individual Corporativo' AND segmento='ESTR' AND ambito='PM' AND entidade='00100' ) A  Inner join (SELECT prtctn_id as prtctn_id_, mn_prps as mn_prps_to_be FROM bu_loantape_work.lt004_protection WHERE ref_date='2024-09-30' AND nome_perimetro='Individual Corporativo' AND segmento='ESTR' AND ambito='PM' AND entidade='00100' ) B ON prtctn_id_as_is=prtctn_id_to_be WHERE coalesce(cast(mn_prps_as_is AS string),'')&lt;&gt;coalesce(cast(mn_prps_to_be AS string),'') ) A </v>
      </c>
      <c r="O347" s="76" t="str">
        <f t="shared" si="55"/>
        <v>SELECT 'Validação de campos' as tipologia_teste, 'lt004_protection' AS TABELA, 'mn_prps' AS CAMPO, '2024-09-30' as ref_date, coalesce(NUM_REG_DIF, 0) AS NUM_REG_DIF FROM (SELECT count(*) AS NUM_REG_DIF FROM (SELECT prtctn_id as prtctn_id_, mn_prps as mn_prps_as_is FROM cd_loan_tapes_bce.lt004_protection WHERE ref_date='2024-09-30' AND nome_perimetro='Individual Corporativo' AND segmento='ESTR' AND ambito='PM' AND entidade='00100' ) A  Inner join (SELECT prtctn_id as prtctn_id_, mn_prps as mn_prps_to_be FROM bu_loantape_work.lt004_protection WHERE ref_date='2024-09-30' AND nome_perimetro='Individual Corporativo' AND segmento='ESTR' AND ambito='PM' AND entidade='00100' ) B ON prtctn_id_as_is=prtctn_id_to_be WHERE coalesce(cast(mn_prps_as_is AS string),'')&lt;&gt;coalesce(cast(mn_prps_to_be AS string),'') ) A Union all</v>
      </c>
      <c r="P347" s="75">
        <f t="shared" si="56"/>
        <v>33</v>
      </c>
    </row>
    <row r="348" spans="2:16" s="63" customFormat="1" ht="18" customHeight="1">
      <c r="B348" s="75" t="s">
        <v>30</v>
      </c>
      <c r="C348" s="75" t="str">
        <f>_xlfn.CONCAT(Instruções!$D$13,".",VLOOKUP(B348,Instruções!$F$12:$H$17,2,0))</f>
        <v>cd_loan_tapes_bce.lt004_protection</v>
      </c>
      <c r="D348" s="75" t="str">
        <f>_xlfn.CONCAT(Instruções!$D$14,".",VLOOKUP(B348,Instruções!$F$12:$H$17,3,0))</f>
        <v>bu_loantape_work.lt004_protection</v>
      </c>
      <c r="E348" s="75" t="s">
        <v>372</v>
      </c>
      <c r="F348" s="75" t="str">
        <f t="shared" si="57"/>
        <v>ntnl_id_as_is</v>
      </c>
      <c r="G348" s="75" t="str">
        <f t="shared" si="58"/>
        <v>ntnl_id_to_be</v>
      </c>
      <c r="H348" s="75" t="str">
        <f>IF(VLOOKUP(B348,Instruções!$F$13:$J$17,5,0)="",
"(SELECT "&amp;VLOOKUP(B348,Instruções!$F$13:$J$17,4,0)&amp;" as "&amp;VLOOKUP(B348,Instruções!$F$13:$J$17,4,0)&amp;"_"&amp;$F$2&amp;", "&amp;E348&amp;" as "&amp;F348&amp;" FROM "&amp;C348&amp;" WHERE "&amp;Instruções!$D$20&amp;") A ",
"(SELECT "&amp;VLOOKUP(B348,Instruções!$F$13:$J$17,4,0)&amp;" as "&amp;VLOOKUP(B348,Instruções!$F$13:$J$17,4,0)&amp;"_"&amp;$F$2&amp;", "&amp;VLOOKUP(B348,Instruções!$F$13:$J$17,5,0)&amp;" as "&amp;VLOOKUP(B348,Instruções!$F$13:$J$17,5,0)&amp;"_"&amp;$F$2&amp;","&amp;E348&amp;" as "&amp;F348&amp;" FROM "&amp;C348&amp;" WHERE "&amp;Instruções!$D$20&amp;") A ")</f>
        <v xml:space="preserve">(SELECT prtctn_id as prtctn_id_, ntnl_id as ntnl_id_as_is FROM cd_loan_tapes_bce.lt004_protection WHERE ref_date='2024-09-30' AND nome_perimetro='Individual Corporativo' AND segmento='ESTR' AND ambito='PM' AND entidade='00100' ) A </v>
      </c>
      <c r="I348" s="75" t="str">
        <f>IF(VLOOKUP(B348,Instruções!$F$13:$J$17,5,0)="",
"(SELECT "&amp;VLOOKUP(B348,Instruções!$F$13:$J$17,4,0)&amp;" as "&amp;VLOOKUP(B348,Instruções!$F$13:$J$17,4,0)&amp;"_"&amp;$G$2&amp;", "&amp;E348&amp;" as "&amp;G348&amp;" FROM "&amp;D348&amp;" WHERE "&amp;Instruções!$D$21&amp;") B ",
"(SELECT "&amp;VLOOKUP(B348,Instruções!$F$13:$J$17,4,0)&amp;" as "&amp;VLOOKUP(B348,Instruções!$F$13:$J$17,4,0)&amp;"_"&amp;$G$2&amp;", "&amp;VLOOKUP(B348,Instruções!$F$13:$J$17,5,0)&amp;" as "&amp;VLOOKUP(B348,Instruções!$F$13:$J$17,5,0)&amp;"_"&amp;$G$2&amp;","&amp;E348&amp;" as "&amp;G348&amp;" FROM "&amp;D348&amp;" WHERE "&amp;Instruções!$D$21&amp;") B ")</f>
        <v xml:space="preserve">(SELECT prtctn_id as prtctn_id_, ntnl_id as ntnl_id_to_be FROM bu_loantape_work.lt004_protection WHERE ref_date='2024-09-30' AND nome_perimetro='Individual Corporativo' AND segmento='ESTR' AND ambito='PM' AND entidade='00100' ) B </v>
      </c>
      <c r="J348" s="75" t="str">
        <f>+IF(VLOOKUP(B348,Instruções!$F$13:$J$17,5,0)="", "ON "&amp;VLOOKUP(B348,Instruções!$F$13:$J$17,4,0)&amp;"_"&amp;$F$7&amp;"="&amp;VLOOKUP(B348,Instruções!$F$13:$J$17,4,0)&amp;"_"&amp;$G$7&amp;" ", "ON "&amp;VLOOKUP(B348,Instruções!$F$13:$J$17,4,0)&amp;"_"&amp;$F$7&amp;"="&amp;VLOOKUP(B348,Instruções!$F$13:$J$17,4,0)&amp;"_"&amp;$G$7&amp;" AND "&amp;VLOOKUP(B348,Instruções!$F$13:$J$17,5,0)&amp;"_"&amp;$F$7&amp;"="&amp;VLOOKUP(B348,Instruções!$F$13:$J$17,5,0)&amp;"_"&amp;$G$7&amp;" ")</f>
        <v xml:space="preserve">ON prtctn_id_as_is=prtctn_id_to_be </v>
      </c>
      <c r="K348" s="75" t="str">
        <f t="shared" si="53"/>
        <v xml:space="preserve">WHERE coalesce(cast(ntnl_id_as_is AS string),'')&lt;&gt;coalesce(cast(ntnl_id_to_be AS string),'') </v>
      </c>
      <c r="L348" s="75" t="str">
        <f t="shared" si="54"/>
        <v xml:space="preserve">SELECT count(*) AS NUM_REG_DIF FROM (SELECT prtctn_id as prtctn_id_, ntnl_id as ntnl_id_as_is FROM cd_loan_tapes_bce.lt004_protection WHERE ref_date='2024-09-30' AND nome_perimetro='Individual Corporativo' AND segmento='ESTR' AND ambito='PM' AND entidade='00100' ) A  Inner join (SELECT prtctn_id as prtctn_id_, ntnl_id as ntnl_id_to_be FROM bu_loantape_work.lt004_protection WHERE ref_date='2024-09-30' AND nome_perimetro='Individual Corporativo' AND segmento='ESTR' AND ambito='PM' AND entidade='00100' ) B ON prtctn_id_as_is=prtctn_id_to_be WHERE coalesce(cast(ntnl_id_as_is AS string),'')&lt;&gt;coalesce(cast(ntnl_id_to_be AS string),'') </v>
      </c>
      <c r="M348" s="75" t="s">
        <v>55</v>
      </c>
      <c r="N348" s="75" t="str">
        <f>"SELECT 'Validação de campos' as tipologia_teste, '"&amp;VLOOKUP(B348,Instruções!$F$13:$J$17,3,0)&amp;"' AS TABELA, '"&amp;E348&amp;"' AS CAMPO, '"&amp;Instruções!$D$15&amp;"' as ref_date, coalesce(NUM_REG_DIF, 0) AS NUM_REG_DIF FROM ("&amp;L348&amp;") A "</f>
        <v xml:space="preserve">SELECT 'Validação de campos' as tipologia_teste, 'lt004_protection' AS TABELA, 'ntnl_id' AS CAMPO, '2024-09-30' as ref_date, coalesce(NUM_REG_DIF, 0) AS NUM_REG_DIF FROM (SELECT count(*) AS NUM_REG_DIF FROM (SELECT prtctn_id as prtctn_id_, ntnl_id as ntnl_id_as_is FROM cd_loan_tapes_bce.lt004_protection WHERE ref_date='2024-09-30' AND nome_perimetro='Individual Corporativo' AND segmento='ESTR' AND ambito='PM' AND entidade='00100' ) A  Inner join (SELECT prtctn_id as prtctn_id_, ntnl_id as ntnl_id_to_be FROM bu_loantape_work.lt004_protection WHERE ref_date='2024-09-30' AND nome_perimetro='Individual Corporativo' AND segmento='ESTR' AND ambito='PM' AND entidade='00100' ) B ON prtctn_id_as_is=prtctn_id_to_be WHERE coalesce(cast(ntnl_id_as_is AS string),'')&lt;&gt;coalesce(cast(ntnl_id_to_be AS string),'') ) A </v>
      </c>
      <c r="O348" s="76" t="str">
        <f t="shared" si="55"/>
        <v>SELECT 'Validação de campos' as tipologia_teste, 'lt004_protection' AS TABELA, 'ntnl_id' AS CAMPO, '2024-09-30' as ref_date, coalesce(NUM_REG_DIF, 0) AS NUM_REG_DIF FROM (SELECT count(*) AS NUM_REG_DIF FROM (SELECT prtctn_id as prtctn_id_, ntnl_id as ntnl_id_as_is FROM cd_loan_tapes_bce.lt004_protection WHERE ref_date='2024-09-30' AND nome_perimetro='Individual Corporativo' AND segmento='ESTR' AND ambito='PM' AND entidade='00100' ) A  Inner join (SELECT prtctn_id as prtctn_id_, ntnl_id as ntnl_id_to_be FROM bu_loantape_work.lt004_protection WHERE ref_date='2024-09-30' AND nome_perimetro='Individual Corporativo' AND segmento='ESTR' AND ambito='PM' AND entidade='00100' ) B ON prtctn_id_as_is=prtctn_id_to_be WHERE coalesce(cast(ntnl_id_as_is AS string),'')&lt;&gt;coalesce(cast(ntnl_id_to_be AS string),'') ) A Union all</v>
      </c>
      <c r="P348" s="75">
        <f t="shared" si="56"/>
        <v>34</v>
      </c>
    </row>
    <row r="349" spans="2:16" s="63" customFormat="1" ht="18" customHeight="1">
      <c r="B349" s="75" t="s">
        <v>30</v>
      </c>
      <c r="C349" s="75" t="str">
        <f>_xlfn.CONCAT(Instruções!$D$13,".",VLOOKUP(B349,Instruções!$F$12:$H$17,2,0))</f>
        <v>cd_loan_tapes_bce.lt004_protection</v>
      </c>
      <c r="D349" s="75" t="str">
        <f>_xlfn.CONCAT(Instruções!$D$14,".",VLOOKUP(B349,Instruções!$F$12:$H$17,3,0))</f>
        <v>bu_loantape_work.lt004_protection</v>
      </c>
      <c r="E349" s="75" t="s">
        <v>373</v>
      </c>
      <c r="F349" s="75" t="str">
        <f t="shared" si="57"/>
        <v>orgnl_prtctn_vl_as_is</v>
      </c>
      <c r="G349" s="75" t="str">
        <f t="shared" si="58"/>
        <v>orgnl_prtctn_vl_to_be</v>
      </c>
      <c r="H349" s="75" t="str">
        <f>IF(VLOOKUP(B349,Instruções!$F$13:$J$17,5,0)="",
"(SELECT "&amp;VLOOKUP(B349,Instruções!$F$13:$J$17,4,0)&amp;" as "&amp;VLOOKUP(B349,Instruções!$F$13:$J$17,4,0)&amp;"_"&amp;$F$2&amp;", "&amp;E349&amp;" as "&amp;F349&amp;" FROM "&amp;C349&amp;" WHERE "&amp;Instruções!$D$20&amp;") A ",
"(SELECT "&amp;VLOOKUP(B349,Instruções!$F$13:$J$17,4,0)&amp;" as "&amp;VLOOKUP(B349,Instruções!$F$13:$J$17,4,0)&amp;"_"&amp;$F$2&amp;", "&amp;VLOOKUP(B349,Instruções!$F$13:$J$17,5,0)&amp;" as "&amp;VLOOKUP(B349,Instruções!$F$13:$J$17,5,0)&amp;"_"&amp;$F$2&amp;","&amp;E349&amp;" as "&amp;F349&amp;" FROM "&amp;C349&amp;" WHERE "&amp;Instruções!$D$20&amp;") A ")</f>
        <v xml:space="preserve">(SELECT prtctn_id as prtctn_id_, orgnl_prtctn_vl as orgnl_prtctn_vl_as_is FROM cd_loan_tapes_bce.lt004_protection WHERE ref_date='2024-09-30' AND nome_perimetro='Individual Corporativo' AND segmento='ESTR' AND ambito='PM' AND entidade='00100' ) A </v>
      </c>
      <c r="I349" s="75" t="str">
        <f>IF(VLOOKUP(B349,Instruções!$F$13:$J$17,5,0)="",
"(SELECT "&amp;VLOOKUP(B349,Instruções!$F$13:$J$17,4,0)&amp;" as "&amp;VLOOKUP(B349,Instruções!$F$13:$J$17,4,0)&amp;"_"&amp;$G$2&amp;", "&amp;E349&amp;" as "&amp;G349&amp;" FROM "&amp;D349&amp;" WHERE "&amp;Instruções!$D$21&amp;") B ",
"(SELECT "&amp;VLOOKUP(B349,Instruções!$F$13:$J$17,4,0)&amp;" as "&amp;VLOOKUP(B349,Instruções!$F$13:$J$17,4,0)&amp;"_"&amp;$G$2&amp;", "&amp;VLOOKUP(B349,Instruções!$F$13:$J$17,5,0)&amp;" as "&amp;VLOOKUP(B349,Instruções!$F$13:$J$17,5,0)&amp;"_"&amp;$G$2&amp;","&amp;E349&amp;" as "&amp;G349&amp;" FROM "&amp;D349&amp;" WHERE "&amp;Instruções!$D$21&amp;") B ")</f>
        <v xml:space="preserve">(SELECT prtctn_id as prtctn_id_, orgnl_prtctn_vl as orgnl_prtctn_vl_to_be FROM bu_loantape_work.lt004_protection WHERE ref_date='2024-09-30' AND nome_perimetro='Individual Corporativo' AND segmento='ESTR' AND ambito='PM' AND entidade='00100' ) B </v>
      </c>
      <c r="J349" s="75" t="str">
        <f>+IF(VLOOKUP(B349,Instruções!$F$13:$J$17,5,0)="", "ON "&amp;VLOOKUP(B349,Instruções!$F$13:$J$17,4,0)&amp;"_"&amp;$F$7&amp;"="&amp;VLOOKUP(B349,Instruções!$F$13:$J$17,4,0)&amp;"_"&amp;$G$7&amp;" ", "ON "&amp;VLOOKUP(B349,Instruções!$F$13:$J$17,4,0)&amp;"_"&amp;$F$7&amp;"="&amp;VLOOKUP(B349,Instruções!$F$13:$J$17,4,0)&amp;"_"&amp;$G$7&amp;" AND "&amp;VLOOKUP(B349,Instruções!$F$13:$J$17,5,0)&amp;"_"&amp;$F$7&amp;"="&amp;VLOOKUP(B349,Instruções!$F$13:$J$17,5,0)&amp;"_"&amp;$G$7&amp;" ")</f>
        <v xml:space="preserve">ON prtctn_id_as_is=prtctn_id_to_be </v>
      </c>
      <c r="K349" s="75" t="str">
        <f t="shared" si="53"/>
        <v xml:space="preserve">WHERE coalesce(cast(orgnl_prtctn_vl_as_is AS string),'')&lt;&gt;coalesce(cast(orgnl_prtctn_vl_to_be AS string),'') </v>
      </c>
      <c r="L349" s="75" t="str">
        <f t="shared" si="54"/>
        <v xml:space="preserve">SELECT count(*) AS NUM_REG_DIF FROM (SELECT prtctn_id as prtctn_id_, orgnl_prtctn_vl as orgnl_prtctn_vl_as_is FROM cd_loan_tapes_bce.lt004_protection WHERE ref_date='2024-09-30' AND nome_perimetro='Individual Corporativo' AND segmento='ESTR' AND ambito='PM' AND entidade='00100' ) A  Inner join (SELECT prtctn_id as prtctn_id_, orgnl_prtctn_vl as orgnl_prtctn_vl_to_be FROM bu_loantape_work.lt004_protection WHERE ref_date='2024-09-30' AND nome_perimetro='Individual Corporativo' AND segmento='ESTR' AND ambito='PM' AND entidade='00100' ) B ON prtctn_id_as_is=prtctn_id_to_be WHERE coalesce(cast(orgnl_prtctn_vl_as_is AS string),'')&lt;&gt;coalesce(cast(orgnl_prtctn_vl_to_be AS string),'') </v>
      </c>
      <c r="M349" s="75" t="s">
        <v>55</v>
      </c>
      <c r="N349" s="75" t="str">
        <f>"SELECT 'Validação de campos' as tipologia_teste, '"&amp;VLOOKUP(B349,Instruções!$F$13:$J$17,3,0)&amp;"' AS TABELA, '"&amp;E349&amp;"' AS CAMPO, '"&amp;Instruções!$D$15&amp;"' as ref_date, coalesce(NUM_REG_DIF, 0) AS NUM_REG_DIF FROM ("&amp;L349&amp;") A "</f>
        <v xml:space="preserve">SELECT 'Validação de campos' as tipologia_teste, 'lt004_protection' AS TABELA, 'orgnl_prtctn_vl' AS CAMPO, '2024-09-30' as ref_date, coalesce(NUM_REG_DIF, 0) AS NUM_REG_DIF FROM (SELECT count(*) AS NUM_REG_DIF FROM (SELECT prtctn_id as prtctn_id_, orgnl_prtctn_vl as orgnl_prtctn_vl_as_is FROM cd_loan_tapes_bce.lt004_protection WHERE ref_date='2024-09-30' AND nome_perimetro='Individual Corporativo' AND segmento='ESTR' AND ambito='PM' AND entidade='00100' ) A  Inner join (SELECT prtctn_id as prtctn_id_, orgnl_prtctn_vl as orgnl_prtctn_vl_to_be FROM bu_loantape_work.lt004_protection WHERE ref_date='2024-09-30' AND nome_perimetro='Individual Corporativo' AND segmento='ESTR' AND ambito='PM' AND entidade='00100' ) B ON prtctn_id_as_is=prtctn_id_to_be WHERE coalesce(cast(orgnl_prtctn_vl_as_is AS string),'')&lt;&gt;coalesce(cast(orgnl_prtctn_vl_to_be AS string),'') ) A </v>
      </c>
      <c r="O349" s="76" t="str">
        <f t="shared" si="55"/>
        <v>SELECT 'Validação de campos' as tipologia_teste, 'lt004_protection' AS TABELA, 'orgnl_prtctn_vl' AS CAMPO, '2024-09-30' as ref_date, coalesce(NUM_REG_DIF, 0) AS NUM_REG_DIF FROM (SELECT count(*) AS NUM_REG_DIF FROM (SELECT prtctn_id as prtctn_id_, orgnl_prtctn_vl as orgnl_prtctn_vl_as_is FROM cd_loan_tapes_bce.lt004_protection WHERE ref_date='2024-09-30' AND nome_perimetro='Individual Corporativo' AND segmento='ESTR' AND ambito='PM' AND entidade='00100' ) A  Inner join (SELECT prtctn_id as prtctn_id_, orgnl_prtctn_vl as orgnl_prtctn_vl_to_be FROM bu_loantape_work.lt004_protection WHERE ref_date='2024-09-30' AND nome_perimetro='Individual Corporativo' AND segmento='ESTR' AND ambito='PM' AND entidade='00100' ) B ON prtctn_id_as_is=prtctn_id_to_be WHERE coalesce(cast(orgnl_prtctn_vl_as_is AS string),'')&lt;&gt;coalesce(cast(orgnl_prtctn_vl_to_be AS string),'') ) A Union all</v>
      </c>
      <c r="P349" s="75">
        <f t="shared" si="56"/>
        <v>35</v>
      </c>
    </row>
    <row r="350" spans="2:16" s="63" customFormat="1" ht="18" customHeight="1">
      <c r="B350" s="75" t="s">
        <v>30</v>
      </c>
      <c r="C350" s="75" t="str">
        <f>_xlfn.CONCAT(Instruções!$D$13,".",VLOOKUP(B350,Instruções!$F$12:$H$17,2,0))</f>
        <v>cd_loan_tapes_bce.lt004_protection</v>
      </c>
      <c r="D350" s="75" t="str">
        <f>_xlfn.CONCAT(Instruções!$D$14,".",VLOOKUP(B350,Instruções!$F$12:$H$17,3,0))</f>
        <v>bu_loantape_work.lt004_protection</v>
      </c>
      <c r="E350" s="75" t="s">
        <v>374</v>
      </c>
      <c r="F350" s="75" t="str">
        <f t="shared" si="57"/>
        <v>prm_lctn_as_is</v>
      </c>
      <c r="G350" s="75" t="str">
        <f t="shared" si="58"/>
        <v>prm_lctn_to_be</v>
      </c>
      <c r="H350" s="75" t="str">
        <f>IF(VLOOKUP(B350,Instruções!$F$13:$J$17,5,0)="",
"(SELECT "&amp;VLOOKUP(B350,Instruções!$F$13:$J$17,4,0)&amp;" as "&amp;VLOOKUP(B350,Instruções!$F$13:$J$17,4,0)&amp;"_"&amp;$F$2&amp;", "&amp;E350&amp;" as "&amp;F350&amp;" FROM "&amp;C350&amp;" WHERE "&amp;Instruções!$D$20&amp;") A ",
"(SELECT "&amp;VLOOKUP(B350,Instruções!$F$13:$J$17,4,0)&amp;" as "&amp;VLOOKUP(B350,Instruções!$F$13:$J$17,4,0)&amp;"_"&amp;$F$2&amp;", "&amp;VLOOKUP(B350,Instruções!$F$13:$J$17,5,0)&amp;" as "&amp;VLOOKUP(B350,Instruções!$F$13:$J$17,5,0)&amp;"_"&amp;$F$2&amp;","&amp;E350&amp;" as "&amp;F350&amp;" FROM "&amp;C350&amp;" WHERE "&amp;Instruções!$D$20&amp;") A ")</f>
        <v xml:space="preserve">(SELECT prtctn_id as prtctn_id_, prm_lctn as prm_lctn_as_is FROM cd_loan_tapes_bce.lt004_protection WHERE ref_date='2024-09-30' AND nome_perimetro='Individual Corporativo' AND segmento='ESTR' AND ambito='PM' AND entidade='00100' ) A </v>
      </c>
      <c r="I350" s="75" t="str">
        <f>IF(VLOOKUP(B350,Instruções!$F$13:$J$17,5,0)="",
"(SELECT "&amp;VLOOKUP(B350,Instruções!$F$13:$J$17,4,0)&amp;" as "&amp;VLOOKUP(B350,Instruções!$F$13:$J$17,4,0)&amp;"_"&amp;$G$2&amp;", "&amp;E350&amp;" as "&amp;G350&amp;" FROM "&amp;D350&amp;" WHERE "&amp;Instruções!$D$21&amp;") B ",
"(SELECT "&amp;VLOOKUP(B350,Instruções!$F$13:$J$17,4,0)&amp;" as "&amp;VLOOKUP(B350,Instruções!$F$13:$J$17,4,0)&amp;"_"&amp;$G$2&amp;", "&amp;VLOOKUP(B350,Instruções!$F$13:$J$17,5,0)&amp;" as "&amp;VLOOKUP(B350,Instruções!$F$13:$J$17,5,0)&amp;"_"&amp;$G$2&amp;","&amp;E350&amp;" as "&amp;G350&amp;" FROM "&amp;D350&amp;" WHERE "&amp;Instruções!$D$21&amp;") B ")</f>
        <v xml:space="preserve">(SELECT prtctn_id as prtctn_id_, prm_lctn as prm_lctn_to_be FROM bu_loantape_work.lt004_protection WHERE ref_date='2024-09-30' AND nome_perimetro='Individual Corporativo' AND segmento='ESTR' AND ambito='PM' AND entidade='00100' ) B </v>
      </c>
      <c r="J350" s="75" t="str">
        <f>+IF(VLOOKUP(B350,Instruções!$F$13:$J$17,5,0)="", "ON "&amp;VLOOKUP(B350,Instruções!$F$13:$J$17,4,0)&amp;"_"&amp;$F$7&amp;"="&amp;VLOOKUP(B350,Instruções!$F$13:$J$17,4,0)&amp;"_"&amp;$G$7&amp;" ", "ON "&amp;VLOOKUP(B350,Instruções!$F$13:$J$17,4,0)&amp;"_"&amp;$F$7&amp;"="&amp;VLOOKUP(B350,Instruções!$F$13:$J$17,4,0)&amp;"_"&amp;$G$7&amp;" AND "&amp;VLOOKUP(B350,Instruções!$F$13:$J$17,5,0)&amp;"_"&amp;$F$7&amp;"="&amp;VLOOKUP(B350,Instruções!$F$13:$J$17,5,0)&amp;"_"&amp;$G$7&amp;" ")</f>
        <v xml:space="preserve">ON prtctn_id_as_is=prtctn_id_to_be </v>
      </c>
      <c r="K350" s="75" t="str">
        <f t="shared" si="53"/>
        <v xml:space="preserve">WHERE coalesce(cast(prm_lctn_as_is AS string),'')&lt;&gt;coalesce(cast(prm_lctn_to_be AS string),'') </v>
      </c>
      <c r="L350" s="75" t="str">
        <f t="shared" si="54"/>
        <v xml:space="preserve">SELECT count(*) AS NUM_REG_DIF FROM (SELECT prtctn_id as prtctn_id_, prm_lctn as prm_lctn_as_is FROM cd_loan_tapes_bce.lt004_protection WHERE ref_date='2024-09-30' AND nome_perimetro='Individual Corporativo' AND segmento='ESTR' AND ambito='PM' AND entidade='00100' ) A  Inner join (SELECT prtctn_id as prtctn_id_, prm_lctn as prm_lctn_to_be FROM bu_loantape_work.lt004_protection WHERE ref_date='2024-09-30' AND nome_perimetro='Individual Corporativo' AND segmento='ESTR' AND ambito='PM' AND entidade='00100' ) B ON prtctn_id_as_is=prtctn_id_to_be WHERE coalesce(cast(prm_lctn_as_is AS string),'')&lt;&gt;coalesce(cast(prm_lctn_to_be AS string),'') </v>
      </c>
      <c r="M350" s="75" t="s">
        <v>55</v>
      </c>
      <c r="N350" s="75" t="str">
        <f>"SELECT 'Validação de campos' as tipologia_teste, '"&amp;VLOOKUP(B350,Instruções!$F$13:$J$17,3,0)&amp;"' AS TABELA, '"&amp;E350&amp;"' AS CAMPO, '"&amp;Instruções!$D$15&amp;"' as ref_date, coalesce(NUM_REG_DIF, 0) AS NUM_REG_DIF FROM ("&amp;L350&amp;") A "</f>
        <v xml:space="preserve">SELECT 'Validação de campos' as tipologia_teste, 'lt004_protection' AS TABELA, 'prm_lctn' AS CAMPO, '2024-09-30' as ref_date, coalesce(NUM_REG_DIF, 0) AS NUM_REG_DIF FROM (SELECT count(*) AS NUM_REG_DIF FROM (SELECT prtctn_id as prtctn_id_, prm_lctn as prm_lctn_as_is FROM cd_loan_tapes_bce.lt004_protection WHERE ref_date='2024-09-30' AND nome_perimetro='Individual Corporativo' AND segmento='ESTR' AND ambito='PM' AND entidade='00100' ) A  Inner join (SELECT prtctn_id as prtctn_id_, prm_lctn as prm_lctn_to_be FROM bu_loantape_work.lt004_protection WHERE ref_date='2024-09-30' AND nome_perimetro='Individual Corporativo' AND segmento='ESTR' AND ambito='PM' AND entidade='00100' ) B ON prtctn_id_as_is=prtctn_id_to_be WHERE coalesce(cast(prm_lctn_as_is AS string),'')&lt;&gt;coalesce(cast(prm_lctn_to_be AS string),'') ) A </v>
      </c>
      <c r="O350" s="76" t="str">
        <f t="shared" si="55"/>
        <v>SELECT 'Validação de campos' as tipologia_teste, 'lt004_protection' AS TABELA, 'prm_lctn' AS CAMPO, '2024-09-30' as ref_date, coalesce(NUM_REG_DIF, 0) AS NUM_REG_DIF FROM (SELECT count(*) AS NUM_REG_DIF FROM (SELECT prtctn_id as prtctn_id_, prm_lctn as prm_lctn_as_is FROM cd_loan_tapes_bce.lt004_protection WHERE ref_date='2024-09-30' AND nome_perimetro='Individual Corporativo' AND segmento='ESTR' AND ambito='PM' AND entidade='00100' ) A  Inner join (SELECT prtctn_id as prtctn_id_, prm_lctn as prm_lctn_to_be FROM bu_loantape_work.lt004_protection WHERE ref_date='2024-09-30' AND nome_perimetro='Individual Corporativo' AND segmento='ESTR' AND ambito='PM' AND entidade='00100' ) B ON prtctn_id_as_is=prtctn_id_to_be WHERE coalesce(cast(prm_lctn_as_is AS string),'')&lt;&gt;coalesce(cast(prm_lctn_to_be AS string),'') ) A Union all</v>
      </c>
      <c r="P350" s="75">
        <f t="shared" si="56"/>
        <v>36</v>
      </c>
    </row>
    <row r="351" spans="2:16" s="63" customFormat="1" ht="18" customHeight="1">
      <c r="B351" s="75" t="s">
        <v>30</v>
      </c>
      <c r="C351" s="75" t="str">
        <f>_xlfn.CONCAT(Instruções!$D$13,".",VLOOKUP(B351,Instruções!$F$12:$H$17,2,0))</f>
        <v>cd_loan_tapes_bce.lt004_protection</v>
      </c>
      <c r="D351" s="75" t="str">
        <f>_xlfn.CONCAT(Instruções!$D$14,".",VLOOKUP(B351,Instruções!$F$12:$H$17,3,0))</f>
        <v>bu_loantape_work.lt004_protection</v>
      </c>
      <c r="E351" s="75" t="s">
        <v>375</v>
      </c>
      <c r="F351" s="75" t="str">
        <f t="shared" si="57"/>
        <v>prtctn_clld_as_is</v>
      </c>
      <c r="G351" s="75" t="str">
        <f t="shared" si="58"/>
        <v>prtctn_clld_to_be</v>
      </c>
      <c r="H351" s="75" t="str">
        <f>IF(VLOOKUP(B351,Instruções!$F$13:$J$17,5,0)="",
"(SELECT "&amp;VLOOKUP(B351,Instruções!$F$13:$J$17,4,0)&amp;" as "&amp;VLOOKUP(B351,Instruções!$F$13:$J$17,4,0)&amp;"_"&amp;$F$2&amp;", "&amp;E351&amp;" as "&amp;F351&amp;" FROM "&amp;C351&amp;" WHERE "&amp;Instruções!$D$20&amp;") A ",
"(SELECT "&amp;VLOOKUP(B351,Instruções!$F$13:$J$17,4,0)&amp;" as "&amp;VLOOKUP(B351,Instruções!$F$13:$J$17,4,0)&amp;"_"&amp;$F$2&amp;", "&amp;VLOOKUP(B351,Instruções!$F$13:$J$17,5,0)&amp;" as "&amp;VLOOKUP(B351,Instruções!$F$13:$J$17,5,0)&amp;"_"&amp;$F$2&amp;","&amp;E351&amp;" as "&amp;F351&amp;" FROM "&amp;C351&amp;" WHERE "&amp;Instruções!$D$20&amp;") A ")</f>
        <v xml:space="preserve">(SELECT prtctn_id as prtctn_id_, prtctn_clld as prtctn_clld_as_is FROM cd_loan_tapes_bce.lt004_protection WHERE ref_date='2024-09-30' AND nome_perimetro='Individual Corporativo' AND segmento='ESTR' AND ambito='PM' AND entidade='00100' ) A </v>
      </c>
      <c r="I351" s="75" t="str">
        <f>IF(VLOOKUP(B351,Instruções!$F$13:$J$17,5,0)="",
"(SELECT "&amp;VLOOKUP(B351,Instruções!$F$13:$J$17,4,0)&amp;" as "&amp;VLOOKUP(B351,Instruções!$F$13:$J$17,4,0)&amp;"_"&amp;$G$2&amp;", "&amp;E351&amp;" as "&amp;G351&amp;" FROM "&amp;D351&amp;" WHERE "&amp;Instruções!$D$21&amp;") B ",
"(SELECT "&amp;VLOOKUP(B351,Instruções!$F$13:$J$17,4,0)&amp;" as "&amp;VLOOKUP(B351,Instruções!$F$13:$J$17,4,0)&amp;"_"&amp;$G$2&amp;", "&amp;VLOOKUP(B351,Instruções!$F$13:$J$17,5,0)&amp;" as "&amp;VLOOKUP(B351,Instruções!$F$13:$J$17,5,0)&amp;"_"&amp;$G$2&amp;","&amp;E351&amp;" as "&amp;G351&amp;" FROM "&amp;D351&amp;" WHERE "&amp;Instruções!$D$21&amp;") B ")</f>
        <v xml:space="preserve">(SELECT prtctn_id as prtctn_id_, prtctn_clld as prtctn_clld_to_be FROM bu_loantape_work.lt004_protection WHERE ref_date='2024-09-30' AND nome_perimetro='Individual Corporativo' AND segmento='ESTR' AND ambito='PM' AND entidade='00100' ) B </v>
      </c>
      <c r="J351" s="75" t="str">
        <f>+IF(VLOOKUP(B351,Instruções!$F$13:$J$17,5,0)="", "ON "&amp;VLOOKUP(B351,Instruções!$F$13:$J$17,4,0)&amp;"_"&amp;$F$7&amp;"="&amp;VLOOKUP(B351,Instruções!$F$13:$J$17,4,0)&amp;"_"&amp;$G$7&amp;" ", "ON "&amp;VLOOKUP(B351,Instruções!$F$13:$J$17,4,0)&amp;"_"&amp;$F$7&amp;"="&amp;VLOOKUP(B351,Instruções!$F$13:$J$17,4,0)&amp;"_"&amp;$G$7&amp;" AND "&amp;VLOOKUP(B351,Instruções!$F$13:$J$17,5,0)&amp;"_"&amp;$F$7&amp;"="&amp;VLOOKUP(B351,Instruções!$F$13:$J$17,5,0)&amp;"_"&amp;$G$7&amp;" ")</f>
        <v xml:space="preserve">ON prtctn_id_as_is=prtctn_id_to_be </v>
      </c>
      <c r="K351" s="75" t="str">
        <f t="shared" si="53"/>
        <v xml:space="preserve">WHERE coalesce(cast(prtctn_clld_as_is AS string),'')&lt;&gt;coalesce(cast(prtctn_clld_to_be AS string),'') </v>
      </c>
      <c r="L351" s="75" t="str">
        <f t="shared" si="54"/>
        <v xml:space="preserve">SELECT count(*) AS NUM_REG_DIF FROM (SELECT prtctn_id as prtctn_id_, prtctn_clld as prtctn_clld_as_is FROM cd_loan_tapes_bce.lt004_protection WHERE ref_date='2024-09-30' AND nome_perimetro='Individual Corporativo' AND segmento='ESTR' AND ambito='PM' AND entidade='00100' ) A  Inner join (SELECT prtctn_id as prtctn_id_, prtctn_clld as prtctn_clld_to_be FROM bu_loantape_work.lt004_protection WHERE ref_date='2024-09-30' AND nome_perimetro='Individual Corporativo' AND segmento='ESTR' AND ambito='PM' AND entidade='00100' ) B ON prtctn_id_as_is=prtctn_id_to_be WHERE coalesce(cast(prtctn_clld_as_is AS string),'')&lt;&gt;coalesce(cast(prtctn_clld_to_be AS string),'') </v>
      </c>
      <c r="M351" s="75" t="s">
        <v>55</v>
      </c>
      <c r="N351" s="75" t="str">
        <f>"SELECT 'Validação de campos' as tipologia_teste, '"&amp;VLOOKUP(B351,Instruções!$F$13:$J$17,3,0)&amp;"' AS TABELA, '"&amp;E351&amp;"' AS CAMPO, '"&amp;Instruções!$D$15&amp;"' as ref_date, coalesce(NUM_REG_DIF, 0) AS NUM_REG_DIF FROM ("&amp;L351&amp;") A "</f>
        <v xml:space="preserve">SELECT 'Validação de campos' as tipologia_teste, 'lt004_protection' AS TABELA, 'prtctn_clld' AS CAMPO, '2024-09-30' as ref_date, coalesce(NUM_REG_DIF, 0) AS NUM_REG_DIF FROM (SELECT count(*) AS NUM_REG_DIF FROM (SELECT prtctn_id as prtctn_id_, prtctn_clld as prtctn_clld_as_is FROM cd_loan_tapes_bce.lt004_protection WHERE ref_date='2024-09-30' AND nome_perimetro='Individual Corporativo' AND segmento='ESTR' AND ambito='PM' AND entidade='00100' ) A  Inner join (SELECT prtctn_id as prtctn_id_, prtctn_clld as prtctn_clld_to_be FROM bu_loantape_work.lt004_protection WHERE ref_date='2024-09-30' AND nome_perimetro='Individual Corporativo' AND segmento='ESTR' AND ambito='PM' AND entidade='00100' ) B ON prtctn_id_as_is=prtctn_id_to_be WHERE coalesce(cast(prtctn_clld_as_is AS string),'')&lt;&gt;coalesce(cast(prtctn_clld_to_be AS string),'') ) A </v>
      </c>
      <c r="O351" s="76" t="str">
        <f t="shared" si="55"/>
        <v>SELECT 'Validação de campos' as tipologia_teste, 'lt004_protection' AS TABELA, 'prtctn_clld' AS CAMPO, '2024-09-30' as ref_date, coalesce(NUM_REG_DIF, 0) AS NUM_REG_DIF FROM (SELECT count(*) AS NUM_REG_DIF FROM (SELECT prtctn_id as prtctn_id_, prtctn_clld as prtctn_clld_as_is FROM cd_loan_tapes_bce.lt004_protection WHERE ref_date='2024-09-30' AND nome_perimetro='Individual Corporativo' AND segmento='ESTR' AND ambito='PM' AND entidade='00100' ) A  Inner join (SELECT prtctn_id as prtctn_id_, prtctn_clld as prtctn_clld_to_be FROM bu_loantape_work.lt004_protection WHERE ref_date='2024-09-30' AND nome_perimetro='Individual Corporativo' AND segmento='ESTR' AND ambito='PM' AND entidade='00100' ) B ON prtctn_id_as_is=prtctn_id_to_be WHERE coalesce(cast(prtctn_clld_as_is AS string),'')&lt;&gt;coalesce(cast(prtctn_clld_to_be AS string),'') ) A Union all</v>
      </c>
      <c r="P351" s="75">
        <f t="shared" si="56"/>
        <v>37</v>
      </c>
    </row>
    <row r="352" spans="2:16" s="63" customFormat="1" ht="18" customHeight="1">
      <c r="B352" s="75" t="s">
        <v>30</v>
      </c>
      <c r="C352" s="75" t="str">
        <f>_xlfn.CONCAT(Instruções!$D$13,".",VLOOKUP(B352,Instruções!$F$12:$H$17,2,0))</f>
        <v>cd_loan_tapes_bce.lt004_protection</v>
      </c>
      <c r="D352" s="75" t="str">
        <f>_xlfn.CONCAT(Instruções!$D$14,".",VLOOKUP(B352,Instruções!$F$12:$H$17,3,0))</f>
        <v>bu_loantape_work.lt004_protection</v>
      </c>
      <c r="E352" s="75" t="s">
        <v>376</v>
      </c>
      <c r="F352" s="75" t="str">
        <f t="shared" si="57"/>
        <v>prtctn_frcd_sl_vl_as_is</v>
      </c>
      <c r="G352" s="75" t="str">
        <f t="shared" si="58"/>
        <v>prtctn_frcd_sl_vl_to_be</v>
      </c>
      <c r="H352" s="75" t="str">
        <f>IF(VLOOKUP(B352,Instruções!$F$13:$J$17,5,0)="",
"(SELECT "&amp;VLOOKUP(B352,Instruções!$F$13:$J$17,4,0)&amp;" as "&amp;VLOOKUP(B352,Instruções!$F$13:$J$17,4,0)&amp;"_"&amp;$F$2&amp;", "&amp;E352&amp;" as "&amp;F352&amp;" FROM "&amp;C352&amp;" WHERE "&amp;Instruções!$D$20&amp;") A ",
"(SELECT "&amp;VLOOKUP(B352,Instruções!$F$13:$J$17,4,0)&amp;" as "&amp;VLOOKUP(B352,Instruções!$F$13:$J$17,4,0)&amp;"_"&amp;$F$2&amp;", "&amp;VLOOKUP(B352,Instruções!$F$13:$J$17,5,0)&amp;" as "&amp;VLOOKUP(B352,Instruções!$F$13:$J$17,5,0)&amp;"_"&amp;$F$2&amp;","&amp;E352&amp;" as "&amp;F352&amp;" FROM "&amp;C352&amp;" WHERE "&amp;Instruções!$D$20&amp;") A ")</f>
        <v xml:space="preserve">(SELECT prtctn_id as prtctn_id_, prtctn_frcd_sl_vl as prtctn_frcd_sl_vl_as_is FROM cd_loan_tapes_bce.lt004_protection WHERE ref_date='2024-09-30' AND nome_perimetro='Individual Corporativo' AND segmento='ESTR' AND ambito='PM' AND entidade='00100' ) A </v>
      </c>
      <c r="I352" s="75" t="str">
        <f>IF(VLOOKUP(B352,Instruções!$F$13:$J$17,5,0)="",
"(SELECT "&amp;VLOOKUP(B352,Instruções!$F$13:$J$17,4,0)&amp;" as "&amp;VLOOKUP(B352,Instruções!$F$13:$J$17,4,0)&amp;"_"&amp;$G$2&amp;", "&amp;E352&amp;" as "&amp;G352&amp;" FROM "&amp;D352&amp;" WHERE "&amp;Instruções!$D$21&amp;") B ",
"(SELECT "&amp;VLOOKUP(B352,Instruções!$F$13:$J$17,4,0)&amp;" as "&amp;VLOOKUP(B352,Instruções!$F$13:$J$17,4,0)&amp;"_"&amp;$G$2&amp;", "&amp;VLOOKUP(B352,Instruções!$F$13:$J$17,5,0)&amp;" as "&amp;VLOOKUP(B352,Instruções!$F$13:$J$17,5,0)&amp;"_"&amp;$G$2&amp;","&amp;E352&amp;" as "&amp;G352&amp;" FROM "&amp;D352&amp;" WHERE "&amp;Instruções!$D$21&amp;") B ")</f>
        <v xml:space="preserve">(SELECT prtctn_id as prtctn_id_, prtctn_frcd_sl_vl as prtctn_frcd_sl_vl_to_be FROM bu_loantape_work.lt004_protection WHERE ref_date='2024-09-30' AND nome_perimetro='Individual Corporativo' AND segmento='ESTR' AND ambito='PM' AND entidade='00100' ) B </v>
      </c>
      <c r="J352" s="75" t="str">
        <f>+IF(VLOOKUP(B352,Instruções!$F$13:$J$17,5,0)="", "ON "&amp;VLOOKUP(B352,Instruções!$F$13:$J$17,4,0)&amp;"_"&amp;$F$7&amp;"="&amp;VLOOKUP(B352,Instruções!$F$13:$J$17,4,0)&amp;"_"&amp;$G$7&amp;" ", "ON "&amp;VLOOKUP(B352,Instruções!$F$13:$J$17,4,0)&amp;"_"&amp;$F$7&amp;"="&amp;VLOOKUP(B352,Instruções!$F$13:$J$17,4,0)&amp;"_"&amp;$G$7&amp;" AND "&amp;VLOOKUP(B352,Instruções!$F$13:$J$17,5,0)&amp;"_"&amp;$F$7&amp;"="&amp;VLOOKUP(B352,Instruções!$F$13:$J$17,5,0)&amp;"_"&amp;$G$7&amp;" ")</f>
        <v xml:space="preserve">ON prtctn_id_as_is=prtctn_id_to_be </v>
      </c>
      <c r="K352" s="75" t="str">
        <f t="shared" si="53"/>
        <v xml:space="preserve">WHERE coalesce(cast(prtctn_frcd_sl_vl_as_is AS string),'')&lt;&gt;coalesce(cast(prtctn_frcd_sl_vl_to_be AS string),'') </v>
      </c>
      <c r="L352" s="75" t="str">
        <f t="shared" si="54"/>
        <v xml:space="preserve">SELECT count(*) AS NUM_REG_DIF FROM (SELECT prtctn_id as prtctn_id_, prtctn_frcd_sl_vl as prtctn_frcd_sl_vl_as_is FROM cd_loan_tapes_bce.lt004_protection WHERE ref_date='2024-09-30' AND nome_perimetro='Individual Corporativo' AND segmento='ESTR' AND ambito='PM' AND entidade='00100' ) A  Inner join (SELECT prtctn_id as prtctn_id_, prtctn_frcd_sl_vl as prtctn_frcd_sl_vl_to_be FROM bu_loantape_work.lt004_protection WHERE ref_date='2024-09-30' AND nome_perimetro='Individual Corporativo' AND segmento='ESTR' AND ambito='PM' AND entidade='00100' ) B ON prtctn_id_as_is=prtctn_id_to_be WHERE coalesce(cast(prtctn_frcd_sl_vl_as_is AS string),'')&lt;&gt;coalesce(cast(prtctn_frcd_sl_vl_to_be AS string),'') </v>
      </c>
      <c r="M352" s="75" t="s">
        <v>55</v>
      </c>
      <c r="N352" s="75" t="str">
        <f>"SELECT 'Validação de campos' as tipologia_teste, '"&amp;VLOOKUP(B352,Instruções!$F$13:$J$17,3,0)&amp;"' AS TABELA, '"&amp;E352&amp;"' AS CAMPO, '"&amp;Instruções!$D$15&amp;"' as ref_date, coalesce(NUM_REG_DIF, 0) AS NUM_REG_DIF FROM ("&amp;L352&amp;") A "</f>
        <v xml:space="preserve">SELECT 'Validação de campos' as tipologia_teste, 'lt004_protection' AS TABELA, 'prtctn_frcd_sl_vl' AS CAMPO, '2024-09-30' as ref_date, coalesce(NUM_REG_DIF, 0) AS NUM_REG_DIF FROM (SELECT count(*) AS NUM_REG_DIF FROM (SELECT prtctn_id as prtctn_id_, prtctn_frcd_sl_vl as prtctn_frcd_sl_vl_as_is FROM cd_loan_tapes_bce.lt004_protection WHERE ref_date='2024-09-30' AND nome_perimetro='Individual Corporativo' AND segmento='ESTR' AND ambito='PM' AND entidade='00100' ) A  Inner join (SELECT prtctn_id as prtctn_id_, prtctn_frcd_sl_vl as prtctn_frcd_sl_vl_to_be FROM bu_loantape_work.lt004_protection WHERE ref_date='2024-09-30' AND nome_perimetro='Individual Corporativo' AND segmento='ESTR' AND ambito='PM' AND entidade='00100' ) B ON prtctn_id_as_is=prtctn_id_to_be WHERE coalesce(cast(prtctn_frcd_sl_vl_as_is AS string),'')&lt;&gt;coalesce(cast(prtctn_frcd_sl_vl_to_be AS string),'') ) A </v>
      </c>
      <c r="O352" s="76" t="str">
        <f t="shared" si="55"/>
        <v>SELECT 'Validação de campos' as tipologia_teste, 'lt004_protection' AS TABELA, 'prtctn_frcd_sl_vl' AS CAMPO, '2024-09-30' as ref_date, coalesce(NUM_REG_DIF, 0) AS NUM_REG_DIF FROM (SELECT count(*) AS NUM_REG_DIF FROM (SELECT prtctn_id as prtctn_id_, prtctn_frcd_sl_vl as prtctn_frcd_sl_vl_as_is FROM cd_loan_tapes_bce.lt004_protection WHERE ref_date='2024-09-30' AND nome_perimetro='Individual Corporativo' AND segmento='ESTR' AND ambito='PM' AND entidade='00100' ) A  Inner join (SELECT prtctn_id as prtctn_id_, prtctn_frcd_sl_vl as prtctn_frcd_sl_vl_to_be FROM bu_loantape_work.lt004_protection WHERE ref_date='2024-09-30' AND nome_perimetro='Individual Corporativo' AND segmento='ESTR' AND ambito='PM' AND entidade='00100' ) B ON prtctn_id_as_is=prtctn_id_to_be WHERE coalesce(cast(prtctn_frcd_sl_vl_as_is AS string),'')&lt;&gt;coalesce(cast(prtctn_frcd_sl_vl_to_be AS string),'') ) A Union all</v>
      </c>
      <c r="P352" s="75">
        <f t="shared" si="56"/>
        <v>38</v>
      </c>
    </row>
    <row r="353" spans="2:16" s="63" customFormat="1" ht="18" customHeight="1">
      <c r="B353" s="75" t="s">
        <v>30</v>
      </c>
      <c r="C353" s="75" t="str">
        <f>_xlfn.CONCAT(Instruções!$D$13,".",VLOOKUP(B353,Instruções!$F$12:$H$17,2,0))</f>
        <v>cd_loan_tapes_bce.lt004_protection</v>
      </c>
      <c r="D353" s="75" t="str">
        <f>_xlfn.CONCAT(Instruções!$D$14,".",VLOOKUP(B353,Instruções!$F$12:$H$17,3,0))</f>
        <v>bu_loantape_work.lt004_protection</v>
      </c>
      <c r="E353" s="75" t="s">
        <v>377</v>
      </c>
      <c r="F353" s="75" t="str">
        <f t="shared" si="57"/>
        <v>prtctn_prvdr_id_as_is</v>
      </c>
      <c r="G353" s="75" t="str">
        <f t="shared" si="58"/>
        <v>prtctn_prvdr_id_to_be</v>
      </c>
      <c r="H353" s="75" t="str">
        <f>IF(VLOOKUP(B353,Instruções!$F$13:$J$17,5,0)="",
"(SELECT "&amp;VLOOKUP(B353,Instruções!$F$13:$J$17,4,0)&amp;" as "&amp;VLOOKUP(B353,Instruções!$F$13:$J$17,4,0)&amp;"_"&amp;$F$2&amp;", "&amp;E353&amp;" as "&amp;F353&amp;" FROM "&amp;C353&amp;" WHERE "&amp;Instruções!$D$20&amp;") A ",
"(SELECT "&amp;VLOOKUP(B353,Instruções!$F$13:$J$17,4,0)&amp;" as "&amp;VLOOKUP(B353,Instruções!$F$13:$J$17,4,0)&amp;"_"&amp;$F$2&amp;", "&amp;VLOOKUP(B353,Instruções!$F$13:$J$17,5,0)&amp;" as "&amp;VLOOKUP(B353,Instruções!$F$13:$J$17,5,0)&amp;"_"&amp;$F$2&amp;","&amp;E353&amp;" as "&amp;F353&amp;" FROM "&amp;C353&amp;" WHERE "&amp;Instruções!$D$20&amp;") A ")</f>
        <v xml:space="preserve">(SELECT prtctn_id as prtctn_id_, prtctn_prvdr_id as prtctn_prvdr_id_as_is FROM cd_loan_tapes_bce.lt004_protection WHERE ref_date='2024-09-30' AND nome_perimetro='Individual Corporativo' AND segmento='ESTR' AND ambito='PM' AND entidade='00100' ) A </v>
      </c>
      <c r="I353" s="75" t="str">
        <f>IF(VLOOKUP(B353,Instruções!$F$13:$J$17,5,0)="",
"(SELECT "&amp;VLOOKUP(B353,Instruções!$F$13:$J$17,4,0)&amp;" as "&amp;VLOOKUP(B353,Instruções!$F$13:$J$17,4,0)&amp;"_"&amp;$G$2&amp;", "&amp;E353&amp;" as "&amp;G353&amp;" FROM "&amp;D353&amp;" WHERE "&amp;Instruções!$D$21&amp;") B ",
"(SELECT "&amp;VLOOKUP(B353,Instruções!$F$13:$J$17,4,0)&amp;" as "&amp;VLOOKUP(B353,Instruções!$F$13:$J$17,4,0)&amp;"_"&amp;$G$2&amp;", "&amp;VLOOKUP(B353,Instruções!$F$13:$J$17,5,0)&amp;" as "&amp;VLOOKUP(B353,Instruções!$F$13:$J$17,5,0)&amp;"_"&amp;$G$2&amp;","&amp;E353&amp;" as "&amp;G353&amp;" FROM "&amp;D353&amp;" WHERE "&amp;Instruções!$D$21&amp;") B ")</f>
        <v xml:space="preserve">(SELECT prtctn_id as prtctn_id_, prtctn_prvdr_id as prtctn_prvdr_id_to_be FROM bu_loantape_work.lt004_protection WHERE ref_date='2024-09-30' AND nome_perimetro='Individual Corporativo' AND segmento='ESTR' AND ambito='PM' AND entidade='00100' ) B </v>
      </c>
      <c r="J353" s="75" t="str">
        <f>+IF(VLOOKUP(B353,Instruções!$F$13:$J$17,5,0)="", "ON "&amp;VLOOKUP(B353,Instruções!$F$13:$J$17,4,0)&amp;"_"&amp;$F$7&amp;"="&amp;VLOOKUP(B353,Instruções!$F$13:$J$17,4,0)&amp;"_"&amp;$G$7&amp;" ", "ON "&amp;VLOOKUP(B353,Instruções!$F$13:$J$17,4,0)&amp;"_"&amp;$F$7&amp;"="&amp;VLOOKUP(B353,Instruções!$F$13:$J$17,4,0)&amp;"_"&amp;$G$7&amp;" AND "&amp;VLOOKUP(B353,Instruções!$F$13:$J$17,5,0)&amp;"_"&amp;$F$7&amp;"="&amp;VLOOKUP(B353,Instruções!$F$13:$J$17,5,0)&amp;"_"&amp;$G$7&amp;" ")</f>
        <v xml:space="preserve">ON prtctn_id_as_is=prtctn_id_to_be </v>
      </c>
      <c r="K353" s="75" t="str">
        <f t="shared" si="53"/>
        <v xml:space="preserve">WHERE coalesce(cast(prtctn_prvdr_id_as_is AS string),'')&lt;&gt;coalesce(cast(prtctn_prvdr_id_to_be AS string),'') </v>
      </c>
      <c r="L353" s="75" t="str">
        <f t="shared" si="54"/>
        <v xml:space="preserve">SELECT count(*) AS NUM_REG_DIF FROM (SELECT prtctn_id as prtctn_id_, prtctn_prvdr_id as prtctn_prvdr_id_as_is FROM cd_loan_tapes_bce.lt004_protection WHERE ref_date='2024-09-30' AND nome_perimetro='Individual Corporativo' AND segmento='ESTR' AND ambito='PM' AND entidade='00100' ) A  Inner join (SELECT prtctn_id as prtctn_id_, prtctn_prvdr_id as prtctn_prvdr_id_to_be FROM bu_loantape_work.lt004_protection WHERE ref_date='2024-09-30' AND nome_perimetro='Individual Corporativo' AND segmento='ESTR' AND ambito='PM' AND entidade='00100' ) B ON prtctn_id_as_is=prtctn_id_to_be WHERE coalesce(cast(prtctn_prvdr_id_as_is AS string),'')&lt;&gt;coalesce(cast(prtctn_prvdr_id_to_be AS string),'') </v>
      </c>
      <c r="M353" s="75" t="s">
        <v>55</v>
      </c>
      <c r="N353" s="75" t="str">
        <f>"SELECT 'Validação de campos' as tipologia_teste, '"&amp;VLOOKUP(B353,Instruções!$F$13:$J$17,3,0)&amp;"' AS TABELA, '"&amp;E353&amp;"' AS CAMPO, '"&amp;Instruções!$D$15&amp;"' as ref_date, coalesce(NUM_REG_DIF, 0) AS NUM_REG_DIF FROM ("&amp;L353&amp;") A "</f>
        <v xml:space="preserve">SELECT 'Validação de campos' as tipologia_teste, 'lt004_protection' AS TABELA, 'prtctn_prvdr_id' AS CAMPO, '2024-09-30' as ref_date, coalesce(NUM_REG_DIF, 0) AS NUM_REG_DIF FROM (SELECT count(*) AS NUM_REG_DIF FROM (SELECT prtctn_id as prtctn_id_, prtctn_prvdr_id as prtctn_prvdr_id_as_is FROM cd_loan_tapes_bce.lt004_protection WHERE ref_date='2024-09-30' AND nome_perimetro='Individual Corporativo' AND segmento='ESTR' AND ambito='PM' AND entidade='00100' ) A  Inner join (SELECT prtctn_id as prtctn_id_, prtctn_prvdr_id as prtctn_prvdr_id_to_be FROM bu_loantape_work.lt004_protection WHERE ref_date='2024-09-30' AND nome_perimetro='Individual Corporativo' AND segmento='ESTR' AND ambito='PM' AND entidade='00100' ) B ON prtctn_id_as_is=prtctn_id_to_be WHERE coalesce(cast(prtctn_prvdr_id_as_is AS string),'')&lt;&gt;coalesce(cast(prtctn_prvdr_id_to_be AS string),'') ) A </v>
      </c>
      <c r="O353" s="76" t="str">
        <f t="shared" si="55"/>
        <v>SELECT 'Validação de campos' as tipologia_teste, 'lt004_protection' AS TABELA, 'prtctn_prvdr_id' AS CAMPO, '2024-09-30' as ref_date, coalesce(NUM_REG_DIF, 0) AS NUM_REG_DIF FROM (SELECT count(*) AS NUM_REG_DIF FROM (SELECT prtctn_id as prtctn_id_, prtctn_prvdr_id as prtctn_prvdr_id_as_is FROM cd_loan_tapes_bce.lt004_protection WHERE ref_date='2024-09-30' AND nome_perimetro='Individual Corporativo' AND segmento='ESTR' AND ambito='PM' AND entidade='00100' ) A  Inner join (SELECT prtctn_id as prtctn_id_, prtctn_prvdr_id as prtctn_prvdr_id_to_be FROM bu_loantape_work.lt004_protection WHERE ref_date='2024-09-30' AND nome_perimetro='Individual Corporativo' AND segmento='ESTR' AND ambito='PM' AND entidade='00100' ) B ON prtctn_id_as_is=prtctn_id_to_be WHERE coalesce(cast(prtctn_prvdr_id_as_is AS string),'')&lt;&gt;coalesce(cast(prtctn_prvdr_id_to_be AS string),'') ) A Union all</v>
      </c>
      <c r="P353" s="75">
        <f t="shared" ref="P353:P364" si="59">P352+1</f>
        <v>39</v>
      </c>
    </row>
    <row r="354" spans="2:16" s="63" customFormat="1" ht="18" customHeight="1">
      <c r="B354" s="75" t="s">
        <v>30</v>
      </c>
      <c r="C354" s="75" t="str">
        <f>_xlfn.CONCAT(Instruções!$D$13,".",VLOOKUP(B354,Instruções!$F$12:$H$17,2,0))</f>
        <v>cd_loan_tapes_bce.lt004_protection</v>
      </c>
      <c r="D354" s="75" t="str">
        <f>_xlfn.CONCAT(Instruções!$D$14,".",VLOOKUP(B354,Instruções!$F$12:$H$17,3,0))</f>
        <v>bu_loantape_work.lt004_protection</v>
      </c>
      <c r="E354" s="75" t="s">
        <v>378</v>
      </c>
      <c r="F354" s="75" t="str">
        <f t="shared" si="57"/>
        <v>prtctn_typ_pblc_grnt_schm_c19_as_is</v>
      </c>
      <c r="G354" s="75" t="str">
        <f t="shared" si="58"/>
        <v>prtctn_typ_pblc_grnt_schm_c19_to_be</v>
      </c>
      <c r="H354" s="75" t="str">
        <f>IF(VLOOKUP(B354,Instruções!$F$13:$J$17,5,0)="",
"(SELECT "&amp;VLOOKUP(B354,Instruções!$F$13:$J$17,4,0)&amp;" as "&amp;VLOOKUP(B354,Instruções!$F$13:$J$17,4,0)&amp;"_"&amp;$F$2&amp;", "&amp;E354&amp;" as "&amp;F354&amp;" FROM "&amp;C354&amp;" WHERE "&amp;Instruções!$D$20&amp;") A ",
"(SELECT "&amp;VLOOKUP(B354,Instruções!$F$13:$J$17,4,0)&amp;" as "&amp;VLOOKUP(B354,Instruções!$F$13:$J$17,4,0)&amp;"_"&amp;$F$2&amp;", "&amp;VLOOKUP(B354,Instruções!$F$13:$J$17,5,0)&amp;" as "&amp;VLOOKUP(B354,Instruções!$F$13:$J$17,5,0)&amp;"_"&amp;$F$2&amp;","&amp;E354&amp;" as "&amp;F354&amp;" FROM "&amp;C354&amp;" WHERE "&amp;Instruções!$D$20&amp;") A ")</f>
        <v xml:space="preserve">(SELECT prtctn_id as prtctn_id_, prtctn_typ_pblc_grnt_schm_c19 as prtctn_typ_pblc_grnt_schm_c19_as_is FROM cd_loan_tapes_bce.lt004_protection WHERE ref_date='2024-09-30' AND nome_perimetro='Individual Corporativo' AND segmento='ESTR' AND ambito='PM' AND entidade='00100' ) A </v>
      </c>
      <c r="I354" s="75" t="str">
        <f>IF(VLOOKUP(B354,Instruções!$F$13:$J$17,5,0)="",
"(SELECT "&amp;VLOOKUP(B354,Instruções!$F$13:$J$17,4,0)&amp;" as "&amp;VLOOKUP(B354,Instruções!$F$13:$J$17,4,0)&amp;"_"&amp;$G$2&amp;", "&amp;E354&amp;" as "&amp;G354&amp;" FROM "&amp;D354&amp;" WHERE "&amp;Instruções!$D$21&amp;") B ",
"(SELECT "&amp;VLOOKUP(B354,Instruções!$F$13:$J$17,4,0)&amp;" as "&amp;VLOOKUP(B354,Instruções!$F$13:$J$17,4,0)&amp;"_"&amp;$G$2&amp;", "&amp;VLOOKUP(B354,Instruções!$F$13:$J$17,5,0)&amp;" as "&amp;VLOOKUP(B354,Instruções!$F$13:$J$17,5,0)&amp;"_"&amp;$G$2&amp;","&amp;E354&amp;" as "&amp;G354&amp;" FROM "&amp;D354&amp;" WHERE "&amp;Instruções!$D$21&amp;") B ")</f>
        <v xml:space="preserve">(SELECT prtctn_id as prtctn_id_, prtctn_typ_pblc_grnt_schm_c19 as prtctn_typ_pblc_grnt_schm_c19_to_be FROM bu_loantape_work.lt004_protection WHERE ref_date='2024-09-30' AND nome_perimetro='Individual Corporativo' AND segmento='ESTR' AND ambito='PM' AND entidade='00100' ) B </v>
      </c>
      <c r="J354" s="75" t="str">
        <f>+IF(VLOOKUP(B354,Instruções!$F$13:$J$17,5,0)="", "ON "&amp;VLOOKUP(B354,Instruções!$F$13:$J$17,4,0)&amp;"_"&amp;$F$7&amp;"="&amp;VLOOKUP(B354,Instruções!$F$13:$J$17,4,0)&amp;"_"&amp;$G$7&amp;" ", "ON "&amp;VLOOKUP(B354,Instruções!$F$13:$J$17,4,0)&amp;"_"&amp;$F$7&amp;"="&amp;VLOOKUP(B354,Instruções!$F$13:$J$17,4,0)&amp;"_"&amp;$G$7&amp;" AND "&amp;VLOOKUP(B354,Instruções!$F$13:$J$17,5,0)&amp;"_"&amp;$F$7&amp;"="&amp;VLOOKUP(B354,Instruções!$F$13:$J$17,5,0)&amp;"_"&amp;$G$7&amp;" ")</f>
        <v xml:space="preserve">ON prtctn_id_as_is=prtctn_id_to_be </v>
      </c>
      <c r="K354" s="75" t="str">
        <f t="shared" si="53"/>
        <v xml:space="preserve">WHERE coalesce(cast(prtctn_typ_pblc_grnt_schm_c19_as_is AS string),'')&lt;&gt;coalesce(cast(prtctn_typ_pblc_grnt_schm_c19_to_be AS string),'') </v>
      </c>
      <c r="L354" s="75" t="str">
        <f t="shared" si="54"/>
        <v xml:space="preserve">SELECT count(*) AS NUM_REG_DIF FROM (SELECT prtctn_id as prtctn_id_,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prtctn_id_, prtctn_typ_pblc_grnt_schm_c19 as prtctn_typ_pblc_grnt_schm_c19_to_be FROM bu_loantape_work.lt004_protection WHERE ref_date='2024-09-30' AND nome_perimetro='Individual Corporativo' AND segmento='ESTR' AND ambito='PM' AND entidade='00100' ) B ON prtctn_id_as_is=prtctn_id_to_be WHERE coalesce(cast(prtctn_typ_pblc_grnt_schm_c19_as_is AS string),'')&lt;&gt;coalesce(cast(prtctn_typ_pblc_grnt_schm_c19_to_be AS string),'') </v>
      </c>
      <c r="M354" s="75" t="s">
        <v>55</v>
      </c>
      <c r="N354" s="75" t="str">
        <f>"SELECT 'Validação de campos' as tipologia_teste, '"&amp;VLOOKUP(B354,Instruções!$F$13:$J$17,3,0)&amp;"' AS TABELA, '"&amp;E354&amp;"' AS CAMPO, '"&amp;Instruções!$D$15&amp;"' as ref_date, coalesce(NUM_REG_DIF, 0) AS NUM_REG_DIF FROM ("&amp;L354&amp;") A "</f>
        <v xml:space="preserve">SELECT 'Validação de campos' as tipologia_teste, 'lt004_protection' AS TABELA, 'prtctn_typ_pblc_grnt_schm_c19' AS CAMPO, '2024-09-30' as ref_date, coalesce(NUM_REG_DIF, 0) AS NUM_REG_DIF FROM (SELECT count(*) AS NUM_REG_DIF FROM (SELECT prtctn_id as prtctn_id_,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prtctn_id_, prtctn_typ_pblc_grnt_schm_c19 as prtctn_typ_pblc_grnt_schm_c19_to_be FROM bu_loantape_work.lt004_protection WHERE ref_date='2024-09-30' AND nome_perimetro='Individual Corporativo' AND segmento='ESTR' AND ambito='PM' AND entidade='00100' ) B ON prtctn_id_as_is=prtctn_id_to_be WHERE coalesce(cast(prtctn_typ_pblc_grnt_schm_c19_as_is AS string),'')&lt;&gt;coalesce(cast(prtctn_typ_pblc_grnt_schm_c19_to_be AS string),'') ) A </v>
      </c>
      <c r="O354" s="76" t="str">
        <f t="shared" si="55"/>
        <v>SELECT 'Validação de campos' as tipologia_teste, 'lt004_protection' AS TABELA, 'prtctn_typ_pblc_grnt_schm_c19' AS CAMPO, '2024-09-30' as ref_date, coalesce(NUM_REG_DIF, 0) AS NUM_REG_DIF FROM (SELECT count(*) AS NUM_REG_DIF FROM (SELECT prtctn_id as prtctn_id_,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prtctn_id_, prtctn_typ_pblc_grnt_schm_c19 as prtctn_typ_pblc_grnt_schm_c19_to_be FROM bu_loantape_work.lt004_protection WHERE ref_date='2024-09-30' AND nome_perimetro='Individual Corporativo' AND segmento='ESTR' AND ambito='PM' AND entidade='00100' ) B ON prtctn_id_as_is=prtctn_id_to_be WHERE coalesce(cast(prtctn_typ_pblc_grnt_schm_c19_as_is AS string),'')&lt;&gt;coalesce(cast(prtctn_typ_pblc_grnt_schm_c19_to_be AS string),'') ) A Union all</v>
      </c>
      <c r="P354" s="75">
        <f t="shared" si="59"/>
        <v>40</v>
      </c>
    </row>
    <row r="355" spans="2:16" s="63" customFormat="1" ht="18" customHeight="1">
      <c r="B355" s="75" t="s">
        <v>30</v>
      </c>
      <c r="C355" s="75" t="str">
        <f>_xlfn.CONCAT(Instruções!$D$13,".",VLOOKUP(B355,Instruções!$F$12:$H$17,2,0))</f>
        <v>cd_loan_tapes_bce.lt004_protection</v>
      </c>
      <c r="D355" s="75" t="str">
        <f>_xlfn.CONCAT(Instruções!$D$14,".",VLOOKUP(B355,Instruções!$F$12:$H$17,3,0))</f>
        <v>bu_loantape_work.lt004_protection</v>
      </c>
      <c r="E355" s="75" t="s">
        <v>379</v>
      </c>
      <c r="F355" s="75" t="str">
        <f t="shared" si="57"/>
        <v>prtctn_vl_as_is</v>
      </c>
      <c r="G355" s="75" t="str">
        <f t="shared" si="58"/>
        <v>prtctn_vl_to_be</v>
      </c>
      <c r="H355" s="75" t="str">
        <f>IF(VLOOKUP(B355,Instruções!$F$13:$J$17,5,0)="",
"(SELECT "&amp;VLOOKUP(B355,Instruções!$F$13:$J$17,4,0)&amp;" as "&amp;VLOOKUP(B355,Instruções!$F$13:$J$17,4,0)&amp;"_"&amp;$F$2&amp;", "&amp;E355&amp;" as "&amp;F355&amp;" FROM "&amp;C355&amp;" WHERE "&amp;Instruções!$D$20&amp;") A ",
"(SELECT "&amp;VLOOKUP(B355,Instruções!$F$13:$J$17,4,0)&amp;" as "&amp;VLOOKUP(B355,Instruções!$F$13:$J$17,4,0)&amp;"_"&amp;$F$2&amp;", "&amp;VLOOKUP(B355,Instruções!$F$13:$J$17,5,0)&amp;" as "&amp;VLOOKUP(B355,Instruções!$F$13:$J$17,5,0)&amp;"_"&amp;$F$2&amp;","&amp;E355&amp;" as "&amp;F355&amp;" FROM "&amp;C355&amp;" WHERE "&amp;Instruções!$D$20&amp;") A ")</f>
        <v xml:space="preserve">(SELECT prtctn_id as prtctn_id_, prtctn_vl as prtctn_vl_as_is FROM cd_loan_tapes_bce.lt004_protection WHERE ref_date='2024-09-30' AND nome_perimetro='Individual Corporativo' AND segmento='ESTR' AND ambito='PM' AND entidade='00100' ) A </v>
      </c>
      <c r="I355" s="75" t="str">
        <f>IF(VLOOKUP(B355,Instruções!$F$13:$J$17,5,0)="",
"(SELECT "&amp;VLOOKUP(B355,Instruções!$F$13:$J$17,4,0)&amp;" as "&amp;VLOOKUP(B355,Instruções!$F$13:$J$17,4,0)&amp;"_"&amp;$G$2&amp;", "&amp;E355&amp;" as "&amp;G355&amp;" FROM "&amp;D355&amp;" WHERE "&amp;Instruções!$D$21&amp;") B ",
"(SELECT "&amp;VLOOKUP(B355,Instruções!$F$13:$J$17,4,0)&amp;" as "&amp;VLOOKUP(B355,Instruções!$F$13:$J$17,4,0)&amp;"_"&amp;$G$2&amp;", "&amp;VLOOKUP(B355,Instruções!$F$13:$J$17,5,0)&amp;" as "&amp;VLOOKUP(B355,Instruções!$F$13:$J$17,5,0)&amp;"_"&amp;$G$2&amp;","&amp;E355&amp;" as "&amp;G355&amp;" FROM "&amp;D355&amp;" WHERE "&amp;Instruções!$D$21&amp;") B ")</f>
        <v xml:space="preserve">(SELECT prtctn_id as prtctn_id_, prtctn_vl as prtctn_vl_to_be FROM bu_loantape_work.lt004_protection WHERE ref_date='2024-09-30' AND nome_perimetro='Individual Corporativo' AND segmento='ESTR' AND ambito='PM' AND entidade='00100' ) B </v>
      </c>
      <c r="J355" s="75" t="str">
        <f>+IF(VLOOKUP(B355,Instruções!$F$13:$J$17,5,0)="", "ON "&amp;VLOOKUP(B355,Instruções!$F$13:$J$17,4,0)&amp;"_"&amp;$F$7&amp;"="&amp;VLOOKUP(B355,Instruções!$F$13:$J$17,4,0)&amp;"_"&amp;$G$7&amp;" ", "ON "&amp;VLOOKUP(B355,Instruções!$F$13:$J$17,4,0)&amp;"_"&amp;$F$7&amp;"="&amp;VLOOKUP(B355,Instruções!$F$13:$J$17,4,0)&amp;"_"&amp;$G$7&amp;" AND "&amp;VLOOKUP(B355,Instruções!$F$13:$J$17,5,0)&amp;"_"&amp;$F$7&amp;"="&amp;VLOOKUP(B355,Instruções!$F$13:$J$17,5,0)&amp;"_"&amp;$G$7&amp;" ")</f>
        <v xml:space="preserve">ON prtctn_id_as_is=prtctn_id_to_be </v>
      </c>
      <c r="K355" s="75" t="str">
        <f t="shared" si="53"/>
        <v xml:space="preserve">WHERE coalesce(cast(prtctn_vl_as_is AS string),'')&lt;&gt;coalesce(cast(prtctn_vl_to_be AS string),'') </v>
      </c>
      <c r="L355" s="75" t="str">
        <f t="shared" si="54"/>
        <v xml:space="preserve">SELECT count(*) AS NUM_REG_DIF FROM (SELECT prtctn_id as prtctn_id_, prtctn_vl as prtctn_vl_as_is FROM cd_loan_tapes_bce.lt004_protection WHERE ref_date='2024-09-30' AND nome_perimetro='Individual Corporativo' AND segmento='ESTR' AND ambito='PM' AND entidade='00100' ) A  Inner join (SELECT prtctn_id as prtctn_id_, prtctn_vl as prtctn_vl_to_be FROM bu_loantape_work.lt004_protection WHERE ref_date='2024-09-30' AND nome_perimetro='Individual Corporativo' AND segmento='ESTR' AND ambito='PM' AND entidade='00100' ) B ON prtctn_id_as_is=prtctn_id_to_be WHERE coalesce(cast(prtctn_vl_as_is AS string),'')&lt;&gt;coalesce(cast(prtctn_vl_to_be AS string),'') </v>
      </c>
      <c r="M355" s="75" t="s">
        <v>55</v>
      </c>
      <c r="N355" s="75" t="str">
        <f>"SELECT 'Validação de campos' as tipologia_teste, '"&amp;VLOOKUP(B355,Instruções!$F$13:$J$17,3,0)&amp;"' AS TABELA, '"&amp;E355&amp;"' AS CAMPO, '"&amp;Instruções!$D$15&amp;"' as ref_date, coalesce(NUM_REG_DIF, 0) AS NUM_REG_DIF FROM ("&amp;L355&amp;") A "</f>
        <v xml:space="preserve">SELECT 'Validação de campos' as tipologia_teste, 'lt004_protection' AS TABELA, 'prtctn_vl' AS CAMPO, '2024-09-30' as ref_date, coalesce(NUM_REG_DIF, 0) AS NUM_REG_DIF FROM (SELECT count(*) AS NUM_REG_DIF FROM (SELECT prtctn_id as prtctn_id_, prtctn_vl as prtctn_vl_as_is FROM cd_loan_tapes_bce.lt004_protection WHERE ref_date='2024-09-30' AND nome_perimetro='Individual Corporativo' AND segmento='ESTR' AND ambito='PM' AND entidade='00100' ) A  Inner join (SELECT prtctn_id as prtctn_id_, prtctn_vl as prtctn_vl_to_be FROM bu_loantape_work.lt004_protection WHERE ref_date='2024-09-30' AND nome_perimetro='Individual Corporativo' AND segmento='ESTR' AND ambito='PM' AND entidade='00100' ) B ON prtctn_id_as_is=prtctn_id_to_be WHERE coalesce(cast(prtctn_vl_as_is AS string),'')&lt;&gt;coalesce(cast(prtctn_vl_to_be AS string),'') ) A </v>
      </c>
      <c r="O355" s="76" t="str">
        <f t="shared" si="55"/>
        <v>SELECT 'Validação de campos' as tipologia_teste, 'lt004_protection' AS TABELA, 'prtctn_vl' AS CAMPO, '2024-09-30' as ref_date, coalesce(NUM_REG_DIF, 0) AS NUM_REG_DIF FROM (SELECT count(*) AS NUM_REG_DIF FROM (SELECT prtctn_id as prtctn_id_, prtctn_vl as prtctn_vl_as_is FROM cd_loan_tapes_bce.lt004_protection WHERE ref_date='2024-09-30' AND nome_perimetro='Individual Corporativo' AND segmento='ESTR' AND ambito='PM' AND entidade='00100' ) A  Inner join (SELECT prtctn_id as prtctn_id_, prtctn_vl as prtctn_vl_to_be FROM bu_loantape_work.lt004_protection WHERE ref_date='2024-09-30' AND nome_perimetro='Individual Corporativo' AND segmento='ESTR' AND ambito='PM' AND entidade='00100' ) B ON prtctn_id_as_is=prtctn_id_to_be WHERE coalesce(cast(prtctn_vl_as_is AS string),'')&lt;&gt;coalesce(cast(prtctn_vl_to_be AS string),'') ) A Union all</v>
      </c>
      <c r="P355" s="75">
        <f t="shared" si="59"/>
        <v>41</v>
      </c>
    </row>
    <row r="356" spans="2:16" s="63" customFormat="1" ht="18" customHeight="1">
      <c r="B356" s="75" t="s">
        <v>30</v>
      </c>
      <c r="C356" s="75" t="str">
        <f>_xlfn.CONCAT(Instruções!$D$13,".",VLOOKUP(B356,Instruções!$F$12:$H$17,2,0))</f>
        <v>cd_loan_tapes_bce.lt004_protection</v>
      </c>
      <c r="D356" s="75" t="str">
        <f>_xlfn.CONCAT(Instruções!$D$14,".",VLOOKUP(B356,Instruções!$F$12:$H$17,3,0))</f>
        <v>bu_loantape_work.lt004_protection</v>
      </c>
      <c r="E356" s="75" t="s">
        <v>380</v>
      </c>
      <c r="F356" s="75" t="str">
        <f t="shared" si="57"/>
        <v>prtctn_vl_npe_as_is</v>
      </c>
      <c r="G356" s="75" t="str">
        <f t="shared" si="58"/>
        <v>prtctn_vl_npe_to_be</v>
      </c>
      <c r="H356" s="75" t="str">
        <f>IF(VLOOKUP(B356,Instruções!$F$13:$J$17,5,0)="",
"(SELECT "&amp;VLOOKUP(B356,Instruções!$F$13:$J$17,4,0)&amp;" as "&amp;VLOOKUP(B356,Instruções!$F$13:$J$17,4,0)&amp;"_"&amp;$F$2&amp;", "&amp;E356&amp;" as "&amp;F356&amp;" FROM "&amp;C356&amp;" WHERE "&amp;Instruções!$D$20&amp;") A ",
"(SELECT "&amp;VLOOKUP(B356,Instruções!$F$13:$J$17,4,0)&amp;" as "&amp;VLOOKUP(B356,Instruções!$F$13:$J$17,4,0)&amp;"_"&amp;$F$2&amp;", "&amp;VLOOKUP(B356,Instruções!$F$13:$J$17,5,0)&amp;" as "&amp;VLOOKUP(B356,Instruções!$F$13:$J$17,5,0)&amp;"_"&amp;$F$2&amp;","&amp;E356&amp;" as "&amp;F356&amp;" FROM "&amp;C356&amp;" WHERE "&amp;Instruções!$D$20&amp;") A ")</f>
        <v xml:space="preserve">(SELECT prtctn_id as prtctn_id_, prtctn_vl_npe as prtctn_vl_npe_as_is FROM cd_loan_tapes_bce.lt004_protection WHERE ref_date='2024-09-30' AND nome_perimetro='Individual Corporativo' AND segmento='ESTR' AND ambito='PM' AND entidade='00100' ) A </v>
      </c>
      <c r="I356" s="75" t="str">
        <f>IF(VLOOKUP(B356,Instruções!$F$13:$J$17,5,0)="",
"(SELECT "&amp;VLOOKUP(B356,Instruções!$F$13:$J$17,4,0)&amp;" as "&amp;VLOOKUP(B356,Instruções!$F$13:$J$17,4,0)&amp;"_"&amp;$G$2&amp;", "&amp;E356&amp;" as "&amp;G356&amp;" FROM "&amp;D356&amp;" WHERE "&amp;Instruções!$D$21&amp;") B ",
"(SELECT "&amp;VLOOKUP(B356,Instruções!$F$13:$J$17,4,0)&amp;" as "&amp;VLOOKUP(B356,Instruções!$F$13:$J$17,4,0)&amp;"_"&amp;$G$2&amp;", "&amp;VLOOKUP(B356,Instruções!$F$13:$J$17,5,0)&amp;" as "&amp;VLOOKUP(B356,Instruções!$F$13:$J$17,5,0)&amp;"_"&amp;$G$2&amp;","&amp;E356&amp;" as "&amp;G356&amp;" FROM "&amp;D356&amp;" WHERE "&amp;Instruções!$D$21&amp;") B ")</f>
        <v xml:space="preserve">(SELECT prtctn_id as prtctn_id_, prtctn_vl_npe as prtctn_vl_npe_to_be FROM bu_loantape_work.lt004_protection WHERE ref_date='2024-09-30' AND nome_perimetro='Individual Corporativo' AND segmento='ESTR' AND ambito='PM' AND entidade='00100' ) B </v>
      </c>
      <c r="J356" s="75" t="str">
        <f>+IF(VLOOKUP(B356,Instruções!$F$13:$J$17,5,0)="", "ON "&amp;VLOOKUP(B356,Instruções!$F$13:$J$17,4,0)&amp;"_"&amp;$F$7&amp;"="&amp;VLOOKUP(B356,Instruções!$F$13:$J$17,4,0)&amp;"_"&amp;$G$7&amp;" ", "ON "&amp;VLOOKUP(B356,Instruções!$F$13:$J$17,4,0)&amp;"_"&amp;$F$7&amp;"="&amp;VLOOKUP(B356,Instruções!$F$13:$J$17,4,0)&amp;"_"&amp;$G$7&amp;" AND "&amp;VLOOKUP(B356,Instruções!$F$13:$J$17,5,0)&amp;"_"&amp;$F$7&amp;"="&amp;VLOOKUP(B356,Instruções!$F$13:$J$17,5,0)&amp;"_"&amp;$G$7&amp;" ")</f>
        <v xml:space="preserve">ON prtctn_id_as_is=prtctn_id_to_be </v>
      </c>
      <c r="K356" s="75" t="str">
        <f t="shared" si="53"/>
        <v xml:space="preserve">WHERE coalesce(cast(prtctn_vl_npe_as_is AS string),'')&lt;&gt;coalesce(cast(prtctn_vl_npe_to_be AS string),'') </v>
      </c>
      <c r="L356" s="75" t="str">
        <f t="shared" si="54"/>
        <v xml:space="preserve">SELECT count(*) AS NUM_REG_DIF FROM (SELECT prtctn_id as prtctn_id_, prtctn_vl_npe as prtctn_vl_npe_as_is FROM cd_loan_tapes_bce.lt004_protection WHERE ref_date='2024-09-30' AND nome_perimetro='Individual Corporativo' AND segmento='ESTR' AND ambito='PM' AND entidade='00100' ) A  Inner join (SELECT prtctn_id as prtctn_id_, prtctn_vl_npe as prtctn_vl_npe_to_be FROM bu_loantape_work.lt004_protection WHERE ref_date='2024-09-30' AND nome_perimetro='Individual Corporativo' AND segmento='ESTR' AND ambito='PM' AND entidade='00100' ) B ON prtctn_id_as_is=prtctn_id_to_be WHERE coalesce(cast(prtctn_vl_npe_as_is AS string),'')&lt;&gt;coalesce(cast(prtctn_vl_npe_to_be AS string),'') </v>
      </c>
      <c r="M356" s="75" t="s">
        <v>55</v>
      </c>
      <c r="N356" s="75" t="str">
        <f>"SELECT 'Validação de campos' as tipologia_teste, '"&amp;VLOOKUP(B356,Instruções!$F$13:$J$17,3,0)&amp;"' AS TABELA, '"&amp;E356&amp;"' AS CAMPO, '"&amp;Instruções!$D$15&amp;"' as ref_date, coalesce(NUM_REG_DIF, 0) AS NUM_REG_DIF FROM ("&amp;L356&amp;") A "</f>
        <v xml:space="preserve">SELECT 'Validação de campos' as tipologia_teste, 'lt004_protection' AS TABELA, 'prtctn_vl_npe' AS CAMPO, '2024-09-30' as ref_date, coalesce(NUM_REG_DIF, 0) AS NUM_REG_DIF FROM (SELECT count(*) AS NUM_REG_DIF FROM (SELECT prtctn_id as prtctn_id_, prtctn_vl_npe as prtctn_vl_npe_as_is FROM cd_loan_tapes_bce.lt004_protection WHERE ref_date='2024-09-30' AND nome_perimetro='Individual Corporativo' AND segmento='ESTR' AND ambito='PM' AND entidade='00100' ) A  Inner join (SELECT prtctn_id as prtctn_id_, prtctn_vl_npe as prtctn_vl_npe_to_be FROM bu_loantape_work.lt004_protection WHERE ref_date='2024-09-30' AND nome_perimetro='Individual Corporativo' AND segmento='ESTR' AND ambito='PM' AND entidade='00100' ) B ON prtctn_id_as_is=prtctn_id_to_be WHERE coalesce(cast(prtctn_vl_npe_as_is AS string),'')&lt;&gt;coalesce(cast(prtctn_vl_npe_to_be AS string),'') ) A </v>
      </c>
      <c r="O356" s="76" t="str">
        <f t="shared" si="55"/>
        <v>SELECT 'Validação de campos' as tipologia_teste, 'lt004_protection' AS TABELA, 'prtctn_vl_npe' AS CAMPO, '2024-09-30' as ref_date, coalesce(NUM_REG_DIF, 0) AS NUM_REG_DIF FROM (SELECT count(*) AS NUM_REG_DIF FROM (SELECT prtctn_id as prtctn_id_, prtctn_vl_npe as prtctn_vl_npe_as_is FROM cd_loan_tapes_bce.lt004_protection WHERE ref_date='2024-09-30' AND nome_perimetro='Individual Corporativo' AND segmento='ESTR' AND ambito='PM' AND entidade='00100' ) A  Inner join (SELECT prtctn_id as prtctn_id_, prtctn_vl_npe as prtctn_vl_npe_to_be FROM bu_loantape_work.lt004_protection WHERE ref_date='2024-09-30' AND nome_perimetro='Individual Corporativo' AND segmento='ESTR' AND ambito='PM' AND entidade='00100' ) B ON prtctn_id_as_is=prtctn_id_to_be WHERE coalesce(cast(prtctn_vl_npe_as_is AS string),'')&lt;&gt;coalesce(cast(prtctn_vl_npe_to_be AS string),'') ) A Union all</v>
      </c>
      <c r="P356" s="75">
        <f t="shared" si="59"/>
        <v>42</v>
      </c>
    </row>
    <row r="357" spans="2:16" s="63" customFormat="1" ht="18" customHeight="1">
      <c r="B357" s="75" t="s">
        <v>30</v>
      </c>
      <c r="C357" s="75" t="str">
        <f>_xlfn.CONCAT(Instruções!$D$13,".",VLOOKUP(B357,Instruções!$F$12:$H$17,2,0))</f>
        <v>cd_loan_tapes_bce.lt004_protection</v>
      </c>
      <c r="D357" s="75" t="str">
        <f>_xlfn.CONCAT(Instruções!$D$14,".",VLOOKUP(B357,Instruções!$F$12:$H$17,3,0))</f>
        <v>bu_loantape_work.lt004_protection</v>
      </c>
      <c r="E357" s="75" t="s">
        <v>381</v>
      </c>
      <c r="F357" s="75" t="str">
        <f t="shared" si="57"/>
        <v>prtctn_vl_prvs_as_is</v>
      </c>
      <c r="G357" s="75" t="str">
        <f t="shared" si="58"/>
        <v>prtctn_vl_prvs_to_be</v>
      </c>
      <c r="H357" s="75" t="str">
        <f>IF(VLOOKUP(B357,Instruções!$F$13:$J$17,5,0)="",
"(SELECT "&amp;VLOOKUP(B357,Instruções!$F$13:$J$17,4,0)&amp;" as "&amp;VLOOKUP(B357,Instruções!$F$13:$J$17,4,0)&amp;"_"&amp;$F$2&amp;", "&amp;E357&amp;" as "&amp;F357&amp;" FROM "&amp;C357&amp;" WHERE "&amp;Instruções!$D$20&amp;") A ",
"(SELECT "&amp;VLOOKUP(B357,Instruções!$F$13:$J$17,4,0)&amp;" as "&amp;VLOOKUP(B357,Instruções!$F$13:$J$17,4,0)&amp;"_"&amp;$F$2&amp;", "&amp;VLOOKUP(B357,Instruções!$F$13:$J$17,5,0)&amp;" as "&amp;VLOOKUP(B357,Instruções!$F$13:$J$17,5,0)&amp;"_"&amp;$F$2&amp;","&amp;E357&amp;" as "&amp;F357&amp;" FROM "&amp;C357&amp;" WHERE "&amp;Instruções!$D$20&amp;") A ")</f>
        <v xml:space="preserve">(SELECT prtctn_id as prtctn_id_, prtctn_vl_prvs as prtctn_vl_prvs_as_is FROM cd_loan_tapes_bce.lt004_protection WHERE ref_date='2024-09-30' AND nome_perimetro='Individual Corporativo' AND segmento='ESTR' AND ambito='PM' AND entidade='00100' ) A </v>
      </c>
      <c r="I357" s="75" t="str">
        <f>IF(VLOOKUP(B357,Instruções!$F$13:$J$17,5,0)="",
"(SELECT "&amp;VLOOKUP(B357,Instruções!$F$13:$J$17,4,0)&amp;" as "&amp;VLOOKUP(B357,Instruções!$F$13:$J$17,4,0)&amp;"_"&amp;$G$2&amp;", "&amp;E357&amp;" as "&amp;G357&amp;" FROM "&amp;D357&amp;" WHERE "&amp;Instruções!$D$21&amp;") B ",
"(SELECT "&amp;VLOOKUP(B357,Instruções!$F$13:$J$17,4,0)&amp;" as "&amp;VLOOKUP(B357,Instruções!$F$13:$J$17,4,0)&amp;"_"&amp;$G$2&amp;", "&amp;VLOOKUP(B357,Instruções!$F$13:$J$17,5,0)&amp;" as "&amp;VLOOKUP(B357,Instruções!$F$13:$J$17,5,0)&amp;"_"&amp;$G$2&amp;","&amp;E357&amp;" as "&amp;G357&amp;" FROM "&amp;D357&amp;" WHERE "&amp;Instruções!$D$21&amp;") B ")</f>
        <v xml:space="preserve">(SELECT prtctn_id as prtctn_id_, prtctn_vl_prvs as prtctn_vl_prvs_to_be FROM bu_loantape_work.lt004_protection WHERE ref_date='2024-09-30' AND nome_perimetro='Individual Corporativo' AND segmento='ESTR' AND ambito='PM' AND entidade='00100' ) B </v>
      </c>
      <c r="J357" s="75" t="str">
        <f>+IF(VLOOKUP(B357,Instruções!$F$13:$J$17,5,0)="", "ON "&amp;VLOOKUP(B357,Instruções!$F$13:$J$17,4,0)&amp;"_"&amp;$F$7&amp;"="&amp;VLOOKUP(B357,Instruções!$F$13:$J$17,4,0)&amp;"_"&amp;$G$7&amp;" ", "ON "&amp;VLOOKUP(B357,Instruções!$F$13:$J$17,4,0)&amp;"_"&amp;$F$7&amp;"="&amp;VLOOKUP(B357,Instruções!$F$13:$J$17,4,0)&amp;"_"&amp;$G$7&amp;" AND "&amp;VLOOKUP(B357,Instruções!$F$13:$J$17,5,0)&amp;"_"&amp;$F$7&amp;"="&amp;VLOOKUP(B357,Instruções!$F$13:$J$17,5,0)&amp;"_"&amp;$G$7&amp;" ")</f>
        <v xml:space="preserve">ON prtctn_id_as_is=prtctn_id_to_be </v>
      </c>
      <c r="K357" s="75" t="str">
        <f t="shared" si="53"/>
        <v xml:space="preserve">WHERE coalesce(cast(prtctn_vl_prvs_as_is AS string),'')&lt;&gt;coalesce(cast(prtctn_vl_prvs_to_be AS string),'') </v>
      </c>
      <c r="L357" s="75" t="str">
        <f t="shared" si="54"/>
        <v xml:space="preserve">SELECT count(*) AS NUM_REG_DIF FROM (SELECT prtctn_id as prtctn_id_, prtctn_vl_prvs as prtctn_vl_prvs_as_is FROM cd_loan_tapes_bce.lt004_protection WHERE ref_date='2024-09-30' AND nome_perimetro='Individual Corporativo' AND segmento='ESTR' AND ambito='PM' AND entidade='00100' ) A  Inner join (SELECT prtctn_id as prtctn_id_, prtctn_vl_prvs as prtctn_vl_prvs_to_be FROM bu_loantape_work.lt004_protection WHERE ref_date='2024-09-30' AND nome_perimetro='Individual Corporativo' AND segmento='ESTR' AND ambito='PM' AND entidade='00100' ) B ON prtctn_id_as_is=prtctn_id_to_be WHERE coalesce(cast(prtctn_vl_prvs_as_is AS string),'')&lt;&gt;coalesce(cast(prtctn_vl_prvs_to_be AS string),'') </v>
      </c>
      <c r="M357" s="75" t="s">
        <v>55</v>
      </c>
      <c r="N357" s="75" t="str">
        <f>"SELECT 'Validação de campos' as tipologia_teste, '"&amp;VLOOKUP(B357,Instruções!$F$13:$J$17,3,0)&amp;"' AS TABELA, '"&amp;E357&amp;"' AS CAMPO, '"&amp;Instruções!$D$15&amp;"' as ref_date, coalesce(NUM_REG_DIF, 0) AS NUM_REG_DIF FROM ("&amp;L357&amp;") A "</f>
        <v xml:space="preserve">SELECT 'Validação de campos' as tipologia_teste, 'lt004_protection' AS TABELA, 'prtctn_vl_prvs' AS CAMPO, '2024-09-30' as ref_date, coalesce(NUM_REG_DIF, 0) AS NUM_REG_DIF FROM (SELECT count(*) AS NUM_REG_DIF FROM (SELECT prtctn_id as prtctn_id_, prtctn_vl_prvs as prtctn_vl_prvs_as_is FROM cd_loan_tapes_bce.lt004_protection WHERE ref_date='2024-09-30' AND nome_perimetro='Individual Corporativo' AND segmento='ESTR' AND ambito='PM' AND entidade='00100' ) A  Inner join (SELECT prtctn_id as prtctn_id_, prtctn_vl_prvs as prtctn_vl_prvs_to_be FROM bu_loantape_work.lt004_protection WHERE ref_date='2024-09-30' AND nome_perimetro='Individual Corporativo' AND segmento='ESTR' AND ambito='PM' AND entidade='00100' ) B ON prtctn_id_as_is=prtctn_id_to_be WHERE coalesce(cast(prtctn_vl_prvs_as_is AS string),'')&lt;&gt;coalesce(cast(prtctn_vl_prvs_to_be AS string),'') ) A </v>
      </c>
      <c r="O357" s="76" t="str">
        <f t="shared" si="55"/>
        <v>SELECT 'Validação de campos' as tipologia_teste, 'lt004_protection' AS TABELA, 'prtctn_vl_prvs' AS CAMPO, '2024-09-30' as ref_date, coalesce(NUM_REG_DIF, 0) AS NUM_REG_DIF FROM (SELECT count(*) AS NUM_REG_DIF FROM (SELECT prtctn_id as prtctn_id_, prtctn_vl_prvs as prtctn_vl_prvs_as_is FROM cd_loan_tapes_bce.lt004_protection WHERE ref_date='2024-09-30' AND nome_perimetro='Individual Corporativo' AND segmento='ESTR' AND ambito='PM' AND entidade='00100' ) A  Inner join (SELECT prtctn_id as prtctn_id_, prtctn_vl_prvs as prtctn_vl_prvs_to_be FROM bu_loantape_work.lt004_protection WHERE ref_date='2024-09-30' AND nome_perimetro='Individual Corporativo' AND segmento='ESTR' AND ambito='PM' AND entidade='00100' ) B ON prtctn_id_as_is=prtctn_id_to_be WHERE coalesce(cast(prtctn_vl_prvs_as_is AS string),'')&lt;&gt;coalesce(cast(prtctn_vl_prvs_to_be AS string),'') ) A Union all</v>
      </c>
      <c r="P357" s="75">
        <f t="shared" si="59"/>
        <v>43</v>
      </c>
    </row>
    <row r="358" spans="2:16" s="63" customFormat="1" ht="18" customHeight="1">
      <c r="B358" s="75" t="s">
        <v>30</v>
      </c>
      <c r="C358" s="75" t="str">
        <f>_xlfn.CONCAT(Instruções!$D$13,".",VLOOKUP(B358,Instruções!$F$12:$H$17,2,0))</f>
        <v>cd_loan_tapes_bce.lt004_protection</v>
      </c>
      <c r="D358" s="75" t="str">
        <f>_xlfn.CONCAT(Instruções!$D$14,".",VLOOKUP(B358,Instruções!$F$12:$H$17,3,0))</f>
        <v>bu_loantape_work.lt004_protection</v>
      </c>
      <c r="E358" s="75" t="s">
        <v>382</v>
      </c>
      <c r="F358" s="75" t="str">
        <f t="shared" si="57"/>
        <v>prtctn_vltn_apprch_as_is</v>
      </c>
      <c r="G358" s="75" t="str">
        <f t="shared" si="58"/>
        <v>prtctn_vltn_apprch_to_be</v>
      </c>
      <c r="H358" s="75" t="str">
        <f>IF(VLOOKUP(B358,Instruções!$F$13:$J$17,5,0)="",
"(SELECT "&amp;VLOOKUP(B358,Instruções!$F$13:$J$17,4,0)&amp;" as "&amp;VLOOKUP(B358,Instruções!$F$13:$J$17,4,0)&amp;"_"&amp;$F$2&amp;", "&amp;E358&amp;" as "&amp;F358&amp;" FROM "&amp;C358&amp;" WHERE "&amp;Instruções!$D$20&amp;") A ",
"(SELECT "&amp;VLOOKUP(B358,Instruções!$F$13:$J$17,4,0)&amp;" as "&amp;VLOOKUP(B358,Instruções!$F$13:$J$17,4,0)&amp;"_"&amp;$F$2&amp;", "&amp;VLOOKUP(B358,Instruções!$F$13:$J$17,5,0)&amp;" as "&amp;VLOOKUP(B358,Instruções!$F$13:$J$17,5,0)&amp;"_"&amp;$F$2&amp;","&amp;E358&amp;" as "&amp;F358&amp;" FROM "&amp;C358&amp;" WHERE "&amp;Instruções!$D$20&amp;") A ")</f>
        <v xml:space="preserve">(SELECT prtctn_id as prtctn_id_, prtctn_vltn_apprch as prtctn_vltn_apprch_as_is FROM cd_loan_tapes_bce.lt004_protection WHERE ref_date='2024-09-30' AND nome_perimetro='Individual Corporativo' AND segmento='ESTR' AND ambito='PM' AND entidade='00100' ) A </v>
      </c>
      <c r="I358" s="75" t="str">
        <f>IF(VLOOKUP(B358,Instruções!$F$13:$J$17,5,0)="",
"(SELECT "&amp;VLOOKUP(B358,Instruções!$F$13:$J$17,4,0)&amp;" as "&amp;VLOOKUP(B358,Instruções!$F$13:$J$17,4,0)&amp;"_"&amp;$G$2&amp;", "&amp;E358&amp;" as "&amp;G358&amp;" FROM "&amp;D358&amp;" WHERE "&amp;Instruções!$D$21&amp;") B ",
"(SELECT "&amp;VLOOKUP(B358,Instruções!$F$13:$J$17,4,0)&amp;" as "&amp;VLOOKUP(B358,Instruções!$F$13:$J$17,4,0)&amp;"_"&amp;$G$2&amp;", "&amp;VLOOKUP(B358,Instruções!$F$13:$J$17,5,0)&amp;" as "&amp;VLOOKUP(B358,Instruções!$F$13:$J$17,5,0)&amp;"_"&amp;$G$2&amp;","&amp;E358&amp;" as "&amp;G358&amp;" FROM "&amp;D358&amp;" WHERE "&amp;Instruções!$D$21&amp;") B ")</f>
        <v xml:space="preserve">(SELECT prtctn_id as prtctn_id_, prtctn_vltn_apprch as prtctn_vltn_apprch_to_be FROM bu_loantape_work.lt004_protection WHERE ref_date='2024-09-30' AND nome_perimetro='Individual Corporativo' AND segmento='ESTR' AND ambito='PM' AND entidade='00100' ) B </v>
      </c>
      <c r="J358" s="75" t="str">
        <f>+IF(VLOOKUP(B358,Instruções!$F$13:$J$17,5,0)="", "ON "&amp;VLOOKUP(B358,Instruções!$F$13:$J$17,4,0)&amp;"_"&amp;$F$7&amp;"="&amp;VLOOKUP(B358,Instruções!$F$13:$J$17,4,0)&amp;"_"&amp;$G$7&amp;" ", "ON "&amp;VLOOKUP(B358,Instruções!$F$13:$J$17,4,0)&amp;"_"&amp;$F$7&amp;"="&amp;VLOOKUP(B358,Instruções!$F$13:$J$17,4,0)&amp;"_"&amp;$G$7&amp;" AND "&amp;VLOOKUP(B358,Instruções!$F$13:$J$17,5,0)&amp;"_"&amp;$F$7&amp;"="&amp;VLOOKUP(B358,Instruções!$F$13:$J$17,5,0)&amp;"_"&amp;$G$7&amp;" ")</f>
        <v xml:space="preserve">ON prtctn_id_as_is=prtctn_id_to_be </v>
      </c>
      <c r="K358" s="75" t="str">
        <f t="shared" si="53"/>
        <v xml:space="preserve">WHERE coalesce(cast(prtctn_vltn_apprch_as_is AS string),'')&lt;&gt;coalesce(cast(prtctn_vltn_apprch_to_be AS string),'') </v>
      </c>
      <c r="L358" s="75" t="str">
        <f t="shared" si="54"/>
        <v xml:space="preserve">SELECT count(*) AS NUM_REG_DIF FROM (SELECT prtctn_id as prtctn_id_, prtctn_vltn_apprch as prtctn_vltn_apprch_as_is FROM cd_loan_tapes_bce.lt004_protection WHERE ref_date='2024-09-30' AND nome_perimetro='Individual Corporativo' AND segmento='ESTR' AND ambito='PM' AND entidade='00100' ) A  Inner join (SELECT prtctn_id as prtctn_id_, prtctn_vltn_apprch as prtctn_vltn_apprch_to_be FROM bu_loantape_work.lt004_protection WHERE ref_date='2024-09-30' AND nome_perimetro='Individual Corporativo' AND segmento='ESTR' AND ambito='PM' AND entidade='00100' ) B ON prtctn_id_as_is=prtctn_id_to_be WHERE coalesce(cast(prtctn_vltn_apprch_as_is AS string),'')&lt;&gt;coalesce(cast(prtctn_vltn_apprch_to_be AS string),'') </v>
      </c>
      <c r="M358" s="75" t="s">
        <v>55</v>
      </c>
      <c r="N358" s="75" t="str">
        <f>"SELECT 'Validação de campos' as tipologia_teste, '"&amp;VLOOKUP(B358,Instruções!$F$13:$J$17,3,0)&amp;"' AS TABELA, '"&amp;E358&amp;"' AS CAMPO, '"&amp;Instruções!$D$15&amp;"' as ref_date, coalesce(NUM_REG_DIF, 0) AS NUM_REG_DIF FROM ("&amp;L358&amp;") A "</f>
        <v xml:space="preserve">SELECT 'Validação de campos' as tipologia_teste, 'lt004_protection' AS TABELA, 'prtctn_vltn_apprch' AS CAMPO, '2024-09-30' as ref_date, coalesce(NUM_REG_DIF, 0) AS NUM_REG_DIF FROM (SELECT count(*) AS NUM_REG_DIF FROM (SELECT prtctn_id as prtctn_id_, prtctn_vltn_apprch as prtctn_vltn_apprch_as_is FROM cd_loan_tapes_bce.lt004_protection WHERE ref_date='2024-09-30' AND nome_perimetro='Individual Corporativo' AND segmento='ESTR' AND ambito='PM' AND entidade='00100' ) A  Inner join (SELECT prtctn_id as prtctn_id_, prtctn_vltn_apprch as prtctn_vltn_apprch_to_be FROM bu_loantape_work.lt004_protection WHERE ref_date='2024-09-30' AND nome_perimetro='Individual Corporativo' AND segmento='ESTR' AND ambito='PM' AND entidade='00100' ) B ON prtctn_id_as_is=prtctn_id_to_be WHERE coalesce(cast(prtctn_vltn_apprch_as_is AS string),'')&lt;&gt;coalesce(cast(prtctn_vltn_apprch_to_be AS string),'') ) A </v>
      </c>
      <c r="O358" s="76" t="str">
        <f t="shared" si="55"/>
        <v>SELECT 'Validação de campos' as tipologia_teste, 'lt004_protection' AS TABELA, 'prtctn_vltn_apprch' AS CAMPO, '2024-09-30' as ref_date, coalesce(NUM_REG_DIF, 0) AS NUM_REG_DIF FROM (SELECT count(*) AS NUM_REG_DIF FROM (SELECT prtctn_id as prtctn_id_, prtctn_vltn_apprch as prtctn_vltn_apprch_as_is FROM cd_loan_tapes_bce.lt004_protection WHERE ref_date='2024-09-30' AND nome_perimetro='Individual Corporativo' AND segmento='ESTR' AND ambito='PM' AND entidade='00100' ) A  Inner join (SELECT prtctn_id as prtctn_id_, prtctn_vltn_apprch as prtctn_vltn_apprch_to_be FROM bu_loantape_work.lt004_protection WHERE ref_date='2024-09-30' AND nome_perimetro='Individual Corporativo' AND segmento='ESTR' AND ambito='PM' AND entidade='00100' ) B ON prtctn_id_as_is=prtctn_id_to_be WHERE coalesce(cast(prtctn_vltn_apprch_as_is AS string),'')&lt;&gt;coalesce(cast(prtctn_vltn_apprch_to_be AS string),'') ) A Union all</v>
      </c>
      <c r="P358" s="75">
        <f t="shared" si="59"/>
        <v>44</v>
      </c>
    </row>
    <row r="359" spans="2:16" s="63" customFormat="1" ht="18" customHeight="1">
      <c r="B359" s="75" t="s">
        <v>30</v>
      </c>
      <c r="C359" s="75" t="str">
        <f>_xlfn.CONCAT(Instruções!$D$13,".",VLOOKUP(B359,Instruções!$F$12:$H$17,2,0))</f>
        <v>cd_loan_tapes_bce.lt004_protection</v>
      </c>
      <c r="D359" s="75" t="str">
        <f>_xlfn.CONCAT(Instruções!$D$14,".",VLOOKUP(B359,Instruções!$F$12:$H$17,3,0))</f>
        <v>bu_loantape_work.lt004_protection</v>
      </c>
      <c r="E359" s="75" t="s">
        <v>383</v>
      </c>
      <c r="F359" s="75" t="str">
        <f t="shared" si="57"/>
        <v>rl_estt_addrss_as_is</v>
      </c>
      <c r="G359" s="75" t="str">
        <f t="shared" si="58"/>
        <v>rl_estt_addrss_to_be</v>
      </c>
      <c r="H359" s="75" t="str">
        <f>IF(VLOOKUP(B359,Instruções!$F$13:$J$17,5,0)="",
"(SELECT "&amp;VLOOKUP(B359,Instruções!$F$13:$J$17,4,0)&amp;" as "&amp;VLOOKUP(B359,Instruções!$F$13:$J$17,4,0)&amp;"_"&amp;$F$2&amp;", "&amp;E359&amp;" as "&amp;F359&amp;" FROM "&amp;C359&amp;" WHERE "&amp;Instruções!$D$20&amp;") A ",
"(SELECT "&amp;VLOOKUP(B359,Instruções!$F$13:$J$17,4,0)&amp;" as "&amp;VLOOKUP(B359,Instruções!$F$13:$J$17,4,0)&amp;"_"&amp;$F$2&amp;", "&amp;VLOOKUP(B359,Instruções!$F$13:$J$17,5,0)&amp;" as "&amp;VLOOKUP(B359,Instruções!$F$13:$J$17,5,0)&amp;"_"&amp;$F$2&amp;","&amp;E359&amp;" as "&amp;F359&amp;" FROM "&amp;C359&amp;" WHERE "&amp;Instruções!$D$20&amp;") A ")</f>
        <v xml:space="preserve">(SELECT prtctn_id as prtctn_id_, rl_estt_addrss as rl_estt_addrss_as_is FROM cd_loan_tapes_bce.lt004_protection WHERE ref_date='2024-09-30' AND nome_perimetro='Individual Corporativo' AND segmento='ESTR' AND ambito='PM' AND entidade='00100' ) A </v>
      </c>
      <c r="I359" s="75" t="str">
        <f>IF(VLOOKUP(B359,Instruções!$F$13:$J$17,5,0)="",
"(SELECT "&amp;VLOOKUP(B359,Instruções!$F$13:$J$17,4,0)&amp;" as "&amp;VLOOKUP(B359,Instruções!$F$13:$J$17,4,0)&amp;"_"&amp;$G$2&amp;", "&amp;E359&amp;" as "&amp;G359&amp;" FROM "&amp;D359&amp;" WHERE "&amp;Instruções!$D$21&amp;") B ",
"(SELECT "&amp;VLOOKUP(B359,Instruções!$F$13:$J$17,4,0)&amp;" as "&amp;VLOOKUP(B359,Instruções!$F$13:$J$17,4,0)&amp;"_"&amp;$G$2&amp;", "&amp;VLOOKUP(B359,Instruções!$F$13:$J$17,5,0)&amp;" as "&amp;VLOOKUP(B359,Instruções!$F$13:$J$17,5,0)&amp;"_"&amp;$G$2&amp;","&amp;E359&amp;" as "&amp;G359&amp;" FROM "&amp;D359&amp;" WHERE "&amp;Instruções!$D$21&amp;") B ")</f>
        <v xml:space="preserve">(SELECT prtctn_id as prtctn_id_, rl_estt_addrss as rl_estt_addrss_to_be FROM bu_loantape_work.lt004_protection WHERE ref_date='2024-09-30' AND nome_perimetro='Individual Corporativo' AND segmento='ESTR' AND ambito='PM' AND entidade='00100' ) B </v>
      </c>
      <c r="J359" s="75" t="str">
        <f>+IF(VLOOKUP(B359,Instruções!$F$13:$J$17,5,0)="", "ON "&amp;VLOOKUP(B359,Instruções!$F$13:$J$17,4,0)&amp;"_"&amp;$F$7&amp;"="&amp;VLOOKUP(B359,Instruções!$F$13:$J$17,4,0)&amp;"_"&amp;$G$7&amp;" ", "ON "&amp;VLOOKUP(B359,Instruções!$F$13:$J$17,4,0)&amp;"_"&amp;$F$7&amp;"="&amp;VLOOKUP(B359,Instruções!$F$13:$J$17,4,0)&amp;"_"&amp;$G$7&amp;" AND "&amp;VLOOKUP(B359,Instruções!$F$13:$J$17,5,0)&amp;"_"&amp;$F$7&amp;"="&amp;VLOOKUP(B359,Instruções!$F$13:$J$17,5,0)&amp;"_"&amp;$G$7&amp;" ")</f>
        <v xml:space="preserve">ON prtctn_id_as_is=prtctn_id_to_be </v>
      </c>
      <c r="K359" s="75" t="str">
        <f t="shared" si="53"/>
        <v xml:space="preserve">WHERE coalesce(cast(rl_estt_addrss_as_is AS string),'')&lt;&gt;coalesce(cast(rl_estt_addrss_to_be AS string),'') </v>
      </c>
      <c r="L359" s="75" t="str">
        <f t="shared" si="54"/>
        <v xml:space="preserve">SELECT count(*) AS NUM_REG_DIF FROM (SELECT prtctn_id as prtctn_id_, rl_estt_addrss as rl_estt_addrss_as_is FROM cd_loan_tapes_bce.lt004_protection WHERE ref_date='2024-09-30' AND nome_perimetro='Individual Corporativo' AND segmento='ESTR' AND ambito='PM' AND entidade='00100' ) A  Inner join (SELECT prtctn_id as prtctn_id_, rl_estt_addrss as rl_estt_addrss_to_be FROM bu_loantape_work.lt004_protection WHERE ref_date='2024-09-30' AND nome_perimetro='Individual Corporativo' AND segmento='ESTR' AND ambito='PM' AND entidade='00100' ) B ON prtctn_id_as_is=prtctn_id_to_be WHERE coalesce(cast(rl_estt_addrss_as_is AS string),'')&lt;&gt;coalesce(cast(rl_estt_addrss_to_be AS string),'') </v>
      </c>
      <c r="M359" s="75" t="s">
        <v>55</v>
      </c>
      <c r="N359" s="75" t="str">
        <f>"SELECT 'Validação de campos' as tipologia_teste, '"&amp;VLOOKUP(B359,Instruções!$F$13:$J$17,3,0)&amp;"' AS TABELA, '"&amp;E359&amp;"' AS CAMPO, '"&amp;Instruções!$D$15&amp;"' as ref_date, coalesce(NUM_REG_DIF, 0) AS NUM_REG_DIF FROM ("&amp;L359&amp;") A "</f>
        <v xml:space="preserve">SELECT 'Validação de campos' as tipologia_teste, 'lt004_protection' AS TABELA, 'rl_estt_addrss' AS CAMPO, '2024-09-30' as ref_date, coalesce(NUM_REG_DIF, 0) AS NUM_REG_DIF FROM (SELECT count(*) AS NUM_REG_DIF FROM (SELECT prtctn_id as prtctn_id_, rl_estt_addrss as rl_estt_addrss_as_is FROM cd_loan_tapes_bce.lt004_protection WHERE ref_date='2024-09-30' AND nome_perimetro='Individual Corporativo' AND segmento='ESTR' AND ambito='PM' AND entidade='00100' ) A  Inner join (SELECT prtctn_id as prtctn_id_, rl_estt_addrss as rl_estt_addrss_to_be FROM bu_loantape_work.lt004_protection WHERE ref_date='2024-09-30' AND nome_perimetro='Individual Corporativo' AND segmento='ESTR' AND ambito='PM' AND entidade='00100' ) B ON prtctn_id_as_is=prtctn_id_to_be WHERE coalesce(cast(rl_estt_addrss_as_is AS string),'')&lt;&gt;coalesce(cast(rl_estt_addrss_to_be AS string),'') ) A </v>
      </c>
      <c r="O359" s="76" t="str">
        <f t="shared" si="55"/>
        <v>SELECT 'Validação de campos' as tipologia_teste, 'lt004_protection' AS TABELA, 'rl_estt_addrss' AS CAMPO, '2024-09-30' as ref_date, coalesce(NUM_REG_DIF, 0) AS NUM_REG_DIF FROM (SELECT count(*) AS NUM_REG_DIF FROM (SELECT prtctn_id as prtctn_id_, rl_estt_addrss as rl_estt_addrss_as_is FROM cd_loan_tapes_bce.lt004_protection WHERE ref_date='2024-09-30' AND nome_perimetro='Individual Corporativo' AND segmento='ESTR' AND ambito='PM' AND entidade='00100' ) A  Inner join (SELECT prtctn_id as prtctn_id_, rl_estt_addrss as rl_estt_addrss_to_be FROM bu_loantape_work.lt004_protection WHERE ref_date='2024-09-30' AND nome_perimetro='Individual Corporativo' AND segmento='ESTR' AND ambito='PM' AND entidade='00100' ) B ON prtctn_id_as_is=prtctn_id_to_be WHERE coalesce(cast(rl_estt_addrss_as_is AS string),'')&lt;&gt;coalesce(cast(rl_estt_addrss_to_be AS string),'') ) A Union all</v>
      </c>
      <c r="P359" s="75">
        <f t="shared" si="59"/>
        <v>45</v>
      </c>
    </row>
    <row r="360" spans="2:16" s="63" customFormat="1" ht="18" customHeight="1">
      <c r="B360" s="75" t="s">
        <v>30</v>
      </c>
      <c r="C360" s="75" t="str">
        <f>_xlfn.CONCAT(Instruções!$D$13,".",VLOOKUP(B360,Instruções!$F$12:$H$17,2,0))</f>
        <v>cd_loan_tapes_bce.lt004_protection</v>
      </c>
      <c r="D360" s="75" t="str">
        <f>_xlfn.CONCAT(Instruções!$D$14,".",VLOOKUP(B360,Instruções!$F$12:$H$17,3,0))</f>
        <v>bu_loantape_work.lt004_protection</v>
      </c>
      <c r="E360" s="75" t="s">
        <v>384</v>
      </c>
      <c r="F360" s="75" t="str">
        <f t="shared" si="57"/>
        <v>rl_estt_clltrl_lctn_as_is</v>
      </c>
      <c r="G360" s="75" t="str">
        <f t="shared" si="58"/>
        <v>rl_estt_clltrl_lctn_to_be</v>
      </c>
      <c r="H360" s="75" t="str">
        <f>IF(VLOOKUP(B360,Instruções!$F$13:$J$17,5,0)="",
"(SELECT "&amp;VLOOKUP(B360,Instruções!$F$13:$J$17,4,0)&amp;" as "&amp;VLOOKUP(B360,Instruções!$F$13:$J$17,4,0)&amp;"_"&amp;$F$2&amp;", "&amp;E360&amp;" as "&amp;F360&amp;" FROM "&amp;C360&amp;" WHERE "&amp;Instruções!$D$20&amp;") A ",
"(SELECT "&amp;VLOOKUP(B360,Instruções!$F$13:$J$17,4,0)&amp;" as "&amp;VLOOKUP(B360,Instruções!$F$13:$J$17,4,0)&amp;"_"&amp;$F$2&amp;", "&amp;VLOOKUP(B360,Instruções!$F$13:$J$17,5,0)&amp;" as "&amp;VLOOKUP(B360,Instruções!$F$13:$J$17,5,0)&amp;"_"&amp;$F$2&amp;","&amp;E360&amp;" as "&amp;F360&amp;" FROM "&amp;C360&amp;" WHERE "&amp;Instruções!$D$20&amp;") A ")</f>
        <v xml:space="preserve">(SELECT prtctn_id as prtctn_id_, rl_estt_clltrl_lctn as rl_estt_clltrl_lctn_as_is FROM cd_loan_tapes_bce.lt004_protection WHERE ref_date='2024-09-30' AND nome_perimetro='Individual Corporativo' AND segmento='ESTR' AND ambito='PM' AND entidade='00100' ) A </v>
      </c>
      <c r="I360" s="75" t="str">
        <f>IF(VLOOKUP(B360,Instruções!$F$13:$J$17,5,0)="",
"(SELECT "&amp;VLOOKUP(B360,Instruções!$F$13:$J$17,4,0)&amp;" as "&amp;VLOOKUP(B360,Instruções!$F$13:$J$17,4,0)&amp;"_"&amp;$G$2&amp;", "&amp;E360&amp;" as "&amp;G360&amp;" FROM "&amp;D360&amp;" WHERE "&amp;Instruções!$D$21&amp;") B ",
"(SELECT "&amp;VLOOKUP(B360,Instruções!$F$13:$J$17,4,0)&amp;" as "&amp;VLOOKUP(B360,Instruções!$F$13:$J$17,4,0)&amp;"_"&amp;$G$2&amp;", "&amp;VLOOKUP(B360,Instruções!$F$13:$J$17,5,0)&amp;" as "&amp;VLOOKUP(B360,Instruções!$F$13:$J$17,5,0)&amp;"_"&amp;$G$2&amp;","&amp;E360&amp;" as "&amp;G360&amp;" FROM "&amp;D360&amp;" WHERE "&amp;Instruções!$D$21&amp;") B ")</f>
        <v xml:space="preserve">(SELECT prtctn_id as prtctn_id_, rl_estt_clltrl_lctn as rl_estt_clltrl_lctn_to_be FROM bu_loantape_work.lt004_protection WHERE ref_date='2024-09-30' AND nome_perimetro='Individual Corporativo' AND segmento='ESTR' AND ambito='PM' AND entidade='00100' ) B </v>
      </c>
      <c r="J360" s="75" t="str">
        <f>+IF(VLOOKUP(B360,Instruções!$F$13:$J$17,5,0)="", "ON "&amp;VLOOKUP(B360,Instruções!$F$13:$J$17,4,0)&amp;"_"&amp;$F$7&amp;"="&amp;VLOOKUP(B360,Instruções!$F$13:$J$17,4,0)&amp;"_"&amp;$G$7&amp;" ", "ON "&amp;VLOOKUP(B360,Instruções!$F$13:$J$17,4,0)&amp;"_"&amp;$F$7&amp;"="&amp;VLOOKUP(B360,Instruções!$F$13:$J$17,4,0)&amp;"_"&amp;$G$7&amp;" AND "&amp;VLOOKUP(B360,Instruções!$F$13:$J$17,5,0)&amp;"_"&amp;$F$7&amp;"="&amp;VLOOKUP(B360,Instruções!$F$13:$J$17,5,0)&amp;"_"&amp;$G$7&amp;" ")</f>
        <v xml:space="preserve">ON prtctn_id_as_is=prtctn_id_to_be </v>
      </c>
      <c r="K360" s="75" t="str">
        <f t="shared" si="53"/>
        <v xml:space="preserve">WHERE coalesce(cast(rl_estt_clltrl_lctn_as_is AS string),'')&lt;&gt;coalesce(cast(rl_estt_clltrl_lctn_to_be AS string),'') </v>
      </c>
      <c r="L360" s="75" t="str">
        <f t="shared" si="54"/>
        <v xml:space="preserve">SELECT count(*) AS NUM_REG_DIF FROM (SELECT prtctn_id as prtctn_id_, rl_estt_clltrl_lctn as rl_estt_clltrl_lctn_as_is FROM cd_loan_tapes_bce.lt004_protection WHERE ref_date='2024-09-30' AND nome_perimetro='Individual Corporativo' AND segmento='ESTR' AND ambito='PM' AND entidade='00100' ) A  Inner join (SELECT prtctn_id as prtctn_id_, rl_estt_clltrl_lctn as rl_estt_clltrl_lctn_to_be FROM bu_loantape_work.lt004_protection WHERE ref_date='2024-09-30' AND nome_perimetro='Individual Corporativo' AND segmento='ESTR' AND ambito='PM' AND entidade='00100' ) B ON prtctn_id_as_is=prtctn_id_to_be WHERE coalesce(cast(rl_estt_clltrl_lctn_as_is AS string),'')&lt;&gt;coalesce(cast(rl_estt_clltrl_lctn_to_be AS string),'') </v>
      </c>
      <c r="M360" s="75" t="s">
        <v>55</v>
      </c>
      <c r="N360" s="75" t="str">
        <f>"SELECT 'Validação de campos' as tipologia_teste, '"&amp;VLOOKUP(B360,Instruções!$F$13:$J$17,3,0)&amp;"' AS TABELA, '"&amp;E360&amp;"' AS CAMPO, '"&amp;Instruções!$D$15&amp;"' as ref_date, coalesce(NUM_REG_DIF, 0) AS NUM_REG_DIF FROM ("&amp;L360&amp;") A "</f>
        <v xml:space="preserve">SELECT 'Validação de campos' as tipologia_teste, 'lt004_protection' AS TABELA, 'rl_estt_clltrl_lctn' AS CAMPO, '2024-09-30' as ref_date, coalesce(NUM_REG_DIF, 0) AS NUM_REG_DIF FROM (SELECT count(*) AS NUM_REG_DIF FROM (SELECT prtctn_id as prtctn_id_, rl_estt_clltrl_lctn as rl_estt_clltrl_lctn_as_is FROM cd_loan_tapes_bce.lt004_protection WHERE ref_date='2024-09-30' AND nome_perimetro='Individual Corporativo' AND segmento='ESTR' AND ambito='PM' AND entidade='00100' ) A  Inner join (SELECT prtctn_id as prtctn_id_, rl_estt_clltrl_lctn as rl_estt_clltrl_lctn_to_be FROM bu_loantape_work.lt004_protection WHERE ref_date='2024-09-30' AND nome_perimetro='Individual Corporativo' AND segmento='ESTR' AND ambito='PM' AND entidade='00100' ) B ON prtctn_id_as_is=prtctn_id_to_be WHERE coalesce(cast(rl_estt_clltrl_lctn_as_is AS string),'')&lt;&gt;coalesce(cast(rl_estt_clltrl_lctn_to_be AS string),'') ) A </v>
      </c>
      <c r="O360" s="76" t="str">
        <f t="shared" si="55"/>
        <v>SELECT 'Validação de campos' as tipologia_teste, 'lt004_protection' AS TABELA, 'rl_estt_clltrl_lctn' AS CAMPO, '2024-09-30' as ref_date, coalesce(NUM_REG_DIF, 0) AS NUM_REG_DIF FROM (SELECT count(*) AS NUM_REG_DIF FROM (SELECT prtctn_id as prtctn_id_, rl_estt_clltrl_lctn as rl_estt_clltrl_lctn_as_is FROM cd_loan_tapes_bce.lt004_protection WHERE ref_date='2024-09-30' AND nome_perimetro='Individual Corporativo' AND segmento='ESTR' AND ambito='PM' AND entidade='00100' ) A  Inner join (SELECT prtctn_id as prtctn_id_, rl_estt_clltrl_lctn as rl_estt_clltrl_lctn_to_be FROM bu_loantape_work.lt004_protection WHERE ref_date='2024-09-30' AND nome_perimetro='Individual Corporativo' AND segmento='ESTR' AND ambito='PM' AND entidade='00100' ) B ON prtctn_id_as_is=prtctn_id_to_be WHERE coalesce(cast(rl_estt_clltrl_lctn_as_is AS string),'')&lt;&gt;coalesce(cast(rl_estt_clltrl_lctn_to_be AS string),'') ) A Union all</v>
      </c>
      <c r="P360" s="75">
        <f t="shared" si="59"/>
        <v>46</v>
      </c>
    </row>
    <row r="361" spans="2:16" s="63" customFormat="1" ht="18" customHeight="1">
      <c r="B361" s="75" t="s">
        <v>30</v>
      </c>
      <c r="C361" s="75" t="str">
        <f>_xlfn.CONCAT(Instruções!$D$13,".",VLOOKUP(B361,Instruções!$F$12:$H$17,2,0))</f>
        <v>cd_loan_tapes_bce.lt004_protection</v>
      </c>
      <c r="D361" s="75" t="str">
        <f>_xlfn.CONCAT(Instruções!$D$14,".",VLOOKUP(B361,Instruções!$F$12:$H$17,3,0))</f>
        <v>bu_loantape_work.lt004_protection</v>
      </c>
      <c r="E361" s="75" t="s">
        <v>385</v>
      </c>
      <c r="F361" s="75" t="str">
        <f t="shared" si="57"/>
        <v>rl_estt_clltrl_lctn_int_as_is</v>
      </c>
      <c r="G361" s="75" t="str">
        <f t="shared" si="58"/>
        <v>rl_estt_clltrl_lctn_int_to_be</v>
      </c>
      <c r="H361" s="75" t="str">
        <f>IF(VLOOKUP(B361,Instruções!$F$13:$J$17,5,0)="",
"(SELECT "&amp;VLOOKUP(B361,Instruções!$F$13:$J$17,4,0)&amp;" as "&amp;VLOOKUP(B361,Instruções!$F$13:$J$17,4,0)&amp;"_"&amp;$F$2&amp;", "&amp;E361&amp;" as "&amp;F361&amp;" FROM "&amp;C361&amp;" WHERE "&amp;Instruções!$D$20&amp;") A ",
"(SELECT "&amp;VLOOKUP(B361,Instruções!$F$13:$J$17,4,0)&amp;" as "&amp;VLOOKUP(B361,Instruções!$F$13:$J$17,4,0)&amp;"_"&amp;$F$2&amp;", "&amp;VLOOKUP(B361,Instruções!$F$13:$J$17,5,0)&amp;" as "&amp;VLOOKUP(B361,Instruções!$F$13:$J$17,5,0)&amp;"_"&amp;$F$2&amp;","&amp;E361&amp;" as "&amp;F361&amp;" FROM "&amp;C361&amp;" WHERE "&amp;Instruções!$D$20&amp;") A ")</f>
        <v xml:space="preserve">(SELECT prtctn_id as prtctn_id_, rl_estt_clltrl_lctn_int as rl_estt_clltrl_lctn_int_as_is FROM cd_loan_tapes_bce.lt004_protection WHERE ref_date='2024-09-30' AND nome_perimetro='Individual Corporativo' AND segmento='ESTR' AND ambito='PM' AND entidade='00100' ) A </v>
      </c>
      <c r="I361" s="75" t="str">
        <f>IF(VLOOKUP(B361,Instruções!$F$13:$J$17,5,0)="",
"(SELECT "&amp;VLOOKUP(B361,Instruções!$F$13:$J$17,4,0)&amp;" as "&amp;VLOOKUP(B361,Instruções!$F$13:$J$17,4,0)&amp;"_"&amp;$G$2&amp;", "&amp;E361&amp;" as "&amp;G361&amp;" FROM "&amp;D361&amp;" WHERE "&amp;Instruções!$D$21&amp;") B ",
"(SELECT "&amp;VLOOKUP(B361,Instruções!$F$13:$J$17,4,0)&amp;" as "&amp;VLOOKUP(B361,Instruções!$F$13:$J$17,4,0)&amp;"_"&amp;$G$2&amp;", "&amp;VLOOKUP(B361,Instruções!$F$13:$J$17,5,0)&amp;" as "&amp;VLOOKUP(B361,Instruções!$F$13:$J$17,5,0)&amp;"_"&amp;$G$2&amp;","&amp;E361&amp;" as "&amp;G361&amp;" FROM "&amp;D361&amp;" WHERE "&amp;Instruções!$D$21&amp;") B ")</f>
        <v xml:space="preserve">(SELECT prtctn_id as prtctn_id_, rl_estt_clltrl_lctn_int as rl_estt_clltrl_lctn_int_to_be FROM bu_loantape_work.lt004_protection WHERE ref_date='2024-09-30' AND nome_perimetro='Individual Corporativo' AND segmento='ESTR' AND ambito='PM' AND entidade='00100' ) B </v>
      </c>
      <c r="J361" s="75" t="str">
        <f>+IF(VLOOKUP(B361,Instruções!$F$13:$J$17,5,0)="", "ON "&amp;VLOOKUP(B361,Instruções!$F$13:$J$17,4,0)&amp;"_"&amp;$F$7&amp;"="&amp;VLOOKUP(B361,Instruções!$F$13:$J$17,4,0)&amp;"_"&amp;$G$7&amp;" ", "ON "&amp;VLOOKUP(B361,Instruções!$F$13:$J$17,4,0)&amp;"_"&amp;$F$7&amp;"="&amp;VLOOKUP(B361,Instruções!$F$13:$J$17,4,0)&amp;"_"&amp;$G$7&amp;" AND "&amp;VLOOKUP(B361,Instruções!$F$13:$J$17,5,0)&amp;"_"&amp;$F$7&amp;"="&amp;VLOOKUP(B361,Instruções!$F$13:$J$17,5,0)&amp;"_"&amp;$G$7&amp;" ")</f>
        <v xml:space="preserve">ON prtctn_id_as_is=prtctn_id_to_be </v>
      </c>
      <c r="K361" s="75" t="str">
        <f t="shared" si="53"/>
        <v xml:space="preserve">WHERE coalesce(cast(rl_estt_clltrl_lctn_int_as_is AS string),'')&lt;&gt;coalesce(cast(rl_estt_clltrl_lctn_int_to_be AS string),'') </v>
      </c>
      <c r="L361" s="75" t="str">
        <f t="shared" si="54"/>
        <v xml:space="preserve">SELECT count(*) AS NUM_REG_DIF FROM (SELECT prtctn_id as prtctn_id_, rl_estt_clltrl_lctn_int as rl_estt_clltrl_lctn_int_as_is FROM cd_loan_tapes_bce.lt004_protection WHERE ref_date='2024-09-30' AND nome_perimetro='Individual Corporativo' AND segmento='ESTR' AND ambito='PM' AND entidade='00100' ) A  Inner join (SELECT prtctn_id as prtctn_id_, rl_estt_clltrl_lctn_int as rl_estt_clltrl_lctn_int_to_be FROM bu_loantape_work.lt004_protection WHERE ref_date='2024-09-30' AND nome_perimetro='Individual Corporativo' AND segmento='ESTR' AND ambito='PM' AND entidade='00100' ) B ON prtctn_id_as_is=prtctn_id_to_be WHERE coalesce(cast(rl_estt_clltrl_lctn_int_as_is AS string),'')&lt;&gt;coalesce(cast(rl_estt_clltrl_lctn_int_to_be AS string),'') </v>
      </c>
      <c r="M361" s="75" t="s">
        <v>55</v>
      </c>
      <c r="N361" s="75" t="str">
        <f>"SELECT 'Validação de campos' as tipologia_teste, '"&amp;VLOOKUP(B361,Instruções!$F$13:$J$17,3,0)&amp;"' AS TABELA, '"&amp;E361&amp;"' AS CAMPO, '"&amp;Instruções!$D$15&amp;"' as ref_date, coalesce(NUM_REG_DIF, 0) AS NUM_REG_DIF FROM ("&amp;L361&amp;") A "</f>
        <v xml:space="preserve">SELECT 'Validação de campos' as tipologia_teste, 'lt004_protection' AS TABELA, 'rl_estt_clltrl_lctn_int' AS CAMPO, '2024-09-30' as ref_date, coalesce(NUM_REG_DIF, 0) AS NUM_REG_DIF FROM (SELECT count(*) AS NUM_REG_DIF FROM (SELECT prtctn_id as prtctn_id_, rl_estt_clltrl_lctn_int as rl_estt_clltrl_lctn_int_as_is FROM cd_loan_tapes_bce.lt004_protection WHERE ref_date='2024-09-30' AND nome_perimetro='Individual Corporativo' AND segmento='ESTR' AND ambito='PM' AND entidade='00100' ) A  Inner join (SELECT prtctn_id as prtctn_id_, rl_estt_clltrl_lctn_int as rl_estt_clltrl_lctn_int_to_be FROM bu_loantape_work.lt004_protection WHERE ref_date='2024-09-30' AND nome_perimetro='Individual Corporativo' AND segmento='ESTR' AND ambito='PM' AND entidade='00100' ) B ON prtctn_id_as_is=prtctn_id_to_be WHERE coalesce(cast(rl_estt_clltrl_lctn_int_as_is AS string),'')&lt;&gt;coalesce(cast(rl_estt_clltrl_lctn_int_to_be AS string),'') ) A </v>
      </c>
      <c r="O361" s="76" t="str">
        <f t="shared" si="55"/>
        <v>SELECT 'Validação de campos' as tipologia_teste, 'lt004_protection' AS TABELA, 'rl_estt_clltrl_lctn_int' AS CAMPO, '2024-09-30' as ref_date, coalesce(NUM_REG_DIF, 0) AS NUM_REG_DIF FROM (SELECT count(*) AS NUM_REG_DIF FROM (SELECT prtctn_id as prtctn_id_, rl_estt_clltrl_lctn_int as rl_estt_clltrl_lctn_int_as_is FROM cd_loan_tapes_bce.lt004_protection WHERE ref_date='2024-09-30' AND nome_perimetro='Individual Corporativo' AND segmento='ESTR' AND ambito='PM' AND entidade='00100' ) A  Inner join (SELECT prtctn_id as prtctn_id_, rl_estt_clltrl_lctn_int as rl_estt_clltrl_lctn_int_to_be FROM bu_loantape_work.lt004_protection WHERE ref_date='2024-09-30' AND nome_perimetro='Individual Corporativo' AND segmento='ESTR' AND ambito='PM' AND entidade='00100' ) B ON prtctn_id_as_is=prtctn_id_to_be WHERE coalesce(cast(rl_estt_clltrl_lctn_int_as_is AS string),'')&lt;&gt;coalesce(cast(rl_estt_clltrl_lctn_int_to_be AS string),'') ) A Union all</v>
      </c>
      <c r="P361" s="75">
        <f t="shared" si="59"/>
        <v>47</v>
      </c>
    </row>
    <row r="362" spans="2:16" s="63" customFormat="1" ht="18" customHeight="1">
      <c r="B362" s="75" t="s">
        <v>30</v>
      </c>
      <c r="C362" s="75" t="str">
        <f>_xlfn.CONCAT(Instruções!$D$13,".",VLOOKUP(B362,Instruções!$F$12:$H$17,2,0))</f>
        <v>cd_loan_tapes_bce.lt004_protection</v>
      </c>
      <c r="D362" s="75" t="str">
        <f>_xlfn.CONCAT(Instruções!$D$14,".",VLOOKUP(B362,Instruções!$F$12:$H$17,3,0))</f>
        <v>bu_loantape_work.lt004_protection</v>
      </c>
      <c r="E362" s="75" t="s">
        <v>386</v>
      </c>
      <c r="F362" s="75" t="str">
        <f t="shared" si="57"/>
        <v>rl_estt_cty_as_is</v>
      </c>
      <c r="G362" s="75" t="str">
        <f t="shared" si="58"/>
        <v>rl_estt_cty_to_be</v>
      </c>
      <c r="H362" s="75" t="str">
        <f>IF(VLOOKUP(B362,Instruções!$F$13:$J$17,5,0)="",
"(SELECT "&amp;VLOOKUP(B362,Instruções!$F$13:$J$17,4,0)&amp;" as "&amp;VLOOKUP(B362,Instruções!$F$13:$J$17,4,0)&amp;"_"&amp;$F$2&amp;", "&amp;E362&amp;" as "&amp;F362&amp;" FROM "&amp;C362&amp;" WHERE "&amp;Instruções!$D$20&amp;") A ",
"(SELECT "&amp;VLOOKUP(B362,Instruções!$F$13:$J$17,4,0)&amp;" as "&amp;VLOOKUP(B362,Instruções!$F$13:$J$17,4,0)&amp;"_"&amp;$F$2&amp;", "&amp;VLOOKUP(B362,Instruções!$F$13:$J$17,5,0)&amp;" as "&amp;VLOOKUP(B362,Instruções!$F$13:$J$17,5,0)&amp;"_"&amp;$F$2&amp;","&amp;E362&amp;" as "&amp;F362&amp;" FROM "&amp;C362&amp;" WHERE "&amp;Instruções!$D$20&amp;") A ")</f>
        <v xml:space="preserve">(SELECT prtctn_id as prtctn_id_, rl_estt_cty as rl_estt_cty_as_is FROM cd_loan_tapes_bce.lt004_protection WHERE ref_date='2024-09-30' AND nome_perimetro='Individual Corporativo' AND segmento='ESTR' AND ambito='PM' AND entidade='00100' ) A </v>
      </c>
      <c r="I362" s="75" t="str">
        <f>IF(VLOOKUP(B362,Instruções!$F$13:$J$17,5,0)="",
"(SELECT "&amp;VLOOKUP(B362,Instruções!$F$13:$J$17,4,0)&amp;" as "&amp;VLOOKUP(B362,Instruções!$F$13:$J$17,4,0)&amp;"_"&amp;$G$2&amp;", "&amp;E362&amp;" as "&amp;G362&amp;" FROM "&amp;D362&amp;" WHERE "&amp;Instruções!$D$21&amp;") B ",
"(SELECT "&amp;VLOOKUP(B362,Instruções!$F$13:$J$17,4,0)&amp;" as "&amp;VLOOKUP(B362,Instruções!$F$13:$J$17,4,0)&amp;"_"&amp;$G$2&amp;", "&amp;VLOOKUP(B362,Instruções!$F$13:$J$17,5,0)&amp;" as "&amp;VLOOKUP(B362,Instruções!$F$13:$J$17,5,0)&amp;"_"&amp;$G$2&amp;","&amp;E362&amp;" as "&amp;G362&amp;" FROM "&amp;D362&amp;" WHERE "&amp;Instruções!$D$21&amp;") B ")</f>
        <v xml:space="preserve">(SELECT prtctn_id as prtctn_id_, rl_estt_cty as rl_estt_cty_to_be FROM bu_loantape_work.lt004_protection WHERE ref_date='2024-09-30' AND nome_perimetro='Individual Corporativo' AND segmento='ESTR' AND ambito='PM' AND entidade='00100' ) B </v>
      </c>
      <c r="J362" s="75" t="str">
        <f>+IF(VLOOKUP(B362,Instruções!$F$13:$J$17,5,0)="", "ON "&amp;VLOOKUP(B362,Instruções!$F$13:$J$17,4,0)&amp;"_"&amp;$F$7&amp;"="&amp;VLOOKUP(B362,Instruções!$F$13:$J$17,4,0)&amp;"_"&amp;$G$7&amp;" ", "ON "&amp;VLOOKUP(B362,Instruções!$F$13:$J$17,4,0)&amp;"_"&amp;$F$7&amp;"="&amp;VLOOKUP(B362,Instruções!$F$13:$J$17,4,0)&amp;"_"&amp;$G$7&amp;" AND "&amp;VLOOKUP(B362,Instruções!$F$13:$J$17,5,0)&amp;"_"&amp;$F$7&amp;"="&amp;VLOOKUP(B362,Instruções!$F$13:$J$17,5,0)&amp;"_"&amp;$G$7&amp;" ")</f>
        <v xml:space="preserve">ON prtctn_id_as_is=prtctn_id_to_be </v>
      </c>
      <c r="K362" s="75" t="str">
        <f t="shared" si="53"/>
        <v xml:space="preserve">WHERE coalesce(cast(rl_estt_cty_as_is AS string),'')&lt;&gt;coalesce(cast(rl_estt_cty_to_be AS string),'') </v>
      </c>
      <c r="L362" s="75" t="str">
        <f t="shared" si="54"/>
        <v xml:space="preserve">SELECT count(*) AS NUM_REG_DIF FROM (SELECT prtctn_id as prtctn_id_, rl_estt_cty as rl_estt_cty_as_is FROM cd_loan_tapes_bce.lt004_protection WHERE ref_date='2024-09-30' AND nome_perimetro='Individual Corporativo' AND segmento='ESTR' AND ambito='PM' AND entidade='00100' ) A  Inner join (SELECT prtctn_id as prtctn_id_, rl_estt_cty as rl_estt_cty_to_be FROM bu_loantape_work.lt004_protection WHERE ref_date='2024-09-30' AND nome_perimetro='Individual Corporativo' AND segmento='ESTR' AND ambito='PM' AND entidade='00100' ) B ON prtctn_id_as_is=prtctn_id_to_be WHERE coalesce(cast(rl_estt_cty_as_is AS string),'')&lt;&gt;coalesce(cast(rl_estt_cty_to_be AS string),'') </v>
      </c>
      <c r="M362" s="75" t="s">
        <v>55</v>
      </c>
      <c r="N362" s="75" t="str">
        <f>"SELECT 'Validação de campos' as tipologia_teste, '"&amp;VLOOKUP(B362,Instruções!$F$13:$J$17,3,0)&amp;"' AS TABELA, '"&amp;E362&amp;"' AS CAMPO, '"&amp;Instruções!$D$15&amp;"' as ref_date, coalesce(NUM_REG_DIF, 0) AS NUM_REG_DIF FROM ("&amp;L362&amp;") A "</f>
        <v xml:space="preserve">SELECT 'Validação de campos' as tipologia_teste, 'lt004_protection' AS TABELA, 'rl_estt_cty' AS CAMPO, '2024-09-30' as ref_date, coalesce(NUM_REG_DIF, 0) AS NUM_REG_DIF FROM (SELECT count(*) AS NUM_REG_DIF FROM (SELECT prtctn_id as prtctn_id_, rl_estt_cty as rl_estt_cty_as_is FROM cd_loan_tapes_bce.lt004_protection WHERE ref_date='2024-09-30' AND nome_perimetro='Individual Corporativo' AND segmento='ESTR' AND ambito='PM' AND entidade='00100' ) A  Inner join (SELECT prtctn_id as prtctn_id_, rl_estt_cty as rl_estt_cty_to_be FROM bu_loantape_work.lt004_protection WHERE ref_date='2024-09-30' AND nome_perimetro='Individual Corporativo' AND segmento='ESTR' AND ambito='PM' AND entidade='00100' ) B ON prtctn_id_as_is=prtctn_id_to_be WHERE coalesce(cast(rl_estt_cty_as_is AS string),'')&lt;&gt;coalesce(cast(rl_estt_cty_to_be AS string),'') ) A </v>
      </c>
      <c r="O362" s="76" t="str">
        <f t="shared" si="55"/>
        <v>SELECT 'Validação de campos' as tipologia_teste, 'lt004_protection' AS TABELA, 'rl_estt_cty' AS CAMPO, '2024-09-30' as ref_date, coalesce(NUM_REG_DIF, 0) AS NUM_REG_DIF FROM (SELECT count(*) AS NUM_REG_DIF FROM (SELECT prtctn_id as prtctn_id_, rl_estt_cty as rl_estt_cty_as_is FROM cd_loan_tapes_bce.lt004_protection WHERE ref_date='2024-09-30' AND nome_perimetro='Individual Corporativo' AND segmento='ESTR' AND ambito='PM' AND entidade='00100' ) A  Inner join (SELECT prtctn_id as prtctn_id_, rl_estt_cty as rl_estt_cty_to_be FROM bu_loantape_work.lt004_protection WHERE ref_date='2024-09-30' AND nome_perimetro='Individual Corporativo' AND segmento='ESTR' AND ambito='PM' AND entidade='00100' ) B ON prtctn_id_as_is=prtctn_id_to_be WHERE coalesce(cast(rl_estt_cty_as_is AS string),'')&lt;&gt;coalesce(cast(rl_estt_cty_to_be AS string),'') ) A Union all</v>
      </c>
      <c r="P362" s="75">
        <f t="shared" si="59"/>
        <v>48</v>
      </c>
    </row>
    <row r="363" spans="2:16" s="63" customFormat="1" ht="18" customHeight="1">
      <c r="B363" s="75" t="s">
        <v>30</v>
      </c>
      <c r="C363" s="75" t="str">
        <f>_xlfn.CONCAT(Instruções!$D$13,".",VLOOKUP(B363,Instruções!$F$12:$H$17,2,0))</f>
        <v>cd_loan_tapes_bce.lt004_protection</v>
      </c>
      <c r="D363" s="75" t="str">
        <f>_xlfn.CONCAT(Instruções!$D$14,".",VLOOKUP(B363,Instruções!$F$12:$H$17,3,0))</f>
        <v>bu_loantape_work.lt004_protection</v>
      </c>
      <c r="E363" s="75" t="s">
        <v>387</v>
      </c>
      <c r="F363" s="75" t="str">
        <f t="shared" si="57"/>
        <v>rl_estt_pst_cd_as_is</v>
      </c>
      <c r="G363" s="75" t="str">
        <f t="shared" si="58"/>
        <v>rl_estt_pst_cd_to_be</v>
      </c>
      <c r="H363" s="75" t="str">
        <f>IF(VLOOKUP(B363,Instruções!$F$13:$J$17,5,0)="",
"(SELECT "&amp;VLOOKUP(B363,Instruções!$F$13:$J$17,4,0)&amp;" as "&amp;VLOOKUP(B363,Instruções!$F$13:$J$17,4,0)&amp;"_"&amp;$F$2&amp;", "&amp;E363&amp;" as "&amp;F363&amp;" FROM "&amp;C363&amp;" WHERE "&amp;Instruções!$D$20&amp;") A ",
"(SELECT "&amp;VLOOKUP(B363,Instruções!$F$13:$J$17,4,0)&amp;" as "&amp;VLOOKUP(B363,Instruções!$F$13:$J$17,4,0)&amp;"_"&amp;$F$2&amp;", "&amp;VLOOKUP(B363,Instruções!$F$13:$J$17,5,0)&amp;" as "&amp;VLOOKUP(B363,Instruções!$F$13:$J$17,5,0)&amp;"_"&amp;$F$2&amp;","&amp;E363&amp;" as "&amp;F363&amp;" FROM "&amp;C363&amp;" WHERE "&amp;Instruções!$D$20&amp;") A ")</f>
        <v xml:space="preserve">(SELECT prtctn_id as prtctn_id_, rl_estt_pst_cd as rl_estt_pst_cd_as_is FROM cd_loan_tapes_bce.lt004_protection WHERE ref_date='2024-09-30' AND nome_perimetro='Individual Corporativo' AND segmento='ESTR' AND ambito='PM' AND entidade='00100' ) A </v>
      </c>
      <c r="I363" s="75" t="str">
        <f>IF(VLOOKUP(B363,Instruções!$F$13:$J$17,5,0)="",
"(SELECT "&amp;VLOOKUP(B363,Instruções!$F$13:$J$17,4,0)&amp;" as "&amp;VLOOKUP(B363,Instruções!$F$13:$J$17,4,0)&amp;"_"&amp;$G$2&amp;", "&amp;E363&amp;" as "&amp;G363&amp;" FROM "&amp;D363&amp;" WHERE "&amp;Instruções!$D$21&amp;") B ",
"(SELECT "&amp;VLOOKUP(B363,Instruções!$F$13:$J$17,4,0)&amp;" as "&amp;VLOOKUP(B363,Instruções!$F$13:$J$17,4,0)&amp;"_"&amp;$G$2&amp;", "&amp;VLOOKUP(B363,Instruções!$F$13:$J$17,5,0)&amp;" as "&amp;VLOOKUP(B363,Instruções!$F$13:$J$17,5,0)&amp;"_"&amp;$G$2&amp;","&amp;E363&amp;" as "&amp;G363&amp;" FROM "&amp;D363&amp;" WHERE "&amp;Instruções!$D$21&amp;") B ")</f>
        <v xml:space="preserve">(SELECT prtctn_id as prtctn_id_, rl_estt_pst_cd as rl_estt_pst_cd_to_be FROM bu_loantape_work.lt004_protection WHERE ref_date='2024-09-30' AND nome_perimetro='Individual Corporativo' AND segmento='ESTR' AND ambito='PM' AND entidade='00100' ) B </v>
      </c>
      <c r="J363" s="75" t="str">
        <f>+IF(VLOOKUP(B363,Instruções!$F$13:$J$17,5,0)="", "ON "&amp;VLOOKUP(B363,Instruções!$F$13:$J$17,4,0)&amp;"_"&amp;$F$7&amp;"="&amp;VLOOKUP(B363,Instruções!$F$13:$J$17,4,0)&amp;"_"&amp;$G$7&amp;" ", "ON "&amp;VLOOKUP(B363,Instruções!$F$13:$J$17,4,0)&amp;"_"&amp;$F$7&amp;"="&amp;VLOOKUP(B363,Instruções!$F$13:$J$17,4,0)&amp;"_"&amp;$G$7&amp;" AND "&amp;VLOOKUP(B363,Instruções!$F$13:$J$17,5,0)&amp;"_"&amp;$F$7&amp;"="&amp;VLOOKUP(B363,Instruções!$F$13:$J$17,5,0)&amp;"_"&amp;$G$7&amp;" ")</f>
        <v xml:space="preserve">ON prtctn_id_as_is=prtctn_id_to_be </v>
      </c>
      <c r="K363" s="75" t="str">
        <f t="shared" si="53"/>
        <v xml:space="preserve">WHERE coalesce(cast(rl_estt_pst_cd_as_is AS string),'')&lt;&gt;coalesce(cast(rl_estt_pst_cd_to_be AS string),'') </v>
      </c>
      <c r="L363" s="75" t="str">
        <f t="shared" si="54"/>
        <v xml:space="preserve">SELECT count(*) AS NUM_REG_DIF FROM (SELECT prtctn_id as prtctn_id_, rl_estt_pst_cd as rl_estt_pst_cd_as_is FROM cd_loan_tapes_bce.lt004_protection WHERE ref_date='2024-09-30' AND nome_perimetro='Individual Corporativo' AND segmento='ESTR' AND ambito='PM' AND entidade='00100' ) A  Inner join (SELECT prtctn_id as prtctn_id_, rl_estt_pst_cd as rl_estt_pst_cd_to_be FROM bu_loantape_work.lt004_protection WHERE ref_date='2024-09-30' AND nome_perimetro='Individual Corporativo' AND segmento='ESTR' AND ambito='PM' AND entidade='00100' ) B ON prtctn_id_as_is=prtctn_id_to_be WHERE coalesce(cast(rl_estt_pst_cd_as_is AS string),'')&lt;&gt;coalesce(cast(rl_estt_pst_cd_to_be AS string),'') </v>
      </c>
      <c r="M363" s="75" t="s">
        <v>55</v>
      </c>
      <c r="N363" s="75" t="str">
        <f>"SELECT 'Validação de campos' as tipologia_teste, '"&amp;VLOOKUP(B363,Instruções!$F$13:$J$17,3,0)&amp;"' AS TABELA, '"&amp;E363&amp;"' AS CAMPO, '"&amp;Instruções!$D$15&amp;"' as ref_date, coalesce(NUM_REG_DIF, 0) AS NUM_REG_DIF FROM ("&amp;L363&amp;") A "</f>
        <v xml:space="preserve">SELECT 'Validação de campos' as tipologia_teste, 'lt004_protection' AS TABELA, 'rl_estt_pst_cd' AS CAMPO, '2024-09-30' as ref_date, coalesce(NUM_REG_DIF, 0) AS NUM_REG_DIF FROM (SELECT count(*) AS NUM_REG_DIF FROM (SELECT prtctn_id as prtctn_id_, rl_estt_pst_cd as rl_estt_pst_cd_as_is FROM cd_loan_tapes_bce.lt004_protection WHERE ref_date='2024-09-30' AND nome_perimetro='Individual Corporativo' AND segmento='ESTR' AND ambito='PM' AND entidade='00100' ) A  Inner join (SELECT prtctn_id as prtctn_id_, rl_estt_pst_cd as rl_estt_pst_cd_to_be FROM bu_loantape_work.lt004_protection WHERE ref_date='2024-09-30' AND nome_perimetro='Individual Corporativo' AND segmento='ESTR' AND ambito='PM' AND entidade='00100' ) B ON prtctn_id_as_is=prtctn_id_to_be WHERE coalesce(cast(rl_estt_pst_cd_as_is AS string),'')&lt;&gt;coalesce(cast(rl_estt_pst_cd_to_be AS string),'') ) A </v>
      </c>
      <c r="O363" s="76" t="str">
        <f t="shared" si="55"/>
        <v>SELECT 'Validação de campos' as tipologia_teste, 'lt004_protection' AS TABELA, 'rl_estt_pst_cd' AS CAMPO, '2024-09-30' as ref_date, coalesce(NUM_REG_DIF, 0) AS NUM_REG_DIF FROM (SELECT count(*) AS NUM_REG_DIF FROM (SELECT prtctn_id as prtctn_id_, rl_estt_pst_cd as rl_estt_pst_cd_as_is FROM cd_loan_tapes_bce.lt004_protection WHERE ref_date='2024-09-30' AND nome_perimetro='Individual Corporativo' AND segmento='ESTR' AND ambito='PM' AND entidade='00100' ) A  Inner join (SELECT prtctn_id as prtctn_id_, rl_estt_pst_cd as rl_estt_pst_cd_to_be FROM bu_loantape_work.lt004_protection WHERE ref_date='2024-09-30' AND nome_perimetro='Individual Corporativo' AND segmento='ESTR' AND ambito='PM' AND entidade='00100' ) B ON prtctn_id_as_is=prtctn_id_to_be WHERE coalesce(cast(rl_estt_pst_cd_as_is AS string),'')&lt;&gt;coalesce(cast(rl_estt_pst_cd_to_be AS string),'') ) A Union all</v>
      </c>
      <c r="P363" s="75">
        <f t="shared" si="59"/>
        <v>49</v>
      </c>
    </row>
    <row r="364" spans="2:16" s="63" customFormat="1" ht="18" customHeight="1">
      <c r="B364" s="75" t="s">
        <v>30</v>
      </c>
      <c r="C364" s="75" t="str">
        <f>_xlfn.CONCAT(Instruções!$D$13,".",VLOOKUP(B364,Instruções!$F$12:$H$17,2,0))</f>
        <v>cd_loan_tapes_bce.lt004_protection</v>
      </c>
      <c r="D364" s="75" t="str">
        <f>_xlfn.CONCAT(Instruções!$D$14,".",VLOOKUP(B364,Instruções!$F$12:$H$17,3,0))</f>
        <v>bu_loantape_work.lt004_protection</v>
      </c>
      <c r="E364" s="75" t="s">
        <v>149</v>
      </c>
      <c r="F364" s="75" t="str">
        <f t="shared" si="57"/>
        <v>tax_id_as_is</v>
      </c>
      <c r="G364" s="75" t="str">
        <f t="shared" si="58"/>
        <v>tax_id_to_be</v>
      </c>
      <c r="H364" s="75" t="str">
        <f>IF(VLOOKUP(B364,Instruções!$F$13:$J$17,5,0)="",
"(SELECT "&amp;VLOOKUP(B364,Instruções!$F$13:$J$17,4,0)&amp;" as "&amp;VLOOKUP(B364,Instruções!$F$13:$J$17,4,0)&amp;"_"&amp;$F$2&amp;", "&amp;E364&amp;" as "&amp;F364&amp;" FROM "&amp;C364&amp;" WHERE "&amp;Instruções!$D$20&amp;") A ",
"(SELECT "&amp;VLOOKUP(B364,Instruções!$F$13:$J$17,4,0)&amp;" as "&amp;VLOOKUP(B364,Instruções!$F$13:$J$17,4,0)&amp;"_"&amp;$F$2&amp;", "&amp;VLOOKUP(B364,Instruções!$F$13:$J$17,5,0)&amp;" as "&amp;VLOOKUP(B364,Instruções!$F$13:$J$17,5,0)&amp;"_"&amp;$F$2&amp;","&amp;E364&amp;" as "&amp;F364&amp;" FROM "&amp;C364&amp;" WHERE "&amp;Instruções!$D$20&amp;") A ")</f>
        <v xml:space="preserve">(SELECT prtctn_id as prtctn_id_, tax_id as tax_id_as_is FROM cd_loan_tapes_bce.lt004_protection WHERE ref_date='2024-09-30' AND nome_perimetro='Individual Corporativo' AND segmento='ESTR' AND ambito='PM' AND entidade='00100' ) A </v>
      </c>
      <c r="I364" s="75" t="str">
        <f>IF(VLOOKUP(B364,Instruções!$F$13:$J$17,5,0)="",
"(SELECT "&amp;VLOOKUP(B364,Instruções!$F$13:$J$17,4,0)&amp;" as "&amp;VLOOKUP(B364,Instruções!$F$13:$J$17,4,0)&amp;"_"&amp;$G$2&amp;", "&amp;E364&amp;" as "&amp;G364&amp;" FROM "&amp;D364&amp;" WHERE "&amp;Instruções!$D$21&amp;") B ",
"(SELECT "&amp;VLOOKUP(B364,Instruções!$F$13:$J$17,4,0)&amp;" as "&amp;VLOOKUP(B364,Instruções!$F$13:$J$17,4,0)&amp;"_"&amp;$G$2&amp;", "&amp;VLOOKUP(B364,Instruções!$F$13:$J$17,5,0)&amp;" as "&amp;VLOOKUP(B364,Instruções!$F$13:$J$17,5,0)&amp;"_"&amp;$G$2&amp;","&amp;E364&amp;" as "&amp;G364&amp;" FROM "&amp;D364&amp;" WHERE "&amp;Instruções!$D$21&amp;") B ")</f>
        <v xml:space="preserve">(SELECT prtctn_id as prtctn_id_, tax_id as tax_id_to_be FROM bu_loantape_work.lt004_protection WHERE ref_date='2024-09-30' AND nome_perimetro='Individual Corporativo' AND segmento='ESTR' AND ambito='PM' AND entidade='00100' ) B </v>
      </c>
      <c r="J364" s="75" t="str">
        <f>+IF(VLOOKUP(B364,Instruções!$F$13:$J$17,5,0)="", "ON "&amp;VLOOKUP(B364,Instruções!$F$13:$J$17,4,0)&amp;"_"&amp;$F$7&amp;"="&amp;VLOOKUP(B364,Instruções!$F$13:$J$17,4,0)&amp;"_"&amp;$G$7&amp;" ", "ON "&amp;VLOOKUP(B364,Instruções!$F$13:$J$17,4,0)&amp;"_"&amp;$F$7&amp;"="&amp;VLOOKUP(B364,Instruções!$F$13:$J$17,4,0)&amp;"_"&amp;$G$7&amp;" AND "&amp;VLOOKUP(B364,Instruções!$F$13:$J$17,5,0)&amp;"_"&amp;$F$7&amp;"="&amp;VLOOKUP(B364,Instruções!$F$13:$J$17,5,0)&amp;"_"&amp;$G$7&amp;" ")</f>
        <v xml:space="preserve">ON prtctn_id_as_is=prtctn_id_to_be </v>
      </c>
      <c r="K364" s="75" t="str">
        <f t="shared" si="53"/>
        <v xml:space="preserve">WHERE coalesce(cast(tax_id_as_is AS string),'')&lt;&gt;coalesce(cast(tax_id_to_be AS string),'') </v>
      </c>
      <c r="L364" s="75" t="str">
        <f t="shared" si="54"/>
        <v xml:space="preserve">SELECT count(*) AS NUM_REG_DIF FROM (SELECT prtctn_id as prtctn_id_, tax_id as tax_id_as_is FROM cd_loan_tapes_bce.lt004_protection WHERE ref_date='2024-09-30' AND nome_perimetro='Individual Corporativo' AND segmento='ESTR' AND ambito='PM' AND entidade='00100' ) A  Inner join (SELECT prtctn_id as prtctn_id_, tax_id as tax_id_to_be FROM bu_loantape_work.lt004_protection WHERE ref_date='2024-09-30' AND nome_perimetro='Individual Corporativo' AND segmento='ESTR' AND ambito='PM' AND entidade='00100' ) B ON prtctn_id_as_is=prtctn_id_to_be WHERE coalesce(cast(tax_id_as_is AS string),'')&lt;&gt;coalesce(cast(tax_id_to_be AS string),'') </v>
      </c>
      <c r="M364" s="75" t="s">
        <v>55</v>
      </c>
      <c r="N364" s="75" t="str">
        <f>"SELECT 'Validação de campos' as tipologia_teste, '"&amp;VLOOKUP(B364,Instruções!$F$13:$J$17,3,0)&amp;"' AS TABELA, '"&amp;E364&amp;"' AS CAMPO, '"&amp;Instruções!$D$15&amp;"' as ref_date, coalesce(NUM_REG_DIF, 0) AS NUM_REG_DIF FROM ("&amp;L364&amp;") A "</f>
        <v xml:space="preserve">SELECT 'Validação de campos' as tipologia_teste, 'lt004_protection' AS TABELA, 'tax_id' AS CAMPO, '2024-09-30' as ref_date, coalesce(NUM_REG_DIF, 0) AS NUM_REG_DIF FROM (SELECT count(*) AS NUM_REG_DIF FROM (SELECT prtctn_id as prtctn_id_, tax_id as tax_id_as_is FROM cd_loan_tapes_bce.lt004_protection WHERE ref_date='2024-09-30' AND nome_perimetro='Individual Corporativo' AND segmento='ESTR' AND ambito='PM' AND entidade='00100' ) A  Inner join (SELECT prtctn_id as prtctn_id_, tax_id as tax_id_to_be FROM bu_loantape_work.lt004_protection WHERE ref_date='2024-09-30' AND nome_perimetro='Individual Corporativo' AND segmento='ESTR' AND ambito='PM' AND entidade='00100' ) B ON prtctn_id_as_is=prtctn_id_to_be WHERE coalesce(cast(tax_id_as_is AS string),'')&lt;&gt;coalesce(cast(tax_id_to_be AS string),'') ) A </v>
      </c>
      <c r="O364" s="76" t="str">
        <f t="shared" si="55"/>
        <v xml:space="preserve">SELECT 'Validação de campos' as tipologia_teste, 'lt004_protection' AS TABELA, 'tax_id' AS CAMPO, '2024-09-30' as ref_date, coalesce(NUM_REG_DIF, 0) AS NUM_REG_DIF FROM (SELECT count(*) AS NUM_REG_DIF FROM (SELECT prtctn_id as prtctn_id_, tax_id as tax_id_as_is FROM cd_loan_tapes_bce.lt004_protection WHERE ref_date='2024-09-30' AND nome_perimetro='Individual Corporativo' AND segmento='ESTR' AND ambito='PM' AND entidade='00100' ) A  Inner join (SELECT prtctn_id as prtctn_id_, tax_id as tax_id_to_be FROM bu_loantape_work.lt004_protection WHERE ref_date='2024-09-30' AND nome_perimetro='Individual Corporativo' AND segmento='ESTR' AND ambito='PM' AND entidade='00100' ) B ON prtctn_id_as_is=prtctn_id_to_be WHERE coalesce(cast(tax_id_as_is AS string),'')&lt;&gt;coalesce(cast(tax_id_to_be AS string),'') ) A </v>
      </c>
      <c r="P364" s="75">
        <f t="shared" si="59"/>
        <v>50</v>
      </c>
    </row>
    <row r="365" spans="2:16" s="63" customFormat="1" ht="4.9000000000000004" customHeight="1">
      <c r="B365" s="78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80"/>
      <c r="P365" s="81"/>
    </row>
    <row r="366" spans="2:16" s="63" customFormat="1" ht="18" customHeight="1">
      <c r="B366" s="75" t="s">
        <v>30</v>
      </c>
      <c r="C366" s="75" t="str">
        <f>_xlfn.CONCAT(Instruções!$D$13,".",VLOOKUP(B366,Instruções!$F$12:$H$17,2,0))</f>
        <v>cd_loan_tapes_bce.lt004_protection</v>
      </c>
      <c r="D366" s="75" t="str">
        <f>_xlfn.CONCAT(Instruções!$D$14,".",VLOOKUP(B366,Instruções!$F$12:$H$17,3,0))</f>
        <v>bu_loantape_work.lt004_protection</v>
      </c>
      <c r="E366" s="75" t="s">
        <v>388</v>
      </c>
      <c r="F366" s="75" t="str">
        <f>E366&amp;"_"&amp;$F$7</f>
        <v>typ_prtctn_as_is</v>
      </c>
      <c r="G366" s="75" t="str">
        <f>E366&amp;"_"&amp;$G$7</f>
        <v>typ_prtctn_to_be</v>
      </c>
      <c r="H366" s="75" t="str">
        <f>IF(VLOOKUP(B366,Instruções!$F$13:$J$17,5,0)="",
"(SELECT "&amp;VLOOKUP(B366,Instruções!$F$13:$J$17,4,0)&amp;" as "&amp;VLOOKUP(B366,Instruções!$F$13:$J$17,4,0)&amp;"_"&amp;$F$2&amp;", "&amp;E366&amp;" as "&amp;F366&amp;" FROM "&amp;C366&amp;" WHERE "&amp;Instruções!$D$20&amp;") A ",
"(SELECT "&amp;VLOOKUP(B366,Instruções!$F$13:$J$17,4,0)&amp;" as "&amp;VLOOKUP(B366,Instruções!$F$13:$J$17,4,0)&amp;"_"&amp;$F$2&amp;", "&amp;VLOOKUP(B366,Instruções!$F$13:$J$17,5,0)&amp;" as "&amp;VLOOKUP(B366,Instruções!$F$13:$J$17,5,0)&amp;"_"&amp;$F$2&amp;","&amp;E366&amp;" as "&amp;F366&amp;" FROM "&amp;C366&amp;" WHERE "&amp;Instruções!$D$20&amp;") A ")</f>
        <v xml:space="preserve">(SELECT prtctn_id as prtctn_id_, typ_prtctn as typ_prtctn_as_is FROM cd_loan_tapes_bce.lt004_protection WHERE ref_date='2024-09-30' AND nome_perimetro='Individual Corporativo' AND segmento='ESTR' AND ambito='PM' AND entidade='00100' ) A </v>
      </c>
      <c r="I366" s="75" t="str">
        <f>IF(VLOOKUP(B366,Instruções!$F$13:$J$17,5,0)="",
"(SELECT "&amp;VLOOKUP(B366,Instruções!$F$13:$J$17,4,0)&amp;" as "&amp;VLOOKUP(B366,Instruções!$F$13:$J$17,4,0)&amp;"_"&amp;$G$2&amp;", "&amp;E366&amp;" as "&amp;G366&amp;" FROM "&amp;D366&amp;" WHERE "&amp;Instruções!$D$21&amp;") B ",
"(SELECT "&amp;VLOOKUP(B366,Instruções!$F$13:$J$17,4,0)&amp;" as "&amp;VLOOKUP(B366,Instruções!$F$13:$J$17,4,0)&amp;"_"&amp;$G$2&amp;", "&amp;VLOOKUP(B366,Instruções!$F$13:$J$17,5,0)&amp;" as "&amp;VLOOKUP(B366,Instruções!$F$13:$J$17,5,0)&amp;"_"&amp;$G$2&amp;","&amp;E366&amp;" as "&amp;G366&amp;" FROM "&amp;D366&amp;" WHERE "&amp;Instruções!$D$21&amp;") B ")</f>
        <v xml:space="preserve">(SELECT prtctn_id as prtctn_id_, typ_prtctn as typ_prtctn_to_be FROM bu_loantape_work.lt004_protection WHERE ref_date='2024-09-30' AND nome_perimetro='Individual Corporativo' AND segmento='ESTR' AND ambito='PM' AND entidade='00100' ) B </v>
      </c>
      <c r="J366" s="75" t="str">
        <f>+IF(VLOOKUP(B366,Instruções!$F$13:$J$17,5,0)="", "ON "&amp;VLOOKUP(B366,Instruções!$F$13:$J$17,4,0)&amp;"_"&amp;$F$7&amp;"="&amp;VLOOKUP(B366,Instruções!$F$13:$J$17,4,0)&amp;"_"&amp;$G$7&amp;" ", "ON "&amp;VLOOKUP(B366,Instruções!$F$13:$J$17,4,0)&amp;"_"&amp;$F$7&amp;"="&amp;VLOOKUP(B366,Instruções!$F$13:$J$17,4,0)&amp;"_"&amp;$G$7&amp;" AND "&amp;VLOOKUP(B366,Instruções!$F$13:$J$17,5,0)&amp;"_"&amp;$F$7&amp;"="&amp;VLOOKUP(B366,Instruções!$F$13:$J$17,5,0)&amp;"_"&amp;$G$7&amp;" ")</f>
        <v xml:space="preserve">ON prtctn_id_as_is=prtctn_id_to_be </v>
      </c>
      <c r="K366" s="75" t="str">
        <f t="shared" ref="K366:K369" si="60">"WHERE coalesce(cast("&amp;F366&amp;" AS string),'')&lt;&gt;coalesce(cast("&amp;G366&amp;" AS string),'') "</f>
        <v xml:space="preserve">WHERE coalesce(cast(typ_prtctn_as_is AS string),'')&lt;&gt;coalesce(cast(typ_prtctn_to_be AS string),'') </v>
      </c>
      <c r="L366" s="75" t="str">
        <f t="shared" ref="L366:L369" si="61">"SELECT count(*) AS NUM_REG_DIF FROM "&amp;H366&amp;" Inner join "&amp;I366&amp;J366&amp;K366</f>
        <v xml:space="preserve">SELECT count(*) AS NUM_REG_DIF FROM (SELECT prtctn_id as prtctn_id_, typ_prtctn as typ_prtctn_as_is FROM cd_loan_tapes_bce.lt004_protection WHERE ref_date='2024-09-30' AND nome_perimetro='Individual Corporativo' AND segmento='ESTR' AND ambito='PM' AND entidade='00100' ) A  Inner join (SELECT prtctn_id as prtctn_id_, typ_prtctn as typ_prtctn_to_be FROM bu_loantape_work.lt004_protection WHERE ref_date='2024-09-30' AND nome_perimetro='Individual Corporativo' AND segmento='ESTR' AND ambito='PM' AND entidade='00100' ) B ON prtctn_id_as_is=prtctn_id_to_be WHERE coalesce(cast(typ_prtctn_as_is AS string),'')&lt;&gt;coalesce(cast(typ_prtctn_to_be AS string),'') </v>
      </c>
      <c r="M366" s="75" t="s">
        <v>55</v>
      </c>
      <c r="N366" s="75" t="str">
        <f>"SELECT 'Validação de campos' as tipologia_teste, '"&amp;VLOOKUP(B366,Instruções!$F$13:$J$17,3,0)&amp;"' AS TABELA, '"&amp;E366&amp;"' AS CAMPO, '"&amp;Instruções!$D$15&amp;"' as ref_date, coalesce(NUM_REG_DIF, 0) AS NUM_REG_DIF FROM ("&amp;L366&amp;") A "</f>
        <v xml:space="preserve">SELECT 'Validação de campos' as tipologia_teste, 'lt004_protection' AS TABELA, 'typ_prtctn' AS CAMPO, '2024-09-30' as ref_date, coalesce(NUM_REG_DIF, 0) AS NUM_REG_DIF FROM (SELECT count(*) AS NUM_REG_DIF FROM (SELECT prtctn_id as prtctn_id_, typ_prtctn as typ_prtctn_as_is FROM cd_loan_tapes_bce.lt004_protection WHERE ref_date='2024-09-30' AND nome_perimetro='Individual Corporativo' AND segmento='ESTR' AND ambito='PM' AND entidade='00100' ) A  Inner join (SELECT prtctn_id as prtctn_id_, typ_prtctn as typ_prtctn_to_be FROM bu_loantape_work.lt004_protection WHERE ref_date='2024-09-30' AND nome_perimetro='Individual Corporativo' AND segmento='ESTR' AND ambito='PM' AND entidade='00100' ) B ON prtctn_id_as_is=prtctn_id_to_be WHERE coalesce(cast(typ_prtctn_as_is AS string),'')&lt;&gt;coalesce(cast(typ_prtctn_to_be AS string),'') ) A </v>
      </c>
      <c r="O366" s="76" t="str">
        <f t="shared" si="55"/>
        <v>SELECT 'Validação de campos' as tipologia_teste, 'lt004_protection' AS TABELA, 'typ_prtctn' AS CAMPO, '2024-09-30' as ref_date, coalesce(NUM_REG_DIF, 0) AS NUM_REG_DIF FROM (SELECT count(*) AS NUM_REG_DIF FROM (SELECT prtctn_id as prtctn_id_, typ_prtctn as typ_prtctn_as_is FROM cd_loan_tapes_bce.lt004_protection WHERE ref_date='2024-09-30' AND nome_perimetro='Individual Corporativo' AND segmento='ESTR' AND ambito='PM' AND entidade='00100' ) A  Inner join (SELECT prtctn_id as prtctn_id_, typ_prtctn as typ_prtctn_to_be FROM bu_loantape_work.lt004_protection WHERE ref_date='2024-09-30' AND nome_perimetro='Individual Corporativo' AND segmento='ESTR' AND ambito='PM' AND entidade='00100' ) B ON prtctn_id_as_is=prtctn_id_to_be WHERE coalesce(cast(typ_prtctn_as_is AS string),'')&lt;&gt;coalesce(cast(typ_prtctn_to_be AS string),'') ) A Union all</v>
      </c>
      <c r="P366" s="75">
        <f>+P365+1</f>
        <v>1</v>
      </c>
    </row>
    <row r="367" spans="2:16" ht="17.45">
      <c r="B367" s="75" t="s">
        <v>30</v>
      </c>
      <c r="C367" s="75" t="str">
        <f>_xlfn.CONCAT(Instruções!$D$13,".",VLOOKUP(B367,Instruções!$F$12:$H$17,2,0))</f>
        <v>cd_loan_tapes_bce.lt004_protection</v>
      </c>
      <c r="D367" s="75" t="str">
        <f>_xlfn.CONCAT(Instruções!$D$14,".",VLOOKUP(B367,Instruções!$F$12:$H$17,3,0))</f>
        <v>bu_loantape_work.lt004_protection</v>
      </c>
      <c r="E367" s="75" t="s">
        <v>389</v>
      </c>
      <c r="F367" s="75" t="str">
        <f>E367&amp;"_"&amp;$F$7</f>
        <v>typ_prtctn_intrnl_as_is</v>
      </c>
      <c r="G367" s="75" t="str">
        <f>E367&amp;"_"&amp;$G$7</f>
        <v>typ_prtctn_intrnl_to_be</v>
      </c>
      <c r="H367" s="75" t="str">
        <f>IF(VLOOKUP(B367,Instruções!$F$13:$J$17,5,0)="",
"(SELECT "&amp;VLOOKUP(B367,Instruções!$F$13:$J$17,4,0)&amp;" as "&amp;VLOOKUP(B367,Instruções!$F$13:$J$17,4,0)&amp;"_"&amp;$F$2&amp;", "&amp;E367&amp;" as "&amp;F367&amp;" FROM "&amp;C367&amp;" WHERE "&amp;Instruções!$D$20&amp;") A ",
"(SELECT "&amp;VLOOKUP(B367,Instruções!$F$13:$J$17,4,0)&amp;" as "&amp;VLOOKUP(B367,Instruções!$F$13:$J$17,4,0)&amp;"_"&amp;$F$2&amp;", "&amp;VLOOKUP(B367,Instruções!$F$13:$J$17,5,0)&amp;" as "&amp;VLOOKUP(B367,Instruções!$F$13:$J$17,5,0)&amp;"_"&amp;$F$2&amp;","&amp;E367&amp;" as "&amp;F367&amp;" FROM "&amp;C367&amp;" WHERE "&amp;Instruções!$D$20&amp;") A ")</f>
        <v xml:space="preserve">(SELECT prtctn_id as prtctn_id_, typ_prtctn_intrnl as typ_prtctn_intrnl_as_is FROM cd_loan_tapes_bce.lt004_protection WHERE ref_date='2024-09-30' AND nome_perimetro='Individual Corporativo' AND segmento='ESTR' AND ambito='PM' AND entidade='00100' ) A </v>
      </c>
      <c r="I367" s="75" t="str">
        <f>IF(VLOOKUP(B367,Instruções!$F$13:$J$17,5,0)="",
"(SELECT "&amp;VLOOKUP(B367,Instruções!$F$13:$J$17,4,0)&amp;" as "&amp;VLOOKUP(B367,Instruções!$F$13:$J$17,4,0)&amp;"_"&amp;$G$2&amp;", "&amp;E367&amp;" as "&amp;G367&amp;" FROM "&amp;D367&amp;" WHERE "&amp;Instruções!$D$21&amp;") B ",
"(SELECT "&amp;VLOOKUP(B367,Instruções!$F$13:$J$17,4,0)&amp;" as "&amp;VLOOKUP(B367,Instruções!$F$13:$J$17,4,0)&amp;"_"&amp;$G$2&amp;", "&amp;VLOOKUP(B367,Instruções!$F$13:$J$17,5,0)&amp;" as "&amp;VLOOKUP(B367,Instruções!$F$13:$J$17,5,0)&amp;"_"&amp;$G$2&amp;","&amp;E367&amp;" as "&amp;G367&amp;" FROM "&amp;D367&amp;" WHERE "&amp;Instruções!$D$21&amp;") B ")</f>
        <v xml:space="preserve">(SELECT prtctn_id as prtctn_id_, typ_prtctn_intrnl as typ_prtctn_intrnl_to_be FROM bu_loantape_work.lt004_protection WHERE ref_date='2024-09-30' AND nome_perimetro='Individual Corporativo' AND segmento='ESTR' AND ambito='PM' AND entidade='00100' ) B </v>
      </c>
      <c r="J367" s="75" t="str">
        <f>+IF(VLOOKUP(B367,Instruções!$F$13:$J$17,5,0)="", "ON "&amp;VLOOKUP(B367,Instruções!$F$13:$J$17,4,0)&amp;"_"&amp;$F$7&amp;"="&amp;VLOOKUP(B367,Instruções!$F$13:$J$17,4,0)&amp;"_"&amp;$G$7&amp;" ", "ON "&amp;VLOOKUP(B367,Instruções!$F$13:$J$17,4,0)&amp;"_"&amp;$F$7&amp;"="&amp;VLOOKUP(B367,Instruções!$F$13:$J$17,4,0)&amp;"_"&amp;$G$7&amp;" AND "&amp;VLOOKUP(B367,Instruções!$F$13:$J$17,5,0)&amp;"_"&amp;$F$7&amp;"="&amp;VLOOKUP(B367,Instruções!$F$13:$J$17,5,0)&amp;"_"&amp;$G$7&amp;" ")</f>
        <v xml:space="preserve">ON prtctn_id_as_is=prtctn_id_to_be </v>
      </c>
      <c r="K367" s="75" t="str">
        <f t="shared" si="60"/>
        <v xml:space="preserve">WHERE coalesce(cast(typ_prtctn_intrnl_as_is AS string),'')&lt;&gt;coalesce(cast(typ_prtctn_intrnl_to_be AS string),'') </v>
      </c>
      <c r="L367" s="75" t="str">
        <f t="shared" si="61"/>
        <v xml:space="preserve">SELECT count(*) AS NUM_REG_DIF FROM (SELECT prtctn_id as prtctn_id_, typ_prtctn_intrnl as typ_prtctn_intrnl_as_is FROM cd_loan_tapes_bce.lt004_protection WHERE ref_date='2024-09-30' AND nome_perimetro='Individual Corporativo' AND segmento='ESTR' AND ambito='PM' AND entidade='00100' ) A  Inner join (SELECT prtctn_id as prtctn_id_, typ_prtctn_intrnl as typ_prtctn_intrnl_to_be FROM bu_loantape_work.lt004_protection WHERE ref_date='2024-09-30' AND nome_perimetro='Individual Corporativo' AND segmento='ESTR' AND ambito='PM' AND entidade='00100' ) B ON prtctn_id_as_is=prtctn_id_to_be WHERE coalesce(cast(typ_prtctn_intrnl_as_is AS string),'')&lt;&gt;coalesce(cast(typ_prtctn_intrnl_to_be AS string),'') </v>
      </c>
      <c r="M367" s="75" t="s">
        <v>55</v>
      </c>
      <c r="N367" s="75" t="str">
        <f>"SELECT 'Validação de campos' as tipologia_teste, '"&amp;VLOOKUP(B367,Instruções!$F$13:$J$17,3,0)&amp;"' AS TABELA, '"&amp;E367&amp;"' AS CAMPO, '"&amp;Instruções!$D$15&amp;"' as ref_date, coalesce(NUM_REG_DIF, 0) AS NUM_REG_DIF FROM ("&amp;L367&amp;") A "</f>
        <v xml:space="preserve">SELECT 'Validação de campos' as tipologia_teste, 'lt004_protection' AS TABELA, 'typ_prtctn_intrnl' AS CAMPO, '2024-09-30' as ref_date, coalesce(NUM_REG_DIF, 0) AS NUM_REG_DIF FROM (SELECT count(*) AS NUM_REG_DIF FROM (SELECT prtctn_id as prtctn_id_, typ_prtctn_intrnl as typ_prtctn_intrnl_as_is FROM cd_loan_tapes_bce.lt004_protection WHERE ref_date='2024-09-30' AND nome_perimetro='Individual Corporativo' AND segmento='ESTR' AND ambito='PM' AND entidade='00100' ) A  Inner join (SELECT prtctn_id as prtctn_id_, typ_prtctn_intrnl as typ_prtctn_intrnl_to_be FROM bu_loantape_work.lt004_protection WHERE ref_date='2024-09-30' AND nome_perimetro='Individual Corporativo' AND segmento='ESTR' AND ambito='PM' AND entidade='00100' ) B ON prtctn_id_as_is=prtctn_id_to_be WHERE coalesce(cast(typ_prtctn_intrnl_as_is AS string),'')&lt;&gt;coalesce(cast(typ_prtctn_intrnl_to_be AS string),'') ) A </v>
      </c>
      <c r="O367" s="76" t="str">
        <f t="shared" si="55"/>
        <v>SELECT 'Validação de campos' as tipologia_teste, 'lt004_protection' AS TABELA, 'typ_prtctn_intrnl' AS CAMPO, '2024-09-30' as ref_date, coalesce(NUM_REG_DIF, 0) AS NUM_REG_DIF FROM (SELECT count(*) AS NUM_REG_DIF FROM (SELECT prtctn_id as prtctn_id_, typ_prtctn_intrnl as typ_prtctn_intrnl_as_is FROM cd_loan_tapes_bce.lt004_protection WHERE ref_date='2024-09-30' AND nome_perimetro='Individual Corporativo' AND segmento='ESTR' AND ambito='PM' AND entidade='00100' ) A  Inner join (SELECT prtctn_id as prtctn_id_, typ_prtctn_intrnl as typ_prtctn_intrnl_to_be FROM bu_loantape_work.lt004_protection WHERE ref_date='2024-09-30' AND nome_perimetro='Individual Corporativo' AND segmento='ESTR' AND ambito='PM' AND entidade='00100' ) B ON prtctn_id_as_is=prtctn_id_to_be WHERE coalesce(cast(typ_prtctn_intrnl_as_is AS string),'')&lt;&gt;coalesce(cast(typ_prtctn_intrnl_to_be AS string),'') ) A Union all</v>
      </c>
      <c r="P367" s="75">
        <f>+P366+1</f>
        <v>2</v>
      </c>
    </row>
    <row r="368" spans="2:16" ht="17.45">
      <c r="B368" s="75" t="s">
        <v>30</v>
      </c>
      <c r="C368" s="75" t="str">
        <f>_xlfn.CONCAT(Instruções!$D$13,".",VLOOKUP(B368,Instruções!$F$12:$H$17,2,0))</f>
        <v>cd_loan_tapes_bce.lt004_protection</v>
      </c>
      <c r="D368" s="75" t="str">
        <f>_xlfn.CONCAT(Instruções!$D$14,".",VLOOKUP(B368,Instruções!$F$12:$H$17,3,0))</f>
        <v>bu_loantape_work.lt004_protection</v>
      </c>
      <c r="E368" s="75" t="s">
        <v>390</v>
      </c>
      <c r="F368" s="75" t="str">
        <f>E368&amp;"_"&amp;$F$7</f>
        <v>typ_prtctn_vl_as_is</v>
      </c>
      <c r="G368" s="75" t="str">
        <f>E368&amp;"_"&amp;$G$7</f>
        <v>typ_prtctn_vl_to_be</v>
      </c>
      <c r="H368" s="75" t="str">
        <f>IF(VLOOKUP(B368,Instruções!$F$13:$J$17,5,0)="",
"(SELECT "&amp;VLOOKUP(B368,Instruções!$F$13:$J$17,4,0)&amp;" as "&amp;VLOOKUP(B368,Instruções!$F$13:$J$17,4,0)&amp;"_"&amp;$F$2&amp;", "&amp;E368&amp;" as "&amp;F368&amp;" FROM "&amp;C368&amp;" WHERE "&amp;Instruções!$D$20&amp;") A ",
"(SELECT "&amp;VLOOKUP(B368,Instruções!$F$13:$J$17,4,0)&amp;" as "&amp;VLOOKUP(B368,Instruções!$F$13:$J$17,4,0)&amp;"_"&amp;$F$2&amp;", "&amp;VLOOKUP(B368,Instruções!$F$13:$J$17,5,0)&amp;" as "&amp;VLOOKUP(B368,Instruções!$F$13:$J$17,5,0)&amp;"_"&amp;$F$2&amp;","&amp;E368&amp;" as "&amp;F368&amp;" FROM "&amp;C368&amp;" WHERE "&amp;Instruções!$D$20&amp;") A ")</f>
        <v xml:space="preserve">(SELECT prtctn_id as prtctn_id_, typ_prtctn_vl as typ_prtctn_vl_as_is FROM cd_loan_tapes_bce.lt004_protection WHERE ref_date='2024-09-30' AND nome_perimetro='Individual Corporativo' AND segmento='ESTR' AND ambito='PM' AND entidade='00100' ) A </v>
      </c>
      <c r="I368" s="75" t="str">
        <f>IF(VLOOKUP(B368,Instruções!$F$13:$J$17,5,0)="",
"(SELECT "&amp;VLOOKUP(B368,Instruções!$F$13:$J$17,4,0)&amp;" as "&amp;VLOOKUP(B368,Instruções!$F$13:$J$17,4,0)&amp;"_"&amp;$G$2&amp;", "&amp;E368&amp;" as "&amp;G368&amp;" FROM "&amp;D368&amp;" WHERE "&amp;Instruções!$D$21&amp;") B ",
"(SELECT "&amp;VLOOKUP(B368,Instruções!$F$13:$J$17,4,0)&amp;" as "&amp;VLOOKUP(B368,Instruções!$F$13:$J$17,4,0)&amp;"_"&amp;$G$2&amp;", "&amp;VLOOKUP(B368,Instruções!$F$13:$J$17,5,0)&amp;" as "&amp;VLOOKUP(B368,Instruções!$F$13:$J$17,5,0)&amp;"_"&amp;$G$2&amp;","&amp;E368&amp;" as "&amp;G368&amp;" FROM "&amp;D368&amp;" WHERE "&amp;Instruções!$D$21&amp;") B ")</f>
        <v xml:space="preserve">(SELECT prtctn_id as prtctn_id_, typ_prtctn_vl as typ_prtctn_vl_to_be FROM bu_loantape_work.lt004_protection WHERE ref_date='2024-09-30' AND nome_perimetro='Individual Corporativo' AND segmento='ESTR' AND ambito='PM' AND entidade='00100' ) B </v>
      </c>
      <c r="J368" s="75" t="str">
        <f>+IF(VLOOKUP(B368,Instruções!$F$13:$J$17,5,0)="", "ON "&amp;VLOOKUP(B368,Instruções!$F$13:$J$17,4,0)&amp;"_"&amp;$F$7&amp;"="&amp;VLOOKUP(B368,Instruções!$F$13:$J$17,4,0)&amp;"_"&amp;$G$7&amp;" ", "ON "&amp;VLOOKUP(B368,Instruções!$F$13:$J$17,4,0)&amp;"_"&amp;$F$7&amp;"="&amp;VLOOKUP(B368,Instruções!$F$13:$J$17,4,0)&amp;"_"&amp;$G$7&amp;" AND "&amp;VLOOKUP(B368,Instruções!$F$13:$J$17,5,0)&amp;"_"&amp;$F$7&amp;"="&amp;VLOOKUP(B368,Instruções!$F$13:$J$17,5,0)&amp;"_"&amp;$G$7&amp;" ")</f>
        <v xml:space="preserve">ON prtctn_id_as_is=prtctn_id_to_be </v>
      </c>
      <c r="K368" s="75" t="str">
        <f t="shared" si="60"/>
        <v xml:space="preserve">WHERE coalesce(cast(typ_prtctn_vl_as_is AS string),'')&lt;&gt;coalesce(cast(typ_prtctn_vl_to_be AS string),'') </v>
      </c>
      <c r="L368" s="75" t="str">
        <f t="shared" si="61"/>
        <v xml:space="preserve">SELECT count(*) AS NUM_REG_DIF FROM (SELECT prtctn_id as prtctn_id_, typ_prtctn_vl as typ_prtctn_vl_as_is FROM cd_loan_tapes_bce.lt004_protection WHERE ref_date='2024-09-30' AND nome_perimetro='Individual Corporativo' AND segmento='ESTR' AND ambito='PM' AND entidade='00100' ) A  Inner join (SELECT prtctn_id as prtctn_id_, typ_prtctn_vl as typ_prtctn_vl_to_be FROM bu_loantape_work.lt004_protection WHERE ref_date='2024-09-30' AND nome_perimetro='Individual Corporativo' AND segmento='ESTR' AND ambito='PM' AND entidade='00100' ) B ON prtctn_id_as_is=prtctn_id_to_be WHERE coalesce(cast(typ_prtctn_vl_as_is AS string),'')&lt;&gt;coalesce(cast(typ_prtctn_vl_to_be AS string),'') </v>
      </c>
      <c r="M368" s="75" t="s">
        <v>55</v>
      </c>
      <c r="N368" s="75" t="str">
        <f>"SELECT 'Validação de campos' as tipologia_teste, '"&amp;VLOOKUP(B368,Instruções!$F$13:$J$17,3,0)&amp;"' AS TABELA, '"&amp;E368&amp;"' AS CAMPO, '"&amp;Instruções!$D$15&amp;"' as ref_date, coalesce(NUM_REG_DIF, 0) AS NUM_REG_DIF FROM ("&amp;L368&amp;") A "</f>
        <v xml:space="preserve">SELECT 'Validação de campos' as tipologia_teste, 'lt004_protection' AS TABELA, 'typ_prtctn_vl' AS CAMPO, '2024-09-30' as ref_date, coalesce(NUM_REG_DIF, 0) AS NUM_REG_DIF FROM (SELECT count(*) AS NUM_REG_DIF FROM (SELECT prtctn_id as prtctn_id_, typ_prtctn_vl as typ_prtctn_vl_as_is FROM cd_loan_tapes_bce.lt004_protection WHERE ref_date='2024-09-30' AND nome_perimetro='Individual Corporativo' AND segmento='ESTR' AND ambito='PM' AND entidade='00100' ) A  Inner join (SELECT prtctn_id as prtctn_id_, typ_prtctn_vl as typ_prtctn_vl_to_be FROM bu_loantape_work.lt004_protection WHERE ref_date='2024-09-30' AND nome_perimetro='Individual Corporativo' AND segmento='ESTR' AND ambito='PM' AND entidade='00100' ) B ON prtctn_id_as_is=prtctn_id_to_be WHERE coalesce(cast(typ_prtctn_vl_as_is AS string),'')&lt;&gt;coalesce(cast(typ_prtctn_vl_to_be AS string),'') ) A </v>
      </c>
      <c r="O368" s="76" t="str">
        <f t="shared" si="55"/>
        <v>SELECT 'Validação de campos' as tipologia_teste, 'lt004_protection' AS TABELA, 'typ_prtctn_vl' AS CAMPO, '2024-09-30' as ref_date, coalesce(NUM_REG_DIF, 0) AS NUM_REG_DIF FROM (SELECT count(*) AS NUM_REG_DIF FROM (SELECT prtctn_id as prtctn_id_, typ_prtctn_vl as typ_prtctn_vl_as_is FROM cd_loan_tapes_bce.lt004_protection WHERE ref_date='2024-09-30' AND nome_perimetro='Individual Corporativo' AND segmento='ESTR' AND ambito='PM' AND entidade='00100' ) A  Inner join (SELECT prtctn_id as prtctn_id_, typ_prtctn_vl as typ_prtctn_vl_to_be FROM bu_loantape_work.lt004_protection WHERE ref_date='2024-09-30' AND nome_perimetro='Individual Corporativo' AND segmento='ESTR' AND ambito='PM' AND entidade='00100' ) B ON prtctn_id_as_is=prtctn_id_to_be WHERE coalesce(cast(typ_prtctn_vl_as_is AS string),'')&lt;&gt;coalesce(cast(typ_prtctn_vl_to_be AS string),'') ) A Union all</v>
      </c>
      <c r="P368" s="75">
        <f t="shared" ref="P368:P369" si="62">+P367+1</f>
        <v>3</v>
      </c>
    </row>
    <row r="369" spans="2:16" ht="17.45">
      <c r="B369" s="86" t="s">
        <v>30</v>
      </c>
      <c r="C369" s="86" t="str">
        <f>_xlfn.CONCAT(Instruções!$D$13,".",VLOOKUP(B369,Instruções!$F$12:$H$17,2,0))</f>
        <v>cd_loan_tapes_bce.lt004_protection</v>
      </c>
      <c r="D369" s="86" t="str">
        <f>_xlfn.CONCAT(Instruções!$D$14,".",VLOOKUP(B369,Instruções!$F$12:$H$17,3,0))</f>
        <v>bu_loantape_work.lt004_protection</v>
      </c>
      <c r="E369" s="86" t="s">
        <v>391</v>
      </c>
      <c r="F369" s="86" t="str">
        <f>E369&amp;"_"&amp;$F$7</f>
        <v>yr_cnstrctn_as_is</v>
      </c>
      <c r="G369" s="86" t="str">
        <f>E369&amp;"_"&amp;$G$7</f>
        <v>yr_cnstrctn_to_be</v>
      </c>
      <c r="H369" s="75" t="str">
        <f>IF(VLOOKUP(B369,Instruções!$F$13:$J$17,5,0)="",
"(SELECT "&amp;VLOOKUP(B369,Instruções!$F$13:$J$17,4,0)&amp;" as "&amp;VLOOKUP(B369,Instruções!$F$13:$J$17,4,0)&amp;"_"&amp;$F$2&amp;", "&amp;E369&amp;" as "&amp;F369&amp;" FROM "&amp;C369&amp;" WHERE "&amp;Instruções!$D$20&amp;") A ",
"(SELECT "&amp;VLOOKUP(B369,Instruções!$F$13:$J$17,4,0)&amp;" as "&amp;VLOOKUP(B369,Instruções!$F$13:$J$17,4,0)&amp;"_"&amp;$F$2&amp;", "&amp;VLOOKUP(B369,Instruções!$F$13:$J$17,5,0)&amp;" as "&amp;VLOOKUP(B369,Instruções!$F$13:$J$17,5,0)&amp;"_"&amp;$F$2&amp;","&amp;E369&amp;" as "&amp;F369&amp;" FROM "&amp;C369&amp;" WHERE "&amp;Instruções!$D$20&amp;") A ")</f>
        <v xml:space="preserve">(SELECT prtctn_id as prtctn_id_, yr_cnstrctn as yr_cnstrctn_as_is FROM cd_loan_tapes_bce.lt004_protection WHERE ref_date='2024-09-30' AND nome_perimetro='Individual Corporativo' AND segmento='ESTR' AND ambito='PM' AND entidade='00100' ) A </v>
      </c>
      <c r="I369" s="75" t="str">
        <f>IF(VLOOKUP(B369,Instruções!$F$13:$J$17,5,0)="",
"(SELECT "&amp;VLOOKUP(B369,Instruções!$F$13:$J$17,4,0)&amp;" as "&amp;VLOOKUP(B369,Instruções!$F$13:$J$17,4,0)&amp;"_"&amp;$G$2&amp;", "&amp;E369&amp;" as "&amp;G369&amp;" FROM "&amp;D369&amp;" WHERE "&amp;Instruções!$D$21&amp;") B ",
"(SELECT "&amp;VLOOKUP(B369,Instruções!$F$13:$J$17,4,0)&amp;" as "&amp;VLOOKUP(B369,Instruções!$F$13:$J$17,4,0)&amp;"_"&amp;$G$2&amp;", "&amp;VLOOKUP(B369,Instruções!$F$13:$J$17,5,0)&amp;" as "&amp;VLOOKUP(B369,Instruções!$F$13:$J$17,5,0)&amp;"_"&amp;$G$2&amp;","&amp;E369&amp;" as "&amp;G369&amp;" FROM "&amp;D369&amp;" WHERE "&amp;Instruções!$D$21&amp;") B ")</f>
        <v xml:space="preserve">(SELECT prtctn_id as prtctn_id_, yr_cnstrctn as yr_cnstrctn_to_be FROM bu_loantape_work.lt004_protection WHERE ref_date='2024-09-30' AND nome_perimetro='Individual Corporativo' AND segmento='ESTR' AND ambito='PM' AND entidade='00100' ) B </v>
      </c>
      <c r="J369" s="75" t="str">
        <f>+IF(VLOOKUP(B369,Instruções!$F$13:$J$17,5,0)="", "ON "&amp;VLOOKUP(B369,Instruções!$F$13:$J$17,4,0)&amp;"_"&amp;$F$7&amp;"="&amp;VLOOKUP(B369,Instruções!$F$13:$J$17,4,0)&amp;"_"&amp;$G$7&amp;" ", "ON "&amp;VLOOKUP(B369,Instruções!$F$13:$J$17,4,0)&amp;"_"&amp;$F$7&amp;"="&amp;VLOOKUP(B369,Instruções!$F$13:$J$17,4,0)&amp;"_"&amp;$G$7&amp;" AND "&amp;VLOOKUP(B369,Instruções!$F$13:$J$17,5,0)&amp;"_"&amp;$F$7&amp;"="&amp;VLOOKUP(B369,Instruções!$F$13:$J$17,5,0)&amp;"_"&amp;$G$7&amp;" ")</f>
        <v xml:space="preserve">ON prtctn_id_as_is=prtctn_id_to_be </v>
      </c>
      <c r="K369" s="75" t="str">
        <f t="shared" si="60"/>
        <v xml:space="preserve">WHERE coalesce(cast(yr_cnstrctn_as_is AS string),'')&lt;&gt;coalesce(cast(yr_cnstrctn_to_be AS string),'') </v>
      </c>
      <c r="L369" s="75" t="str">
        <f t="shared" si="61"/>
        <v xml:space="preserve">SELECT count(*) AS NUM_REG_DIF FROM (SELECT prtctn_id as prtctn_id_, yr_cnstrctn as yr_cnstrctn_as_is FROM cd_loan_tapes_bce.lt004_protection WHERE ref_date='2024-09-30' AND nome_perimetro='Individual Corporativo' AND segmento='ESTR' AND ambito='PM' AND entidade='00100' ) A  Inner join (SELECT prtctn_id as prtctn_id_, yr_cnstrctn as yr_cnstrctn_to_be FROM bu_loantape_work.lt004_protection WHERE ref_date='2024-09-30' AND nome_perimetro='Individual Corporativo' AND segmento='ESTR' AND ambito='PM' AND entidade='00100' ) B ON prtctn_id_as_is=prtctn_id_to_be WHERE coalesce(cast(yr_cnstrctn_as_is AS string),'')&lt;&gt;coalesce(cast(yr_cnstrctn_to_be AS string),'') </v>
      </c>
      <c r="M369" s="75" t="s">
        <v>55</v>
      </c>
      <c r="N369" s="75" t="str">
        <f>"SELECT 'Validação de campos' as tipologia_teste, '"&amp;VLOOKUP(B369,Instruções!$F$13:$J$17,3,0)&amp;"' AS TABELA, '"&amp;E369&amp;"' AS CAMPO, '"&amp;Instruções!$D$15&amp;"' as ref_date, coalesce(NUM_REG_DIF, 0) AS NUM_REG_DIF FROM ("&amp;L369&amp;") A "</f>
        <v xml:space="preserve">SELECT 'Validação de campos' as tipologia_teste, 'lt004_protection' AS TABELA, 'yr_cnstrctn' AS CAMPO, '2024-09-30' as ref_date, coalesce(NUM_REG_DIF, 0) AS NUM_REG_DIF FROM (SELECT count(*) AS NUM_REG_DIF FROM (SELECT prtctn_id as prtctn_id_, yr_cnstrctn as yr_cnstrctn_as_is FROM cd_loan_tapes_bce.lt004_protection WHERE ref_date='2024-09-30' AND nome_perimetro='Individual Corporativo' AND segmento='ESTR' AND ambito='PM' AND entidade='00100' ) A  Inner join (SELECT prtctn_id as prtctn_id_, yr_cnstrctn as yr_cnstrctn_to_be FROM bu_loantape_work.lt004_protection WHERE ref_date='2024-09-30' AND nome_perimetro='Individual Corporativo' AND segmento='ESTR' AND ambito='PM' AND entidade='00100' ) B ON prtctn_id_as_is=prtctn_id_to_be WHERE coalesce(cast(yr_cnstrctn_as_is AS string),'')&lt;&gt;coalesce(cast(yr_cnstrctn_to_be AS string),'') ) A </v>
      </c>
      <c r="O369" s="76" t="str">
        <f t="shared" si="55"/>
        <v xml:space="preserve">SELECT 'Validação de campos' as tipologia_teste, 'lt004_protection' AS TABELA, 'yr_cnstrctn' AS CAMPO, '2024-09-30' as ref_date, coalesce(NUM_REG_DIF, 0) AS NUM_REG_DIF FROM (SELECT count(*) AS NUM_REG_DIF FROM (SELECT prtctn_id as prtctn_id_, yr_cnstrctn as yr_cnstrctn_as_is FROM cd_loan_tapes_bce.lt004_protection WHERE ref_date='2024-09-30' AND nome_perimetro='Individual Corporativo' AND segmento='ESTR' AND ambito='PM' AND entidade='00100' ) A  Inner join (SELECT prtctn_id as prtctn_id_, yr_cnstrctn as yr_cnstrctn_to_be FROM bu_loantape_work.lt004_protection WHERE ref_date='2024-09-30' AND nome_perimetro='Individual Corporativo' AND segmento='ESTR' AND ambito='PM' AND entidade='00100' ) B ON prtctn_id_as_is=prtctn_id_to_be WHERE coalesce(cast(yr_cnstrctn_as_is AS string),'')&lt;&gt;coalesce(cast(yr_cnstrctn_to_be AS string),'') ) A </v>
      </c>
      <c r="P369" s="75">
        <f t="shared" si="62"/>
        <v>4</v>
      </c>
    </row>
    <row r="370" spans="2:16" ht="16.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63"/>
      <c r="M370" s="99"/>
      <c r="N370" s="99"/>
      <c r="O370" s="99"/>
      <c r="P370" s="99"/>
    </row>
    <row r="371" spans="2:16" ht="16.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63"/>
      <c r="M371" s="99"/>
      <c r="N371" s="99"/>
      <c r="O371" s="99"/>
      <c r="P371" s="99"/>
    </row>
  </sheetData>
  <pageMargins left="0.7" right="0.7" top="0.75" bottom="0.75" header="0.3" footer="0.3"/>
  <ignoredErrors>
    <ignoredError sqref="P9:P58 P60 P366:P369 P162:P211 P111:P160 P213:P262 P264:P313 P315:P352 K365 K314 H313:N313 H315:N364 H314:J314 L314:N314 H366:N369 H365:J365 L365:N365 K212 K161 K110 K59 K9 M9 H10:N58 H9:J9 N9 L9 H60:N109 H59:J59 L59:N59 H111:N160 H110:J110 L110:N110 H162:N211 H161:J161 L161:N161 H213:N312 H212:J212 L212:N21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725-5D16-414E-B656-820B5A206E4F}">
  <dimension ref="B2:J20"/>
  <sheetViews>
    <sheetView zoomScale="70" zoomScaleNormal="70" workbookViewId="0">
      <selection activeCell="A23" sqref="A23"/>
    </sheetView>
  </sheetViews>
  <sheetFormatPr defaultRowHeight="13.9" outlineLevelRow="1"/>
  <cols>
    <col min="3" max="3" width="23.25" customWidth="1"/>
    <col min="4" max="4" width="94.375" bestFit="1" customWidth="1"/>
    <col min="7" max="7" width="20" bestFit="1" customWidth="1"/>
    <col min="8" max="8" width="17.375" bestFit="1" customWidth="1"/>
    <col min="9" max="9" width="9.875" bestFit="1" customWidth="1"/>
    <col min="10" max="10" width="7.875" bestFit="1" customWidth="1"/>
  </cols>
  <sheetData>
    <row r="2" spans="2:10">
      <c r="B2" s="1" t="s">
        <v>392</v>
      </c>
    </row>
    <row r="3" spans="2:10">
      <c r="B3" t="s">
        <v>393</v>
      </c>
    </row>
    <row r="4" spans="2:10" outlineLevel="1"/>
    <row r="5" spans="2:10" outlineLevel="1">
      <c r="C5" s="3" t="s">
        <v>394</v>
      </c>
      <c r="D5" s="47" t="s">
        <v>10</v>
      </c>
      <c r="F5" s="3" t="s">
        <v>395</v>
      </c>
      <c r="G5" s="4" t="s">
        <v>396</v>
      </c>
      <c r="H5" s="4" t="s">
        <v>397</v>
      </c>
      <c r="I5" s="4" t="s">
        <v>7</v>
      </c>
      <c r="J5" s="5" t="s">
        <v>8</v>
      </c>
    </row>
    <row r="6" spans="2:10" outlineLevel="1">
      <c r="C6" s="11" t="s">
        <v>398</v>
      </c>
      <c r="D6" s="12" t="s">
        <v>15</v>
      </c>
      <c r="F6" s="6" t="s">
        <v>11</v>
      </c>
      <c r="G6" t="s">
        <v>12</v>
      </c>
      <c r="H6" t="s">
        <v>12</v>
      </c>
      <c r="I6" t="s">
        <v>13</v>
      </c>
      <c r="J6" s="7"/>
    </row>
    <row r="7" spans="2:10" outlineLevel="1">
      <c r="C7" s="11" t="s">
        <v>19</v>
      </c>
      <c r="D7" s="13" t="s">
        <v>20</v>
      </c>
      <c r="F7" s="6" t="s">
        <v>16</v>
      </c>
      <c r="G7" t="s">
        <v>17</v>
      </c>
      <c r="H7" t="s">
        <v>17</v>
      </c>
      <c r="I7" t="s">
        <v>18</v>
      </c>
      <c r="J7" s="7" t="s">
        <v>13</v>
      </c>
    </row>
    <row r="8" spans="2:10" outlineLevel="1">
      <c r="C8" s="11" t="s">
        <v>24</v>
      </c>
      <c r="D8" s="12" t="s">
        <v>25</v>
      </c>
      <c r="F8" s="6" t="s">
        <v>21</v>
      </c>
      <c r="G8" t="s">
        <v>22</v>
      </c>
      <c r="H8" t="s">
        <v>22</v>
      </c>
      <c r="I8" t="s">
        <v>18</v>
      </c>
      <c r="J8" s="7" t="s">
        <v>23</v>
      </c>
    </row>
    <row r="9" spans="2:10" outlineLevel="1">
      <c r="C9" s="11" t="s">
        <v>28</v>
      </c>
      <c r="D9" s="12" t="s">
        <v>29</v>
      </c>
      <c r="F9" s="6" t="s">
        <v>26</v>
      </c>
      <c r="G9" t="s">
        <v>27</v>
      </c>
      <c r="H9" t="s">
        <v>27</v>
      </c>
      <c r="I9" t="s">
        <v>18</v>
      </c>
      <c r="J9" s="7"/>
    </row>
    <row r="10" spans="2:10" outlineLevel="1">
      <c r="C10" s="11" t="s">
        <v>32</v>
      </c>
      <c r="D10" s="12" t="s">
        <v>33</v>
      </c>
      <c r="F10" s="8" t="s">
        <v>30</v>
      </c>
      <c r="G10" s="9" t="s">
        <v>31</v>
      </c>
      <c r="H10" s="9" t="s">
        <v>31</v>
      </c>
      <c r="I10" s="9" t="s">
        <v>23</v>
      </c>
      <c r="J10" s="10"/>
    </row>
    <row r="11" spans="2:10" outlineLevel="1">
      <c r="C11" s="11" t="s">
        <v>34</v>
      </c>
      <c r="D11" s="12" t="s">
        <v>33</v>
      </c>
    </row>
    <row r="12" spans="2:10" outlineLevel="1">
      <c r="C12" s="14" t="s">
        <v>399</v>
      </c>
      <c r="D12" s="10" t="str">
        <f>"ref_date='"&amp;$D$7&amp;"' AND nome_perimetro= '"&amp;$D$8&amp;"' AND segmento= '"&amp;$D$9&amp;"' AND ambito= '"&amp;$D$10&amp;"' AND entidade='00100' "</f>
        <v xml:space="preserve">ref_date='2024-09-30' AND nome_perimetro= 'Individual Corporativo' AND segmento= 'ESTR' AND ambito= 'PM' AND entidade='00100' </v>
      </c>
    </row>
    <row r="13" spans="2:10" outlineLevel="1">
      <c r="C13" s="14" t="s">
        <v>400</v>
      </c>
      <c r="D13" s="10" t="str">
        <f>"ref_date='"&amp;$D$7&amp;"' AND nome_perimetro= '"&amp;$D$8&amp;"' AND segmento= '"&amp;$D$9&amp;"' AND ambito= '"&amp;$D$11&amp;"' AND entidade='00100' "</f>
        <v xml:space="preserve">ref_date='2024-09-30' AND nome_perimetro= 'Individual Corporativo' AND segmento= 'ESTR' AND ambito= 'PM' AND entidade='00100' </v>
      </c>
    </row>
    <row r="14" spans="2:10" outlineLevel="1">
      <c r="B14" s="1"/>
    </row>
    <row r="15" spans="2:10" outlineLevel="1">
      <c r="B15" s="2"/>
    </row>
    <row r="16" spans="2:10">
      <c r="B16" t="s">
        <v>401</v>
      </c>
    </row>
    <row r="17" spans="2:3">
      <c r="B17" s="1"/>
    </row>
    <row r="19" spans="2:3">
      <c r="B19" s="48" t="s">
        <v>402</v>
      </c>
      <c r="C19" s="48"/>
    </row>
    <row r="20" spans="2:3">
      <c r="B20" s="48" t="s">
        <v>403</v>
      </c>
      <c r="C20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7311-D865-4CD4-8D8B-AE4589BDDC65}">
  <dimension ref="B2:P345"/>
  <sheetViews>
    <sheetView showGridLines="0" zoomScale="80" zoomScaleNormal="80" workbookViewId="0">
      <pane xSplit="2" ySplit="3" topLeftCell="H4" activePane="bottomRight" state="frozen"/>
      <selection pane="bottomRight" activeCell="N4" sqref="N4"/>
      <selection pane="bottomLeft" activeCell="A23" sqref="A23"/>
      <selection pane="topRight" activeCell="A23" sqref="A23"/>
    </sheetView>
  </sheetViews>
  <sheetFormatPr defaultRowHeight="13.9"/>
  <cols>
    <col min="1" max="1" width="2.75" customWidth="1"/>
    <col min="2" max="2" width="13.5" customWidth="1"/>
    <col min="3" max="3" width="35.75" bestFit="1" customWidth="1"/>
    <col min="4" max="4" width="37.25" customWidth="1"/>
    <col min="5" max="5" width="38.125" customWidth="1"/>
    <col min="6" max="6" width="36.25" bestFit="1" customWidth="1"/>
    <col min="7" max="7" width="36.375" bestFit="1" customWidth="1"/>
    <col min="8" max="8" width="17.875" bestFit="1" customWidth="1"/>
    <col min="9" max="9" width="17.25" bestFit="1" customWidth="1"/>
    <col min="10" max="10" width="14.25" bestFit="1" customWidth="1"/>
    <col min="13" max="13" width="17.25" bestFit="1" customWidth="1"/>
    <col min="15" max="15" width="15.375" customWidth="1"/>
  </cols>
  <sheetData>
    <row r="2" spans="2:16">
      <c r="F2" s="50" t="s">
        <v>41</v>
      </c>
      <c r="G2" s="50" t="s">
        <v>42</v>
      </c>
    </row>
    <row r="3" spans="2:16">
      <c r="B3" s="49" t="s">
        <v>395</v>
      </c>
      <c r="C3" s="16" t="s">
        <v>404</v>
      </c>
      <c r="D3" s="16" t="s">
        <v>405</v>
      </c>
      <c r="E3" s="49" t="s">
        <v>406</v>
      </c>
      <c r="F3" s="16" t="s">
        <v>407</v>
      </c>
      <c r="G3" s="16" t="s">
        <v>408</v>
      </c>
      <c r="H3" s="16" t="s">
        <v>409</v>
      </c>
      <c r="I3" s="16" t="s">
        <v>410</v>
      </c>
      <c r="J3" s="16" t="s">
        <v>411</v>
      </c>
      <c r="K3" s="16" t="s">
        <v>412</v>
      </c>
      <c r="L3" s="16" t="s">
        <v>413</v>
      </c>
      <c r="M3" s="16" t="s">
        <v>35</v>
      </c>
      <c r="N3" s="16" t="s">
        <v>414</v>
      </c>
      <c r="O3" s="16" t="s">
        <v>415</v>
      </c>
      <c r="P3" s="16" t="s">
        <v>416</v>
      </c>
    </row>
    <row r="4" spans="2:16" s="15" customFormat="1" ht="11.45">
      <c r="B4" s="17" t="s">
        <v>11</v>
      </c>
      <c r="C4" s="17" t="str">
        <f>_xlfn.CONCAT(Instruções!$D$13,".",VLOOKUP(B4,Instruções!$F$12:$H$17,2,0))</f>
        <v>cd_loan_tapes_bce.lt003_entity</v>
      </c>
      <c r="D4" s="17" t="str">
        <f>_xlfn.CONCAT(Instruções!$D$14,".",VLOOKUP(B4,Instruções!$F$12:$H$17,3,0))</f>
        <v>bu_loantape_work.lt003_entity</v>
      </c>
      <c r="E4" s="17" t="s">
        <v>54</v>
      </c>
      <c r="F4" s="17" t="str">
        <f>E4&amp;"_"&amp;$F$2</f>
        <v>accntng_frmwrk_sl_as_is</v>
      </c>
      <c r="G4" s="17" t="str">
        <f>E4&amp;"_"&amp;$G$2</f>
        <v>accntng_frmwrk_sl_to_be</v>
      </c>
      <c r="H4" s="17" t="str">
        <f>IF(VLOOKUP(B4,Instruções!$F$13:$J$17,5,0)="",
"(SELECT "&amp;VLOOKUP(B4,Instruções!$F$13:$J$17,4,0)&amp;" as "&amp;VLOOKUP(B4,Instruções!$F$13:$J$17,4,0)&amp;"_"&amp;$F$2&amp;", "&amp;E4&amp;" as "&amp;F4&amp;" FROM "&amp;C4&amp;" WHERE "&amp;Instruções!$D$20&amp;") A ",
"(SELECT "&amp;VLOOKUP(B4,Instruções!$F$13:$J$17,4,0)&amp;" as "&amp;VLOOKUP(B4,Instruções!$F$13:$J$17,4,0)&amp;"_"&amp;$F$2&amp;", "&amp;VLOOKUP(B4,Instruções!$F$13:$J$17,5,0)&amp;" as "&amp;VLOOKUP(B4,Instruções!$F$13:$J$17,5,0)&amp;"_"&amp;$F$2&amp;","&amp;E4&amp;" as "&amp;F4&amp;" FROM "&amp;C4&amp;" WHERE "&amp;Instruções!$D$20&amp;") A ")</f>
        <v xml:space="preserve">(SELECT entty_id as entty_id_as_is, accntng_frmwrk_sl as accntng_frmwrk_sl_as_is FROM cd_loan_tapes_bce.lt003_entity WHERE ref_date='2024-09-30' AND nome_perimetro='Individual Corporativo' AND segmento='ESTR' AND ambito='PM' AND entidade='00100' ) A </v>
      </c>
      <c r="I4" s="17" t="str">
        <f>IF(VLOOKUP(B4,Instruções!$F$13:$J$17,5,0)="",
"(SELECT "&amp;VLOOKUP(B4,Instruções!$F$13:$J$17,4,0)&amp;" as "&amp;VLOOKUP(B4,Instruções!$F$13:$J$17,4,0)&amp;"_"&amp;$G$2&amp;", "&amp;E4&amp;" as "&amp;G4&amp;" FROM "&amp;D4&amp;" WHERE "&amp;Instruções!$D$21&amp;") B ",
"(SELECT "&amp;VLOOKUP(B4,Instruções!$F$13:$J$17,4,0)&amp;" as "&amp;VLOOKUP(B4,Instruções!$F$13:$J$17,4,0)&amp;"_"&amp;$G$2&amp;", "&amp;VLOOKUP(B4,Instruções!$F$13:$J$17,5,0)&amp;" as "&amp;VLOOKUP(B4,Instruções!$F$13:$J$17,5,0)&amp;"_"&amp;$G$2&amp;","&amp;E4&amp;" as "&amp;G4&amp;" FROM "&amp;D4&amp;" WHERE "&amp;Instruções!$D$21&amp;") B ")</f>
        <v xml:space="preserve">(SELECT entty_id as entty_id_to_be, accntng_frmwrk_sl as accntng_frmwrk_sl_to_be FROM bu_loantape_work.lt003_entity WHERE ref_date='2024-09-30' AND nome_perimetro='Individual Corporativo' AND segmento='ESTR' AND ambito='PM' AND entidade='00100' ) B </v>
      </c>
      <c r="J4" s="17" t="str">
        <f>IF(VLOOKUP(B4,Instruções!$F$13:$J$17,5,0)="",
"ON "&amp;VLOOKUP(B4,Instruções!$F$13:$J$17,4,0)&amp;"_"&amp;$F$2&amp;" = "&amp;VLOOKUP(B4,Instruções!$F$13:$J$17,4,0)&amp;"_"&amp;$G$2&amp;" ",
"ON "&amp;VLOOKUP(B4,Instruções!$F$13:$J$17,4,0)&amp;"_"&amp;$F$2&amp;" = "&amp;VLOOKUP(B4,Instruções!$F$13:$J$17,4,0)&amp;"_"&amp;$G$2&amp;" AND "&amp;VLOOKUP(B4,Instruções!$F$13:$J$17,5,0)&amp;"_"&amp;$F$2&amp;" = "&amp;VLOOKUP(B4,Instruções!$F$13:$J$17,5,0)&amp;"_"&amp;$G$2&amp;" ")</f>
        <v xml:space="preserve">ON entty_id_as_is = entty_id_to_be </v>
      </c>
      <c r="K4" s="17" t="str">
        <f>"WHERE coalesce(cast("&amp;F4&amp;" as string), '') &lt;&gt; coalesce(cast("&amp;G4&amp;" as string), '') "</f>
        <v xml:space="preserve">WHERE coalesce(cast(accntng_frmwrk_sl_as_is as string), '') &lt;&gt; coalesce(cast(accntng_frmwrk_sl_to_be as string), '') </v>
      </c>
      <c r="L4" s="17" t="str">
        <f>"SELECT count(*) AS NUM_REG_DIF FROM "&amp;H4&amp;" Inner join "&amp;I4&amp;J4&amp;K4</f>
        <v xml:space="preserve">SELECT count(*) AS NUM_REG_DIF FROM (SELECT entty_id as entty_id_as_is, accntng_frmwrk_sl as accntng_frmwrk_sl_as_is FROM cd_loan_tapes_bce.lt003_entity WHERE ref_date='2024-09-30' AND nome_perimetro='Individual Corporativo' AND segmento='ESTR' AND ambito='PM' AND entidade='00100' ) A  Inner join (SELECT entty_id as entty_id_to_be, accntng_frmwrk_sl as accntng_frmwrk_sl_to_be FROM bu_loantape_work.lt003_entity WHERE ref_date='2024-09-30' AND nome_perimetro='Individual Corporativo' AND segmento='ESTR' AND ambito='PM' AND entidade='00100' ) B ON entty_id_as_is = entty_id_to_be WHERE coalesce(cast(accntng_frmwrk_sl_as_is as string), '') &lt;&gt; coalesce(cast(accntng_frmwrk_sl_to_be as string), '') </v>
      </c>
      <c r="M4" s="17" t="s">
        <v>55</v>
      </c>
      <c r="N4" s="17" t="str">
        <f>"SELECT 'Validação de campos' as tipologia_teste, '"&amp;VLOOKUP(B4,Instruções!$F$13:$J$17,3,0)&amp;"' AS TABELA, '"&amp;E4&amp;"' AS CAMPO, '"&amp;Instruções!$D$15&amp;"' as ref_date, coalesce(NUM_REG_DIF, 0) AS NUM_REG_DIF FROM ("&amp;L4&amp;") A "</f>
        <v xml:space="preserve">SELECT 'Validação de campos' as tipologia_teste, 'lt003_entity' AS TABELA, 'accntng_frmwrk_sl' AS CAMPO, '2024-09-30' as ref_date, coalesce(NUM_REG_DIF, 0) AS NUM_REG_DIF FROM (SELECT count(*) AS NUM_REG_DIF FROM (SELECT entty_id as entty_id_as_is, accntng_frmwrk_sl as accntng_frmwrk_sl_as_is FROM cd_loan_tapes_bce.lt003_entity WHERE ref_date='2024-09-30' AND nome_perimetro='Individual Corporativo' AND segmento='ESTR' AND ambito='PM' AND entidade='00100' ) A  Inner join (SELECT entty_id as entty_id_to_be, accntng_frmwrk_sl as accntng_frmwrk_sl_to_be FROM bu_loantape_work.lt003_entity WHERE ref_date='2024-09-30' AND nome_perimetro='Individual Corporativo' AND segmento='ESTR' AND ambito='PM' AND entidade='00100' ) B ON entty_id_as_is = entty_id_to_be WHERE coalesce(cast(accntng_frmwrk_sl_as_is as string), '') &lt;&gt; coalesce(cast(accntng_frmwrk_sl_to_be as string), '') ) A </v>
      </c>
      <c r="O4" s="19" t="str">
        <f>IF(O5="",N4,N4&amp;$O$3)</f>
        <v>SELECT 'Validação de campos' as tipologia_teste, 'lt003_entity' AS TABELA, 'accntng_frmwrk_sl' AS CAMPO, '2024-09-30' as ref_date, coalesce(NUM_REG_DIF, 0) AS NUM_REG_DIF FROM (SELECT count(*) AS NUM_REG_DIF FROM (SELECT entty_id as entty_id_as_is, accntng_frmwrk_sl as accntng_frmwrk_sl_as_is FROM cd_loan_tapes_bce.lt003_entity WHERE ref_date='2024-09-30' AND nome_perimetro='Individual Corporativo' AND segmento='ESTR' AND ambito='PM' AND entidade='00100' ) A  Inner join (SELECT entty_id as entty_id_to_be, accntng_frmwrk_sl as accntng_frmwrk_sl_to_be FROM bu_loantape_work.lt003_entity WHERE ref_date='2024-09-30' AND nome_perimetro='Individual Corporativo' AND segmento='ESTR' AND ambito='PM' AND entidade='00100' ) B ON entty_id_as_is = entty_id_to_be WHERE coalesce(cast(accntng_frmwrk_sl_as_is as string), '') &lt;&gt; coalesce(cast(accntng_frmwrk_sl_to_be as string), '') ) A UNION ALL</v>
      </c>
      <c r="P4" s="17">
        <f>1</f>
        <v>1</v>
      </c>
    </row>
    <row r="5" spans="2:16" s="15" customFormat="1" ht="11.45">
      <c r="B5" s="17" t="s">
        <v>11</v>
      </c>
      <c r="C5" s="17" t="str">
        <f>_xlfn.CONCAT(Instruções!$D$13,".",VLOOKUP(B5,Instruções!$F$12:$H$17,2,0))</f>
        <v>cd_loan_tapes_bce.lt003_entity</v>
      </c>
      <c r="D5" s="17" t="str">
        <f>_xlfn.CONCAT(Instruções!$D$14,".",VLOOKUP(B5,Instruções!$F$12:$H$17,3,0))</f>
        <v>bu_loantape_work.lt003_entity</v>
      </c>
      <c r="E5" s="17" t="s">
        <v>56</v>
      </c>
      <c r="F5" s="17" t="str">
        <f t="shared" ref="F5:F53" si="0">E5&amp;"_"&amp;$F$2</f>
        <v>annl_trnvr_le_as_is</v>
      </c>
      <c r="G5" s="17" t="str">
        <f t="shared" ref="G5:G53" si="1">E5&amp;"_"&amp;$G$2</f>
        <v>annl_trnvr_le_to_be</v>
      </c>
      <c r="H5" s="17" t="str">
        <f>IF(VLOOKUP(B5,Instruções!$F$13:$J$17,5,0)="",
"(SELECT "&amp;VLOOKUP(B5,Instruções!$F$13:$J$17,4,0)&amp;" as "&amp;VLOOKUP(B5,Instruções!$F$13:$J$17,4,0)&amp;"_"&amp;$F$2&amp;", "&amp;E5&amp;" as "&amp;F5&amp;" FROM "&amp;C5&amp;" WHERE "&amp;Instruções!$D$20&amp;") A ",
"(SELECT "&amp;VLOOKUP(B5,Instruções!$F$13:$J$17,4,0)&amp;" as "&amp;VLOOKUP(B5,Instruções!$F$13:$J$17,4,0)&amp;"_"&amp;$F$2&amp;", "&amp;VLOOKUP(B5,Instruções!$F$13:$J$17,5,0)&amp;" as "&amp;VLOOKUP(B5,Instruções!$F$13:$J$17,5,0)&amp;"_"&amp;$F$2&amp;","&amp;E5&amp;" as "&amp;F5&amp;" FROM "&amp;C5&amp;" WHERE "&amp;Instruções!$D$20&amp;") A ")</f>
        <v xml:space="preserve">(SELECT entty_id as entty_id_as_is, annl_trnvr_le as annl_trnvr_le_as_is FROM cd_loan_tapes_bce.lt003_entity WHERE ref_date='2024-09-30' AND nome_perimetro='Individual Corporativo' AND segmento='ESTR' AND ambito='PM' AND entidade='00100' ) A </v>
      </c>
      <c r="I5" s="17" t="str">
        <f>IF(VLOOKUP(B5,Instruções!$F$13:$J$17,5,0)="",
"(SELECT "&amp;VLOOKUP(B5,Instruções!$F$13:$J$17,4,0)&amp;" as "&amp;VLOOKUP(B5,Instruções!$F$13:$J$17,4,0)&amp;"_"&amp;$G$2&amp;", "&amp;E5&amp;" as "&amp;G5&amp;" FROM "&amp;D5&amp;" WHERE "&amp;Instruções!$D$21&amp;") B ",
"(SELECT "&amp;VLOOKUP(B5,Instruções!$F$13:$J$17,4,0)&amp;" as "&amp;VLOOKUP(B5,Instruções!$F$13:$J$17,4,0)&amp;"_"&amp;$G$2&amp;", "&amp;VLOOKUP(B5,Instruções!$F$13:$J$17,5,0)&amp;" as "&amp;VLOOKUP(B5,Instruções!$F$13:$J$17,5,0)&amp;"_"&amp;$G$2&amp;","&amp;E5&amp;" as "&amp;G5&amp;" FROM "&amp;D5&amp;" WHERE "&amp;Instruções!$D$21&amp;") B ")</f>
        <v xml:space="preserve">(SELECT entty_id as entty_id_to_be, annl_trnvr_le as annl_trnvr_le_to_be FROM bu_loantape_work.lt003_entity WHERE ref_date='2024-09-30' AND nome_perimetro='Individual Corporativo' AND segmento='ESTR' AND ambito='PM' AND entidade='00100' ) B </v>
      </c>
      <c r="J5" s="17" t="str">
        <f>IF(VLOOKUP(B5,Instruções!$F$13:$J$17,5,0)="",
"ON "&amp;VLOOKUP(B5,Instruções!$F$13:$J$17,4,0)&amp;"_"&amp;$F$2&amp;" = "&amp;VLOOKUP(B5,Instruções!$F$13:$J$17,4,0)&amp;"_"&amp;$G$2&amp;" ",
"ON "&amp;VLOOKUP(B5,Instruções!$F$13:$J$17,4,0)&amp;"_"&amp;$F$2&amp;" = "&amp;VLOOKUP(B5,Instruções!$F$13:$J$17,4,0)&amp;"_"&amp;$G$2&amp;" AND "&amp;VLOOKUP(B5,Instruções!$F$13:$J$17,5,0)&amp;"_"&amp;$F$2&amp;" = "&amp;VLOOKUP(B5,Instruções!$F$13:$J$17,5,0)&amp;"_"&amp;$G$2&amp;" ")</f>
        <v xml:space="preserve">ON entty_id_as_is = entty_id_to_be </v>
      </c>
      <c r="K5" s="17" t="str">
        <f t="shared" ref="K5:K53" si="2">"WHERE coalesce(cast("&amp;F5&amp;" as string), '') &lt;&gt; coalesce(cast("&amp;G5&amp;" as string), '') "</f>
        <v xml:space="preserve">WHERE coalesce(cast(annl_trnvr_le_as_is as string), '') &lt;&gt; coalesce(cast(annl_trnvr_le_to_be as string), '') </v>
      </c>
      <c r="L5" s="17" t="str">
        <f t="shared" ref="L5:L53" si="3">"SELECT count(*) AS NUM_REG_DIF FROM "&amp;H5&amp;" Inner join "&amp;I5&amp;J5&amp;K5</f>
        <v xml:space="preserve">SELECT count(*) AS NUM_REG_DIF FROM (SELECT entty_id as entty_id_as_is, annl_trnvr_le as annl_trnvr_le_as_is FROM cd_loan_tapes_bce.lt003_entity WHERE ref_date='2024-09-30' AND nome_perimetro='Individual Corporativo' AND segmento='ESTR' AND ambito='PM' AND entidade='00100' ) A  Inner join (SELECT entty_id as entty_id_to_be, annl_trnvr_le as annl_trnvr_le_to_be FROM bu_loantape_work.lt003_entity WHERE ref_date='2024-09-30' AND nome_perimetro='Individual Corporativo' AND segmento='ESTR' AND ambito='PM' AND entidade='00100' ) B ON entty_id_as_is = entty_id_to_be WHERE coalesce(cast(annl_trnvr_le_as_is as string), '') &lt;&gt; coalesce(cast(annl_trnvr_le_to_be as string), '') </v>
      </c>
      <c r="M5" s="17" t="s">
        <v>55</v>
      </c>
      <c r="N5" s="17" t="str">
        <f>"SELECT 'Validação de campos' as tipologia_teste, '"&amp;VLOOKUP(B5,Instruções!$F$13:$J$17,3,0)&amp;"' AS TABELA, '"&amp;E5&amp;"' AS CAMPO, '"&amp;Instruções!$D$15&amp;"' as ref_date, coalesce(NUM_REG_DIF, 0) AS NUM_REG_DIF FROM ("&amp;L5&amp;") A "</f>
        <v xml:space="preserve">SELECT 'Validação de campos' as tipologia_teste, 'lt003_entity' AS TABELA, 'annl_trnvr_le' AS CAMPO, '2024-09-30' as ref_date, coalesce(NUM_REG_DIF, 0) AS NUM_REG_DIF FROM (SELECT count(*) AS NUM_REG_DIF FROM (SELECT entty_id as entty_id_as_is, annl_trnvr_le as annl_trnvr_le_as_is FROM cd_loan_tapes_bce.lt003_entity WHERE ref_date='2024-09-30' AND nome_perimetro='Individual Corporativo' AND segmento='ESTR' AND ambito='PM' AND entidade='00100' ) A  Inner join (SELECT entty_id as entty_id_to_be, annl_trnvr_le as annl_trnvr_le_to_be FROM bu_loantape_work.lt003_entity WHERE ref_date='2024-09-30' AND nome_perimetro='Individual Corporativo' AND segmento='ESTR' AND ambito='PM' AND entidade='00100' ) B ON entty_id_as_is = entty_id_to_be WHERE coalesce(cast(annl_trnvr_le_as_is as string), '') &lt;&gt; coalesce(cast(annl_trnvr_le_to_be as string), '') ) A </v>
      </c>
      <c r="O5" s="19" t="str">
        <f t="shared" ref="O5:O68" si="4">IF(O6="",N5,N5&amp;$O$3)</f>
        <v>SELECT 'Validação de campos' as tipologia_teste, 'lt003_entity' AS TABELA, 'annl_trnvr_le' AS CAMPO, '2024-09-30' as ref_date, coalesce(NUM_REG_DIF, 0) AS NUM_REG_DIF FROM (SELECT count(*) AS NUM_REG_DIF FROM (SELECT entty_id as entty_id_as_is, annl_trnvr_le as annl_trnvr_le_as_is FROM cd_loan_tapes_bce.lt003_entity WHERE ref_date='2024-09-30' AND nome_perimetro='Individual Corporativo' AND segmento='ESTR' AND ambito='PM' AND entidade='00100' ) A  Inner join (SELECT entty_id as entty_id_to_be, annl_trnvr_le as annl_trnvr_le_to_be FROM bu_loantape_work.lt003_entity WHERE ref_date='2024-09-30' AND nome_perimetro='Individual Corporativo' AND segmento='ESTR' AND ambito='PM' AND entidade='00100' ) B ON entty_id_as_is = entty_id_to_be WHERE coalesce(cast(annl_trnvr_le_as_is as string), '') &lt;&gt; coalesce(cast(annl_trnvr_le_to_be as string), '') ) A UNION ALL</v>
      </c>
      <c r="P5" s="17">
        <f>P4+1</f>
        <v>2</v>
      </c>
    </row>
    <row r="6" spans="2:16" s="15" customFormat="1" ht="11.45">
      <c r="B6" s="17" t="s">
        <v>11</v>
      </c>
      <c r="C6" s="17" t="str">
        <f>_xlfn.CONCAT(Instruções!$D$13,".",VLOOKUP(B6,Instruções!$F$12:$H$17,2,0))</f>
        <v>cd_loan_tapes_bce.lt003_entity</v>
      </c>
      <c r="D6" s="17" t="str">
        <f>_xlfn.CONCAT(Instruções!$D$14,".",VLOOKUP(B6,Instruções!$F$12:$H$17,3,0))</f>
        <v>bu_loantape_work.lt003_entity</v>
      </c>
      <c r="E6" s="17" t="s">
        <v>57</v>
      </c>
      <c r="F6" s="17" t="str">
        <f t="shared" si="0"/>
        <v>annl_trnvr_le_bdr_as_is</v>
      </c>
      <c r="G6" s="17" t="str">
        <f t="shared" si="1"/>
        <v>annl_trnvr_le_bdr_to_be</v>
      </c>
      <c r="H6" s="17" t="str">
        <f>IF(VLOOKUP(B6,Instruções!$F$13:$J$17,5,0)="",
"(SELECT "&amp;VLOOKUP(B6,Instruções!$F$13:$J$17,4,0)&amp;" as "&amp;VLOOKUP(B6,Instruções!$F$13:$J$17,4,0)&amp;"_"&amp;$F$2&amp;", "&amp;E6&amp;" as "&amp;F6&amp;" FROM "&amp;C6&amp;" WHERE "&amp;Instruções!$D$20&amp;") A ",
"(SELECT "&amp;VLOOKUP(B6,Instruções!$F$13:$J$17,4,0)&amp;" as "&amp;VLOOKUP(B6,Instruções!$F$13:$J$17,4,0)&amp;"_"&amp;$F$2&amp;", "&amp;VLOOKUP(B6,Instruções!$F$13:$J$17,5,0)&amp;" as "&amp;VLOOKUP(B6,Instruções!$F$13:$J$17,5,0)&amp;"_"&amp;$F$2&amp;","&amp;E6&amp;" as "&amp;F6&amp;" FROM "&amp;C6&amp;" WHERE "&amp;Instruções!$D$20&amp;") A ")</f>
        <v xml:space="preserve">(SELECT entty_id as entty_id_as_is, annl_trnvr_le_bdr as annl_trnvr_le_bdr_as_is FROM cd_loan_tapes_bce.lt003_entity WHERE ref_date='2024-09-30' AND nome_perimetro='Individual Corporativo' AND segmento='ESTR' AND ambito='PM' AND entidade='00100' ) A </v>
      </c>
      <c r="I6" s="17" t="str">
        <f>IF(VLOOKUP(B6,Instruções!$F$13:$J$17,5,0)="",
"(SELECT "&amp;VLOOKUP(B6,Instruções!$F$13:$J$17,4,0)&amp;" as "&amp;VLOOKUP(B6,Instruções!$F$13:$J$17,4,0)&amp;"_"&amp;$G$2&amp;", "&amp;E6&amp;" as "&amp;G6&amp;" FROM "&amp;D6&amp;" WHERE "&amp;Instruções!$D$21&amp;") B ",
"(SELECT "&amp;VLOOKUP(B6,Instruções!$F$13:$J$17,4,0)&amp;" as "&amp;VLOOKUP(B6,Instruções!$F$13:$J$17,4,0)&amp;"_"&amp;$G$2&amp;", "&amp;VLOOKUP(B6,Instruções!$F$13:$J$17,5,0)&amp;" as "&amp;VLOOKUP(B6,Instruções!$F$13:$J$17,5,0)&amp;"_"&amp;$G$2&amp;","&amp;E6&amp;" as "&amp;G6&amp;" FROM "&amp;D6&amp;" WHERE "&amp;Instruções!$D$21&amp;") B ")</f>
        <v xml:space="preserve">(SELECT entty_id as entty_id_to_be, annl_trnvr_le_bdr as annl_trnvr_le_bdr_to_be FROM bu_loantape_work.lt003_entity WHERE ref_date='2024-09-30' AND nome_perimetro='Individual Corporativo' AND segmento='ESTR' AND ambito='PM' AND entidade='00100' ) B </v>
      </c>
      <c r="J6" s="17" t="str">
        <f>IF(VLOOKUP(B6,Instruções!$F$13:$J$17,5,0)="",
"ON "&amp;VLOOKUP(B6,Instruções!$F$13:$J$17,4,0)&amp;"_"&amp;$F$2&amp;" = "&amp;VLOOKUP(B6,Instruções!$F$13:$J$17,4,0)&amp;"_"&amp;$G$2&amp;" ",
"ON "&amp;VLOOKUP(B6,Instruções!$F$13:$J$17,4,0)&amp;"_"&amp;$F$2&amp;" = "&amp;VLOOKUP(B6,Instruções!$F$13:$J$17,4,0)&amp;"_"&amp;$G$2&amp;" AND "&amp;VLOOKUP(B6,Instruções!$F$13:$J$17,5,0)&amp;"_"&amp;$F$2&amp;" = "&amp;VLOOKUP(B6,Instruções!$F$13:$J$17,5,0)&amp;"_"&amp;$G$2&amp;" ")</f>
        <v xml:space="preserve">ON entty_id_as_is = entty_id_to_be </v>
      </c>
      <c r="K6" s="17" t="str">
        <f t="shared" si="2"/>
        <v xml:space="preserve">WHERE coalesce(cast(annl_trnvr_le_bdr_as_is as string), '') &lt;&gt; coalesce(cast(annl_trnvr_le_bdr_to_be as string), '') </v>
      </c>
      <c r="L6" s="17" t="str">
        <f t="shared" si="3"/>
        <v xml:space="preserve">SELECT count(*) AS NUM_REG_DIF FROM (SELECT entty_id as entty_id_as_is, annl_trnvr_le_bdr as annl_trnvr_le_bdr_as_is FROM cd_loan_tapes_bce.lt003_entity WHERE ref_date='2024-09-30' AND nome_perimetro='Individual Corporativo' AND segmento='ESTR' AND ambito='PM' AND entidade='00100' ) A  Inner join (SELECT entty_id as entty_id_to_be, annl_trnvr_le_bdr as annl_trnvr_le_bdr_to_be FROM bu_loantape_work.lt003_entity WHERE ref_date='2024-09-30' AND nome_perimetro='Individual Corporativo' AND segmento='ESTR' AND ambito='PM' AND entidade='00100' ) B ON entty_id_as_is = entty_id_to_be WHERE coalesce(cast(annl_trnvr_le_bdr_as_is as string), '') &lt;&gt; coalesce(cast(annl_trnvr_le_bdr_to_be as string), '') </v>
      </c>
      <c r="M6" s="17" t="s">
        <v>55</v>
      </c>
      <c r="N6" s="17" t="str">
        <f>"SELECT 'Validação de campos' as tipologia_teste, '"&amp;VLOOKUP(B6,Instruções!$F$13:$J$17,3,0)&amp;"' AS TABELA, '"&amp;E6&amp;"' AS CAMPO, '"&amp;Instruções!$D$15&amp;"' as ref_date, coalesce(NUM_REG_DIF, 0) AS NUM_REG_DIF FROM ("&amp;L6&amp;") A "</f>
        <v xml:space="preserve">SELECT 'Validação de campos' as tipologia_teste, 'lt003_entity' AS TABELA, 'annl_trnvr_le_bdr' AS CAMPO, '2024-09-30' as ref_date, coalesce(NUM_REG_DIF, 0) AS NUM_REG_DIF FROM (SELECT count(*) AS NUM_REG_DIF FROM (SELECT entty_id as entty_id_as_is, annl_trnvr_le_bdr as annl_trnvr_le_bdr_as_is FROM cd_loan_tapes_bce.lt003_entity WHERE ref_date='2024-09-30' AND nome_perimetro='Individual Corporativo' AND segmento='ESTR' AND ambito='PM' AND entidade='00100' ) A  Inner join (SELECT entty_id as entty_id_to_be, annl_trnvr_le_bdr as annl_trnvr_le_bdr_to_be FROM bu_loantape_work.lt003_entity WHERE ref_date='2024-09-30' AND nome_perimetro='Individual Corporativo' AND segmento='ESTR' AND ambito='PM' AND entidade='00100' ) B ON entty_id_as_is = entty_id_to_be WHERE coalesce(cast(annl_trnvr_le_bdr_as_is as string), '') &lt;&gt; coalesce(cast(annl_trnvr_le_bdr_to_be as string), '') ) A </v>
      </c>
      <c r="O6" s="19" t="str">
        <f t="shared" si="4"/>
        <v>SELECT 'Validação de campos' as tipologia_teste, 'lt003_entity' AS TABELA, 'annl_trnvr_le_bdr' AS CAMPO, '2024-09-30' as ref_date, coalesce(NUM_REG_DIF, 0) AS NUM_REG_DIF FROM (SELECT count(*) AS NUM_REG_DIF FROM (SELECT entty_id as entty_id_as_is, annl_trnvr_le_bdr as annl_trnvr_le_bdr_as_is FROM cd_loan_tapes_bce.lt003_entity WHERE ref_date='2024-09-30' AND nome_perimetro='Individual Corporativo' AND segmento='ESTR' AND ambito='PM' AND entidade='00100' ) A  Inner join (SELECT entty_id as entty_id_to_be, annl_trnvr_le_bdr as annl_trnvr_le_bdr_to_be FROM bu_loantape_work.lt003_entity WHERE ref_date='2024-09-30' AND nome_perimetro='Individual Corporativo' AND segmento='ESTR' AND ambito='PM' AND entidade='00100' ) B ON entty_id_as_is = entty_id_to_be WHERE coalesce(cast(annl_trnvr_le_bdr_as_is as string), '') &lt;&gt; coalesce(cast(annl_trnvr_le_bdr_to_be as string), '') ) A UNION ALL</v>
      </c>
      <c r="P6" s="17">
        <f t="shared" ref="P6:P69" si="5">P5+1</f>
        <v>3</v>
      </c>
    </row>
    <row r="7" spans="2:16" s="15" customFormat="1" ht="11.45">
      <c r="B7" s="17" t="s">
        <v>11</v>
      </c>
      <c r="C7" s="17" t="str">
        <f>_xlfn.CONCAT(Instruções!$D$13,".",VLOOKUP(B7,Instruções!$F$12:$H$17,2,0))</f>
        <v>cd_loan_tapes_bce.lt003_entity</v>
      </c>
      <c r="D7" s="17" t="str">
        <f>_xlfn.CONCAT(Instruções!$D$14,".",VLOOKUP(B7,Instruções!$F$12:$H$17,3,0))</f>
        <v>bu_loantape_work.lt003_entity</v>
      </c>
      <c r="E7" s="17" t="s">
        <v>58</v>
      </c>
      <c r="F7" s="17" t="str">
        <f t="shared" si="0"/>
        <v>annl_trnvr_prvs_as_is</v>
      </c>
      <c r="G7" s="17" t="str">
        <f t="shared" si="1"/>
        <v>annl_trnvr_prvs_to_be</v>
      </c>
      <c r="H7" s="17" t="str">
        <f>IF(VLOOKUP(B7,Instruções!$F$13:$J$17,5,0)="",
"(SELECT "&amp;VLOOKUP(B7,Instruções!$F$13:$J$17,4,0)&amp;" as "&amp;VLOOKUP(B7,Instruções!$F$13:$J$17,4,0)&amp;"_"&amp;$F$2&amp;", "&amp;E7&amp;" as "&amp;F7&amp;" FROM "&amp;C7&amp;" WHERE "&amp;Instruções!$D$20&amp;") A ",
"(SELECT "&amp;VLOOKUP(B7,Instruções!$F$13:$J$17,4,0)&amp;" as "&amp;VLOOKUP(B7,Instruções!$F$13:$J$17,4,0)&amp;"_"&amp;$F$2&amp;", "&amp;VLOOKUP(B7,Instruções!$F$13:$J$17,5,0)&amp;" as "&amp;VLOOKUP(B7,Instruções!$F$13:$J$17,5,0)&amp;"_"&amp;$F$2&amp;","&amp;E7&amp;" as "&amp;F7&amp;" FROM "&amp;C7&amp;" WHERE "&amp;Instruções!$D$20&amp;") A ")</f>
        <v xml:space="preserve">(SELECT entty_id as entty_id_as_is, annl_trnvr_prvs as annl_trnvr_prvs_as_is FROM cd_loan_tapes_bce.lt003_entity WHERE ref_date='2024-09-30' AND nome_perimetro='Individual Corporativo' AND segmento='ESTR' AND ambito='PM' AND entidade='00100' ) A </v>
      </c>
      <c r="I7" s="17" t="str">
        <f>IF(VLOOKUP(B7,Instruções!$F$13:$J$17,5,0)="",
"(SELECT "&amp;VLOOKUP(B7,Instruções!$F$13:$J$17,4,0)&amp;" as "&amp;VLOOKUP(B7,Instruções!$F$13:$J$17,4,0)&amp;"_"&amp;$G$2&amp;", "&amp;E7&amp;" as "&amp;G7&amp;" FROM "&amp;D7&amp;" WHERE "&amp;Instruções!$D$21&amp;") B ",
"(SELECT "&amp;VLOOKUP(B7,Instruções!$F$13:$J$17,4,0)&amp;" as "&amp;VLOOKUP(B7,Instruções!$F$13:$J$17,4,0)&amp;"_"&amp;$G$2&amp;", "&amp;VLOOKUP(B7,Instruções!$F$13:$J$17,5,0)&amp;" as "&amp;VLOOKUP(B7,Instruções!$F$13:$J$17,5,0)&amp;"_"&amp;$G$2&amp;","&amp;E7&amp;" as "&amp;G7&amp;" FROM "&amp;D7&amp;" WHERE "&amp;Instruções!$D$21&amp;") B ")</f>
        <v xml:space="preserve">(SELECT entty_id as entty_id_to_be, annl_trnvr_prvs as annl_trnvr_prvs_to_be FROM bu_loantape_work.lt003_entity WHERE ref_date='2024-09-30' AND nome_perimetro='Individual Corporativo' AND segmento='ESTR' AND ambito='PM' AND entidade='00100' ) B </v>
      </c>
      <c r="J7" s="17" t="str">
        <f>IF(VLOOKUP(B7,Instruções!$F$13:$J$17,5,0)="",
"ON "&amp;VLOOKUP(B7,Instruções!$F$13:$J$17,4,0)&amp;"_"&amp;$F$2&amp;" = "&amp;VLOOKUP(B7,Instruções!$F$13:$J$17,4,0)&amp;"_"&amp;$G$2&amp;" ",
"ON "&amp;VLOOKUP(B7,Instruções!$F$13:$J$17,4,0)&amp;"_"&amp;$F$2&amp;" = "&amp;VLOOKUP(B7,Instruções!$F$13:$J$17,4,0)&amp;"_"&amp;$G$2&amp;" AND "&amp;VLOOKUP(B7,Instruções!$F$13:$J$17,5,0)&amp;"_"&amp;$F$2&amp;" = "&amp;VLOOKUP(B7,Instruções!$F$13:$J$17,5,0)&amp;"_"&amp;$G$2&amp;" ")</f>
        <v xml:space="preserve">ON entty_id_as_is = entty_id_to_be </v>
      </c>
      <c r="K7" s="17" t="str">
        <f t="shared" si="2"/>
        <v xml:space="preserve">WHERE coalesce(cast(annl_trnvr_prvs_as_is as string), '') &lt;&gt; coalesce(cast(annl_trnvr_prvs_to_be as string), '') </v>
      </c>
      <c r="L7" s="17" t="str">
        <f t="shared" si="3"/>
        <v xml:space="preserve">SELECT count(*) AS NUM_REG_DIF FROM (SELECT entty_id as entty_id_as_is, annl_trnvr_prvs as annl_trnvr_prvs_as_is FROM cd_loan_tapes_bce.lt003_entity WHERE ref_date='2024-09-30' AND nome_perimetro='Individual Corporativo' AND segmento='ESTR' AND ambito='PM' AND entidade='00100' ) A  Inner join (SELECT entty_id as entty_id_to_be, annl_trnvr_prvs as annl_trnvr_prvs_to_be FROM bu_loantape_work.lt003_entity WHERE ref_date='2024-09-30' AND nome_perimetro='Individual Corporativo' AND segmento='ESTR' AND ambito='PM' AND entidade='00100' ) B ON entty_id_as_is = entty_id_to_be WHERE coalesce(cast(annl_trnvr_prvs_as_is as string), '') &lt;&gt; coalesce(cast(annl_trnvr_prvs_to_be as string), '') </v>
      </c>
      <c r="M7" s="17" t="s">
        <v>55</v>
      </c>
      <c r="N7" s="17" t="str">
        <f>"SELECT 'Validação de campos' as tipologia_teste, '"&amp;VLOOKUP(B7,Instruções!$F$13:$J$17,3,0)&amp;"' AS TABELA, '"&amp;E7&amp;"' AS CAMPO, '"&amp;Instruções!$D$15&amp;"' as ref_date, coalesce(NUM_REG_DIF, 0) AS NUM_REG_DIF FROM ("&amp;L7&amp;") A "</f>
        <v xml:space="preserve">SELECT 'Validação de campos' as tipologia_teste, 'lt003_entity' AS TABELA, 'annl_trnvr_prvs' AS CAMPO, '2024-09-30' as ref_date, coalesce(NUM_REG_DIF, 0) AS NUM_REG_DIF FROM (SELECT count(*) AS NUM_REG_DIF FROM (SELECT entty_id as entty_id_as_is, annl_trnvr_prvs as annl_trnvr_prvs_as_is FROM cd_loan_tapes_bce.lt003_entity WHERE ref_date='2024-09-30' AND nome_perimetro='Individual Corporativo' AND segmento='ESTR' AND ambito='PM' AND entidade='00100' ) A  Inner join (SELECT entty_id as entty_id_to_be, annl_trnvr_prvs as annl_trnvr_prvs_to_be FROM bu_loantape_work.lt003_entity WHERE ref_date='2024-09-30' AND nome_perimetro='Individual Corporativo' AND segmento='ESTR' AND ambito='PM' AND entidade='00100' ) B ON entty_id_as_is = entty_id_to_be WHERE coalesce(cast(annl_trnvr_prvs_as_is as string), '') &lt;&gt; coalesce(cast(annl_trnvr_prvs_to_be as string), '') ) A </v>
      </c>
      <c r="O7" s="19" t="str">
        <f t="shared" si="4"/>
        <v>SELECT 'Validação de campos' as tipologia_teste, 'lt003_entity' AS TABELA, 'annl_trnvr_prvs' AS CAMPO, '2024-09-30' as ref_date, coalesce(NUM_REG_DIF, 0) AS NUM_REG_DIF FROM (SELECT count(*) AS NUM_REG_DIF FROM (SELECT entty_id as entty_id_as_is, annl_trnvr_prvs as annl_trnvr_prvs_as_is FROM cd_loan_tapes_bce.lt003_entity WHERE ref_date='2024-09-30' AND nome_perimetro='Individual Corporativo' AND segmento='ESTR' AND ambito='PM' AND entidade='00100' ) A  Inner join (SELECT entty_id as entty_id_to_be, annl_trnvr_prvs as annl_trnvr_prvs_to_be FROM bu_loantape_work.lt003_entity WHERE ref_date='2024-09-30' AND nome_perimetro='Individual Corporativo' AND segmento='ESTR' AND ambito='PM' AND entidade='00100' ) B ON entty_id_as_is = entty_id_to_be WHERE coalesce(cast(annl_trnvr_prvs_as_is as string), '') &lt;&gt; coalesce(cast(annl_trnvr_prvs_to_be as string), '') ) A UNION ALL</v>
      </c>
      <c r="P7" s="17">
        <f t="shared" si="5"/>
        <v>4</v>
      </c>
    </row>
    <row r="8" spans="2:16" s="15" customFormat="1" ht="11.45">
      <c r="B8" s="17" t="s">
        <v>11</v>
      </c>
      <c r="C8" s="17" t="str">
        <f>_xlfn.CONCAT(Instruções!$D$13,".",VLOOKUP(B8,Instruções!$F$12:$H$17,2,0))</f>
        <v>cd_loan_tapes_bce.lt003_entity</v>
      </c>
      <c r="D8" s="17" t="str">
        <f>_xlfn.CONCAT(Instruções!$D$14,".",VLOOKUP(B8,Instruções!$F$12:$H$17,3,0))</f>
        <v>bu_loantape_work.lt003_entity</v>
      </c>
      <c r="E8" s="17" t="s">
        <v>59</v>
      </c>
      <c r="F8" s="17" t="str">
        <f t="shared" si="0"/>
        <v>annl_trnvr_prvs_bdr_as_is</v>
      </c>
      <c r="G8" s="17" t="str">
        <f t="shared" si="1"/>
        <v>annl_trnvr_prvs_bdr_to_be</v>
      </c>
      <c r="H8" s="17" t="str">
        <f>IF(VLOOKUP(B8,Instruções!$F$13:$J$17,5,0)="",
"(SELECT "&amp;VLOOKUP(B8,Instruções!$F$13:$J$17,4,0)&amp;" as "&amp;VLOOKUP(B8,Instruções!$F$13:$J$17,4,0)&amp;"_"&amp;$F$2&amp;", "&amp;E8&amp;" as "&amp;F8&amp;" FROM "&amp;C8&amp;" WHERE "&amp;Instruções!$D$20&amp;") A ",
"(SELECT "&amp;VLOOKUP(B8,Instruções!$F$13:$J$17,4,0)&amp;" as "&amp;VLOOKUP(B8,Instruções!$F$13:$J$17,4,0)&amp;"_"&amp;$F$2&amp;", "&amp;VLOOKUP(B8,Instruções!$F$13:$J$17,5,0)&amp;" as "&amp;VLOOKUP(B8,Instruções!$F$13:$J$17,5,0)&amp;"_"&amp;$F$2&amp;","&amp;E8&amp;" as "&amp;F8&amp;" FROM "&amp;C8&amp;" WHERE "&amp;Instruções!$D$20&amp;") A ")</f>
        <v xml:space="preserve">(SELECT entty_id as entty_id_as_is, annl_trnvr_prvs_bdr as annl_trnvr_prvs_bdr_as_is FROM cd_loan_tapes_bce.lt003_entity WHERE ref_date='2024-09-30' AND nome_perimetro='Individual Corporativo' AND segmento='ESTR' AND ambito='PM' AND entidade='00100' ) A </v>
      </c>
      <c r="I8" s="17" t="str">
        <f>IF(VLOOKUP(B8,Instruções!$F$13:$J$17,5,0)="",
"(SELECT "&amp;VLOOKUP(B8,Instruções!$F$13:$J$17,4,0)&amp;" as "&amp;VLOOKUP(B8,Instruções!$F$13:$J$17,4,0)&amp;"_"&amp;$G$2&amp;", "&amp;E8&amp;" as "&amp;G8&amp;" FROM "&amp;D8&amp;" WHERE "&amp;Instruções!$D$21&amp;") B ",
"(SELECT "&amp;VLOOKUP(B8,Instruções!$F$13:$J$17,4,0)&amp;" as "&amp;VLOOKUP(B8,Instruções!$F$13:$J$17,4,0)&amp;"_"&amp;$G$2&amp;", "&amp;VLOOKUP(B8,Instruções!$F$13:$J$17,5,0)&amp;" as "&amp;VLOOKUP(B8,Instruções!$F$13:$J$17,5,0)&amp;"_"&amp;$G$2&amp;","&amp;E8&amp;" as "&amp;G8&amp;" FROM "&amp;D8&amp;" WHERE "&amp;Instruções!$D$21&amp;") B ")</f>
        <v xml:space="preserve">(SELECT entty_id as entty_id_to_be, annl_trnvr_prvs_bdr as annl_trnvr_prvs_bdr_to_be FROM bu_loantape_work.lt003_entity WHERE ref_date='2024-09-30' AND nome_perimetro='Individual Corporativo' AND segmento='ESTR' AND ambito='PM' AND entidade='00100' ) B </v>
      </c>
      <c r="J8" s="17" t="str">
        <f>IF(VLOOKUP(B8,Instruções!$F$13:$J$17,5,0)="",
"ON "&amp;VLOOKUP(B8,Instruções!$F$13:$J$17,4,0)&amp;"_"&amp;$F$2&amp;" = "&amp;VLOOKUP(B8,Instruções!$F$13:$J$17,4,0)&amp;"_"&amp;$G$2&amp;" ",
"ON "&amp;VLOOKUP(B8,Instruções!$F$13:$J$17,4,0)&amp;"_"&amp;$F$2&amp;" = "&amp;VLOOKUP(B8,Instruções!$F$13:$J$17,4,0)&amp;"_"&amp;$G$2&amp;" AND "&amp;VLOOKUP(B8,Instruções!$F$13:$J$17,5,0)&amp;"_"&amp;$F$2&amp;" = "&amp;VLOOKUP(B8,Instruções!$F$13:$J$17,5,0)&amp;"_"&amp;$G$2&amp;" ")</f>
        <v xml:space="preserve">ON entty_id_as_is = entty_id_to_be </v>
      </c>
      <c r="K8" s="17" t="str">
        <f t="shared" si="2"/>
        <v xml:space="preserve">WHERE coalesce(cast(annl_trnvr_prvs_bdr_as_is as string), '') &lt;&gt; coalesce(cast(annl_trnvr_prvs_bdr_to_be as string), '') </v>
      </c>
      <c r="L8" s="17" t="str">
        <f t="shared" si="3"/>
        <v xml:space="preserve">SELECT count(*) AS NUM_REG_DIF FROM (SELECT entty_id as entty_id_as_is, annl_trnvr_prvs_bdr as annl_trnvr_prvs_bdr_as_is FROM cd_loan_tapes_bce.lt003_entity WHERE ref_date='2024-09-30' AND nome_perimetro='Individual Corporativo' AND segmento='ESTR' AND ambito='PM' AND entidade='00100' ) A  Inner join (SELECT entty_id as entty_id_to_be, annl_trnvr_prvs_bdr as annl_trnvr_prvs_bdr_to_be FROM bu_loantape_work.lt003_entity WHERE ref_date='2024-09-30' AND nome_perimetro='Individual Corporativo' AND segmento='ESTR' AND ambito='PM' AND entidade='00100' ) B ON entty_id_as_is = entty_id_to_be WHERE coalesce(cast(annl_trnvr_prvs_bdr_as_is as string), '') &lt;&gt; coalesce(cast(annl_trnvr_prvs_bdr_to_be as string), '') </v>
      </c>
      <c r="M8" s="17" t="s">
        <v>55</v>
      </c>
      <c r="N8" s="17" t="str">
        <f>"SELECT 'Validação de campos' as tipologia_teste, '"&amp;VLOOKUP(B8,Instruções!$F$13:$J$17,3,0)&amp;"' AS TABELA, '"&amp;E8&amp;"' AS CAMPO, '"&amp;Instruções!$D$15&amp;"' as ref_date, coalesce(NUM_REG_DIF, 0) AS NUM_REG_DIF FROM ("&amp;L8&amp;") A "</f>
        <v xml:space="preserve">SELECT 'Validação de campos' as tipologia_teste, 'lt003_entity' AS TABELA, 'annl_trnvr_prvs_bdr' AS CAMPO, '2024-09-30' as ref_date, coalesce(NUM_REG_DIF, 0) AS NUM_REG_DIF FROM (SELECT count(*) AS NUM_REG_DIF FROM (SELECT entty_id as entty_id_as_is, annl_trnvr_prvs_bdr as annl_trnvr_prvs_bdr_as_is FROM cd_loan_tapes_bce.lt003_entity WHERE ref_date='2024-09-30' AND nome_perimetro='Individual Corporativo' AND segmento='ESTR' AND ambito='PM' AND entidade='00100' ) A  Inner join (SELECT entty_id as entty_id_to_be, annl_trnvr_prvs_bdr as annl_trnvr_prvs_bdr_to_be FROM bu_loantape_work.lt003_entity WHERE ref_date='2024-09-30' AND nome_perimetro='Individual Corporativo' AND segmento='ESTR' AND ambito='PM' AND entidade='00100' ) B ON entty_id_as_is = entty_id_to_be WHERE coalesce(cast(annl_trnvr_prvs_bdr_as_is as string), '') &lt;&gt; coalesce(cast(annl_trnvr_prvs_bdr_to_be as string), '') ) A </v>
      </c>
      <c r="O8" s="19" t="str">
        <f t="shared" si="4"/>
        <v>SELECT 'Validação de campos' as tipologia_teste, 'lt003_entity' AS TABELA, 'annl_trnvr_prvs_bdr' AS CAMPO, '2024-09-30' as ref_date, coalesce(NUM_REG_DIF, 0) AS NUM_REG_DIF FROM (SELECT count(*) AS NUM_REG_DIF FROM (SELECT entty_id as entty_id_as_is, annl_trnvr_prvs_bdr as annl_trnvr_prvs_bdr_as_is FROM cd_loan_tapes_bce.lt003_entity WHERE ref_date='2024-09-30' AND nome_perimetro='Individual Corporativo' AND segmento='ESTR' AND ambito='PM' AND entidade='00100' ) A  Inner join (SELECT entty_id as entty_id_to_be, annl_trnvr_prvs_bdr as annl_trnvr_prvs_bdr_to_be FROM bu_loantape_work.lt003_entity WHERE ref_date='2024-09-30' AND nome_perimetro='Individual Corporativo' AND segmento='ESTR' AND ambito='PM' AND entidade='00100' ) B ON entty_id_as_is = entty_id_to_be WHERE coalesce(cast(annl_trnvr_prvs_bdr_as_is as string), '') &lt;&gt; coalesce(cast(annl_trnvr_prvs_bdr_to_be as string), '') ) A UNION ALL</v>
      </c>
      <c r="P8" s="17">
        <f t="shared" si="5"/>
        <v>5</v>
      </c>
    </row>
    <row r="9" spans="2:16" s="15" customFormat="1" ht="11.45">
      <c r="B9" s="17" t="s">
        <v>11</v>
      </c>
      <c r="C9" s="17" t="str">
        <f>_xlfn.CONCAT(Instruções!$D$13,".",VLOOKUP(B9,Instruções!$F$12:$H$17,2,0))</f>
        <v>cd_loan_tapes_bce.lt003_entity</v>
      </c>
      <c r="D9" s="17" t="str">
        <f>_xlfn.CONCAT(Instruções!$D$14,".",VLOOKUP(B9,Instruções!$F$12:$H$17,3,0))</f>
        <v>bu_loantape_work.lt003_entity</v>
      </c>
      <c r="E9" s="17" t="s">
        <v>60</v>
      </c>
      <c r="F9" s="17" t="str">
        <f t="shared" si="0"/>
        <v>capex_as_is</v>
      </c>
      <c r="G9" s="17" t="str">
        <f t="shared" si="1"/>
        <v>capex_to_be</v>
      </c>
      <c r="H9" s="17" t="str">
        <f>IF(VLOOKUP(B9,Instruções!$F$13:$J$17,5,0)="",
"(SELECT "&amp;VLOOKUP(B9,Instruções!$F$13:$J$17,4,0)&amp;" as "&amp;VLOOKUP(B9,Instruções!$F$13:$J$17,4,0)&amp;"_"&amp;$F$2&amp;", "&amp;E9&amp;" as "&amp;F9&amp;" FROM "&amp;C9&amp;" WHERE "&amp;Instruções!$D$20&amp;") A ",
"(SELECT "&amp;VLOOKUP(B9,Instruções!$F$13:$J$17,4,0)&amp;" as "&amp;VLOOKUP(B9,Instruções!$F$13:$J$17,4,0)&amp;"_"&amp;$F$2&amp;", "&amp;VLOOKUP(B9,Instruções!$F$13:$J$17,5,0)&amp;" as "&amp;VLOOKUP(B9,Instruções!$F$13:$J$17,5,0)&amp;"_"&amp;$F$2&amp;","&amp;E9&amp;" as "&amp;F9&amp;" FROM "&amp;C9&amp;" WHERE "&amp;Instruções!$D$20&amp;") A ")</f>
        <v xml:space="preserve">(SELECT entty_id as entty_id_as_is, capex as capex_as_is FROM cd_loan_tapes_bce.lt003_entity WHERE ref_date='2024-09-30' AND nome_perimetro='Individual Corporativo' AND segmento='ESTR' AND ambito='PM' AND entidade='00100' ) A </v>
      </c>
      <c r="I9" s="17" t="str">
        <f>IF(VLOOKUP(B9,Instruções!$F$13:$J$17,5,0)="",
"(SELECT "&amp;VLOOKUP(B9,Instruções!$F$13:$J$17,4,0)&amp;" as "&amp;VLOOKUP(B9,Instruções!$F$13:$J$17,4,0)&amp;"_"&amp;$G$2&amp;", "&amp;E9&amp;" as "&amp;G9&amp;" FROM "&amp;D9&amp;" WHERE "&amp;Instruções!$D$21&amp;") B ",
"(SELECT "&amp;VLOOKUP(B9,Instruções!$F$13:$J$17,4,0)&amp;" as "&amp;VLOOKUP(B9,Instruções!$F$13:$J$17,4,0)&amp;"_"&amp;$G$2&amp;", "&amp;VLOOKUP(B9,Instruções!$F$13:$J$17,5,0)&amp;" as "&amp;VLOOKUP(B9,Instruções!$F$13:$J$17,5,0)&amp;"_"&amp;$G$2&amp;","&amp;E9&amp;" as "&amp;G9&amp;" FROM "&amp;D9&amp;" WHERE "&amp;Instruções!$D$21&amp;") B ")</f>
        <v xml:space="preserve">(SELECT entty_id as entty_id_to_be, capex as capex_to_be FROM bu_loantape_work.lt003_entity WHERE ref_date='2024-09-30' AND nome_perimetro='Individual Corporativo' AND segmento='ESTR' AND ambito='PM' AND entidade='00100' ) B </v>
      </c>
      <c r="J9" s="17" t="str">
        <f>IF(VLOOKUP(B9,Instruções!$F$13:$J$17,5,0)="",
"ON "&amp;VLOOKUP(B9,Instruções!$F$13:$J$17,4,0)&amp;"_"&amp;$F$2&amp;" = "&amp;VLOOKUP(B9,Instruções!$F$13:$J$17,4,0)&amp;"_"&amp;$G$2&amp;" ",
"ON "&amp;VLOOKUP(B9,Instruções!$F$13:$J$17,4,0)&amp;"_"&amp;$F$2&amp;" = "&amp;VLOOKUP(B9,Instruções!$F$13:$J$17,4,0)&amp;"_"&amp;$G$2&amp;" AND "&amp;VLOOKUP(B9,Instruções!$F$13:$J$17,5,0)&amp;"_"&amp;$F$2&amp;" = "&amp;VLOOKUP(B9,Instruções!$F$13:$J$17,5,0)&amp;"_"&amp;$G$2&amp;" ")</f>
        <v xml:space="preserve">ON entty_id_as_is = entty_id_to_be </v>
      </c>
      <c r="K9" s="17" t="str">
        <f t="shared" si="2"/>
        <v xml:space="preserve">WHERE coalesce(cast(capex_as_is as string), '') &lt;&gt; coalesce(cast(capex_to_be as string), '') </v>
      </c>
      <c r="L9" s="17" t="str">
        <f t="shared" si="3"/>
        <v xml:space="preserve">SELECT count(*) AS NUM_REG_DIF FROM (SELECT entty_id as entty_id_as_is, capex as capex_as_is FROM cd_loan_tapes_bce.lt003_entity WHERE ref_date='2024-09-30' AND nome_perimetro='Individual Corporativo' AND segmento='ESTR' AND ambito='PM' AND entidade='00100' ) A  Inner join (SELECT entty_id as entty_id_to_be, capex as capex_to_be FROM bu_loantape_work.lt003_entity WHERE ref_date='2024-09-30' AND nome_perimetro='Individual Corporativo' AND segmento='ESTR' AND ambito='PM' AND entidade='00100' ) B ON entty_id_as_is = entty_id_to_be WHERE coalesce(cast(capex_as_is as string), '') &lt;&gt; coalesce(cast(capex_to_be as string), '') </v>
      </c>
      <c r="M9" s="17" t="s">
        <v>55</v>
      </c>
      <c r="N9" s="17" t="str">
        <f>"SELECT 'Validação de campos' as tipologia_teste, '"&amp;VLOOKUP(B9,Instruções!$F$13:$J$17,3,0)&amp;"' AS TABELA, '"&amp;E9&amp;"' AS CAMPO, '"&amp;Instruções!$D$15&amp;"' as ref_date, coalesce(NUM_REG_DIF, 0) AS NUM_REG_DIF FROM ("&amp;L9&amp;") A "</f>
        <v xml:space="preserve">SELECT 'Validação de campos' as tipologia_teste, 'lt003_entity' AS TABELA, 'capex' AS CAMPO, '2024-09-30' as ref_date, coalesce(NUM_REG_DIF, 0) AS NUM_REG_DIF FROM (SELECT count(*) AS NUM_REG_DIF FROM (SELECT entty_id as entty_id_as_is, capex as capex_as_is FROM cd_loan_tapes_bce.lt003_entity WHERE ref_date='2024-09-30' AND nome_perimetro='Individual Corporativo' AND segmento='ESTR' AND ambito='PM' AND entidade='00100' ) A  Inner join (SELECT entty_id as entty_id_to_be, capex as capex_to_be FROM bu_loantape_work.lt003_entity WHERE ref_date='2024-09-30' AND nome_perimetro='Individual Corporativo' AND segmento='ESTR' AND ambito='PM' AND entidade='00100' ) B ON entty_id_as_is = entty_id_to_be WHERE coalesce(cast(capex_as_is as string), '') &lt;&gt; coalesce(cast(capex_to_be as string), '') ) A </v>
      </c>
      <c r="O9" s="19" t="str">
        <f t="shared" si="4"/>
        <v>SELECT 'Validação de campos' as tipologia_teste, 'lt003_entity' AS TABELA, 'capex' AS CAMPO, '2024-09-30' as ref_date, coalesce(NUM_REG_DIF, 0) AS NUM_REG_DIF FROM (SELECT count(*) AS NUM_REG_DIF FROM (SELECT entty_id as entty_id_as_is, capex as capex_as_is FROM cd_loan_tapes_bce.lt003_entity WHERE ref_date='2024-09-30' AND nome_perimetro='Individual Corporativo' AND segmento='ESTR' AND ambito='PM' AND entidade='00100' ) A  Inner join (SELECT entty_id as entty_id_to_be, capex as capex_to_be FROM bu_loantape_work.lt003_entity WHERE ref_date='2024-09-30' AND nome_perimetro='Individual Corporativo' AND segmento='ESTR' AND ambito='PM' AND entidade='00100' ) B ON entty_id_as_is = entty_id_to_be WHERE coalesce(cast(capex_as_is as string), '') &lt;&gt; coalesce(cast(capex_to_be as string), '') ) A UNION ALL</v>
      </c>
      <c r="P9" s="17">
        <f t="shared" si="5"/>
        <v>6</v>
      </c>
    </row>
    <row r="10" spans="2:16" s="15" customFormat="1" ht="11.45">
      <c r="B10" s="17" t="s">
        <v>11</v>
      </c>
      <c r="C10" s="17" t="str">
        <f>_xlfn.CONCAT(Instruções!$D$13,".",VLOOKUP(B10,Instruções!$F$12:$H$17,2,0))</f>
        <v>cd_loan_tapes_bce.lt003_entity</v>
      </c>
      <c r="D10" s="17" t="str">
        <f>_xlfn.CONCAT(Instruções!$D$14,".",VLOOKUP(B10,Instruções!$F$12:$H$17,3,0))</f>
        <v>bu_loantape_work.lt003_entity</v>
      </c>
      <c r="E10" s="17" t="s">
        <v>61</v>
      </c>
      <c r="F10" s="17" t="str">
        <f t="shared" si="0"/>
        <v>capex_prvs_as_is</v>
      </c>
      <c r="G10" s="17" t="str">
        <f t="shared" si="1"/>
        <v>capex_prvs_to_be</v>
      </c>
      <c r="H10" s="17" t="str">
        <f>IF(VLOOKUP(B10,Instruções!$F$13:$J$17,5,0)="",
"(SELECT "&amp;VLOOKUP(B10,Instruções!$F$13:$J$17,4,0)&amp;" as "&amp;VLOOKUP(B10,Instruções!$F$13:$J$17,4,0)&amp;"_"&amp;$F$2&amp;", "&amp;E10&amp;" as "&amp;F10&amp;" FROM "&amp;C10&amp;" WHERE "&amp;Instruções!$D$20&amp;") A ",
"(SELECT "&amp;VLOOKUP(B10,Instruções!$F$13:$J$17,4,0)&amp;" as "&amp;VLOOKUP(B10,Instruções!$F$13:$J$17,4,0)&amp;"_"&amp;$F$2&amp;", "&amp;VLOOKUP(B10,Instruções!$F$13:$J$17,5,0)&amp;" as "&amp;VLOOKUP(B10,Instruções!$F$13:$J$17,5,0)&amp;"_"&amp;$F$2&amp;","&amp;E10&amp;" as "&amp;F10&amp;" FROM "&amp;C10&amp;" WHERE "&amp;Instruções!$D$20&amp;") A ")</f>
        <v xml:space="preserve">(SELECT entty_id as entty_id_as_is, capex_prvs as capex_prvs_as_is FROM cd_loan_tapes_bce.lt003_entity WHERE ref_date='2024-09-30' AND nome_perimetro='Individual Corporativo' AND segmento='ESTR' AND ambito='PM' AND entidade='00100' ) A </v>
      </c>
      <c r="I10" s="17" t="str">
        <f>IF(VLOOKUP(B10,Instruções!$F$13:$J$17,5,0)="",
"(SELECT "&amp;VLOOKUP(B10,Instruções!$F$13:$J$17,4,0)&amp;" as "&amp;VLOOKUP(B10,Instruções!$F$13:$J$17,4,0)&amp;"_"&amp;$G$2&amp;", "&amp;E10&amp;" as "&amp;G10&amp;" FROM "&amp;D10&amp;" WHERE "&amp;Instruções!$D$21&amp;") B ",
"(SELECT "&amp;VLOOKUP(B10,Instruções!$F$13:$J$17,4,0)&amp;" as "&amp;VLOOKUP(B10,Instruções!$F$13:$J$17,4,0)&amp;"_"&amp;$G$2&amp;", "&amp;VLOOKUP(B10,Instruções!$F$13:$J$17,5,0)&amp;" as "&amp;VLOOKUP(B10,Instruções!$F$13:$J$17,5,0)&amp;"_"&amp;$G$2&amp;","&amp;E10&amp;" as "&amp;G10&amp;" FROM "&amp;D10&amp;" WHERE "&amp;Instruções!$D$21&amp;") B ")</f>
        <v xml:space="preserve">(SELECT entty_id as entty_id_to_be, capex_prvs as capex_prvs_to_be FROM bu_loantape_work.lt003_entity WHERE ref_date='2024-09-30' AND nome_perimetro='Individual Corporativo' AND segmento='ESTR' AND ambito='PM' AND entidade='00100' ) B </v>
      </c>
      <c r="J10" s="17" t="str">
        <f>IF(VLOOKUP(B10,Instruções!$F$13:$J$17,5,0)="",
"ON "&amp;VLOOKUP(B10,Instruções!$F$13:$J$17,4,0)&amp;"_"&amp;$F$2&amp;" = "&amp;VLOOKUP(B10,Instruções!$F$13:$J$17,4,0)&amp;"_"&amp;$G$2&amp;" ",
"ON "&amp;VLOOKUP(B10,Instruções!$F$13:$J$17,4,0)&amp;"_"&amp;$F$2&amp;" = "&amp;VLOOKUP(B10,Instruções!$F$13:$J$17,4,0)&amp;"_"&amp;$G$2&amp;" AND "&amp;VLOOKUP(B10,Instruções!$F$13:$J$17,5,0)&amp;"_"&amp;$F$2&amp;" = "&amp;VLOOKUP(B10,Instruções!$F$13:$J$17,5,0)&amp;"_"&amp;$G$2&amp;" ")</f>
        <v xml:space="preserve">ON entty_id_as_is = entty_id_to_be </v>
      </c>
      <c r="K10" s="17" t="str">
        <f t="shared" si="2"/>
        <v xml:space="preserve">WHERE coalesce(cast(capex_prvs_as_is as string), '') &lt;&gt; coalesce(cast(capex_prvs_to_be as string), '') </v>
      </c>
      <c r="L10" s="17" t="str">
        <f t="shared" si="3"/>
        <v xml:space="preserve">SELECT count(*) AS NUM_REG_DIF FROM (SELECT entty_id as entty_id_as_is, capex_prvs as capex_prvs_as_is FROM cd_loan_tapes_bce.lt003_entity WHERE ref_date='2024-09-30' AND nome_perimetro='Individual Corporativo' AND segmento='ESTR' AND ambito='PM' AND entidade='00100' ) A  Inner join (SELECT entty_id as entty_id_to_be, capex_prvs as capex_prvs_to_be FROM bu_loantape_work.lt003_entity WHERE ref_date='2024-09-30' AND nome_perimetro='Individual Corporativo' AND segmento='ESTR' AND ambito='PM' AND entidade='00100' ) B ON entty_id_as_is = entty_id_to_be WHERE coalesce(cast(capex_prvs_as_is as string), '') &lt;&gt; coalesce(cast(capex_prvs_to_be as string), '') </v>
      </c>
      <c r="M10" s="17" t="s">
        <v>55</v>
      </c>
      <c r="N10" s="17" t="str">
        <f>"SELECT 'Validação de campos' as tipologia_teste, '"&amp;VLOOKUP(B10,Instruções!$F$13:$J$17,3,0)&amp;"' AS TABELA, '"&amp;E10&amp;"' AS CAMPO, '"&amp;Instruções!$D$15&amp;"' as ref_date, coalesce(NUM_REG_DIF, 0) AS NUM_REG_DIF FROM ("&amp;L10&amp;") A "</f>
        <v xml:space="preserve">SELECT 'Validação de campos' as tipologia_teste, 'lt003_entity' AS TABELA, 'capex_prvs' AS CAMPO, '2024-09-30' as ref_date, coalesce(NUM_REG_DIF, 0) AS NUM_REG_DIF FROM (SELECT count(*) AS NUM_REG_DIF FROM (SELECT entty_id as entty_id_as_is, capex_prvs as capex_prvs_as_is FROM cd_loan_tapes_bce.lt003_entity WHERE ref_date='2024-09-30' AND nome_perimetro='Individual Corporativo' AND segmento='ESTR' AND ambito='PM' AND entidade='00100' ) A  Inner join (SELECT entty_id as entty_id_to_be, capex_prvs as capex_prvs_to_be FROM bu_loantape_work.lt003_entity WHERE ref_date='2024-09-30' AND nome_perimetro='Individual Corporativo' AND segmento='ESTR' AND ambito='PM' AND entidade='00100' ) B ON entty_id_as_is = entty_id_to_be WHERE coalesce(cast(capex_prvs_as_is as string), '') &lt;&gt; coalesce(cast(capex_prvs_to_be as string), '') ) A </v>
      </c>
      <c r="O10" s="19" t="str">
        <f t="shared" si="4"/>
        <v>SELECT 'Validação de campos' as tipologia_teste, 'lt003_entity' AS TABELA, 'capex_prvs' AS CAMPO, '2024-09-30' as ref_date, coalesce(NUM_REG_DIF, 0) AS NUM_REG_DIF FROM (SELECT count(*) AS NUM_REG_DIF FROM (SELECT entty_id as entty_id_as_is, capex_prvs as capex_prvs_as_is FROM cd_loan_tapes_bce.lt003_entity WHERE ref_date='2024-09-30' AND nome_perimetro='Individual Corporativo' AND segmento='ESTR' AND ambito='PM' AND entidade='00100' ) A  Inner join (SELECT entty_id as entty_id_to_be, capex_prvs as capex_prvs_to_be FROM bu_loantape_work.lt003_entity WHERE ref_date='2024-09-30' AND nome_perimetro='Individual Corporativo' AND segmento='ESTR' AND ambito='PM' AND entidade='00100' ) B ON entty_id_as_is = entty_id_to_be WHERE coalesce(cast(capex_prvs_as_is as string), '') &lt;&gt; coalesce(cast(capex_prvs_to_be as string), '') ) A UNION ALL</v>
      </c>
      <c r="P10" s="17">
        <f t="shared" si="5"/>
        <v>7</v>
      </c>
    </row>
    <row r="11" spans="2:16" s="15" customFormat="1" ht="11.45">
      <c r="B11" s="17" t="s">
        <v>11</v>
      </c>
      <c r="C11" s="17" t="str">
        <f>_xlfn.CONCAT(Instruções!$D$13,".",VLOOKUP(B11,Instruções!$F$12:$H$17,2,0))</f>
        <v>cd_loan_tapes_bce.lt003_entity</v>
      </c>
      <c r="D11" s="17" t="str">
        <f>_xlfn.CONCAT(Instruções!$D$14,".",VLOOKUP(B11,Instruções!$F$12:$H$17,3,0))</f>
        <v>bu_loantape_work.lt003_entity</v>
      </c>
      <c r="E11" s="17" t="s">
        <v>62</v>
      </c>
      <c r="F11" s="17" t="str">
        <f t="shared" si="0"/>
        <v>cllctn_md_as_is</v>
      </c>
      <c r="G11" s="17" t="str">
        <f t="shared" si="1"/>
        <v>cllctn_md_to_be</v>
      </c>
      <c r="H11" s="17" t="str">
        <f>IF(VLOOKUP(B11,Instruções!$F$13:$J$17,5,0)="",
"(SELECT "&amp;VLOOKUP(B11,Instruções!$F$13:$J$17,4,0)&amp;" as "&amp;VLOOKUP(B11,Instruções!$F$13:$J$17,4,0)&amp;"_"&amp;$F$2&amp;", "&amp;E11&amp;" as "&amp;F11&amp;" FROM "&amp;C11&amp;" WHERE "&amp;Instruções!$D$20&amp;") A ",
"(SELECT "&amp;VLOOKUP(B11,Instruções!$F$13:$J$17,4,0)&amp;" as "&amp;VLOOKUP(B11,Instruções!$F$13:$J$17,4,0)&amp;"_"&amp;$F$2&amp;", "&amp;VLOOKUP(B11,Instruções!$F$13:$J$17,5,0)&amp;" as "&amp;VLOOKUP(B11,Instruções!$F$13:$J$17,5,0)&amp;"_"&amp;$F$2&amp;","&amp;E11&amp;" as "&amp;F11&amp;" FROM "&amp;C11&amp;" WHERE "&amp;Instruções!$D$20&amp;") A ")</f>
        <v xml:space="preserve">(SELECT entty_id as entty_id_as_is, cllctn_md as cllctn_md_as_is FROM cd_loan_tapes_bce.lt003_entity WHERE ref_date='2024-09-30' AND nome_perimetro='Individual Corporativo' AND segmento='ESTR' AND ambito='PM' AND entidade='00100' ) A </v>
      </c>
      <c r="I11" s="17" t="str">
        <f>IF(VLOOKUP(B11,Instruções!$F$13:$J$17,5,0)="",
"(SELECT "&amp;VLOOKUP(B11,Instruções!$F$13:$J$17,4,0)&amp;" as "&amp;VLOOKUP(B11,Instruções!$F$13:$J$17,4,0)&amp;"_"&amp;$G$2&amp;", "&amp;E11&amp;" as "&amp;G11&amp;" FROM "&amp;D11&amp;" WHERE "&amp;Instruções!$D$21&amp;") B ",
"(SELECT "&amp;VLOOKUP(B11,Instruções!$F$13:$J$17,4,0)&amp;" as "&amp;VLOOKUP(B11,Instruções!$F$13:$J$17,4,0)&amp;"_"&amp;$G$2&amp;", "&amp;VLOOKUP(B11,Instruções!$F$13:$J$17,5,0)&amp;" as "&amp;VLOOKUP(B11,Instruções!$F$13:$J$17,5,0)&amp;"_"&amp;$G$2&amp;","&amp;E11&amp;" as "&amp;G11&amp;" FROM "&amp;D11&amp;" WHERE "&amp;Instruções!$D$21&amp;") B ")</f>
        <v xml:space="preserve">(SELECT entty_id as entty_id_to_be, cllctn_md as cllctn_md_to_be FROM bu_loantape_work.lt003_entity WHERE ref_date='2024-09-30' AND nome_perimetro='Individual Corporativo' AND segmento='ESTR' AND ambito='PM' AND entidade='00100' ) B </v>
      </c>
      <c r="J11" s="17" t="str">
        <f>IF(VLOOKUP(B11,Instruções!$F$13:$J$17,5,0)="",
"ON "&amp;VLOOKUP(B11,Instruções!$F$13:$J$17,4,0)&amp;"_"&amp;$F$2&amp;" = "&amp;VLOOKUP(B11,Instruções!$F$13:$J$17,4,0)&amp;"_"&amp;$G$2&amp;" ",
"ON "&amp;VLOOKUP(B11,Instruções!$F$13:$J$17,4,0)&amp;"_"&amp;$F$2&amp;" = "&amp;VLOOKUP(B11,Instruções!$F$13:$J$17,4,0)&amp;"_"&amp;$G$2&amp;" AND "&amp;VLOOKUP(B11,Instruções!$F$13:$J$17,5,0)&amp;"_"&amp;$F$2&amp;" = "&amp;VLOOKUP(B11,Instruções!$F$13:$J$17,5,0)&amp;"_"&amp;$G$2&amp;" ")</f>
        <v xml:space="preserve">ON entty_id_as_is = entty_id_to_be </v>
      </c>
      <c r="K11" s="17" t="str">
        <f t="shared" si="2"/>
        <v xml:space="preserve">WHERE coalesce(cast(cllctn_md_as_is as string), '') &lt;&gt; coalesce(cast(cllctn_md_to_be as string), '') </v>
      </c>
      <c r="L11" s="17" t="str">
        <f t="shared" si="3"/>
        <v xml:space="preserve">SELECT count(*) AS NUM_REG_DIF FROM (SELECT entty_id as entty_id_as_is, cllctn_md as cllctn_md_as_is FROM cd_loan_tapes_bce.lt003_entity WHERE ref_date='2024-09-30' AND nome_perimetro='Individual Corporativo' AND segmento='ESTR' AND ambito='PM' AND entidade='00100' ) A  Inner join (SELECT entty_id as entty_id_to_be, cllctn_md as cllctn_md_to_be FROM bu_loantape_work.lt003_entity WHERE ref_date='2024-09-30' AND nome_perimetro='Individual Corporativo' AND segmento='ESTR' AND ambito='PM' AND entidade='00100' ) B ON entty_id_as_is = entty_id_to_be WHERE coalesce(cast(cllctn_md_as_is as string), '') &lt;&gt; coalesce(cast(cllctn_md_to_be as string), '') </v>
      </c>
      <c r="M11" s="17" t="s">
        <v>55</v>
      </c>
      <c r="N11" s="17" t="str">
        <f>"SELECT 'Validação de campos' as tipologia_teste, '"&amp;VLOOKUP(B11,Instruções!$F$13:$J$17,3,0)&amp;"' AS TABELA, '"&amp;E11&amp;"' AS CAMPO, '"&amp;Instruções!$D$15&amp;"' as ref_date, coalesce(NUM_REG_DIF, 0) AS NUM_REG_DIF FROM ("&amp;L11&amp;") A "</f>
        <v xml:space="preserve">SELECT 'Validação de campos' as tipologia_teste, 'lt003_entity' AS TABELA, 'cllctn_md' AS CAMPO, '2024-09-30' as ref_date, coalesce(NUM_REG_DIF, 0) AS NUM_REG_DIF FROM (SELECT count(*) AS NUM_REG_DIF FROM (SELECT entty_id as entty_id_as_is, cllctn_md as cllctn_md_as_is FROM cd_loan_tapes_bce.lt003_entity WHERE ref_date='2024-09-30' AND nome_perimetro='Individual Corporativo' AND segmento='ESTR' AND ambito='PM' AND entidade='00100' ) A  Inner join (SELECT entty_id as entty_id_to_be, cllctn_md as cllctn_md_to_be FROM bu_loantape_work.lt003_entity WHERE ref_date='2024-09-30' AND nome_perimetro='Individual Corporativo' AND segmento='ESTR' AND ambito='PM' AND entidade='00100' ) B ON entty_id_as_is = entty_id_to_be WHERE coalesce(cast(cllctn_md_as_is as string), '') &lt;&gt; coalesce(cast(cllctn_md_to_be as string), '') ) A </v>
      </c>
      <c r="O11" s="19" t="str">
        <f t="shared" si="4"/>
        <v>SELECT 'Validação de campos' as tipologia_teste, 'lt003_entity' AS TABELA, 'cllctn_md' AS CAMPO, '2024-09-30' as ref_date, coalesce(NUM_REG_DIF, 0) AS NUM_REG_DIF FROM (SELECT count(*) AS NUM_REG_DIF FROM (SELECT entty_id as entty_id_as_is, cllctn_md as cllctn_md_as_is FROM cd_loan_tapes_bce.lt003_entity WHERE ref_date='2024-09-30' AND nome_perimetro='Individual Corporativo' AND segmento='ESTR' AND ambito='PM' AND entidade='00100' ) A  Inner join (SELECT entty_id as entty_id_to_be, cllctn_md as cllctn_md_to_be FROM bu_loantape_work.lt003_entity WHERE ref_date='2024-09-30' AND nome_perimetro='Individual Corporativo' AND segmento='ESTR' AND ambito='PM' AND entidade='00100' ) B ON entty_id_as_is = entty_id_to_be WHERE coalesce(cast(cllctn_md_as_is as string), '') &lt;&gt; coalesce(cast(cllctn_md_to_be as string), '') ) A UNION ALL</v>
      </c>
      <c r="P11" s="17">
        <f t="shared" si="5"/>
        <v>8</v>
      </c>
    </row>
    <row r="12" spans="2:16" s="15" customFormat="1" ht="11.45">
      <c r="B12" s="17" t="s">
        <v>11</v>
      </c>
      <c r="C12" s="17" t="str">
        <f>_xlfn.CONCAT(Instruções!$D$13,".",VLOOKUP(B12,Instruções!$F$12:$H$17,2,0))</f>
        <v>cd_loan_tapes_bce.lt003_entity</v>
      </c>
      <c r="D12" s="17" t="str">
        <f>_xlfn.CONCAT(Instruções!$D$14,".",VLOOKUP(B12,Instruções!$F$12:$H$17,3,0))</f>
        <v>bu_loantape_work.lt003_entity</v>
      </c>
      <c r="E12" s="17" t="s">
        <v>63</v>
      </c>
      <c r="F12" s="17" t="str">
        <f t="shared" si="0"/>
        <v>cntry_as_is</v>
      </c>
      <c r="G12" s="17" t="str">
        <f t="shared" si="1"/>
        <v>cntry_to_be</v>
      </c>
      <c r="H12" s="17" t="str">
        <f>IF(VLOOKUP(B12,Instruções!$F$13:$J$17,5,0)="",
"(SELECT "&amp;VLOOKUP(B12,Instruções!$F$13:$J$17,4,0)&amp;" as "&amp;VLOOKUP(B12,Instruções!$F$13:$J$17,4,0)&amp;"_"&amp;$F$2&amp;", "&amp;E12&amp;" as "&amp;F12&amp;" FROM "&amp;C12&amp;" WHERE "&amp;Instruções!$D$20&amp;") A ",
"(SELECT "&amp;VLOOKUP(B12,Instruções!$F$13:$J$17,4,0)&amp;" as "&amp;VLOOKUP(B12,Instruções!$F$13:$J$17,4,0)&amp;"_"&amp;$F$2&amp;", "&amp;VLOOKUP(B12,Instruções!$F$13:$J$17,5,0)&amp;" as "&amp;VLOOKUP(B12,Instruções!$F$13:$J$17,5,0)&amp;"_"&amp;$F$2&amp;","&amp;E12&amp;" as "&amp;F12&amp;" FROM "&amp;C12&amp;" WHERE "&amp;Instruções!$D$20&amp;") A ")</f>
        <v xml:space="preserve">(SELECT entty_id as entty_id_as_is, cntry as cntry_as_is FROM cd_loan_tapes_bce.lt003_entity WHERE ref_date='2024-09-30' AND nome_perimetro='Individual Corporativo' AND segmento='ESTR' AND ambito='PM' AND entidade='00100' ) A </v>
      </c>
      <c r="I12" s="17" t="str">
        <f>IF(VLOOKUP(B12,Instruções!$F$13:$J$17,5,0)="",
"(SELECT "&amp;VLOOKUP(B12,Instruções!$F$13:$J$17,4,0)&amp;" as "&amp;VLOOKUP(B12,Instruções!$F$13:$J$17,4,0)&amp;"_"&amp;$G$2&amp;", "&amp;E12&amp;" as "&amp;G12&amp;" FROM "&amp;D12&amp;" WHERE "&amp;Instruções!$D$21&amp;") B ",
"(SELECT "&amp;VLOOKUP(B12,Instruções!$F$13:$J$17,4,0)&amp;" as "&amp;VLOOKUP(B12,Instruções!$F$13:$J$17,4,0)&amp;"_"&amp;$G$2&amp;", "&amp;VLOOKUP(B12,Instruções!$F$13:$J$17,5,0)&amp;" as "&amp;VLOOKUP(B12,Instruções!$F$13:$J$17,5,0)&amp;"_"&amp;$G$2&amp;","&amp;E12&amp;" as "&amp;G12&amp;" FROM "&amp;D12&amp;" WHERE "&amp;Instruções!$D$21&amp;") B ")</f>
        <v xml:space="preserve">(SELECT entty_id as entty_id_to_be, cntry as cntry_to_be FROM bu_loantape_work.lt003_entity WHERE ref_date='2024-09-30' AND nome_perimetro='Individual Corporativo' AND segmento='ESTR' AND ambito='PM' AND entidade='00100' ) B </v>
      </c>
      <c r="J12" s="17" t="str">
        <f>IF(VLOOKUP(B12,Instruções!$F$13:$J$17,5,0)="",
"ON "&amp;VLOOKUP(B12,Instruções!$F$13:$J$17,4,0)&amp;"_"&amp;$F$2&amp;" = "&amp;VLOOKUP(B12,Instruções!$F$13:$J$17,4,0)&amp;"_"&amp;$G$2&amp;" ",
"ON "&amp;VLOOKUP(B12,Instruções!$F$13:$J$17,4,0)&amp;"_"&amp;$F$2&amp;" = "&amp;VLOOKUP(B12,Instruções!$F$13:$J$17,4,0)&amp;"_"&amp;$G$2&amp;" AND "&amp;VLOOKUP(B12,Instruções!$F$13:$J$17,5,0)&amp;"_"&amp;$F$2&amp;" = "&amp;VLOOKUP(B12,Instruções!$F$13:$J$17,5,0)&amp;"_"&amp;$G$2&amp;" ")</f>
        <v xml:space="preserve">ON entty_id_as_is = entty_id_to_be </v>
      </c>
      <c r="K12" s="17" t="str">
        <f t="shared" si="2"/>
        <v xml:space="preserve">WHERE coalesce(cast(cntry_as_is as string), '') &lt;&gt; coalesce(cast(cntry_to_be as string), '') </v>
      </c>
      <c r="L12" s="17" t="str">
        <f t="shared" si="3"/>
        <v xml:space="preserve">SELECT count(*) AS NUM_REG_DIF FROM (SELECT entty_id as entty_id_as_is, cntry as cntry_as_is FROM cd_loan_tapes_bce.lt003_entity WHERE ref_date='2024-09-30' AND nome_perimetro='Individual Corporativo' AND segmento='ESTR' AND ambito='PM' AND entidade='00100' ) A  Inner join (SELECT entty_id as entty_id_to_be, cntry as cntry_to_be FROM bu_loantape_work.lt003_entity WHERE ref_date='2024-09-30' AND nome_perimetro='Individual Corporativo' AND segmento='ESTR' AND ambito='PM' AND entidade='00100' ) B ON entty_id_as_is = entty_id_to_be WHERE coalesce(cast(cntry_as_is as string), '') &lt;&gt; coalesce(cast(cntry_to_be as string), '') </v>
      </c>
      <c r="M12" s="17" t="s">
        <v>55</v>
      </c>
      <c r="N12" s="17" t="str">
        <f>"SELECT 'Validação de campos' as tipologia_teste, '"&amp;VLOOKUP(B12,Instruções!$F$13:$J$17,3,0)&amp;"' AS TABELA, '"&amp;E12&amp;"' AS CAMPO, '"&amp;Instruções!$D$15&amp;"' as ref_date, coalesce(NUM_REG_DIF, 0) AS NUM_REG_DIF FROM ("&amp;L12&amp;") A "</f>
        <v xml:space="preserve">SELECT 'Validação de campos' as tipologia_teste, 'lt003_entity' AS TABELA, 'cntry' AS CAMPO, '2024-09-30' as ref_date, coalesce(NUM_REG_DIF, 0) AS NUM_REG_DIF FROM (SELECT count(*) AS NUM_REG_DIF FROM (SELECT entty_id as entty_id_as_is, cntry as cntry_as_is FROM cd_loan_tapes_bce.lt003_entity WHERE ref_date='2024-09-30' AND nome_perimetro='Individual Corporativo' AND segmento='ESTR' AND ambito='PM' AND entidade='00100' ) A  Inner join (SELECT entty_id as entty_id_to_be, cntry as cntry_to_be FROM bu_loantape_work.lt003_entity WHERE ref_date='2024-09-30' AND nome_perimetro='Individual Corporativo' AND segmento='ESTR' AND ambito='PM' AND entidade='00100' ) B ON entty_id_as_is = entty_id_to_be WHERE coalesce(cast(cntry_as_is as string), '') &lt;&gt; coalesce(cast(cntry_to_be as string), '') ) A </v>
      </c>
      <c r="O12" s="19" t="str">
        <f t="shared" si="4"/>
        <v>SELECT 'Validação de campos' as tipologia_teste, 'lt003_entity' AS TABELA, 'cntry' AS CAMPO, '2024-09-30' as ref_date, coalesce(NUM_REG_DIF, 0) AS NUM_REG_DIF FROM (SELECT count(*) AS NUM_REG_DIF FROM (SELECT entty_id as entty_id_as_is, cntry as cntry_as_is FROM cd_loan_tapes_bce.lt003_entity WHERE ref_date='2024-09-30' AND nome_perimetro='Individual Corporativo' AND segmento='ESTR' AND ambito='PM' AND entidade='00100' ) A  Inner join (SELECT entty_id as entty_id_to_be, cntry as cntry_to_be FROM bu_loantape_work.lt003_entity WHERE ref_date='2024-09-30' AND nome_perimetro='Individual Corporativo' AND segmento='ESTR' AND ambito='PM' AND entidade='00100' ) B ON entty_id_as_is = entty_id_to_be WHERE coalesce(cast(cntry_as_is as string), '') &lt;&gt; coalesce(cast(cntry_to_be as string), '') ) A UNION ALL</v>
      </c>
      <c r="P12" s="17">
        <f t="shared" si="5"/>
        <v>9</v>
      </c>
    </row>
    <row r="13" spans="2:16" s="15" customFormat="1" ht="11.45">
      <c r="B13" s="17" t="s">
        <v>11</v>
      </c>
      <c r="C13" s="17" t="str">
        <f>_xlfn.CONCAT(Instruções!$D$13,".",VLOOKUP(B13,Instruções!$F$12:$H$17,2,0))</f>
        <v>cd_loan_tapes_bce.lt003_entity</v>
      </c>
      <c r="D13" s="17" t="str">
        <f>_xlfn.CONCAT(Instruções!$D$14,".",VLOOKUP(B13,Instruções!$F$12:$H$17,3,0))</f>
        <v>bu_loantape_work.lt003_entity</v>
      </c>
      <c r="E13" s="17" t="s">
        <v>64</v>
      </c>
      <c r="F13" s="17" t="str">
        <f t="shared" si="0"/>
        <v>cod_soc_as_is</v>
      </c>
      <c r="G13" s="17" t="str">
        <f t="shared" si="1"/>
        <v>cod_soc_to_be</v>
      </c>
      <c r="H13" s="17" t="str">
        <f>IF(VLOOKUP(B13,Instruções!$F$13:$J$17,5,0)="",
"(SELECT "&amp;VLOOKUP(B13,Instruções!$F$13:$J$17,4,0)&amp;" as "&amp;VLOOKUP(B13,Instruções!$F$13:$J$17,4,0)&amp;"_"&amp;$F$2&amp;", "&amp;E13&amp;" as "&amp;F13&amp;" FROM "&amp;C13&amp;" WHERE "&amp;Instruções!$D$20&amp;") A ",
"(SELECT "&amp;VLOOKUP(B13,Instruções!$F$13:$J$17,4,0)&amp;" as "&amp;VLOOKUP(B13,Instruções!$F$13:$J$17,4,0)&amp;"_"&amp;$F$2&amp;", "&amp;VLOOKUP(B13,Instruções!$F$13:$J$17,5,0)&amp;" as "&amp;VLOOKUP(B13,Instruções!$F$13:$J$17,5,0)&amp;"_"&amp;$F$2&amp;","&amp;E13&amp;" as "&amp;F13&amp;" FROM "&amp;C13&amp;" WHERE "&amp;Instruções!$D$20&amp;") A ")</f>
        <v xml:space="preserve">(SELECT entty_id as entty_id_as_is, cod_soc as cod_soc_as_is FROM cd_loan_tapes_bce.lt003_entity WHERE ref_date='2024-09-30' AND nome_perimetro='Individual Corporativo' AND segmento='ESTR' AND ambito='PM' AND entidade='00100' ) A </v>
      </c>
      <c r="I13" s="17" t="str">
        <f>IF(VLOOKUP(B13,Instruções!$F$13:$J$17,5,0)="",
"(SELECT "&amp;VLOOKUP(B13,Instruções!$F$13:$J$17,4,0)&amp;" as "&amp;VLOOKUP(B13,Instruções!$F$13:$J$17,4,0)&amp;"_"&amp;$G$2&amp;", "&amp;E13&amp;" as "&amp;G13&amp;" FROM "&amp;D13&amp;" WHERE "&amp;Instruções!$D$21&amp;") B ",
"(SELECT "&amp;VLOOKUP(B13,Instruções!$F$13:$J$17,4,0)&amp;" as "&amp;VLOOKUP(B13,Instruções!$F$13:$J$17,4,0)&amp;"_"&amp;$G$2&amp;", "&amp;VLOOKUP(B13,Instruções!$F$13:$J$17,5,0)&amp;" as "&amp;VLOOKUP(B13,Instruções!$F$13:$J$17,5,0)&amp;"_"&amp;$G$2&amp;","&amp;E13&amp;" as "&amp;G13&amp;" FROM "&amp;D13&amp;" WHERE "&amp;Instruções!$D$21&amp;") B ")</f>
        <v xml:space="preserve">(SELECT entty_id as entty_id_to_be, cod_soc as cod_soc_to_be FROM bu_loantape_work.lt003_entity WHERE ref_date='2024-09-30' AND nome_perimetro='Individual Corporativo' AND segmento='ESTR' AND ambito='PM' AND entidade='00100' ) B </v>
      </c>
      <c r="J13" s="17" t="str">
        <f>IF(VLOOKUP(B13,Instruções!$F$13:$J$17,5,0)="",
"ON "&amp;VLOOKUP(B13,Instruções!$F$13:$J$17,4,0)&amp;"_"&amp;$F$2&amp;" = "&amp;VLOOKUP(B13,Instruções!$F$13:$J$17,4,0)&amp;"_"&amp;$G$2&amp;" ",
"ON "&amp;VLOOKUP(B13,Instruções!$F$13:$J$17,4,0)&amp;"_"&amp;$F$2&amp;" = "&amp;VLOOKUP(B13,Instruções!$F$13:$J$17,4,0)&amp;"_"&amp;$G$2&amp;" AND "&amp;VLOOKUP(B13,Instruções!$F$13:$J$17,5,0)&amp;"_"&amp;$F$2&amp;" = "&amp;VLOOKUP(B13,Instruções!$F$13:$J$17,5,0)&amp;"_"&amp;$G$2&amp;" ")</f>
        <v xml:space="preserve">ON entty_id_as_is = entty_id_to_be </v>
      </c>
      <c r="K13" s="17" t="str">
        <f t="shared" si="2"/>
        <v xml:space="preserve">WHERE coalesce(cast(cod_soc_as_is as string), '') &lt;&gt; coalesce(cast(cod_soc_to_be as string), '') </v>
      </c>
      <c r="L13" s="17" t="str">
        <f t="shared" si="3"/>
        <v xml:space="preserve">SELECT count(*) AS NUM_REG_DIF FROM (SELECT entty_id as entty_id_as_is, cod_soc as cod_soc_as_is FROM cd_loan_tapes_bce.lt003_entity WHERE ref_date='2024-09-30' AND nome_perimetro='Individual Corporativo' AND segmento='ESTR' AND ambito='PM' AND entidade='00100' ) A  Inner join (SELECT entty_id as entty_id_to_be, cod_soc as cod_soc_to_be FROM bu_loantape_work.lt003_entity WHERE ref_date='2024-09-30' AND nome_perimetro='Individual Corporativo' AND segmento='ESTR' AND ambito='PM' AND entidade='00100' ) B ON entty_id_as_is = entty_id_to_be WHERE coalesce(cast(cod_soc_as_is as string), '') &lt;&gt; coalesce(cast(cod_soc_to_be as string), '') </v>
      </c>
      <c r="M13" s="17" t="s">
        <v>55</v>
      </c>
      <c r="N13" s="17" t="str">
        <f>"SELECT 'Validação de campos' as tipologia_teste, '"&amp;VLOOKUP(B13,Instruções!$F$13:$J$17,3,0)&amp;"' AS TABELA, '"&amp;E13&amp;"' AS CAMPO, '"&amp;Instruções!$D$15&amp;"' as ref_date, coalesce(NUM_REG_DIF, 0) AS NUM_REG_DIF FROM ("&amp;L13&amp;") A "</f>
        <v xml:space="preserve">SELECT 'Validação de campos' as tipologia_teste, 'lt003_entity' AS TABELA, 'cod_soc' AS CAMPO, '2024-09-30' as ref_date, coalesce(NUM_REG_DIF, 0) AS NUM_REG_DIF FROM (SELECT count(*) AS NUM_REG_DIF FROM (SELECT entty_id as entty_id_as_is, cod_soc as cod_soc_as_is FROM cd_loan_tapes_bce.lt003_entity WHERE ref_date='2024-09-30' AND nome_perimetro='Individual Corporativo' AND segmento='ESTR' AND ambito='PM' AND entidade='00100' ) A  Inner join (SELECT entty_id as entty_id_to_be, cod_soc as cod_soc_to_be FROM bu_loantape_work.lt003_entity WHERE ref_date='2024-09-30' AND nome_perimetro='Individual Corporativo' AND segmento='ESTR' AND ambito='PM' AND entidade='00100' ) B ON entty_id_as_is = entty_id_to_be WHERE coalesce(cast(cod_soc_as_is as string), '') &lt;&gt; coalesce(cast(cod_soc_to_be as string), '') ) A </v>
      </c>
      <c r="O13" s="19" t="str">
        <f t="shared" si="4"/>
        <v>SELECT 'Validação de campos' as tipologia_teste, 'lt003_entity' AS TABELA, 'cod_soc' AS CAMPO, '2024-09-30' as ref_date, coalesce(NUM_REG_DIF, 0) AS NUM_REG_DIF FROM (SELECT count(*) AS NUM_REG_DIF FROM (SELECT entty_id as entty_id_as_is, cod_soc as cod_soc_as_is FROM cd_loan_tapes_bce.lt003_entity WHERE ref_date='2024-09-30' AND nome_perimetro='Individual Corporativo' AND segmento='ESTR' AND ambito='PM' AND entidade='00100' ) A  Inner join (SELECT entty_id as entty_id_to_be, cod_soc as cod_soc_to_be FROM bu_loantape_work.lt003_entity WHERE ref_date='2024-09-30' AND nome_perimetro='Individual Corporativo' AND segmento='ESTR' AND ambito='PM' AND entidade='00100' ) B ON entty_id_as_is = entty_id_to_be WHERE coalesce(cast(cod_soc_as_is as string), '') &lt;&gt; coalesce(cast(cod_soc_to_be as string), '') ) A UNION ALL</v>
      </c>
      <c r="P13" s="17">
        <f t="shared" si="5"/>
        <v>10</v>
      </c>
    </row>
    <row r="14" spans="2:16" s="15" customFormat="1" ht="11.45">
      <c r="B14" s="17" t="s">
        <v>11</v>
      </c>
      <c r="C14" s="17" t="str">
        <f>_xlfn.CONCAT(Instruções!$D$13,".",VLOOKUP(B14,Instruções!$F$12:$H$17,2,0))</f>
        <v>cd_loan_tapes_bce.lt003_entity</v>
      </c>
      <c r="D14" s="17" t="str">
        <f>_xlfn.CONCAT(Instruções!$D$14,".",VLOOKUP(B14,Instruções!$F$12:$H$17,3,0))</f>
        <v>bu_loantape_work.lt003_entity</v>
      </c>
      <c r="E14" s="17" t="s">
        <v>65</v>
      </c>
      <c r="F14" s="17" t="str">
        <f t="shared" si="0"/>
        <v>cr_flg_as_is</v>
      </c>
      <c r="G14" s="17" t="str">
        <f t="shared" si="1"/>
        <v>cr_flg_to_be</v>
      </c>
      <c r="H14" s="17" t="str">
        <f>IF(VLOOKUP(B14,Instruções!$F$13:$J$17,5,0)="",
"(SELECT "&amp;VLOOKUP(B14,Instruções!$F$13:$J$17,4,0)&amp;" as "&amp;VLOOKUP(B14,Instruções!$F$13:$J$17,4,0)&amp;"_"&amp;$F$2&amp;", "&amp;E14&amp;" as "&amp;F14&amp;" FROM "&amp;C14&amp;" WHERE "&amp;Instruções!$D$20&amp;") A ",
"(SELECT "&amp;VLOOKUP(B14,Instruções!$F$13:$J$17,4,0)&amp;" as "&amp;VLOOKUP(B14,Instruções!$F$13:$J$17,4,0)&amp;"_"&amp;$F$2&amp;", "&amp;VLOOKUP(B14,Instruções!$F$13:$J$17,5,0)&amp;" as "&amp;VLOOKUP(B14,Instruções!$F$13:$J$17,5,0)&amp;"_"&amp;$F$2&amp;","&amp;E14&amp;" as "&amp;F14&amp;" FROM "&amp;C14&amp;" WHERE "&amp;Instruções!$D$20&amp;") A ")</f>
        <v xml:space="preserve">(SELECT entty_id as entty_id_as_is, cr_flg as cr_flg_as_is FROM cd_loan_tapes_bce.lt003_entity WHERE ref_date='2024-09-30' AND nome_perimetro='Individual Corporativo' AND segmento='ESTR' AND ambito='PM' AND entidade='00100' ) A </v>
      </c>
      <c r="I14" s="17" t="str">
        <f>IF(VLOOKUP(B14,Instruções!$F$13:$J$17,5,0)="",
"(SELECT "&amp;VLOOKUP(B14,Instruções!$F$13:$J$17,4,0)&amp;" as "&amp;VLOOKUP(B14,Instruções!$F$13:$J$17,4,0)&amp;"_"&amp;$G$2&amp;", "&amp;E14&amp;" as "&amp;G14&amp;" FROM "&amp;D14&amp;" WHERE "&amp;Instruções!$D$21&amp;") B ",
"(SELECT "&amp;VLOOKUP(B14,Instruções!$F$13:$J$17,4,0)&amp;" as "&amp;VLOOKUP(B14,Instruções!$F$13:$J$17,4,0)&amp;"_"&amp;$G$2&amp;", "&amp;VLOOKUP(B14,Instruções!$F$13:$J$17,5,0)&amp;" as "&amp;VLOOKUP(B14,Instruções!$F$13:$J$17,5,0)&amp;"_"&amp;$G$2&amp;","&amp;E14&amp;" as "&amp;G14&amp;" FROM "&amp;D14&amp;" WHERE "&amp;Instruções!$D$21&amp;") B ")</f>
        <v xml:space="preserve">(SELECT entty_id as entty_id_to_be, cr_flg as cr_flg_to_be FROM bu_loantape_work.lt003_entity WHERE ref_date='2024-09-30' AND nome_perimetro='Individual Corporativo' AND segmento='ESTR' AND ambito='PM' AND entidade='00100' ) B </v>
      </c>
      <c r="J14" s="17" t="str">
        <f>IF(VLOOKUP(B14,Instruções!$F$13:$J$17,5,0)="",
"ON "&amp;VLOOKUP(B14,Instruções!$F$13:$J$17,4,0)&amp;"_"&amp;$F$2&amp;" = "&amp;VLOOKUP(B14,Instruções!$F$13:$J$17,4,0)&amp;"_"&amp;$G$2&amp;" ",
"ON "&amp;VLOOKUP(B14,Instruções!$F$13:$J$17,4,0)&amp;"_"&amp;$F$2&amp;" = "&amp;VLOOKUP(B14,Instruções!$F$13:$J$17,4,0)&amp;"_"&amp;$G$2&amp;" AND "&amp;VLOOKUP(B14,Instruções!$F$13:$J$17,5,0)&amp;"_"&amp;$F$2&amp;" = "&amp;VLOOKUP(B14,Instruções!$F$13:$J$17,5,0)&amp;"_"&amp;$G$2&amp;" ")</f>
        <v xml:space="preserve">ON entty_id_as_is = entty_id_to_be </v>
      </c>
      <c r="K14" s="17" t="str">
        <f t="shared" si="2"/>
        <v xml:space="preserve">WHERE coalesce(cast(cr_flg_as_is as string), '') &lt;&gt; coalesce(cast(cr_flg_to_be as string), '') </v>
      </c>
      <c r="L14" s="17" t="str">
        <f t="shared" si="3"/>
        <v xml:space="preserve">SELECT count(*) AS NUM_REG_DIF FROM (SELECT entty_id as entty_id_as_is, cr_flg as cr_flg_as_is FROM cd_loan_tapes_bce.lt003_entity WHERE ref_date='2024-09-30' AND nome_perimetro='Individual Corporativo' AND segmento='ESTR' AND ambito='PM' AND entidade='00100' ) A  Inner join (SELECT entty_id as entty_id_to_be, cr_flg as cr_flg_to_be FROM bu_loantape_work.lt003_entity WHERE ref_date='2024-09-30' AND nome_perimetro='Individual Corporativo' AND segmento='ESTR' AND ambito='PM' AND entidade='00100' ) B ON entty_id_as_is = entty_id_to_be WHERE coalesce(cast(cr_flg_as_is as string), '') &lt;&gt; coalesce(cast(cr_flg_to_be as string), '') </v>
      </c>
      <c r="M14" s="17" t="s">
        <v>55</v>
      </c>
      <c r="N14" s="17" t="str">
        <f>"SELECT 'Validação de campos' as tipologia_teste, '"&amp;VLOOKUP(B14,Instruções!$F$13:$J$17,3,0)&amp;"' AS TABELA, '"&amp;E14&amp;"' AS CAMPO, '"&amp;Instruções!$D$15&amp;"' as ref_date, coalesce(NUM_REG_DIF, 0) AS NUM_REG_DIF FROM ("&amp;L14&amp;") A "</f>
        <v xml:space="preserve">SELECT 'Validação de campos' as tipologia_teste, 'lt003_entity' AS TABELA, 'cr_flg' AS CAMPO, '2024-09-30' as ref_date, coalesce(NUM_REG_DIF, 0) AS NUM_REG_DIF FROM (SELECT count(*) AS NUM_REG_DIF FROM (SELECT entty_id as entty_id_as_is, cr_flg as cr_flg_as_is FROM cd_loan_tapes_bce.lt003_entity WHERE ref_date='2024-09-30' AND nome_perimetro='Individual Corporativo' AND segmento='ESTR' AND ambito='PM' AND entidade='00100' ) A  Inner join (SELECT entty_id as entty_id_to_be, cr_flg as cr_flg_to_be FROM bu_loantape_work.lt003_entity WHERE ref_date='2024-09-30' AND nome_perimetro='Individual Corporativo' AND segmento='ESTR' AND ambito='PM' AND entidade='00100' ) B ON entty_id_as_is = entty_id_to_be WHERE coalesce(cast(cr_flg_as_is as string), '') &lt;&gt; coalesce(cast(cr_flg_to_be as string), '') ) A </v>
      </c>
      <c r="O14" s="19" t="str">
        <f t="shared" si="4"/>
        <v>SELECT 'Validação de campos' as tipologia_teste, 'lt003_entity' AS TABELA, 'cr_flg' AS CAMPO, '2024-09-30' as ref_date, coalesce(NUM_REG_DIF, 0) AS NUM_REG_DIF FROM (SELECT count(*) AS NUM_REG_DIF FROM (SELECT entty_id as entty_id_as_is, cr_flg as cr_flg_as_is FROM cd_loan_tapes_bce.lt003_entity WHERE ref_date='2024-09-30' AND nome_perimetro='Individual Corporativo' AND segmento='ESTR' AND ambito='PM' AND entidade='00100' ) A  Inner join (SELECT entty_id as entty_id_to_be, cr_flg as cr_flg_to_be FROM bu_loantape_work.lt003_entity WHERE ref_date='2024-09-30' AND nome_perimetro='Individual Corporativo' AND segmento='ESTR' AND ambito='PM' AND entidade='00100' ) B ON entty_id_as_is = entty_id_to_be WHERE coalesce(cast(cr_flg_as_is as string), '') &lt;&gt; coalesce(cast(cr_flg_to_be as string), '') ) A UNION ALL</v>
      </c>
      <c r="P14" s="17">
        <f t="shared" si="5"/>
        <v>11</v>
      </c>
    </row>
    <row r="15" spans="2:16" s="15" customFormat="1" ht="11.45">
      <c r="B15" s="17" t="s">
        <v>11</v>
      </c>
      <c r="C15" s="17" t="str">
        <f>_xlfn.CONCAT(Instruções!$D$13,".",VLOOKUP(B15,Instruções!$F$12:$H$17,2,0))</f>
        <v>cd_loan_tapes_bce.lt003_entity</v>
      </c>
      <c r="D15" s="17" t="str">
        <f>_xlfn.CONCAT(Instruções!$D$14,".",VLOOKUP(B15,Instruções!$F$12:$H$17,3,0))</f>
        <v>bu_loantape_work.lt003_entity</v>
      </c>
      <c r="E15" s="17" t="s">
        <v>66</v>
      </c>
      <c r="F15" s="17" t="str">
        <f t="shared" si="0"/>
        <v>csh_as_is</v>
      </c>
      <c r="G15" s="17" t="str">
        <f t="shared" si="1"/>
        <v>csh_to_be</v>
      </c>
      <c r="H15" s="17" t="str">
        <f>IF(VLOOKUP(B15,Instruções!$F$13:$J$17,5,0)="",
"(SELECT "&amp;VLOOKUP(B15,Instruções!$F$13:$J$17,4,0)&amp;" as "&amp;VLOOKUP(B15,Instruções!$F$13:$J$17,4,0)&amp;"_"&amp;$F$2&amp;", "&amp;E15&amp;" as "&amp;F15&amp;" FROM "&amp;C15&amp;" WHERE "&amp;Instruções!$D$20&amp;") A ",
"(SELECT "&amp;VLOOKUP(B15,Instruções!$F$13:$J$17,4,0)&amp;" as "&amp;VLOOKUP(B15,Instruções!$F$13:$J$17,4,0)&amp;"_"&amp;$F$2&amp;", "&amp;VLOOKUP(B15,Instruções!$F$13:$J$17,5,0)&amp;" as "&amp;VLOOKUP(B15,Instruções!$F$13:$J$17,5,0)&amp;"_"&amp;$F$2&amp;","&amp;E15&amp;" as "&amp;F15&amp;" FROM "&amp;C15&amp;" WHERE "&amp;Instruções!$D$20&amp;") A ")</f>
        <v xml:space="preserve">(SELECT entty_id as entty_id_as_is, csh as csh_as_is FROM cd_loan_tapes_bce.lt003_entity WHERE ref_date='2024-09-30' AND nome_perimetro='Individual Corporativo' AND segmento='ESTR' AND ambito='PM' AND entidade='00100' ) A </v>
      </c>
      <c r="I15" s="17" t="str">
        <f>IF(VLOOKUP(B15,Instruções!$F$13:$J$17,5,0)="",
"(SELECT "&amp;VLOOKUP(B15,Instruções!$F$13:$J$17,4,0)&amp;" as "&amp;VLOOKUP(B15,Instruções!$F$13:$J$17,4,0)&amp;"_"&amp;$G$2&amp;", "&amp;E15&amp;" as "&amp;G15&amp;" FROM "&amp;D15&amp;" WHERE "&amp;Instruções!$D$21&amp;") B ",
"(SELECT "&amp;VLOOKUP(B15,Instruções!$F$13:$J$17,4,0)&amp;" as "&amp;VLOOKUP(B15,Instruções!$F$13:$J$17,4,0)&amp;"_"&amp;$G$2&amp;", "&amp;VLOOKUP(B15,Instruções!$F$13:$J$17,5,0)&amp;" as "&amp;VLOOKUP(B15,Instruções!$F$13:$J$17,5,0)&amp;"_"&amp;$G$2&amp;","&amp;E15&amp;" as "&amp;G15&amp;" FROM "&amp;D15&amp;" WHERE "&amp;Instruções!$D$21&amp;") B ")</f>
        <v xml:space="preserve">(SELECT entty_id as entty_id_to_be, csh as csh_to_be FROM bu_loantape_work.lt003_entity WHERE ref_date='2024-09-30' AND nome_perimetro='Individual Corporativo' AND segmento='ESTR' AND ambito='PM' AND entidade='00100' ) B </v>
      </c>
      <c r="J15" s="17" t="str">
        <f>IF(VLOOKUP(B15,Instruções!$F$13:$J$17,5,0)="",
"ON "&amp;VLOOKUP(B15,Instruções!$F$13:$J$17,4,0)&amp;"_"&amp;$F$2&amp;" = "&amp;VLOOKUP(B15,Instruções!$F$13:$J$17,4,0)&amp;"_"&amp;$G$2&amp;" ",
"ON "&amp;VLOOKUP(B15,Instruções!$F$13:$J$17,4,0)&amp;"_"&amp;$F$2&amp;" = "&amp;VLOOKUP(B15,Instruções!$F$13:$J$17,4,0)&amp;"_"&amp;$G$2&amp;" AND "&amp;VLOOKUP(B15,Instruções!$F$13:$J$17,5,0)&amp;"_"&amp;$F$2&amp;" = "&amp;VLOOKUP(B15,Instruções!$F$13:$J$17,5,0)&amp;"_"&amp;$G$2&amp;" ")</f>
        <v xml:space="preserve">ON entty_id_as_is = entty_id_to_be </v>
      </c>
      <c r="K15" s="17" t="str">
        <f t="shared" si="2"/>
        <v xml:space="preserve">WHERE coalesce(cast(csh_as_is as string), '') &lt;&gt; coalesce(cast(csh_to_be as string), '') </v>
      </c>
      <c r="L15" s="17" t="str">
        <f t="shared" si="3"/>
        <v xml:space="preserve">SELECT count(*) AS NUM_REG_DIF FROM (SELECT entty_id as entty_id_as_is, csh as csh_as_is FROM cd_loan_tapes_bce.lt003_entity WHERE ref_date='2024-09-30' AND nome_perimetro='Individual Corporativo' AND segmento='ESTR' AND ambito='PM' AND entidade='00100' ) A  Inner join (SELECT entty_id as entty_id_to_be, csh as csh_to_be FROM bu_loantape_work.lt003_entity WHERE ref_date='2024-09-30' AND nome_perimetro='Individual Corporativo' AND segmento='ESTR' AND ambito='PM' AND entidade='00100' ) B ON entty_id_as_is = entty_id_to_be WHERE coalesce(cast(csh_as_is as string), '') &lt;&gt; coalesce(cast(csh_to_be as string), '') </v>
      </c>
      <c r="M15" s="17" t="s">
        <v>55</v>
      </c>
      <c r="N15" s="17" t="str">
        <f>"SELECT 'Validação de campos' as tipologia_teste, '"&amp;VLOOKUP(B15,Instruções!$F$13:$J$17,3,0)&amp;"' AS TABELA, '"&amp;E15&amp;"' AS CAMPO, '"&amp;Instruções!$D$15&amp;"' as ref_date, coalesce(NUM_REG_DIF, 0) AS NUM_REG_DIF FROM ("&amp;L15&amp;") A "</f>
        <v xml:space="preserve">SELECT 'Validação de campos' as tipologia_teste, 'lt003_entity' AS TABELA, 'csh' AS CAMPO, '2024-09-30' as ref_date, coalesce(NUM_REG_DIF, 0) AS NUM_REG_DIF FROM (SELECT count(*) AS NUM_REG_DIF FROM (SELECT entty_id as entty_id_as_is, csh as csh_as_is FROM cd_loan_tapes_bce.lt003_entity WHERE ref_date='2024-09-30' AND nome_perimetro='Individual Corporativo' AND segmento='ESTR' AND ambito='PM' AND entidade='00100' ) A  Inner join (SELECT entty_id as entty_id_to_be, csh as csh_to_be FROM bu_loantape_work.lt003_entity WHERE ref_date='2024-09-30' AND nome_perimetro='Individual Corporativo' AND segmento='ESTR' AND ambito='PM' AND entidade='00100' ) B ON entty_id_as_is = entty_id_to_be WHERE coalesce(cast(csh_as_is as string), '') &lt;&gt; coalesce(cast(csh_to_be as string), '') ) A </v>
      </c>
      <c r="O15" s="19" t="str">
        <f t="shared" si="4"/>
        <v>SELECT 'Validação de campos' as tipologia_teste, 'lt003_entity' AS TABELA, 'csh' AS CAMPO, '2024-09-30' as ref_date, coalesce(NUM_REG_DIF, 0) AS NUM_REG_DIF FROM (SELECT count(*) AS NUM_REG_DIF FROM (SELECT entty_id as entty_id_as_is, csh as csh_as_is FROM cd_loan_tapes_bce.lt003_entity WHERE ref_date='2024-09-30' AND nome_perimetro='Individual Corporativo' AND segmento='ESTR' AND ambito='PM' AND entidade='00100' ) A  Inner join (SELECT entty_id as entty_id_to_be, csh as csh_to_be FROM bu_loantape_work.lt003_entity WHERE ref_date='2024-09-30' AND nome_perimetro='Individual Corporativo' AND segmento='ESTR' AND ambito='PM' AND entidade='00100' ) B ON entty_id_as_is = entty_id_to_be WHERE coalesce(cast(csh_as_is as string), '') &lt;&gt; coalesce(cast(csh_to_be as string), '') ) A UNION ALL</v>
      </c>
      <c r="P15" s="17">
        <f t="shared" si="5"/>
        <v>12</v>
      </c>
    </row>
    <row r="16" spans="2:16" s="15" customFormat="1" ht="11.45">
      <c r="B16" s="17" t="s">
        <v>11</v>
      </c>
      <c r="C16" s="17" t="str">
        <f>_xlfn.CONCAT(Instruções!$D$13,".",VLOOKUP(B16,Instruções!$F$12:$H$17,2,0))</f>
        <v>cd_loan_tapes_bce.lt003_entity</v>
      </c>
      <c r="D16" s="17" t="str">
        <f>_xlfn.CONCAT(Instruções!$D$14,".",VLOOKUP(B16,Instruções!$F$12:$H$17,3,0))</f>
        <v>bu_loantape_work.lt003_entity</v>
      </c>
      <c r="E16" s="17" t="s">
        <v>67</v>
      </c>
      <c r="F16" s="17" t="str">
        <f t="shared" si="0"/>
        <v>csh_prvs_as_is</v>
      </c>
      <c r="G16" s="17" t="str">
        <f t="shared" si="1"/>
        <v>csh_prvs_to_be</v>
      </c>
      <c r="H16" s="17" t="str">
        <f>IF(VLOOKUP(B16,Instruções!$F$13:$J$17,5,0)="",
"(SELECT "&amp;VLOOKUP(B16,Instruções!$F$13:$J$17,4,0)&amp;" as "&amp;VLOOKUP(B16,Instruções!$F$13:$J$17,4,0)&amp;"_"&amp;$F$2&amp;", "&amp;E16&amp;" as "&amp;F16&amp;" FROM "&amp;C16&amp;" WHERE "&amp;Instruções!$D$20&amp;") A ",
"(SELECT "&amp;VLOOKUP(B16,Instruções!$F$13:$J$17,4,0)&amp;" as "&amp;VLOOKUP(B16,Instruções!$F$13:$J$17,4,0)&amp;"_"&amp;$F$2&amp;", "&amp;VLOOKUP(B16,Instruções!$F$13:$J$17,5,0)&amp;" as "&amp;VLOOKUP(B16,Instruções!$F$13:$J$17,5,0)&amp;"_"&amp;$F$2&amp;","&amp;E16&amp;" as "&amp;F16&amp;" FROM "&amp;C16&amp;" WHERE "&amp;Instruções!$D$20&amp;") A ")</f>
        <v xml:space="preserve">(SELECT entty_id as entty_id_as_is, csh_prvs as csh_prvs_as_is FROM cd_loan_tapes_bce.lt003_entity WHERE ref_date='2024-09-30' AND nome_perimetro='Individual Corporativo' AND segmento='ESTR' AND ambito='PM' AND entidade='00100' ) A </v>
      </c>
      <c r="I16" s="17" t="str">
        <f>IF(VLOOKUP(B16,Instruções!$F$13:$J$17,5,0)="",
"(SELECT "&amp;VLOOKUP(B16,Instruções!$F$13:$J$17,4,0)&amp;" as "&amp;VLOOKUP(B16,Instruções!$F$13:$J$17,4,0)&amp;"_"&amp;$G$2&amp;", "&amp;E16&amp;" as "&amp;G16&amp;" FROM "&amp;D16&amp;" WHERE "&amp;Instruções!$D$21&amp;") B ",
"(SELECT "&amp;VLOOKUP(B16,Instruções!$F$13:$J$17,4,0)&amp;" as "&amp;VLOOKUP(B16,Instruções!$F$13:$J$17,4,0)&amp;"_"&amp;$G$2&amp;", "&amp;VLOOKUP(B16,Instruções!$F$13:$J$17,5,0)&amp;" as "&amp;VLOOKUP(B16,Instruções!$F$13:$J$17,5,0)&amp;"_"&amp;$G$2&amp;","&amp;E16&amp;" as "&amp;G16&amp;" FROM "&amp;D16&amp;" WHERE "&amp;Instruções!$D$21&amp;") B ")</f>
        <v xml:space="preserve">(SELECT entty_id as entty_id_to_be, csh_prvs as csh_prvs_to_be FROM bu_loantape_work.lt003_entity WHERE ref_date='2024-09-30' AND nome_perimetro='Individual Corporativo' AND segmento='ESTR' AND ambito='PM' AND entidade='00100' ) B </v>
      </c>
      <c r="J16" s="17" t="str">
        <f>IF(VLOOKUP(B16,Instruções!$F$13:$J$17,5,0)="",
"ON "&amp;VLOOKUP(B16,Instruções!$F$13:$J$17,4,0)&amp;"_"&amp;$F$2&amp;" = "&amp;VLOOKUP(B16,Instruções!$F$13:$J$17,4,0)&amp;"_"&amp;$G$2&amp;" ",
"ON "&amp;VLOOKUP(B16,Instruções!$F$13:$J$17,4,0)&amp;"_"&amp;$F$2&amp;" = "&amp;VLOOKUP(B16,Instruções!$F$13:$J$17,4,0)&amp;"_"&amp;$G$2&amp;" AND "&amp;VLOOKUP(B16,Instruções!$F$13:$J$17,5,0)&amp;"_"&amp;$F$2&amp;" = "&amp;VLOOKUP(B16,Instruções!$F$13:$J$17,5,0)&amp;"_"&amp;$G$2&amp;" ")</f>
        <v xml:space="preserve">ON entty_id_as_is = entty_id_to_be </v>
      </c>
      <c r="K16" s="17" t="str">
        <f t="shared" si="2"/>
        <v xml:space="preserve">WHERE coalesce(cast(csh_prvs_as_is as string), '') &lt;&gt; coalesce(cast(csh_prvs_to_be as string), '') </v>
      </c>
      <c r="L16" s="17" t="str">
        <f t="shared" si="3"/>
        <v xml:space="preserve">SELECT count(*) AS NUM_REG_DIF FROM (SELECT entty_id as entty_id_as_is, csh_prvs as csh_prvs_as_is FROM cd_loan_tapes_bce.lt003_entity WHERE ref_date='2024-09-30' AND nome_perimetro='Individual Corporativo' AND segmento='ESTR' AND ambito='PM' AND entidade='00100' ) A  Inner join (SELECT entty_id as entty_id_to_be, csh_prvs as csh_prvs_to_be FROM bu_loantape_work.lt003_entity WHERE ref_date='2024-09-30' AND nome_perimetro='Individual Corporativo' AND segmento='ESTR' AND ambito='PM' AND entidade='00100' ) B ON entty_id_as_is = entty_id_to_be WHERE coalesce(cast(csh_prvs_as_is as string), '') &lt;&gt; coalesce(cast(csh_prvs_to_be as string), '') </v>
      </c>
      <c r="M16" s="17" t="s">
        <v>55</v>
      </c>
      <c r="N16" s="17" t="str">
        <f>"SELECT 'Validação de campos' as tipologia_teste, '"&amp;VLOOKUP(B16,Instruções!$F$13:$J$17,3,0)&amp;"' AS TABELA, '"&amp;E16&amp;"' AS CAMPO, '"&amp;Instruções!$D$15&amp;"' as ref_date, coalesce(NUM_REG_DIF, 0) AS NUM_REG_DIF FROM ("&amp;L16&amp;") A "</f>
        <v xml:space="preserve">SELECT 'Validação de campos' as tipologia_teste, 'lt003_entity' AS TABELA, 'csh_prvs' AS CAMPO, '2024-09-30' as ref_date, coalesce(NUM_REG_DIF, 0) AS NUM_REG_DIF FROM (SELECT count(*) AS NUM_REG_DIF FROM (SELECT entty_id as entty_id_as_is, csh_prvs as csh_prvs_as_is FROM cd_loan_tapes_bce.lt003_entity WHERE ref_date='2024-09-30' AND nome_perimetro='Individual Corporativo' AND segmento='ESTR' AND ambito='PM' AND entidade='00100' ) A  Inner join (SELECT entty_id as entty_id_to_be, csh_prvs as csh_prvs_to_be FROM bu_loantape_work.lt003_entity WHERE ref_date='2024-09-30' AND nome_perimetro='Individual Corporativo' AND segmento='ESTR' AND ambito='PM' AND entidade='00100' ) B ON entty_id_as_is = entty_id_to_be WHERE coalesce(cast(csh_prvs_as_is as string), '') &lt;&gt; coalesce(cast(csh_prvs_to_be as string), '') ) A </v>
      </c>
      <c r="O16" s="19" t="str">
        <f t="shared" si="4"/>
        <v>SELECT 'Validação de campos' as tipologia_teste, 'lt003_entity' AS TABELA, 'csh_prvs' AS CAMPO, '2024-09-30' as ref_date, coalesce(NUM_REG_DIF, 0) AS NUM_REG_DIF FROM (SELECT count(*) AS NUM_REG_DIF FROM (SELECT entty_id as entty_id_as_is, csh_prvs as csh_prvs_as_is FROM cd_loan_tapes_bce.lt003_entity WHERE ref_date='2024-09-30' AND nome_perimetro='Individual Corporativo' AND segmento='ESTR' AND ambito='PM' AND entidade='00100' ) A  Inner join (SELECT entty_id as entty_id_to_be, csh_prvs as csh_prvs_to_be FROM bu_loantape_work.lt003_entity WHERE ref_date='2024-09-30' AND nome_perimetro='Individual Corporativo' AND segmento='ESTR' AND ambito='PM' AND entidade='00100' ) B ON entty_id_as_is = entty_id_to_be WHERE coalesce(cast(csh_prvs_as_is as string), '') &lt;&gt; coalesce(cast(csh_prvs_to_be as string), '') ) A UNION ALL</v>
      </c>
      <c r="P16" s="17">
        <f t="shared" si="5"/>
        <v>13</v>
      </c>
    </row>
    <row r="17" spans="2:16" s="15" customFormat="1" ht="11.45">
      <c r="B17" s="17" t="s">
        <v>11</v>
      </c>
      <c r="C17" s="17" t="str">
        <f>_xlfn.CONCAT(Instruções!$D$13,".",VLOOKUP(B17,Instruções!$F$12:$H$17,2,0))</f>
        <v>cd_loan_tapes_bce.lt003_entity</v>
      </c>
      <c r="D17" s="17" t="str">
        <f>_xlfn.CONCAT(Instruções!$D$14,".",VLOOKUP(B17,Instruções!$F$12:$H$17,3,0))</f>
        <v>bu_loantape_work.lt003_entity</v>
      </c>
      <c r="E17" s="17" t="s">
        <v>68</v>
      </c>
      <c r="F17" s="17" t="str">
        <f t="shared" si="0"/>
        <v>dbt_rpymnt_cpcty_snr_dbt_as_is</v>
      </c>
      <c r="G17" s="17" t="str">
        <f t="shared" si="1"/>
        <v>dbt_rpymnt_cpcty_snr_dbt_to_be</v>
      </c>
      <c r="H17" s="17" t="str">
        <f>IF(VLOOKUP(B17,Instruções!$F$13:$J$17,5,0)="",
"(SELECT "&amp;VLOOKUP(B17,Instruções!$F$13:$J$17,4,0)&amp;" as "&amp;VLOOKUP(B17,Instruções!$F$13:$J$17,4,0)&amp;"_"&amp;$F$2&amp;", "&amp;E17&amp;" as "&amp;F17&amp;" FROM "&amp;C17&amp;" WHERE "&amp;Instruções!$D$20&amp;") A ",
"(SELECT "&amp;VLOOKUP(B17,Instruções!$F$13:$J$17,4,0)&amp;" as "&amp;VLOOKUP(B17,Instruções!$F$13:$J$17,4,0)&amp;"_"&amp;$F$2&amp;", "&amp;VLOOKUP(B17,Instruções!$F$13:$J$17,5,0)&amp;" as "&amp;VLOOKUP(B17,Instruções!$F$13:$J$17,5,0)&amp;"_"&amp;$F$2&amp;","&amp;E17&amp;" as "&amp;F17&amp;" FROM "&amp;C17&amp;" WHERE "&amp;Instruções!$D$20&amp;") A ")</f>
        <v xml:space="preserve">(SELECT entty_id as entty_id_as_is, dbt_rpymnt_cpcty_snr_dbt as dbt_rpymnt_cpcty_snr_dbt_as_is FROM cd_loan_tapes_bce.lt003_entity WHERE ref_date='2024-09-30' AND nome_perimetro='Individual Corporativo' AND segmento='ESTR' AND ambito='PM' AND entidade='00100' ) A </v>
      </c>
      <c r="I17" s="17" t="str">
        <f>IF(VLOOKUP(B17,Instruções!$F$13:$J$17,5,0)="",
"(SELECT "&amp;VLOOKUP(B17,Instruções!$F$13:$J$17,4,0)&amp;" as "&amp;VLOOKUP(B17,Instruções!$F$13:$J$17,4,0)&amp;"_"&amp;$G$2&amp;", "&amp;E17&amp;" as "&amp;G17&amp;" FROM "&amp;D17&amp;" WHERE "&amp;Instruções!$D$21&amp;") B ",
"(SELECT "&amp;VLOOKUP(B17,Instruções!$F$13:$J$17,4,0)&amp;" as "&amp;VLOOKUP(B17,Instruções!$F$13:$J$17,4,0)&amp;"_"&amp;$G$2&amp;", "&amp;VLOOKUP(B17,Instruções!$F$13:$J$17,5,0)&amp;" as "&amp;VLOOKUP(B17,Instruções!$F$13:$J$17,5,0)&amp;"_"&amp;$G$2&amp;","&amp;E17&amp;" as "&amp;G17&amp;" FROM "&amp;D17&amp;" WHERE "&amp;Instruções!$D$21&amp;") B ")</f>
        <v xml:space="preserve">(SELECT entty_id as entty_id_to_be, dbt_rpymnt_cpcty_snr_dbt as dbt_rpymnt_cpcty_snr_dbt_to_be FROM bu_loantape_work.lt003_entity WHERE ref_date='2024-09-30' AND nome_perimetro='Individual Corporativo' AND segmento='ESTR' AND ambito='PM' AND entidade='00100' ) B </v>
      </c>
      <c r="J17" s="17" t="str">
        <f>IF(VLOOKUP(B17,Instruções!$F$13:$J$17,5,0)="",
"ON "&amp;VLOOKUP(B17,Instruções!$F$13:$J$17,4,0)&amp;"_"&amp;$F$2&amp;" = "&amp;VLOOKUP(B17,Instruções!$F$13:$J$17,4,0)&amp;"_"&amp;$G$2&amp;" ",
"ON "&amp;VLOOKUP(B17,Instruções!$F$13:$J$17,4,0)&amp;"_"&amp;$F$2&amp;" = "&amp;VLOOKUP(B17,Instruções!$F$13:$J$17,4,0)&amp;"_"&amp;$G$2&amp;" AND "&amp;VLOOKUP(B17,Instruções!$F$13:$J$17,5,0)&amp;"_"&amp;$F$2&amp;" = "&amp;VLOOKUP(B17,Instruções!$F$13:$J$17,5,0)&amp;"_"&amp;$G$2&amp;" ")</f>
        <v xml:space="preserve">ON entty_id_as_is = entty_id_to_be </v>
      </c>
      <c r="K17" s="17" t="str">
        <f t="shared" si="2"/>
        <v xml:space="preserve">WHERE coalesce(cast(dbt_rpymnt_cpcty_snr_dbt_as_is as string), '') &lt;&gt; coalesce(cast(dbt_rpymnt_cpcty_snr_dbt_to_be as string), '') </v>
      </c>
      <c r="L17" s="17" t="str">
        <f t="shared" si="3"/>
        <v xml:space="preserve">SELECT count(*) AS NUM_REG_DIF FROM (SELECT entty_id as entty_id_as_is, dbt_rpymnt_cpcty_snr_dbt as dbt_rpymnt_cpcty_snr_dbt_as_is FROM cd_loan_tapes_bce.lt003_entity WHERE ref_date='2024-09-30' AND nome_perimetro='Individual Corporativo' AND segmento='ESTR' AND ambito='PM' AND entidade='00100' ) A  Inner join (SELECT entty_id as entty_id_to_be, dbt_rpymnt_cpcty_snr_dbt as dbt_rpymnt_cpcty_snr_dbt_to_be FROM bu_loantape_work.lt003_entity WHERE ref_date='2024-09-30' AND nome_perimetro='Individual Corporativo' AND segmento='ESTR' AND ambito='PM' AND entidade='00100' ) B ON entty_id_as_is = entty_id_to_be WHERE coalesce(cast(dbt_rpymnt_cpcty_snr_dbt_as_is as string), '') &lt;&gt; coalesce(cast(dbt_rpymnt_cpcty_snr_dbt_to_be as string), '') </v>
      </c>
      <c r="M17" s="17" t="s">
        <v>55</v>
      </c>
      <c r="N17" s="17" t="str">
        <f>"SELECT 'Validação de campos' as tipologia_teste, '"&amp;VLOOKUP(B17,Instruções!$F$13:$J$17,3,0)&amp;"' AS TABELA, '"&amp;E17&amp;"' AS CAMPO, '"&amp;Instruções!$D$15&amp;"' as ref_date, coalesce(NUM_REG_DIF, 0) AS NUM_REG_DIF FROM ("&amp;L17&amp;") A "</f>
        <v xml:space="preserve">SELECT 'Validação de campos' as tipologia_teste, 'lt003_entity' AS TABELA, 'dbt_rpymnt_cpcty_snr_dbt' AS CAMPO, '2024-09-30' as ref_date, coalesce(NUM_REG_DIF, 0) AS NUM_REG_DIF FROM (SELECT count(*) AS NUM_REG_DIF FROM (SELECT entty_id as entty_id_as_is, dbt_rpymnt_cpcty_snr_dbt as dbt_rpymnt_cpcty_snr_dbt_as_is FROM cd_loan_tapes_bce.lt003_entity WHERE ref_date='2024-09-30' AND nome_perimetro='Individual Corporativo' AND segmento='ESTR' AND ambito='PM' AND entidade='00100' ) A  Inner join (SELECT entty_id as entty_id_to_be, dbt_rpymnt_cpcty_snr_dbt as dbt_rpymnt_cpcty_snr_dbt_to_be FROM bu_loantape_work.lt003_entity WHERE ref_date='2024-09-30' AND nome_perimetro='Individual Corporativo' AND segmento='ESTR' AND ambito='PM' AND entidade='00100' ) B ON entty_id_as_is = entty_id_to_be WHERE coalesce(cast(dbt_rpymnt_cpcty_snr_dbt_as_is as string), '') &lt;&gt; coalesce(cast(dbt_rpymnt_cpcty_snr_dbt_to_be as string), '') ) A </v>
      </c>
      <c r="O17" s="19" t="str">
        <f t="shared" si="4"/>
        <v>SELECT 'Validação de campos' as tipologia_teste, 'lt003_entity' AS TABELA, 'dbt_rpymnt_cpcty_snr_dbt' AS CAMPO, '2024-09-30' as ref_date, coalesce(NUM_REG_DIF, 0) AS NUM_REG_DIF FROM (SELECT count(*) AS NUM_REG_DIF FROM (SELECT entty_id as entty_id_as_is, dbt_rpymnt_cpcty_snr_dbt as dbt_rpymnt_cpcty_snr_dbt_as_is FROM cd_loan_tapes_bce.lt003_entity WHERE ref_date='2024-09-30' AND nome_perimetro='Individual Corporativo' AND segmento='ESTR' AND ambito='PM' AND entidade='00100' ) A  Inner join (SELECT entty_id as entty_id_to_be, dbt_rpymnt_cpcty_snr_dbt as dbt_rpymnt_cpcty_snr_dbt_to_be FROM bu_loantape_work.lt003_entity WHERE ref_date='2024-09-30' AND nome_perimetro='Individual Corporativo' AND segmento='ESTR' AND ambito='PM' AND entidade='00100' ) B ON entty_id_as_is = entty_id_to_be WHERE coalesce(cast(dbt_rpymnt_cpcty_snr_dbt_as_is as string), '') &lt;&gt; coalesce(cast(dbt_rpymnt_cpcty_snr_dbt_to_be as string), '') ) A UNION ALL</v>
      </c>
      <c r="P17" s="17">
        <f t="shared" si="5"/>
        <v>14</v>
      </c>
    </row>
    <row r="18" spans="2:16" s="15" customFormat="1" ht="11.45">
      <c r="B18" s="17" t="s">
        <v>11</v>
      </c>
      <c r="C18" s="17" t="str">
        <f>_xlfn.CONCAT(Instruções!$D$13,".",VLOOKUP(B18,Instruções!$F$12:$H$17,2,0))</f>
        <v>cd_loan_tapes_bce.lt003_entity</v>
      </c>
      <c r="D18" s="17" t="str">
        <f>_xlfn.CONCAT(Instruções!$D$14,".",VLOOKUP(B18,Instruções!$F$12:$H$17,3,0))</f>
        <v>bu_loantape_work.lt003_entity</v>
      </c>
      <c r="E18" s="17" t="s">
        <v>69</v>
      </c>
      <c r="F18" s="17" t="str">
        <f t="shared" si="0"/>
        <v>dbt_rpymnt_cpcty_ttl_as_is</v>
      </c>
      <c r="G18" s="17" t="str">
        <f t="shared" si="1"/>
        <v>dbt_rpymnt_cpcty_ttl_to_be</v>
      </c>
      <c r="H18" s="17" t="str">
        <f>IF(VLOOKUP(B18,Instruções!$F$13:$J$17,5,0)="",
"(SELECT "&amp;VLOOKUP(B18,Instruções!$F$13:$J$17,4,0)&amp;" as "&amp;VLOOKUP(B18,Instruções!$F$13:$J$17,4,0)&amp;"_"&amp;$F$2&amp;", "&amp;E18&amp;" as "&amp;F18&amp;" FROM "&amp;C18&amp;" WHERE "&amp;Instruções!$D$20&amp;") A ",
"(SELECT "&amp;VLOOKUP(B18,Instruções!$F$13:$J$17,4,0)&amp;" as "&amp;VLOOKUP(B18,Instruções!$F$13:$J$17,4,0)&amp;"_"&amp;$F$2&amp;", "&amp;VLOOKUP(B18,Instruções!$F$13:$J$17,5,0)&amp;" as "&amp;VLOOKUP(B18,Instruções!$F$13:$J$17,5,0)&amp;"_"&amp;$F$2&amp;","&amp;E18&amp;" as "&amp;F18&amp;" FROM "&amp;C18&amp;" WHERE "&amp;Instruções!$D$20&amp;") A ")</f>
        <v xml:space="preserve">(SELECT entty_id as entty_id_as_is, dbt_rpymnt_cpcty_ttl as dbt_rpymnt_cpcty_ttl_as_is FROM cd_loan_tapes_bce.lt003_entity WHERE ref_date='2024-09-30' AND nome_perimetro='Individual Corporativo' AND segmento='ESTR' AND ambito='PM' AND entidade='00100' ) A </v>
      </c>
      <c r="I18" s="17" t="str">
        <f>IF(VLOOKUP(B18,Instruções!$F$13:$J$17,5,0)="",
"(SELECT "&amp;VLOOKUP(B18,Instruções!$F$13:$J$17,4,0)&amp;" as "&amp;VLOOKUP(B18,Instruções!$F$13:$J$17,4,0)&amp;"_"&amp;$G$2&amp;", "&amp;E18&amp;" as "&amp;G18&amp;" FROM "&amp;D18&amp;" WHERE "&amp;Instruções!$D$21&amp;") B ",
"(SELECT "&amp;VLOOKUP(B18,Instruções!$F$13:$J$17,4,0)&amp;" as "&amp;VLOOKUP(B18,Instruções!$F$13:$J$17,4,0)&amp;"_"&amp;$G$2&amp;", "&amp;VLOOKUP(B18,Instruções!$F$13:$J$17,5,0)&amp;" as "&amp;VLOOKUP(B18,Instruções!$F$13:$J$17,5,0)&amp;"_"&amp;$G$2&amp;","&amp;E18&amp;" as "&amp;G18&amp;" FROM "&amp;D18&amp;" WHERE "&amp;Instruções!$D$21&amp;") B ")</f>
        <v xml:space="preserve">(SELECT entty_id as entty_id_to_be, dbt_rpymnt_cpcty_ttl as dbt_rpymnt_cpcty_ttl_to_be FROM bu_loantape_work.lt003_entity WHERE ref_date='2024-09-30' AND nome_perimetro='Individual Corporativo' AND segmento='ESTR' AND ambito='PM' AND entidade='00100' ) B </v>
      </c>
      <c r="J18" s="17" t="str">
        <f>IF(VLOOKUP(B18,Instruções!$F$13:$J$17,5,0)="",
"ON "&amp;VLOOKUP(B18,Instruções!$F$13:$J$17,4,0)&amp;"_"&amp;$F$2&amp;" = "&amp;VLOOKUP(B18,Instruções!$F$13:$J$17,4,0)&amp;"_"&amp;$G$2&amp;" ",
"ON "&amp;VLOOKUP(B18,Instruções!$F$13:$J$17,4,0)&amp;"_"&amp;$F$2&amp;" = "&amp;VLOOKUP(B18,Instruções!$F$13:$J$17,4,0)&amp;"_"&amp;$G$2&amp;" AND "&amp;VLOOKUP(B18,Instruções!$F$13:$J$17,5,0)&amp;"_"&amp;$F$2&amp;" = "&amp;VLOOKUP(B18,Instruções!$F$13:$J$17,5,0)&amp;"_"&amp;$G$2&amp;" ")</f>
        <v xml:space="preserve">ON entty_id_as_is = entty_id_to_be </v>
      </c>
      <c r="K18" s="17" t="str">
        <f t="shared" si="2"/>
        <v xml:space="preserve">WHERE coalesce(cast(dbt_rpymnt_cpcty_ttl_as_is as string), '') &lt;&gt; coalesce(cast(dbt_rpymnt_cpcty_ttl_to_be as string), '') </v>
      </c>
      <c r="L18" s="17" t="str">
        <f t="shared" si="3"/>
        <v xml:space="preserve">SELECT count(*) AS NUM_REG_DIF FROM (SELECT entty_id as entty_id_as_is, dbt_rpymnt_cpcty_ttl as dbt_rpymnt_cpcty_ttl_as_is FROM cd_loan_tapes_bce.lt003_entity WHERE ref_date='2024-09-30' AND nome_perimetro='Individual Corporativo' AND segmento='ESTR' AND ambito='PM' AND entidade='00100' ) A  Inner join (SELECT entty_id as entty_id_to_be, dbt_rpymnt_cpcty_ttl as dbt_rpymnt_cpcty_ttl_to_be FROM bu_loantape_work.lt003_entity WHERE ref_date='2024-09-30' AND nome_perimetro='Individual Corporativo' AND segmento='ESTR' AND ambito='PM' AND entidade='00100' ) B ON entty_id_as_is = entty_id_to_be WHERE coalesce(cast(dbt_rpymnt_cpcty_ttl_as_is as string), '') &lt;&gt; coalesce(cast(dbt_rpymnt_cpcty_ttl_to_be as string), '') </v>
      </c>
      <c r="M18" s="17" t="s">
        <v>55</v>
      </c>
      <c r="N18" s="17" t="str">
        <f>"SELECT 'Validação de campos' as tipologia_teste, '"&amp;VLOOKUP(B18,Instruções!$F$13:$J$17,3,0)&amp;"' AS TABELA, '"&amp;E18&amp;"' AS CAMPO, '"&amp;Instruções!$D$15&amp;"' as ref_date, coalesce(NUM_REG_DIF, 0) AS NUM_REG_DIF FROM ("&amp;L18&amp;") A "</f>
        <v xml:space="preserve">SELECT 'Validação de campos' as tipologia_teste, 'lt003_entity' AS TABELA, 'dbt_rpymnt_cpcty_ttl' AS CAMPO, '2024-09-30' as ref_date, coalesce(NUM_REG_DIF, 0) AS NUM_REG_DIF FROM (SELECT count(*) AS NUM_REG_DIF FROM (SELECT entty_id as entty_id_as_is, dbt_rpymnt_cpcty_ttl as dbt_rpymnt_cpcty_ttl_as_is FROM cd_loan_tapes_bce.lt003_entity WHERE ref_date='2024-09-30' AND nome_perimetro='Individual Corporativo' AND segmento='ESTR' AND ambito='PM' AND entidade='00100' ) A  Inner join (SELECT entty_id as entty_id_to_be, dbt_rpymnt_cpcty_ttl as dbt_rpymnt_cpcty_ttl_to_be FROM bu_loantape_work.lt003_entity WHERE ref_date='2024-09-30' AND nome_perimetro='Individual Corporativo' AND segmento='ESTR' AND ambito='PM' AND entidade='00100' ) B ON entty_id_as_is = entty_id_to_be WHERE coalesce(cast(dbt_rpymnt_cpcty_ttl_as_is as string), '') &lt;&gt; coalesce(cast(dbt_rpymnt_cpcty_ttl_to_be as string), '') ) A </v>
      </c>
      <c r="O18" s="19" t="str">
        <f t="shared" si="4"/>
        <v>SELECT 'Validação de campos' as tipologia_teste, 'lt003_entity' AS TABELA, 'dbt_rpymnt_cpcty_ttl' AS CAMPO, '2024-09-30' as ref_date, coalesce(NUM_REG_DIF, 0) AS NUM_REG_DIF FROM (SELECT count(*) AS NUM_REG_DIF FROM (SELECT entty_id as entty_id_as_is, dbt_rpymnt_cpcty_ttl as dbt_rpymnt_cpcty_ttl_as_is FROM cd_loan_tapes_bce.lt003_entity WHERE ref_date='2024-09-30' AND nome_perimetro='Individual Corporativo' AND segmento='ESTR' AND ambito='PM' AND entidade='00100' ) A  Inner join (SELECT entty_id as entty_id_to_be, dbt_rpymnt_cpcty_ttl as dbt_rpymnt_cpcty_ttl_to_be FROM bu_loantape_work.lt003_entity WHERE ref_date='2024-09-30' AND nome_perimetro='Individual Corporativo' AND segmento='ESTR' AND ambito='PM' AND entidade='00100' ) B ON entty_id_as_is = entty_id_to_be WHERE coalesce(cast(dbt_rpymnt_cpcty_ttl_as_is as string), '') &lt;&gt; coalesce(cast(dbt_rpymnt_cpcty_ttl_to_be as string), '') ) A UNION ALL</v>
      </c>
      <c r="P18" s="17">
        <f t="shared" si="5"/>
        <v>15</v>
      </c>
    </row>
    <row r="19" spans="2:16" s="15" customFormat="1" ht="11.45">
      <c r="B19" s="17" t="s">
        <v>11</v>
      </c>
      <c r="C19" s="17" t="str">
        <f>_xlfn.CONCAT(Instruções!$D$13,".",VLOOKUP(B19,Instruções!$F$12:$H$17,2,0))</f>
        <v>cd_loan_tapes_bce.lt003_entity</v>
      </c>
      <c r="D19" s="17" t="str">
        <f>_xlfn.CONCAT(Instruções!$D$14,".",VLOOKUP(B19,Instruções!$F$12:$H$17,3,0))</f>
        <v>bu_loantape_work.lt003_entity</v>
      </c>
      <c r="E19" s="17" t="s">
        <v>70</v>
      </c>
      <c r="F19" s="17" t="str">
        <f t="shared" si="0"/>
        <v>dbt_srvc_rt_as_is</v>
      </c>
      <c r="G19" s="17" t="str">
        <f t="shared" si="1"/>
        <v>dbt_srvc_rt_to_be</v>
      </c>
      <c r="H19" s="17" t="str">
        <f>IF(VLOOKUP(B19,Instruções!$F$13:$J$17,5,0)="",
"(SELECT "&amp;VLOOKUP(B19,Instruções!$F$13:$J$17,4,0)&amp;" as "&amp;VLOOKUP(B19,Instruções!$F$13:$J$17,4,0)&amp;"_"&amp;$F$2&amp;", "&amp;E19&amp;" as "&amp;F19&amp;" FROM "&amp;C19&amp;" WHERE "&amp;Instruções!$D$20&amp;") A ",
"(SELECT "&amp;VLOOKUP(B19,Instruções!$F$13:$J$17,4,0)&amp;" as "&amp;VLOOKUP(B19,Instruções!$F$13:$J$17,4,0)&amp;"_"&amp;$F$2&amp;", "&amp;VLOOKUP(B19,Instruções!$F$13:$J$17,5,0)&amp;" as "&amp;VLOOKUP(B19,Instruções!$F$13:$J$17,5,0)&amp;"_"&amp;$F$2&amp;","&amp;E19&amp;" as "&amp;F19&amp;" FROM "&amp;C19&amp;" WHERE "&amp;Instruções!$D$20&amp;") A ")</f>
        <v xml:space="preserve">(SELECT entty_id as entty_id_as_is, dbt_srvc_rt as dbt_srvc_rt_as_is FROM cd_loan_tapes_bce.lt003_entity WHERE ref_date='2024-09-30' AND nome_perimetro='Individual Corporativo' AND segmento='ESTR' AND ambito='PM' AND entidade='00100' ) A </v>
      </c>
      <c r="I19" s="17" t="str">
        <f>IF(VLOOKUP(B19,Instruções!$F$13:$J$17,5,0)="",
"(SELECT "&amp;VLOOKUP(B19,Instruções!$F$13:$J$17,4,0)&amp;" as "&amp;VLOOKUP(B19,Instruções!$F$13:$J$17,4,0)&amp;"_"&amp;$G$2&amp;", "&amp;E19&amp;" as "&amp;G19&amp;" FROM "&amp;D19&amp;" WHERE "&amp;Instruções!$D$21&amp;") B ",
"(SELECT "&amp;VLOOKUP(B19,Instruções!$F$13:$J$17,4,0)&amp;" as "&amp;VLOOKUP(B19,Instruções!$F$13:$J$17,4,0)&amp;"_"&amp;$G$2&amp;", "&amp;VLOOKUP(B19,Instruções!$F$13:$J$17,5,0)&amp;" as "&amp;VLOOKUP(B19,Instruções!$F$13:$J$17,5,0)&amp;"_"&amp;$G$2&amp;","&amp;E19&amp;" as "&amp;G19&amp;" FROM "&amp;D19&amp;" WHERE "&amp;Instruções!$D$21&amp;") B ")</f>
        <v xml:space="preserve">(SELECT entty_id as entty_id_to_be, dbt_srvc_rt as dbt_srvc_rt_to_be FROM bu_loantape_work.lt003_entity WHERE ref_date='2024-09-30' AND nome_perimetro='Individual Corporativo' AND segmento='ESTR' AND ambito='PM' AND entidade='00100' ) B </v>
      </c>
      <c r="J19" s="17" t="str">
        <f>IF(VLOOKUP(B19,Instruções!$F$13:$J$17,5,0)="",
"ON "&amp;VLOOKUP(B19,Instruções!$F$13:$J$17,4,0)&amp;"_"&amp;$F$2&amp;" = "&amp;VLOOKUP(B19,Instruções!$F$13:$J$17,4,0)&amp;"_"&amp;$G$2&amp;" ",
"ON "&amp;VLOOKUP(B19,Instruções!$F$13:$J$17,4,0)&amp;"_"&amp;$F$2&amp;" = "&amp;VLOOKUP(B19,Instruções!$F$13:$J$17,4,0)&amp;"_"&amp;$G$2&amp;" AND "&amp;VLOOKUP(B19,Instruções!$F$13:$J$17,5,0)&amp;"_"&amp;$F$2&amp;" = "&amp;VLOOKUP(B19,Instruções!$F$13:$J$17,5,0)&amp;"_"&amp;$G$2&amp;" ")</f>
        <v xml:space="preserve">ON entty_id_as_is = entty_id_to_be </v>
      </c>
      <c r="K19" s="17" t="str">
        <f t="shared" si="2"/>
        <v xml:space="preserve">WHERE coalesce(cast(dbt_srvc_rt_as_is as string), '') &lt;&gt; coalesce(cast(dbt_srvc_rt_to_be as string), '') </v>
      </c>
      <c r="L19" s="17" t="str">
        <f t="shared" si="3"/>
        <v xml:space="preserve">SELECT count(*) AS NUM_REG_DIF FROM (SELECT entty_id as entty_id_as_is, dbt_srvc_rt as dbt_srvc_rt_as_is FROM cd_loan_tapes_bce.lt003_entity WHERE ref_date='2024-09-30' AND nome_perimetro='Individual Corporativo' AND segmento='ESTR' AND ambito='PM' AND entidade='00100' ) A  Inner join (SELECT entty_id as entty_id_to_be, dbt_srvc_rt as dbt_srvc_rt_to_be FROM bu_loantape_work.lt003_entity WHERE ref_date='2024-09-30' AND nome_perimetro='Individual Corporativo' AND segmento='ESTR' AND ambito='PM' AND entidade='00100' ) B ON entty_id_as_is = entty_id_to_be WHERE coalesce(cast(dbt_srvc_rt_as_is as string), '') &lt;&gt; coalesce(cast(dbt_srvc_rt_to_be as string), '') </v>
      </c>
      <c r="M19" s="17" t="s">
        <v>55</v>
      </c>
      <c r="N19" s="17" t="str">
        <f>"SELECT 'Validação de campos' as tipologia_teste, '"&amp;VLOOKUP(B19,Instruções!$F$13:$J$17,3,0)&amp;"' AS TABELA, '"&amp;E19&amp;"' AS CAMPO, '"&amp;Instruções!$D$15&amp;"' as ref_date, coalesce(NUM_REG_DIF, 0) AS NUM_REG_DIF FROM ("&amp;L19&amp;") A "</f>
        <v xml:space="preserve">SELECT 'Validação de campos' as tipologia_teste, 'lt003_entity' AS TABELA, 'dbt_srvc_rt' AS CAMPO, '2024-09-30' as ref_date, coalesce(NUM_REG_DIF, 0) AS NUM_REG_DIF FROM (SELECT count(*) AS NUM_REG_DIF FROM (SELECT entty_id as entty_id_as_is, dbt_srvc_rt as dbt_srvc_rt_as_is FROM cd_loan_tapes_bce.lt003_entity WHERE ref_date='2024-09-30' AND nome_perimetro='Individual Corporativo' AND segmento='ESTR' AND ambito='PM' AND entidade='00100' ) A  Inner join (SELECT entty_id as entty_id_to_be, dbt_srvc_rt as dbt_srvc_rt_to_be FROM bu_loantape_work.lt003_entity WHERE ref_date='2024-09-30' AND nome_perimetro='Individual Corporativo' AND segmento='ESTR' AND ambito='PM' AND entidade='00100' ) B ON entty_id_as_is = entty_id_to_be WHERE coalesce(cast(dbt_srvc_rt_as_is as string), '') &lt;&gt; coalesce(cast(dbt_srvc_rt_to_be as string), '') ) A </v>
      </c>
      <c r="O19" s="19" t="str">
        <f>IF(O20="",N19,N19&amp;$O$3)</f>
        <v>SELECT 'Validação de campos' as tipologia_teste, 'lt003_entity' AS TABELA, 'dbt_srvc_rt' AS CAMPO, '2024-09-30' as ref_date, coalesce(NUM_REG_DIF, 0) AS NUM_REG_DIF FROM (SELECT count(*) AS NUM_REG_DIF FROM (SELECT entty_id as entty_id_as_is, dbt_srvc_rt as dbt_srvc_rt_as_is FROM cd_loan_tapes_bce.lt003_entity WHERE ref_date='2024-09-30' AND nome_perimetro='Individual Corporativo' AND segmento='ESTR' AND ambito='PM' AND entidade='00100' ) A  Inner join (SELECT entty_id as entty_id_to_be, dbt_srvc_rt as dbt_srvc_rt_to_be FROM bu_loantape_work.lt003_entity WHERE ref_date='2024-09-30' AND nome_perimetro='Individual Corporativo' AND segmento='ESTR' AND ambito='PM' AND entidade='00100' ) B ON entty_id_as_is = entty_id_to_be WHERE coalesce(cast(dbt_srvc_rt_as_is as string), '') &lt;&gt; coalesce(cast(dbt_srvc_rt_to_be as string), '') ) A UNION ALL</v>
      </c>
      <c r="P19" s="17">
        <f t="shared" si="5"/>
        <v>16</v>
      </c>
    </row>
    <row r="20" spans="2:16" s="15" customFormat="1" ht="11.45">
      <c r="B20" s="17" t="s">
        <v>11</v>
      </c>
      <c r="C20" s="17" t="str">
        <f>_xlfn.CONCAT(Instruções!$D$13,".",VLOOKUP(B20,Instruções!$F$12:$H$17,2,0))</f>
        <v>cd_loan_tapes_bce.lt003_entity</v>
      </c>
      <c r="D20" s="17" t="str">
        <f>_xlfn.CONCAT(Instruções!$D$14,".",VLOOKUP(B20,Instruções!$F$12:$H$17,3,0))</f>
        <v>bu_loantape_work.lt003_entity</v>
      </c>
      <c r="E20" s="17" t="s">
        <v>71</v>
      </c>
      <c r="F20" s="17" t="str">
        <f t="shared" si="0"/>
        <v>dbt_srvc_rt_12m_as_is</v>
      </c>
      <c r="G20" s="17" t="str">
        <f t="shared" si="1"/>
        <v>dbt_srvc_rt_12m_to_be</v>
      </c>
      <c r="H20" s="17" t="str">
        <f>IF(VLOOKUP(B20,Instruções!$F$13:$J$17,5,0)="",
"(SELECT "&amp;VLOOKUP(B20,Instruções!$F$13:$J$17,4,0)&amp;" as "&amp;VLOOKUP(B20,Instruções!$F$13:$J$17,4,0)&amp;"_"&amp;$F$2&amp;", "&amp;E20&amp;" as "&amp;F20&amp;" FROM "&amp;C20&amp;" WHERE "&amp;Instruções!$D$20&amp;") A ",
"(SELECT "&amp;VLOOKUP(B20,Instruções!$F$13:$J$17,4,0)&amp;" as "&amp;VLOOKUP(B20,Instruções!$F$13:$J$17,4,0)&amp;"_"&amp;$F$2&amp;", "&amp;VLOOKUP(B20,Instruções!$F$13:$J$17,5,0)&amp;" as "&amp;VLOOKUP(B20,Instruções!$F$13:$J$17,5,0)&amp;"_"&amp;$F$2&amp;","&amp;E20&amp;" as "&amp;F20&amp;" FROM "&amp;C20&amp;" WHERE "&amp;Instruções!$D$20&amp;") A ")</f>
        <v xml:space="preserve">(SELECT entty_id as entty_id_as_is, dbt_srvc_rt_12m as dbt_srvc_rt_12m_as_is FROM cd_loan_tapes_bce.lt003_entity WHERE ref_date='2024-09-30' AND nome_perimetro='Individual Corporativo' AND segmento='ESTR' AND ambito='PM' AND entidade='00100' ) A </v>
      </c>
      <c r="I20" s="17" t="str">
        <f>IF(VLOOKUP(B20,Instruções!$F$13:$J$17,5,0)="",
"(SELECT "&amp;VLOOKUP(B20,Instruções!$F$13:$J$17,4,0)&amp;" as "&amp;VLOOKUP(B20,Instruções!$F$13:$J$17,4,0)&amp;"_"&amp;$G$2&amp;", "&amp;E20&amp;" as "&amp;G20&amp;" FROM "&amp;D20&amp;" WHERE "&amp;Instruções!$D$21&amp;") B ",
"(SELECT "&amp;VLOOKUP(B20,Instruções!$F$13:$J$17,4,0)&amp;" as "&amp;VLOOKUP(B20,Instruções!$F$13:$J$17,4,0)&amp;"_"&amp;$G$2&amp;", "&amp;VLOOKUP(B20,Instruções!$F$13:$J$17,5,0)&amp;" as "&amp;VLOOKUP(B20,Instruções!$F$13:$J$17,5,0)&amp;"_"&amp;$G$2&amp;","&amp;E20&amp;" as "&amp;G20&amp;" FROM "&amp;D20&amp;" WHERE "&amp;Instruções!$D$21&amp;") B ")</f>
        <v xml:space="preserve">(SELECT entty_id as entty_id_to_be, dbt_srvc_rt_12m as dbt_srvc_rt_12m_to_be FROM bu_loantape_work.lt003_entity WHERE ref_date='2024-09-30' AND nome_perimetro='Individual Corporativo' AND segmento='ESTR' AND ambito='PM' AND entidade='00100' ) B </v>
      </c>
      <c r="J20" s="17" t="str">
        <f>IF(VLOOKUP(B20,Instruções!$F$13:$J$17,5,0)="",
"ON "&amp;VLOOKUP(B20,Instruções!$F$13:$J$17,4,0)&amp;"_"&amp;$F$2&amp;" = "&amp;VLOOKUP(B20,Instruções!$F$13:$J$17,4,0)&amp;"_"&amp;$G$2&amp;" ",
"ON "&amp;VLOOKUP(B20,Instruções!$F$13:$J$17,4,0)&amp;"_"&amp;$F$2&amp;" = "&amp;VLOOKUP(B20,Instruções!$F$13:$J$17,4,0)&amp;"_"&amp;$G$2&amp;" AND "&amp;VLOOKUP(B20,Instruções!$F$13:$J$17,5,0)&amp;"_"&amp;$F$2&amp;" = "&amp;VLOOKUP(B20,Instruções!$F$13:$J$17,5,0)&amp;"_"&amp;$G$2&amp;" ")</f>
        <v xml:space="preserve">ON entty_id_as_is = entty_id_to_be </v>
      </c>
      <c r="K20" s="17" t="str">
        <f t="shared" si="2"/>
        <v xml:space="preserve">WHERE coalesce(cast(dbt_srvc_rt_12m_as_is as string), '') &lt;&gt; coalesce(cast(dbt_srvc_rt_12m_to_be as string), '') </v>
      </c>
      <c r="L20" s="17" t="str">
        <f t="shared" si="3"/>
        <v xml:space="preserve">SELECT count(*) AS NUM_REG_DIF FROM (SELECT entty_id as entty_id_as_is, dbt_srvc_rt_12m as dbt_srvc_rt_12m_as_is FROM cd_loan_tapes_bce.lt003_entity WHERE ref_date='2024-09-30' AND nome_perimetro='Individual Corporativo' AND segmento='ESTR' AND ambito='PM' AND entidade='00100' ) A  Inner join (SELECT entty_id as entty_id_to_be, dbt_srvc_rt_12m as dbt_srvc_rt_12m_to_be FROM bu_loantape_work.lt003_entity WHERE ref_date='2024-09-30' AND nome_perimetro='Individual Corporativo' AND segmento='ESTR' AND ambito='PM' AND entidade='00100' ) B ON entty_id_as_is = entty_id_to_be WHERE coalesce(cast(dbt_srvc_rt_12m_as_is as string), '') &lt;&gt; coalesce(cast(dbt_srvc_rt_12m_to_be as string), '') </v>
      </c>
      <c r="M20" s="17" t="s">
        <v>55</v>
      </c>
      <c r="N20" s="17" t="str">
        <f>"SELECT 'Validação de campos' as tipologia_teste, '"&amp;VLOOKUP(B20,Instruções!$F$13:$J$17,3,0)&amp;"' AS TABELA, '"&amp;E20&amp;"' AS CAMPO, '"&amp;Instruções!$D$15&amp;"' as ref_date, coalesce(NUM_REG_DIF, 0) AS NUM_REG_DIF FROM ("&amp;L20&amp;") A "</f>
        <v xml:space="preserve">SELECT 'Validação de campos' as tipologia_teste, 'lt003_entity' AS TABELA, 'dbt_srvc_rt_12m' AS CAMPO, '2024-09-30' as ref_date, coalesce(NUM_REG_DIF, 0) AS NUM_REG_DIF FROM (SELECT count(*) AS NUM_REG_DIF FROM (SELECT entty_id as entty_id_as_is, dbt_srvc_rt_12m as dbt_srvc_rt_12m_as_is FROM cd_loan_tapes_bce.lt003_entity WHERE ref_date='2024-09-30' AND nome_perimetro='Individual Corporativo' AND segmento='ESTR' AND ambito='PM' AND entidade='00100' ) A  Inner join (SELECT entty_id as entty_id_to_be, dbt_srvc_rt_12m as dbt_srvc_rt_12m_to_be FROM bu_loantape_work.lt003_entity WHERE ref_date='2024-09-30' AND nome_perimetro='Individual Corporativo' AND segmento='ESTR' AND ambito='PM' AND entidade='00100' ) B ON entty_id_as_is = entty_id_to_be WHERE coalesce(cast(dbt_srvc_rt_12m_as_is as string), '') &lt;&gt; coalesce(cast(dbt_srvc_rt_12m_to_be as string), '') ) A </v>
      </c>
      <c r="O20" s="19" t="str">
        <f t="shared" si="4"/>
        <v>SELECT 'Validação de campos' as tipologia_teste, 'lt003_entity' AS TABELA, 'dbt_srvc_rt_12m' AS CAMPO, '2024-09-30' as ref_date, coalesce(NUM_REG_DIF, 0) AS NUM_REG_DIF FROM (SELECT count(*) AS NUM_REG_DIF FROM (SELECT entty_id as entty_id_as_is, dbt_srvc_rt_12m as dbt_srvc_rt_12m_as_is FROM cd_loan_tapes_bce.lt003_entity WHERE ref_date='2024-09-30' AND nome_perimetro='Individual Corporativo' AND segmento='ESTR' AND ambito='PM' AND entidade='00100' ) A  Inner join (SELECT entty_id as entty_id_to_be, dbt_srvc_rt_12m as dbt_srvc_rt_12m_to_be FROM bu_loantape_work.lt003_entity WHERE ref_date='2024-09-30' AND nome_perimetro='Individual Corporativo' AND segmento='ESTR' AND ambito='PM' AND entidade='00100' ) B ON entty_id_as_is = entty_id_to_be WHERE coalesce(cast(dbt_srvc_rt_12m_as_is as string), '') &lt;&gt; coalesce(cast(dbt_srvc_rt_12m_to_be as string), '') ) A UNION ALL</v>
      </c>
      <c r="P20" s="17">
        <f t="shared" si="5"/>
        <v>17</v>
      </c>
    </row>
    <row r="21" spans="2:16" s="15" customFormat="1" ht="11.45">
      <c r="B21" s="17" t="s">
        <v>11</v>
      </c>
      <c r="C21" s="17" t="str">
        <f>_xlfn.CONCAT(Instruções!$D$13,".",VLOOKUP(B21,Instruções!$F$12:$H$17,2,0))</f>
        <v>cd_loan_tapes_bce.lt003_entity</v>
      </c>
      <c r="D21" s="17" t="str">
        <f>_xlfn.CONCAT(Instruções!$D$14,".",VLOOKUP(B21,Instruções!$F$12:$H$17,3,0))</f>
        <v>bu_loantape_work.lt003_entity</v>
      </c>
      <c r="E21" s="17" t="s">
        <v>72</v>
      </c>
      <c r="F21" s="17" t="str">
        <f t="shared" si="0"/>
        <v>dcsd_as_is</v>
      </c>
      <c r="G21" s="17" t="str">
        <f t="shared" si="1"/>
        <v>dcsd_to_be</v>
      </c>
      <c r="H21" s="17" t="str">
        <f>IF(VLOOKUP(B21,Instruções!$F$13:$J$17,5,0)="",
"(SELECT "&amp;VLOOKUP(B21,Instruções!$F$13:$J$17,4,0)&amp;" as "&amp;VLOOKUP(B21,Instruções!$F$13:$J$17,4,0)&amp;"_"&amp;$F$2&amp;", "&amp;E21&amp;" as "&amp;F21&amp;" FROM "&amp;C21&amp;" WHERE "&amp;Instruções!$D$20&amp;") A ",
"(SELECT "&amp;VLOOKUP(B21,Instruções!$F$13:$J$17,4,0)&amp;" as "&amp;VLOOKUP(B21,Instruções!$F$13:$J$17,4,0)&amp;"_"&amp;$F$2&amp;", "&amp;VLOOKUP(B21,Instruções!$F$13:$J$17,5,0)&amp;" as "&amp;VLOOKUP(B21,Instruções!$F$13:$J$17,5,0)&amp;"_"&amp;$F$2&amp;","&amp;E21&amp;" as "&amp;F21&amp;" FROM "&amp;C21&amp;" WHERE "&amp;Instruções!$D$20&amp;") A ")</f>
        <v xml:space="preserve">(SELECT entty_id as entty_id_as_is, dcsd as dcsd_as_is FROM cd_loan_tapes_bce.lt003_entity WHERE ref_date='2024-09-30' AND nome_perimetro='Individual Corporativo' AND segmento='ESTR' AND ambito='PM' AND entidade='00100' ) A </v>
      </c>
      <c r="I21" s="17" t="str">
        <f>IF(VLOOKUP(B21,Instruções!$F$13:$J$17,5,0)="",
"(SELECT "&amp;VLOOKUP(B21,Instruções!$F$13:$J$17,4,0)&amp;" as "&amp;VLOOKUP(B21,Instruções!$F$13:$J$17,4,0)&amp;"_"&amp;$G$2&amp;", "&amp;E21&amp;" as "&amp;G21&amp;" FROM "&amp;D21&amp;" WHERE "&amp;Instruções!$D$21&amp;") B ",
"(SELECT "&amp;VLOOKUP(B21,Instruções!$F$13:$J$17,4,0)&amp;" as "&amp;VLOOKUP(B21,Instruções!$F$13:$J$17,4,0)&amp;"_"&amp;$G$2&amp;", "&amp;VLOOKUP(B21,Instruções!$F$13:$J$17,5,0)&amp;" as "&amp;VLOOKUP(B21,Instruções!$F$13:$J$17,5,0)&amp;"_"&amp;$G$2&amp;","&amp;E21&amp;" as "&amp;G21&amp;" FROM "&amp;D21&amp;" WHERE "&amp;Instruções!$D$21&amp;") B ")</f>
        <v xml:space="preserve">(SELECT entty_id as entty_id_to_be, dcsd as dcsd_to_be FROM bu_loantape_work.lt003_entity WHERE ref_date='2024-09-30' AND nome_perimetro='Individual Corporativo' AND segmento='ESTR' AND ambito='PM' AND entidade='00100' ) B </v>
      </c>
      <c r="J21" s="17" t="str">
        <f>IF(VLOOKUP(B21,Instruções!$F$13:$J$17,5,0)="",
"ON "&amp;VLOOKUP(B21,Instruções!$F$13:$J$17,4,0)&amp;"_"&amp;$F$2&amp;" = "&amp;VLOOKUP(B21,Instruções!$F$13:$J$17,4,0)&amp;"_"&amp;$G$2&amp;" ",
"ON "&amp;VLOOKUP(B21,Instruções!$F$13:$J$17,4,0)&amp;"_"&amp;$F$2&amp;" = "&amp;VLOOKUP(B21,Instruções!$F$13:$J$17,4,0)&amp;"_"&amp;$G$2&amp;" AND "&amp;VLOOKUP(B21,Instruções!$F$13:$J$17,5,0)&amp;"_"&amp;$F$2&amp;" = "&amp;VLOOKUP(B21,Instruções!$F$13:$J$17,5,0)&amp;"_"&amp;$G$2&amp;" ")</f>
        <v xml:space="preserve">ON entty_id_as_is = entty_id_to_be </v>
      </c>
      <c r="K21" s="17" t="str">
        <f t="shared" si="2"/>
        <v xml:space="preserve">WHERE coalesce(cast(dcsd_as_is as string), '') &lt;&gt; coalesce(cast(dcsd_to_be as string), '') </v>
      </c>
      <c r="L21" s="17" t="str">
        <f t="shared" si="3"/>
        <v xml:space="preserve">SELECT count(*) AS NUM_REG_DIF FROM (SELECT entty_id as entty_id_as_is, dcsd as dcsd_as_is FROM cd_loan_tapes_bce.lt003_entity WHERE ref_date='2024-09-30' AND nome_perimetro='Individual Corporativo' AND segmento='ESTR' AND ambito='PM' AND entidade='00100' ) A  Inner join (SELECT entty_id as entty_id_to_be, dcsd as dcsd_to_be FROM bu_loantape_work.lt003_entity WHERE ref_date='2024-09-30' AND nome_perimetro='Individual Corporativo' AND segmento='ESTR' AND ambito='PM' AND entidade='00100' ) B ON entty_id_as_is = entty_id_to_be WHERE coalesce(cast(dcsd_as_is as string), '') &lt;&gt; coalesce(cast(dcsd_to_be as string), '') </v>
      </c>
      <c r="M21" s="17" t="s">
        <v>55</v>
      </c>
      <c r="N21" s="17" t="str">
        <f>"SELECT 'Validação de campos' as tipologia_teste, '"&amp;VLOOKUP(B21,Instruções!$F$13:$J$17,3,0)&amp;"' AS TABELA, '"&amp;E21&amp;"' AS CAMPO, '"&amp;Instruções!$D$15&amp;"' as ref_date, coalesce(NUM_REG_DIF, 0) AS NUM_REG_DIF FROM ("&amp;L21&amp;") A "</f>
        <v xml:space="preserve">SELECT 'Validação de campos' as tipologia_teste, 'lt003_entity' AS TABELA, 'dcsd' AS CAMPO, '2024-09-30' as ref_date, coalesce(NUM_REG_DIF, 0) AS NUM_REG_DIF FROM (SELECT count(*) AS NUM_REG_DIF FROM (SELECT entty_id as entty_id_as_is, dcsd as dcsd_as_is FROM cd_loan_tapes_bce.lt003_entity WHERE ref_date='2024-09-30' AND nome_perimetro='Individual Corporativo' AND segmento='ESTR' AND ambito='PM' AND entidade='00100' ) A  Inner join (SELECT entty_id as entty_id_to_be, dcsd as dcsd_to_be FROM bu_loantape_work.lt003_entity WHERE ref_date='2024-09-30' AND nome_perimetro='Individual Corporativo' AND segmento='ESTR' AND ambito='PM' AND entidade='00100' ) B ON entty_id_as_is = entty_id_to_be WHERE coalesce(cast(dcsd_as_is as string), '') &lt;&gt; coalesce(cast(dcsd_to_be as string), '') ) A </v>
      </c>
      <c r="O21" s="19" t="str">
        <f t="shared" si="4"/>
        <v>SELECT 'Validação de campos' as tipologia_teste, 'lt003_entity' AS TABELA, 'dcsd' AS CAMPO, '2024-09-30' as ref_date, coalesce(NUM_REG_DIF, 0) AS NUM_REG_DIF FROM (SELECT count(*) AS NUM_REG_DIF FROM (SELECT entty_id as entty_id_as_is, dcsd as dcsd_as_is FROM cd_loan_tapes_bce.lt003_entity WHERE ref_date='2024-09-30' AND nome_perimetro='Individual Corporativo' AND segmento='ESTR' AND ambito='PM' AND entidade='00100' ) A  Inner join (SELECT entty_id as entty_id_to_be, dcsd as dcsd_to_be FROM bu_loantape_work.lt003_entity WHERE ref_date='2024-09-30' AND nome_perimetro='Individual Corporativo' AND segmento='ESTR' AND ambito='PM' AND entidade='00100' ) B ON entty_id_as_is = entty_id_to_be WHERE coalesce(cast(dcsd_as_is as string), '') &lt;&gt; coalesce(cast(dcsd_to_be as string), '') ) A UNION ALL</v>
      </c>
      <c r="P21" s="17">
        <f t="shared" si="5"/>
        <v>18</v>
      </c>
    </row>
    <row r="22" spans="2:16" s="15" customFormat="1" ht="11.45">
      <c r="B22" s="17" t="s">
        <v>11</v>
      </c>
      <c r="C22" s="17" t="str">
        <f>_xlfn.CONCAT(Instruções!$D$13,".",VLOOKUP(B22,Instruções!$F$12:$H$17,2,0))</f>
        <v>cd_loan_tapes_bce.lt003_entity</v>
      </c>
      <c r="D22" s="17" t="str">
        <f>_xlfn.CONCAT(Instruções!$D$14,".",VLOOKUP(B22,Instruções!$F$12:$H$17,3,0))</f>
        <v>bu_loantape_work.lt003_entity</v>
      </c>
      <c r="E22" s="17" t="s">
        <v>73</v>
      </c>
      <c r="F22" s="17" t="str">
        <f t="shared" si="0"/>
        <v>dflt_stts_as_is</v>
      </c>
      <c r="G22" s="17" t="str">
        <f t="shared" si="1"/>
        <v>dflt_stts_to_be</v>
      </c>
      <c r="H22" s="17" t="str">
        <f>IF(VLOOKUP(B22,Instruções!$F$13:$J$17,5,0)="",
"(SELECT "&amp;VLOOKUP(B22,Instruções!$F$13:$J$17,4,0)&amp;" as "&amp;VLOOKUP(B22,Instruções!$F$13:$J$17,4,0)&amp;"_"&amp;$F$2&amp;", "&amp;E22&amp;" as "&amp;F22&amp;" FROM "&amp;C22&amp;" WHERE "&amp;Instruções!$D$20&amp;") A ",
"(SELECT "&amp;VLOOKUP(B22,Instruções!$F$13:$J$17,4,0)&amp;" as "&amp;VLOOKUP(B22,Instruções!$F$13:$J$17,4,0)&amp;"_"&amp;$F$2&amp;", "&amp;VLOOKUP(B22,Instruções!$F$13:$J$17,5,0)&amp;" as "&amp;VLOOKUP(B22,Instruções!$F$13:$J$17,5,0)&amp;"_"&amp;$F$2&amp;","&amp;E22&amp;" as "&amp;F22&amp;" FROM "&amp;C22&amp;" WHERE "&amp;Instruções!$D$20&amp;") A ")</f>
        <v xml:space="preserve">(SELECT entty_id as entty_id_as_is, dflt_stts as dflt_stts_as_is FROM cd_loan_tapes_bce.lt003_entity WHERE ref_date='2024-09-30' AND nome_perimetro='Individual Corporativo' AND segmento='ESTR' AND ambito='PM' AND entidade='00100' ) A </v>
      </c>
      <c r="I22" s="17" t="str">
        <f>IF(VLOOKUP(B22,Instruções!$F$13:$J$17,5,0)="",
"(SELECT "&amp;VLOOKUP(B22,Instruções!$F$13:$J$17,4,0)&amp;" as "&amp;VLOOKUP(B22,Instruções!$F$13:$J$17,4,0)&amp;"_"&amp;$G$2&amp;", "&amp;E22&amp;" as "&amp;G22&amp;" FROM "&amp;D22&amp;" WHERE "&amp;Instruções!$D$21&amp;") B ",
"(SELECT "&amp;VLOOKUP(B22,Instruções!$F$13:$J$17,4,0)&amp;" as "&amp;VLOOKUP(B22,Instruções!$F$13:$J$17,4,0)&amp;"_"&amp;$G$2&amp;", "&amp;VLOOKUP(B22,Instruções!$F$13:$J$17,5,0)&amp;" as "&amp;VLOOKUP(B22,Instruções!$F$13:$J$17,5,0)&amp;"_"&amp;$G$2&amp;","&amp;E22&amp;" as "&amp;G22&amp;" FROM "&amp;D22&amp;" WHERE "&amp;Instruções!$D$21&amp;") B ")</f>
        <v xml:space="preserve">(SELECT entty_id as entty_id_to_be, dflt_stts as dflt_stts_to_be FROM bu_loantape_work.lt003_entity WHERE ref_date='2024-09-30' AND nome_perimetro='Individual Corporativo' AND segmento='ESTR' AND ambito='PM' AND entidade='00100' ) B </v>
      </c>
      <c r="J22" s="17" t="str">
        <f>IF(VLOOKUP(B22,Instruções!$F$13:$J$17,5,0)="",
"ON "&amp;VLOOKUP(B22,Instruções!$F$13:$J$17,4,0)&amp;"_"&amp;$F$2&amp;" = "&amp;VLOOKUP(B22,Instruções!$F$13:$J$17,4,0)&amp;"_"&amp;$G$2&amp;" ",
"ON "&amp;VLOOKUP(B22,Instruções!$F$13:$J$17,4,0)&amp;"_"&amp;$F$2&amp;" = "&amp;VLOOKUP(B22,Instruções!$F$13:$J$17,4,0)&amp;"_"&amp;$G$2&amp;" AND "&amp;VLOOKUP(B22,Instruções!$F$13:$J$17,5,0)&amp;"_"&amp;$F$2&amp;" = "&amp;VLOOKUP(B22,Instruções!$F$13:$J$17,5,0)&amp;"_"&amp;$G$2&amp;" ")</f>
        <v xml:space="preserve">ON entty_id_as_is = entty_id_to_be </v>
      </c>
      <c r="K22" s="17" t="str">
        <f t="shared" si="2"/>
        <v xml:space="preserve">WHERE coalesce(cast(dflt_stts_as_is as string), '') &lt;&gt; coalesce(cast(dflt_stts_to_be as string), '') </v>
      </c>
      <c r="L22" s="17" t="str">
        <f t="shared" si="3"/>
        <v xml:space="preserve">SELECT count(*) AS NUM_REG_DIF FROM (SELECT entty_id as entty_id_as_is, dflt_stts as dflt_stts_as_is FROM cd_loan_tapes_bce.lt003_entity WHERE ref_date='2024-09-30' AND nome_perimetro='Individual Corporativo' AND segmento='ESTR' AND ambito='PM' AND entidade='00100' ) A  Inner join (SELECT entty_id as entty_id_to_be, dflt_stts as dflt_stts_to_be FROM bu_loantape_work.lt003_entity WHERE ref_date='2024-09-30' AND nome_perimetro='Individual Corporativo' AND segmento='ESTR' AND ambito='PM' AND entidade='00100' ) B ON entty_id_as_is = entty_id_to_be WHERE coalesce(cast(dflt_stts_as_is as string), '') &lt;&gt; coalesce(cast(dflt_stts_to_be as string), '') </v>
      </c>
      <c r="M22" s="17" t="s">
        <v>55</v>
      </c>
      <c r="N22" s="17" t="str">
        <f>"SELECT 'Validação de campos' as tipologia_teste, '"&amp;VLOOKUP(B22,Instruções!$F$13:$J$17,3,0)&amp;"' AS TABELA, '"&amp;E22&amp;"' AS CAMPO, '"&amp;Instruções!$D$15&amp;"' as ref_date, coalesce(NUM_REG_DIF, 0) AS NUM_REG_DIF FROM ("&amp;L22&amp;") A "</f>
        <v xml:space="preserve">SELECT 'Validação de campos' as tipologia_teste, 'lt003_entity' AS TABELA, 'dflt_stts' AS CAMPO, '2024-09-30' as ref_date, coalesce(NUM_REG_DIF, 0) AS NUM_REG_DIF FROM (SELECT count(*) AS NUM_REG_DIF FROM (SELECT entty_id as entty_id_as_is, dflt_stts as dflt_stts_as_is FROM cd_loan_tapes_bce.lt003_entity WHERE ref_date='2024-09-30' AND nome_perimetro='Individual Corporativo' AND segmento='ESTR' AND ambito='PM' AND entidade='00100' ) A  Inner join (SELECT entty_id as entty_id_to_be, dflt_stts as dflt_stts_to_be FROM bu_loantape_work.lt003_entity WHERE ref_date='2024-09-30' AND nome_perimetro='Individual Corporativo' AND segmento='ESTR' AND ambito='PM' AND entidade='00100' ) B ON entty_id_as_is = entty_id_to_be WHERE coalesce(cast(dflt_stts_as_is as string), '') &lt;&gt; coalesce(cast(dflt_stts_to_be as string), '') ) A </v>
      </c>
      <c r="O22" s="19" t="str">
        <f t="shared" si="4"/>
        <v>SELECT 'Validação de campos' as tipologia_teste, 'lt003_entity' AS TABELA, 'dflt_stts' AS CAMPO, '2024-09-30' as ref_date, coalesce(NUM_REG_DIF, 0) AS NUM_REG_DIF FROM (SELECT count(*) AS NUM_REG_DIF FROM (SELECT entty_id as entty_id_as_is, dflt_stts as dflt_stts_as_is FROM cd_loan_tapes_bce.lt003_entity WHERE ref_date='2024-09-30' AND nome_perimetro='Individual Corporativo' AND segmento='ESTR' AND ambito='PM' AND entidade='00100' ) A  Inner join (SELECT entty_id as entty_id_to_be, dflt_stts as dflt_stts_to_be FROM bu_loantape_work.lt003_entity WHERE ref_date='2024-09-30' AND nome_perimetro='Individual Corporativo' AND segmento='ESTR' AND ambito='PM' AND entidade='00100' ) B ON entty_id_as_is = entty_id_to_be WHERE coalesce(cast(dflt_stts_as_is as string), '') &lt;&gt; coalesce(cast(dflt_stts_to_be as string), '') ) A UNION ALL</v>
      </c>
      <c r="P22" s="17">
        <f t="shared" si="5"/>
        <v>19</v>
      </c>
    </row>
    <row r="23" spans="2:16" s="15" customFormat="1" ht="11.45">
      <c r="B23" s="17" t="s">
        <v>11</v>
      </c>
      <c r="C23" s="17" t="str">
        <f>_xlfn.CONCAT(Instruções!$D$13,".",VLOOKUP(B23,Instruções!$F$12:$H$17,2,0))</f>
        <v>cd_loan_tapes_bce.lt003_entity</v>
      </c>
      <c r="D23" s="17" t="str">
        <f>_xlfn.CONCAT(Instruções!$D$14,".",VLOOKUP(B23,Instruções!$F$12:$H$17,3,0))</f>
        <v>bu_loantape_work.lt003_entity</v>
      </c>
      <c r="E23" s="17" t="s">
        <v>74</v>
      </c>
      <c r="F23" s="17" t="str">
        <f t="shared" si="0"/>
        <v>dt_brth_as_is</v>
      </c>
      <c r="G23" s="17" t="str">
        <f t="shared" si="1"/>
        <v>dt_brth_to_be</v>
      </c>
      <c r="H23" s="17" t="str">
        <f>IF(VLOOKUP(B23,Instruções!$F$13:$J$17,5,0)="",
"(SELECT "&amp;VLOOKUP(B23,Instruções!$F$13:$J$17,4,0)&amp;" as "&amp;VLOOKUP(B23,Instruções!$F$13:$J$17,4,0)&amp;"_"&amp;$F$2&amp;", "&amp;E23&amp;" as "&amp;F23&amp;" FROM "&amp;C23&amp;" WHERE "&amp;Instruções!$D$20&amp;") A ",
"(SELECT "&amp;VLOOKUP(B23,Instruções!$F$13:$J$17,4,0)&amp;" as "&amp;VLOOKUP(B23,Instruções!$F$13:$J$17,4,0)&amp;"_"&amp;$F$2&amp;", "&amp;VLOOKUP(B23,Instruções!$F$13:$J$17,5,0)&amp;" as "&amp;VLOOKUP(B23,Instruções!$F$13:$J$17,5,0)&amp;"_"&amp;$F$2&amp;","&amp;E23&amp;" as "&amp;F23&amp;" FROM "&amp;C23&amp;" WHERE "&amp;Instruções!$D$20&amp;") A ")</f>
        <v xml:space="preserve">(SELECT entty_id as entty_id_as_is, dt_brth as dt_brth_as_is FROM cd_loan_tapes_bce.lt003_entity WHERE ref_date='2024-09-30' AND nome_perimetro='Individual Corporativo' AND segmento='ESTR' AND ambito='PM' AND entidade='00100' ) A </v>
      </c>
      <c r="I23" s="17" t="str">
        <f>IF(VLOOKUP(B23,Instruções!$F$13:$J$17,5,0)="",
"(SELECT "&amp;VLOOKUP(B23,Instruções!$F$13:$J$17,4,0)&amp;" as "&amp;VLOOKUP(B23,Instruções!$F$13:$J$17,4,0)&amp;"_"&amp;$G$2&amp;", "&amp;E23&amp;" as "&amp;G23&amp;" FROM "&amp;D23&amp;" WHERE "&amp;Instruções!$D$21&amp;") B ",
"(SELECT "&amp;VLOOKUP(B23,Instruções!$F$13:$J$17,4,0)&amp;" as "&amp;VLOOKUP(B23,Instruções!$F$13:$J$17,4,0)&amp;"_"&amp;$G$2&amp;", "&amp;VLOOKUP(B23,Instruções!$F$13:$J$17,5,0)&amp;" as "&amp;VLOOKUP(B23,Instruções!$F$13:$J$17,5,0)&amp;"_"&amp;$G$2&amp;","&amp;E23&amp;" as "&amp;G23&amp;" FROM "&amp;D23&amp;" WHERE "&amp;Instruções!$D$21&amp;") B ")</f>
        <v xml:space="preserve">(SELECT entty_id as entty_id_to_be, dt_brth as dt_brth_to_be FROM bu_loantape_work.lt003_entity WHERE ref_date='2024-09-30' AND nome_perimetro='Individual Corporativo' AND segmento='ESTR' AND ambito='PM' AND entidade='00100' ) B </v>
      </c>
      <c r="J23" s="17" t="str">
        <f>IF(VLOOKUP(B23,Instruções!$F$13:$J$17,5,0)="",
"ON "&amp;VLOOKUP(B23,Instruções!$F$13:$J$17,4,0)&amp;"_"&amp;$F$2&amp;" = "&amp;VLOOKUP(B23,Instruções!$F$13:$J$17,4,0)&amp;"_"&amp;$G$2&amp;" ",
"ON "&amp;VLOOKUP(B23,Instruções!$F$13:$J$17,4,0)&amp;"_"&amp;$F$2&amp;" = "&amp;VLOOKUP(B23,Instruções!$F$13:$J$17,4,0)&amp;"_"&amp;$G$2&amp;" AND "&amp;VLOOKUP(B23,Instruções!$F$13:$J$17,5,0)&amp;"_"&amp;$F$2&amp;" = "&amp;VLOOKUP(B23,Instruções!$F$13:$J$17,5,0)&amp;"_"&amp;$G$2&amp;" ")</f>
        <v xml:space="preserve">ON entty_id_as_is = entty_id_to_be </v>
      </c>
      <c r="K23" s="17" t="str">
        <f t="shared" si="2"/>
        <v xml:space="preserve">WHERE coalesce(cast(dt_brth_as_is as string), '') &lt;&gt; coalesce(cast(dt_brth_to_be as string), '') </v>
      </c>
      <c r="L23" s="17" t="str">
        <f t="shared" si="3"/>
        <v xml:space="preserve">SELECT count(*) AS NUM_REG_DIF FROM (SELECT entty_id as entty_id_as_is, dt_brth as dt_brth_as_is FROM cd_loan_tapes_bce.lt003_entity WHERE ref_date='2024-09-30' AND nome_perimetro='Individual Corporativo' AND segmento='ESTR' AND ambito='PM' AND entidade='00100' ) A  Inner join (SELECT entty_id as entty_id_to_be, dt_brth as dt_brth_to_be FROM bu_loantape_work.lt003_entity WHERE ref_date='2024-09-30' AND nome_perimetro='Individual Corporativo' AND segmento='ESTR' AND ambito='PM' AND entidade='00100' ) B ON entty_id_as_is = entty_id_to_be WHERE coalesce(cast(dt_brth_as_is as string), '') &lt;&gt; coalesce(cast(dt_brth_to_be as string), '') </v>
      </c>
      <c r="M23" s="17" t="s">
        <v>55</v>
      </c>
      <c r="N23" s="17" t="str">
        <f>"SELECT 'Validação de campos' as tipologia_teste, '"&amp;VLOOKUP(B23,Instruções!$F$13:$J$17,3,0)&amp;"' AS TABELA, '"&amp;E23&amp;"' AS CAMPO, '"&amp;Instruções!$D$15&amp;"' as ref_date, coalesce(NUM_REG_DIF, 0) AS NUM_REG_DIF FROM ("&amp;L23&amp;") A "</f>
        <v xml:space="preserve">SELECT 'Validação de campos' as tipologia_teste, 'lt003_entity' AS TABELA, 'dt_brth' AS CAMPO, '2024-09-30' as ref_date, coalesce(NUM_REG_DIF, 0) AS NUM_REG_DIF FROM (SELECT count(*) AS NUM_REG_DIF FROM (SELECT entty_id as entty_id_as_is, dt_brth as dt_brth_as_is FROM cd_loan_tapes_bce.lt003_entity WHERE ref_date='2024-09-30' AND nome_perimetro='Individual Corporativo' AND segmento='ESTR' AND ambito='PM' AND entidade='00100' ) A  Inner join (SELECT entty_id as entty_id_to_be, dt_brth as dt_brth_to_be FROM bu_loantape_work.lt003_entity WHERE ref_date='2024-09-30' AND nome_perimetro='Individual Corporativo' AND segmento='ESTR' AND ambito='PM' AND entidade='00100' ) B ON entty_id_as_is = entty_id_to_be WHERE coalesce(cast(dt_brth_as_is as string), '') &lt;&gt; coalesce(cast(dt_brth_to_be as string), '') ) A </v>
      </c>
      <c r="O23" s="19" t="str">
        <f t="shared" si="4"/>
        <v>SELECT 'Validação de campos' as tipologia_teste, 'lt003_entity' AS TABELA, 'dt_brth' AS CAMPO, '2024-09-30' as ref_date, coalesce(NUM_REG_DIF, 0) AS NUM_REG_DIF FROM (SELECT count(*) AS NUM_REG_DIF FROM (SELECT entty_id as entty_id_as_is, dt_brth as dt_brth_as_is FROM cd_loan_tapes_bce.lt003_entity WHERE ref_date='2024-09-30' AND nome_perimetro='Individual Corporativo' AND segmento='ESTR' AND ambito='PM' AND entidade='00100' ) A  Inner join (SELECT entty_id as entty_id_to_be, dt_brth as dt_brth_to_be FROM bu_loantape_work.lt003_entity WHERE ref_date='2024-09-30' AND nome_perimetro='Individual Corporativo' AND segmento='ESTR' AND ambito='PM' AND entidade='00100' ) B ON entty_id_as_is = entty_id_to_be WHERE coalesce(cast(dt_brth_as_is as string), '') &lt;&gt; coalesce(cast(dt_brth_to_be as string), '') ) A UNION ALL</v>
      </c>
      <c r="P23" s="17">
        <f t="shared" si="5"/>
        <v>20</v>
      </c>
    </row>
    <row r="24" spans="2:16" s="15" customFormat="1" ht="11.45">
      <c r="B24" s="17" t="s">
        <v>11</v>
      </c>
      <c r="C24" s="17" t="str">
        <f>_xlfn.CONCAT(Instruções!$D$13,".",VLOOKUP(B24,Instruções!$F$12:$H$17,2,0))</f>
        <v>cd_loan_tapes_bce.lt003_entity</v>
      </c>
      <c r="D24" s="17" t="str">
        <f>_xlfn.CONCAT(Instruções!$D$14,".",VLOOKUP(B24,Instruções!$F$12:$H$17,3,0))</f>
        <v>bu_loantape_work.lt003_entity</v>
      </c>
      <c r="E24" s="17" t="s">
        <v>75</v>
      </c>
      <c r="F24" s="17" t="str">
        <f t="shared" si="0"/>
        <v>dt_dflt_stts_as_is</v>
      </c>
      <c r="G24" s="17" t="str">
        <f t="shared" si="1"/>
        <v>dt_dflt_stts_to_be</v>
      </c>
      <c r="H24" s="17" t="str">
        <f>IF(VLOOKUP(B24,Instruções!$F$13:$J$17,5,0)="",
"(SELECT "&amp;VLOOKUP(B24,Instruções!$F$13:$J$17,4,0)&amp;" as "&amp;VLOOKUP(B24,Instruções!$F$13:$J$17,4,0)&amp;"_"&amp;$F$2&amp;", "&amp;E24&amp;" as "&amp;F24&amp;" FROM "&amp;C24&amp;" WHERE "&amp;Instruções!$D$20&amp;") A ",
"(SELECT "&amp;VLOOKUP(B24,Instruções!$F$13:$J$17,4,0)&amp;" as "&amp;VLOOKUP(B24,Instruções!$F$13:$J$17,4,0)&amp;"_"&amp;$F$2&amp;", "&amp;VLOOKUP(B24,Instruções!$F$13:$J$17,5,0)&amp;" as "&amp;VLOOKUP(B24,Instruções!$F$13:$J$17,5,0)&amp;"_"&amp;$F$2&amp;","&amp;E24&amp;" as "&amp;F24&amp;" FROM "&amp;C24&amp;" WHERE "&amp;Instruções!$D$20&amp;") A ")</f>
        <v xml:space="preserve">(SELECT entty_id as entty_id_as_is, dt_dflt_stts as dt_dflt_stts_as_is FROM cd_loan_tapes_bce.lt003_entity WHERE ref_date='2024-09-30' AND nome_perimetro='Individual Corporativo' AND segmento='ESTR' AND ambito='PM' AND entidade='00100' ) A </v>
      </c>
      <c r="I24" s="17" t="str">
        <f>IF(VLOOKUP(B24,Instruções!$F$13:$J$17,5,0)="",
"(SELECT "&amp;VLOOKUP(B24,Instruções!$F$13:$J$17,4,0)&amp;" as "&amp;VLOOKUP(B24,Instruções!$F$13:$J$17,4,0)&amp;"_"&amp;$G$2&amp;", "&amp;E24&amp;" as "&amp;G24&amp;" FROM "&amp;D24&amp;" WHERE "&amp;Instruções!$D$21&amp;") B ",
"(SELECT "&amp;VLOOKUP(B24,Instruções!$F$13:$J$17,4,0)&amp;" as "&amp;VLOOKUP(B24,Instruções!$F$13:$J$17,4,0)&amp;"_"&amp;$G$2&amp;", "&amp;VLOOKUP(B24,Instruções!$F$13:$J$17,5,0)&amp;" as "&amp;VLOOKUP(B24,Instruções!$F$13:$J$17,5,0)&amp;"_"&amp;$G$2&amp;","&amp;E24&amp;" as "&amp;G24&amp;" FROM "&amp;D24&amp;" WHERE "&amp;Instruções!$D$21&amp;") B ")</f>
        <v xml:space="preserve">(SELECT entty_id as entty_id_to_be, dt_dflt_stts as dt_dflt_stts_to_be FROM bu_loantape_work.lt003_entity WHERE ref_date='2024-09-30' AND nome_perimetro='Individual Corporativo' AND segmento='ESTR' AND ambito='PM' AND entidade='00100' ) B </v>
      </c>
      <c r="J24" s="17" t="str">
        <f>IF(VLOOKUP(B24,Instruções!$F$13:$J$17,5,0)="",
"ON "&amp;VLOOKUP(B24,Instruções!$F$13:$J$17,4,0)&amp;"_"&amp;$F$2&amp;" = "&amp;VLOOKUP(B24,Instruções!$F$13:$J$17,4,0)&amp;"_"&amp;$G$2&amp;" ",
"ON "&amp;VLOOKUP(B24,Instruções!$F$13:$J$17,4,0)&amp;"_"&amp;$F$2&amp;" = "&amp;VLOOKUP(B24,Instruções!$F$13:$J$17,4,0)&amp;"_"&amp;$G$2&amp;" AND "&amp;VLOOKUP(B24,Instruções!$F$13:$J$17,5,0)&amp;"_"&amp;$F$2&amp;" = "&amp;VLOOKUP(B24,Instruções!$F$13:$J$17,5,0)&amp;"_"&amp;$G$2&amp;" ")</f>
        <v xml:space="preserve">ON entty_id_as_is = entty_id_to_be </v>
      </c>
      <c r="K24" s="17" t="str">
        <f t="shared" si="2"/>
        <v xml:space="preserve">WHERE coalesce(cast(dt_dflt_stts_as_is as string), '') &lt;&gt; coalesce(cast(dt_dflt_stts_to_be as string), '') </v>
      </c>
      <c r="L24" s="17" t="str">
        <f t="shared" si="3"/>
        <v xml:space="preserve">SELECT count(*) AS NUM_REG_DIF FROM (SELECT entty_id as entty_id_as_is, dt_dflt_stts as dt_dflt_stts_as_is FROM cd_loan_tapes_bce.lt003_entity WHERE ref_date='2024-09-30' AND nome_perimetro='Individual Corporativo' AND segmento='ESTR' AND ambito='PM' AND entidade='00100' ) A  Inner join (SELECT entty_id as entty_id_to_be, dt_dflt_stts as dt_dflt_stts_to_be FROM bu_loantape_work.lt003_entity WHERE ref_date='2024-09-30' AND nome_perimetro='Individual Corporativo' AND segmento='ESTR' AND ambito='PM' AND entidade='00100' ) B ON entty_id_as_is = entty_id_to_be WHERE coalesce(cast(dt_dflt_stts_as_is as string), '') &lt;&gt; coalesce(cast(dt_dflt_stts_to_be as string), '') </v>
      </c>
      <c r="M24" s="17" t="s">
        <v>55</v>
      </c>
      <c r="N24" s="17" t="str">
        <f>"SELECT 'Validação de campos' as tipologia_teste, '"&amp;VLOOKUP(B24,Instruções!$F$13:$J$17,3,0)&amp;"' AS TABELA, '"&amp;E24&amp;"' AS CAMPO, '"&amp;Instruções!$D$15&amp;"' as ref_date, coalesce(NUM_REG_DIF, 0) AS NUM_REG_DIF FROM ("&amp;L24&amp;") A "</f>
        <v xml:space="preserve">SELECT 'Validação de campos' as tipologia_teste, 'lt003_entity' AS TABELA, 'dt_dflt_stts' AS CAMPO, '2024-09-30' as ref_date, coalesce(NUM_REG_DIF, 0) AS NUM_REG_DIF FROM (SELECT count(*) AS NUM_REG_DIF FROM (SELECT entty_id as entty_id_as_is, dt_dflt_stts as dt_dflt_stts_as_is FROM cd_loan_tapes_bce.lt003_entity WHERE ref_date='2024-09-30' AND nome_perimetro='Individual Corporativo' AND segmento='ESTR' AND ambito='PM' AND entidade='00100' ) A  Inner join (SELECT entty_id as entty_id_to_be, dt_dflt_stts as dt_dflt_stts_to_be FROM bu_loantape_work.lt003_entity WHERE ref_date='2024-09-30' AND nome_perimetro='Individual Corporativo' AND segmento='ESTR' AND ambito='PM' AND entidade='00100' ) B ON entty_id_as_is = entty_id_to_be WHERE coalesce(cast(dt_dflt_stts_as_is as string), '') &lt;&gt; coalesce(cast(dt_dflt_stts_to_be as string), '') ) A </v>
      </c>
      <c r="O24" s="19" t="str">
        <f t="shared" si="4"/>
        <v>SELECT 'Validação de campos' as tipologia_teste, 'lt003_entity' AS TABELA, 'dt_dflt_stts' AS CAMPO, '2024-09-30' as ref_date, coalesce(NUM_REG_DIF, 0) AS NUM_REG_DIF FROM (SELECT count(*) AS NUM_REG_DIF FROM (SELECT entty_id as entty_id_as_is, dt_dflt_stts as dt_dflt_stts_as_is FROM cd_loan_tapes_bce.lt003_entity WHERE ref_date='2024-09-30' AND nome_perimetro='Individual Corporativo' AND segmento='ESTR' AND ambito='PM' AND entidade='00100' ) A  Inner join (SELECT entty_id as entty_id_to_be, dt_dflt_stts as dt_dflt_stts_to_be FROM bu_loantape_work.lt003_entity WHERE ref_date='2024-09-30' AND nome_perimetro='Individual Corporativo' AND segmento='ESTR' AND ambito='PM' AND entidade='00100' ) B ON entty_id_as_is = entty_id_to_be WHERE coalesce(cast(dt_dflt_stts_as_is as string), '') &lt;&gt; coalesce(cast(dt_dflt_stts_to_be as string), '') ) A UNION ALL</v>
      </c>
      <c r="P24" s="17">
        <f t="shared" si="5"/>
        <v>21</v>
      </c>
    </row>
    <row r="25" spans="2:16" s="15" customFormat="1" ht="11.45">
      <c r="B25" s="17" t="s">
        <v>11</v>
      </c>
      <c r="C25" s="17" t="str">
        <f>_xlfn.CONCAT(Instruções!$D$13,".",VLOOKUP(B25,Instruções!$F$12:$H$17,2,0))</f>
        <v>cd_loan_tapes_bce.lt003_entity</v>
      </c>
      <c r="D25" s="17" t="str">
        <f>_xlfn.CONCAT(Instruções!$D$14,".",VLOOKUP(B25,Instruções!$F$12:$H$17,3,0))</f>
        <v>bu_loantape_work.lt003_entity</v>
      </c>
      <c r="E25" s="17" t="s">
        <v>77</v>
      </c>
      <c r="F25" s="17" t="str">
        <f t="shared" si="0"/>
        <v>dt_fnncl_sttmts_as_is</v>
      </c>
      <c r="G25" s="17" t="str">
        <f t="shared" si="1"/>
        <v>dt_fnncl_sttmts_to_be</v>
      </c>
      <c r="H25" s="17" t="str">
        <f>IF(VLOOKUP(B25,Instruções!$F$13:$J$17,5,0)="",
"(SELECT "&amp;VLOOKUP(B25,Instruções!$F$13:$J$17,4,0)&amp;" as "&amp;VLOOKUP(B25,Instruções!$F$13:$J$17,4,0)&amp;"_"&amp;$F$2&amp;", "&amp;E25&amp;" as "&amp;F25&amp;" FROM "&amp;C25&amp;" WHERE "&amp;Instruções!$D$20&amp;") A ",
"(SELECT "&amp;VLOOKUP(B25,Instruções!$F$13:$J$17,4,0)&amp;" as "&amp;VLOOKUP(B25,Instruções!$F$13:$J$17,4,0)&amp;"_"&amp;$F$2&amp;", "&amp;VLOOKUP(B25,Instruções!$F$13:$J$17,5,0)&amp;" as "&amp;VLOOKUP(B25,Instruções!$F$13:$J$17,5,0)&amp;"_"&amp;$F$2&amp;","&amp;E25&amp;" as "&amp;F25&amp;" FROM "&amp;C25&amp;" WHERE "&amp;Instruções!$D$20&amp;") A ")</f>
        <v xml:space="preserve">(SELECT entty_id as entty_id_as_is, dt_fnncl_sttmts as dt_fnncl_sttmts_as_is FROM cd_loan_tapes_bce.lt003_entity WHERE ref_date='2024-09-30' AND nome_perimetro='Individual Corporativo' AND segmento='ESTR' AND ambito='PM' AND entidade='00100' ) A </v>
      </c>
      <c r="I25" s="17" t="str">
        <f>IF(VLOOKUP(B25,Instruções!$F$13:$J$17,5,0)="",
"(SELECT "&amp;VLOOKUP(B25,Instruções!$F$13:$J$17,4,0)&amp;" as "&amp;VLOOKUP(B25,Instruções!$F$13:$J$17,4,0)&amp;"_"&amp;$G$2&amp;", "&amp;E25&amp;" as "&amp;G25&amp;" FROM "&amp;D25&amp;" WHERE "&amp;Instruções!$D$21&amp;") B ",
"(SELECT "&amp;VLOOKUP(B25,Instruções!$F$13:$J$17,4,0)&amp;" as "&amp;VLOOKUP(B25,Instruções!$F$13:$J$17,4,0)&amp;"_"&amp;$G$2&amp;", "&amp;VLOOKUP(B25,Instruções!$F$13:$J$17,5,0)&amp;" as "&amp;VLOOKUP(B25,Instruções!$F$13:$J$17,5,0)&amp;"_"&amp;$G$2&amp;","&amp;E25&amp;" as "&amp;G25&amp;" FROM "&amp;D25&amp;" WHERE "&amp;Instruções!$D$21&amp;") B ")</f>
        <v xml:space="preserve">(SELECT entty_id as entty_id_to_be, dt_fnncl_sttmts as dt_fnncl_sttmts_to_be FROM bu_loantape_work.lt003_entity WHERE ref_date='2024-09-30' AND nome_perimetro='Individual Corporativo' AND segmento='ESTR' AND ambito='PM' AND entidade='00100' ) B </v>
      </c>
      <c r="J25" s="17" t="str">
        <f>IF(VLOOKUP(B25,Instruções!$F$13:$J$17,5,0)="",
"ON "&amp;VLOOKUP(B25,Instruções!$F$13:$J$17,4,0)&amp;"_"&amp;$F$2&amp;" = "&amp;VLOOKUP(B25,Instruções!$F$13:$J$17,4,0)&amp;"_"&amp;$G$2&amp;" ",
"ON "&amp;VLOOKUP(B25,Instruções!$F$13:$J$17,4,0)&amp;"_"&amp;$F$2&amp;" = "&amp;VLOOKUP(B25,Instruções!$F$13:$J$17,4,0)&amp;"_"&amp;$G$2&amp;" AND "&amp;VLOOKUP(B25,Instruções!$F$13:$J$17,5,0)&amp;"_"&amp;$F$2&amp;" = "&amp;VLOOKUP(B25,Instruções!$F$13:$J$17,5,0)&amp;"_"&amp;$G$2&amp;" ")</f>
        <v xml:space="preserve">ON entty_id_as_is = entty_id_to_be </v>
      </c>
      <c r="K25" s="17" t="str">
        <f t="shared" si="2"/>
        <v xml:space="preserve">WHERE coalesce(cast(dt_fnncl_sttmts_as_is as string), '') &lt;&gt; coalesce(cast(dt_fnncl_sttmts_to_be as string), '') </v>
      </c>
      <c r="L25" s="17" t="str">
        <f t="shared" si="3"/>
        <v xml:space="preserve">SELECT count(*) AS NUM_REG_DIF FROM (SELECT entty_id as entty_id_as_is, dt_fnncl_sttmts as dt_fnncl_sttmts_as_is FROM cd_loan_tapes_bce.lt003_entity WHERE ref_date='2024-09-30' AND nome_perimetro='Individual Corporativo' AND segmento='ESTR' AND ambito='PM' AND entidade='00100' ) A  Inner join (SELECT entty_id as entty_id_to_be, dt_fnncl_sttmts as dt_fnncl_sttmts_to_be FROM bu_loantape_work.lt003_entity WHERE ref_date='2024-09-30' AND nome_perimetro='Individual Corporativo' AND segmento='ESTR' AND ambito='PM' AND entidade='00100' ) B ON entty_id_as_is = entty_id_to_be WHERE coalesce(cast(dt_fnncl_sttmts_as_is as string), '') &lt;&gt; coalesce(cast(dt_fnncl_sttmts_to_be as string), '') </v>
      </c>
      <c r="M25" s="17" t="s">
        <v>55</v>
      </c>
      <c r="N25" s="17" t="str">
        <f>"SELECT 'Validação de campos' as tipologia_teste, '"&amp;VLOOKUP(B25,Instruções!$F$13:$J$17,3,0)&amp;"' AS TABELA, '"&amp;E25&amp;"' AS CAMPO, '"&amp;Instruções!$D$15&amp;"' as ref_date, coalesce(NUM_REG_DIF, 0) AS NUM_REG_DIF FROM ("&amp;L25&amp;") A "</f>
        <v xml:space="preserve">SELECT 'Validação de campos' as tipologia_teste, 'lt003_entity' AS TABELA, 'dt_fnncl_sttmts' AS CAMPO, '2024-09-30' as ref_date, coalesce(NUM_REG_DIF, 0) AS NUM_REG_DIF FROM (SELECT count(*) AS NUM_REG_DIF FROM (SELECT entty_id as entty_id_as_is, dt_fnncl_sttmts as dt_fnncl_sttmts_as_is FROM cd_loan_tapes_bce.lt003_entity WHERE ref_date='2024-09-30' AND nome_perimetro='Individual Corporativo' AND segmento='ESTR' AND ambito='PM' AND entidade='00100' ) A  Inner join (SELECT entty_id as entty_id_to_be, dt_fnncl_sttmts as dt_fnncl_sttmts_to_be FROM bu_loantape_work.lt003_entity WHERE ref_date='2024-09-30' AND nome_perimetro='Individual Corporativo' AND segmento='ESTR' AND ambito='PM' AND entidade='00100' ) B ON entty_id_as_is = entty_id_to_be WHERE coalesce(cast(dt_fnncl_sttmts_as_is as string), '') &lt;&gt; coalesce(cast(dt_fnncl_sttmts_to_be as string), '') ) A </v>
      </c>
      <c r="O25" s="19" t="str">
        <f t="shared" si="4"/>
        <v>SELECT 'Validação de campos' as tipologia_teste, 'lt003_entity' AS TABELA, 'dt_fnncl_sttmts' AS CAMPO, '2024-09-30' as ref_date, coalesce(NUM_REG_DIF, 0) AS NUM_REG_DIF FROM (SELECT count(*) AS NUM_REG_DIF FROM (SELECT entty_id as entty_id_as_is, dt_fnncl_sttmts as dt_fnncl_sttmts_as_is FROM cd_loan_tapes_bce.lt003_entity WHERE ref_date='2024-09-30' AND nome_perimetro='Individual Corporativo' AND segmento='ESTR' AND ambito='PM' AND entidade='00100' ) A  Inner join (SELECT entty_id as entty_id_to_be, dt_fnncl_sttmts as dt_fnncl_sttmts_to_be FROM bu_loantape_work.lt003_entity WHERE ref_date='2024-09-30' AND nome_perimetro='Individual Corporativo' AND segmento='ESTR' AND ambito='PM' AND entidade='00100' ) B ON entty_id_as_is = entty_id_to_be WHERE coalesce(cast(dt_fnncl_sttmts_as_is as string), '') &lt;&gt; coalesce(cast(dt_fnncl_sttmts_to_be as string), '') ) A UNION ALL</v>
      </c>
      <c r="P25" s="17">
        <f t="shared" si="5"/>
        <v>22</v>
      </c>
    </row>
    <row r="26" spans="2:16" s="15" customFormat="1" ht="11.45">
      <c r="B26" s="17" t="s">
        <v>11</v>
      </c>
      <c r="C26" s="17" t="str">
        <f>_xlfn.CONCAT(Instruções!$D$13,".",VLOOKUP(B26,Instruções!$F$12:$H$17,2,0))</f>
        <v>cd_loan_tapes_bce.lt003_entity</v>
      </c>
      <c r="D26" s="17" t="str">
        <f>_xlfn.CONCAT(Instruções!$D$14,".",VLOOKUP(B26,Instruções!$F$12:$H$17,3,0))</f>
        <v>bu_loantape_work.lt003_entity</v>
      </c>
      <c r="E26" s="17" t="s">
        <v>78</v>
      </c>
      <c r="F26" s="17" t="str">
        <f t="shared" si="0"/>
        <v>dt_fnncl_sttmts_prvs_as_is</v>
      </c>
      <c r="G26" s="17" t="str">
        <f t="shared" si="1"/>
        <v>dt_fnncl_sttmts_prvs_to_be</v>
      </c>
      <c r="H26" s="17" t="str">
        <f>IF(VLOOKUP(B26,Instruções!$F$13:$J$17,5,0)="",
"(SELECT "&amp;VLOOKUP(B26,Instruções!$F$13:$J$17,4,0)&amp;" as "&amp;VLOOKUP(B26,Instruções!$F$13:$J$17,4,0)&amp;"_"&amp;$F$2&amp;", "&amp;E26&amp;" as "&amp;F26&amp;" FROM "&amp;C26&amp;" WHERE "&amp;Instruções!$D$20&amp;") A ",
"(SELECT "&amp;VLOOKUP(B26,Instruções!$F$13:$J$17,4,0)&amp;" as "&amp;VLOOKUP(B26,Instruções!$F$13:$J$17,4,0)&amp;"_"&amp;$F$2&amp;", "&amp;VLOOKUP(B26,Instruções!$F$13:$J$17,5,0)&amp;" as "&amp;VLOOKUP(B26,Instruções!$F$13:$J$17,5,0)&amp;"_"&amp;$F$2&amp;","&amp;E26&amp;" as "&amp;F26&amp;" FROM "&amp;C26&amp;" WHERE "&amp;Instruções!$D$20&amp;") A ")</f>
        <v xml:space="preserve">(SELECT entty_id as entty_id_as_is, dt_fnncl_sttmts_prvs as dt_fnncl_sttmts_prvs_as_is FROM cd_loan_tapes_bce.lt003_entity WHERE ref_date='2024-09-30' AND nome_perimetro='Individual Corporativo' AND segmento='ESTR' AND ambito='PM' AND entidade='00100' ) A </v>
      </c>
      <c r="I26" s="17" t="str">
        <f>IF(VLOOKUP(B26,Instruções!$F$13:$J$17,5,0)="",
"(SELECT "&amp;VLOOKUP(B26,Instruções!$F$13:$J$17,4,0)&amp;" as "&amp;VLOOKUP(B26,Instruções!$F$13:$J$17,4,0)&amp;"_"&amp;$G$2&amp;", "&amp;E26&amp;" as "&amp;G26&amp;" FROM "&amp;D26&amp;" WHERE "&amp;Instruções!$D$21&amp;") B ",
"(SELECT "&amp;VLOOKUP(B26,Instruções!$F$13:$J$17,4,0)&amp;" as "&amp;VLOOKUP(B26,Instruções!$F$13:$J$17,4,0)&amp;"_"&amp;$G$2&amp;", "&amp;VLOOKUP(B26,Instruções!$F$13:$J$17,5,0)&amp;" as "&amp;VLOOKUP(B26,Instruções!$F$13:$J$17,5,0)&amp;"_"&amp;$G$2&amp;","&amp;E26&amp;" as "&amp;G26&amp;" FROM "&amp;D26&amp;" WHERE "&amp;Instruções!$D$21&amp;") B ")</f>
        <v xml:space="preserve">(SELECT entty_id as entty_id_to_be, dt_fnncl_sttmts_prvs as dt_fnncl_sttmts_prvs_to_be FROM bu_loantape_work.lt003_entity WHERE ref_date='2024-09-30' AND nome_perimetro='Individual Corporativo' AND segmento='ESTR' AND ambito='PM' AND entidade='00100' ) B </v>
      </c>
      <c r="J26" s="17" t="str">
        <f>IF(VLOOKUP(B26,Instruções!$F$13:$J$17,5,0)="",
"ON "&amp;VLOOKUP(B26,Instruções!$F$13:$J$17,4,0)&amp;"_"&amp;$F$2&amp;" = "&amp;VLOOKUP(B26,Instruções!$F$13:$J$17,4,0)&amp;"_"&amp;$G$2&amp;" ",
"ON "&amp;VLOOKUP(B26,Instruções!$F$13:$J$17,4,0)&amp;"_"&amp;$F$2&amp;" = "&amp;VLOOKUP(B26,Instruções!$F$13:$J$17,4,0)&amp;"_"&amp;$G$2&amp;" AND "&amp;VLOOKUP(B26,Instruções!$F$13:$J$17,5,0)&amp;"_"&amp;$F$2&amp;" = "&amp;VLOOKUP(B26,Instruções!$F$13:$J$17,5,0)&amp;"_"&amp;$G$2&amp;" ")</f>
        <v xml:space="preserve">ON entty_id_as_is = entty_id_to_be </v>
      </c>
      <c r="K26" s="17" t="str">
        <f t="shared" si="2"/>
        <v xml:space="preserve">WHERE coalesce(cast(dt_fnncl_sttmts_prvs_as_is as string), '') &lt;&gt; coalesce(cast(dt_fnncl_sttmts_prvs_to_be as string), '') </v>
      </c>
      <c r="L26" s="17" t="str">
        <f t="shared" si="3"/>
        <v xml:space="preserve">SELECT count(*) AS NUM_REG_DIF FROM (SELECT entty_id as entty_id_as_is, dt_fnncl_sttmts_prvs as dt_fnncl_sttmts_prvs_as_is FROM cd_loan_tapes_bce.lt003_entity WHERE ref_date='2024-09-30' AND nome_perimetro='Individual Corporativo' AND segmento='ESTR' AND ambito='PM' AND entidade='00100' ) A  Inner join (SELECT entty_id as entty_id_to_be, dt_fnncl_sttmts_prvs as dt_fnncl_sttmts_prvs_to_be FROM bu_loantape_work.lt003_entity WHERE ref_date='2024-09-30' AND nome_perimetro='Individual Corporativo' AND segmento='ESTR' AND ambito='PM' AND entidade='00100' ) B ON entty_id_as_is = entty_id_to_be WHERE coalesce(cast(dt_fnncl_sttmts_prvs_as_is as string), '') &lt;&gt; coalesce(cast(dt_fnncl_sttmts_prvs_to_be as string), '') </v>
      </c>
      <c r="M26" s="17" t="s">
        <v>55</v>
      </c>
      <c r="N26" s="17" t="str">
        <f>"SELECT 'Validação de campos' as tipologia_teste, '"&amp;VLOOKUP(B26,Instruções!$F$13:$J$17,3,0)&amp;"' AS TABELA, '"&amp;E26&amp;"' AS CAMPO, '"&amp;Instruções!$D$15&amp;"' as ref_date, coalesce(NUM_REG_DIF, 0) AS NUM_REG_DIF FROM ("&amp;L26&amp;") A "</f>
        <v xml:space="preserve">SELECT 'Validação de campos' as tipologia_teste, 'lt003_entity' AS TABELA, 'dt_fnncl_sttmts_prvs' AS CAMPO, '2024-09-30' as ref_date, coalesce(NUM_REG_DIF, 0) AS NUM_REG_DIF FROM (SELECT count(*) AS NUM_REG_DIF FROM (SELECT entty_id as entty_id_as_is, dt_fnncl_sttmts_prvs as dt_fnncl_sttmts_prvs_as_is FROM cd_loan_tapes_bce.lt003_entity WHERE ref_date='2024-09-30' AND nome_perimetro='Individual Corporativo' AND segmento='ESTR' AND ambito='PM' AND entidade='00100' ) A  Inner join (SELECT entty_id as entty_id_to_be, dt_fnncl_sttmts_prvs as dt_fnncl_sttmts_prvs_to_be FROM bu_loantape_work.lt003_entity WHERE ref_date='2024-09-30' AND nome_perimetro='Individual Corporativo' AND segmento='ESTR' AND ambito='PM' AND entidade='00100' ) B ON entty_id_as_is = entty_id_to_be WHERE coalesce(cast(dt_fnncl_sttmts_prvs_as_is as string), '') &lt;&gt; coalesce(cast(dt_fnncl_sttmts_prvs_to_be as string), '') ) A </v>
      </c>
      <c r="O26" s="19" t="str">
        <f t="shared" si="4"/>
        <v>SELECT 'Validação de campos' as tipologia_teste, 'lt003_entity' AS TABELA, 'dt_fnncl_sttmts_prvs' AS CAMPO, '2024-09-30' as ref_date, coalesce(NUM_REG_DIF, 0) AS NUM_REG_DIF FROM (SELECT count(*) AS NUM_REG_DIF FROM (SELECT entty_id as entty_id_as_is, dt_fnncl_sttmts_prvs as dt_fnncl_sttmts_prvs_as_is FROM cd_loan_tapes_bce.lt003_entity WHERE ref_date='2024-09-30' AND nome_perimetro='Individual Corporativo' AND segmento='ESTR' AND ambito='PM' AND entidade='00100' ) A  Inner join (SELECT entty_id as entty_id_to_be, dt_fnncl_sttmts_prvs as dt_fnncl_sttmts_prvs_to_be FROM bu_loantape_work.lt003_entity WHERE ref_date='2024-09-30' AND nome_perimetro='Individual Corporativo' AND segmento='ESTR' AND ambito='PM' AND entidade='00100' ) B ON entty_id_as_is = entty_id_to_be WHERE coalesce(cast(dt_fnncl_sttmts_prvs_as_is as string), '') &lt;&gt; coalesce(cast(dt_fnncl_sttmts_prvs_to_be as string), '') ) A UNION ALL</v>
      </c>
      <c r="P26" s="17">
        <f t="shared" si="5"/>
        <v>23</v>
      </c>
    </row>
    <row r="27" spans="2:16" s="15" customFormat="1" ht="11.45">
      <c r="B27" s="17" t="s">
        <v>11</v>
      </c>
      <c r="C27" s="17" t="str">
        <f>_xlfn.CONCAT(Instruções!$D$13,".",VLOOKUP(B27,Instruções!$F$12:$H$17,2,0))</f>
        <v>cd_loan_tapes_bce.lt003_entity</v>
      </c>
      <c r="D27" s="17" t="str">
        <f>_xlfn.CONCAT(Instruções!$D$14,".",VLOOKUP(B27,Instruções!$F$12:$H$17,3,0))</f>
        <v>bu_loantape_work.lt003_entity</v>
      </c>
      <c r="E27" s="17" t="s">
        <v>79</v>
      </c>
      <c r="F27" s="17" t="str">
        <f t="shared" si="0"/>
        <v>dt_intrnl_rtng_as_is</v>
      </c>
      <c r="G27" s="17" t="str">
        <f t="shared" si="1"/>
        <v>dt_intrnl_rtng_to_be</v>
      </c>
      <c r="H27" s="17" t="str">
        <f>IF(VLOOKUP(B27,Instruções!$F$13:$J$17,5,0)="",
"(SELECT "&amp;VLOOKUP(B27,Instruções!$F$13:$J$17,4,0)&amp;" as "&amp;VLOOKUP(B27,Instruções!$F$13:$J$17,4,0)&amp;"_"&amp;$F$2&amp;", "&amp;E27&amp;" as "&amp;F27&amp;" FROM "&amp;C27&amp;" WHERE "&amp;Instruções!$D$20&amp;") A ",
"(SELECT "&amp;VLOOKUP(B27,Instruções!$F$13:$J$17,4,0)&amp;" as "&amp;VLOOKUP(B27,Instruções!$F$13:$J$17,4,0)&amp;"_"&amp;$F$2&amp;", "&amp;VLOOKUP(B27,Instruções!$F$13:$J$17,5,0)&amp;" as "&amp;VLOOKUP(B27,Instruções!$F$13:$J$17,5,0)&amp;"_"&amp;$F$2&amp;","&amp;E27&amp;" as "&amp;F27&amp;" FROM "&amp;C27&amp;" WHERE "&amp;Instruções!$D$20&amp;") A ")</f>
        <v xml:space="preserve">(SELECT entty_id as entty_id_as_is, dt_intrnl_rtng as dt_intrnl_rtng_as_is FROM cd_loan_tapes_bce.lt003_entity WHERE ref_date='2024-09-30' AND nome_perimetro='Individual Corporativo' AND segmento='ESTR' AND ambito='PM' AND entidade='00100' ) A </v>
      </c>
      <c r="I27" s="17" t="str">
        <f>IF(VLOOKUP(B27,Instruções!$F$13:$J$17,5,0)="",
"(SELECT "&amp;VLOOKUP(B27,Instruções!$F$13:$J$17,4,0)&amp;" as "&amp;VLOOKUP(B27,Instruções!$F$13:$J$17,4,0)&amp;"_"&amp;$G$2&amp;", "&amp;E27&amp;" as "&amp;G27&amp;" FROM "&amp;D27&amp;" WHERE "&amp;Instruções!$D$21&amp;") B ",
"(SELECT "&amp;VLOOKUP(B27,Instruções!$F$13:$J$17,4,0)&amp;" as "&amp;VLOOKUP(B27,Instruções!$F$13:$J$17,4,0)&amp;"_"&amp;$G$2&amp;", "&amp;VLOOKUP(B27,Instruções!$F$13:$J$17,5,0)&amp;" as "&amp;VLOOKUP(B27,Instruções!$F$13:$J$17,5,0)&amp;"_"&amp;$G$2&amp;","&amp;E27&amp;" as "&amp;G27&amp;" FROM "&amp;D27&amp;" WHERE "&amp;Instruções!$D$21&amp;") B ")</f>
        <v xml:space="preserve">(SELECT entty_id as entty_id_to_be, dt_intrnl_rtng as dt_intrnl_rtng_to_be FROM bu_loantape_work.lt003_entity WHERE ref_date='2024-09-30' AND nome_perimetro='Individual Corporativo' AND segmento='ESTR' AND ambito='PM' AND entidade='00100' ) B </v>
      </c>
      <c r="J27" s="17" t="str">
        <f>IF(VLOOKUP(B27,Instruções!$F$13:$J$17,5,0)="",
"ON "&amp;VLOOKUP(B27,Instruções!$F$13:$J$17,4,0)&amp;"_"&amp;$F$2&amp;" = "&amp;VLOOKUP(B27,Instruções!$F$13:$J$17,4,0)&amp;"_"&amp;$G$2&amp;" ",
"ON "&amp;VLOOKUP(B27,Instruções!$F$13:$J$17,4,0)&amp;"_"&amp;$F$2&amp;" = "&amp;VLOOKUP(B27,Instruções!$F$13:$J$17,4,0)&amp;"_"&amp;$G$2&amp;" AND "&amp;VLOOKUP(B27,Instruções!$F$13:$J$17,5,0)&amp;"_"&amp;$F$2&amp;" = "&amp;VLOOKUP(B27,Instruções!$F$13:$J$17,5,0)&amp;"_"&amp;$G$2&amp;" ")</f>
        <v xml:space="preserve">ON entty_id_as_is = entty_id_to_be </v>
      </c>
      <c r="K27" s="17" t="str">
        <f t="shared" si="2"/>
        <v xml:space="preserve">WHERE coalesce(cast(dt_intrnl_rtng_as_is as string), '') &lt;&gt; coalesce(cast(dt_intrnl_rtng_to_be as string), '') </v>
      </c>
      <c r="L27" s="17" t="str">
        <f t="shared" si="3"/>
        <v xml:space="preserve">SELECT count(*) AS NUM_REG_DIF FROM (SELECT entty_id as entty_id_as_is, dt_intrnl_rtng as dt_intrnl_rtng_as_is FROM cd_loan_tapes_bce.lt003_entity WHERE ref_date='2024-09-30' AND nome_perimetro='Individual Corporativo' AND segmento='ESTR' AND ambito='PM' AND entidade='00100' ) A  Inner join (SELECT entty_id as entty_id_to_be, dt_intrnl_rtng as dt_intrnl_rtng_to_be FROM bu_loantape_work.lt003_entity WHERE ref_date='2024-09-30' AND nome_perimetro='Individual Corporativo' AND segmento='ESTR' AND ambito='PM' AND entidade='00100' ) B ON entty_id_as_is = entty_id_to_be WHERE coalesce(cast(dt_intrnl_rtng_as_is as string), '') &lt;&gt; coalesce(cast(dt_intrnl_rtng_to_be as string), '') </v>
      </c>
      <c r="M27" s="17" t="s">
        <v>55</v>
      </c>
      <c r="N27" s="17" t="str">
        <f>"SELECT 'Validação de campos' as tipologia_teste, '"&amp;VLOOKUP(B27,Instruções!$F$13:$J$17,3,0)&amp;"' AS TABELA, '"&amp;E27&amp;"' AS CAMPO, '"&amp;Instruções!$D$15&amp;"' as ref_date, coalesce(NUM_REG_DIF, 0) AS NUM_REG_DIF FROM ("&amp;L27&amp;") A "</f>
        <v xml:space="preserve">SELECT 'Validação de campos' as tipologia_teste, 'lt003_entity' AS TABELA, 'dt_intrnl_rtng' AS CAMPO, '2024-09-30' as ref_date, coalesce(NUM_REG_DIF, 0) AS NUM_REG_DIF FROM (SELECT count(*) AS NUM_REG_DIF FROM (SELECT entty_id as entty_id_as_is, dt_intrnl_rtng as dt_intrnl_rtng_as_is FROM cd_loan_tapes_bce.lt003_entity WHERE ref_date='2024-09-30' AND nome_perimetro='Individual Corporativo' AND segmento='ESTR' AND ambito='PM' AND entidade='00100' ) A  Inner join (SELECT entty_id as entty_id_to_be, dt_intrnl_rtng as dt_intrnl_rtng_to_be FROM bu_loantape_work.lt003_entity WHERE ref_date='2024-09-30' AND nome_perimetro='Individual Corporativo' AND segmento='ESTR' AND ambito='PM' AND entidade='00100' ) B ON entty_id_as_is = entty_id_to_be WHERE coalesce(cast(dt_intrnl_rtng_as_is as string), '') &lt;&gt; coalesce(cast(dt_intrnl_rtng_to_be as string), '') ) A </v>
      </c>
      <c r="O27" s="19" t="str">
        <f t="shared" si="4"/>
        <v>SELECT 'Validação de campos' as tipologia_teste, 'lt003_entity' AS TABELA, 'dt_intrnl_rtng' AS CAMPO, '2024-09-30' as ref_date, coalesce(NUM_REG_DIF, 0) AS NUM_REG_DIF FROM (SELECT count(*) AS NUM_REG_DIF FROM (SELECT entty_id as entty_id_as_is, dt_intrnl_rtng as dt_intrnl_rtng_as_is FROM cd_loan_tapes_bce.lt003_entity WHERE ref_date='2024-09-30' AND nome_perimetro='Individual Corporativo' AND segmento='ESTR' AND ambito='PM' AND entidade='00100' ) A  Inner join (SELECT entty_id as entty_id_to_be, dt_intrnl_rtng as dt_intrnl_rtng_to_be FROM bu_loantape_work.lt003_entity WHERE ref_date='2024-09-30' AND nome_perimetro='Individual Corporativo' AND segmento='ESTR' AND ambito='PM' AND entidade='00100' ) B ON entty_id_as_is = entty_id_to_be WHERE coalesce(cast(dt_intrnl_rtng_as_is as string), '') &lt;&gt; coalesce(cast(dt_intrnl_rtng_to_be as string), '') ) A UNION ALL</v>
      </c>
      <c r="P27" s="17">
        <f t="shared" si="5"/>
        <v>24</v>
      </c>
    </row>
    <row r="28" spans="2:16" s="15" customFormat="1" ht="11.45">
      <c r="B28" s="17" t="s">
        <v>11</v>
      </c>
      <c r="C28" s="17" t="str">
        <f>_xlfn.CONCAT(Instruções!$D$13,".",VLOOKUP(B28,Instruções!$F$12:$H$17,2,0))</f>
        <v>cd_loan_tapes_bce.lt003_entity</v>
      </c>
      <c r="D28" s="17" t="str">
        <f>_xlfn.CONCAT(Instruções!$D$14,".",VLOOKUP(B28,Instruções!$F$12:$H$17,3,0))</f>
        <v>bu_loantape_work.lt003_entity</v>
      </c>
      <c r="E28" s="17" t="s">
        <v>80</v>
      </c>
      <c r="F28" s="17" t="str">
        <f t="shared" si="0"/>
        <v>dt_inttn_lgl_prcdngs_le_as_is</v>
      </c>
      <c r="G28" s="17" t="str">
        <f t="shared" si="1"/>
        <v>dt_inttn_lgl_prcdngs_le_to_be</v>
      </c>
      <c r="H28" s="17" t="str">
        <f>IF(VLOOKUP(B28,Instruções!$F$13:$J$17,5,0)="",
"(SELECT "&amp;VLOOKUP(B28,Instruções!$F$13:$J$17,4,0)&amp;" as "&amp;VLOOKUP(B28,Instruções!$F$13:$J$17,4,0)&amp;"_"&amp;$F$2&amp;", "&amp;E28&amp;" as "&amp;F28&amp;" FROM "&amp;C28&amp;" WHERE "&amp;Instruções!$D$20&amp;") A ",
"(SELECT "&amp;VLOOKUP(B28,Instruções!$F$13:$J$17,4,0)&amp;" as "&amp;VLOOKUP(B28,Instruções!$F$13:$J$17,4,0)&amp;"_"&amp;$F$2&amp;", "&amp;VLOOKUP(B28,Instruções!$F$13:$J$17,5,0)&amp;" as "&amp;VLOOKUP(B28,Instruções!$F$13:$J$17,5,0)&amp;"_"&amp;$F$2&amp;","&amp;E28&amp;" as "&amp;F28&amp;" FROM "&amp;C28&amp;" WHERE "&amp;Instruções!$D$20&amp;") A ")</f>
        <v xml:space="preserve">(SELECT entty_id as entty_id_as_is, dt_inttn_lgl_prcdngs_le as dt_inttn_lgl_prcdngs_le_as_is FROM cd_loan_tapes_bce.lt003_entity WHERE ref_date='2024-09-30' AND nome_perimetro='Individual Corporativo' AND segmento='ESTR' AND ambito='PM' AND entidade='00100' ) A </v>
      </c>
      <c r="I28" s="17" t="str">
        <f>IF(VLOOKUP(B28,Instruções!$F$13:$J$17,5,0)="",
"(SELECT "&amp;VLOOKUP(B28,Instruções!$F$13:$J$17,4,0)&amp;" as "&amp;VLOOKUP(B28,Instruções!$F$13:$J$17,4,0)&amp;"_"&amp;$G$2&amp;", "&amp;E28&amp;" as "&amp;G28&amp;" FROM "&amp;D28&amp;" WHERE "&amp;Instruções!$D$21&amp;") B ",
"(SELECT "&amp;VLOOKUP(B28,Instruções!$F$13:$J$17,4,0)&amp;" as "&amp;VLOOKUP(B28,Instruções!$F$13:$J$17,4,0)&amp;"_"&amp;$G$2&amp;", "&amp;VLOOKUP(B28,Instruções!$F$13:$J$17,5,0)&amp;" as "&amp;VLOOKUP(B28,Instruções!$F$13:$J$17,5,0)&amp;"_"&amp;$G$2&amp;","&amp;E28&amp;" as "&amp;G28&amp;" FROM "&amp;D28&amp;" WHERE "&amp;Instruções!$D$21&amp;") B ")</f>
        <v xml:space="preserve">(SELECT entty_id as entty_id_to_be, dt_inttn_lgl_prcdngs_le as dt_inttn_lgl_prcdngs_le_to_be FROM bu_loantape_work.lt003_entity WHERE ref_date='2024-09-30' AND nome_perimetro='Individual Corporativo' AND segmento='ESTR' AND ambito='PM' AND entidade='00100' ) B </v>
      </c>
      <c r="J28" s="17" t="str">
        <f>IF(VLOOKUP(B28,Instruções!$F$13:$J$17,5,0)="",
"ON "&amp;VLOOKUP(B28,Instruções!$F$13:$J$17,4,0)&amp;"_"&amp;$F$2&amp;" = "&amp;VLOOKUP(B28,Instruções!$F$13:$J$17,4,0)&amp;"_"&amp;$G$2&amp;" ",
"ON "&amp;VLOOKUP(B28,Instruções!$F$13:$J$17,4,0)&amp;"_"&amp;$F$2&amp;" = "&amp;VLOOKUP(B28,Instruções!$F$13:$J$17,4,0)&amp;"_"&amp;$G$2&amp;" AND "&amp;VLOOKUP(B28,Instruções!$F$13:$J$17,5,0)&amp;"_"&amp;$F$2&amp;" = "&amp;VLOOKUP(B28,Instruções!$F$13:$J$17,5,0)&amp;"_"&amp;$G$2&amp;" ")</f>
        <v xml:space="preserve">ON entty_id_as_is = entty_id_to_be </v>
      </c>
      <c r="K28" s="17" t="str">
        <f t="shared" si="2"/>
        <v xml:space="preserve">WHERE coalesce(cast(dt_inttn_lgl_prcdngs_le_as_is as string), '') &lt;&gt; coalesce(cast(dt_inttn_lgl_prcdngs_le_to_be as string), '') </v>
      </c>
      <c r="L28" s="17" t="str">
        <f t="shared" si="3"/>
        <v xml:space="preserve">SELECT count(*) AS NUM_REG_DIF FROM (SELECT entty_id as entty_id_as_is, dt_inttn_lgl_prcdngs_le as dt_inttn_lgl_prcdngs_le_as_is FROM cd_loan_tapes_bce.lt003_entity WHERE ref_date='2024-09-30' AND nome_perimetro='Individual Corporativo' AND segmento='ESTR' AND ambito='PM' AND entidade='00100' ) A  Inner join (SELECT entty_id as entty_id_to_be, dt_inttn_lgl_prcdngs_le as dt_inttn_lgl_prcdngs_le_to_be FROM bu_loantape_work.lt003_entity WHERE ref_date='2024-09-30' AND nome_perimetro='Individual Corporativo' AND segmento='ESTR' AND ambito='PM' AND entidade='00100' ) B ON entty_id_as_is = entty_id_to_be WHERE coalesce(cast(dt_inttn_lgl_prcdngs_le_as_is as string), '') &lt;&gt; coalesce(cast(dt_inttn_lgl_prcdngs_le_to_be as string), '') </v>
      </c>
      <c r="M28" s="17" t="s">
        <v>55</v>
      </c>
      <c r="N28" s="17" t="str">
        <f>"SELECT 'Validação de campos' as tipologia_teste, '"&amp;VLOOKUP(B28,Instruções!$F$13:$J$17,3,0)&amp;"' AS TABELA, '"&amp;E28&amp;"' AS CAMPO, '"&amp;Instruções!$D$15&amp;"' as ref_date, coalesce(NUM_REG_DIF, 0) AS NUM_REG_DIF FROM ("&amp;L28&amp;") A "</f>
        <v xml:space="preserve">SELECT 'Validação de campos' as tipologia_teste, 'lt003_entity' AS TABELA, 'dt_inttn_lgl_prcdngs_le' AS CAMPO, '2024-09-30' as ref_date, coalesce(NUM_REG_DIF, 0) AS NUM_REG_DIF FROM (SELECT count(*) AS NUM_REG_DIF FROM (SELECT entty_id as entty_id_as_is, dt_inttn_lgl_prcdngs_le as dt_inttn_lgl_prcdngs_le_as_is FROM cd_loan_tapes_bce.lt003_entity WHERE ref_date='2024-09-30' AND nome_perimetro='Individual Corporativo' AND segmento='ESTR' AND ambito='PM' AND entidade='00100' ) A  Inner join (SELECT entty_id as entty_id_to_be, dt_inttn_lgl_prcdngs_le as dt_inttn_lgl_prcdngs_le_to_be FROM bu_loantape_work.lt003_entity WHERE ref_date='2024-09-30' AND nome_perimetro='Individual Corporativo' AND segmento='ESTR' AND ambito='PM' AND entidade='00100' ) B ON entty_id_as_is = entty_id_to_be WHERE coalesce(cast(dt_inttn_lgl_prcdngs_le_as_is as string), '') &lt;&gt; coalesce(cast(dt_inttn_lgl_prcdngs_le_to_be as string), '') ) A </v>
      </c>
      <c r="O28" s="19" t="str">
        <f t="shared" si="4"/>
        <v>SELECT 'Validação de campos' as tipologia_teste, 'lt003_entity' AS TABELA, 'dt_inttn_lgl_prcdngs_le' AS CAMPO, '2024-09-30' as ref_date, coalesce(NUM_REG_DIF, 0) AS NUM_REG_DIF FROM (SELECT count(*) AS NUM_REG_DIF FROM (SELECT entty_id as entty_id_as_is, dt_inttn_lgl_prcdngs_le as dt_inttn_lgl_prcdngs_le_as_is FROM cd_loan_tapes_bce.lt003_entity WHERE ref_date='2024-09-30' AND nome_perimetro='Individual Corporativo' AND segmento='ESTR' AND ambito='PM' AND entidade='00100' ) A  Inner join (SELECT entty_id as entty_id_to_be, dt_inttn_lgl_prcdngs_le as dt_inttn_lgl_prcdngs_le_to_be FROM bu_loantape_work.lt003_entity WHERE ref_date='2024-09-30' AND nome_perimetro='Individual Corporativo' AND segmento='ESTR' AND ambito='PM' AND entidade='00100' ) B ON entty_id_as_is = entty_id_to_be WHERE coalesce(cast(dt_inttn_lgl_prcdngs_le_as_is as string), '') &lt;&gt; coalesce(cast(dt_inttn_lgl_prcdngs_le_to_be as string), '') ) A UNION ALL</v>
      </c>
      <c r="P28" s="17">
        <f t="shared" si="5"/>
        <v>25</v>
      </c>
    </row>
    <row r="29" spans="2:16" s="15" customFormat="1" ht="11.45">
      <c r="B29" s="17" t="s">
        <v>11</v>
      </c>
      <c r="C29" s="17" t="str">
        <f>_xlfn.CONCAT(Instruções!$D$13,".",VLOOKUP(B29,Instruções!$F$12:$H$17,2,0))</f>
        <v>cd_loan_tapes_bce.lt003_entity</v>
      </c>
      <c r="D29" s="17" t="str">
        <f>_xlfn.CONCAT(Instruções!$D$14,".",VLOOKUP(B29,Instruções!$F$12:$H$17,3,0))</f>
        <v>bu_loantape_work.lt003_entity</v>
      </c>
      <c r="E29" s="17" t="s">
        <v>81</v>
      </c>
      <c r="F29" s="17" t="str">
        <f t="shared" si="0"/>
        <v>dt_prfrmng_stts_le_as_is</v>
      </c>
      <c r="G29" s="17" t="str">
        <f t="shared" si="1"/>
        <v>dt_prfrmng_stts_le_to_be</v>
      </c>
      <c r="H29" s="17" t="str">
        <f>IF(VLOOKUP(B29,Instruções!$F$13:$J$17,5,0)="",
"(SELECT "&amp;VLOOKUP(B29,Instruções!$F$13:$J$17,4,0)&amp;" as "&amp;VLOOKUP(B29,Instruções!$F$13:$J$17,4,0)&amp;"_"&amp;$F$2&amp;", "&amp;E29&amp;" as "&amp;F29&amp;" FROM "&amp;C29&amp;" WHERE "&amp;Instruções!$D$20&amp;") A ",
"(SELECT "&amp;VLOOKUP(B29,Instruções!$F$13:$J$17,4,0)&amp;" as "&amp;VLOOKUP(B29,Instruções!$F$13:$J$17,4,0)&amp;"_"&amp;$F$2&amp;", "&amp;VLOOKUP(B29,Instruções!$F$13:$J$17,5,0)&amp;" as "&amp;VLOOKUP(B29,Instruções!$F$13:$J$17,5,0)&amp;"_"&amp;$F$2&amp;","&amp;E29&amp;" as "&amp;F29&amp;" FROM "&amp;C29&amp;" WHERE "&amp;Instruções!$D$20&amp;") A ")</f>
        <v xml:space="preserve">(SELECT entty_id as entty_id_as_is, dt_prfrmng_stts_le as dt_prfrmng_stts_le_as_is FROM cd_loan_tapes_bce.lt003_entity WHERE ref_date='2024-09-30' AND nome_perimetro='Individual Corporativo' AND segmento='ESTR' AND ambito='PM' AND entidade='00100' ) A </v>
      </c>
      <c r="I29" s="17" t="str">
        <f>IF(VLOOKUP(B29,Instruções!$F$13:$J$17,5,0)="",
"(SELECT "&amp;VLOOKUP(B29,Instruções!$F$13:$J$17,4,0)&amp;" as "&amp;VLOOKUP(B29,Instruções!$F$13:$J$17,4,0)&amp;"_"&amp;$G$2&amp;", "&amp;E29&amp;" as "&amp;G29&amp;" FROM "&amp;D29&amp;" WHERE "&amp;Instruções!$D$21&amp;") B ",
"(SELECT "&amp;VLOOKUP(B29,Instruções!$F$13:$J$17,4,0)&amp;" as "&amp;VLOOKUP(B29,Instruções!$F$13:$J$17,4,0)&amp;"_"&amp;$G$2&amp;", "&amp;VLOOKUP(B29,Instruções!$F$13:$J$17,5,0)&amp;" as "&amp;VLOOKUP(B29,Instruções!$F$13:$J$17,5,0)&amp;"_"&amp;$G$2&amp;","&amp;E29&amp;" as "&amp;G29&amp;" FROM "&amp;D29&amp;" WHERE "&amp;Instruções!$D$21&amp;") B ")</f>
        <v xml:space="preserve">(SELECT entty_id as entty_id_to_be, dt_prfrmng_stts_le as dt_prfrmng_stts_le_to_be FROM bu_loantape_work.lt003_entity WHERE ref_date='2024-09-30' AND nome_perimetro='Individual Corporativo' AND segmento='ESTR' AND ambito='PM' AND entidade='00100' ) B </v>
      </c>
      <c r="J29" s="17" t="str">
        <f>IF(VLOOKUP(B29,Instruções!$F$13:$J$17,5,0)="",
"ON "&amp;VLOOKUP(B29,Instruções!$F$13:$J$17,4,0)&amp;"_"&amp;$F$2&amp;" = "&amp;VLOOKUP(B29,Instruções!$F$13:$J$17,4,0)&amp;"_"&amp;$G$2&amp;" ",
"ON "&amp;VLOOKUP(B29,Instruções!$F$13:$J$17,4,0)&amp;"_"&amp;$F$2&amp;" = "&amp;VLOOKUP(B29,Instruções!$F$13:$J$17,4,0)&amp;"_"&amp;$G$2&amp;" AND "&amp;VLOOKUP(B29,Instruções!$F$13:$J$17,5,0)&amp;"_"&amp;$F$2&amp;" = "&amp;VLOOKUP(B29,Instruções!$F$13:$J$17,5,0)&amp;"_"&amp;$G$2&amp;" ")</f>
        <v xml:space="preserve">ON entty_id_as_is = entty_id_to_be </v>
      </c>
      <c r="K29" s="17" t="str">
        <f t="shared" si="2"/>
        <v xml:space="preserve">WHERE coalesce(cast(dt_prfrmng_stts_le_as_is as string), '') &lt;&gt; coalesce(cast(dt_prfrmng_stts_le_to_be as string), '') </v>
      </c>
      <c r="L29" s="17" t="str">
        <f t="shared" si="3"/>
        <v xml:space="preserve">SELECT count(*) AS NUM_REG_DIF FROM (SELECT entty_id as entty_id_as_is, dt_prfrmng_stts_le as dt_prfrmng_stts_le_as_is FROM cd_loan_tapes_bce.lt003_entity WHERE ref_date='2024-09-30' AND nome_perimetro='Individual Corporativo' AND segmento='ESTR' AND ambito='PM' AND entidade='00100' ) A  Inner join (SELECT entty_id as entty_id_to_be, dt_prfrmng_stts_le as dt_prfrmng_stts_le_to_be FROM bu_loantape_work.lt003_entity WHERE ref_date='2024-09-30' AND nome_perimetro='Individual Corporativo' AND segmento='ESTR' AND ambito='PM' AND entidade='00100' ) B ON entty_id_as_is = entty_id_to_be WHERE coalesce(cast(dt_prfrmng_stts_le_as_is as string), '') &lt;&gt; coalesce(cast(dt_prfrmng_stts_le_to_be as string), '') </v>
      </c>
      <c r="M29" s="17" t="s">
        <v>55</v>
      </c>
      <c r="N29" s="17" t="str">
        <f>"SELECT 'Validação de campos' as tipologia_teste, '"&amp;VLOOKUP(B29,Instruções!$F$13:$J$17,3,0)&amp;"' AS TABELA, '"&amp;E29&amp;"' AS CAMPO, '"&amp;Instruções!$D$15&amp;"' as ref_date, coalesce(NUM_REG_DIF, 0) AS NUM_REG_DIF FROM ("&amp;L29&amp;") A "</f>
        <v xml:space="preserve">SELECT 'Validação de campos' as tipologia_teste, 'lt003_entity' AS TABELA, 'dt_prfrmng_stts_le' AS CAMPO, '2024-09-30' as ref_date, coalesce(NUM_REG_DIF, 0) AS NUM_REG_DIF FROM (SELECT count(*) AS NUM_REG_DIF FROM (SELECT entty_id as entty_id_as_is, dt_prfrmng_stts_le as dt_prfrmng_stts_le_as_is FROM cd_loan_tapes_bce.lt003_entity WHERE ref_date='2024-09-30' AND nome_perimetro='Individual Corporativo' AND segmento='ESTR' AND ambito='PM' AND entidade='00100' ) A  Inner join (SELECT entty_id as entty_id_to_be, dt_prfrmng_stts_le as dt_prfrmng_stts_le_to_be FROM bu_loantape_work.lt003_entity WHERE ref_date='2024-09-30' AND nome_perimetro='Individual Corporativo' AND segmento='ESTR' AND ambito='PM' AND entidade='00100' ) B ON entty_id_as_is = entty_id_to_be WHERE coalesce(cast(dt_prfrmng_stts_le_as_is as string), '') &lt;&gt; coalesce(cast(dt_prfrmng_stts_le_to_be as string), '') ) A </v>
      </c>
      <c r="O29" s="19" t="str">
        <f t="shared" si="4"/>
        <v>SELECT 'Validação de campos' as tipologia_teste, 'lt003_entity' AS TABELA, 'dt_prfrmng_stts_le' AS CAMPO, '2024-09-30' as ref_date, coalesce(NUM_REG_DIF, 0) AS NUM_REG_DIF FROM (SELECT count(*) AS NUM_REG_DIF FROM (SELECT entty_id as entty_id_as_is, dt_prfrmng_stts_le as dt_prfrmng_stts_le_as_is FROM cd_loan_tapes_bce.lt003_entity WHERE ref_date='2024-09-30' AND nome_perimetro='Individual Corporativo' AND segmento='ESTR' AND ambito='PM' AND entidade='00100' ) A  Inner join (SELECT entty_id as entty_id_to_be, dt_prfrmng_stts_le as dt_prfrmng_stts_le_to_be FROM bu_loantape_work.lt003_entity WHERE ref_date='2024-09-30' AND nome_perimetro='Individual Corporativo' AND segmento='ESTR' AND ambito='PM' AND entidade='00100' ) B ON entty_id_as_is = entty_id_to_be WHERE coalesce(cast(dt_prfrmng_stts_le_as_is as string), '') &lt;&gt; coalesce(cast(dt_prfrmng_stts_le_to_be as string), '') ) A UNION ALL</v>
      </c>
      <c r="P29" s="17">
        <f t="shared" si="5"/>
        <v>26</v>
      </c>
    </row>
    <row r="30" spans="2:16" s="15" customFormat="1" ht="11.45">
      <c r="B30" s="17" t="s">
        <v>11</v>
      </c>
      <c r="C30" s="17" t="str">
        <f>_xlfn.CONCAT(Instruções!$D$13,".",VLOOKUP(B30,Instruções!$F$12:$H$17,2,0))</f>
        <v>cd_loan_tapes_bce.lt003_entity</v>
      </c>
      <c r="D30" s="17" t="str">
        <f>_xlfn.CONCAT(Instruções!$D$14,".",VLOOKUP(B30,Instruções!$F$12:$H$17,3,0))</f>
        <v>bu_loantape_work.lt003_entity</v>
      </c>
      <c r="E30" s="17" t="s">
        <v>82</v>
      </c>
      <c r="F30" s="17" t="str">
        <f t="shared" si="0"/>
        <v>ebitda_as_is</v>
      </c>
      <c r="G30" s="17" t="str">
        <f t="shared" si="1"/>
        <v>ebitda_to_be</v>
      </c>
      <c r="H30" s="17" t="str">
        <f>IF(VLOOKUP(B30,Instruções!$F$13:$J$17,5,0)="",
"(SELECT "&amp;VLOOKUP(B30,Instruções!$F$13:$J$17,4,0)&amp;" as "&amp;VLOOKUP(B30,Instruções!$F$13:$J$17,4,0)&amp;"_"&amp;$F$2&amp;", "&amp;E30&amp;" as "&amp;F30&amp;" FROM "&amp;C30&amp;" WHERE "&amp;Instruções!$D$20&amp;") A ",
"(SELECT "&amp;VLOOKUP(B30,Instruções!$F$13:$J$17,4,0)&amp;" as "&amp;VLOOKUP(B30,Instruções!$F$13:$J$17,4,0)&amp;"_"&amp;$F$2&amp;", "&amp;VLOOKUP(B30,Instruções!$F$13:$J$17,5,0)&amp;" as "&amp;VLOOKUP(B30,Instruções!$F$13:$J$17,5,0)&amp;"_"&amp;$F$2&amp;","&amp;E30&amp;" as "&amp;F30&amp;" FROM "&amp;C30&amp;" WHERE "&amp;Instruções!$D$20&amp;") A ")</f>
        <v xml:space="preserve">(SELECT entty_id as entty_id_as_is, ebitda as ebitda_as_is FROM cd_loan_tapes_bce.lt003_entity WHERE ref_date='2024-09-30' AND nome_perimetro='Individual Corporativo' AND segmento='ESTR' AND ambito='PM' AND entidade='00100' ) A </v>
      </c>
      <c r="I30" s="17" t="str">
        <f>IF(VLOOKUP(B30,Instruções!$F$13:$J$17,5,0)="",
"(SELECT "&amp;VLOOKUP(B30,Instruções!$F$13:$J$17,4,0)&amp;" as "&amp;VLOOKUP(B30,Instruções!$F$13:$J$17,4,0)&amp;"_"&amp;$G$2&amp;", "&amp;E30&amp;" as "&amp;G30&amp;" FROM "&amp;D30&amp;" WHERE "&amp;Instruções!$D$21&amp;") B ",
"(SELECT "&amp;VLOOKUP(B30,Instruções!$F$13:$J$17,4,0)&amp;" as "&amp;VLOOKUP(B30,Instruções!$F$13:$J$17,4,0)&amp;"_"&amp;$G$2&amp;", "&amp;VLOOKUP(B30,Instruções!$F$13:$J$17,5,0)&amp;" as "&amp;VLOOKUP(B30,Instruções!$F$13:$J$17,5,0)&amp;"_"&amp;$G$2&amp;","&amp;E30&amp;" as "&amp;G30&amp;" FROM "&amp;D30&amp;" WHERE "&amp;Instruções!$D$21&amp;") B ")</f>
        <v xml:space="preserve">(SELECT entty_id as entty_id_to_be, ebitda as ebitda_to_be FROM bu_loantape_work.lt003_entity WHERE ref_date='2024-09-30' AND nome_perimetro='Individual Corporativo' AND segmento='ESTR' AND ambito='PM' AND entidade='00100' ) B </v>
      </c>
      <c r="J30" s="17" t="str">
        <f>IF(VLOOKUP(B30,Instruções!$F$13:$J$17,5,0)="",
"ON "&amp;VLOOKUP(B30,Instruções!$F$13:$J$17,4,0)&amp;"_"&amp;$F$2&amp;" = "&amp;VLOOKUP(B30,Instruções!$F$13:$J$17,4,0)&amp;"_"&amp;$G$2&amp;" ",
"ON "&amp;VLOOKUP(B30,Instruções!$F$13:$J$17,4,0)&amp;"_"&amp;$F$2&amp;" = "&amp;VLOOKUP(B30,Instruções!$F$13:$J$17,4,0)&amp;"_"&amp;$G$2&amp;" AND "&amp;VLOOKUP(B30,Instruções!$F$13:$J$17,5,0)&amp;"_"&amp;$F$2&amp;" = "&amp;VLOOKUP(B30,Instruções!$F$13:$J$17,5,0)&amp;"_"&amp;$G$2&amp;" ")</f>
        <v xml:space="preserve">ON entty_id_as_is = entty_id_to_be </v>
      </c>
      <c r="K30" s="17" t="str">
        <f t="shared" si="2"/>
        <v xml:space="preserve">WHERE coalesce(cast(ebitda_as_is as string), '') &lt;&gt; coalesce(cast(ebitda_to_be as string), '') </v>
      </c>
      <c r="L30" s="17" t="str">
        <f t="shared" si="3"/>
        <v xml:space="preserve">SELECT count(*) AS NUM_REG_DIF FROM (SELECT entty_id as entty_id_as_is, ebitda as ebitda_as_is FROM cd_loan_tapes_bce.lt003_entity WHERE ref_date='2024-09-30' AND nome_perimetro='Individual Corporativo' AND segmento='ESTR' AND ambito='PM' AND entidade='00100' ) A  Inner join (SELECT entty_id as entty_id_to_be, ebitda as ebitda_to_be FROM bu_loantape_work.lt003_entity WHERE ref_date='2024-09-30' AND nome_perimetro='Individual Corporativo' AND segmento='ESTR' AND ambito='PM' AND entidade='00100' ) B ON entty_id_as_is = entty_id_to_be WHERE coalesce(cast(ebitda_as_is as string), '') &lt;&gt; coalesce(cast(ebitda_to_be as string), '') </v>
      </c>
      <c r="M30" s="17" t="s">
        <v>55</v>
      </c>
      <c r="N30" s="17" t="str">
        <f>"SELECT 'Validação de campos' as tipologia_teste, '"&amp;VLOOKUP(B30,Instruções!$F$13:$J$17,3,0)&amp;"' AS TABELA, '"&amp;E30&amp;"' AS CAMPO, '"&amp;Instruções!$D$15&amp;"' as ref_date, coalesce(NUM_REG_DIF, 0) AS NUM_REG_DIF FROM ("&amp;L30&amp;") A "</f>
        <v xml:space="preserve">SELECT 'Validação de campos' as tipologia_teste, 'lt003_entity' AS TABELA, 'ebitda' AS CAMPO, '2024-09-30' as ref_date, coalesce(NUM_REG_DIF, 0) AS NUM_REG_DIF FROM (SELECT count(*) AS NUM_REG_DIF FROM (SELECT entty_id as entty_id_as_is, ebitda as ebitda_as_is FROM cd_loan_tapes_bce.lt003_entity WHERE ref_date='2024-09-30' AND nome_perimetro='Individual Corporativo' AND segmento='ESTR' AND ambito='PM' AND entidade='00100' ) A  Inner join (SELECT entty_id as entty_id_to_be, ebitda as ebitda_to_be FROM bu_loantape_work.lt003_entity WHERE ref_date='2024-09-30' AND nome_perimetro='Individual Corporativo' AND segmento='ESTR' AND ambito='PM' AND entidade='00100' ) B ON entty_id_as_is = entty_id_to_be WHERE coalesce(cast(ebitda_as_is as string), '') &lt;&gt; coalesce(cast(ebitda_to_be as string), '') ) A </v>
      </c>
      <c r="O30" s="19" t="str">
        <f t="shared" si="4"/>
        <v>SELECT 'Validação de campos' as tipologia_teste, 'lt003_entity' AS TABELA, 'ebitda' AS CAMPO, '2024-09-30' as ref_date, coalesce(NUM_REG_DIF, 0) AS NUM_REG_DIF FROM (SELECT count(*) AS NUM_REG_DIF FROM (SELECT entty_id as entty_id_as_is, ebitda as ebitda_as_is FROM cd_loan_tapes_bce.lt003_entity WHERE ref_date='2024-09-30' AND nome_perimetro='Individual Corporativo' AND segmento='ESTR' AND ambito='PM' AND entidade='00100' ) A  Inner join (SELECT entty_id as entty_id_to_be, ebitda as ebitda_to_be FROM bu_loantape_work.lt003_entity WHERE ref_date='2024-09-30' AND nome_perimetro='Individual Corporativo' AND segmento='ESTR' AND ambito='PM' AND entidade='00100' ) B ON entty_id_as_is = entty_id_to_be WHERE coalesce(cast(ebitda_as_is as string), '') &lt;&gt; coalesce(cast(ebitda_to_be as string), '') ) A UNION ALL</v>
      </c>
      <c r="P30" s="17">
        <f t="shared" si="5"/>
        <v>27</v>
      </c>
    </row>
    <row r="31" spans="2:16" s="15" customFormat="1" ht="11.45">
      <c r="B31" s="17" t="s">
        <v>11</v>
      </c>
      <c r="C31" s="17" t="str">
        <f>_xlfn.CONCAT(Instruções!$D$13,".",VLOOKUP(B31,Instruções!$F$12:$H$17,2,0))</f>
        <v>cd_loan_tapes_bce.lt003_entity</v>
      </c>
      <c r="D31" s="17" t="str">
        <f>_xlfn.CONCAT(Instruções!$D$14,".",VLOOKUP(B31,Instruções!$F$12:$H$17,3,0))</f>
        <v>bu_loantape_work.lt003_entity</v>
      </c>
      <c r="E31" s="17" t="s">
        <v>83</v>
      </c>
      <c r="F31" s="17" t="str">
        <f t="shared" si="0"/>
        <v>ebitda_prvs_as_is</v>
      </c>
      <c r="G31" s="17" t="str">
        <f t="shared" si="1"/>
        <v>ebitda_prvs_to_be</v>
      </c>
      <c r="H31" s="17" t="str">
        <f>IF(VLOOKUP(B31,Instruções!$F$13:$J$17,5,0)="",
"(SELECT "&amp;VLOOKUP(B31,Instruções!$F$13:$J$17,4,0)&amp;" as "&amp;VLOOKUP(B31,Instruções!$F$13:$J$17,4,0)&amp;"_"&amp;$F$2&amp;", "&amp;E31&amp;" as "&amp;F31&amp;" FROM "&amp;C31&amp;" WHERE "&amp;Instruções!$D$20&amp;") A ",
"(SELECT "&amp;VLOOKUP(B31,Instruções!$F$13:$J$17,4,0)&amp;" as "&amp;VLOOKUP(B31,Instruções!$F$13:$J$17,4,0)&amp;"_"&amp;$F$2&amp;", "&amp;VLOOKUP(B31,Instruções!$F$13:$J$17,5,0)&amp;" as "&amp;VLOOKUP(B31,Instruções!$F$13:$J$17,5,0)&amp;"_"&amp;$F$2&amp;","&amp;E31&amp;" as "&amp;F31&amp;" FROM "&amp;C31&amp;" WHERE "&amp;Instruções!$D$20&amp;") A ")</f>
        <v xml:space="preserve">(SELECT entty_id as entty_id_as_is, ebitda_prvs as ebitda_prvs_as_is FROM cd_loan_tapes_bce.lt003_entity WHERE ref_date='2024-09-30' AND nome_perimetro='Individual Corporativo' AND segmento='ESTR' AND ambito='PM' AND entidade='00100' ) A </v>
      </c>
      <c r="I31" s="17" t="str">
        <f>IF(VLOOKUP(B31,Instruções!$F$13:$J$17,5,0)="",
"(SELECT "&amp;VLOOKUP(B31,Instruções!$F$13:$J$17,4,0)&amp;" as "&amp;VLOOKUP(B31,Instruções!$F$13:$J$17,4,0)&amp;"_"&amp;$G$2&amp;", "&amp;E31&amp;" as "&amp;G31&amp;" FROM "&amp;D31&amp;" WHERE "&amp;Instruções!$D$21&amp;") B ",
"(SELECT "&amp;VLOOKUP(B31,Instruções!$F$13:$J$17,4,0)&amp;" as "&amp;VLOOKUP(B31,Instruções!$F$13:$J$17,4,0)&amp;"_"&amp;$G$2&amp;", "&amp;VLOOKUP(B31,Instruções!$F$13:$J$17,5,0)&amp;" as "&amp;VLOOKUP(B31,Instruções!$F$13:$J$17,5,0)&amp;"_"&amp;$G$2&amp;","&amp;E31&amp;" as "&amp;G31&amp;" FROM "&amp;D31&amp;" WHERE "&amp;Instruções!$D$21&amp;") B ")</f>
        <v xml:space="preserve">(SELECT entty_id as entty_id_to_be, ebitda_prvs as ebitda_prvs_to_be FROM bu_loantape_work.lt003_entity WHERE ref_date='2024-09-30' AND nome_perimetro='Individual Corporativo' AND segmento='ESTR' AND ambito='PM' AND entidade='00100' ) B </v>
      </c>
      <c r="J31" s="17" t="str">
        <f>IF(VLOOKUP(B31,Instruções!$F$13:$J$17,5,0)="",
"ON "&amp;VLOOKUP(B31,Instruções!$F$13:$J$17,4,0)&amp;"_"&amp;$F$2&amp;" = "&amp;VLOOKUP(B31,Instruções!$F$13:$J$17,4,0)&amp;"_"&amp;$G$2&amp;" ",
"ON "&amp;VLOOKUP(B31,Instruções!$F$13:$J$17,4,0)&amp;"_"&amp;$F$2&amp;" = "&amp;VLOOKUP(B31,Instruções!$F$13:$J$17,4,0)&amp;"_"&amp;$G$2&amp;" AND "&amp;VLOOKUP(B31,Instruções!$F$13:$J$17,5,0)&amp;"_"&amp;$F$2&amp;" = "&amp;VLOOKUP(B31,Instruções!$F$13:$J$17,5,0)&amp;"_"&amp;$G$2&amp;" ")</f>
        <v xml:space="preserve">ON entty_id_as_is = entty_id_to_be </v>
      </c>
      <c r="K31" s="17" t="str">
        <f t="shared" si="2"/>
        <v xml:space="preserve">WHERE coalesce(cast(ebitda_prvs_as_is as string), '') &lt;&gt; coalesce(cast(ebitda_prvs_to_be as string), '') </v>
      </c>
      <c r="L31" s="17" t="str">
        <f t="shared" si="3"/>
        <v xml:space="preserve">SELECT count(*) AS NUM_REG_DIF FROM (SELECT entty_id as entty_id_as_is, ebitda_prvs as ebitda_prvs_as_is FROM cd_loan_tapes_bce.lt003_entity WHERE ref_date='2024-09-30' AND nome_perimetro='Individual Corporativo' AND segmento='ESTR' AND ambito='PM' AND entidade='00100' ) A  Inner join (SELECT entty_id as entty_id_to_be, ebitda_prvs as ebitda_prvs_to_be FROM bu_loantape_work.lt003_entity WHERE ref_date='2024-09-30' AND nome_perimetro='Individual Corporativo' AND segmento='ESTR' AND ambito='PM' AND entidade='00100' ) B ON entty_id_as_is = entty_id_to_be WHERE coalesce(cast(ebitda_prvs_as_is as string), '') &lt;&gt; coalesce(cast(ebitda_prvs_to_be as string), '') </v>
      </c>
      <c r="M31" s="17" t="s">
        <v>55</v>
      </c>
      <c r="N31" s="17" t="str">
        <f>"SELECT 'Validação de campos' as tipologia_teste, '"&amp;VLOOKUP(B31,Instruções!$F$13:$J$17,3,0)&amp;"' AS TABELA, '"&amp;E31&amp;"' AS CAMPO, '"&amp;Instruções!$D$15&amp;"' as ref_date, coalesce(NUM_REG_DIF, 0) AS NUM_REG_DIF FROM ("&amp;L31&amp;") A "</f>
        <v xml:space="preserve">SELECT 'Validação de campos' as tipologia_teste, 'lt003_entity' AS TABELA, 'ebitda_prvs' AS CAMPO, '2024-09-30' as ref_date, coalesce(NUM_REG_DIF, 0) AS NUM_REG_DIF FROM (SELECT count(*) AS NUM_REG_DIF FROM (SELECT entty_id as entty_id_as_is, ebitda_prvs as ebitda_prvs_as_is FROM cd_loan_tapes_bce.lt003_entity WHERE ref_date='2024-09-30' AND nome_perimetro='Individual Corporativo' AND segmento='ESTR' AND ambito='PM' AND entidade='00100' ) A  Inner join (SELECT entty_id as entty_id_to_be, ebitda_prvs as ebitda_prvs_to_be FROM bu_loantape_work.lt003_entity WHERE ref_date='2024-09-30' AND nome_perimetro='Individual Corporativo' AND segmento='ESTR' AND ambito='PM' AND entidade='00100' ) B ON entty_id_as_is = entty_id_to_be WHERE coalesce(cast(ebitda_prvs_as_is as string), '') &lt;&gt; coalesce(cast(ebitda_prvs_to_be as string), '') ) A </v>
      </c>
      <c r="O31" s="19" t="str">
        <f t="shared" si="4"/>
        <v>SELECT 'Validação de campos' as tipologia_teste, 'lt003_entity' AS TABELA, 'ebitda_prvs' AS CAMPO, '2024-09-30' as ref_date, coalesce(NUM_REG_DIF, 0) AS NUM_REG_DIF FROM (SELECT count(*) AS NUM_REG_DIF FROM (SELECT entty_id as entty_id_as_is, ebitda_prvs as ebitda_prvs_as_is FROM cd_loan_tapes_bce.lt003_entity WHERE ref_date='2024-09-30' AND nome_perimetro='Individual Corporativo' AND segmento='ESTR' AND ambito='PM' AND entidade='00100' ) A  Inner join (SELECT entty_id as entty_id_to_be, ebitda_prvs as ebitda_prvs_to_be FROM bu_loantape_work.lt003_entity WHERE ref_date='2024-09-30' AND nome_perimetro='Individual Corporativo' AND segmento='ESTR' AND ambito='PM' AND entidade='00100' ) B ON entty_id_as_is = entty_id_to_be WHERE coalesce(cast(ebitda_prvs_as_is as string), '') &lt;&gt; coalesce(cast(ebitda_prvs_to_be as string), '') ) A UNION ALL</v>
      </c>
      <c r="P31" s="17">
        <f t="shared" si="5"/>
        <v>28</v>
      </c>
    </row>
    <row r="32" spans="2:16" s="15" customFormat="1" ht="11.45">
      <c r="B32" s="17" t="s">
        <v>11</v>
      </c>
      <c r="C32" s="17" t="str">
        <f>_xlfn.CONCAT(Instruções!$D$13,".",VLOOKUP(B32,Instruções!$F$12:$H$17,2,0))</f>
        <v>cd_loan_tapes_bce.lt003_entity</v>
      </c>
      <c r="D32" s="17" t="str">
        <f>_xlfn.CONCAT(Instruções!$D$14,".",VLOOKUP(B32,Instruções!$F$12:$H$17,3,0))</f>
        <v>bu_loantape_work.lt003_entity</v>
      </c>
      <c r="E32" s="17" t="s">
        <v>84</v>
      </c>
      <c r="F32" s="17" t="str">
        <f t="shared" si="0"/>
        <v>ec_grp_id_as_is</v>
      </c>
      <c r="G32" s="17" t="str">
        <f t="shared" si="1"/>
        <v>ec_grp_id_to_be</v>
      </c>
      <c r="H32" s="17" t="str">
        <f>IF(VLOOKUP(B32,Instruções!$F$13:$J$17,5,0)="",
"(SELECT "&amp;VLOOKUP(B32,Instruções!$F$13:$J$17,4,0)&amp;" as "&amp;VLOOKUP(B32,Instruções!$F$13:$J$17,4,0)&amp;"_"&amp;$F$2&amp;", "&amp;E32&amp;" as "&amp;F32&amp;" FROM "&amp;C32&amp;" WHERE "&amp;Instruções!$D$20&amp;") A ",
"(SELECT "&amp;VLOOKUP(B32,Instruções!$F$13:$J$17,4,0)&amp;" as "&amp;VLOOKUP(B32,Instruções!$F$13:$J$17,4,0)&amp;"_"&amp;$F$2&amp;", "&amp;VLOOKUP(B32,Instruções!$F$13:$J$17,5,0)&amp;" as "&amp;VLOOKUP(B32,Instruções!$F$13:$J$17,5,0)&amp;"_"&amp;$F$2&amp;","&amp;E32&amp;" as "&amp;F32&amp;" FROM "&amp;C32&amp;" WHERE "&amp;Instruções!$D$20&amp;") A ")</f>
        <v xml:space="preserve">(SELECT entty_id as entty_id_as_is, ec_grp_id as ec_grp_id_as_is FROM cd_loan_tapes_bce.lt003_entity WHERE ref_date='2024-09-30' AND nome_perimetro='Individual Corporativo' AND segmento='ESTR' AND ambito='PM' AND entidade='00100' ) A </v>
      </c>
      <c r="I32" s="17" t="str">
        <f>IF(VLOOKUP(B32,Instruções!$F$13:$J$17,5,0)="",
"(SELECT "&amp;VLOOKUP(B32,Instruções!$F$13:$J$17,4,0)&amp;" as "&amp;VLOOKUP(B32,Instruções!$F$13:$J$17,4,0)&amp;"_"&amp;$G$2&amp;", "&amp;E32&amp;" as "&amp;G32&amp;" FROM "&amp;D32&amp;" WHERE "&amp;Instruções!$D$21&amp;") B ",
"(SELECT "&amp;VLOOKUP(B32,Instruções!$F$13:$J$17,4,0)&amp;" as "&amp;VLOOKUP(B32,Instruções!$F$13:$J$17,4,0)&amp;"_"&amp;$G$2&amp;", "&amp;VLOOKUP(B32,Instruções!$F$13:$J$17,5,0)&amp;" as "&amp;VLOOKUP(B32,Instruções!$F$13:$J$17,5,0)&amp;"_"&amp;$G$2&amp;","&amp;E32&amp;" as "&amp;G32&amp;" FROM "&amp;D32&amp;" WHERE "&amp;Instruções!$D$21&amp;") B ")</f>
        <v xml:space="preserve">(SELECT entty_id as entty_id_to_be, ec_grp_id as ec_grp_id_to_be FROM bu_loantape_work.lt003_entity WHERE ref_date='2024-09-30' AND nome_perimetro='Individual Corporativo' AND segmento='ESTR' AND ambito='PM' AND entidade='00100' ) B </v>
      </c>
      <c r="J32" s="17" t="str">
        <f>IF(VLOOKUP(B32,Instruções!$F$13:$J$17,5,0)="",
"ON "&amp;VLOOKUP(B32,Instruções!$F$13:$J$17,4,0)&amp;"_"&amp;$F$2&amp;" = "&amp;VLOOKUP(B32,Instruções!$F$13:$J$17,4,0)&amp;"_"&amp;$G$2&amp;" ",
"ON "&amp;VLOOKUP(B32,Instruções!$F$13:$J$17,4,0)&amp;"_"&amp;$F$2&amp;" = "&amp;VLOOKUP(B32,Instruções!$F$13:$J$17,4,0)&amp;"_"&amp;$G$2&amp;" AND "&amp;VLOOKUP(B32,Instruções!$F$13:$J$17,5,0)&amp;"_"&amp;$F$2&amp;" = "&amp;VLOOKUP(B32,Instruções!$F$13:$J$17,5,0)&amp;"_"&amp;$G$2&amp;" ")</f>
        <v xml:space="preserve">ON entty_id_as_is = entty_id_to_be </v>
      </c>
      <c r="K32" s="17" t="str">
        <f t="shared" si="2"/>
        <v xml:space="preserve">WHERE coalesce(cast(ec_grp_id_as_is as string), '') &lt;&gt; coalesce(cast(ec_grp_id_to_be as string), '') </v>
      </c>
      <c r="L32" s="17" t="str">
        <f t="shared" si="3"/>
        <v xml:space="preserve">SELECT count(*) AS NUM_REG_DIF FROM (SELECT entty_id as entty_id_as_is, ec_grp_id as ec_grp_id_as_is FROM cd_loan_tapes_bce.lt003_entity WHERE ref_date='2024-09-30' AND nome_perimetro='Individual Corporativo' AND segmento='ESTR' AND ambito='PM' AND entidade='00100' ) A  Inner join (SELECT entty_id as entty_id_to_be, ec_grp_id as ec_grp_id_to_be FROM bu_loantape_work.lt003_entity WHERE ref_date='2024-09-30' AND nome_perimetro='Individual Corporativo' AND segmento='ESTR' AND ambito='PM' AND entidade='00100' ) B ON entty_id_as_is = entty_id_to_be WHERE coalesce(cast(ec_grp_id_as_is as string), '') &lt;&gt; coalesce(cast(ec_grp_id_to_be as string), '') </v>
      </c>
      <c r="M32" s="17" t="s">
        <v>55</v>
      </c>
      <c r="N32" s="17" t="str">
        <f>"SELECT 'Validação de campos' as tipologia_teste, '"&amp;VLOOKUP(B32,Instruções!$F$13:$J$17,3,0)&amp;"' AS TABELA, '"&amp;E32&amp;"' AS CAMPO, '"&amp;Instruções!$D$15&amp;"' as ref_date, coalesce(NUM_REG_DIF, 0) AS NUM_REG_DIF FROM ("&amp;L32&amp;") A "</f>
        <v xml:space="preserve">SELECT 'Validação de campos' as tipologia_teste, 'lt003_entity' AS TABELA, 'ec_grp_id' AS CAMPO, '2024-09-30' as ref_date, coalesce(NUM_REG_DIF, 0) AS NUM_REG_DIF FROM (SELECT count(*) AS NUM_REG_DIF FROM (SELECT entty_id as entty_id_as_is, ec_grp_id as ec_grp_id_as_is FROM cd_loan_tapes_bce.lt003_entity WHERE ref_date='2024-09-30' AND nome_perimetro='Individual Corporativo' AND segmento='ESTR' AND ambito='PM' AND entidade='00100' ) A  Inner join (SELECT entty_id as entty_id_to_be, ec_grp_id as ec_grp_id_to_be FROM bu_loantape_work.lt003_entity WHERE ref_date='2024-09-30' AND nome_perimetro='Individual Corporativo' AND segmento='ESTR' AND ambito='PM' AND entidade='00100' ) B ON entty_id_as_is = entty_id_to_be WHERE coalesce(cast(ec_grp_id_as_is as string), '') &lt;&gt; coalesce(cast(ec_grp_id_to_be as string), '') ) A </v>
      </c>
      <c r="O32" s="19" t="str">
        <f t="shared" si="4"/>
        <v>SELECT 'Validação de campos' as tipologia_teste, 'lt003_entity' AS TABELA, 'ec_grp_id' AS CAMPO, '2024-09-30' as ref_date, coalesce(NUM_REG_DIF, 0) AS NUM_REG_DIF FROM (SELECT count(*) AS NUM_REG_DIF FROM (SELECT entty_id as entty_id_as_is, ec_grp_id as ec_grp_id_as_is FROM cd_loan_tapes_bce.lt003_entity WHERE ref_date='2024-09-30' AND nome_perimetro='Individual Corporativo' AND segmento='ESTR' AND ambito='PM' AND entidade='00100' ) A  Inner join (SELECT entty_id as entty_id_to_be, ec_grp_id as ec_grp_id_to_be FROM bu_loantape_work.lt003_entity WHERE ref_date='2024-09-30' AND nome_perimetro='Individual Corporativo' AND segmento='ESTR' AND ambito='PM' AND entidade='00100' ) B ON entty_id_as_is = entty_id_to_be WHERE coalesce(cast(ec_grp_id_as_is as string), '') &lt;&gt; coalesce(cast(ec_grp_id_to_be as string), '') ) A UNION ALL</v>
      </c>
      <c r="P32" s="17">
        <f t="shared" si="5"/>
        <v>29</v>
      </c>
    </row>
    <row r="33" spans="2:16" s="15" customFormat="1" ht="11.45">
      <c r="B33" s="17" t="s">
        <v>11</v>
      </c>
      <c r="C33" s="17" t="str">
        <f>_xlfn.CONCAT(Instruções!$D$13,".",VLOOKUP(B33,Instruções!$F$12:$H$17,2,0))</f>
        <v>cd_loan_tapes_bce.lt003_entity</v>
      </c>
      <c r="D33" s="17" t="str">
        <f>_xlfn.CONCAT(Instruções!$D$14,".",VLOOKUP(B33,Instruções!$F$12:$H$17,3,0))</f>
        <v>bu_loantape_work.lt003_entity</v>
      </c>
      <c r="E33" s="17" t="s">
        <v>85</v>
      </c>
      <c r="F33" s="17" t="str">
        <f t="shared" si="0"/>
        <v>ec_grp_nm_as_is</v>
      </c>
      <c r="G33" s="17" t="str">
        <f t="shared" si="1"/>
        <v>ec_grp_nm_to_be</v>
      </c>
      <c r="H33" s="17" t="str">
        <f>IF(VLOOKUP(B33,Instruções!$F$13:$J$17,5,0)="",
"(SELECT "&amp;VLOOKUP(B33,Instruções!$F$13:$J$17,4,0)&amp;" as "&amp;VLOOKUP(B33,Instruções!$F$13:$J$17,4,0)&amp;"_"&amp;$F$2&amp;", "&amp;E33&amp;" as "&amp;F33&amp;" FROM "&amp;C33&amp;" WHERE "&amp;Instruções!$D$20&amp;") A ",
"(SELECT "&amp;VLOOKUP(B33,Instruções!$F$13:$J$17,4,0)&amp;" as "&amp;VLOOKUP(B33,Instruções!$F$13:$J$17,4,0)&amp;"_"&amp;$F$2&amp;", "&amp;VLOOKUP(B33,Instruções!$F$13:$J$17,5,0)&amp;" as "&amp;VLOOKUP(B33,Instruções!$F$13:$J$17,5,0)&amp;"_"&amp;$F$2&amp;","&amp;E33&amp;" as "&amp;F33&amp;" FROM "&amp;C33&amp;" WHERE "&amp;Instruções!$D$20&amp;") A ")</f>
        <v xml:space="preserve">(SELECT entty_id as entty_id_as_is, ec_grp_nm as ec_grp_nm_as_is FROM cd_loan_tapes_bce.lt003_entity WHERE ref_date='2024-09-30' AND nome_perimetro='Individual Corporativo' AND segmento='ESTR' AND ambito='PM' AND entidade='00100' ) A </v>
      </c>
      <c r="I33" s="17" t="str">
        <f>IF(VLOOKUP(B33,Instruções!$F$13:$J$17,5,0)="",
"(SELECT "&amp;VLOOKUP(B33,Instruções!$F$13:$J$17,4,0)&amp;" as "&amp;VLOOKUP(B33,Instruções!$F$13:$J$17,4,0)&amp;"_"&amp;$G$2&amp;", "&amp;E33&amp;" as "&amp;G33&amp;" FROM "&amp;D33&amp;" WHERE "&amp;Instruções!$D$21&amp;") B ",
"(SELECT "&amp;VLOOKUP(B33,Instruções!$F$13:$J$17,4,0)&amp;" as "&amp;VLOOKUP(B33,Instruções!$F$13:$J$17,4,0)&amp;"_"&amp;$G$2&amp;", "&amp;VLOOKUP(B33,Instruções!$F$13:$J$17,5,0)&amp;" as "&amp;VLOOKUP(B33,Instruções!$F$13:$J$17,5,0)&amp;"_"&amp;$G$2&amp;","&amp;E33&amp;" as "&amp;G33&amp;" FROM "&amp;D33&amp;" WHERE "&amp;Instruções!$D$21&amp;") B ")</f>
        <v xml:space="preserve">(SELECT entty_id as entty_id_to_be, ec_grp_nm as ec_grp_nm_to_be FROM bu_loantape_work.lt003_entity WHERE ref_date='2024-09-30' AND nome_perimetro='Individual Corporativo' AND segmento='ESTR' AND ambito='PM' AND entidade='00100' ) B </v>
      </c>
      <c r="J33" s="17" t="str">
        <f>IF(VLOOKUP(B33,Instruções!$F$13:$J$17,5,0)="",
"ON "&amp;VLOOKUP(B33,Instruções!$F$13:$J$17,4,0)&amp;"_"&amp;$F$2&amp;" = "&amp;VLOOKUP(B33,Instruções!$F$13:$J$17,4,0)&amp;"_"&amp;$G$2&amp;" ",
"ON "&amp;VLOOKUP(B33,Instruções!$F$13:$J$17,4,0)&amp;"_"&amp;$F$2&amp;" = "&amp;VLOOKUP(B33,Instruções!$F$13:$J$17,4,0)&amp;"_"&amp;$G$2&amp;" AND "&amp;VLOOKUP(B33,Instruções!$F$13:$J$17,5,0)&amp;"_"&amp;$F$2&amp;" = "&amp;VLOOKUP(B33,Instruções!$F$13:$J$17,5,0)&amp;"_"&amp;$G$2&amp;" ")</f>
        <v xml:space="preserve">ON entty_id_as_is = entty_id_to_be </v>
      </c>
      <c r="K33" s="17" t="str">
        <f t="shared" si="2"/>
        <v xml:space="preserve">WHERE coalesce(cast(ec_grp_nm_as_is as string), '') &lt;&gt; coalesce(cast(ec_grp_nm_to_be as string), '') </v>
      </c>
      <c r="L33" s="17" t="str">
        <f t="shared" si="3"/>
        <v xml:space="preserve">SELECT count(*) AS NUM_REG_DIF FROM (SELECT entty_id as entty_id_as_is, ec_grp_nm as ec_grp_nm_as_is FROM cd_loan_tapes_bce.lt003_entity WHERE ref_date='2024-09-30' AND nome_perimetro='Individual Corporativo' AND segmento='ESTR' AND ambito='PM' AND entidade='00100' ) A  Inner join (SELECT entty_id as entty_id_to_be, ec_grp_nm as ec_grp_nm_to_be FROM bu_loantape_work.lt003_entity WHERE ref_date='2024-09-30' AND nome_perimetro='Individual Corporativo' AND segmento='ESTR' AND ambito='PM' AND entidade='00100' ) B ON entty_id_as_is = entty_id_to_be WHERE coalesce(cast(ec_grp_nm_as_is as string), '') &lt;&gt; coalesce(cast(ec_grp_nm_to_be as string), '') </v>
      </c>
      <c r="M33" s="17" t="s">
        <v>55</v>
      </c>
      <c r="N33" s="17" t="str">
        <f>"SELECT 'Validação de campos' as tipologia_teste, '"&amp;VLOOKUP(B33,Instruções!$F$13:$J$17,3,0)&amp;"' AS TABELA, '"&amp;E33&amp;"' AS CAMPO, '"&amp;Instruções!$D$15&amp;"' as ref_date, coalesce(NUM_REG_DIF, 0) AS NUM_REG_DIF FROM ("&amp;L33&amp;") A "</f>
        <v xml:space="preserve">SELECT 'Validação de campos' as tipologia_teste, 'lt003_entity' AS TABELA, 'ec_grp_nm' AS CAMPO, '2024-09-30' as ref_date, coalesce(NUM_REG_DIF, 0) AS NUM_REG_DIF FROM (SELECT count(*) AS NUM_REG_DIF FROM (SELECT entty_id as entty_id_as_is, ec_grp_nm as ec_grp_nm_as_is FROM cd_loan_tapes_bce.lt003_entity WHERE ref_date='2024-09-30' AND nome_perimetro='Individual Corporativo' AND segmento='ESTR' AND ambito='PM' AND entidade='00100' ) A  Inner join (SELECT entty_id as entty_id_to_be, ec_grp_nm as ec_grp_nm_to_be FROM bu_loantape_work.lt003_entity WHERE ref_date='2024-09-30' AND nome_perimetro='Individual Corporativo' AND segmento='ESTR' AND ambito='PM' AND entidade='00100' ) B ON entty_id_as_is = entty_id_to_be WHERE coalesce(cast(ec_grp_nm_as_is as string), '') &lt;&gt; coalesce(cast(ec_grp_nm_to_be as string), '') ) A </v>
      </c>
      <c r="O33" s="19" t="str">
        <f t="shared" si="4"/>
        <v>SELECT 'Validação de campos' as tipologia_teste, 'lt003_entity' AS TABELA, 'ec_grp_nm' AS CAMPO, '2024-09-30' as ref_date, coalesce(NUM_REG_DIF, 0) AS NUM_REG_DIF FROM (SELECT count(*) AS NUM_REG_DIF FROM (SELECT entty_id as entty_id_as_is, ec_grp_nm as ec_grp_nm_as_is FROM cd_loan_tapes_bce.lt003_entity WHERE ref_date='2024-09-30' AND nome_perimetro='Individual Corporativo' AND segmento='ESTR' AND ambito='PM' AND entidade='00100' ) A  Inner join (SELECT entty_id as entty_id_to_be, ec_grp_nm as ec_grp_nm_to_be FROM bu_loantape_work.lt003_entity WHERE ref_date='2024-09-30' AND nome_perimetro='Individual Corporativo' AND segmento='ESTR' AND ambito='PM' AND entidade='00100' ) B ON entty_id_as_is = entty_id_to_be WHERE coalesce(cast(ec_grp_nm_as_is as string), '') &lt;&gt; coalesce(cast(ec_grp_nm_to_be as string), '') ) A UNION ALL</v>
      </c>
      <c r="P33" s="17">
        <f t="shared" si="5"/>
        <v>30</v>
      </c>
    </row>
    <row r="34" spans="2:16" s="15" customFormat="1" ht="11.45">
      <c r="B34" s="17" t="s">
        <v>11</v>
      </c>
      <c r="C34" s="17" t="str">
        <f>_xlfn.CONCAT(Instruções!$D$13,".",VLOOKUP(B34,Instruções!$F$12:$H$17,2,0))</f>
        <v>cd_loan_tapes_bce.lt003_entity</v>
      </c>
      <c r="D34" s="17" t="str">
        <f>_xlfn.CONCAT(Instruções!$D$14,".",VLOOKUP(B34,Instruções!$F$12:$H$17,3,0))</f>
        <v>bu_loantape_work.lt003_entity</v>
      </c>
      <c r="E34" s="17" t="s">
        <v>86</v>
      </c>
      <c r="F34" s="17" t="str">
        <f t="shared" si="0"/>
        <v>ecnmc_actvty_as_is</v>
      </c>
      <c r="G34" s="17" t="str">
        <f t="shared" si="1"/>
        <v>ecnmc_actvty_to_be</v>
      </c>
      <c r="H34" s="17" t="str">
        <f>IF(VLOOKUP(B34,Instruções!$F$13:$J$17,5,0)="",
"(SELECT "&amp;VLOOKUP(B34,Instruções!$F$13:$J$17,4,0)&amp;" as "&amp;VLOOKUP(B34,Instruções!$F$13:$J$17,4,0)&amp;"_"&amp;$F$2&amp;", "&amp;E34&amp;" as "&amp;F34&amp;" FROM "&amp;C34&amp;" WHERE "&amp;Instruções!$D$20&amp;") A ",
"(SELECT "&amp;VLOOKUP(B34,Instruções!$F$13:$J$17,4,0)&amp;" as "&amp;VLOOKUP(B34,Instruções!$F$13:$J$17,4,0)&amp;"_"&amp;$F$2&amp;", "&amp;VLOOKUP(B34,Instruções!$F$13:$J$17,5,0)&amp;" as "&amp;VLOOKUP(B34,Instruções!$F$13:$J$17,5,0)&amp;"_"&amp;$F$2&amp;","&amp;E34&amp;" as "&amp;F34&amp;" FROM "&amp;C34&amp;" WHERE "&amp;Instruções!$D$20&amp;") A ")</f>
        <v xml:space="preserve">(SELECT entty_id as entty_id_as_is, ecnmc_actvty as ecnmc_actvty_as_is FROM cd_loan_tapes_bce.lt003_entity WHERE ref_date='2024-09-30' AND nome_perimetro='Individual Corporativo' AND segmento='ESTR' AND ambito='PM' AND entidade='00100' ) A </v>
      </c>
      <c r="I34" s="17" t="str">
        <f>IF(VLOOKUP(B34,Instruções!$F$13:$J$17,5,0)="",
"(SELECT "&amp;VLOOKUP(B34,Instruções!$F$13:$J$17,4,0)&amp;" as "&amp;VLOOKUP(B34,Instruções!$F$13:$J$17,4,0)&amp;"_"&amp;$G$2&amp;", "&amp;E34&amp;" as "&amp;G34&amp;" FROM "&amp;D34&amp;" WHERE "&amp;Instruções!$D$21&amp;") B ",
"(SELECT "&amp;VLOOKUP(B34,Instruções!$F$13:$J$17,4,0)&amp;" as "&amp;VLOOKUP(B34,Instruções!$F$13:$J$17,4,0)&amp;"_"&amp;$G$2&amp;", "&amp;VLOOKUP(B34,Instruções!$F$13:$J$17,5,0)&amp;" as "&amp;VLOOKUP(B34,Instruções!$F$13:$J$17,5,0)&amp;"_"&amp;$G$2&amp;","&amp;E34&amp;" as "&amp;G34&amp;" FROM "&amp;D34&amp;" WHERE "&amp;Instruções!$D$21&amp;") B ")</f>
        <v xml:space="preserve">(SELECT entty_id as entty_id_to_be, ecnmc_actvty as ecnmc_actvty_to_be FROM bu_loantape_work.lt003_entity WHERE ref_date='2024-09-30' AND nome_perimetro='Individual Corporativo' AND segmento='ESTR' AND ambito='PM' AND entidade='00100' ) B </v>
      </c>
      <c r="J34" s="17" t="str">
        <f>IF(VLOOKUP(B34,Instruções!$F$13:$J$17,5,0)="",
"ON "&amp;VLOOKUP(B34,Instruções!$F$13:$J$17,4,0)&amp;"_"&amp;$F$2&amp;" = "&amp;VLOOKUP(B34,Instruções!$F$13:$J$17,4,0)&amp;"_"&amp;$G$2&amp;" ",
"ON "&amp;VLOOKUP(B34,Instruções!$F$13:$J$17,4,0)&amp;"_"&amp;$F$2&amp;" = "&amp;VLOOKUP(B34,Instruções!$F$13:$J$17,4,0)&amp;"_"&amp;$G$2&amp;" AND "&amp;VLOOKUP(B34,Instruções!$F$13:$J$17,5,0)&amp;"_"&amp;$F$2&amp;" = "&amp;VLOOKUP(B34,Instruções!$F$13:$J$17,5,0)&amp;"_"&amp;$G$2&amp;" ")</f>
        <v xml:space="preserve">ON entty_id_as_is = entty_id_to_be </v>
      </c>
      <c r="K34" s="17" t="str">
        <f t="shared" si="2"/>
        <v xml:space="preserve">WHERE coalesce(cast(ecnmc_actvty_as_is as string), '') &lt;&gt; coalesce(cast(ecnmc_actvty_to_be as string), '') </v>
      </c>
      <c r="L34" s="17" t="str">
        <f t="shared" si="3"/>
        <v xml:space="preserve">SELECT count(*) AS NUM_REG_DIF FROM (SELECT entty_id as entty_id_as_is, ecnmc_actvty as ecnmc_actvty_as_is FROM cd_loan_tapes_bce.lt003_entity WHERE ref_date='2024-09-30' AND nome_perimetro='Individual Corporativo' AND segmento='ESTR' AND ambito='PM' AND entidade='00100' ) A  Inner join (SELECT entty_id as entty_id_to_be, ecnmc_actvty as ecnmc_actvty_to_be FROM bu_loantape_work.lt003_entity WHERE ref_date='2024-09-30' AND nome_perimetro='Individual Corporativo' AND segmento='ESTR' AND ambito='PM' AND entidade='00100' ) B ON entty_id_as_is = entty_id_to_be WHERE coalesce(cast(ecnmc_actvty_as_is as string), '') &lt;&gt; coalesce(cast(ecnmc_actvty_to_be as string), '') </v>
      </c>
      <c r="M34" s="17" t="s">
        <v>55</v>
      </c>
      <c r="N34" s="17" t="str">
        <f>"SELECT 'Validação de campos' as tipologia_teste, '"&amp;VLOOKUP(B34,Instruções!$F$13:$J$17,3,0)&amp;"' AS TABELA, '"&amp;E34&amp;"' AS CAMPO, '"&amp;Instruções!$D$15&amp;"' as ref_date, coalesce(NUM_REG_DIF, 0) AS NUM_REG_DIF FROM ("&amp;L34&amp;") A "</f>
        <v xml:space="preserve">SELECT 'Validação de campos' as tipologia_teste, 'lt003_entity' AS TABELA, 'ecnmc_actvty' AS CAMPO, '2024-09-30' as ref_date, coalesce(NUM_REG_DIF, 0) AS NUM_REG_DIF FROM (SELECT count(*) AS NUM_REG_DIF FROM (SELECT entty_id as entty_id_as_is, ecnmc_actvty as ecnmc_actvty_as_is FROM cd_loan_tapes_bce.lt003_entity WHERE ref_date='2024-09-30' AND nome_perimetro='Individual Corporativo' AND segmento='ESTR' AND ambito='PM' AND entidade='00100' ) A  Inner join (SELECT entty_id as entty_id_to_be, ecnmc_actvty as ecnmc_actvty_to_be FROM bu_loantape_work.lt003_entity WHERE ref_date='2024-09-30' AND nome_perimetro='Individual Corporativo' AND segmento='ESTR' AND ambito='PM' AND entidade='00100' ) B ON entty_id_as_is = entty_id_to_be WHERE coalesce(cast(ecnmc_actvty_as_is as string), '') &lt;&gt; coalesce(cast(ecnmc_actvty_to_be as string), '') ) A </v>
      </c>
      <c r="O34" s="19" t="str">
        <f t="shared" si="4"/>
        <v>SELECT 'Validação de campos' as tipologia_teste, 'lt003_entity' AS TABELA, 'ecnmc_actvty' AS CAMPO, '2024-09-30' as ref_date, coalesce(NUM_REG_DIF, 0) AS NUM_REG_DIF FROM (SELECT count(*) AS NUM_REG_DIF FROM (SELECT entty_id as entty_id_as_is, ecnmc_actvty as ecnmc_actvty_as_is FROM cd_loan_tapes_bce.lt003_entity WHERE ref_date='2024-09-30' AND nome_perimetro='Individual Corporativo' AND segmento='ESTR' AND ambito='PM' AND entidade='00100' ) A  Inner join (SELECT entty_id as entty_id_to_be, ecnmc_actvty as ecnmc_actvty_to_be FROM bu_loantape_work.lt003_entity WHERE ref_date='2024-09-30' AND nome_perimetro='Individual Corporativo' AND segmento='ESTR' AND ambito='PM' AND entidade='00100' ) B ON entty_id_as_is = entty_id_to_be WHERE coalesce(cast(ecnmc_actvty_as_is as string), '') &lt;&gt; coalesce(cast(ecnmc_actvty_to_be as string), '') ) A UNION ALL</v>
      </c>
      <c r="P34" s="17">
        <f t="shared" si="5"/>
        <v>31</v>
      </c>
    </row>
    <row r="35" spans="2:16" s="15" customFormat="1" ht="11.45">
      <c r="B35" s="17" t="s">
        <v>11</v>
      </c>
      <c r="C35" s="17" t="str">
        <f>_xlfn.CONCAT(Instruções!$D$13,".",VLOOKUP(B35,Instruções!$F$12:$H$17,2,0))</f>
        <v>cd_loan_tapes_bce.lt003_entity</v>
      </c>
      <c r="D35" s="17" t="str">
        <f>_xlfn.CONCAT(Instruções!$D$14,".",VLOOKUP(B35,Instruções!$F$12:$H$17,3,0))</f>
        <v>bu_loantape_work.lt003_entity</v>
      </c>
      <c r="E35" s="17" t="s">
        <v>87</v>
      </c>
      <c r="F35" s="17" t="str">
        <f t="shared" si="0"/>
        <v>emplymnt_stts_as_is</v>
      </c>
      <c r="G35" s="17" t="str">
        <f t="shared" si="1"/>
        <v>emplymnt_stts_to_be</v>
      </c>
      <c r="H35" s="17" t="str">
        <f>IF(VLOOKUP(B35,Instruções!$F$13:$J$17,5,0)="",
"(SELECT "&amp;VLOOKUP(B35,Instruções!$F$13:$J$17,4,0)&amp;" as "&amp;VLOOKUP(B35,Instruções!$F$13:$J$17,4,0)&amp;"_"&amp;$F$2&amp;", "&amp;E35&amp;" as "&amp;F35&amp;" FROM "&amp;C35&amp;" WHERE "&amp;Instruções!$D$20&amp;") A ",
"(SELECT "&amp;VLOOKUP(B35,Instruções!$F$13:$J$17,4,0)&amp;" as "&amp;VLOOKUP(B35,Instruções!$F$13:$J$17,4,0)&amp;"_"&amp;$F$2&amp;", "&amp;VLOOKUP(B35,Instruções!$F$13:$J$17,5,0)&amp;" as "&amp;VLOOKUP(B35,Instruções!$F$13:$J$17,5,0)&amp;"_"&amp;$F$2&amp;","&amp;E35&amp;" as "&amp;F35&amp;" FROM "&amp;C35&amp;" WHERE "&amp;Instruções!$D$20&amp;") A ")</f>
        <v xml:space="preserve">(SELECT entty_id as entty_id_as_is, emplymnt_stts as emplymnt_stts_as_is FROM cd_loan_tapes_bce.lt003_entity WHERE ref_date='2024-09-30' AND nome_perimetro='Individual Corporativo' AND segmento='ESTR' AND ambito='PM' AND entidade='00100' ) A </v>
      </c>
      <c r="I35" s="17" t="str">
        <f>IF(VLOOKUP(B35,Instruções!$F$13:$J$17,5,0)="",
"(SELECT "&amp;VLOOKUP(B35,Instruções!$F$13:$J$17,4,0)&amp;" as "&amp;VLOOKUP(B35,Instruções!$F$13:$J$17,4,0)&amp;"_"&amp;$G$2&amp;", "&amp;E35&amp;" as "&amp;G35&amp;" FROM "&amp;D35&amp;" WHERE "&amp;Instruções!$D$21&amp;") B ",
"(SELECT "&amp;VLOOKUP(B35,Instruções!$F$13:$J$17,4,0)&amp;" as "&amp;VLOOKUP(B35,Instruções!$F$13:$J$17,4,0)&amp;"_"&amp;$G$2&amp;", "&amp;VLOOKUP(B35,Instruções!$F$13:$J$17,5,0)&amp;" as "&amp;VLOOKUP(B35,Instruções!$F$13:$J$17,5,0)&amp;"_"&amp;$G$2&amp;","&amp;E35&amp;" as "&amp;G35&amp;" FROM "&amp;D35&amp;" WHERE "&amp;Instruções!$D$21&amp;") B ")</f>
        <v xml:space="preserve">(SELECT entty_id as entty_id_to_be, emplymnt_stts as emplymnt_stts_to_be FROM bu_loantape_work.lt003_entity WHERE ref_date='2024-09-30' AND nome_perimetro='Individual Corporativo' AND segmento='ESTR' AND ambito='PM' AND entidade='00100' ) B </v>
      </c>
      <c r="J35" s="17" t="str">
        <f>IF(VLOOKUP(B35,Instruções!$F$13:$J$17,5,0)="",
"ON "&amp;VLOOKUP(B35,Instruções!$F$13:$J$17,4,0)&amp;"_"&amp;$F$2&amp;" = "&amp;VLOOKUP(B35,Instruções!$F$13:$J$17,4,0)&amp;"_"&amp;$G$2&amp;" ",
"ON "&amp;VLOOKUP(B35,Instruções!$F$13:$J$17,4,0)&amp;"_"&amp;$F$2&amp;" = "&amp;VLOOKUP(B35,Instruções!$F$13:$J$17,4,0)&amp;"_"&amp;$G$2&amp;" AND "&amp;VLOOKUP(B35,Instruções!$F$13:$J$17,5,0)&amp;"_"&amp;$F$2&amp;" = "&amp;VLOOKUP(B35,Instruções!$F$13:$J$17,5,0)&amp;"_"&amp;$G$2&amp;" ")</f>
        <v xml:space="preserve">ON entty_id_as_is = entty_id_to_be </v>
      </c>
      <c r="K35" s="17" t="str">
        <f t="shared" si="2"/>
        <v xml:space="preserve">WHERE coalesce(cast(emplymnt_stts_as_is as string), '') &lt;&gt; coalesce(cast(emplymnt_stts_to_be as string), '') </v>
      </c>
      <c r="L35" s="17" t="str">
        <f t="shared" si="3"/>
        <v xml:space="preserve">SELECT count(*) AS NUM_REG_DIF FROM (SELECT entty_id as entty_id_as_is, emplymnt_stts as emplymnt_stts_as_is FROM cd_loan_tapes_bce.lt003_entity WHERE ref_date='2024-09-30' AND nome_perimetro='Individual Corporativo' AND segmento='ESTR' AND ambito='PM' AND entidade='00100' ) A  Inner join (SELECT entty_id as entty_id_to_be, emplymnt_stts as emplymnt_stts_to_be FROM bu_loantape_work.lt003_entity WHERE ref_date='2024-09-30' AND nome_perimetro='Individual Corporativo' AND segmento='ESTR' AND ambito='PM' AND entidade='00100' ) B ON entty_id_as_is = entty_id_to_be WHERE coalesce(cast(emplymnt_stts_as_is as string), '') &lt;&gt; coalesce(cast(emplymnt_stts_to_be as string), '') </v>
      </c>
      <c r="M35" s="17" t="s">
        <v>55</v>
      </c>
      <c r="N35" s="17" t="str">
        <f>"SELECT 'Validação de campos' as tipologia_teste, '"&amp;VLOOKUP(B35,Instruções!$F$13:$J$17,3,0)&amp;"' AS TABELA, '"&amp;E35&amp;"' AS CAMPO, '"&amp;Instruções!$D$15&amp;"' as ref_date, coalesce(NUM_REG_DIF, 0) AS NUM_REG_DIF FROM ("&amp;L35&amp;") A "</f>
        <v xml:space="preserve">SELECT 'Validação de campos' as tipologia_teste, 'lt003_entity' AS TABELA, 'emplymnt_stts' AS CAMPO, '2024-09-30' as ref_date, coalesce(NUM_REG_DIF, 0) AS NUM_REG_DIF FROM (SELECT count(*) AS NUM_REG_DIF FROM (SELECT entty_id as entty_id_as_is, emplymnt_stts as emplymnt_stts_as_is FROM cd_loan_tapes_bce.lt003_entity WHERE ref_date='2024-09-30' AND nome_perimetro='Individual Corporativo' AND segmento='ESTR' AND ambito='PM' AND entidade='00100' ) A  Inner join (SELECT entty_id as entty_id_to_be, emplymnt_stts as emplymnt_stts_to_be FROM bu_loantape_work.lt003_entity WHERE ref_date='2024-09-30' AND nome_perimetro='Individual Corporativo' AND segmento='ESTR' AND ambito='PM' AND entidade='00100' ) B ON entty_id_as_is = entty_id_to_be WHERE coalesce(cast(emplymnt_stts_as_is as string), '') &lt;&gt; coalesce(cast(emplymnt_stts_to_be as string), '') ) A </v>
      </c>
      <c r="O35" s="19" t="str">
        <f t="shared" si="4"/>
        <v>SELECT 'Validação de campos' as tipologia_teste, 'lt003_entity' AS TABELA, 'emplymnt_stts' AS CAMPO, '2024-09-30' as ref_date, coalesce(NUM_REG_DIF, 0) AS NUM_REG_DIF FROM (SELECT count(*) AS NUM_REG_DIF FROM (SELECT entty_id as entty_id_as_is, emplymnt_stts as emplymnt_stts_as_is FROM cd_loan_tapes_bce.lt003_entity WHERE ref_date='2024-09-30' AND nome_perimetro='Individual Corporativo' AND segmento='ESTR' AND ambito='PM' AND entidade='00100' ) A  Inner join (SELECT entty_id as entty_id_to_be, emplymnt_stts as emplymnt_stts_to_be FROM bu_loantape_work.lt003_entity WHERE ref_date='2024-09-30' AND nome_perimetro='Individual Corporativo' AND segmento='ESTR' AND ambito='PM' AND entidade='00100' ) B ON entty_id_as_is = entty_id_to_be WHERE coalesce(cast(emplymnt_stts_as_is as string), '') &lt;&gt; coalesce(cast(emplymnt_stts_to_be as string), '') ) A UNION ALL</v>
      </c>
      <c r="P35" s="17">
        <f t="shared" si="5"/>
        <v>32</v>
      </c>
    </row>
    <row r="36" spans="2:16" s="15" customFormat="1" ht="11.45">
      <c r="B36" s="17" t="s">
        <v>11</v>
      </c>
      <c r="C36" s="17" t="str">
        <f>_xlfn.CONCAT(Instruções!$D$13,".",VLOOKUP(B36,Instruções!$F$12:$H$17,2,0))</f>
        <v>cd_loan_tapes_bce.lt003_entity</v>
      </c>
      <c r="D36" s="17" t="str">
        <f>_xlfn.CONCAT(Instruções!$D$14,".",VLOOKUP(B36,Instruções!$F$12:$H$17,3,0))</f>
        <v>bu_loantape_work.lt003_entity</v>
      </c>
      <c r="E36" s="17" t="s">
        <v>88</v>
      </c>
      <c r="F36" s="17" t="str">
        <f t="shared" si="0"/>
        <v>emplymnt_stts_intrnl_as_is</v>
      </c>
      <c r="G36" s="17" t="str">
        <f t="shared" si="1"/>
        <v>emplymnt_stts_intrnl_to_be</v>
      </c>
      <c r="H36" s="17" t="str">
        <f>IF(VLOOKUP(B36,Instruções!$F$13:$J$17,5,0)="",
"(SELECT "&amp;VLOOKUP(B36,Instruções!$F$13:$J$17,4,0)&amp;" as "&amp;VLOOKUP(B36,Instruções!$F$13:$J$17,4,0)&amp;"_"&amp;$F$2&amp;", "&amp;E36&amp;" as "&amp;F36&amp;" FROM "&amp;C36&amp;" WHERE "&amp;Instruções!$D$20&amp;") A ",
"(SELECT "&amp;VLOOKUP(B36,Instruções!$F$13:$J$17,4,0)&amp;" as "&amp;VLOOKUP(B36,Instruções!$F$13:$J$17,4,0)&amp;"_"&amp;$F$2&amp;", "&amp;VLOOKUP(B36,Instruções!$F$13:$J$17,5,0)&amp;" as "&amp;VLOOKUP(B36,Instruções!$F$13:$J$17,5,0)&amp;"_"&amp;$F$2&amp;","&amp;E36&amp;" as "&amp;F36&amp;" FROM "&amp;C36&amp;" WHERE "&amp;Instruções!$D$20&amp;") A ")</f>
        <v xml:space="preserve">(SELECT entty_id as entty_id_as_is, emplymnt_stts_intrnl as emplymnt_stts_intrnl_as_is FROM cd_loan_tapes_bce.lt003_entity WHERE ref_date='2024-09-30' AND nome_perimetro='Individual Corporativo' AND segmento='ESTR' AND ambito='PM' AND entidade='00100' ) A </v>
      </c>
      <c r="I36" s="17" t="str">
        <f>IF(VLOOKUP(B36,Instruções!$F$13:$J$17,5,0)="",
"(SELECT "&amp;VLOOKUP(B36,Instruções!$F$13:$J$17,4,0)&amp;" as "&amp;VLOOKUP(B36,Instruções!$F$13:$J$17,4,0)&amp;"_"&amp;$G$2&amp;", "&amp;E36&amp;" as "&amp;G36&amp;" FROM "&amp;D36&amp;" WHERE "&amp;Instruções!$D$21&amp;") B ",
"(SELECT "&amp;VLOOKUP(B36,Instruções!$F$13:$J$17,4,0)&amp;" as "&amp;VLOOKUP(B36,Instruções!$F$13:$J$17,4,0)&amp;"_"&amp;$G$2&amp;", "&amp;VLOOKUP(B36,Instruções!$F$13:$J$17,5,0)&amp;" as "&amp;VLOOKUP(B36,Instruções!$F$13:$J$17,5,0)&amp;"_"&amp;$G$2&amp;","&amp;E36&amp;" as "&amp;G36&amp;" FROM "&amp;D36&amp;" WHERE "&amp;Instruções!$D$21&amp;") B ")</f>
        <v xml:space="preserve">(SELECT entty_id as entty_id_to_be, emplymnt_stts_intrnl as emplymnt_stts_intrnl_to_be FROM bu_loantape_work.lt003_entity WHERE ref_date='2024-09-30' AND nome_perimetro='Individual Corporativo' AND segmento='ESTR' AND ambito='PM' AND entidade='00100' ) B </v>
      </c>
      <c r="J36" s="17" t="str">
        <f>IF(VLOOKUP(B36,Instruções!$F$13:$J$17,5,0)="",
"ON "&amp;VLOOKUP(B36,Instruções!$F$13:$J$17,4,0)&amp;"_"&amp;$F$2&amp;" = "&amp;VLOOKUP(B36,Instruções!$F$13:$J$17,4,0)&amp;"_"&amp;$G$2&amp;" ",
"ON "&amp;VLOOKUP(B36,Instruções!$F$13:$J$17,4,0)&amp;"_"&amp;$F$2&amp;" = "&amp;VLOOKUP(B36,Instruções!$F$13:$J$17,4,0)&amp;"_"&amp;$G$2&amp;" AND "&amp;VLOOKUP(B36,Instruções!$F$13:$J$17,5,0)&amp;"_"&amp;$F$2&amp;" = "&amp;VLOOKUP(B36,Instruções!$F$13:$J$17,5,0)&amp;"_"&amp;$G$2&amp;" ")</f>
        <v xml:space="preserve">ON entty_id_as_is = entty_id_to_be </v>
      </c>
      <c r="K36" s="17" t="str">
        <f t="shared" si="2"/>
        <v xml:space="preserve">WHERE coalesce(cast(emplymnt_stts_intrnl_as_is as string), '') &lt;&gt; coalesce(cast(emplymnt_stts_intrnl_to_be as string), '') </v>
      </c>
      <c r="L36" s="17" t="str">
        <f t="shared" si="3"/>
        <v xml:space="preserve">SELECT count(*) AS NUM_REG_DIF FROM (SELECT entty_id as entty_id_as_is, emplymnt_stts_intrnl as emplymnt_stts_intrnl_as_is FROM cd_loan_tapes_bce.lt003_entity WHERE ref_date='2024-09-30' AND nome_perimetro='Individual Corporativo' AND segmento='ESTR' AND ambito='PM' AND entidade='00100' ) A  Inner join (SELECT entty_id as entty_id_to_be, emplymnt_stts_intrnl as emplymnt_stts_intrnl_to_be FROM bu_loantape_work.lt003_entity WHERE ref_date='2024-09-30' AND nome_perimetro='Individual Corporativo' AND segmento='ESTR' AND ambito='PM' AND entidade='00100' ) B ON entty_id_as_is = entty_id_to_be WHERE coalesce(cast(emplymnt_stts_intrnl_as_is as string), '') &lt;&gt; coalesce(cast(emplymnt_stts_intrnl_to_be as string), '') </v>
      </c>
      <c r="M36" s="17" t="s">
        <v>55</v>
      </c>
      <c r="N36" s="17" t="str">
        <f>"SELECT 'Validação de campos' as tipologia_teste, '"&amp;VLOOKUP(B36,Instruções!$F$13:$J$17,3,0)&amp;"' AS TABELA, '"&amp;E36&amp;"' AS CAMPO, '"&amp;Instruções!$D$15&amp;"' as ref_date, coalesce(NUM_REG_DIF, 0) AS NUM_REG_DIF FROM ("&amp;L36&amp;") A "</f>
        <v xml:space="preserve">SELECT 'Validação de campos' as tipologia_teste, 'lt003_entity' AS TABELA, 'emplymnt_stts_intrnl' AS CAMPO, '2024-09-30' as ref_date, coalesce(NUM_REG_DIF, 0) AS NUM_REG_DIF FROM (SELECT count(*) AS NUM_REG_DIF FROM (SELECT entty_id as entty_id_as_is, emplymnt_stts_intrnl as emplymnt_stts_intrnl_as_is FROM cd_loan_tapes_bce.lt003_entity WHERE ref_date='2024-09-30' AND nome_perimetro='Individual Corporativo' AND segmento='ESTR' AND ambito='PM' AND entidade='00100' ) A  Inner join (SELECT entty_id as entty_id_to_be, emplymnt_stts_intrnl as emplymnt_stts_intrnl_to_be FROM bu_loantape_work.lt003_entity WHERE ref_date='2024-09-30' AND nome_perimetro='Individual Corporativo' AND segmento='ESTR' AND ambito='PM' AND entidade='00100' ) B ON entty_id_as_is = entty_id_to_be WHERE coalesce(cast(emplymnt_stts_intrnl_as_is as string), '') &lt;&gt; coalesce(cast(emplymnt_stts_intrnl_to_be as string), '') ) A </v>
      </c>
      <c r="O36" s="19" t="str">
        <f t="shared" si="4"/>
        <v>SELECT 'Validação de campos' as tipologia_teste, 'lt003_entity' AS TABELA, 'emplymnt_stts_intrnl' AS CAMPO, '2024-09-30' as ref_date, coalesce(NUM_REG_DIF, 0) AS NUM_REG_DIF FROM (SELECT count(*) AS NUM_REG_DIF FROM (SELECT entty_id as entty_id_as_is, emplymnt_stts_intrnl as emplymnt_stts_intrnl_as_is FROM cd_loan_tapes_bce.lt003_entity WHERE ref_date='2024-09-30' AND nome_perimetro='Individual Corporativo' AND segmento='ESTR' AND ambito='PM' AND entidade='00100' ) A  Inner join (SELECT entty_id as entty_id_to_be, emplymnt_stts_intrnl as emplymnt_stts_intrnl_to_be FROM bu_loantape_work.lt003_entity WHERE ref_date='2024-09-30' AND nome_perimetro='Individual Corporativo' AND segmento='ESTR' AND ambito='PM' AND entidade='00100' ) B ON entty_id_as_is = entty_id_to_be WHERE coalesce(cast(emplymnt_stts_intrnl_as_is as string), '') &lt;&gt; coalesce(cast(emplymnt_stts_intrnl_to_be as string), '') ) A UNION ALL</v>
      </c>
      <c r="P36" s="17">
        <f t="shared" si="5"/>
        <v>33</v>
      </c>
    </row>
    <row r="37" spans="2:16" s="15" customFormat="1" ht="11.45">
      <c r="B37" s="17" t="s">
        <v>11</v>
      </c>
      <c r="C37" s="17" t="str">
        <f>_xlfn.CONCAT(Instruções!$D$13,".",VLOOKUP(B37,Instruções!$F$12:$H$17,2,0))</f>
        <v>cd_loan_tapes_bce.lt003_entity</v>
      </c>
      <c r="D37" s="17" t="str">
        <f>_xlfn.CONCAT(Instruções!$D$14,".",VLOOKUP(B37,Instruções!$F$12:$H$17,3,0))</f>
        <v>bu_loantape_work.lt003_entity</v>
      </c>
      <c r="E37" s="17" t="s">
        <v>89</v>
      </c>
      <c r="F37" s="17" t="str">
        <f t="shared" si="0"/>
        <v>entrprs_sz_le_as_is</v>
      </c>
      <c r="G37" s="17" t="str">
        <f t="shared" si="1"/>
        <v>entrprs_sz_le_to_be</v>
      </c>
      <c r="H37" s="17" t="str">
        <f>IF(VLOOKUP(B37,Instruções!$F$13:$J$17,5,0)="",
"(SELECT "&amp;VLOOKUP(B37,Instruções!$F$13:$J$17,4,0)&amp;" as "&amp;VLOOKUP(B37,Instruções!$F$13:$J$17,4,0)&amp;"_"&amp;$F$2&amp;", "&amp;E37&amp;" as "&amp;F37&amp;" FROM "&amp;C37&amp;" WHERE "&amp;Instruções!$D$20&amp;") A ",
"(SELECT "&amp;VLOOKUP(B37,Instruções!$F$13:$J$17,4,0)&amp;" as "&amp;VLOOKUP(B37,Instruções!$F$13:$J$17,4,0)&amp;"_"&amp;$F$2&amp;", "&amp;VLOOKUP(B37,Instruções!$F$13:$J$17,5,0)&amp;" as "&amp;VLOOKUP(B37,Instruções!$F$13:$J$17,5,0)&amp;"_"&amp;$F$2&amp;","&amp;E37&amp;" as "&amp;F37&amp;" FROM "&amp;C37&amp;" WHERE "&amp;Instruções!$D$20&amp;") A ")</f>
        <v xml:space="preserve">(SELECT entty_id as entty_id_as_is, entrprs_sz_le as entrprs_sz_le_as_is FROM cd_loan_tapes_bce.lt003_entity WHERE ref_date='2024-09-30' AND nome_perimetro='Individual Corporativo' AND segmento='ESTR' AND ambito='PM' AND entidade='00100' ) A </v>
      </c>
      <c r="I37" s="17" t="str">
        <f>IF(VLOOKUP(B37,Instruções!$F$13:$J$17,5,0)="",
"(SELECT "&amp;VLOOKUP(B37,Instruções!$F$13:$J$17,4,0)&amp;" as "&amp;VLOOKUP(B37,Instruções!$F$13:$J$17,4,0)&amp;"_"&amp;$G$2&amp;", "&amp;E37&amp;" as "&amp;G37&amp;" FROM "&amp;D37&amp;" WHERE "&amp;Instruções!$D$21&amp;") B ",
"(SELECT "&amp;VLOOKUP(B37,Instruções!$F$13:$J$17,4,0)&amp;" as "&amp;VLOOKUP(B37,Instruções!$F$13:$J$17,4,0)&amp;"_"&amp;$G$2&amp;", "&amp;VLOOKUP(B37,Instruções!$F$13:$J$17,5,0)&amp;" as "&amp;VLOOKUP(B37,Instruções!$F$13:$J$17,5,0)&amp;"_"&amp;$G$2&amp;","&amp;E37&amp;" as "&amp;G37&amp;" FROM "&amp;D37&amp;" WHERE "&amp;Instruções!$D$21&amp;") B ")</f>
        <v xml:space="preserve">(SELECT entty_id as entty_id_to_be, entrprs_sz_le as entrprs_sz_le_to_be FROM bu_loantape_work.lt003_entity WHERE ref_date='2024-09-30' AND nome_perimetro='Individual Corporativo' AND segmento='ESTR' AND ambito='PM' AND entidade='00100' ) B </v>
      </c>
      <c r="J37" s="17" t="str">
        <f>IF(VLOOKUP(B37,Instruções!$F$13:$J$17,5,0)="",
"ON "&amp;VLOOKUP(B37,Instruções!$F$13:$J$17,4,0)&amp;"_"&amp;$F$2&amp;" = "&amp;VLOOKUP(B37,Instruções!$F$13:$J$17,4,0)&amp;"_"&amp;$G$2&amp;" ",
"ON "&amp;VLOOKUP(B37,Instruções!$F$13:$J$17,4,0)&amp;"_"&amp;$F$2&amp;" = "&amp;VLOOKUP(B37,Instruções!$F$13:$J$17,4,0)&amp;"_"&amp;$G$2&amp;" AND "&amp;VLOOKUP(B37,Instruções!$F$13:$J$17,5,0)&amp;"_"&amp;$F$2&amp;" = "&amp;VLOOKUP(B37,Instruções!$F$13:$J$17,5,0)&amp;"_"&amp;$G$2&amp;" ")</f>
        <v xml:space="preserve">ON entty_id_as_is = entty_id_to_be </v>
      </c>
      <c r="K37" s="17" t="str">
        <f t="shared" si="2"/>
        <v xml:space="preserve">WHERE coalesce(cast(entrprs_sz_le_as_is as string), '') &lt;&gt; coalesce(cast(entrprs_sz_le_to_be as string), '') </v>
      </c>
      <c r="L37" s="17" t="str">
        <f t="shared" si="3"/>
        <v xml:space="preserve">SELECT count(*) AS NUM_REG_DIF FROM (SELECT entty_id as entty_id_as_is, entrprs_sz_le as entrprs_sz_le_as_is FROM cd_loan_tapes_bce.lt003_entity WHERE ref_date='2024-09-30' AND nome_perimetro='Individual Corporativo' AND segmento='ESTR' AND ambito='PM' AND entidade='00100' ) A  Inner join (SELECT entty_id as entty_id_to_be, entrprs_sz_le as entrprs_sz_le_to_be FROM bu_loantape_work.lt003_entity WHERE ref_date='2024-09-30' AND nome_perimetro='Individual Corporativo' AND segmento='ESTR' AND ambito='PM' AND entidade='00100' ) B ON entty_id_as_is = entty_id_to_be WHERE coalesce(cast(entrprs_sz_le_as_is as string), '') &lt;&gt; coalesce(cast(entrprs_sz_le_to_be as string), '') </v>
      </c>
      <c r="M37" s="17" t="s">
        <v>55</v>
      </c>
      <c r="N37" s="17" t="str">
        <f>"SELECT 'Validação de campos' as tipologia_teste, '"&amp;VLOOKUP(B37,Instruções!$F$13:$J$17,3,0)&amp;"' AS TABELA, '"&amp;E37&amp;"' AS CAMPO, '"&amp;Instruções!$D$15&amp;"' as ref_date, coalesce(NUM_REG_DIF, 0) AS NUM_REG_DIF FROM ("&amp;L37&amp;") A "</f>
        <v xml:space="preserve">SELECT 'Validação de campos' as tipologia_teste, 'lt003_entity' AS TABELA, 'entrprs_sz_le' AS CAMPO, '2024-09-30' as ref_date, coalesce(NUM_REG_DIF, 0) AS NUM_REG_DIF FROM (SELECT count(*) AS NUM_REG_DIF FROM (SELECT entty_id as entty_id_as_is, entrprs_sz_le as entrprs_sz_le_as_is FROM cd_loan_tapes_bce.lt003_entity WHERE ref_date='2024-09-30' AND nome_perimetro='Individual Corporativo' AND segmento='ESTR' AND ambito='PM' AND entidade='00100' ) A  Inner join (SELECT entty_id as entty_id_to_be, entrprs_sz_le as entrprs_sz_le_to_be FROM bu_loantape_work.lt003_entity WHERE ref_date='2024-09-30' AND nome_perimetro='Individual Corporativo' AND segmento='ESTR' AND ambito='PM' AND entidade='00100' ) B ON entty_id_as_is = entty_id_to_be WHERE coalesce(cast(entrprs_sz_le_as_is as string), '') &lt;&gt; coalesce(cast(entrprs_sz_le_to_be as string), '') ) A </v>
      </c>
      <c r="O37" s="19" t="str">
        <f t="shared" si="4"/>
        <v>SELECT 'Validação de campos' as tipologia_teste, 'lt003_entity' AS TABELA, 'entrprs_sz_le' AS CAMPO, '2024-09-30' as ref_date, coalesce(NUM_REG_DIF, 0) AS NUM_REG_DIF FROM (SELECT count(*) AS NUM_REG_DIF FROM (SELECT entty_id as entty_id_as_is, entrprs_sz_le as entrprs_sz_le_as_is FROM cd_loan_tapes_bce.lt003_entity WHERE ref_date='2024-09-30' AND nome_perimetro='Individual Corporativo' AND segmento='ESTR' AND ambito='PM' AND entidade='00100' ) A  Inner join (SELECT entty_id as entty_id_to_be, entrprs_sz_le as entrprs_sz_le_to_be FROM bu_loantape_work.lt003_entity WHERE ref_date='2024-09-30' AND nome_perimetro='Individual Corporativo' AND segmento='ESTR' AND ambito='PM' AND entidade='00100' ) B ON entty_id_as_is = entty_id_to_be WHERE coalesce(cast(entrprs_sz_le_as_is as string), '') &lt;&gt; coalesce(cast(entrprs_sz_le_to_be as string), '') ) A UNION ALL</v>
      </c>
      <c r="P37" s="17">
        <f t="shared" si="5"/>
        <v>34</v>
      </c>
    </row>
    <row r="38" spans="2:16" s="15" customFormat="1" ht="11.45">
      <c r="B38" s="17" t="s">
        <v>11</v>
      </c>
      <c r="C38" s="17" t="str">
        <f>_xlfn.CONCAT(Instruções!$D$13,".",VLOOKUP(B38,Instruções!$F$12:$H$17,2,0))</f>
        <v>cd_loan_tapes_bce.lt003_entity</v>
      </c>
      <c r="D38" s="17" t="str">
        <f>_xlfn.CONCAT(Instruções!$D$14,".",VLOOKUP(B38,Instruções!$F$12:$H$17,3,0))</f>
        <v>bu_loantape_work.lt003_entity</v>
      </c>
      <c r="E38" s="17" t="s">
        <v>90</v>
      </c>
      <c r="F38" s="17" t="str">
        <f t="shared" si="0"/>
        <v>entty_nm_as_is</v>
      </c>
      <c r="G38" s="17" t="str">
        <f t="shared" si="1"/>
        <v>entty_nm_to_be</v>
      </c>
      <c r="H38" s="17" t="str">
        <f>IF(VLOOKUP(B38,Instruções!$F$13:$J$17,5,0)="",
"(SELECT "&amp;VLOOKUP(B38,Instruções!$F$13:$J$17,4,0)&amp;" as "&amp;VLOOKUP(B38,Instruções!$F$13:$J$17,4,0)&amp;"_"&amp;$F$2&amp;", "&amp;E38&amp;" as "&amp;F38&amp;" FROM "&amp;C38&amp;" WHERE "&amp;Instruções!$D$20&amp;") A ",
"(SELECT "&amp;VLOOKUP(B38,Instruções!$F$13:$J$17,4,0)&amp;" as "&amp;VLOOKUP(B38,Instruções!$F$13:$J$17,4,0)&amp;"_"&amp;$F$2&amp;", "&amp;VLOOKUP(B38,Instruções!$F$13:$J$17,5,0)&amp;" as "&amp;VLOOKUP(B38,Instruções!$F$13:$J$17,5,0)&amp;"_"&amp;$F$2&amp;","&amp;E38&amp;" as "&amp;F38&amp;" FROM "&amp;C38&amp;" WHERE "&amp;Instruções!$D$20&amp;") A ")</f>
        <v xml:space="preserve">(SELECT entty_id as entty_id_as_is, entty_nm as entty_nm_as_is FROM cd_loan_tapes_bce.lt003_entity WHERE ref_date='2024-09-30' AND nome_perimetro='Individual Corporativo' AND segmento='ESTR' AND ambito='PM' AND entidade='00100' ) A </v>
      </c>
      <c r="I38" s="17" t="str">
        <f>IF(VLOOKUP(B38,Instruções!$F$13:$J$17,5,0)="",
"(SELECT "&amp;VLOOKUP(B38,Instruções!$F$13:$J$17,4,0)&amp;" as "&amp;VLOOKUP(B38,Instruções!$F$13:$J$17,4,0)&amp;"_"&amp;$G$2&amp;", "&amp;E38&amp;" as "&amp;G38&amp;" FROM "&amp;D38&amp;" WHERE "&amp;Instruções!$D$21&amp;") B ",
"(SELECT "&amp;VLOOKUP(B38,Instruções!$F$13:$J$17,4,0)&amp;" as "&amp;VLOOKUP(B38,Instruções!$F$13:$J$17,4,0)&amp;"_"&amp;$G$2&amp;", "&amp;VLOOKUP(B38,Instruções!$F$13:$J$17,5,0)&amp;" as "&amp;VLOOKUP(B38,Instruções!$F$13:$J$17,5,0)&amp;"_"&amp;$G$2&amp;","&amp;E38&amp;" as "&amp;G38&amp;" FROM "&amp;D38&amp;" WHERE "&amp;Instruções!$D$21&amp;") B ")</f>
        <v xml:space="preserve">(SELECT entty_id as entty_id_to_be, entty_nm as entty_nm_to_be FROM bu_loantape_work.lt003_entity WHERE ref_date='2024-09-30' AND nome_perimetro='Individual Corporativo' AND segmento='ESTR' AND ambito='PM' AND entidade='00100' ) B </v>
      </c>
      <c r="J38" s="17" t="str">
        <f>IF(VLOOKUP(B38,Instruções!$F$13:$J$17,5,0)="",
"ON "&amp;VLOOKUP(B38,Instruções!$F$13:$J$17,4,0)&amp;"_"&amp;$F$2&amp;" = "&amp;VLOOKUP(B38,Instruções!$F$13:$J$17,4,0)&amp;"_"&amp;$G$2&amp;" ",
"ON "&amp;VLOOKUP(B38,Instruções!$F$13:$J$17,4,0)&amp;"_"&amp;$F$2&amp;" = "&amp;VLOOKUP(B38,Instruções!$F$13:$J$17,4,0)&amp;"_"&amp;$G$2&amp;" AND "&amp;VLOOKUP(B38,Instruções!$F$13:$J$17,5,0)&amp;"_"&amp;$F$2&amp;" = "&amp;VLOOKUP(B38,Instruções!$F$13:$J$17,5,0)&amp;"_"&amp;$G$2&amp;" ")</f>
        <v xml:space="preserve">ON entty_id_as_is = entty_id_to_be </v>
      </c>
      <c r="K38" s="17" t="str">
        <f t="shared" si="2"/>
        <v xml:space="preserve">WHERE coalesce(cast(entty_nm_as_is as string), '') &lt;&gt; coalesce(cast(entty_nm_to_be as string), '') </v>
      </c>
      <c r="L38" s="17" t="str">
        <f t="shared" si="3"/>
        <v xml:space="preserve">SELECT count(*) AS NUM_REG_DIF FROM (SELECT entty_id as entty_id_as_is, entty_nm as entty_nm_as_is FROM cd_loan_tapes_bce.lt003_entity WHERE ref_date='2024-09-30' AND nome_perimetro='Individual Corporativo' AND segmento='ESTR' AND ambito='PM' AND entidade='00100' ) A  Inner join (SELECT entty_id as entty_id_to_be, entty_nm as entty_nm_to_be FROM bu_loantape_work.lt003_entity WHERE ref_date='2024-09-30' AND nome_perimetro='Individual Corporativo' AND segmento='ESTR' AND ambito='PM' AND entidade='00100' ) B ON entty_id_as_is = entty_id_to_be WHERE coalesce(cast(entty_nm_as_is as string), '') &lt;&gt; coalesce(cast(entty_nm_to_be as string), '') </v>
      </c>
      <c r="M38" s="17" t="s">
        <v>55</v>
      </c>
      <c r="N38" s="17" t="str">
        <f>"SELECT 'Validação de campos' as tipologia_teste, '"&amp;VLOOKUP(B38,Instruções!$F$13:$J$17,3,0)&amp;"' AS TABELA, '"&amp;E38&amp;"' AS CAMPO, '"&amp;Instruções!$D$15&amp;"' as ref_date, coalesce(NUM_REG_DIF, 0) AS NUM_REG_DIF FROM ("&amp;L38&amp;") A "</f>
        <v xml:space="preserve">SELECT 'Validação de campos' as tipologia_teste, 'lt003_entity' AS TABELA, 'entty_nm' AS CAMPO, '2024-09-30' as ref_date, coalesce(NUM_REG_DIF, 0) AS NUM_REG_DIF FROM (SELECT count(*) AS NUM_REG_DIF FROM (SELECT entty_id as entty_id_as_is, entty_nm as entty_nm_as_is FROM cd_loan_tapes_bce.lt003_entity WHERE ref_date='2024-09-30' AND nome_perimetro='Individual Corporativo' AND segmento='ESTR' AND ambito='PM' AND entidade='00100' ) A  Inner join (SELECT entty_id as entty_id_to_be, entty_nm as entty_nm_to_be FROM bu_loantape_work.lt003_entity WHERE ref_date='2024-09-30' AND nome_perimetro='Individual Corporativo' AND segmento='ESTR' AND ambito='PM' AND entidade='00100' ) B ON entty_id_as_is = entty_id_to_be WHERE coalesce(cast(entty_nm_as_is as string), '') &lt;&gt; coalesce(cast(entty_nm_to_be as string), '') ) A </v>
      </c>
      <c r="O38" s="19" t="str">
        <f t="shared" si="4"/>
        <v>SELECT 'Validação de campos' as tipologia_teste, 'lt003_entity' AS TABELA, 'entty_nm' AS CAMPO, '2024-09-30' as ref_date, coalesce(NUM_REG_DIF, 0) AS NUM_REG_DIF FROM (SELECT count(*) AS NUM_REG_DIF FROM (SELECT entty_id as entty_id_as_is, entty_nm as entty_nm_as_is FROM cd_loan_tapes_bce.lt003_entity WHERE ref_date='2024-09-30' AND nome_perimetro='Individual Corporativo' AND segmento='ESTR' AND ambito='PM' AND entidade='00100' ) A  Inner join (SELECT entty_id as entty_id_to_be, entty_nm as entty_nm_to_be FROM bu_loantape_work.lt003_entity WHERE ref_date='2024-09-30' AND nome_perimetro='Individual Corporativo' AND segmento='ESTR' AND ambito='PM' AND entidade='00100' ) B ON entty_id_as_is = entty_id_to_be WHERE coalesce(cast(entty_nm_as_is as string), '') &lt;&gt; coalesce(cast(entty_nm_to_be as string), '') ) A UNION ALL</v>
      </c>
      <c r="P38" s="17">
        <f t="shared" si="5"/>
        <v>35</v>
      </c>
    </row>
    <row r="39" spans="2:16" s="15" customFormat="1" ht="11.45">
      <c r="B39" s="17" t="s">
        <v>11</v>
      </c>
      <c r="C39" s="17" t="str">
        <f>_xlfn.CONCAT(Instruções!$D$13,".",VLOOKUP(B39,Instruções!$F$12:$H$17,2,0))</f>
        <v>cd_loan_tapes_bce.lt003_entity</v>
      </c>
      <c r="D39" s="17" t="str">
        <f>_xlfn.CONCAT(Instruções!$D$14,".",VLOOKUP(B39,Instruções!$F$12:$H$17,3,0))</f>
        <v>bu_loantape_work.lt003_entity</v>
      </c>
      <c r="E39" s="17" t="s">
        <v>91</v>
      </c>
      <c r="F39" s="17" t="str">
        <f t="shared" si="0"/>
        <v>eqty_as_is</v>
      </c>
      <c r="G39" s="17" t="str">
        <f t="shared" si="1"/>
        <v>eqty_to_be</v>
      </c>
      <c r="H39" s="17" t="str">
        <f>IF(VLOOKUP(B39,Instruções!$F$13:$J$17,5,0)="",
"(SELECT "&amp;VLOOKUP(B39,Instruções!$F$13:$J$17,4,0)&amp;" as "&amp;VLOOKUP(B39,Instruções!$F$13:$J$17,4,0)&amp;"_"&amp;$F$2&amp;", "&amp;E39&amp;" as "&amp;F39&amp;" FROM "&amp;C39&amp;" WHERE "&amp;Instruções!$D$20&amp;") A ",
"(SELECT "&amp;VLOOKUP(B39,Instruções!$F$13:$J$17,4,0)&amp;" as "&amp;VLOOKUP(B39,Instruções!$F$13:$J$17,4,0)&amp;"_"&amp;$F$2&amp;", "&amp;VLOOKUP(B39,Instruções!$F$13:$J$17,5,0)&amp;" as "&amp;VLOOKUP(B39,Instruções!$F$13:$J$17,5,0)&amp;"_"&amp;$F$2&amp;","&amp;E39&amp;" as "&amp;F39&amp;" FROM "&amp;C39&amp;" WHERE "&amp;Instruções!$D$20&amp;") A ")</f>
        <v xml:space="preserve">(SELECT entty_id as entty_id_as_is, eqty as eqty_as_is FROM cd_loan_tapes_bce.lt003_entity WHERE ref_date='2024-09-30' AND nome_perimetro='Individual Corporativo' AND segmento='ESTR' AND ambito='PM' AND entidade='00100' ) A </v>
      </c>
      <c r="I39" s="17" t="str">
        <f>IF(VLOOKUP(B39,Instruções!$F$13:$J$17,5,0)="",
"(SELECT "&amp;VLOOKUP(B39,Instruções!$F$13:$J$17,4,0)&amp;" as "&amp;VLOOKUP(B39,Instruções!$F$13:$J$17,4,0)&amp;"_"&amp;$G$2&amp;", "&amp;E39&amp;" as "&amp;G39&amp;" FROM "&amp;D39&amp;" WHERE "&amp;Instruções!$D$21&amp;") B ",
"(SELECT "&amp;VLOOKUP(B39,Instruções!$F$13:$J$17,4,0)&amp;" as "&amp;VLOOKUP(B39,Instruções!$F$13:$J$17,4,0)&amp;"_"&amp;$G$2&amp;", "&amp;VLOOKUP(B39,Instruções!$F$13:$J$17,5,0)&amp;" as "&amp;VLOOKUP(B39,Instruções!$F$13:$J$17,5,0)&amp;"_"&amp;$G$2&amp;","&amp;E39&amp;" as "&amp;G39&amp;" FROM "&amp;D39&amp;" WHERE "&amp;Instruções!$D$21&amp;") B ")</f>
        <v xml:space="preserve">(SELECT entty_id as entty_id_to_be, eqty as eqty_to_be FROM bu_loantape_work.lt003_entity WHERE ref_date='2024-09-30' AND nome_perimetro='Individual Corporativo' AND segmento='ESTR' AND ambito='PM' AND entidade='00100' ) B </v>
      </c>
      <c r="J39" s="17" t="str">
        <f>IF(VLOOKUP(B39,Instruções!$F$13:$J$17,5,0)="",
"ON "&amp;VLOOKUP(B39,Instruções!$F$13:$J$17,4,0)&amp;"_"&amp;$F$2&amp;" = "&amp;VLOOKUP(B39,Instruções!$F$13:$J$17,4,0)&amp;"_"&amp;$G$2&amp;" ",
"ON "&amp;VLOOKUP(B39,Instruções!$F$13:$J$17,4,0)&amp;"_"&amp;$F$2&amp;" = "&amp;VLOOKUP(B39,Instruções!$F$13:$J$17,4,0)&amp;"_"&amp;$G$2&amp;" AND "&amp;VLOOKUP(B39,Instruções!$F$13:$J$17,5,0)&amp;"_"&amp;$F$2&amp;" = "&amp;VLOOKUP(B39,Instruções!$F$13:$J$17,5,0)&amp;"_"&amp;$G$2&amp;" ")</f>
        <v xml:space="preserve">ON entty_id_as_is = entty_id_to_be </v>
      </c>
      <c r="K39" s="17" t="str">
        <f t="shared" si="2"/>
        <v xml:space="preserve">WHERE coalesce(cast(eqty_as_is as string), '') &lt;&gt; coalesce(cast(eqty_to_be as string), '') </v>
      </c>
      <c r="L39" s="17" t="str">
        <f t="shared" si="3"/>
        <v xml:space="preserve">SELECT count(*) AS NUM_REG_DIF FROM (SELECT entty_id as entty_id_as_is, eqty as eqty_as_is FROM cd_loan_tapes_bce.lt003_entity WHERE ref_date='2024-09-30' AND nome_perimetro='Individual Corporativo' AND segmento='ESTR' AND ambito='PM' AND entidade='00100' ) A  Inner join (SELECT entty_id as entty_id_to_be, eqty as eqty_to_be FROM bu_loantape_work.lt003_entity WHERE ref_date='2024-09-30' AND nome_perimetro='Individual Corporativo' AND segmento='ESTR' AND ambito='PM' AND entidade='00100' ) B ON entty_id_as_is = entty_id_to_be WHERE coalesce(cast(eqty_as_is as string), '') &lt;&gt; coalesce(cast(eqty_to_be as string), '') </v>
      </c>
      <c r="M39" s="17" t="s">
        <v>55</v>
      </c>
      <c r="N39" s="17" t="str">
        <f>"SELECT 'Validação de campos' as tipologia_teste, '"&amp;VLOOKUP(B39,Instruções!$F$13:$J$17,3,0)&amp;"' AS TABELA, '"&amp;E39&amp;"' AS CAMPO, '"&amp;Instruções!$D$15&amp;"' as ref_date, coalesce(NUM_REG_DIF, 0) AS NUM_REG_DIF FROM ("&amp;L39&amp;") A "</f>
        <v xml:space="preserve">SELECT 'Validação de campos' as tipologia_teste, 'lt003_entity' AS TABELA, 'eqty' AS CAMPO, '2024-09-30' as ref_date, coalesce(NUM_REG_DIF, 0) AS NUM_REG_DIF FROM (SELECT count(*) AS NUM_REG_DIF FROM (SELECT entty_id as entty_id_as_is, eqty as eqty_as_is FROM cd_loan_tapes_bce.lt003_entity WHERE ref_date='2024-09-30' AND nome_perimetro='Individual Corporativo' AND segmento='ESTR' AND ambito='PM' AND entidade='00100' ) A  Inner join (SELECT entty_id as entty_id_to_be, eqty as eqty_to_be FROM bu_loantape_work.lt003_entity WHERE ref_date='2024-09-30' AND nome_perimetro='Individual Corporativo' AND segmento='ESTR' AND ambito='PM' AND entidade='00100' ) B ON entty_id_as_is = entty_id_to_be WHERE coalesce(cast(eqty_as_is as string), '') &lt;&gt; coalesce(cast(eqty_to_be as string), '') ) A </v>
      </c>
      <c r="O39" s="19" t="str">
        <f t="shared" si="4"/>
        <v>SELECT 'Validação de campos' as tipologia_teste, 'lt003_entity' AS TABELA, 'eqty' AS CAMPO, '2024-09-30' as ref_date, coalesce(NUM_REG_DIF, 0) AS NUM_REG_DIF FROM (SELECT count(*) AS NUM_REG_DIF FROM (SELECT entty_id as entty_id_as_is, eqty as eqty_as_is FROM cd_loan_tapes_bce.lt003_entity WHERE ref_date='2024-09-30' AND nome_perimetro='Individual Corporativo' AND segmento='ESTR' AND ambito='PM' AND entidade='00100' ) A  Inner join (SELECT entty_id as entty_id_to_be, eqty as eqty_to_be FROM bu_loantape_work.lt003_entity WHERE ref_date='2024-09-30' AND nome_perimetro='Individual Corporativo' AND segmento='ESTR' AND ambito='PM' AND entidade='00100' ) B ON entty_id_as_is = entty_id_to_be WHERE coalesce(cast(eqty_as_is as string), '') &lt;&gt; coalesce(cast(eqty_to_be as string), '') ) A UNION ALL</v>
      </c>
      <c r="P39" s="17">
        <f t="shared" si="5"/>
        <v>36</v>
      </c>
    </row>
    <row r="40" spans="2:16" s="15" customFormat="1" ht="11.45">
      <c r="B40" s="17" t="s">
        <v>11</v>
      </c>
      <c r="C40" s="17" t="str">
        <f>_xlfn.CONCAT(Instruções!$D$13,".",VLOOKUP(B40,Instruções!$F$12:$H$17,2,0))</f>
        <v>cd_loan_tapes_bce.lt003_entity</v>
      </c>
      <c r="D40" s="17" t="str">
        <f>_xlfn.CONCAT(Instruções!$D$14,".",VLOOKUP(B40,Instruções!$F$12:$H$17,3,0))</f>
        <v>bu_loantape_work.lt003_entity</v>
      </c>
      <c r="E40" s="17" t="s">
        <v>92</v>
      </c>
      <c r="F40" s="17" t="str">
        <f t="shared" si="0"/>
        <v>eqty_prvs_as_is</v>
      </c>
      <c r="G40" s="17" t="str">
        <f t="shared" si="1"/>
        <v>eqty_prvs_to_be</v>
      </c>
      <c r="H40" s="17" t="str">
        <f>IF(VLOOKUP(B40,Instruções!$F$13:$J$17,5,0)="",
"(SELECT "&amp;VLOOKUP(B40,Instruções!$F$13:$J$17,4,0)&amp;" as "&amp;VLOOKUP(B40,Instruções!$F$13:$J$17,4,0)&amp;"_"&amp;$F$2&amp;", "&amp;E40&amp;" as "&amp;F40&amp;" FROM "&amp;C40&amp;" WHERE "&amp;Instruções!$D$20&amp;") A ",
"(SELECT "&amp;VLOOKUP(B40,Instruções!$F$13:$J$17,4,0)&amp;" as "&amp;VLOOKUP(B40,Instruções!$F$13:$J$17,4,0)&amp;"_"&amp;$F$2&amp;", "&amp;VLOOKUP(B40,Instruções!$F$13:$J$17,5,0)&amp;" as "&amp;VLOOKUP(B40,Instruções!$F$13:$J$17,5,0)&amp;"_"&amp;$F$2&amp;","&amp;E40&amp;" as "&amp;F40&amp;" FROM "&amp;C40&amp;" WHERE "&amp;Instruções!$D$20&amp;") A ")</f>
        <v xml:space="preserve">(SELECT entty_id as entty_id_as_is, eqty_prvs as eqty_prvs_as_is FROM cd_loan_tapes_bce.lt003_entity WHERE ref_date='2024-09-30' AND nome_perimetro='Individual Corporativo' AND segmento='ESTR' AND ambito='PM' AND entidade='00100' ) A </v>
      </c>
      <c r="I40" s="17" t="str">
        <f>IF(VLOOKUP(B40,Instruções!$F$13:$J$17,5,0)="",
"(SELECT "&amp;VLOOKUP(B40,Instruções!$F$13:$J$17,4,0)&amp;" as "&amp;VLOOKUP(B40,Instruções!$F$13:$J$17,4,0)&amp;"_"&amp;$G$2&amp;", "&amp;E40&amp;" as "&amp;G40&amp;" FROM "&amp;D40&amp;" WHERE "&amp;Instruções!$D$21&amp;") B ",
"(SELECT "&amp;VLOOKUP(B40,Instruções!$F$13:$J$17,4,0)&amp;" as "&amp;VLOOKUP(B40,Instruções!$F$13:$J$17,4,0)&amp;"_"&amp;$G$2&amp;", "&amp;VLOOKUP(B40,Instruções!$F$13:$J$17,5,0)&amp;" as "&amp;VLOOKUP(B40,Instruções!$F$13:$J$17,5,0)&amp;"_"&amp;$G$2&amp;","&amp;E40&amp;" as "&amp;G40&amp;" FROM "&amp;D40&amp;" WHERE "&amp;Instruções!$D$21&amp;") B ")</f>
        <v xml:space="preserve">(SELECT entty_id as entty_id_to_be, eqty_prvs as eqty_prvs_to_be FROM bu_loantape_work.lt003_entity WHERE ref_date='2024-09-30' AND nome_perimetro='Individual Corporativo' AND segmento='ESTR' AND ambito='PM' AND entidade='00100' ) B </v>
      </c>
      <c r="J40" s="17" t="str">
        <f>IF(VLOOKUP(B40,Instruções!$F$13:$J$17,5,0)="",
"ON "&amp;VLOOKUP(B40,Instruções!$F$13:$J$17,4,0)&amp;"_"&amp;$F$2&amp;" = "&amp;VLOOKUP(B40,Instruções!$F$13:$J$17,4,0)&amp;"_"&amp;$G$2&amp;" ",
"ON "&amp;VLOOKUP(B40,Instruções!$F$13:$J$17,4,0)&amp;"_"&amp;$F$2&amp;" = "&amp;VLOOKUP(B40,Instruções!$F$13:$J$17,4,0)&amp;"_"&amp;$G$2&amp;" AND "&amp;VLOOKUP(B40,Instruções!$F$13:$J$17,5,0)&amp;"_"&amp;$F$2&amp;" = "&amp;VLOOKUP(B40,Instruções!$F$13:$J$17,5,0)&amp;"_"&amp;$G$2&amp;" ")</f>
        <v xml:space="preserve">ON entty_id_as_is = entty_id_to_be </v>
      </c>
      <c r="K40" s="17" t="str">
        <f t="shared" si="2"/>
        <v xml:space="preserve">WHERE coalesce(cast(eqty_prvs_as_is as string), '') &lt;&gt; coalesce(cast(eqty_prvs_to_be as string), '') </v>
      </c>
      <c r="L40" s="17" t="str">
        <f t="shared" si="3"/>
        <v xml:space="preserve">SELECT count(*) AS NUM_REG_DIF FROM (SELECT entty_id as entty_id_as_is, eqty_prvs as eqty_prvs_as_is FROM cd_loan_tapes_bce.lt003_entity WHERE ref_date='2024-09-30' AND nome_perimetro='Individual Corporativo' AND segmento='ESTR' AND ambito='PM' AND entidade='00100' ) A  Inner join (SELECT entty_id as entty_id_to_be, eqty_prvs as eqty_prvs_to_be FROM bu_loantape_work.lt003_entity WHERE ref_date='2024-09-30' AND nome_perimetro='Individual Corporativo' AND segmento='ESTR' AND ambito='PM' AND entidade='00100' ) B ON entty_id_as_is = entty_id_to_be WHERE coalesce(cast(eqty_prvs_as_is as string), '') &lt;&gt; coalesce(cast(eqty_prvs_to_be as string), '') </v>
      </c>
      <c r="M40" s="17" t="s">
        <v>55</v>
      </c>
      <c r="N40" s="17" t="str">
        <f>"SELECT 'Validação de campos' as tipologia_teste, '"&amp;VLOOKUP(B40,Instruções!$F$13:$J$17,3,0)&amp;"' AS TABELA, '"&amp;E40&amp;"' AS CAMPO, '"&amp;Instruções!$D$15&amp;"' as ref_date, coalesce(NUM_REG_DIF, 0) AS NUM_REG_DIF FROM ("&amp;L40&amp;") A "</f>
        <v xml:space="preserve">SELECT 'Validação de campos' as tipologia_teste, 'lt003_entity' AS TABELA, 'eqty_prvs' AS CAMPO, '2024-09-30' as ref_date, coalesce(NUM_REG_DIF, 0) AS NUM_REG_DIF FROM (SELECT count(*) AS NUM_REG_DIF FROM (SELECT entty_id as entty_id_as_is, eqty_prvs as eqty_prvs_as_is FROM cd_loan_tapes_bce.lt003_entity WHERE ref_date='2024-09-30' AND nome_perimetro='Individual Corporativo' AND segmento='ESTR' AND ambito='PM' AND entidade='00100' ) A  Inner join (SELECT entty_id as entty_id_to_be, eqty_prvs as eqty_prvs_to_be FROM bu_loantape_work.lt003_entity WHERE ref_date='2024-09-30' AND nome_perimetro='Individual Corporativo' AND segmento='ESTR' AND ambito='PM' AND entidade='00100' ) B ON entty_id_as_is = entty_id_to_be WHERE coalesce(cast(eqty_prvs_as_is as string), '') &lt;&gt; coalesce(cast(eqty_prvs_to_be as string), '') ) A </v>
      </c>
      <c r="O40" s="19" t="str">
        <f t="shared" si="4"/>
        <v>SELECT 'Validação de campos' as tipologia_teste, 'lt003_entity' AS TABELA, 'eqty_prvs' AS CAMPO, '2024-09-30' as ref_date, coalesce(NUM_REG_DIF, 0) AS NUM_REG_DIF FROM (SELECT count(*) AS NUM_REG_DIF FROM (SELECT entty_id as entty_id_as_is, eqty_prvs as eqty_prvs_as_is FROM cd_loan_tapes_bce.lt003_entity WHERE ref_date='2024-09-30' AND nome_perimetro='Individual Corporativo' AND segmento='ESTR' AND ambito='PM' AND entidade='00100' ) A  Inner join (SELECT entty_id as entty_id_to_be, eqty_prvs as eqty_prvs_to_be FROM bu_loantape_work.lt003_entity WHERE ref_date='2024-09-30' AND nome_perimetro='Individual Corporativo' AND segmento='ESTR' AND ambito='PM' AND entidade='00100' ) B ON entty_id_as_is = entty_id_to_be WHERE coalesce(cast(eqty_prvs_as_is as string), '') &lt;&gt; coalesce(cast(eqty_prvs_to_be as string), '') ) A UNION ALL</v>
      </c>
      <c r="P40" s="17">
        <f t="shared" si="5"/>
        <v>37</v>
      </c>
    </row>
    <row r="41" spans="2:16" s="15" customFormat="1" ht="11.45">
      <c r="B41" s="17" t="s">
        <v>11</v>
      </c>
      <c r="C41" s="17" t="str">
        <f>_xlfn.CONCAT(Instruções!$D$13,".",VLOOKUP(B41,Instruções!$F$12:$H$17,2,0))</f>
        <v>cd_loan_tapes_bce.lt003_entity</v>
      </c>
      <c r="D41" s="17" t="str">
        <f>_xlfn.CONCAT(Instruções!$D$14,".",VLOOKUP(B41,Instruções!$F$12:$H$17,3,0))</f>
        <v>bu_loantape_work.lt003_entity</v>
      </c>
      <c r="E41" s="17" t="s">
        <v>76</v>
      </c>
      <c r="F41" s="17" t="str">
        <f t="shared" si="0"/>
        <v>dt_extrnl_rtng_as_is</v>
      </c>
      <c r="G41" s="17" t="str">
        <f t="shared" si="1"/>
        <v>dt_extrnl_rtng_to_be</v>
      </c>
      <c r="H41" s="17" t="str">
        <f>IF(VLOOKUP(B41,Instruções!$F$13:$J$17,5,0)="",
"(SELECT "&amp;VLOOKUP(B41,Instruções!$F$13:$J$17,4,0)&amp;" as "&amp;VLOOKUP(B41,Instruções!$F$13:$J$17,4,0)&amp;"_"&amp;$F$2&amp;", "&amp;E41&amp;" as "&amp;F41&amp;" FROM "&amp;C41&amp;" WHERE "&amp;Instruções!$D$20&amp;") A ",
"(SELECT "&amp;VLOOKUP(B41,Instruções!$F$13:$J$17,4,0)&amp;" as "&amp;VLOOKUP(B41,Instruções!$F$13:$J$17,4,0)&amp;"_"&amp;$F$2&amp;", "&amp;VLOOKUP(B41,Instruções!$F$13:$J$17,5,0)&amp;" as "&amp;VLOOKUP(B41,Instruções!$F$13:$J$17,5,0)&amp;"_"&amp;$F$2&amp;","&amp;E41&amp;" as "&amp;F41&amp;" FROM "&amp;C41&amp;" WHERE "&amp;Instruções!$D$20&amp;") A ")</f>
        <v xml:space="preserve">(SELECT entty_id as entty_id_as_is, dt_extrnl_rtng as dt_extrnl_rtng_as_is FROM cd_loan_tapes_bce.lt003_entity WHERE ref_date='2024-09-30' AND nome_perimetro='Individual Corporativo' AND segmento='ESTR' AND ambito='PM' AND entidade='00100' ) A </v>
      </c>
      <c r="I41" s="17" t="str">
        <f>IF(VLOOKUP(B41,Instruções!$F$13:$J$17,5,0)="",
"(SELECT "&amp;VLOOKUP(B41,Instruções!$F$13:$J$17,4,0)&amp;" as "&amp;VLOOKUP(B41,Instruções!$F$13:$J$17,4,0)&amp;"_"&amp;$G$2&amp;", "&amp;E41&amp;" as "&amp;G41&amp;" FROM "&amp;D41&amp;" WHERE "&amp;Instruções!$D$21&amp;") B ",
"(SELECT "&amp;VLOOKUP(B41,Instruções!$F$13:$J$17,4,0)&amp;" as "&amp;VLOOKUP(B41,Instruções!$F$13:$J$17,4,0)&amp;"_"&amp;$G$2&amp;", "&amp;VLOOKUP(B41,Instruções!$F$13:$J$17,5,0)&amp;" as "&amp;VLOOKUP(B41,Instruções!$F$13:$J$17,5,0)&amp;"_"&amp;$G$2&amp;","&amp;E41&amp;" as "&amp;G41&amp;" FROM "&amp;D41&amp;" WHERE "&amp;Instruções!$D$21&amp;") B ")</f>
        <v xml:space="preserve">(SELECT entty_id as entty_id_to_be, dt_extrnl_rtng as dt_extrnl_rtng_to_be FROM bu_loantape_work.lt003_entity WHERE ref_date='2024-09-30' AND nome_perimetro='Individual Corporativo' AND segmento='ESTR' AND ambito='PM' AND entidade='00100' ) B </v>
      </c>
      <c r="J41" s="17" t="str">
        <f>IF(VLOOKUP(B41,Instruções!$F$13:$J$17,5,0)="",
"ON "&amp;VLOOKUP(B41,Instruções!$F$13:$J$17,4,0)&amp;"_"&amp;$F$2&amp;" = "&amp;VLOOKUP(B41,Instruções!$F$13:$J$17,4,0)&amp;"_"&amp;$G$2&amp;" ",
"ON "&amp;VLOOKUP(B41,Instruções!$F$13:$J$17,4,0)&amp;"_"&amp;$F$2&amp;" = "&amp;VLOOKUP(B41,Instruções!$F$13:$J$17,4,0)&amp;"_"&amp;$G$2&amp;" AND "&amp;VLOOKUP(B41,Instruções!$F$13:$J$17,5,0)&amp;"_"&amp;$F$2&amp;" = "&amp;VLOOKUP(B41,Instruções!$F$13:$J$17,5,0)&amp;"_"&amp;$G$2&amp;" ")</f>
        <v xml:space="preserve">ON entty_id_as_is = entty_id_to_be </v>
      </c>
      <c r="K41" s="17" t="str">
        <f t="shared" si="2"/>
        <v xml:space="preserve">WHERE coalesce(cast(dt_extrnl_rtng_as_is as string), '') &lt;&gt; coalesce(cast(dt_extrnl_rtng_to_be as string), '') </v>
      </c>
      <c r="L41" s="17" t="str">
        <f t="shared" si="3"/>
        <v xml:space="preserve">SELECT count(*) AS NUM_REG_DIF FROM (SELECT entty_id as entty_id_as_is, dt_extrnl_rtng as dt_extrnl_rtng_as_is FROM cd_loan_tapes_bce.lt003_entity WHERE ref_date='2024-09-30' AND nome_perimetro='Individual Corporativo' AND segmento='ESTR' AND ambito='PM' AND entidade='00100' ) A  Inner join (SELECT entty_id as entty_id_to_be, dt_extrnl_rtng as dt_extrnl_rtng_to_be FROM bu_loantape_work.lt003_entity WHERE ref_date='2024-09-30' AND nome_perimetro='Individual Corporativo' AND segmento='ESTR' AND ambito='PM' AND entidade='00100' ) B ON entty_id_as_is = entty_id_to_be WHERE coalesce(cast(dt_extrnl_rtng_as_is as string), '') &lt;&gt; coalesce(cast(dt_extrnl_rtng_to_be as string), '') </v>
      </c>
      <c r="M41" s="17" t="s">
        <v>55</v>
      </c>
      <c r="N41" s="17" t="str">
        <f>"SELECT 'Validação de campos' as tipologia_teste, '"&amp;VLOOKUP(B41,Instruções!$F$13:$J$17,3,0)&amp;"' AS TABELA, '"&amp;E41&amp;"' AS CAMPO, '"&amp;Instruções!$D$15&amp;"' as ref_date, coalesce(NUM_REG_DIF, 0) AS NUM_REG_DIF FROM ("&amp;L41&amp;") A "</f>
        <v xml:space="preserve">SELECT 'Validação de campos' as tipologia_teste, 'lt003_entity' AS TABELA, 'dt_extrnl_rtng' AS CAMPO, '2024-09-30' as ref_date, coalesce(NUM_REG_DIF, 0) AS NUM_REG_DIF FROM (SELECT count(*) AS NUM_REG_DIF FROM (SELECT entty_id as entty_id_as_is, dt_extrnl_rtng as dt_extrnl_rtng_as_is FROM cd_loan_tapes_bce.lt003_entity WHERE ref_date='2024-09-30' AND nome_perimetro='Individual Corporativo' AND segmento='ESTR' AND ambito='PM' AND entidade='00100' ) A  Inner join (SELECT entty_id as entty_id_to_be, dt_extrnl_rtng as dt_extrnl_rtng_to_be FROM bu_loantape_work.lt003_entity WHERE ref_date='2024-09-30' AND nome_perimetro='Individual Corporativo' AND segmento='ESTR' AND ambito='PM' AND entidade='00100' ) B ON entty_id_as_is = entty_id_to_be WHERE coalesce(cast(dt_extrnl_rtng_as_is as string), '') &lt;&gt; coalesce(cast(dt_extrnl_rtng_to_be as string), '') ) A </v>
      </c>
      <c r="O41" s="19" t="str">
        <f t="shared" si="4"/>
        <v>SELECT 'Validação de campos' as tipologia_teste, 'lt003_entity' AS TABELA, 'dt_extrnl_rtng' AS CAMPO, '2024-09-30' as ref_date, coalesce(NUM_REG_DIF, 0) AS NUM_REG_DIF FROM (SELECT count(*) AS NUM_REG_DIF FROM (SELECT entty_id as entty_id_as_is, dt_extrnl_rtng as dt_extrnl_rtng_as_is FROM cd_loan_tapes_bce.lt003_entity WHERE ref_date='2024-09-30' AND nome_perimetro='Individual Corporativo' AND segmento='ESTR' AND ambito='PM' AND entidade='00100' ) A  Inner join (SELECT entty_id as entty_id_to_be, dt_extrnl_rtng as dt_extrnl_rtng_to_be FROM bu_loantape_work.lt003_entity WHERE ref_date='2024-09-30' AND nome_perimetro='Individual Corporativo' AND segmento='ESTR' AND ambito='PM' AND entidade='00100' ) B ON entty_id_as_is = entty_id_to_be WHERE coalesce(cast(dt_extrnl_rtng_as_is as string), '') &lt;&gt; coalesce(cast(dt_extrnl_rtng_to_be as string), '') ) A UNION ALL</v>
      </c>
      <c r="P41" s="17">
        <f t="shared" si="5"/>
        <v>38</v>
      </c>
    </row>
    <row r="42" spans="2:16" s="15" customFormat="1" ht="11.45">
      <c r="B42" s="17" t="s">
        <v>11</v>
      </c>
      <c r="C42" s="17" t="str">
        <f>_xlfn.CONCAT(Instruções!$D$13,".",VLOOKUP(B42,Instruções!$F$12:$H$17,2,0))</f>
        <v>cd_loan_tapes_bce.lt003_entity</v>
      </c>
      <c r="D42" s="17" t="str">
        <f>_xlfn.CONCAT(Instruções!$D$14,".",VLOOKUP(B42,Instruções!$F$12:$H$17,3,0))</f>
        <v>bu_loantape_work.lt003_entity</v>
      </c>
      <c r="E42" s="17" t="s">
        <v>93</v>
      </c>
      <c r="F42" s="17" t="str">
        <f t="shared" si="0"/>
        <v>extrnl_rtng_as_is</v>
      </c>
      <c r="G42" s="17" t="str">
        <f t="shared" si="1"/>
        <v>extrnl_rtng_to_be</v>
      </c>
      <c r="H42" s="17" t="str">
        <f>IF(VLOOKUP(B42,Instruções!$F$13:$J$17,5,0)="",
"(SELECT "&amp;VLOOKUP(B42,Instruções!$F$13:$J$17,4,0)&amp;" as "&amp;VLOOKUP(B42,Instruções!$F$13:$J$17,4,0)&amp;"_"&amp;$F$2&amp;", "&amp;E42&amp;" as "&amp;F42&amp;" FROM "&amp;C42&amp;" WHERE "&amp;Instruções!$D$20&amp;") A ",
"(SELECT "&amp;VLOOKUP(B42,Instruções!$F$13:$J$17,4,0)&amp;" as "&amp;VLOOKUP(B42,Instruções!$F$13:$J$17,4,0)&amp;"_"&amp;$F$2&amp;", "&amp;VLOOKUP(B42,Instruções!$F$13:$J$17,5,0)&amp;" as "&amp;VLOOKUP(B42,Instruções!$F$13:$J$17,5,0)&amp;"_"&amp;$F$2&amp;","&amp;E42&amp;" as "&amp;F42&amp;" FROM "&amp;C42&amp;" WHERE "&amp;Instruções!$D$20&amp;") A ")</f>
        <v xml:space="preserve">(SELECT entty_id as entty_id_as_is, extrnl_rtng as extrnl_rtng_as_is FROM cd_loan_tapes_bce.lt003_entity WHERE ref_date='2024-09-30' AND nome_perimetro='Individual Corporativo' AND segmento='ESTR' AND ambito='PM' AND entidade='00100' ) A </v>
      </c>
      <c r="I42" s="17" t="str">
        <f>IF(VLOOKUP(B42,Instruções!$F$13:$J$17,5,0)="",
"(SELECT "&amp;VLOOKUP(B42,Instruções!$F$13:$J$17,4,0)&amp;" as "&amp;VLOOKUP(B42,Instruções!$F$13:$J$17,4,0)&amp;"_"&amp;$G$2&amp;", "&amp;E42&amp;" as "&amp;G42&amp;" FROM "&amp;D42&amp;" WHERE "&amp;Instruções!$D$21&amp;") B ",
"(SELECT "&amp;VLOOKUP(B42,Instruções!$F$13:$J$17,4,0)&amp;" as "&amp;VLOOKUP(B42,Instruções!$F$13:$J$17,4,0)&amp;"_"&amp;$G$2&amp;", "&amp;VLOOKUP(B42,Instruções!$F$13:$J$17,5,0)&amp;" as "&amp;VLOOKUP(B42,Instruções!$F$13:$J$17,5,0)&amp;"_"&amp;$G$2&amp;","&amp;E42&amp;" as "&amp;G42&amp;" FROM "&amp;D42&amp;" WHERE "&amp;Instruções!$D$21&amp;") B ")</f>
        <v xml:space="preserve">(SELECT entty_id as entty_id_to_be, extrnl_rtng as extrnl_rtng_to_be FROM bu_loantape_work.lt003_entity WHERE ref_date='2024-09-30' AND nome_perimetro='Individual Corporativo' AND segmento='ESTR' AND ambito='PM' AND entidade='00100' ) B </v>
      </c>
      <c r="J42" s="17" t="str">
        <f>IF(VLOOKUP(B42,Instruções!$F$13:$J$17,5,0)="",
"ON "&amp;VLOOKUP(B42,Instruções!$F$13:$J$17,4,0)&amp;"_"&amp;$F$2&amp;" = "&amp;VLOOKUP(B42,Instruções!$F$13:$J$17,4,0)&amp;"_"&amp;$G$2&amp;" ",
"ON "&amp;VLOOKUP(B42,Instruções!$F$13:$J$17,4,0)&amp;"_"&amp;$F$2&amp;" = "&amp;VLOOKUP(B42,Instruções!$F$13:$J$17,4,0)&amp;"_"&amp;$G$2&amp;" AND "&amp;VLOOKUP(B42,Instruções!$F$13:$J$17,5,0)&amp;"_"&amp;$F$2&amp;" = "&amp;VLOOKUP(B42,Instruções!$F$13:$J$17,5,0)&amp;"_"&amp;$G$2&amp;" ")</f>
        <v xml:space="preserve">ON entty_id_as_is = entty_id_to_be </v>
      </c>
      <c r="K42" s="17" t="str">
        <f t="shared" si="2"/>
        <v xml:space="preserve">WHERE coalesce(cast(extrnl_rtng_as_is as string), '') &lt;&gt; coalesce(cast(extrnl_rtng_to_be as string), '') </v>
      </c>
      <c r="L42" s="17" t="str">
        <f t="shared" si="3"/>
        <v xml:space="preserve">SELECT count(*) AS NUM_REG_DIF FROM (SELECT entty_id as entty_id_as_is, extrnl_rtng as extrnl_rtng_as_is FROM cd_loan_tapes_bce.lt003_entity WHERE ref_date='2024-09-30' AND nome_perimetro='Individual Corporativo' AND segmento='ESTR' AND ambito='PM' AND entidade='00100' ) A  Inner join (SELECT entty_id as entty_id_to_be, extrnl_rtng as extrnl_rtng_to_be FROM bu_loantape_work.lt003_entity WHERE ref_date='2024-09-30' AND nome_perimetro='Individual Corporativo' AND segmento='ESTR' AND ambito='PM' AND entidade='00100' ) B ON entty_id_as_is = entty_id_to_be WHERE coalesce(cast(extrnl_rtng_as_is as string), '') &lt;&gt; coalesce(cast(extrnl_rtng_to_be as string), '') </v>
      </c>
      <c r="M42" s="17" t="s">
        <v>55</v>
      </c>
      <c r="N42" s="17" t="str">
        <f>"SELECT 'Validação de campos' as tipologia_teste, '"&amp;VLOOKUP(B42,Instruções!$F$13:$J$17,3,0)&amp;"' AS TABELA, '"&amp;E42&amp;"' AS CAMPO, '"&amp;Instruções!$D$15&amp;"' as ref_date, coalesce(NUM_REG_DIF, 0) AS NUM_REG_DIF FROM ("&amp;L42&amp;") A "</f>
        <v xml:space="preserve">SELECT 'Validação de campos' as tipologia_teste, 'lt003_entity' AS TABELA, 'extrnl_rtng' AS CAMPO, '2024-09-30' as ref_date, coalesce(NUM_REG_DIF, 0) AS NUM_REG_DIF FROM (SELECT count(*) AS NUM_REG_DIF FROM (SELECT entty_id as entty_id_as_is, extrnl_rtng as extrnl_rtng_as_is FROM cd_loan_tapes_bce.lt003_entity WHERE ref_date='2024-09-30' AND nome_perimetro='Individual Corporativo' AND segmento='ESTR' AND ambito='PM' AND entidade='00100' ) A  Inner join (SELECT entty_id as entty_id_to_be, extrnl_rtng as extrnl_rtng_to_be FROM bu_loantape_work.lt003_entity WHERE ref_date='2024-09-30' AND nome_perimetro='Individual Corporativo' AND segmento='ESTR' AND ambito='PM' AND entidade='00100' ) B ON entty_id_as_is = entty_id_to_be WHERE coalesce(cast(extrnl_rtng_as_is as string), '') &lt;&gt; coalesce(cast(extrnl_rtng_to_be as string), '') ) A </v>
      </c>
      <c r="O42" s="19" t="str">
        <f t="shared" si="4"/>
        <v>SELECT 'Validação de campos' as tipologia_teste, 'lt003_entity' AS TABELA, 'extrnl_rtng' AS CAMPO, '2024-09-30' as ref_date, coalesce(NUM_REG_DIF, 0) AS NUM_REG_DIF FROM (SELECT count(*) AS NUM_REG_DIF FROM (SELECT entty_id as entty_id_as_is, extrnl_rtng as extrnl_rtng_as_is FROM cd_loan_tapes_bce.lt003_entity WHERE ref_date='2024-09-30' AND nome_perimetro='Individual Corporativo' AND segmento='ESTR' AND ambito='PM' AND entidade='00100' ) A  Inner join (SELECT entty_id as entty_id_to_be, extrnl_rtng as extrnl_rtng_to_be FROM bu_loantape_work.lt003_entity WHERE ref_date='2024-09-30' AND nome_perimetro='Individual Corporativo' AND segmento='ESTR' AND ambito='PM' AND entidade='00100' ) B ON entty_id_as_is = entty_id_to_be WHERE coalesce(cast(extrnl_rtng_as_is as string), '') &lt;&gt; coalesce(cast(extrnl_rtng_to_be as string), '') ) A UNION ALL</v>
      </c>
      <c r="P42" s="17">
        <f t="shared" si="5"/>
        <v>39</v>
      </c>
    </row>
    <row r="43" spans="2:16" s="15" customFormat="1" ht="11.45">
      <c r="B43" s="17" t="s">
        <v>11</v>
      </c>
      <c r="C43" s="17" t="str">
        <f>_xlfn.CONCAT(Instruções!$D$13,".",VLOOKUP(B43,Instruções!$F$12:$H$17,2,0))</f>
        <v>cd_loan_tapes_bce.lt003_entity</v>
      </c>
      <c r="D43" s="17" t="str">
        <f>_xlfn.CONCAT(Instruções!$D$14,".",VLOOKUP(B43,Instruções!$F$12:$H$17,3,0))</f>
        <v>bu_loantape_work.lt003_entity</v>
      </c>
      <c r="E43" s="17" t="s">
        <v>94</v>
      </c>
      <c r="F43" s="17" t="str">
        <f t="shared" si="0"/>
        <v>extrnl_rtng_nm_as_is</v>
      </c>
      <c r="G43" s="17" t="str">
        <f t="shared" si="1"/>
        <v>extrnl_rtng_nm_to_be</v>
      </c>
      <c r="H43" s="17" t="str">
        <f>IF(VLOOKUP(B43,Instruções!$F$13:$J$17,5,0)="",
"(SELECT "&amp;VLOOKUP(B43,Instruções!$F$13:$J$17,4,0)&amp;" as "&amp;VLOOKUP(B43,Instruções!$F$13:$J$17,4,0)&amp;"_"&amp;$F$2&amp;", "&amp;E43&amp;" as "&amp;F43&amp;" FROM "&amp;C43&amp;" WHERE "&amp;Instruções!$D$20&amp;") A ",
"(SELECT "&amp;VLOOKUP(B43,Instruções!$F$13:$J$17,4,0)&amp;" as "&amp;VLOOKUP(B43,Instruções!$F$13:$J$17,4,0)&amp;"_"&amp;$F$2&amp;", "&amp;VLOOKUP(B43,Instruções!$F$13:$J$17,5,0)&amp;" as "&amp;VLOOKUP(B43,Instruções!$F$13:$J$17,5,0)&amp;"_"&amp;$F$2&amp;","&amp;E43&amp;" as "&amp;F43&amp;" FROM "&amp;C43&amp;" WHERE "&amp;Instruções!$D$20&amp;") A ")</f>
        <v xml:space="preserve">(SELECT entty_id as entty_id_as_is, extrnl_rtng_nm as extrnl_rtng_nm_as_is FROM cd_loan_tapes_bce.lt003_entity WHERE ref_date='2024-09-30' AND nome_perimetro='Individual Corporativo' AND segmento='ESTR' AND ambito='PM' AND entidade='00100' ) A </v>
      </c>
      <c r="I43" s="17" t="str">
        <f>IF(VLOOKUP(B43,Instruções!$F$13:$J$17,5,0)="",
"(SELECT "&amp;VLOOKUP(B43,Instruções!$F$13:$J$17,4,0)&amp;" as "&amp;VLOOKUP(B43,Instruções!$F$13:$J$17,4,0)&amp;"_"&amp;$G$2&amp;", "&amp;E43&amp;" as "&amp;G43&amp;" FROM "&amp;D43&amp;" WHERE "&amp;Instruções!$D$21&amp;") B ",
"(SELECT "&amp;VLOOKUP(B43,Instruções!$F$13:$J$17,4,0)&amp;" as "&amp;VLOOKUP(B43,Instruções!$F$13:$J$17,4,0)&amp;"_"&amp;$G$2&amp;", "&amp;VLOOKUP(B43,Instruções!$F$13:$J$17,5,0)&amp;" as "&amp;VLOOKUP(B43,Instruções!$F$13:$J$17,5,0)&amp;"_"&amp;$G$2&amp;","&amp;E43&amp;" as "&amp;G43&amp;" FROM "&amp;D43&amp;" WHERE "&amp;Instruções!$D$21&amp;") B ")</f>
        <v xml:space="preserve">(SELECT entty_id as entty_id_to_be, extrnl_rtng_nm as extrnl_rtng_nm_to_be FROM bu_loantape_work.lt003_entity WHERE ref_date='2024-09-30' AND nome_perimetro='Individual Corporativo' AND segmento='ESTR' AND ambito='PM' AND entidade='00100' ) B </v>
      </c>
      <c r="J43" s="17" t="str">
        <f>IF(VLOOKUP(B43,Instruções!$F$13:$J$17,5,0)="",
"ON "&amp;VLOOKUP(B43,Instruções!$F$13:$J$17,4,0)&amp;"_"&amp;$F$2&amp;" = "&amp;VLOOKUP(B43,Instruções!$F$13:$J$17,4,0)&amp;"_"&amp;$G$2&amp;" ",
"ON "&amp;VLOOKUP(B43,Instruções!$F$13:$J$17,4,0)&amp;"_"&amp;$F$2&amp;" = "&amp;VLOOKUP(B43,Instruções!$F$13:$J$17,4,0)&amp;"_"&amp;$G$2&amp;" AND "&amp;VLOOKUP(B43,Instruções!$F$13:$J$17,5,0)&amp;"_"&amp;$F$2&amp;" = "&amp;VLOOKUP(B43,Instruções!$F$13:$J$17,5,0)&amp;"_"&amp;$G$2&amp;" ")</f>
        <v xml:space="preserve">ON entty_id_as_is = entty_id_to_be </v>
      </c>
      <c r="K43" s="17" t="str">
        <f t="shared" si="2"/>
        <v xml:space="preserve">WHERE coalesce(cast(extrnl_rtng_nm_as_is as string), '') &lt;&gt; coalesce(cast(extrnl_rtng_nm_to_be as string), '') </v>
      </c>
      <c r="L43" s="17" t="str">
        <f t="shared" si="3"/>
        <v xml:space="preserve">SELECT count(*) AS NUM_REG_DIF FROM (SELECT entty_id as entty_id_as_is, extrnl_rtng_nm as extrnl_rtng_nm_as_is FROM cd_loan_tapes_bce.lt003_entity WHERE ref_date='2024-09-30' AND nome_perimetro='Individual Corporativo' AND segmento='ESTR' AND ambito='PM' AND entidade='00100' ) A  Inner join (SELECT entty_id as entty_id_to_be, extrnl_rtng_nm as extrnl_rtng_nm_to_be FROM bu_loantape_work.lt003_entity WHERE ref_date='2024-09-30' AND nome_perimetro='Individual Corporativo' AND segmento='ESTR' AND ambito='PM' AND entidade='00100' ) B ON entty_id_as_is = entty_id_to_be WHERE coalesce(cast(extrnl_rtng_nm_as_is as string), '') &lt;&gt; coalesce(cast(extrnl_rtng_nm_to_be as string), '') </v>
      </c>
      <c r="M43" s="17" t="s">
        <v>55</v>
      </c>
      <c r="N43" s="17" t="str">
        <f>"SELECT 'Validação de campos' as tipologia_teste, '"&amp;VLOOKUP(B43,Instruções!$F$13:$J$17,3,0)&amp;"' AS TABELA, '"&amp;E43&amp;"' AS CAMPO, '"&amp;Instruções!$D$15&amp;"' as ref_date, coalesce(NUM_REG_DIF, 0) AS NUM_REG_DIF FROM ("&amp;L43&amp;") A "</f>
        <v xml:space="preserve">SELECT 'Validação de campos' as tipologia_teste, 'lt003_entity' AS TABELA, 'extrnl_rtng_nm' AS CAMPO, '2024-09-30' as ref_date, coalesce(NUM_REG_DIF, 0) AS NUM_REG_DIF FROM (SELECT count(*) AS NUM_REG_DIF FROM (SELECT entty_id as entty_id_as_is, extrnl_rtng_nm as extrnl_rtng_nm_as_is FROM cd_loan_tapes_bce.lt003_entity WHERE ref_date='2024-09-30' AND nome_perimetro='Individual Corporativo' AND segmento='ESTR' AND ambito='PM' AND entidade='00100' ) A  Inner join (SELECT entty_id as entty_id_to_be, extrnl_rtng_nm as extrnl_rtng_nm_to_be FROM bu_loantape_work.lt003_entity WHERE ref_date='2024-09-30' AND nome_perimetro='Individual Corporativo' AND segmento='ESTR' AND ambito='PM' AND entidade='00100' ) B ON entty_id_as_is = entty_id_to_be WHERE coalesce(cast(extrnl_rtng_nm_as_is as string), '') &lt;&gt; coalesce(cast(extrnl_rtng_nm_to_be as string), '') ) A </v>
      </c>
      <c r="O43" s="19" t="str">
        <f t="shared" si="4"/>
        <v>SELECT 'Validação de campos' as tipologia_teste, 'lt003_entity' AS TABELA, 'extrnl_rtng_nm' AS CAMPO, '2024-09-30' as ref_date, coalesce(NUM_REG_DIF, 0) AS NUM_REG_DIF FROM (SELECT count(*) AS NUM_REG_DIF FROM (SELECT entty_id as entty_id_as_is, extrnl_rtng_nm as extrnl_rtng_nm_as_is FROM cd_loan_tapes_bce.lt003_entity WHERE ref_date='2024-09-30' AND nome_perimetro='Individual Corporativo' AND segmento='ESTR' AND ambito='PM' AND entidade='00100' ) A  Inner join (SELECT entty_id as entty_id_to_be, extrnl_rtng_nm as extrnl_rtng_nm_to_be FROM bu_loantape_work.lt003_entity WHERE ref_date='2024-09-30' AND nome_perimetro='Individual Corporativo' AND segmento='ESTR' AND ambito='PM' AND entidade='00100' ) B ON entty_id_as_is = entty_id_to_be WHERE coalesce(cast(extrnl_rtng_nm_as_is as string), '') &lt;&gt; coalesce(cast(extrnl_rtng_nm_to_be as string), '') ) A UNION ALL</v>
      </c>
      <c r="P43" s="17">
        <f t="shared" si="5"/>
        <v>40</v>
      </c>
    </row>
    <row r="44" spans="2:16" s="15" customFormat="1" ht="11.45">
      <c r="B44" s="17" t="s">
        <v>11</v>
      </c>
      <c r="C44" s="17" t="str">
        <f>_xlfn.CONCAT(Instruções!$D$13,".",VLOOKUP(B44,Instruções!$F$12:$H$17,2,0))</f>
        <v>cd_loan_tapes_bce.lt003_entity</v>
      </c>
      <c r="D44" s="17" t="str">
        <f>_xlfn.CONCAT(Instruções!$D$14,".",VLOOKUP(B44,Instruções!$F$12:$H$17,3,0))</f>
        <v>bu_loantape_work.lt003_entity</v>
      </c>
      <c r="E44" s="17" t="s">
        <v>96</v>
      </c>
      <c r="F44" s="17" t="str">
        <f t="shared" si="0"/>
        <v>flg_bnkrptcy_in_grp_as_is</v>
      </c>
      <c r="G44" s="17" t="str">
        <f t="shared" si="1"/>
        <v>flg_bnkrptcy_in_grp_to_be</v>
      </c>
      <c r="H44" s="17" t="str">
        <f>IF(VLOOKUP(B44,Instruções!$F$13:$J$17,5,0)="",
"(SELECT "&amp;VLOOKUP(B44,Instruções!$F$13:$J$17,4,0)&amp;" as "&amp;VLOOKUP(B44,Instruções!$F$13:$J$17,4,0)&amp;"_"&amp;$F$2&amp;", "&amp;E44&amp;" as "&amp;F44&amp;" FROM "&amp;C44&amp;" WHERE "&amp;Instruções!$D$20&amp;") A ",
"(SELECT "&amp;VLOOKUP(B44,Instruções!$F$13:$J$17,4,0)&amp;" as "&amp;VLOOKUP(B44,Instruções!$F$13:$J$17,4,0)&amp;"_"&amp;$F$2&amp;", "&amp;VLOOKUP(B44,Instruções!$F$13:$J$17,5,0)&amp;" as "&amp;VLOOKUP(B44,Instruções!$F$13:$J$17,5,0)&amp;"_"&amp;$F$2&amp;","&amp;E44&amp;" as "&amp;F44&amp;" FROM "&amp;C44&amp;" WHERE "&amp;Instruções!$D$20&amp;") A ")</f>
        <v xml:space="preserve">(SELECT entty_id as entty_id_as_is, flg_bnkrptcy_in_grp as flg_bnkrptcy_in_grp_as_is FROM cd_loan_tapes_bce.lt003_entity WHERE ref_date='2024-09-30' AND nome_perimetro='Individual Corporativo' AND segmento='ESTR' AND ambito='PM' AND entidade='00100' ) A </v>
      </c>
      <c r="I44" s="17" t="str">
        <f>IF(VLOOKUP(B44,Instruções!$F$13:$J$17,5,0)="",
"(SELECT "&amp;VLOOKUP(B44,Instruções!$F$13:$J$17,4,0)&amp;" as "&amp;VLOOKUP(B44,Instruções!$F$13:$J$17,4,0)&amp;"_"&amp;$G$2&amp;", "&amp;E44&amp;" as "&amp;G44&amp;" FROM "&amp;D44&amp;" WHERE "&amp;Instruções!$D$21&amp;") B ",
"(SELECT "&amp;VLOOKUP(B44,Instruções!$F$13:$J$17,4,0)&amp;" as "&amp;VLOOKUP(B44,Instruções!$F$13:$J$17,4,0)&amp;"_"&amp;$G$2&amp;", "&amp;VLOOKUP(B44,Instruções!$F$13:$J$17,5,0)&amp;" as "&amp;VLOOKUP(B44,Instruções!$F$13:$J$17,5,0)&amp;"_"&amp;$G$2&amp;","&amp;E44&amp;" as "&amp;G44&amp;" FROM "&amp;D44&amp;" WHERE "&amp;Instruções!$D$21&amp;") B ")</f>
        <v xml:space="preserve">(SELECT entty_id as entty_id_to_be, flg_bnkrptcy_in_grp as flg_bnkrptcy_in_grp_to_be FROM bu_loantape_work.lt003_entity WHERE ref_date='2024-09-30' AND nome_perimetro='Individual Corporativo' AND segmento='ESTR' AND ambito='PM' AND entidade='00100' ) B </v>
      </c>
      <c r="J44" s="17" t="str">
        <f>IF(VLOOKUP(B44,Instruções!$F$13:$J$17,5,0)="",
"ON "&amp;VLOOKUP(B44,Instruções!$F$13:$J$17,4,0)&amp;"_"&amp;$F$2&amp;" = "&amp;VLOOKUP(B44,Instruções!$F$13:$J$17,4,0)&amp;"_"&amp;$G$2&amp;" ",
"ON "&amp;VLOOKUP(B44,Instruções!$F$13:$J$17,4,0)&amp;"_"&amp;$F$2&amp;" = "&amp;VLOOKUP(B44,Instruções!$F$13:$J$17,4,0)&amp;"_"&amp;$G$2&amp;" AND "&amp;VLOOKUP(B44,Instruções!$F$13:$J$17,5,0)&amp;"_"&amp;$F$2&amp;" = "&amp;VLOOKUP(B44,Instruções!$F$13:$J$17,5,0)&amp;"_"&amp;$G$2&amp;" ")</f>
        <v xml:space="preserve">ON entty_id_as_is = entty_id_to_be </v>
      </c>
      <c r="K44" s="17" t="str">
        <f t="shared" si="2"/>
        <v xml:space="preserve">WHERE coalesce(cast(flg_bnkrptcy_in_grp_as_is as string), '') &lt;&gt; coalesce(cast(flg_bnkrptcy_in_grp_to_be as string), '') </v>
      </c>
      <c r="L44" s="17" t="str">
        <f t="shared" si="3"/>
        <v xml:space="preserve">SELECT count(*) AS NUM_REG_DIF FROM (SELECT entty_id as entty_id_as_is, flg_bnkrptcy_in_grp as flg_bnkrptcy_in_grp_as_is FROM cd_loan_tapes_bce.lt003_entity WHERE ref_date='2024-09-30' AND nome_perimetro='Individual Corporativo' AND segmento='ESTR' AND ambito='PM' AND entidade='00100' ) A  Inner join (SELECT entty_id as entty_id_to_be, flg_bnkrptcy_in_grp as flg_bnkrptcy_in_grp_to_be FROM bu_loantape_work.lt003_entity WHERE ref_date='2024-09-30' AND nome_perimetro='Individual Corporativo' AND segmento='ESTR' AND ambito='PM' AND entidade='00100' ) B ON entty_id_as_is = entty_id_to_be WHERE coalesce(cast(flg_bnkrptcy_in_grp_as_is as string), '') &lt;&gt; coalesce(cast(flg_bnkrptcy_in_grp_to_be as string), '') </v>
      </c>
      <c r="M44" s="17" t="s">
        <v>55</v>
      </c>
      <c r="N44" s="17" t="str">
        <f>"SELECT 'Validação de campos' as tipologia_teste, '"&amp;VLOOKUP(B44,Instruções!$F$13:$J$17,3,0)&amp;"' AS TABELA, '"&amp;E44&amp;"' AS CAMPO, '"&amp;Instruções!$D$15&amp;"' as ref_date, coalesce(NUM_REG_DIF, 0) AS NUM_REG_DIF FROM ("&amp;L44&amp;") A "</f>
        <v xml:space="preserve">SELECT 'Validação de campos' as tipologia_teste, 'lt003_entity' AS TABELA, 'flg_bnkrptcy_in_grp' AS CAMPO, '2024-09-30' as ref_date, coalesce(NUM_REG_DIF, 0) AS NUM_REG_DIF FROM (SELECT count(*) AS NUM_REG_DIF FROM (SELECT entty_id as entty_id_as_is, flg_bnkrptcy_in_grp as flg_bnkrptcy_in_grp_as_is FROM cd_loan_tapes_bce.lt003_entity WHERE ref_date='2024-09-30' AND nome_perimetro='Individual Corporativo' AND segmento='ESTR' AND ambito='PM' AND entidade='00100' ) A  Inner join (SELECT entty_id as entty_id_to_be, flg_bnkrptcy_in_grp as flg_bnkrptcy_in_grp_to_be FROM bu_loantape_work.lt003_entity WHERE ref_date='2024-09-30' AND nome_perimetro='Individual Corporativo' AND segmento='ESTR' AND ambito='PM' AND entidade='00100' ) B ON entty_id_as_is = entty_id_to_be WHERE coalesce(cast(flg_bnkrptcy_in_grp_as_is as string), '') &lt;&gt; coalesce(cast(flg_bnkrptcy_in_grp_to_be as string), '') ) A </v>
      </c>
      <c r="O44" s="19" t="str">
        <f t="shared" si="4"/>
        <v>SELECT 'Validação de campos' as tipologia_teste, 'lt003_entity' AS TABELA, 'flg_bnkrptcy_in_grp' AS CAMPO, '2024-09-30' as ref_date, coalesce(NUM_REG_DIF, 0) AS NUM_REG_DIF FROM (SELECT count(*) AS NUM_REG_DIF FROM (SELECT entty_id as entty_id_as_is, flg_bnkrptcy_in_grp as flg_bnkrptcy_in_grp_as_is FROM cd_loan_tapes_bce.lt003_entity WHERE ref_date='2024-09-30' AND nome_perimetro='Individual Corporativo' AND segmento='ESTR' AND ambito='PM' AND entidade='00100' ) A  Inner join (SELECT entty_id as entty_id_to_be, flg_bnkrptcy_in_grp as flg_bnkrptcy_in_grp_to_be FROM bu_loantape_work.lt003_entity WHERE ref_date='2024-09-30' AND nome_perimetro='Individual Corporativo' AND segmento='ESTR' AND ambito='PM' AND entidade='00100' ) B ON entty_id_as_is = entty_id_to_be WHERE coalesce(cast(flg_bnkrptcy_in_grp_as_is as string), '') &lt;&gt; coalesce(cast(flg_bnkrptcy_in_grp_to_be as string), '') ) A UNION ALL</v>
      </c>
      <c r="P44" s="17">
        <f t="shared" si="5"/>
        <v>41</v>
      </c>
    </row>
    <row r="45" spans="2:16" s="15" customFormat="1" ht="11.45">
      <c r="B45" s="17" t="s">
        <v>11</v>
      </c>
      <c r="C45" s="17" t="str">
        <f>_xlfn.CONCAT(Instruções!$D$13,".",VLOOKUP(B45,Instruções!$F$12:$H$17,2,0))</f>
        <v>cd_loan_tapes_bce.lt003_entity</v>
      </c>
      <c r="D45" s="17" t="str">
        <f>_xlfn.CONCAT(Instruções!$D$14,".",VLOOKUP(B45,Instruções!$F$12:$H$17,3,0))</f>
        <v>bu_loantape_work.lt003_entity</v>
      </c>
      <c r="E45" s="17" t="s">
        <v>97</v>
      </c>
      <c r="F45" s="17" t="str">
        <f t="shared" si="0"/>
        <v>flg_hgh_cds_as_is</v>
      </c>
      <c r="G45" s="17" t="str">
        <f t="shared" si="1"/>
        <v>flg_hgh_cds_to_be</v>
      </c>
      <c r="H45" s="17" t="str">
        <f>IF(VLOOKUP(B45,Instruções!$F$13:$J$17,5,0)="",
"(SELECT "&amp;VLOOKUP(B45,Instruções!$F$13:$J$17,4,0)&amp;" as "&amp;VLOOKUP(B45,Instruções!$F$13:$J$17,4,0)&amp;"_"&amp;$F$2&amp;", "&amp;E45&amp;" as "&amp;F45&amp;" FROM "&amp;C45&amp;" WHERE "&amp;Instruções!$D$20&amp;") A ",
"(SELECT "&amp;VLOOKUP(B45,Instruções!$F$13:$J$17,4,0)&amp;" as "&amp;VLOOKUP(B45,Instruções!$F$13:$J$17,4,0)&amp;"_"&amp;$F$2&amp;", "&amp;VLOOKUP(B45,Instruções!$F$13:$J$17,5,0)&amp;" as "&amp;VLOOKUP(B45,Instruções!$F$13:$J$17,5,0)&amp;"_"&amp;$F$2&amp;","&amp;E45&amp;" as "&amp;F45&amp;" FROM "&amp;C45&amp;" WHERE "&amp;Instruções!$D$20&amp;") A ")</f>
        <v xml:space="preserve">(SELECT entty_id as entty_id_as_is, flg_hgh_cds as flg_hgh_cds_as_is FROM cd_loan_tapes_bce.lt003_entity WHERE ref_date='2024-09-30' AND nome_perimetro='Individual Corporativo' AND segmento='ESTR' AND ambito='PM' AND entidade='00100' ) A </v>
      </c>
      <c r="I45" s="17" t="str">
        <f>IF(VLOOKUP(B45,Instruções!$F$13:$J$17,5,0)="",
"(SELECT "&amp;VLOOKUP(B45,Instruções!$F$13:$J$17,4,0)&amp;" as "&amp;VLOOKUP(B45,Instruções!$F$13:$J$17,4,0)&amp;"_"&amp;$G$2&amp;", "&amp;E45&amp;" as "&amp;G45&amp;" FROM "&amp;D45&amp;" WHERE "&amp;Instruções!$D$21&amp;") B ",
"(SELECT "&amp;VLOOKUP(B45,Instruções!$F$13:$J$17,4,0)&amp;" as "&amp;VLOOKUP(B45,Instruções!$F$13:$J$17,4,0)&amp;"_"&amp;$G$2&amp;", "&amp;VLOOKUP(B45,Instruções!$F$13:$J$17,5,0)&amp;" as "&amp;VLOOKUP(B45,Instruções!$F$13:$J$17,5,0)&amp;"_"&amp;$G$2&amp;","&amp;E45&amp;" as "&amp;G45&amp;" FROM "&amp;D45&amp;" WHERE "&amp;Instruções!$D$21&amp;") B ")</f>
        <v xml:space="preserve">(SELECT entty_id as entty_id_to_be, flg_hgh_cds as flg_hgh_cds_to_be FROM bu_loantape_work.lt003_entity WHERE ref_date='2024-09-30' AND nome_perimetro='Individual Corporativo' AND segmento='ESTR' AND ambito='PM' AND entidade='00100' ) B </v>
      </c>
      <c r="J45" s="17" t="str">
        <f>IF(VLOOKUP(B45,Instruções!$F$13:$J$17,5,0)="",
"ON "&amp;VLOOKUP(B45,Instruções!$F$13:$J$17,4,0)&amp;"_"&amp;$F$2&amp;" = "&amp;VLOOKUP(B45,Instruções!$F$13:$J$17,4,0)&amp;"_"&amp;$G$2&amp;" ",
"ON "&amp;VLOOKUP(B45,Instruções!$F$13:$J$17,4,0)&amp;"_"&amp;$F$2&amp;" = "&amp;VLOOKUP(B45,Instruções!$F$13:$J$17,4,0)&amp;"_"&amp;$G$2&amp;" AND "&amp;VLOOKUP(B45,Instruções!$F$13:$J$17,5,0)&amp;"_"&amp;$F$2&amp;" = "&amp;VLOOKUP(B45,Instruções!$F$13:$J$17,5,0)&amp;"_"&amp;$G$2&amp;" ")</f>
        <v xml:space="preserve">ON entty_id_as_is = entty_id_to_be </v>
      </c>
      <c r="K45" s="17" t="str">
        <f t="shared" si="2"/>
        <v xml:space="preserve">WHERE coalesce(cast(flg_hgh_cds_as_is as string), '') &lt;&gt; coalesce(cast(flg_hgh_cds_to_be as string), '') </v>
      </c>
      <c r="L45" s="17" t="str">
        <f t="shared" si="3"/>
        <v xml:space="preserve">SELECT count(*) AS NUM_REG_DIF FROM (SELECT entty_id as entty_id_as_is, flg_hgh_cds as flg_hgh_cds_as_is FROM cd_loan_tapes_bce.lt003_entity WHERE ref_date='2024-09-30' AND nome_perimetro='Individual Corporativo' AND segmento='ESTR' AND ambito='PM' AND entidade='00100' ) A  Inner join (SELECT entty_id as entty_id_to_be, flg_hgh_cds as flg_hgh_cds_to_be FROM bu_loantape_work.lt003_entity WHERE ref_date='2024-09-30' AND nome_perimetro='Individual Corporativo' AND segmento='ESTR' AND ambito='PM' AND entidade='00100' ) B ON entty_id_as_is = entty_id_to_be WHERE coalesce(cast(flg_hgh_cds_as_is as string), '') &lt;&gt; coalesce(cast(flg_hgh_cds_to_be as string), '') </v>
      </c>
      <c r="M45" s="17" t="s">
        <v>55</v>
      </c>
      <c r="N45" s="17" t="str">
        <f>"SELECT 'Validação de campos' as tipologia_teste, '"&amp;VLOOKUP(B45,Instruções!$F$13:$J$17,3,0)&amp;"' AS TABELA, '"&amp;E45&amp;"' AS CAMPO, '"&amp;Instruções!$D$15&amp;"' as ref_date, coalesce(NUM_REG_DIF, 0) AS NUM_REG_DIF FROM ("&amp;L45&amp;") A "</f>
        <v xml:space="preserve">SELECT 'Validação de campos' as tipologia_teste, 'lt003_entity' AS TABELA, 'flg_hgh_cds' AS CAMPO, '2024-09-30' as ref_date, coalesce(NUM_REG_DIF, 0) AS NUM_REG_DIF FROM (SELECT count(*) AS NUM_REG_DIF FROM (SELECT entty_id as entty_id_as_is, flg_hgh_cds as flg_hgh_cds_as_is FROM cd_loan_tapes_bce.lt003_entity WHERE ref_date='2024-09-30' AND nome_perimetro='Individual Corporativo' AND segmento='ESTR' AND ambito='PM' AND entidade='00100' ) A  Inner join (SELECT entty_id as entty_id_to_be, flg_hgh_cds as flg_hgh_cds_to_be FROM bu_loantape_work.lt003_entity WHERE ref_date='2024-09-30' AND nome_perimetro='Individual Corporativo' AND segmento='ESTR' AND ambito='PM' AND entidade='00100' ) B ON entty_id_as_is = entty_id_to_be WHERE coalesce(cast(flg_hgh_cds_as_is as string), '') &lt;&gt; coalesce(cast(flg_hgh_cds_to_be as string), '') ) A </v>
      </c>
      <c r="O45" s="19" t="str">
        <f t="shared" si="4"/>
        <v>SELECT 'Validação de campos' as tipologia_teste, 'lt003_entity' AS TABELA, 'flg_hgh_cds' AS CAMPO, '2024-09-30' as ref_date, coalesce(NUM_REG_DIF, 0) AS NUM_REG_DIF FROM (SELECT count(*) AS NUM_REG_DIF FROM (SELECT entty_id as entty_id_as_is, flg_hgh_cds as flg_hgh_cds_as_is FROM cd_loan_tapes_bce.lt003_entity WHERE ref_date='2024-09-30' AND nome_perimetro='Individual Corporativo' AND segmento='ESTR' AND ambito='PM' AND entidade='00100' ) A  Inner join (SELECT entty_id as entty_id_to_be, flg_hgh_cds as flg_hgh_cds_to_be FROM bu_loantape_work.lt003_entity WHERE ref_date='2024-09-30' AND nome_perimetro='Individual Corporativo' AND segmento='ESTR' AND ambito='PM' AND entidade='00100' ) B ON entty_id_as_is = entty_id_to_be WHERE coalesce(cast(flg_hgh_cds_as_is as string), '') &lt;&gt; coalesce(cast(flg_hgh_cds_to_be as string), '') ) A UNION ALL</v>
      </c>
      <c r="P45" s="17">
        <f t="shared" si="5"/>
        <v>42</v>
      </c>
    </row>
    <row r="46" spans="2:16" s="15" customFormat="1" ht="11.45">
      <c r="B46" s="17" t="s">
        <v>11</v>
      </c>
      <c r="C46" s="17" t="str">
        <f>_xlfn.CONCAT(Instruções!$D$13,".",VLOOKUP(B46,Instruções!$F$12:$H$17,2,0))</f>
        <v>cd_loan_tapes_bce.lt003_entity</v>
      </c>
      <c r="D46" s="17" t="str">
        <f>_xlfn.CONCAT(Instruções!$D$14,".",VLOOKUP(B46,Instruções!$F$12:$H$17,3,0))</f>
        <v>bu_loantape_work.lt003_entity</v>
      </c>
      <c r="E46" s="17" t="s">
        <v>98</v>
      </c>
      <c r="F46" s="17" t="str">
        <f t="shared" si="0"/>
        <v>flg_isda_crdt_evnt_as_is</v>
      </c>
      <c r="G46" s="17" t="str">
        <f t="shared" si="1"/>
        <v>flg_isda_crdt_evnt_to_be</v>
      </c>
      <c r="H46" s="17" t="str">
        <f>IF(VLOOKUP(B46,Instruções!$F$13:$J$17,5,0)="",
"(SELECT "&amp;VLOOKUP(B46,Instruções!$F$13:$J$17,4,0)&amp;" as "&amp;VLOOKUP(B46,Instruções!$F$13:$J$17,4,0)&amp;"_"&amp;$F$2&amp;", "&amp;E46&amp;" as "&amp;F46&amp;" FROM "&amp;C46&amp;" WHERE "&amp;Instruções!$D$20&amp;") A ",
"(SELECT "&amp;VLOOKUP(B46,Instruções!$F$13:$J$17,4,0)&amp;" as "&amp;VLOOKUP(B46,Instruções!$F$13:$J$17,4,0)&amp;"_"&amp;$F$2&amp;", "&amp;VLOOKUP(B46,Instruções!$F$13:$J$17,5,0)&amp;" as "&amp;VLOOKUP(B46,Instruções!$F$13:$J$17,5,0)&amp;"_"&amp;$F$2&amp;","&amp;E46&amp;" as "&amp;F46&amp;" FROM "&amp;C46&amp;" WHERE "&amp;Instruções!$D$20&amp;") A ")</f>
        <v xml:space="preserve">(SELECT entty_id as entty_id_as_is, flg_isda_crdt_evnt as flg_isda_crdt_evnt_as_is FROM cd_loan_tapes_bce.lt003_entity WHERE ref_date='2024-09-30' AND nome_perimetro='Individual Corporativo' AND segmento='ESTR' AND ambito='PM' AND entidade='00100' ) A </v>
      </c>
      <c r="I46" s="17" t="str">
        <f>IF(VLOOKUP(B46,Instruções!$F$13:$J$17,5,0)="",
"(SELECT "&amp;VLOOKUP(B46,Instruções!$F$13:$J$17,4,0)&amp;" as "&amp;VLOOKUP(B46,Instruções!$F$13:$J$17,4,0)&amp;"_"&amp;$G$2&amp;", "&amp;E46&amp;" as "&amp;G46&amp;" FROM "&amp;D46&amp;" WHERE "&amp;Instruções!$D$21&amp;") B ",
"(SELECT "&amp;VLOOKUP(B46,Instruções!$F$13:$J$17,4,0)&amp;" as "&amp;VLOOKUP(B46,Instruções!$F$13:$J$17,4,0)&amp;"_"&amp;$G$2&amp;", "&amp;VLOOKUP(B46,Instruções!$F$13:$J$17,5,0)&amp;" as "&amp;VLOOKUP(B46,Instruções!$F$13:$J$17,5,0)&amp;"_"&amp;$G$2&amp;","&amp;E46&amp;" as "&amp;G46&amp;" FROM "&amp;D46&amp;" WHERE "&amp;Instruções!$D$21&amp;") B ")</f>
        <v xml:space="preserve">(SELECT entty_id as entty_id_to_be, flg_isda_crdt_evnt as flg_isda_crdt_evnt_to_be FROM bu_loantape_work.lt003_entity WHERE ref_date='2024-09-30' AND nome_perimetro='Individual Corporativo' AND segmento='ESTR' AND ambito='PM' AND entidade='00100' ) B </v>
      </c>
      <c r="J46" s="17" t="str">
        <f>IF(VLOOKUP(B46,Instruções!$F$13:$J$17,5,0)="",
"ON "&amp;VLOOKUP(B46,Instruções!$F$13:$J$17,4,0)&amp;"_"&amp;$F$2&amp;" = "&amp;VLOOKUP(B46,Instruções!$F$13:$J$17,4,0)&amp;"_"&amp;$G$2&amp;" ",
"ON "&amp;VLOOKUP(B46,Instruções!$F$13:$J$17,4,0)&amp;"_"&amp;$F$2&amp;" = "&amp;VLOOKUP(B46,Instruções!$F$13:$J$17,4,0)&amp;"_"&amp;$G$2&amp;" AND "&amp;VLOOKUP(B46,Instruções!$F$13:$J$17,5,0)&amp;"_"&amp;$F$2&amp;" = "&amp;VLOOKUP(B46,Instruções!$F$13:$J$17,5,0)&amp;"_"&amp;$G$2&amp;" ")</f>
        <v xml:space="preserve">ON entty_id_as_is = entty_id_to_be </v>
      </c>
      <c r="K46" s="17" t="str">
        <f t="shared" si="2"/>
        <v xml:space="preserve">WHERE coalesce(cast(flg_isda_crdt_evnt_as_is as string), '') &lt;&gt; coalesce(cast(flg_isda_crdt_evnt_to_be as string), '') </v>
      </c>
      <c r="L46" s="17" t="str">
        <f t="shared" si="3"/>
        <v xml:space="preserve">SELECT count(*) AS NUM_REG_DIF FROM (SELECT entty_id as entty_id_as_is, flg_isda_crdt_evnt as flg_isda_crdt_evnt_as_is FROM cd_loan_tapes_bce.lt003_entity WHERE ref_date='2024-09-30' AND nome_perimetro='Individual Corporativo' AND segmento='ESTR' AND ambito='PM' AND entidade='00100' ) A  Inner join (SELECT entty_id as entty_id_to_be, flg_isda_crdt_evnt as flg_isda_crdt_evnt_to_be FROM bu_loantape_work.lt003_entity WHERE ref_date='2024-09-30' AND nome_perimetro='Individual Corporativo' AND segmento='ESTR' AND ambito='PM' AND entidade='00100' ) B ON entty_id_as_is = entty_id_to_be WHERE coalesce(cast(flg_isda_crdt_evnt_as_is as string), '') &lt;&gt; coalesce(cast(flg_isda_crdt_evnt_to_be as string), '') </v>
      </c>
      <c r="M46" s="17" t="s">
        <v>55</v>
      </c>
      <c r="N46" s="17" t="str">
        <f>"SELECT 'Validação de campos' as tipologia_teste, '"&amp;VLOOKUP(B46,Instruções!$F$13:$J$17,3,0)&amp;"' AS TABELA, '"&amp;E46&amp;"' AS CAMPO, '"&amp;Instruções!$D$15&amp;"' as ref_date, coalesce(NUM_REG_DIF, 0) AS NUM_REG_DIF FROM ("&amp;L46&amp;") A "</f>
        <v xml:space="preserve">SELECT 'Validação de campos' as tipologia_teste, 'lt003_entity' AS TABELA, 'flg_isda_crdt_evnt' AS CAMPO, '2024-09-30' as ref_date, coalesce(NUM_REG_DIF, 0) AS NUM_REG_DIF FROM (SELECT count(*) AS NUM_REG_DIF FROM (SELECT entty_id as entty_id_as_is, flg_isda_crdt_evnt as flg_isda_crdt_evnt_as_is FROM cd_loan_tapes_bce.lt003_entity WHERE ref_date='2024-09-30' AND nome_perimetro='Individual Corporativo' AND segmento='ESTR' AND ambito='PM' AND entidade='00100' ) A  Inner join (SELECT entty_id as entty_id_to_be, flg_isda_crdt_evnt as flg_isda_crdt_evnt_to_be FROM bu_loantape_work.lt003_entity WHERE ref_date='2024-09-30' AND nome_perimetro='Individual Corporativo' AND segmento='ESTR' AND ambito='PM' AND entidade='00100' ) B ON entty_id_as_is = entty_id_to_be WHERE coalesce(cast(flg_isda_crdt_evnt_as_is as string), '') &lt;&gt; coalesce(cast(flg_isda_crdt_evnt_to_be as string), '') ) A </v>
      </c>
      <c r="O46" s="19" t="str">
        <f t="shared" si="4"/>
        <v>SELECT 'Validação de campos' as tipologia_teste, 'lt003_entity' AS TABELA, 'flg_isda_crdt_evnt' AS CAMPO, '2024-09-30' as ref_date, coalesce(NUM_REG_DIF, 0) AS NUM_REG_DIF FROM (SELECT count(*) AS NUM_REG_DIF FROM (SELECT entty_id as entty_id_as_is, flg_isda_crdt_evnt as flg_isda_crdt_evnt_as_is FROM cd_loan_tapes_bce.lt003_entity WHERE ref_date='2024-09-30' AND nome_perimetro='Individual Corporativo' AND segmento='ESTR' AND ambito='PM' AND entidade='00100' ) A  Inner join (SELECT entty_id as entty_id_to_be, flg_isda_crdt_evnt as flg_isda_crdt_evnt_to_be FROM bu_loantape_work.lt003_entity WHERE ref_date='2024-09-30' AND nome_perimetro='Individual Corporativo' AND segmento='ESTR' AND ambito='PM' AND entidade='00100' ) B ON entty_id_as_is = entty_id_to_be WHERE coalesce(cast(flg_isda_crdt_evnt_as_is as string), '') &lt;&gt; coalesce(cast(flg_isda_crdt_evnt_to_be as string), '') ) A UNION ALL</v>
      </c>
      <c r="P46" s="17">
        <f t="shared" si="5"/>
        <v>43</v>
      </c>
    </row>
    <row r="47" spans="2:16" s="15" customFormat="1" ht="11.45">
      <c r="B47" s="17" t="s">
        <v>11</v>
      </c>
      <c r="C47" s="17" t="str">
        <f>_xlfn.CONCAT(Instruções!$D$13,".",VLOOKUP(B47,Instruções!$F$12:$H$17,2,0))</f>
        <v>cd_loan_tapes_bce.lt003_entity</v>
      </c>
      <c r="D47" s="17" t="str">
        <f>_xlfn.CONCAT(Instruções!$D$14,".",VLOOKUP(B47,Instruções!$F$12:$H$17,3,0))</f>
        <v>bu_loantape_work.lt003_entity</v>
      </c>
      <c r="E47" s="17" t="s">
        <v>99</v>
      </c>
      <c r="F47" s="17" t="str">
        <f t="shared" si="0"/>
        <v>flg_nn_accrl_as_is</v>
      </c>
      <c r="G47" s="17" t="str">
        <f t="shared" si="1"/>
        <v>flg_nn_accrl_to_be</v>
      </c>
      <c r="H47" s="17" t="str">
        <f>IF(VLOOKUP(B47,Instruções!$F$13:$J$17,5,0)="",
"(SELECT "&amp;VLOOKUP(B47,Instruções!$F$13:$J$17,4,0)&amp;" as "&amp;VLOOKUP(B47,Instruções!$F$13:$J$17,4,0)&amp;"_"&amp;$F$2&amp;", "&amp;E47&amp;" as "&amp;F47&amp;" FROM "&amp;C47&amp;" WHERE "&amp;Instruções!$D$20&amp;") A ",
"(SELECT "&amp;VLOOKUP(B47,Instruções!$F$13:$J$17,4,0)&amp;" as "&amp;VLOOKUP(B47,Instruções!$F$13:$J$17,4,0)&amp;"_"&amp;$F$2&amp;", "&amp;VLOOKUP(B47,Instruções!$F$13:$J$17,5,0)&amp;" as "&amp;VLOOKUP(B47,Instruções!$F$13:$J$17,5,0)&amp;"_"&amp;$F$2&amp;","&amp;E47&amp;" as "&amp;F47&amp;" FROM "&amp;C47&amp;" WHERE "&amp;Instruções!$D$20&amp;") A ")</f>
        <v xml:space="preserve">(SELECT entty_id as entty_id_as_is, flg_nn_accrl as flg_nn_accrl_as_is FROM cd_loan_tapes_bce.lt003_entity WHERE ref_date='2024-09-30' AND nome_perimetro='Individual Corporativo' AND segmento='ESTR' AND ambito='PM' AND entidade='00100' ) A </v>
      </c>
      <c r="I47" s="17" t="str">
        <f>IF(VLOOKUP(B47,Instruções!$F$13:$J$17,5,0)="",
"(SELECT "&amp;VLOOKUP(B47,Instruções!$F$13:$J$17,4,0)&amp;" as "&amp;VLOOKUP(B47,Instruções!$F$13:$J$17,4,0)&amp;"_"&amp;$G$2&amp;", "&amp;E47&amp;" as "&amp;G47&amp;" FROM "&amp;D47&amp;" WHERE "&amp;Instruções!$D$21&amp;") B ",
"(SELECT "&amp;VLOOKUP(B47,Instruções!$F$13:$J$17,4,0)&amp;" as "&amp;VLOOKUP(B47,Instruções!$F$13:$J$17,4,0)&amp;"_"&amp;$G$2&amp;", "&amp;VLOOKUP(B47,Instruções!$F$13:$J$17,5,0)&amp;" as "&amp;VLOOKUP(B47,Instruções!$F$13:$J$17,5,0)&amp;"_"&amp;$G$2&amp;","&amp;E47&amp;" as "&amp;G47&amp;" FROM "&amp;D47&amp;" WHERE "&amp;Instruções!$D$21&amp;") B ")</f>
        <v xml:space="preserve">(SELECT entty_id as entty_id_to_be, flg_nn_accrl as flg_nn_accrl_to_be FROM bu_loantape_work.lt003_entity WHERE ref_date='2024-09-30' AND nome_perimetro='Individual Corporativo' AND segmento='ESTR' AND ambito='PM' AND entidade='00100' ) B </v>
      </c>
      <c r="J47" s="17" t="str">
        <f>IF(VLOOKUP(B47,Instruções!$F$13:$J$17,5,0)="",
"ON "&amp;VLOOKUP(B47,Instruções!$F$13:$J$17,4,0)&amp;"_"&amp;$F$2&amp;" = "&amp;VLOOKUP(B47,Instruções!$F$13:$J$17,4,0)&amp;"_"&amp;$G$2&amp;" ",
"ON "&amp;VLOOKUP(B47,Instruções!$F$13:$J$17,4,0)&amp;"_"&amp;$F$2&amp;" = "&amp;VLOOKUP(B47,Instruções!$F$13:$J$17,4,0)&amp;"_"&amp;$G$2&amp;" AND "&amp;VLOOKUP(B47,Instruções!$F$13:$J$17,5,0)&amp;"_"&amp;$F$2&amp;" = "&amp;VLOOKUP(B47,Instruções!$F$13:$J$17,5,0)&amp;"_"&amp;$G$2&amp;" ")</f>
        <v xml:space="preserve">ON entty_id_as_is = entty_id_to_be </v>
      </c>
      <c r="K47" s="17" t="str">
        <f t="shared" si="2"/>
        <v xml:space="preserve">WHERE coalesce(cast(flg_nn_accrl_as_is as string), '') &lt;&gt; coalesce(cast(flg_nn_accrl_to_be as string), '') </v>
      </c>
      <c r="L47" s="17" t="str">
        <f t="shared" si="3"/>
        <v xml:space="preserve">SELECT count(*) AS NUM_REG_DIF FROM (SELECT entty_id as entty_id_as_is, flg_nn_accrl as flg_nn_accrl_as_is FROM cd_loan_tapes_bce.lt003_entity WHERE ref_date='2024-09-30' AND nome_perimetro='Individual Corporativo' AND segmento='ESTR' AND ambito='PM' AND entidade='00100' ) A  Inner join (SELECT entty_id as entty_id_to_be, flg_nn_accrl as flg_nn_accrl_to_be FROM bu_loantape_work.lt003_entity WHERE ref_date='2024-09-30' AND nome_perimetro='Individual Corporativo' AND segmento='ESTR' AND ambito='PM' AND entidade='00100' ) B ON entty_id_as_is = entty_id_to_be WHERE coalesce(cast(flg_nn_accrl_as_is as string), '') &lt;&gt; coalesce(cast(flg_nn_accrl_to_be as string), '') </v>
      </c>
      <c r="M47" s="17" t="s">
        <v>55</v>
      </c>
      <c r="N47" s="17" t="str">
        <f>"SELECT 'Validação de campos' as tipologia_teste, '"&amp;VLOOKUP(B47,Instruções!$F$13:$J$17,3,0)&amp;"' AS TABELA, '"&amp;E47&amp;"' AS CAMPO, '"&amp;Instruções!$D$15&amp;"' as ref_date, coalesce(NUM_REG_DIF, 0) AS NUM_REG_DIF FROM ("&amp;L47&amp;") A "</f>
        <v xml:space="preserve">SELECT 'Validação de campos' as tipologia_teste, 'lt003_entity' AS TABELA, 'flg_nn_accrl' AS CAMPO, '2024-09-30' as ref_date, coalesce(NUM_REG_DIF, 0) AS NUM_REG_DIF FROM (SELECT count(*) AS NUM_REG_DIF FROM (SELECT entty_id as entty_id_as_is, flg_nn_accrl as flg_nn_accrl_as_is FROM cd_loan_tapes_bce.lt003_entity WHERE ref_date='2024-09-30' AND nome_perimetro='Individual Corporativo' AND segmento='ESTR' AND ambito='PM' AND entidade='00100' ) A  Inner join (SELECT entty_id as entty_id_to_be, flg_nn_accrl as flg_nn_accrl_to_be FROM bu_loantape_work.lt003_entity WHERE ref_date='2024-09-30' AND nome_perimetro='Individual Corporativo' AND segmento='ESTR' AND ambito='PM' AND entidade='00100' ) B ON entty_id_as_is = entty_id_to_be WHERE coalesce(cast(flg_nn_accrl_as_is as string), '') &lt;&gt; coalesce(cast(flg_nn_accrl_to_be as string), '') ) A </v>
      </c>
      <c r="O47" s="19" t="str">
        <f t="shared" si="4"/>
        <v>SELECT 'Validação de campos' as tipologia_teste, 'lt003_entity' AS TABELA, 'flg_nn_accrl' AS CAMPO, '2024-09-30' as ref_date, coalesce(NUM_REG_DIF, 0) AS NUM_REG_DIF FROM (SELECT count(*) AS NUM_REG_DIF FROM (SELECT entty_id as entty_id_as_is, flg_nn_accrl as flg_nn_accrl_as_is FROM cd_loan_tapes_bce.lt003_entity WHERE ref_date='2024-09-30' AND nome_perimetro='Individual Corporativo' AND segmento='ESTR' AND ambito='PM' AND entidade='00100' ) A  Inner join (SELECT entty_id as entty_id_to_be, flg_nn_accrl as flg_nn_accrl_to_be FROM bu_loantape_work.lt003_entity WHERE ref_date='2024-09-30' AND nome_perimetro='Individual Corporativo' AND segmento='ESTR' AND ambito='PM' AND entidade='00100' ) B ON entty_id_as_is = entty_id_to_be WHERE coalesce(cast(flg_nn_accrl_as_is as string), '') &lt;&gt; coalesce(cast(flg_nn_accrl_to_be as string), '') ) A UNION ALL</v>
      </c>
      <c r="P47" s="17">
        <f t="shared" si="5"/>
        <v>44</v>
      </c>
    </row>
    <row r="48" spans="2:16" s="15" customFormat="1" ht="11.45">
      <c r="B48" s="17" t="s">
        <v>11</v>
      </c>
      <c r="C48" s="17" t="str">
        <f>_xlfn.CONCAT(Instruções!$D$13,".",VLOOKUP(B48,Instruções!$F$12:$H$17,2,0))</f>
        <v>cd_loan_tapes_bce.lt003_entity</v>
      </c>
      <c r="D48" s="17" t="str">
        <f>_xlfn.CONCAT(Instruções!$D$14,".",VLOOKUP(B48,Instruções!$F$12:$H$17,3,0))</f>
        <v>bu_loantape_work.lt003_entity</v>
      </c>
      <c r="E48" s="17" t="s">
        <v>100</v>
      </c>
      <c r="F48" s="17" t="str">
        <f t="shared" si="0"/>
        <v>flg_rqst_bnkrptcy_as_is</v>
      </c>
      <c r="G48" s="17" t="str">
        <f t="shared" si="1"/>
        <v>flg_rqst_bnkrptcy_to_be</v>
      </c>
      <c r="H48" s="17" t="str">
        <f>IF(VLOOKUP(B48,Instruções!$F$13:$J$17,5,0)="",
"(SELECT "&amp;VLOOKUP(B48,Instruções!$F$13:$J$17,4,0)&amp;" as "&amp;VLOOKUP(B48,Instruções!$F$13:$J$17,4,0)&amp;"_"&amp;$F$2&amp;", "&amp;E48&amp;" as "&amp;F48&amp;" FROM "&amp;C48&amp;" WHERE "&amp;Instruções!$D$20&amp;") A ",
"(SELECT "&amp;VLOOKUP(B48,Instruções!$F$13:$J$17,4,0)&amp;" as "&amp;VLOOKUP(B48,Instruções!$F$13:$J$17,4,0)&amp;"_"&amp;$F$2&amp;", "&amp;VLOOKUP(B48,Instruções!$F$13:$J$17,5,0)&amp;" as "&amp;VLOOKUP(B48,Instruções!$F$13:$J$17,5,0)&amp;"_"&amp;$F$2&amp;","&amp;E48&amp;" as "&amp;F48&amp;" FROM "&amp;C48&amp;" WHERE "&amp;Instruções!$D$20&amp;") A ")</f>
        <v xml:space="preserve">(SELECT entty_id as entty_id_as_is, flg_rqst_bnkrptcy as flg_rqst_bnkrptcy_as_is FROM cd_loan_tapes_bce.lt003_entity WHERE ref_date='2024-09-30' AND nome_perimetro='Individual Corporativo' AND segmento='ESTR' AND ambito='PM' AND entidade='00100' ) A </v>
      </c>
      <c r="I48" s="17" t="str">
        <f>IF(VLOOKUP(B48,Instruções!$F$13:$J$17,5,0)="",
"(SELECT "&amp;VLOOKUP(B48,Instruções!$F$13:$J$17,4,0)&amp;" as "&amp;VLOOKUP(B48,Instruções!$F$13:$J$17,4,0)&amp;"_"&amp;$G$2&amp;", "&amp;E48&amp;" as "&amp;G48&amp;" FROM "&amp;D48&amp;" WHERE "&amp;Instruções!$D$21&amp;") B ",
"(SELECT "&amp;VLOOKUP(B48,Instruções!$F$13:$J$17,4,0)&amp;" as "&amp;VLOOKUP(B48,Instruções!$F$13:$J$17,4,0)&amp;"_"&amp;$G$2&amp;", "&amp;VLOOKUP(B48,Instruções!$F$13:$J$17,5,0)&amp;" as "&amp;VLOOKUP(B48,Instruções!$F$13:$J$17,5,0)&amp;"_"&amp;$G$2&amp;","&amp;E48&amp;" as "&amp;G48&amp;" FROM "&amp;D48&amp;" WHERE "&amp;Instruções!$D$21&amp;") B ")</f>
        <v xml:space="preserve">(SELECT entty_id as entty_id_to_be, flg_rqst_bnkrptcy as flg_rqst_bnkrptcy_to_be FROM bu_loantape_work.lt003_entity WHERE ref_date='2024-09-30' AND nome_perimetro='Individual Corporativo' AND segmento='ESTR' AND ambito='PM' AND entidade='00100' ) B </v>
      </c>
      <c r="J48" s="17" t="str">
        <f>IF(VLOOKUP(B48,Instruções!$F$13:$J$17,5,0)="",
"ON "&amp;VLOOKUP(B48,Instruções!$F$13:$J$17,4,0)&amp;"_"&amp;$F$2&amp;" = "&amp;VLOOKUP(B48,Instruções!$F$13:$J$17,4,0)&amp;"_"&amp;$G$2&amp;" ",
"ON "&amp;VLOOKUP(B48,Instruções!$F$13:$J$17,4,0)&amp;"_"&amp;$F$2&amp;" = "&amp;VLOOKUP(B48,Instruções!$F$13:$J$17,4,0)&amp;"_"&amp;$G$2&amp;" AND "&amp;VLOOKUP(B48,Instruções!$F$13:$J$17,5,0)&amp;"_"&amp;$F$2&amp;" = "&amp;VLOOKUP(B48,Instruções!$F$13:$J$17,5,0)&amp;"_"&amp;$G$2&amp;" ")</f>
        <v xml:space="preserve">ON entty_id_as_is = entty_id_to_be </v>
      </c>
      <c r="K48" s="17" t="str">
        <f t="shared" si="2"/>
        <v xml:space="preserve">WHERE coalesce(cast(flg_rqst_bnkrptcy_as_is as string), '') &lt;&gt; coalesce(cast(flg_rqst_bnkrptcy_to_be as string), '') </v>
      </c>
      <c r="L48" s="17" t="str">
        <f t="shared" si="3"/>
        <v xml:space="preserve">SELECT count(*) AS NUM_REG_DIF FROM (SELECT entty_id as entty_id_as_is, flg_rqst_bnkrptcy as flg_rqst_bnkrptcy_as_is FROM cd_loan_tapes_bce.lt003_entity WHERE ref_date='2024-09-30' AND nome_perimetro='Individual Corporativo' AND segmento='ESTR' AND ambito='PM' AND entidade='00100' ) A  Inner join (SELECT entty_id as entty_id_to_be, flg_rqst_bnkrptcy as flg_rqst_bnkrptcy_to_be FROM bu_loantape_work.lt003_entity WHERE ref_date='2024-09-30' AND nome_perimetro='Individual Corporativo' AND segmento='ESTR' AND ambito='PM' AND entidade='00100' ) B ON entty_id_as_is = entty_id_to_be WHERE coalesce(cast(flg_rqst_bnkrptcy_as_is as string), '') &lt;&gt; coalesce(cast(flg_rqst_bnkrptcy_to_be as string), '') </v>
      </c>
      <c r="M48" s="17" t="s">
        <v>55</v>
      </c>
      <c r="N48" s="17" t="str">
        <f>"SELECT 'Validação de campos' as tipologia_teste, '"&amp;VLOOKUP(B48,Instruções!$F$13:$J$17,3,0)&amp;"' AS TABELA, '"&amp;E48&amp;"' AS CAMPO, '"&amp;Instruções!$D$15&amp;"' as ref_date, coalesce(NUM_REG_DIF, 0) AS NUM_REG_DIF FROM ("&amp;L48&amp;") A "</f>
        <v xml:space="preserve">SELECT 'Validação de campos' as tipologia_teste, 'lt003_entity' AS TABELA, 'flg_rqst_bnkrptcy' AS CAMPO, '2024-09-30' as ref_date, coalesce(NUM_REG_DIF, 0) AS NUM_REG_DIF FROM (SELECT count(*) AS NUM_REG_DIF FROM (SELECT entty_id as entty_id_as_is, flg_rqst_bnkrptcy as flg_rqst_bnkrptcy_as_is FROM cd_loan_tapes_bce.lt003_entity WHERE ref_date='2024-09-30' AND nome_perimetro='Individual Corporativo' AND segmento='ESTR' AND ambito='PM' AND entidade='00100' ) A  Inner join (SELECT entty_id as entty_id_to_be, flg_rqst_bnkrptcy as flg_rqst_bnkrptcy_to_be FROM bu_loantape_work.lt003_entity WHERE ref_date='2024-09-30' AND nome_perimetro='Individual Corporativo' AND segmento='ESTR' AND ambito='PM' AND entidade='00100' ) B ON entty_id_as_is = entty_id_to_be WHERE coalesce(cast(flg_rqst_bnkrptcy_as_is as string), '') &lt;&gt; coalesce(cast(flg_rqst_bnkrptcy_to_be as string), '') ) A </v>
      </c>
      <c r="O48" s="19" t="str">
        <f t="shared" si="4"/>
        <v>SELECT 'Validação de campos' as tipologia_teste, 'lt003_entity' AS TABELA, 'flg_rqst_bnkrptcy' AS CAMPO, '2024-09-30' as ref_date, coalesce(NUM_REG_DIF, 0) AS NUM_REG_DIF FROM (SELECT count(*) AS NUM_REG_DIF FROM (SELECT entty_id as entty_id_as_is, flg_rqst_bnkrptcy as flg_rqst_bnkrptcy_as_is FROM cd_loan_tapes_bce.lt003_entity WHERE ref_date='2024-09-30' AND nome_perimetro='Individual Corporativo' AND segmento='ESTR' AND ambito='PM' AND entidade='00100' ) A  Inner join (SELECT entty_id as entty_id_to_be, flg_rqst_bnkrptcy as flg_rqst_bnkrptcy_to_be FROM bu_loantape_work.lt003_entity WHERE ref_date='2024-09-30' AND nome_perimetro='Individual Corporativo' AND segmento='ESTR' AND ambito='PM' AND entidade='00100' ) B ON entty_id_as_is = entty_id_to_be WHERE coalesce(cast(flg_rqst_bnkrptcy_as_is as string), '') &lt;&gt; coalesce(cast(flg_rqst_bnkrptcy_to_be as string), '') ) A UNION ALL</v>
      </c>
      <c r="P48" s="17">
        <f t="shared" si="5"/>
        <v>45</v>
      </c>
    </row>
    <row r="49" spans="2:16" s="15" customFormat="1" ht="11.45">
      <c r="B49" s="17" t="s">
        <v>11</v>
      </c>
      <c r="C49" s="17" t="str">
        <f>_xlfn.CONCAT(Instruções!$D$13,".",VLOOKUP(B49,Instruções!$F$12:$H$17,2,0))</f>
        <v>cd_loan_tapes_bce.lt003_entity</v>
      </c>
      <c r="D49" s="17" t="str">
        <f>_xlfn.CONCAT(Instruções!$D$14,".",VLOOKUP(B49,Instruções!$F$12:$H$17,3,0))</f>
        <v>bu_loantape_work.lt003_entity</v>
      </c>
      <c r="E49" s="17" t="s">
        <v>101</v>
      </c>
      <c r="F49" s="17" t="str">
        <f t="shared" si="0"/>
        <v>flg_rqst_dstrssd_rstrctrng_as_is</v>
      </c>
      <c r="G49" s="17" t="str">
        <f t="shared" si="1"/>
        <v>flg_rqst_dstrssd_rstrctrng_to_be</v>
      </c>
      <c r="H49" s="17" t="str">
        <f>IF(VLOOKUP(B49,Instruções!$F$13:$J$17,5,0)="",
"(SELECT "&amp;VLOOKUP(B49,Instruções!$F$13:$J$17,4,0)&amp;" as "&amp;VLOOKUP(B49,Instruções!$F$13:$J$17,4,0)&amp;"_"&amp;$F$2&amp;", "&amp;E49&amp;" as "&amp;F49&amp;" FROM "&amp;C49&amp;" WHERE "&amp;Instruções!$D$20&amp;") A ",
"(SELECT "&amp;VLOOKUP(B49,Instruções!$F$13:$J$17,4,0)&amp;" as "&amp;VLOOKUP(B49,Instruções!$F$13:$J$17,4,0)&amp;"_"&amp;$F$2&amp;", "&amp;VLOOKUP(B49,Instruções!$F$13:$J$17,5,0)&amp;" as "&amp;VLOOKUP(B49,Instruções!$F$13:$J$17,5,0)&amp;"_"&amp;$F$2&amp;","&amp;E49&amp;" as "&amp;F49&amp;" FROM "&amp;C49&amp;" WHERE "&amp;Instruções!$D$20&amp;") A ")</f>
        <v xml:space="preserve">(SELECT entty_id as entty_id_as_is, flg_rqst_dstrssd_rstrctrng as flg_rqst_dstrssd_rstrctrng_as_is FROM cd_loan_tapes_bce.lt003_entity WHERE ref_date='2024-09-30' AND nome_perimetro='Individual Corporativo' AND segmento='ESTR' AND ambito='PM' AND entidade='00100' ) A </v>
      </c>
      <c r="I49" s="17" t="str">
        <f>IF(VLOOKUP(B49,Instruções!$F$13:$J$17,5,0)="",
"(SELECT "&amp;VLOOKUP(B49,Instruções!$F$13:$J$17,4,0)&amp;" as "&amp;VLOOKUP(B49,Instruções!$F$13:$J$17,4,0)&amp;"_"&amp;$G$2&amp;", "&amp;E49&amp;" as "&amp;G49&amp;" FROM "&amp;D49&amp;" WHERE "&amp;Instruções!$D$21&amp;") B ",
"(SELECT "&amp;VLOOKUP(B49,Instruções!$F$13:$J$17,4,0)&amp;" as "&amp;VLOOKUP(B49,Instruções!$F$13:$J$17,4,0)&amp;"_"&amp;$G$2&amp;", "&amp;VLOOKUP(B49,Instruções!$F$13:$J$17,5,0)&amp;" as "&amp;VLOOKUP(B49,Instruções!$F$13:$J$17,5,0)&amp;"_"&amp;$G$2&amp;","&amp;E49&amp;" as "&amp;G49&amp;" FROM "&amp;D49&amp;" WHERE "&amp;Instruções!$D$21&amp;") B ")</f>
        <v xml:space="preserve">(SELECT entty_id as entty_id_to_be, flg_rqst_dstrssd_rstrctrng as flg_rqst_dstrssd_rstrctrng_to_be FROM bu_loantape_work.lt003_entity WHERE ref_date='2024-09-30' AND nome_perimetro='Individual Corporativo' AND segmento='ESTR' AND ambito='PM' AND entidade='00100' ) B </v>
      </c>
      <c r="J49" s="17" t="str">
        <f>IF(VLOOKUP(B49,Instruções!$F$13:$J$17,5,0)="",
"ON "&amp;VLOOKUP(B49,Instruções!$F$13:$J$17,4,0)&amp;"_"&amp;$F$2&amp;" = "&amp;VLOOKUP(B49,Instruções!$F$13:$J$17,4,0)&amp;"_"&amp;$G$2&amp;" ",
"ON "&amp;VLOOKUP(B49,Instruções!$F$13:$J$17,4,0)&amp;"_"&amp;$F$2&amp;" = "&amp;VLOOKUP(B49,Instruções!$F$13:$J$17,4,0)&amp;"_"&amp;$G$2&amp;" AND "&amp;VLOOKUP(B49,Instruções!$F$13:$J$17,5,0)&amp;"_"&amp;$F$2&amp;" = "&amp;VLOOKUP(B49,Instruções!$F$13:$J$17,5,0)&amp;"_"&amp;$G$2&amp;" ")</f>
        <v xml:space="preserve">ON entty_id_as_is = entty_id_to_be </v>
      </c>
      <c r="K49" s="17" t="str">
        <f t="shared" si="2"/>
        <v xml:space="preserve">WHERE coalesce(cast(flg_rqst_dstrssd_rstrctrng_as_is as string), '') &lt;&gt; coalesce(cast(flg_rqst_dstrssd_rstrctrng_to_be as string), '') </v>
      </c>
      <c r="L49" s="17" t="str">
        <f t="shared" si="3"/>
        <v xml:space="preserve">SELECT count(*) AS NUM_REG_DIF FROM (SELECT entty_id as entty_id_as_is, flg_rqst_dstrssd_rstrctrng as flg_rqst_dstrssd_rstrctrng_as_is FROM cd_loan_tapes_bce.lt003_entity WHERE ref_date='2024-09-30' AND nome_perimetro='Individual Corporativo' AND segmento='ESTR' AND ambito='PM' AND entidade='00100' ) A  Inner join (SELECT entty_id as entty_id_to_be, flg_rqst_dstrssd_rstrctrng as flg_rqst_dstrssd_rstrctrng_to_be FROM bu_loantape_work.lt003_entity WHERE ref_date='2024-09-30' AND nome_perimetro='Individual Corporativo' AND segmento='ESTR' AND ambito='PM' AND entidade='00100' ) B ON entty_id_as_is = entty_id_to_be WHERE coalesce(cast(flg_rqst_dstrssd_rstrctrng_as_is as string), '') &lt;&gt; coalesce(cast(flg_rqst_dstrssd_rstrctrng_to_be as string), '') </v>
      </c>
      <c r="M49" s="17" t="s">
        <v>55</v>
      </c>
      <c r="N49" s="17" t="str">
        <f>"SELECT 'Validação de campos' as tipologia_teste, '"&amp;VLOOKUP(B49,Instruções!$F$13:$J$17,3,0)&amp;"' AS TABELA, '"&amp;E49&amp;"' AS CAMPO, '"&amp;Instruções!$D$15&amp;"' as ref_date, coalesce(NUM_REG_DIF, 0) AS NUM_REG_DIF FROM ("&amp;L49&amp;") A "</f>
        <v xml:space="preserve">SELECT 'Validação de campos' as tipologia_teste, 'lt003_entity' AS TABELA, 'flg_rqst_dstrssd_rstrctrng' AS CAMPO, '2024-09-30' as ref_date, coalesce(NUM_REG_DIF, 0) AS NUM_REG_DIF FROM (SELECT count(*) AS NUM_REG_DIF FROM (SELECT entty_id as entty_id_as_is, flg_rqst_dstrssd_rstrctrng as flg_rqst_dstrssd_rstrctrng_as_is FROM cd_loan_tapes_bce.lt003_entity WHERE ref_date='2024-09-30' AND nome_perimetro='Individual Corporativo' AND segmento='ESTR' AND ambito='PM' AND entidade='00100' ) A  Inner join (SELECT entty_id as entty_id_to_be, flg_rqst_dstrssd_rstrctrng as flg_rqst_dstrssd_rstrctrng_to_be FROM bu_loantape_work.lt003_entity WHERE ref_date='2024-09-30' AND nome_perimetro='Individual Corporativo' AND segmento='ESTR' AND ambito='PM' AND entidade='00100' ) B ON entty_id_as_is = entty_id_to_be WHERE coalesce(cast(flg_rqst_dstrssd_rstrctrng_as_is as string), '') &lt;&gt; coalesce(cast(flg_rqst_dstrssd_rstrctrng_to_be as string), '') ) A </v>
      </c>
      <c r="O49" s="19" t="str">
        <f t="shared" si="4"/>
        <v>SELECT 'Validação de campos' as tipologia_teste, 'lt003_entity' AS TABELA, 'flg_rqst_dstrssd_rstrctrng' AS CAMPO, '2024-09-30' as ref_date, coalesce(NUM_REG_DIF, 0) AS NUM_REG_DIF FROM (SELECT count(*) AS NUM_REG_DIF FROM (SELECT entty_id as entty_id_as_is, flg_rqst_dstrssd_rstrctrng as flg_rqst_dstrssd_rstrctrng_as_is FROM cd_loan_tapes_bce.lt003_entity WHERE ref_date='2024-09-30' AND nome_perimetro='Individual Corporativo' AND segmento='ESTR' AND ambito='PM' AND entidade='00100' ) A  Inner join (SELECT entty_id as entty_id_to_be, flg_rqst_dstrssd_rstrctrng as flg_rqst_dstrssd_rstrctrng_to_be FROM bu_loantape_work.lt003_entity WHERE ref_date='2024-09-30' AND nome_perimetro='Individual Corporativo' AND segmento='ESTR' AND ambito='PM' AND entidade='00100' ) B ON entty_id_as_is = entty_id_to_be WHERE coalesce(cast(flg_rqst_dstrssd_rstrctrng_as_is as string), '') &lt;&gt; coalesce(cast(flg_rqst_dstrssd_rstrctrng_to_be as string), '') ) A UNION ALL</v>
      </c>
      <c r="P49" s="17">
        <f t="shared" si="5"/>
        <v>46</v>
      </c>
    </row>
    <row r="50" spans="2:16" s="15" customFormat="1" ht="11.45">
      <c r="B50" s="17" t="s">
        <v>11</v>
      </c>
      <c r="C50" s="17" t="str">
        <f>_xlfn.CONCAT(Instruções!$D$13,".",VLOOKUP(B50,Instruções!$F$12:$H$17,2,0))</f>
        <v>cd_loan_tapes_bce.lt003_entity</v>
      </c>
      <c r="D50" s="17" t="str">
        <f>_xlfn.CONCAT(Instruções!$D$14,".",VLOOKUP(B50,Instruções!$F$12:$H$17,3,0))</f>
        <v>bu_loantape_work.lt003_entity</v>
      </c>
      <c r="E50" s="17" t="s">
        <v>102</v>
      </c>
      <c r="F50" s="17" t="str">
        <f t="shared" si="0"/>
        <v>flg_rqst_emrgncy_fndng_as_is</v>
      </c>
      <c r="G50" s="17" t="str">
        <f t="shared" si="1"/>
        <v>flg_rqst_emrgncy_fndng_to_be</v>
      </c>
      <c r="H50" s="17" t="str">
        <f>IF(VLOOKUP(B50,Instruções!$F$13:$J$17,5,0)="",
"(SELECT "&amp;VLOOKUP(B50,Instruções!$F$13:$J$17,4,0)&amp;" as "&amp;VLOOKUP(B50,Instruções!$F$13:$J$17,4,0)&amp;"_"&amp;$F$2&amp;", "&amp;E50&amp;" as "&amp;F50&amp;" FROM "&amp;C50&amp;" WHERE "&amp;Instruções!$D$20&amp;") A ",
"(SELECT "&amp;VLOOKUP(B50,Instruções!$F$13:$J$17,4,0)&amp;" as "&amp;VLOOKUP(B50,Instruções!$F$13:$J$17,4,0)&amp;"_"&amp;$F$2&amp;", "&amp;VLOOKUP(B50,Instruções!$F$13:$J$17,5,0)&amp;" as "&amp;VLOOKUP(B50,Instruções!$F$13:$J$17,5,0)&amp;"_"&amp;$F$2&amp;","&amp;E50&amp;" as "&amp;F50&amp;" FROM "&amp;C50&amp;" WHERE "&amp;Instruções!$D$20&amp;") A ")</f>
        <v xml:space="preserve">(SELECT entty_id as entty_id_as_is, flg_rqst_emrgncy_fndng as flg_rqst_emrgncy_fndng_as_is FROM cd_loan_tapes_bce.lt003_entity WHERE ref_date='2024-09-30' AND nome_perimetro='Individual Corporativo' AND segmento='ESTR' AND ambito='PM' AND entidade='00100' ) A </v>
      </c>
      <c r="I50" s="17" t="str">
        <f>IF(VLOOKUP(B50,Instruções!$F$13:$J$17,5,0)="",
"(SELECT "&amp;VLOOKUP(B50,Instruções!$F$13:$J$17,4,0)&amp;" as "&amp;VLOOKUP(B50,Instruções!$F$13:$J$17,4,0)&amp;"_"&amp;$G$2&amp;", "&amp;E50&amp;" as "&amp;G50&amp;" FROM "&amp;D50&amp;" WHERE "&amp;Instruções!$D$21&amp;") B ",
"(SELECT "&amp;VLOOKUP(B50,Instruções!$F$13:$J$17,4,0)&amp;" as "&amp;VLOOKUP(B50,Instruções!$F$13:$J$17,4,0)&amp;"_"&amp;$G$2&amp;", "&amp;VLOOKUP(B50,Instruções!$F$13:$J$17,5,0)&amp;" as "&amp;VLOOKUP(B50,Instruções!$F$13:$J$17,5,0)&amp;"_"&amp;$G$2&amp;","&amp;E50&amp;" as "&amp;G50&amp;" FROM "&amp;D50&amp;" WHERE "&amp;Instruções!$D$21&amp;") B ")</f>
        <v xml:space="preserve">(SELECT entty_id as entty_id_to_be, flg_rqst_emrgncy_fndng as flg_rqst_emrgncy_fndng_to_be FROM bu_loantape_work.lt003_entity WHERE ref_date='2024-09-30' AND nome_perimetro='Individual Corporativo' AND segmento='ESTR' AND ambito='PM' AND entidade='00100' ) B </v>
      </c>
      <c r="J50" s="17" t="str">
        <f>IF(VLOOKUP(B50,Instruções!$F$13:$J$17,5,0)="",
"ON "&amp;VLOOKUP(B50,Instruções!$F$13:$J$17,4,0)&amp;"_"&amp;$F$2&amp;" = "&amp;VLOOKUP(B50,Instruções!$F$13:$J$17,4,0)&amp;"_"&amp;$G$2&amp;" ",
"ON "&amp;VLOOKUP(B50,Instruções!$F$13:$J$17,4,0)&amp;"_"&amp;$F$2&amp;" = "&amp;VLOOKUP(B50,Instruções!$F$13:$J$17,4,0)&amp;"_"&amp;$G$2&amp;" AND "&amp;VLOOKUP(B50,Instruções!$F$13:$J$17,5,0)&amp;"_"&amp;$F$2&amp;" = "&amp;VLOOKUP(B50,Instruções!$F$13:$J$17,5,0)&amp;"_"&amp;$G$2&amp;" ")</f>
        <v xml:space="preserve">ON entty_id_as_is = entty_id_to_be </v>
      </c>
      <c r="K50" s="17" t="str">
        <f t="shared" si="2"/>
        <v xml:space="preserve">WHERE coalesce(cast(flg_rqst_emrgncy_fndng_as_is as string), '') &lt;&gt; coalesce(cast(flg_rqst_emrgncy_fndng_to_be as string), '') </v>
      </c>
      <c r="L50" s="17" t="str">
        <f t="shared" si="3"/>
        <v xml:space="preserve">SELECT count(*) AS NUM_REG_DIF FROM (SELECT entty_id as entty_id_as_is, flg_rqst_emrgncy_fndng as flg_rqst_emrgncy_fndng_as_is FROM cd_loan_tapes_bce.lt003_entity WHERE ref_date='2024-09-30' AND nome_perimetro='Individual Corporativo' AND segmento='ESTR' AND ambito='PM' AND entidade='00100' ) A  Inner join (SELECT entty_id as entty_id_to_be, flg_rqst_emrgncy_fndng as flg_rqst_emrgncy_fndng_to_be FROM bu_loantape_work.lt003_entity WHERE ref_date='2024-09-30' AND nome_perimetro='Individual Corporativo' AND segmento='ESTR' AND ambito='PM' AND entidade='00100' ) B ON entty_id_as_is = entty_id_to_be WHERE coalesce(cast(flg_rqst_emrgncy_fndng_as_is as string), '') &lt;&gt; coalesce(cast(flg_rqst_emrgncy_fndng_to_be as string), '') </v>
      </c>
      <c r="M50" s="17" t="s">
        <v>55</v>
      </c>
      <c r="N50" s="17" t="str">
        <f>"SELECT 'Validação de campos' as tipologia_teste, '"&amp;VLOOKUP(B50,Instruções!$F$13:$J$17,3,0)&amp;"' AS TABELA, '"&amp;E50&amp;"' AS CAMPO, '"&amp;Instruções!$D$15&amp;"' as ref_date, coalesce(NUM_REG_DIF, 0) AS NUM_REG_DIF FROM ("&amp;L50&amp;") A "</f>
        <v xml:space="preserve">SELECT 'Validação de campos' as tipologia_teste, 'lt003_entity' AS TABELA, 'flg_rqst_emrgncy_fndng' AS CAMPO, '2024-09-30' as ref_date, coalesce(NUM_REG_DIF, 0) AS NUM_REG_DIF FROM (SELECT count(*) AS NUM_REG_DIF FROM (SELECT entty_id as entty_id_as_is, flg_rqst_emrgncy_fndng as flg_rqst_emrgncy_fndng_as_is FROM cd_loan_tapes_bce.lt003_entity WHERE ref_date='2024-09-30' AND nome_perimetro='Individual Corporativo' AND segmento='ESTR' AND ambito='PM' AND entidade='00100' ) A  Inner join (SELECT entty_id as entty_id_to_be, flg_rqst_emrgncy_fndng as flg_rqst_emrgncy_fndng_to_be FROM bu_loantape_work.lt003_entity WHERE ref_date='2024-09-30' AND nome_perimetro='Individual Corporativo' AND segmento='ESTR' AND ambito='PM' AND entidade='00100' ) B ON entty_id_as_is = entty_id_to_be WHERE coalesce(cast(flg_rqst_emrgncy_fndng_as_is as string), '') &lt;&gt; coalesce(cast(flg_rqst_emrgncy_fndng_to_be as string), '') ) A </v>
      </c>
      <c r="O50" s="19" t="str">
        <f t="shared" si="4"/>
        <v>SELECT 'Validação de campos' as tipologia_teste, 'lt003_entity' AS TABELA, 'flg_rqst_emrgncy_fndng' AS CAMPO, '2024-09-30' as ref_date, coalesce(NUM_REG_DIF, 0) AS NUM_REG_DIF FROM (SELECT count(*) AS NUM_REG_DIF FROM (SELECT entty_id as entty_id_as_is, flg_rqst_emrgncy_fndng as flg_rqst_emrgncy_fndng_as_is FROM cd_loan_tapes_bce.lt003_entity WHERE ref_date='2024-09-30' AND nome_perimetro='Individual Corporativo' AND segmento='ESTR' AND ambito='PM' AND entidade='00100' ) A  Inner join (SELECT entty_id as entty_id_to_be, flg_rqst_emrgncy_fndng as flg_rqst_emrgncy_fndng_to_be FROM bu_loantape_work.lt003_entity WHERE ref_date='2024-09-30' AND nome_perimetro='Individual Corporativo' AND segmento='ESTR' AND ambito='PM' AND entidade='00100' ) B ON entty_id_as_is = entty_id_to_be WHERE coalesce(cast(flg_rqst_emrgncy_fndng_as_is as string), '') &lt;&gt; coalesce(cast(flg_rqst_emrgncy_fndng_to_be as string), '') ) A UNION ALL</v>
      </c>
      <c r="P50" s="17">
        <f t="shared" si="5"/>
        <v>47</v>
      </c>
    </row>
    <row r="51" spans="2:16" s="15" customFormat="1" ht="11.45">
      <c r="B51" s="17" t="s">
        <v>11</v>
      </c>
      <c r="C51" s="17" t="str">
        <f>_xlfn.CONCAT(Instruções!$D$13,".",VLOOKUP(B51,Instruções!$F$12:$H$17,2,0))</f>
        <v>cd_loan_tapes_bce.lt003_entity</v>
      </c>
      <c r="D51" s="17" t="str">
        <f>_xlfn.CONCAT(Instruções!$D$14,".",VLOOKUP(B51,Instruções!$F$12:$H$17,3,0))</f>
        <v>bu_loantape_work.lt003_entity</v>
      </c>
      <c r="E51" s="17" t="s">
        <v>103</v>
      </c>
      <c r="F51" s="17" t="str">
        <f t="shared" si="0"/>
        <v>flg_sll_wth_lss_as_is</v>
      </c>
      <c r="G51" s="17" t="str">
        <f t="shared" si="1"/>
        <v>flg_sll_wth_lss_to_be</v>
      </c>
      <c r="H51" s="17" t="str">
        <f>IF(VLOOKUP(B51,Instruções!$F$13:$J$17,5,0)="",
"(SELECT "&amp;VLOOKUP(B51,Instruções!$F$13:$J$17,4,0)&amp;" as "&amp;VLOOKUP(B51,Instruções!$F$13:$J$17,4,0)&amp;"_"&amp;$F$2&amp;", "&amp;E51&amp;" as "&amp;F51&amp;" FROM "&amp;C51&amp;" WHERE "&amp;Instruções!$D$20&amp;") A ",
"(SELECT "&amp;VLOOKUP(B51,Instruções!$F$13:$J$17,4,0)&amp;" as "&amp;VLOOKUP(B51,Instruções!$F$13:$J$17,4,0)&amp;"_"&amp;$F$2&amp;", "&amp;VLOOKUP(B51,Instruções!$F$13:$J$17,5,0)&amp;" as "&amp;VLOOKUP(B51,Instruções!$F$13:$J$17,5,0)&amp;"_"&amp;$F$2&amp;","&amp;E51&amp;" as "&amp;F51&amp;" FROM "&amp;C51&amp;" WHERE "&amp;Instruções!$D$20&amp;") A ")</f>
        <v xml:space="preserve">(SELECT entty_id as entty_id_as_is, flg_sll_wth_lss as flg_sll_wth_lss_as_is FROM cd_loan_tapes_bce.lt003_entity WHERE ref_date='2024-09-30' AND nome_perimetro='Individual Corporativo' AND segmento='ESTR' AND ambito='PM' AND entidade='00100' ) A </v>
      </c>
      <c r="I51" s="17" t="str">
        <f>IF(VLOOKUP(B51,Instruções!$F$13:$J$17,5,0)="",
"(SELECT "&amp;VLOOKUP(B51,Instruções!$F$13:$J$17,4,0)&amp;" as "&amp;VLOOKUP(B51,Instruções!$F$13:$J$17,4,0)&amp;"_"&amp;$G$2&amp;", "&amp;E51&amp;" as "&amp;G51&amp;" FROM "&amp;D51&amp;" WHERE "&amp;Instruções!$D$21&amp;") B ",
"(SELECT "&amp;VLOOKUP(B51,Instruções!$F$13:$J$17,4,0)&amp;" as "&amp;VLOOKUP(B51,Instruções!$F$13:$J$17,4,0)&amp;"_"&amp;$G$2&amp;", "&amp;VLOOKUP(B51,Instruções!$F$13:$J$17,5,0)&amp;" as "&amp;VLOOKUP(B51,Instruções!$F$13:$J$17,5,0)&amp;"_"&amp;$G$2&amp;","&amp;E51&amp;" as "&amp;G51&amp;" FROM "&amp;D51&amp;" WHERE "&amp;Instruções!$D$21&amp;") B ")</f>
        <v xml:space="preserve">(SELECT entty_id as entty_id_to_be, flg_sll_wth_lss as flg_sll_wth_lss_to_be FROM bu_loantape_work.lt003_entity WHERE ref_date='2024-09-30' AND nome_perimetro='Individual Corporativo' AND segmento='ESTR' AND ambito='PM' AND entidade='00100' ) B </v>
      </c>
      <c r="J51" s="17" t="str">
        <f>IF(VLOOKUP(B51,Instruções!$F$13:$J$17,5,0)="",
"ON "&amp;VLOOKUP(B51,Instruções!$F$13:$J$17,4,0)&amp;"_"&amp;$F$2&amp;" = "&amp;VLOOKUP(B51,Instruções!$F$13:$J$17,4,0)&amp;"_"&amp;$G$2&amp;" ",
"ON "&amp;VLOOKUP(B51,Instruções!$F$13:$J$17,4,0)&amp;"_"&amp;$F$2&amp;" = "&amp;VLOOKUP(B51,Instruções!$F$13:$J$17,4,0)&amp;"_"&amp;$G$2&amp;" AND "&amp;VLOOKUP(B51,Instruções!$F$13:$J$17,5,0)&amp;"_"&amp;$F$2&amp;" = "&amp;VLOOKUP(B51,Instruções!$F$13:$J$17,5,0)&amp;"_"&amp;$G$2&amp;" ")</f>
        <v xml:space="preserve">ON entty_id_as_is = entty_id_to_be </v>
      </c>
      <c r="K51" s="17" t="str">
        <f t="shared" si="2"/>
        <v xml:space="preserve">WHERE coalesce(cast(flg_sll_wth_lss_as_is as string), '') &lt;&gt; coalesce(cast(flg_sll_wth_lss_to_be as string), '') </v>
      </c>
      <c r="L51" s="17" t="str">
        <f t="shared" si="3"/>
        <v xml:space="preserve">SELECT count(*) AS NUM_REG_DIF FROM (SELECT entty_id as entty_id_as_is, flg_sll_wth_lss as flg_sll_wth_lss_as_is FROM cd_loan_tapes_bce.lt003_entity WHERE ref_date='2024-09-30' AND nome_perimetro='Individual Corporativo' AND segmento='ESTR' AND ambito='PM' AND entidade='00100' ) A  Inner join (SELECT entty_id as entty_id_to_be, flg_sll_wth_lss as flg_sll_wth_lss_to_be FROM bu_loantape_work.lt003_entity WHERE ref_date='2024-09-30' AND nome_perimetro='Individual Corporativo' AND segmento='ESTR' AND ambito='PM' AND entidade='00100' ) B ON entty_id_as_is = entty_id_to_be WHERE coalesce(cast(flg_sll_wth_lss_as_is as string), '') &lt;&gt; coalesce(cast(flg_sll_wth_lss_to_be as string), '') </v>
      </c>
      <c r="M51" s="17" t="s">
        <v>55</v>
      </c>
      <c r="N51" s="17" t="str">
        <f>"SELECT 'Validação de campos' as tipologia_teste, '"&amp;VLOOKUP(B51,Instruções!$F$13:$J$17,3,0)&amp;"' AS TABELA, '"&amp;E51&amp;"' AS CAMPO, '"&amp;Instruções!$D$15&amp;"' as ref_date, coalesce(NUM_REG_DIF, 0) AS NUM_REG_DIF FROM ("&amp;L51&amp;") A "</f>
        <v xml:space="preserve">SELECT 'Validação de campos' as tipologia_teste, 'lt003_entity' AS TABELA, 'flg_sll_wth_lss' AS CAMPO, '2024-09-30' as ref_date, coalesce(NUM_REG_DIF, 0) AS NUM_REG_DIF FROM (SELECT count(*) AS NUM_REG_DIF FROM (SELECT entty_id as entty_id_as_is, flg_sll_wth_lss as flg_sll_wth_lss_as_is FROM cd_loan_tapes_bce.lt003_entity WHERE ref_date='2024-09-30' AND nome_perimetro='Individual Corporativo' AND segmento='ESTR' AND ambito='PM' AND entidade='00100' ) A  Inner join (SELECT entty_id as entty_id_to_be, flg_sll_wth_lss as flg_sll_wth_lss_to_be FROM bu_loantape_work.lt003_entity WHERE ref_date='2024-09-30' AND nome_perimetro='Individual Corporativo' AND segmento='ESTR' AND ambito='PM' AND entidade='00100' ) B ON entty_id_as_is = entty_id_to_be WHERE coalesce(cast(flg_sll_wth_lss_as_is as string), '') &lt;&gt; coalesce(cast(flg_sll_wth_lss_to_be as string), '') ) A </v>
      </c>
      <c r="O51" s="19" t="str">
        <f t="shared" si="4"/>
        <v>SELECT 'Validação de campos' as tipologia_teste, 'lt003_entity' AS TABELA, 'flg_sll_wth_lss' AS CAMPO, '2024-09-30' as ref_date, coalesce(NUM_REG_DIF, 0) AS NUM_REG_DIF FROM (SELECT count(*) AS NUM_REG_DIF FROM (SELECT entty_id as entty_id_as_is, flg_sll_wth_lss as flg_sll_wth_lss_as_is FROM cd_loan_tapes_bce.lt003_entity WHERE ref_date='2024-09-30' AND nome_perimetro='Individual Corporativo' AND segmento='ESTR' AND ambito='PM' AND entidade='00100' ) A  Inner join (SELECT entty_id as entty_id_to_be, flg_sll_wth_lss as flg_sll_wth_lss_to_be FROM bu_loantape_work.lt003_entity WHERE ref_date='2024-09-30' AND nome_perimetro='Individual Corporativo' AND segmento='ESTR' AND ambito='PM' AND entidade='00100' ) B ON entty_id_as_is = entty_id_to_be WHERE coalesce(cast(flg_sll_wth_lss_as_is as string), '') &lt;&gt; coalesce(cast(flg_sll_wth_lss_to_be as string), '') ) A UNION ALL</v>
      </c>
      <c r="P51" s="17">
        <f t="shared" si="5"/>
        <v>48</v>
      </c>
    </row>
    <row r="52" spans="2:16" s="15" customFormat="1" ht="11.45">
      <c r="B52" s="17" t="s">
        <v>11</v>
      </c>
      <c r="C52" s="17" t="str">
        <f>_xlfn.CONCAT(Instruções!$D$13,".",VLOOKUP(B52,Instruções!$F$12:$H$17,2,0))</f>
        <v>cd_loan_tapes_bce.lt003_entity</v>
      </c>
      <c r="D52" s="17" t="str">
        <f>_xlfn.CONCAT(Instruções!$D$14,".",VLOOKUP(B52,Instruções!$F$12:$H$17,3,0))</f>
        <v>bu_loantape_work.lt003_entity</v>
      </c>
      <c r="E52" s="17" t="s">
        <v>106</v>
      </c>
      <c r="F52" s="17" t="str">
        <f t="shared" si="0"/>
        <v>fr_csh_flw_as_is</v>
      </c>
      <c r="G52" s="17" t="str">
        <f t="shared" si="1"/>
        <v>fr_csh_flw_to_be</v>
      </c>
      <c r="H52" s="17" t="str">
        <f>IF(VLOOKUP(B52,Instruções!$F$13:$J$17,5,0)="",
"(SELECT "&amp;VLOOKUP(B52,Instruções!$F$13:$J$17,4,0)&amp;" as "&amp;VLOOKUP(B52,Instruções!$F$13:$J$17,4,0)&amp;"_"&amp;$F$2&amp;", "&amp;E52&amp;" as "&amp;F52&amp;" FROM "&amp;C52&amp;" WHERE "&amp;Instruções!$D$20&amp;") A ",
"(SELECT "&amp;VLOOKUP(B52,Instruções!$F$13:$J$17,4,0)&amp;" as "&amp;VLOOKUP(B52,Instruções!$F$13:$J$17,4,0)&amp;"_"&amp;$F$2&amp;", "&amp;VLOOKUP(B52,Instruções!$F$13:$J$17,5,0)&amp;" as "&amp;VLOOKUP(B52,Instruções!$F$13:$J$17,5,0)&amp;"_"&amp;$F$2&amp;","&amp;E52&amp;" as "&amp;F52&amp;" FROM "&amp;C52&amp;" WHERE "&amp;Instruções!$D$20&amp;") A ")</f>
        <v xml:space="preserve">(SELECT entty_id as entty_id_as_is, fr_csh_flw as fr_csh_flw_as_is FROM cd_loan_tapes_bce.lt003_entity WHERE ref_date='2024-09-30' AND nome_perimetro='Individual Corporativo' AND segmento='ESTR' AND ambito='PM' AND entidade='00100' ) A </v>
      </c>
      <c r="I52" s="17" t="str">
        <f>IF(VLOOKUP(B52,Instruções!$F$13:$J$17,5,0)="",
"(SELECT "&amp;VLOOKUP(B52,Instruções!$F$13:$J$17,4,0)&amp;" as "&amp;VLOOKUP(B52,Instruções!$F$13:$J$17,4,0)&amp;"_"&amp;$G$2&amp;", "&amp;E52&amp;" as "&amp;G52&amp;" FROM "&amp;D52&amp;" WHERE "&amp;Instruções!$D$21&amp;") B ",
"(SELECT "&amp;VLOOKUP(B52,Instruções!$F$13:$J$17,4,0)&amp;" as "&amp;VLOOKUP(B52,Instruções!$F$13:$J$17,4,0)&amp;"_"&amp;$G$2&amp;", "&amp;VLOOKUP(B52,Instruções!$F$13:$J$17,5,0)&amp;" as "&amp;VLOOKUP(B52,Instruções!$F$13:$J$17,5,0)&amp;"_"&amp;$G$2&amp;","&amp;E52&amp;" as "&amp;G52&amp;" FROM "&amp;D52&amp;" WHERE "&amp;Instruções!$D$21&amp;") B ")</f>
        <v xml:space="preserve">(SELECT entty_id as entty_id_to_be, fr_csh_flw as fr_csh_flw_to_be FROM bu_loantape_work.lt003_entity WHERE ref_date='2024-09-30' AND nome_perimetro='Individual Corporativo' AND segmento='ESTR' AND ambito='PM' AND entidade='00100' ) B </v>
      </c>
      <c r="J52" s="17" t="str">
        <f>IF(VLOOKUP(B52,Instruções!$F$13:$J$17,5,0)="",
"ON "&amp;VLOOKUP(B52,Instruções!$F$13:$J$17,4,0)&amp;"_"&amp;$F$2&amp;" = "&amp;VLOOKUP(B52,Instruções!$F$13:$J$17,4,0)&amp;"_"&amp;$G$2&amp;" ",
"ON "&amp;VLOOKUP(B52,Instruções!$F$13:$J$17,4,0)&amp;"_"&amp;$F$2&amp;" = "&amp;VLOOKUP(B52,Instruções!$F$13:$J$17,4,0)&amp;"_"&amp;$G$2&amp;" AND "&amp;VLOOKUP(B52,Instruções!$F$13:$J$17,5,0)&amp;"_"&amp;$F$2&amp;" = "&amp;VLOOKUP(B52,Instruções!$F$13:$J$17,5,0)&amp;"_"&amp;$G$2&amp;" ")</f>
        <v xml:space="preserve">ON entty_id_as_is = entty_id_to_be </v>
      </c>
      <c r="K52" s="17" t="str">
        <f t="shared" si="2"/>
        <v xml:space="preserve">WHERE coalesce(cast(fr_csh_flw_as_is as string), '') &lt;&gt; coalesce(cast(fr_csh_flw_to_be as string), '') </v>
      </c>
      <c r="L52" s="17" t="str">
        <f t="shared" si="3"/>
        <v xml:space="preserve">SELECT count(*) AS NUM_REG_DIF FROM (SELECT entty_id as entty_id_as_is, fr_csh_flw as fr_csh_flw_as_is FROM cd_loan_tapes_bce.lt003_entity WHERE ref_date='2024-09-30' AND nome_perimetro='Individual Corporativo' AND segmento='ESTR' AND ambito='PM' AND entidade='00100' ) A  Inner join (SELECT entty_id as entty_id_to_be, fr_csh_flw as fr_csh_flw_to_be FROM bu_loantape_work.lt003_entity WHERE ref_date='2024-09-30' AND nome_perimetro='Individual Corporativo' AND segmento='ESTR' AND ambito='PM' AND entidade='00100' ) B ON entty_id_as_is = entty_id_to_be WHERE coalesce(cast(fr_csh_flw_as_is as string), '') &lt;&gt; coalesce(cast(fr_csh_flw_to_be as string), '') </v>
      </c>
      <c r="M52" s="17" t="s">
        <v>55</v>
      </c>
      <c r="N52" s="17" t="str">
        <f>"SELECT 'Validação de campos' as tipologia_teste, '"&amp;VLOOKUP(B52,Instruções!$F$13:$J$17,3,0)&amp;"' AS TABELA, '"&amp;E52&amp;"' AS CAMPO, '"&amp;Instruções!$D$15&amp;"' as ref_date, coalesce(NUM_REG_DIF, 0) AS NUM_REG_DIF FROM ("&amp;L52&amp;") A "</f>
        <v xml:space="preserve">SELECT 'Validação de campos' as tipologia_teste, 'lt003_entity' AS TABELA, 'fr_csh_flw' AS CAMPO, '2024-09-30' as ref_date, coalesce(NUM_REG_DIF, 0) AS NUM_REG_DIF FROM (SELECT count(*) AS NUM_REG_DIF FROM (SELECT entty_id as entty_id_as_is, fr_csh_flw as fr_csh_flw_as_is FROM cd_loan_tapes_bce.lt003_entity WHERE ref_date='2024-09-30' AND nome_perimetro='Individual Corporativo' AND segmento='ESTR' AND ambito='PM' AND entidade='00100' ) A  Inner join (SELECT entty_id as entty_id_to_be, fr_csh_flw as fr_csh_flw_to_be FROM bu_loantape_work.lt003_entity WHERE ref_date='2024-09-30' AND nome_perimetro='Individual Corporativo' AND segmento='ESTR' AND ambito='PM' AND entidade='00100' ) B ON entty_id_as_is = entty_id_to_be WHERE coalesce(cast(fr_csh_flw_as_is as string), '') &lt;&gt; coalesce(cast(fr_csh_flw_to_be as string), '') ) A </v>
      </c>
      <c r="O52" s="19" t="str">
        <f t="shared" si="4"/>
        <v>SELECT 'Validação de campos' as tipologia_teste, 'lt003_entity' AS TABELA, 'fr_csh_flw' AS CAMPO, '2024-09-30' as ref_date, coalesce(NUM_REG_DIF, 0) AS NUM_REG_DIF FROM (SELECT count(*) AS NUM_REG_DIF FROM (SELECT entty_id as entty_id_as_is, fr_csh_flw as fr_csh_flw_as_is FROM cd_loan_tapes_bce.lt003_entity WHERE ref_date='2024-09-30' AND nome_perimetro='Individual Corporativo' AND segmento='ESTR' AND ambito='PM' AND entidade='00100' ) A  Inner join (SELECT entty_id as entty_id_to_be, fr_csh_flw as fr_csh_flw_to_be FROM bu_loantape_work.lt003_entity WHERE ref_date='2024-09-30' AND nome_perimetro='Individual Corporativo' AND segmento='ESTR' AND ambito='PM' AND entidade='00100' ) B ON entty_id_as_is = entty_id_to_be WHERE coalesce(cast(fr_csh_flw_as_is as string), '') &lt;&gt; coalesce(cast(fr_csh_flw_to_be as string), '') ) A UNION ALL</v>
      </c>
      <c r="P52" s="17">
        <f t="shared" si="5"/>
        <v>49</v>
      </c>
    </row>
    <row r="53" spans="2:16" s="15" customFormat="1" ht="11.45">
      <c r="B53" s="17" t="s">
        <v>11</v>
      </c>
      <c r="C53" s="17" t="str">
        <f>_xlfn.CONCAT(Instruções!$D$13,".",VLOOKUP(B53,Instruções!$F$12:$H$17,2,0))</f>
        <v>cd_loan_tapes_bce.lt003_entity</v>
      </c>
      <c r="D53" s="17" t="str">
        <f>_xlfn.CONCAT(Instruções!$D$14,".",VLOOKUP(B53,Instruções!$F$12:$H$17,3,0))</f>
        <v>bu_loantape_work.lt003_entity</v>
      </c>
      <c r="E53" s="17" t="s">
        <v>107</v>
      </c>
      <c r="F53" s="17" t="str">
        <f t="shared" si="0"/>
        <v>fr_csh_flw_t1_as_is</v>
      </c>
      <c r="G53" s="17" t="str">
        <f t="shared" si="1"/>
        <v>fr_csh_flw_t1_to_be</v>
      </c>
      <c r="H53" s="17" t="str">
        <f>IF(VLOOKUP(B53,Instruções!$F$13:$J$17,5,0)="",
"(SELECT "&amp;VLOOKUP(B53,Instruções!$F$13:$J$17,4,0)&amp;" as "&amp;VLOOKUP(B53,Instruções!$F$13:$J$17,4,0)&amp;"_"&amp;$F$2&amp;", "&amp;E53&amp;" as "&amp;F53&amp;" FROM "&amp;C53&amp;" WHERE "&amp;Instruções!$D$20&amp;") A ",
"(SELECT "&amp;VLOOKUP(B53,Instruções!$F$13:$J$17,4,0)&amp;" as "&amp;VLOOKUP(B53,Instruções!$F$13:$J$17,4,0)&amp;"_"&amp;$F$2&amp;", "&amp;VLOOKUP(B53,Instruções!$F$13:$J$17,5,0)&amp;" as "&amp;VLOOKUP(B53,Instruções!$F$13:$J$17,5,0)&amp;"_"&amp;$F$2&amp;","&amp;E53&amp;" as "&amp;F53&amp;" FROM "&amp;C53&amp;" WHERE "&amp;Instruções!$D$20&amp;") A ")</f>
        <v xml:space="preserve">(SELECT entty_id as entty_id_as_is, fr_csh_flw_t1 as fr_csh_flw_t1_as_is FROM cd_loan_tapes_bce.lt003_entity WHERE ref_date='2024-09-30' AND nome_perimetro='Individual Corporativo' AND segmento='ESTR' AND ambito='PM' AND entidade='00100' ) A </v>
      </c>
      <c r="I53" s="17" t="str">
        <f>IF(VLOOKUP(B53,Instruções!$F$13:$J$17,5,0)="",
"(SELECT "&amp;VLOOKUP(B53,Instruções!$F$13:$J$17,4,0)&amp;" as "&amp;VLOOKUP(B53,Instruções!$F$13:$J$17,4,0)&amp;"_"&amp;$G$2&amp;", "&amp;E53&amp;" as "&amp;G53&amp;" FROM "&amp;D53&amp;" WHERE "&amp;Instruções!$D$21&amp;") B ",
"(SELECT "&amp;VLOOKUP(B53,Instruções!$F$13:$J$17,4,0)&amp;" as "&amp;VLOOKUP(B53,Instruções!$F$13:$J$17,4,0)&amp;"_"&amp;$G$2&amp;", "&amp;VLOOKUP(B53,Instruções!$F$13:$J$17,5,0)&amp;" as "&amp;VLOOKUP(B53,Instruções!$F$13:$J$17,5,0)&amp;"_"&amp;$G$2&amp;","&amp;E53&amp;" as "&amp;G53&amp;" FROM "&amp;D53&amp;" WHERE "&amp;Instruções!$D$21&amp;") B ")</f>
        <v xml:space="preserve">(SELECT entty_id as entty_id_to_be, fr_csh_flw_t1 as fr_csh_flw_t1_to_be FROM bu_loantape_work.lt003_entity WHERE ref_date='2024-09-30' AND nome_perimetro='Individual Corporativo' AND segmento='ESTR' AND ambito='PM' AND entidade='00100' ) B </v>
      </c>
      <c r="J53" s="17" t="str">
        <f>IF(VLOOKUP(B53,Instruções!$F$13:$J$17,5,0)="",
"ON "&amp;VLOOKUP(B53,Instruções!$F$13:$J$17,4,0)&amp;"_"&amp;$F$2&amp;" = "&amp;VLOOKUP(B53,Instruções!$F$13:$J$17,4,0)&amp;"_"&amp;$G$2&amp;" ",
"ON "&amp;VLOOKUP(B53,Instruções!$F$13:$J$17,4,0)&amp;"_"&amp;$F$2&amp;" = "&amp;VLOOKUP(B53,Instruções!$F$13:$J$17,4,0)&amp;"_"&amp;$G$2&amp;" AND "&amp;VLOOKUP(B53,Instruções!$F$13:$J$17,5,0)&amp;"_"&amp;$F$2&amp;" = "&amp;VLOOKUP(B53,Instruções!$F$13:$J$17,5,0)&amp;"_"&amp;$G$2&amp;" ")</f>
        <v xml:space="preserve">ON entty_id_as_is = entty_id_to_be </v>
      </c>
      <c r="K53" s="17" t="str">
        <f t="shared" si="2"/>
        <v xml:space="preserve">WHERE coalesce(cast(fr_csh_flw_t1_as_is as string), '') &lt;&gt; coalesce(cast(fr_csh_flw_t1_to_be as string), '') </v>
      </c>
      <c r="L53" s="17" t="str">
        <f t="shared" si="3"/>
        <v xml:space="preserve">SELECT count(*) AS NUM_REG_DIF FROM (SELECT entty_id as entty_id_as_is, fr_csh_flw_t1 as fr_csh_flw_t1_as_is FROM cd_loan_tapes_bce.lt003_entity WHERE ref_date='2024-09-30' AND nome_perimetro='Individual Corporativo' AND segmento='ESTR' AND ambito='PM' AND entidade='00100' ) A  Inner join (SELECT entty_id as entty_id_to_be, fr_csh_flw_t1 as fr_csh_flw_t1_to_be FROM bu_loantape_work.lt003_entity WHERE ref_date='2024-09-30' AND nome_perimetro='Individual Corporativo' AND segmento='ESTR' AND ambito='PM' AND entidade='00100' ) B ON entty_id_as_is = entty_id_to_be WHERE coalesce(cast(fr_csh_flw_t1_as_is as string), '') &lt;&gt; coalesce(cast(fr_csh_flw_t1_to_be as string), '') </v>
      </c>
      <c r="M53" s="17" t="s">
        <v>55</v>
      </c>
      <c r="N53" s="17" t="str">
        <f>"SELECT 'Validação de campos' as tipologia_teste, '"&amp;VLOOKUP(B53,Instruções!$F$13:$J$17,3,0)&amp;"' AS TABELA, '"&amp;E53&amp;"' AS CAMPO, '"&amp;Instruções!$D$15&amp;"' as ref_date, coalesce(NUM_REG_DIF, 0) AS NUM_REG_DIF FROM ("&amp;L53&amp;") A "</f>
        <v xml:space="preserve">SELECT 'Validação de campos' as tipologia_teste, 'lt003_entity' AS TABELA, 'fr_csh_flw_t1' AS CAMPO, '2024-09-30' as ref_date, coalesce(NUM_REG_DIF, 0) AS NUM_REG_DIF FROM (SELECT count(*) AS NUM_REG_DIF FROM (SELECT entty_id as entty_id_as_is, fr_csh_flw_t1 as fr_csh_flw_t1_as_is FROM cd_loan_tapes_bce.lt003_entity WHERE ref_date='2024-09-30' AND nome_perimetro='Individual Corporativo' AND segmento='ESTR' AND ambito='PM' AND entidade='00100' ) A  Inner join (SELECT entty_id as entty_id_to_be, fr_csh_flw_t1 as fr_csh_flw_t1_to_be FROM bu_loantape_work.lt003_entity WHERE ref_date='2024-09-30' AND nome_perimetro='Individual Corporativo' AND segmento='ESTR' AND ambito='PM' AND entidade='00100' ) B ON entty_id_as_is = entty_id_to_be WHERE coalesce(cast(fr_csh_flw_t1_as_is as string), '') &lt;&gt; coalesce(cast(fr_csh_flw_t1_to_be as string), '') ) A </v>
      </c>
      <c r="O53" s="19" t="str">
        <f t="shared" si="4"/>
        <v xml:space="preserve">SELECT 'Validação de campos' as tipologia_teste, 'lt003_entity' AS TABELA, 'fr_csh_flw_t1' AS CAMPO, '2024-09-30' as ref_date, coalesce(NUM_REG_DIF, 0) AS NUM_REG_DIF FROM (SELECT count(*) AS NUM_REG_DIF FROM (SELECT entty_id as entty_id_as_is, fr_csh_flw_t1 as fr_csh_flw_t1_as_is FROM cd_loan_tapes_bce.lt003_entity WHERE ref_date='2024-09-30' AND nome_perimetro='Individual Corporativo' AND segmento='ESTR' AND ambito='PM' AND entidade='00100' ) A  Inner join (SELECT entty_id as entty_id_to_be, fr_csh_flw_t1 as fr_csh_flw_t1_to_be FROM bu_loantape_work.lt003_entity WHERE ref_date='2024-09-30' AND nome_perimetro='Individual Corporativo' AND segmento='ESTR' AND ambito='PM' AND entidade='00100' ) B ON entty_id_as_is = entty_id_to_be WHERE coalesce(cast(fr_csh_flw_t1_as_is as string), '') &lt;&gt; coalesce(cast(fr_csh_flw_t1_to_be as string), '') ) A </v>
      </c>
      <c r="P53" s="17">
        <f t="shared" si="5"/>
        <v>50</v>
      </c>
    </row>
    <row r="54" spans="2:16" s="15" customFormat="1" ht="11.4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  <c r="P54" s="18"/>
    </row>
    <row r="55" spans="2:16" s="15" customFormat="1" ht="11.45">
      <c r="B55" s="17" t="s">
        <v>11</v>
      </c>
      <c r="C55" s="17" t="str">
        <f>_xlfn.CONCAT(Instruções!$D$13,".",VLOOKUP(B55,Instruções!$F$12:$H$17,2,0))</f>
        <v>cd_loan_tapes_bce.lt003_entity</v>
      </c>
      <c r="D55" s="17" t="str">
        <f>_xlfn.CONCAT(Instruções!$D$14,".",VLOOKUP(B55,Instruções!$F$12:$H$17,3,0))</f>
        <v>bu_loantape_work.lt003_entity</v>
      </c>
      <c r="E55" s="17" t="s">
        <v>108</v>
      </c>
      <c r="F55" s="17" t="str">
        <f t="shared" ref="F55:F103" si="6">E55&amp;"_"&amp;$F$2</f>
        <v>fr_csh_flw_t2_as_is</v>
      </c>
      <c r="G55" s="17" t="str">
        <f t="shared" ref="G55:G103" si="7">E55&amp;"_"&amp;$G$2</f>
        <v>fr_csh_flw_t2_to_be</v>
      </c>
      <c r="H55" s="17" t="str">
        <f>IF(VLOOKUP(B55,Instruções!$F$13:$J$17,5,0)="",
"(SELECT "&amp;VLOOKUP(B55,Instruções!$F$13:$J$17,4,0)&amp;" as "&amp;VLOOKUP(B55,Instruções!$F$13:$J$17,4,0)&amp;"_"&amp;$F$2&amp;", "&amp;E55&amp;" as "&amp;F55&amp;" FROM "&amp;C55&amp;" WHERE "&amp;Instruções!$D$20&amp;") A ",
"(SELECT "&amp;VLOOKUP(B55,Instruções!$F$13:$J$17,4,0)&amp;" as "&amp;VLOOKUP(B55,Instruções!$F$13:$J$17,4,0)&amp;"_"&amp;$F$2&amp;", "&amp;VLOOKUP(B55,Instruções!$F$13:$J$17,5,0)&amp;" as "&amp;VLOOKUP(B55,Instruções!$F$13:$J$17,5,0)&amp;"_"&amp;$F$2&amp;","&amp;E55&amp;" as "&amp;F55&amp;" FROM "&amp;C55&amp;" WHERE "&amp;Instruções!$D$20&amp;") A ")</f>
        <v xml:space="preserve">(SELECT entty_id as entty_id_as_is, fr_csh_flw_t2 as fr_csh_flw_t2_as_is FROM cd_loan_tapes_bce.lt003_entity WHERE ref_date='2024-09-30' AND nome_perimetro='Individual Corporativo' AND segmento='ESTR' AND ambito='PM' AND entidade='00100' ) A </v>
      </c>
      <c r="I55" s="17" t="str">
        <f>IF(VLOOKUP(B55,Instruções!$F$13:$J$17,5,0)="",
"(SELECT "&amp;VLOOKUP(B55,Instruções!$F$13:$J$17,4,0)&amp;" as "&amp;VLOOKUP(B55,Instruções!$F$13:$J$17,4,0)&amp;"_"&amp;$G$2&amp;", "&amp;E55&amp;" as "&amp;G55&amp;" FROM "&amp;D55&amp;" WHERE "&amp;Instruções!$D$21&amp;") B ",
"(SELECT "&amp;VLOOKUP(B55,Instruções!$F$13:$J$17,4,0)&amp;" as "&amp;VLOOKUP(B55,Instruções!$F$13:$J$17,4,0)&amp;"_"&amp;$G$2&amp;", "&amp;VLOOKUP(B55,Instruções!$F$13:$J$17,5,0)&amp;" as "&amp;VLOOKUP(B55,Instruções!$F$13:$J$17,5,0)&amp;"_"&amp;$G$2&amp;","&amp;E55&amp;" as "&amp;G55&amp;" FROM "&amp;D55&amp;" WHERE "&amp;Instruções!$D$21&amp;") B ")</f>
        <v xml:space="preserve">(SELECT entty_id as entty_id_to_be, fr_csh_flw_t2 as fr_csh_flw_t2_to_be FROM bu_loantape_work.lt003_entity WHERE ref_date='2024-09-30' AND nome_perimetro='Individual Corporativo' AND segmento='ESTR' AND ambito='PM' AND entidade='00100' ) B </v>
      </c>
      <c r="J55" s="17" t="str">
        <f>IF(VLOOKUP(B55,Instruções!$F$13:$J$17,5,0)="",
"ON "&amp;VLOOKUP(B55,Instruções!$F$13:$J$17,4,0)&amp;"_"&amp;$F$2&amp;" = "&amp;VLOOKUP(B55,Instruções!$F$13:$J$17,4,0)&amp;"_"&amp;$G$2&amp;" ",
"ON "&amp;VLOOKUP(B55,Instruções!$F$13:$J$17,4,0)&amp;"_"&amp;$F$2&amp;" = "&amp;VLOOKUP(B55,Instruções!$F$13:$J$17,4,0)&amp;"_"&amp;$G$2&amp;" AND "&amp;VLOOKUP(B55,Instruções!$F$13:$J$17,5,0)&amp;"_"&amp;$F$2&amp;" = "&amp;VLOOKUP(B55,Instruções!$F$13:$J$17,5,0)&amp;"_"&amp;$G$2&amp;" ")</f>
        <v xml:space="preserve">ON entty_id_as_is = entty_id_to_be </v>
      </c>
      <c r="K55" s="17" t="str">
        <f t="shared" ref="K55:K103" si="8">"WHERE coalesce(cast("&amp;F55&amp;" as string), '') &lt;&gt; coalesce(cast("&amp;G55&amp;" as string), '') "</f>
        <v xml:space="preserve">WHERE coalesce(cast(fr_csh_flw_t2_as_is as string), '') &lt;&gt; coalesce(cast(fr_csh_flw_t2_to_be as string), '') </v>
      </c>
      <c r="L55" s="17" t="str">
        <f t="shared" ref="L55:L103" si="9">"SELECT count(*) AS NUM_REG_DIF FROM "&amp;H55&amp;" Inner join "&amp;I55&amp;J55&amp;K55</f>
        <v xml:space="preserve">SELECT count(*) AS NUM_REG_DIF FROM (SELECT entty_id as entty_id_as_is, fr_csh_flw_t2 as fr_csh_flw_t2_as_is FROM cd_loan_tapes_bce.lt003_entity WHERE ref_date='2024-09-30' AND nome_perimetro='Individual Corporativo' AND segmento='ESTR' AND ambito='PM' AND entidade='00100' ) A  Inner join (SELECT entty_id as entty_id_to_be, fr_csh_flw_t2 as fr_csh_flw_t2_to_be FROM bu_loantape_work.lt003_entity WHERE ref_date='2024-09-30' AND nome_perimetro='Individual Corporativo' AND segmento='ESTR' AND ambito='PM' AND entidade='00100' ) B ON entty_id_as_is = entty_id_to_be WHERE coalesce(cast(fr_csh_flw_t2_as_is as string), '') &lt;&gt; coalesce(cast(fr_csh_flw_t2_to_be as string), '') </v>
      </c>
      <c r="M55" s="17" t="s">
        <v>55</v>
      </c>
      <c r="N55" s="17" t="str">
        <f>"SELECT 'Validação de campos' as tipologia_teste, '"&amp;VLOOKUP(B55,Instruções!$F$13:$J$17,3,0)&amp;"' AS TABELA, '"&amp;E55&amp;"' AS CAMPO, '"&amp;Instruções!$D$15&amp;"' as ref_date, coalesce(NUM_REG_DIF, 0) AS NUM_REG_DIF FROM ("&amp;L55&amp;") A "</f>
        <v xml:space="preserve">SELECT 'Validação de campos' as tipologia_teste, 'lt003_entity' AS TABELA, 'fr_csh_flw_t2' AS CAMPO, '2024-09-30' as ref_date, coalesce(NUM_REG_DIF, 0) AS NUM_REG_DIF FROM (SELECT count(*) AS NUM_REG_DIF FROM (SELECT entty_id as entty_id_as_is, fr_csh_flw_t2 as fr_csh_flw_t2_as_is FROM cd_loan_tapes_bce.lt003_entity WHERE ref_date='2024-09-30' AND nome_perimetro='Individual Corporativo' AND segmento='ESTR' AND ambito='PM' AND entidade='00100' ) A  Inner join (SELECT entty_id as entty_id_to_be, fr_csh_flw_t2 as fr_csh_flw_t2_to_be FROM bu_loantape_work.lt003_entity WHERE ref_date='2024-09-30' AND nome_perimetro='Individual Corporativo' AND segmento='ESTR' AND ambito='PM' AND entidade='00100' ) B ON entty_id_as_is = entty_id_to_be WHERE coalesce(cast(fr_csh_flw_t2_as_is as string), '') &lt;&gt; coalesce(cast(fr_csh_flw_t2_to_be as string), '') ) A </v>
      </c>
      <c r="O55" s="19" t="str">
        <f t="shared" si="4"/>
        <v>SELECT 'Validação de campos' as tipologia_teste, 'lt003_entity' AS TABELA, 'fr_csh_flw_t2' AS CAMPO, '2024-09-30' as ref_date, coalesce(NUM_REG_DIF, 0) AS NUM_REG_DIF FROM (SELECT count(*) AS NUM_REG_DIF FROM (SELECT entty_id as entty_id_as_is, fr_csh_flw_t2 as fr_csh_flw_t2_as_is FROM cd_loan_tapes_bce.lt003_entity WHERE ref_date='2024-09-30' AND nome_perimetro='Individual Corporativo' AND segmento='ESTR' AND ambito='PM' AND entidade='00100' ) A  Inner join (SELECT entty_id as entty_id_to_be, fr_csh_flw_t2 as fr_csh_flw_t2_to_be FROM bu_loantape_work.lt003_entity WHERE ref_date='2024-09-30' AND nome_perimetro='Individual Corporativo' AND segmento='ESTR' AND ambito='PM' AND entidade='00100' ) B ON entty_id_as_is = entty_id_to_be WHERE coalesce(cast(fr_csh_flw_t2_as_is as string), '') &lt;&gt; coalesce(cast(fr_csh_flw_t2_to_be as string), '') ) A UNION ALL</v>
      </c>
      <c r="P55" s="17">
        <f>P54+1</f>
        <v>1</v>
      </c>
    </row>
    <row r="56" spans="2:16" s="15" customFormat="1" ht="11.45">
      <c r="B56" s="17" t="s">
        <v>11</v>
      </c>
      <c r="C56" s="17" t="str">
        <f>_xlfn.CONCAT(Instruções!$D$13,".",VLOOKUP(B56,Instruções!$F$12:$H$17,2,0))</f>
        <v>cd_loan_tapes_bce.lt003_entity</v>
      </c>
      <c r="D56" s="17" t="str">
        <f>_xlfn.CONCAT(Instruções!$D$14,".",VLOOKUP(B56,Instruções!$F$12:$H$17,3,0))</f>
        <v>bu_loantape_work.lt003_entity</v>
      </c>
      <c r="E56" s="17" t="s">
        <v>109</v>
      </c>
      <c r="F56" s="17" t="str">
        <f t="shared" si="6"/>
        <v>fr_csh_flw_t3_as_is</v>
      </c>
      <c r="G56" s="17" t="str">
        <f t="shared" si="7"/>
        <v>fr_csh_flw_t3_to_be</v>
      </c>
      <c r="H56" s="17" t="str">
        <f>IF(VLOOKUP(B56,Instruções!$F$13:$J$17,5,0)="",
"(SELECT "&amp;VLOOKUP(B56,Instruções!$F$13:$J$17,4,0)&amp;" as "&amp;VLOOKUP(B56,Instruções!$F$13:$J$17,4,0)&amp;"_"&amp;$F$2&amp;", "&amp;E56&amp;" as "&amp;F56&amp;" FROM "&amp;C56&amp;" WHERE "&amp;Instruções!$D$20&amp;") A ",
"(SELECT "&amp;VLOOKUP(B56,Instruções!$F$13:$J$17,4,0)&amp;" as "&amp;VLOOKUP(B56,Instruções!$F$13:$J$17,4,0)&amp;"_"&amp;$F$2&amp;", "&amp;VLOOKUP(B56,Instruções!$F$13:$J$17,5,0)&amp;" as "&amp;VLOOKUP(B56,Instruções!$F$13:$J$17,5,0)&amp;"_"&amp;$F$2&amp;","&amp;E56&amp;" as "&amp;F56&amp;" FROM "&amp;C56&amp;" WHERE "&amp;Instruções!$D$20&amp;") A ")</f>
        <v xml:space="preserve">(SELECT entty_id as entty_id_as_is, fr_csh_flw_t3 as fr_csh_flw_t3_as_is FROM cd_loan_tapes_bce.lt003_entity WHERE ref_date='2024-09-30' AND nome_perimetro='Individual Corporativo' AND segmento='ESTR' AND ambito='PM' AND entidade='00100' ) A </v>
      </c>
      <c r="I56" s="17" t="str">
        <f>IF(VLOOKUP(B56,Instruções!$F$13:$J$17,5,0)="",
"(SELECT "&amp;VLOOKUP(B56,Instruções!$F$13:$J$17,4,0)&amp;" as "&amp;VLOOKUP(B56,Instruções!$F$13:$J$17,4,0)&amp;"_"&amp;$G$2&amp;", "&amp;E56&amp;" as "&amp;G56&amp;" FROM "&amp;D56&amp;" WHERE "&amp;Instruções!$D$21&amp;") B ",
"(SELECT "&amp;VLOOKUP(B56,Instruções!$F$13:$J$17,4,0)&amp;" as "&amp;VLOOKUP(B56,Instruções!$F$13:$J$17,4,0)&amp;"_"&amp;$G$2&amp;", "&amp;VLOOKUP(B56,Instruções!$F$13:$J$17,5,0)&amp;" as "&amp;VLOOKUP(B56,Instruções!$F$13:$J$17,5,0)&amp;"_"&amp;$G$2&amp;","&amp;E56&amp;" as "&amp;G56&amp;" FROM "&amp;D56&amp;" WHERE "&amp;Instruções!$D$21&amp;") B ")</f>
        <v xml:space="preserve">(SELECT entty_id as entty_id_to_be, fr_csh_flw_t3 as fr_csh_flw_t3_to_be FROM bu_loantape_work.lt003_entity WHERE ref_date='2024-09-30' AND nome_perimetro='Individual Corporativo' AND segmento='ESTR' AND ambito='PM' AND entidade='00100' ) B </v>
      </c>
      <c r="J56" s="17" t="str">
        <f>IF(VLOOKUP(B56,Instruções!$F$13:$J$17,5,0)="",
"ON "&amp;VLOOKUP(B56,Instruções!$F$13:$J$17,4,0)&amp;"_"&amp;$F$2&amp;" = "&amp;VLOOKUP(B56,Instruções!$F$13:$J$17,4,0)&amp;"_"&amp;$G$2&amp;" ",
"ON "&amp;VLOOKUP(B56,Instruções!$F$13:$J$17,4,0)&amp;"_"&amp;$F$2&amp;" = "&amp;VLOOKUP(B56,Instruções!$F$13:$J$17,4,0)&amp;"_"&amp;$G$2&amp;" AND "&amp;VLOOKUP(B56,Instruções!$F$13:$J$17,5,0)&amp;"_"&amp;$F$2&amp;" = "&amp;VLOOKUP(B56,Instruções!$F$13:$J$17,5,0)&amp;"_"&amp;$G$2&amp;" ")</f>
        <v xml:space="preserve">ON entty_id_as_is = entty_id_to_be </v>
      </c>
      <c r="K56" s="17" t="str">
        <f t="shared" si="8"/>
        <v xml:space="preserve">WHERE coalesce(cast(fr_csh_flw_t3_as_is as string), '') &lt;&gt; coalesce(cast(fr_csh_flw_t3_to_be as string), '') </v>
      </c>
      <c r="L56" s="17" t="str">
        <f t="shared" si="9"/>
        <v xml:space="preserve">SELECT count(*) AS NUM_REG_DIF FROM (SELECT entty_id as entty_id_as_is, fr_csh_flw_t3 as fr_csh_flw_t3_as_is FROM cd_loan_tapes_bce.lt003_entity WHERE ref_date='2024-09-30' AND nome_perimetro='Individual Corporativo' AND segmento='ESTR' AND ambito='PM' AND entidade='00100' ) A  Inner join (SELECT entty_id as entty_id_to_be, fr_csh_flw_t3 as fr_csh_flw_t3_to_be FROM bu_loantape_work.lt003_entity WHERE ref_date='2024-09-30' AND nome_perimetro='Individual Corporativo' AND segmento='ESTR' AND ambito='PM' AND entidade='00100' ) B ON entty_id_as_is = entty_id_to_be WHERE coalesce(cast(fr_csh_flw_t3_as_is as string), '') &lt;&gt; coalesce(cast(fr_csh_flw_t3_to_be as string), '') </v>
      </c>
      <c r="M56" s="17" t="s">
        <v>55</v>
      </c>
      <c r="N56" s="17" t="str">
        <f>"SELECT 'Validação de campos' as tipologia_teste, '"&amp;VLOOKUP(B56,Instruções!$F$13:$J$17,3,0)&amp;"' AS TABELA, '"&amp;E56&amp;"' AS CAMPO, '"&amp;Instruções!$D$15&amp;"' as ref_date, coalesce(NUM_REG_DIF, 0) AS NUM_REG_DIF FROM ("&amp;L56&amp;") A "</f>
        <v xml:space="preserve">SELECT 'Validação de campos' as tipologia_teste, 'lt003_entity' AS TABELA, 'fr_csh_flw_t3' AS CAMPO, '2024-09-30' as ref_date, coalesce(NUM_REG_DIF, 0) AS NUM_REG_DIF FROM (SELECT count(*) AS NUM_REG_DIF FROM (SELECT entty_id as entty_id_as_is, fr_csh_flw_t3 as fr_csh_flw_t3_as_is FROM cd_loan_tapes_bce.lt003_entity WHERE ref_date='2024-09-30' AND nome_perimetro='Individual Corporativo' AND segmento='ESTR' AND ambito='PM' AND entidade='00100' ) A  Inner join (SELECT entty_id as entty_id_to_be, fr_csh_flw_t3 as fr_csh_flw_t3_to_be FROM bu_loantape_work.lt003_entity WHERE ref_date='2024-09-30' AND nome_perimetro='Individual Corporativo' AND segmento='ESTR' AND ambito='PM' AND entidade='00100' ) B ON entty_id_as_is = entty_id_to_be WHERE coalesce(cast(fr_csh_flw_t3_as_is as string), '') &lt;&gt; coalesce(cast(fr_csh_flw_t3_to_be as string), '') ) A </v>
      </c>
      <c r="O56" s="19" t="str">
        <f>IF(O57="",N56,N56&amp;$O$3)</f>
        <v>SELECT 'Validação de campos' as tipologia_teste, 'lt003_entity' AS TABELA, 'fr_csh_flw_t3' AS CAMPO, '2024-09-30' as ref_date, coalesce(NUM_REG_DIF, 0) AS NUM_REG_DIF FROM (SELECT count(*) AS NUM_REG_DIF FROM (SELECT entty_id as entty_id_as_is, fr_csh_flw_t3 as fr_csh_flw_t3_as_is FROM cd_loan_tapes_bce.lt003_entity WHERE ref_date='2024-09-30' AND nome_perimetro='Individual Corporativo' AND segmento='ESTR' AND ambito='PM' AND entidade='00100' ) A  Inner join (SELECT entty_id as entty_id_to_be, fr_csh_flw_t3 as fr_csh_flw_t3_to_be FROM bu_loantape_work.lt003_entity WHERE ref_date='2024-09-30' AND nome_perimetro='Individual Corporativo' AND segmento='ESTR' AND ambito='PM' AND entidade='00100' ) B ON entty_id_as_is = entty_id_to_be WHERE coalesce(cast(fr_csh_flw_t3_as_is as string), '') &lt;&gt; coalesce(cast(fr_csh_flw_t3_to_be as string), '') ) A UNION ALL</v>
      </c>
      <c r="P56" s="17">
        <f t="shared" si="5"/>
        <v>2</v>
      </c>
    </row>
    <row r="57" spans="2:16" s="15" customFormat="1" ht="11.45">
      <c r="B57" s="17" t="s">
        <v>11</v>
      </c>
      <c r="C57" s="17" t="str">
        <f>_xlfn.CONCAT(Instruções!$D$13,".",VLOOKUP(B57,Instruções!$F$12:$H$17,2,0))</f>
        <v>cd_loan_tapes_bce.lt003_entity</v>
      </c>
      <c r="D57" s="17" t="str">
        <f>_xlfn.CONCAT(Instruções!$D$14,".",VLOOKUP(B57,Instruções!$F$12:$H$17,3,0))</f>
        <v>bu_loantape_work.lt003_entity</v>
      </c>
      <c r="E57" s="17" t="s">
        <v>110</v>
      </c>
      <c r="F57" s="17" t="str">
        <f t="shared" si="6"/>
        <v>gcc_prnt_id_as_is</v>
      </c>
      <c r="G57" s="17" t="str">
        <f t="shared" si="7"/>
        <v>gcc_prnt_id_to_be</v>
      </c>
      <c r="H57" s="17" t="str">
        <f>IF(VLOOKUP(B57,Instruções!$F$13:$J$17,5,0)="",
"(SELECT "&amp;VLOOKUP(B57,Instruções!$F$13:$J$17,4,0)&amp;" as "&amp;VLOOKUP(B57,Instruções!$F$13:$J$17,4,0)&amp;"_"&amp;$F$2&amp;", "&amp;E57&amp;" as "&amp;F57&amp;" FROM "&amp;C57&amp;" WHERE "&amp;Instruções!$D$20&amp;") A ",
"(SELECT "&amp;VLOOKUP(B57,Instruções!$F$13:$J$17,4,0)&amp;" as "&amp;VLOOKUP(B57,Instruções!$F$13:$J$17,4,0)&amp;"_"&amp;$F$2&amp;", "&amp;VLOOKUP(B57,Instruções!$F$13:$J$17,5,0)&amp;" as "&amp;VLOOKUP(B57,Instruções!$F$13:$J$17,5,0)&amp;"_"&amp;$F$2&amp;","&amp;E57&amp;" as "&amp;F57&amp;" FROM "&amp;C57&amp;" WHERE "&amp;Instruções!$D$20&amp;") A ")</f>
        <v xml:space="preserve">(SELECT entty_id as entty_id_as_is, gcc_prnt_id as gcc_prnt_id_as_is FROM cd_loan_tapes_bce.lt003_entity WHERE ref_date='2024-09-30' AND nome_perimetro='Individual Corporativo' AND segmento='ESTR' AND ambito='PM' AND entidade='00100' ) A </v>
      </c>
      <c r="I57" s="17" t="str">
        <f>IF(VLOOKUP(B57,Instruções!$F$13:$J$17,5,0)="",
"(SELECT "&amp;VLOOKUP(B57,Instruções!$F$13:$J$17,4,0)&amp;" as "&amp;VLOOKUP(B57,Instruções!$F$13:$J$17,4,0)&amp;"_"&amp;$G$2&amp;", "&amp;E57&amp;" as "&amp;G57&amp;" FROM "&amp;D57&amp;" WHERE "&amp;Instruções!$D$21&amp;") B ",
"(SELECT "&amp;VLOOKUP(B57,Instruções!$F$13:$J$17,4,0)&amp;" as "&amp;VLOOKUP(B57,Instruções!$F$13:$J$17,4,0)&amp;"_"&amp;$G$2&amp;", "&amp;VLOOKUP(B57,Instruções!$F$13:$J$17,5,0)&amp;" as "&amp;VLOOKUP(B57,Instruções!$F$13:$J$17,5,0)&amp;"_"&amp;$G$2&amp;","&amp;E57&amp;" as "&amp;G57&amp;" FROM "&amp;D57&amp;" WHERE "&amp;Instruções!$D$21&amp;") B ")</f>
        <v xml:space="preserve">(SELECT entty_id as entty_id_to_be, gcc_prnt_id as gcc_prnt_id_to_be FROM bu_loantape_work.lt003_entity WHERE ref_date='2024-09-30' AND nome_perimetro='Individual Corporativo' AND segmento='ESTR' AND ambito='PM' AND entidade='00100' ) B </v>
      </c>
      <c r="J57" s="17" t="str">
        <f>IF(VLOOKUP(B57,Instruções!$F$13:$J$17,5,0)="",
"ON "&amp;VLOOKUP(B57,Instruções!$F$13:$J$17,4,0)&amp;"_"&amp;$F$2&amp;" = "&amp;VLOOKUP(B57,Instruções!$F$13:$J$17,4,0)&amp;"_"&amp;$G$2&amp;" ",
"ON "&amp;VLOOKUP(B57,Instruções!$F$13:$J$17,4,0)&amp;"_"&amp;$F$2&amp;" = "&amp;VLOOKUP(B57,Instruções!$F$13:$J$17,4,0)&amp;"_"&amp;$G$2&amp;" AND "&amp;VLOOKUP(B57,Instruções!$F$13:$J$17,5,0)&amp;"_"&amp;$F$2&amp;" = "&amp;VLOOKUP(B57,Instruções!$F$13:$J$17,5,0)&amp;"_"&amp;$G$2&amp;" ")</f>
        <v xml:space="preserve">ON entty_id_as_is = entty_id_to_be </v>
      </c>
      <c r="K57" s="17" t="str">
        <f t="shared" si="8"/>
        <v xml:space="preserve">WHERE coalesce(cast(gcc_prnt_id_as_is as string), '') &lt;&gt; coalesce(cast(gcc_prnt_id_to_be as string), '') </v>
      </c>
      <c r="L57" s="17" t="str">
        <f t="shared" si="9"/>
        <v xml:space="preserve">SELECT count(*) AS NUM_REG_DIF FROM (SELECT entty_id as entty_id_as_is, gcc_prnt_id as gcc_prnt_id_as_is FROM cd_loan_tapes_bce.lt003_entity WHERE ref_date='2024-09-30' AND nome_perimetro='Individual Corporativo' AND segmento='ESTR' AND ambito='PM' AND entidade='00100' ) A  Inner join (SELECT entty_id as entty_id_to_be, gcc_prnt_id as gcc_prnt_id_to_be FROM bu_loantape_work.lt003_entity WHERE ref_date='2024-09-30' AND nome_perimetro='Individual Corporativo' AND segmento='ESTR' AND ambito='PM' AND entidade='00100' ) B ON entty_id_as_is = entty_id_to_be WHERE coalesce(cast(gcc_prnt_id_as_is as string), '') &lt;&gt; coalesce(cast(gcc_prnt_id_to_be as string), '') </v>
      </c>
      <c r="M57" s="17" t="s">
        <v>55</v>
      </c>
      <c r="N57" s="17" t="str">
        <f>"SELECT 'Validação de campos' as tipologia_teste, '"&amp;VLOOKUP(B57,Instruções!$F$13:$J$17,3,0)&amp;"' AS TABELA, '"&amp;E57&amp;"' AS CAMPO, '"&amp;Instruções!$D$15&amp;"' as ref_date, coalesce(NUM_REG_DIF, 0) AS NUM_REG_DIF FROM ("&amp;L57&amp;") A "</f>
        <v xml:space="preserve">SELECT 'Validação de campos' as tipologia_teste, 'lt003_entity' AS TABELA, 'gcc_prnt_id' AS CAMPO, '2024-09-30' as ref_date, coalesce(NUM_REG_DIF, 0) AS NUM_REG_DIF FROM (SELECT count(*) AS NUM_REG_DIF FROM (SELECT entty_id as entty_id_as_is, gcc_prnt_id as gcc_prnt_id_as_is FROM cd_loan_tapes_bce.lt003_entity WHERE ref_date='2024-09-30' AND nome_perimetro='Individual Corporativo' AND segmento='ESTR' AND ambito='PM' AND entidade='00100' ) A  Inner join (SELECT entty_id as entty_id_to_be, gcc_prnt_id as gcc_prnt_id_to_be FROM bu_loantape_work.lt003_entity WHERE ref_date='2024-09-30' AND nome_perimetro='Individual Corporativo' AND segmento='ESTR' AND ambito='PM' AND entidade='00100' ) B ON entty_id_as_is = entty_id_to_be WHERE coalesce(cast(gcc_prnt_id_as_is as string), '') &lt;&gt; coalesce(cast(gcc_prnt_id_to_be as string), '') ) A </v>
      </c>
      <c r="O57" s="19" t="str">
        <f t="shared" si="4"/>
        <v>SELECT 'Validação de campos' as tipologia_teste, 'lt003_entity' AS TABELA, 'gcc_prnt_id' AS CAMPO, '2024-09-30' as ref_date, coalesce(NUM_REG_DIF, 0) AS NUM_REG_DIF FROM (SELECT count(*) AS NUM_REG_DIF FROM (SELECT entty_id as entty_id_as_is, gcc_prnt_id as gcc_prnt_id_as_is FROM cd_loan_tapes_bce.lt003_entity WHERE ref_date='2024-09-30' AND nome_perimetro='Individual Corporativo' AND segmento='ESTR' AND ambito='PM' AND entidade='00100' ) A  Inner join (SELECT entty_id as entty_id_to_be, gcc_prnt_id as gcc_prnt_id_to_be FROM bu_loantape_work.lt003_entity WHERE ref_date='2024-09-30' AND nome_perimetro='Individual Corporativo' AND segmento='ESTR' AND ambito='PM' AND entidade='00100' ) B ON entty_id_as_is = entty_id_to_be WHERE coalesce(cast(gcc_prnt_id_as_is as string), '') &lt;&gt; coalesce(cast(gcc_prnt_id_to_be as string), '') ) A UNION ALL</v>
      </c>
      <c r="P57" s="17">
        <f t="shared" si="5"/>
        <v>3</v>
      </c>
    </row>
    <row r="58" spans="2:16" s="15" customFormat="1" ht="11.45">
      <c r="B58" s="17" t="s">
        <v>11</v>
      </c>
      <c r="C58" s="17" t="str">
        <f>_xlfn.CONCAT(Instruções!$D$13,".",VLOOKUP(B58,Instruções!$F$12:$H$17,2,0))</f>
        <v>cd_loan_tapes_bce.lt003_entity</v>
      </c>
      <c r="D58" s="17" t="str">
        <f>_xlfn.CONCAT(Instruções!$D$14,".",VLOOKUP(B58,Instruções!$F$12:$H$17,3,0))</f>
        <v>bu_loantape_work.lt003_entity</v>
      </c>
      <c r="E58" s="17" t="s">
        <v>111</v>
      </c>
      <c r="F58" s="17" t="str">
        <f t="shared" si="6"/>
        <v>gcc_prnt_nm_as_is</v>
      </c>
      <c r="G58" s="17" t="str">
        <f t="shared" si="7"/>
        <v>gcc_prnt_nm_to_be</v>
      </c>
      <c r="H58" s="17" t="str">
        <f>IF(VLOOKUP(B58,Instruções!$F$13:$J$17,5,0)="",
"(SELECT "&amp;VLOOKUP(B58,Instruções!$F$13:$J$17,4,0)&amp;" as "&amp;VLOOKUP(B58,Instruções!$F$13:$J$17,4,0)&amp;"_"&amp;$F$2&amp;", "&amp;E58&amp;" as "&amp;F58&amp;" FROM "&amp;C58&amp;" WHERE "&amp;Instruções!$D$20&amp;") A ",
"(SELECT "&amp;VLOOKUP(B58,Instruções!$F$13:$J$17,4,0)&amp;" as "&amp;VLOOKUP(B58,Instruções!$F$13:$J$17,4,0)&amp;"_"&amp;$F$2&amp;", "&amp;VLOOKUP(B58,Instruções!$F$13:$J$17,5,0)&amp;" as "&amp;VLOOKUP(B58,Instruções!$F$13:$J$17,5,0)&amp;"_"&amp;$F$2&amp;","&amp;E58&amp;" as "&amp;F58&amp;" FROM "&amp;C58&amp;" WHERE "&amp;Instruções!$D$20&amp;") A ")</f>
        <v xml:space="preserve">(SELECT entty_id as entty_id_as_is, gcc_prnt_nm as gcc_prnt_nm_as_is FROM cd_loan_tapes_bce.lt003_entity WHERE ref_date='2024-09-30' AND nome_perimetro='Individual Corporativo' AND segmento='ESTR' AND ambito='PM' AND entidade='00100' ) A </v>
      </c>
      <c r="I58" s="17" t="str">
        <f>IF(VLOOKUP(B58,Instruções!$F$13:$J$17,5,0)="",
"(SELECT "&amp;VLOOKUP(B58,Instruções!$F$13:$J$17,4,0)&amp;" as "&amp;VLOOKUP(B58,Instruções!$F$13:$J$17,4,0)&amp;"_"&amp;$G$2&amp;", "&amp;E58&amp;" as "&amp;G58&amp;" FROM "&amp;D58&amp;" WHERE "&amp;Instruções!$D$21&amp;") B ",
"(SELECT "&amp;VLOOKUP(B58,Instruções!$F$13:$J$17,4,0)&amp;" as "&amp;VLOOKUP(B58,Instruções!$F$13:$J$17,4,0)&amp;"_"&amp;$G$2&amp;", "&amp;VLOOKUP(B58,Instruções!$F$13:$J$17,5,0)&amp;" as "&amp;VLOOKUP(B58,Instruções!$F$13:$J$17,5,0)&amp;"_"&amp;$G$2&amp;","&amp;E58&amp;" as "&amp;G58&amp;" FROM "&amp;D58&amp;" WHERE "&amp;Instruções!$D$21&amp;") B ")</f>
        <v xml:space="preserve">(SELECT entty_id as entty_id_to_be, gcc_prnt_nm as gcc_prnt_nm_to_be FROM bu_loantape_work.lt003_entity WHERE ref_date='2024-09-30' AND nome_perimetro='Individual Corporativo' AND segmento='ESTR' AND ambito='PM' AND entidade='00100' ) B </v>
      </c>
      <c r="J58" s="17" t="str">
        <f>IF(VLOOKUP(B58,Instruções!$F$13:$J$17,5,0)="",
"ON "&amp;VLOOKUP(B58,Instruções!$F$13:$J$17,4,0)&amp;"_"&amp;$F$2&amp;" = "&amp;VLOOKUP(B58,Instruções!$F$13:$J$17,4,0)&amp;"_"&amp;$G$2&amp;" ",
"ON "&amp;VLOOKUP(B58,Instruções!$F$13:$J$17,4,0)&amp;"_"&amp;$F$2&amp;" = "&amp;VLOOKUP(B58,Instruções!$F$13:$J$17,4,0)&amp;"_"&amp;$G$2&amp;" AND "&amp;VLOOKUP(B58,Instruções!$F$13:$J$17,5,0)&amp;"_"&amp;$F$2&amp;" = "&amp;VLOOKUP(B58,Instruções!$F$13:$J$17,5,0)&amp;"_"&amp;$G$2&amp;" ")</f>
        <v xml:space="preserve">ON entty_id_as_is = entty_id_to_be </v>
      </c>
      <c r="K58" s="17" t="str">
        <f t="shared" si="8"/>
        <v xml:space="preserve">WHERE coalesce(cast(gcc_prnt_nm_as_is as string), '') &lt;&gt; coalesce(cast(gcc_prnt_nm_to_be as string), '') </v>
      </c>
      <c r="L58" s="17" t="str">
        <f t="shared" si="9"/>
        <v xml:space="preserve">SELECT count(*) AS NUM_REG_DIF FROM (SELECT entty_id as entty_id_as_is, gcc_prnt_nm as gcc_prnt_nm_as_is FROM cd_loan_tapes_bce.lt003_entity WHERE ref_date='2024-09-30' AND nome_perimetro='Individual Corporativo' AND segmento='ESTR' AND ambito='PM' AND entidade='00100' ) A  Inner join (SELECT entty_id as entty_id_to_be, gcc_prnt_nm as gcc_prnt_nm_to_be FROM bu_loantape_work.lt003_entity WHERE ref_date='2024-09-30' AND nome_perimetro='Individual Corporativo' AND segmento='ESTR' AND ambito='PM' AND entidade='00100' ) B ON entty_id_as_is = entty_id_to_be WHERE coalesce(cast(gcc_prnt_nm_as_is as string), '') &lt;&gt; coalesce(cast(gcc_prnt_nm_to_be as string), '') </v>
      </c>
      <c r="M58" s="17" t="s">
        <v>55</v>
      </c>
      <c r="N58" s="17" t="str">
        <f>"SELECT 'Validação de campos' as tipologia_teste, '"&amp;VLOOKUP(B58,Instruções!$F$13:$J$17,3,0)&amp;"' AS TABELA, '"&amp;E58&amp;"' AS CAMPO, '"&amp;Instruções!$D$15&amp;"' as ref_date, coalesce(NUM_REG_DIF, 0) AS NUM_REG_DIF FROM ("&amp;L58&amp;") A "</f>
        <v xml:space="preserve">SELECT 'Validação de campos' as tipologia_teste, 'lt003_entity' AS TABELA, 'gcc_prnt_nm' AS CAMPO, '2024-09-30' as ref_date, coalesce(NUM_REG_DIF, 0) AS NUM_REG_DIF FROM (SELECT count(*) AS NUM_REG_DIF FROM (SELECT entty_id as entty_id_as_is, gcc_prnt_nm as gcc_prnt_nm_as_is FROM cd_loan_tapes_bce.lt003_entity WHERE ref_date='2024-09-30' AND nome_perimetro='Individual Corporativo' AND segmento='ESTR' AND ambito='PM' AND entidade='00100' ) A  Inner join (SELECT entty_id as entty_id_to_be, gcc_prnt_nm as gcc_prnt_nm_to_be FROM bu_loantape_work.lt003_entity WHERE ref_date='2024-09-30' AND nome_perimetro='Individual Corporativo' AND segmento='ESTR' AND ambito='PM' AND entidade='00100' ) B ON entty_id_as_is = entty_id_to_be WHERE coalesce(cast(gcc_prnt_nm_as_is as string), '') &lt;&gt; coalesce(cast(gcc_prnt_nm_to_be as string), '') ) A </v>
      </c>
      <c r="O58" s="19" t="str">
        <f t="shared" si="4"/>
        <v>SELECT 'Validação de campos' as tipologia_teste, 'lt003_entity' AS TABELA, 'gcc_prnt_nm' AS CAMPO, '2024-09-30' as ref_date, coalesce(NUM_REG_DIF, 0) AS NUM_REG_DIF FROM (SELECT count(*) AS NUM_REG_DIF FROM (SELECT entty_id as entty_id_as_is, gcc_prnt_nm as gcc_prnt_nm_as_is FROM cd_loan_tapes_bce.lt003_entity WHERE ref_date='2024-09-30' AND nome_perimetro='Individual Corporativo' AND segmento='ESTR' AND ambito='PM' AND entidade='00100' ) A  Inner join (SELECT entty_id as entty_id_to_be, gcc_prnt_nm as gcc_prnt_nm_to_be FROM bu_loantape_work.lt003_entity WHERE ref_date='2024-09-30' AND nome_perimetro='Individual Corporativo' AND segmento='ESTR' AND ambito='PM' AND entidade='00100' ) B ON entty_id_as_is = entty_id_to_be WHERE coalesce(cast(gcc_prnt_nm_as_is as string), '') &lt;&gt; coalesce(cast(gcc_prnt_nm_to_be as string), '') ) A UNION ALL</v>
      </c>
      <c r="P58" s="17">
        <f t="shared" si="5"/>
        <v>4</v>
      </c>
    </row>
    <row r="59" spans="2:16" s="15" customFormat="1" ht="11.45">
      <c r="B59" s="17" t="s">
        <v>11</v>
      </c>
      <c r="C59" s="17" t="str">
        <f>_xlfn.CONCAT(Instruções!$D$13,".",VLOOKUP(B59,Instruções!$F$12:$H$17,2,0))</f>
        <v>cd_loan_tapes_bce.lt003_entity</v>
      </c>
      <c r="D59" s="17" t="str">
        <f>_xlfn.CONCAT(Instruções!$D$14,".",VLOOKUP(B59,Instruções!$F$12:$H$17,3,0))</f>
        <v>bu_loantape_work.lt003_entity</v>
      </c>
      <c r="E59" s="17" t="s">
        <v>112</v>
      </c>
      <c r="F59" s="17" t="str">
        <f t="shared" si="6"/>
        <v>gdwill_as_is</v>
      </c>
      <c r="G59" s="17" t="str">
        <f t="shared" si="7"/>
        <v>gdwill_to_be</v>
      </c>
      <c r="H59" s="17" t="str">
        <f>IF(VLOOKUP(B59,Instruções!$F$13:$J$17,5,0)="",
"(SELECT "&amp;VLOOKUP(B59,Instruções!$F$13:$J$17,4,0)&amp;" as "&amp;VLOOKUP(B59,Instruções!$F$13:$J$17,4,0)&amp;"_"&amp;$F$2&amp;", "&amp;E59&amp;" as "&amp;F59&amp;" FROM "&amp;C59&amp;" WHERE "&amp;Instruções!$D$20&amp;") A ",
"(SELECT "&amp;VLOOKUP(B59,Instruções!$F$13:$J$17,4,0)&amp;" as "&amp;VLOOKUP(B59,Instruções!$F$13:$J$17,4,0)&amp;"_"&amp;$F$2&amp;", "&amp;VLOOKUP(B59,Instruções!$F$13:$J$17,5,0)&amp;" as "&amp;VLOOKUP(B59,Instruções!$F$13:$J$17,5,0)&amp;"_"&amp;$F$2&amp;","&amp;E59&amp;" as "&amp;F59&amp;" FROM "&amp;C59&amp;" WHERE "&amp;Instruções!$D$20&amp;") A ")</f>
        <v xml:space="preserve">(SELECT entty_id as entty_id_as_is, gdwill as gdwill_as_is FROM cd_loan_tapes_bce.lt003_entity WHERE ref_date='2024-09-30' AND nome_perimetro='Individual Corporativo' AND segmento='ESTR' AND ambito='PM' AND entidade='00100' ) A </v>
      </c>
      <c r="I59" s="17" t="str">
        <f>IF(VLOOKUP(B59,Instruções!$F$13:$J$17,5,0)="",
"(SELECT "&amp;VLOOKUP(B59,Instruções!$F$13:$J$17,4,0)&amp;" as "&amp;VLOOKUP(B59,Instruções!$F$13:$J$17,4,0)&amp;"_"&amp;$G$2&amp;", "&amp;E59&amp;" as "&amp;G59&amp;" FROM "&amp;D59&amp;" WHERE "&amp;Instruções!$D$21&amp;") B ",
"(SELECT "&amp;VLOOKUP(B59,Instruções!$F$13:$J$17,4,0)&amp;" as "&amp;VLOOKUP(B59,Instruções!$F$13:$J$17,4,0)&amp;"_"&amp;$G$2&amp;", "&amp;VLOOKUP(B59,Instruções!$F$13:$J$17,5,0)&amp;" as "&amp;VLOOKUP(B59,Instruções!$F$13:$J$17,5,0)&amp;"_"&amp;$G$2&amp;","&amp;E59&amp;" as "&amp;G59&amp;" FROM "&amp;D59&amp;" WHERE "&amp;Instruções!$D$21&amp;") B ")</f>
        <v xml:space="preserve">(SELECT entty_id as entty_id_to_be, gdwill as gdwill_to_be FROM bu_loantape_work.lt003_entity WHERE ref_date='2024-09-30' AND nome_perimetro='Individual Corporativo' AND segmento='ESTR' AND ambito='PM' AND entidade='00100' ) B </v>
      </c>
      <c r="J59" s="17" t="str">
        <f>IF(VLOOKUP(B59,Instruções!$F$13:$J$17,5,0)="",
"ON "&amp;VLOOKUP(B59,Instruções!$F$13:$J$17,4,0)&amp;"_"&amp;$F$2&amp;" = "&amp;VLOOKUP(B59,Instruções!$F$13:$J$17,4,0)&amp;"_"&amp;$G$2&amp;" ",
"ON "&amp;VLOOKUP(B59,Instruções!$F$13:$J$17,4,0)&amp;"_"&amp;$F$2&amp;" = "&amp;VLOOKUP(B59,Instruções!$F$13:$J$17,4,0)&amp;"_"&amp;$G$2&amp;" AND "&amp;VLOOKUP(B59,Instruções!$F$13:$J$17,5,0)&amp;"_"&amp;$F$2&amp;" = "&amp;VLOOKUP(B59,Instruções!$F$13:$J$17,5,0)&amp;"_"&amp;$G$2&amp;" ")</f>
        <v xml:space="preserve">ON entty_id_as_is = entty_id_to_be </v>
      </c>
      <c r="K59" s="17" t="str">
        <f t="shared" si="8"/>
        <v xml:space="preserve">WHERE coalesce(cast(gdwill_as_is as string), '') &lt;&gt; coalesce(cast(gdwill_to_be as string), '') </v>
      </c>
      <c r="L59" s="17" t="str">
        <f t="shared" si="9"/>
        <v xml:space="preserve">SELECT count(*) AS NUM_REG_DIF FROM (SELECT entty_id as entty_id_as_is, gdwill as gdwill_as_is FROM cd_loan_tapes_bce.lt003_entity WHERE ref_date='2024-09-30' AND nome_perimetro='Individual Corporativo' AND segmento='ESTR' AND ambito='PM' AND entidade='00100' ) A  Inner join (SELECT entty_id as entty_id_to_be, gdwill as gdwill_to_be FROM bu_loantape_work.lt003_entity WHERE ref_date='2024-09-30' AND nome_perimetro='Individual Corporativo' AND segmento='ESTR' AND ambito='PM' AND entidade='00100' ) B ON entty_id_as_is = entty_id_to_be WHERE coalesce(cast(gdwill_as_is as string), '') &lt;&gt; coalesce(cast(gdwill_to_be as string), '') </v>
      </c>
      <c r="M59" s="17" t="s">
        <v>55</v>
      </c>
      <c r="N59" s="17" t="str">
        <f>"SELECT 'Validação de campos' as tipologia_teste, '"&amp;VLOOKUP(B59,Instruções!$F$13:$J$17,3,0)&amp;"' AS TABELA, '"&amp;E59&amp;"' AS CAMPO, '"&amp;Instruções!$D$15&amp;"' as ref_date, coalesce(NUM_REG_DIF, 0) AS NUM_REG_DIF FROM ("&amp;L59&amp;") A "</f>
        <v xml:space="preserve">SELECT 'Validação de campos' as tipologia_teste, 'lt003_entity' AS TABELA, 'gdwill' AS CAMPO, '2024-09-30' as ref_date, coalesce(NUM_REG_DIF, 0) AS NUM_REG_DIF FROM (SELECT count(*) AS NUM_REG_DIF FROM (SELECT entty_id as entty_id_as_is, gdwill as gdwill_as_is FROM cd_loan_tapes_bce.lt003_entity WHERE ref_date='2024-09-30' AND nome_perimetro='Individual Corporativo' AND segmento='ESTR' AND ambito='PM' AND entidade='00100' ) A  Inner join (SELECT entty_id as entty_id_to_be, gdwill as gdwill_to_be FROM bu_loantape_work.lt003_entity WHERE ref_date='2024-09-30' AND nome_perimetro='Individual Corporativo' AND segmento='ESTR' AND ambito='PM' AND entidade='00100' ) B ON entty_id_as_is = entty_id_to_be WHERE coalesce(cast(gdwill_as_is as string), '') &lt;&gt; coalesce(cast(gdwill_to_be as string), '') ) A </v>
      </c>
      <c r="O59" s="19" t="str">
        <f t="shared" si="4"/>
        <v>SELECT 'Validação de campos' as tipologia_teste, 'lt003_entity' AS TABELA, 'gdwill' AS CAMPO, '2024-09-30' as ref_date, coalesce(NUM_REG_DIF, 0) AS NUM_REG_DIF FROM (SELECT count(*) AS NUM_REG_DIF FROM (SELECT entty_id as entty_id_as_is, gdwill as gdwill_as_is FROM cd_loan_tapes_bce.lt003_entity WHERE ref_date='2024-09-30' AND nome_perimetro='Individual Corporativo' AND segmento='ESTR' AND ambito='PM' AND entidade='00100' ) A  Inner join (SELECT entty_id as entty_id_to_be, gdwill as gdwill_to_be FROM bu_loantape_work.lt003_entity WHERE ref_date='2024-09-30' AND nome_perimetro='Individual Corporativo' AND segmento='ESTR' AND ambito='PM' AND entidade='00100' ) B ON entty_id_as_is = entty_id_to_be WHERE coalesce(cast(gdwill_as_is as string), '') &lt;&gt; coalesce(cast(gdwill_to_be as string), '') ) A UNION ALL</v>
      </c>
      <c r="P59" s="17">
        <f t="shared" si="5"/>
        <v>5</v>
      </c>
    </row>
    <row r="60" spans="2:16" s="15" customFormat="1" ht="11.45">
      <c r="B60" s="17" t="s">
        <v>11</v>
      </c>
      <c r="C60" s="17" t="str">
        <f>_xlfn.CONCAT(Instruções!$D$13,".",VLOOKUP(B60,Instruções!$F$12:$H$17,2,0))</f>
        <v>cd_loan_tapes_bce.lt003_entity</v>
      </c>
      <c r="D60" s="17" t="str">
        <f>_xlfn.CONCAT(Instruções!$D$14,".",VLOOKUP(B60,Instruções!$F$12:$H$17,3,0))</f>
        <v>bu_loantape_work.lt003_entity</v>
      </c>
      <c r="E60" s="17" t="s">
        <v>113</v>
      </c>
      <c r="F60" s="17" t="str">
        <f t="shared" si="6"/>
        <v>gdwill_prvs_as_is</v>
      </c>
      <c r="G60" s="17" t="str">
        <f t="shared" si="7"/>
        <v>gdwill_prvs_to_be</v>
      </c>
      <c r="H60" s="17" t="str">
        <f>IF(VLOOKUP(B60,Instruções!$F$13:$J$17,5,0)="",
"(SELECT "&amp;VLOOKUP(B60,Instruções!$F$13:$J$17,4,0)&amp;" as "&amp;VLOOKUP(B60,Instruções!$F$13:$J$17,4,0)&amp;"_"&amp;$F$2&amp;", "&amp;E60&amp;" as "&amp;F60&amp;" FROM "&amp;C60&amp;" WHERE "&amp;Instruções!$D$20&amp;") A ",
"(SELECT "&amp;VLOOKUP(B60,Instruções!$F$13:$J$17,4,0)&amp;" as "&amp;VLOOKUP(B60,Instruções!$F$13:$J$17,4,0)&amp;"_"&amp;$F$2&amp;", "&amp;VLOOKUP(B60,Instruções!$F$13:$J$17,5,0)&amp;" as "&amp;VLOOKUP(B60,Instruções!$F$13:$J$17,5,0)&amp;"_"&amp;$F$2&amp;","&amp;E60&amp;" as "&amp;F60&amp;" FROM "&amp;C60&amp;" WHERE "&amp;Instruções!$D$20&amp;") A ")</f>
        <v xml:space="preserve">(SELECT entty_id as entty_id_as_is, gdwill_prvs as gdwill_prvs_as_is FROM cd_loan_tapes_bce.lt003_entity WHERE ref_date='2024-09-30' AND nome_perimetro='Individual Corporativo' AND segmento='ESTR' AND ambito='PM' AND entidade='00100' ) A </v>
      </c>
      <c r="I60" s="17" t="str">
        <f>IF(VLOOKUP(B60,Instruções!$F$13:$J$17,5,0)="",
"(SELECT "&amp;VLOOKUP(B60,Instruções!$F$13:$J$17,4,0)&amp;" as "&amp;VLOOKUP(B60,Instruções!$F$13:$J$17,4,0)&amp;"_"&amp;$G$2&amp;", "&amp;E60&amp;" as "&amp;G60&amp;" FROM "&amp;D60&amp;" WHERE "&amp;Instruções!$D$21&amp;") B ",
"(SELECT "&amp;VLOOKUP(B60,Instruções!$F$13:$J$17,4,0)&amp;" as "&amp;VLOOKUP(B60,Instruções!$F$13:$J$17,4,0)&amp;"_"&amp;$G$2&amp;", "&amp;VLOOKUP(B60,Instruções!$F$13:$J$17,5,0)&amp;" as "&amp;VLOOKUP(B60,Instruções!$F$13:$J$17,5,0)&amp;"_"&amp;$G$2&amp;","&amp;E60&amp;" as "&amp;G60&amp;" FROM "&amp;D60&amp;" WHERE "&amp;Instruções!$D$21&amp;") B ")</f>
        <v xml:space="preserve">(SELECT entty_id as entty_id_to_be, gdwill_prvs as gdwill_prvs_to_be FROM bu_loantape_work.lt003_entity WHERE ref_date='2024-09-30' AND nome_perimetro='Individual Corporativo' AND segmento='ESTR' AND ambito='PM' AND entidade='00100' ) B </v>
      </c>
      <c r="J60" s="17" t="str">
        <f>IF(VLOOKUP(B60,Instruções!$F$13:$J$17,5,0)="",
"ON "&amp;VLOOKUP(B60,Instruções!$F$13:$J$17,4,0)&amp;"_"&amp;$F$2&amp;" = "&amp;VLOOKUP(B60,Instruções!$F$13:$J$17,4,0)&amp;"_"&amp;$G$2&amp;" ",
"ON "&amp;VLOOKUP(B60,Instruções!$F$13:$J$17,4,0)&amp;"_"&amp;$F$2&amp;" = "&amp;VLOOKUP(B60,Instruções!$F$13:$J$17,4,0)&amp;"_"&amp;$G$2&amp;" AND "&amp;VLOOKUP(B60,Instruções!$F$13:$J$17,5,0)&amp;"_"&amp;$F$2&amp;" = "&amp;VLOOKUP(B60,Instruções!$F$13:$J$17,5,0)&amp;"_"&amp;$G$2&amp;" ")</f>
        <v xml:space="preserve">ON entty_id_as_is = entty_id_to_be </v>
      </c>
      <c r="K60" s="17" t="str">
        <f t="shared" si="8"/>
        <v xml:space="preserve">WHERE coalesce(cast(gdwill_prvs_as_is as string), '') &lt;&gt; coalesce(cast(gdwill_prvs_to_be as string), '') </v>
      </c>
      <c r="L60" s="17" t="str">
        <f t="shared" si="9"/>
        <v xml:space="preserve">SELECT count(*) AS NUM_REG_DIF FROM (SELECT entty_id as entty_id_as_is, gdwill_prvs as gdwill_prvs_as_is FROM cd_loan_tapes_bce.lt003_entity WHERE ref_date='2024-09-30' AND nome_perimetro='Individual Corporativo' AND segmento='ESTR' AND ambito='PM' AND entidade='00100' ) A  Inner join (SELECT entty_id as entty_id_to_be, gdwill_prvs as gdwill_prvs_to_be FROM bu_loantape_work.lt003_entity WHERE ref_date='2024-09-30' AND nome_perimetro='Individual Corporativo' AND segmento='ESTR' AND ambito='PM' AND entidade='00100' ) B ON entty_id_as_is = entty_id_to_be WHERE coalesce(cast(gdwill_prvs_as_is as string), '') &lt;&gt; coalesce(cast(gdwill_prvs_to_be as string), '') </v>
      </c>
      <c r="M60" s="17" t="s">
        <v>55</v>
      </c>
      <c r="N60" s="17" t="str">
        <f>"SELECT 'Validação de campos' as tipologia_teste, '"&amp;VLOOKUP(B60,Instruções!$F$13:$J$17,3,0)&amp;"' AS TABELA, '"&amp;E60&amp;"' AS CAMPO, '"&amp;Instruções!$D$15&amp;"' as ref_date, coalesce(NUM_REG_DIF, 0) AS NUM_REG_DIF FROM ("&amp;L60&amp;") A "</f>
        <v xml:space="preserve">SELECT 'Validação de campos' as tipologia_teste, 'lt003_entity' AS TABELA, 'gdwill_prvs' AS CAMPO, '2024-09-30' as ref_date, coalesce(NUM_REG_DIF, 0) AS NUM_REG_DIF FROM (SELECT count(*) AS NUM_REG_DIF FROM (SELECT entty_id as entty_id_as_is, gdwill_prvs as gdwill_prvs_as_is FROM cd_loan_tapes_bce.lt003_entity WHERE ref_date='2024-09-30' AND nome_perimetro='Individual Corporativo' AND segmento='ESTR' AND ambito='PM' AND entidade='00100' ) A  Inner join (SELECT entty_id as entty_id_to_be, gdwill_prvs as gdwill_prvs_to_be FROM bu_loantape_work.lt003_entity WHERE ref_date='2024-09-30' AND nome_perimetro='Individual Corporativo' AND segmento='ESTR' AND ambito='PM' AND entidade='00100' ) B ON entty_id_as_is = entty_id_to_be WHERE coalesce(cast(gdwill_prvs_as_is as string), '') &lt;&gt; coalesce(cast(gdwill_prvs_to_be as string), '') ) A </v>
      </c>
      <c r="O60" s="19" t="str">
        <f t="shared" si="4"/>
        <v>SELECT 'Validação de campos' as tipologia_teste, 'lt003_entity' AS TABELA, 'gdwill_prvs' AS CAMPO, '2024-09-30' as ref_date, coalesce(NUM_REG_DIF, 0) AS NUM_REG_DIF FROM (SELECT count(*) AS NUM_REG_DIF FROM (SELECT entty_id as entty_id_as_is, gdwill_prvs as gdwill_prvs_as_is FROM cd_loan_tapes_bce.lt003_entity WHERE ref_date='2024-09-30' AND nome_perimetro='Individual Corporativo' AND segmento='ESTR' AND ambito='PM' AND entidade='00100' ) A  Inner join (SELECT entty_id as entty_id_to_be, gdwill_prvs as gdwill_prvs_to_be FROM bu_loantape_work.lt003_entity WHERE ref_date='2024-09-30' AND nome_perimetro='Individual Corporativo' AND segmento='ESTR' AND ambito='PM' AND entidade='00100' ) B ON entty_id_as_is = entty_id_to_be WHERE coalesce(cast(gdwill_prvs_as_is as string), '') &lt;&gt; coalesce(cast(gdwill_prvs_to_be as string), '') ) A UNION ALL</v>
      </c>
      <c r="P60" s="17">
        <f t="shared" si="5"/>
        <v>6</v>
      </c>
    </row>
    <row r="61" spans="2:16" s="15" customFormat="1" ht="11.45">
      <c r="B61" s="17" t="s">
        <v>11</v>
      </c>
      <c r="C61" s="17" t="str">
        <f>_xlfn.CONCAT(Instruções!$D$13,".",VLOOKUP(B61,Instruções!$F$12:$H$17,2,0))</f>
        <v>cd_loan_tapes_bce.lt003_entity</v>
      </c>
      <c r="D61" s="17" t="str">
        <f>_xlfn.CONCAT(Instruções!$D$14,".",VLOOKUP(B61,Instruções!$F$12:$H$17,3,0))</f>
        <v>bu_loantape_work.lt003_entity</v>
      </c>
      <c r="E61" s="17" t="s">
        <v>114</v>
      </c>
      <c r="F61" s="17" t="str">
        <f t="shared" si="6"/>
        <v>grp_ebitda_as_is</v>
      </c>
      <c r="G61" s="17" t="str">
        <f t="shared" si="7"/>
        <v>grp_ebitda_to_be</v>
      </c>
      <c r="H61" s="17" t="str">
        <f>IF(VLOOKUP(B61,Instruções!$F$13:$J$17,5,0)="",
"(SELECT "&amp;VLOOKUP(B61,Instruções!$F$13:$J$17,4,0)&amp;" as "&amp;VLOOKUP(B61,Instruções!$F$13:$J$17,4,0)&amp;"_"&amp;$F$2&amp;", "&amp;E61&amp;" as "&amp;F61&amp;" FROM "&amp;C61&amp;" WHERE "&amp;Instruções!$D$20&amp;") A ",
"(SELECT "&amp;VLOOKUP(B61,Instruções!$F$13:$J$17,4,0)&amp;" as "&amp;VLOOKUP(B61,Instruções!$F$13:$J$17,4,0)&amp;"_"&amp;$F$2&amp;", "&amp;VLOOKUP(B61,Instruções!$F$13:$J$17,5,0)&amp;" as "&amp;VLOOKUP(B61,Instruções!$F$13:$J$17,5,0)&amp;"_"&amp;$F$2&amp;","&amp;E61&amp;" as "&amp;F61&amp;" FROM "&amp;C61&amp;" WHERE "&amp;Instruções!$D$20&amp;") A ")</f>
        <v xml:space="preserve">(SELECT entty_id as entty_id_as_is, grp_ebitda as grp_ebitda_as_is FROM cd_loan_tapes_bce.lt003_entity WHERE ref_date='2024-09-30' AND nome_perimetro='Individual Corporativo' AND segmento='ESTR' AND ambito='PM' AND entidade='00100' ) A </v>
      </c>
      <c r="I61" s="17" t="str">
        <f>IF(VLOOKUP(B61,Instruções!$F$13:$J$17,5,0)="",
"(SELECT "&amp;VLOOKUP(B61,Instruções!$F$13:$J$17,4,0)&amp;" as "&amp;VLOOKUP(B61,Instruções!$F$13:$J$17,4,0)&amp;"_"&amp;$G$2&amp;", "&amp;E61&amp;" as "&amp;G61&amp;" FROM "&amp;D61&amp;" WHERE "&amp;Instruções!$D$21&amp;") B ",
"(SELECT "&amp;VLOOKUP(B61,Instruções!$F$13:$J$17,4,0)&amp;" as "&amp;VLOOKUP(B61,Instruções!$F$13:$J$17,4,0)&amp;"_"&amp;$G$2&amp;", "&amp;VLOOKUP(B61,Instruções!$F$13:$J$17,5,0)&amp;" as "&amp;VLOOKUP(B61,Instruções!$F$13:$J$17,5,0)&amp;"_"&amp;$G$2&amp;","&amp;E61&amp;" as "&amp;G61&amp;" FROM "&amp;D61&amp;" WHERE "&amp;Instruções!$D$21&amp;") B ")</f>
        <v xml:space="preserve">(SELECT entty_id as entty_id_to_be, grp_ebitda as grp_ebitda_to_be FROM bu_loantape_work.lt003_entity WHERE ref_date='2024-09-30' AND nome_perimetro='Individual Corporativo' AND segmento='ESTR' AND ambito='PM' AND entidade='00100' ) B </v>
      </c>
      <c r="J61" s="17" t="str">
        <f>IF(VLOOKUP(B61,Instruções!$F$13:$J$17,5,0)="",
"ON "&amp;VLOOKUP(B61,Instruções!$F$13:$J$17,4,0)&amp;"_"&amp;$F$2&amp;" = "&amp;VLOOKUP(B61,Instruções!$F$13:$J$17,4,0)&amp;"_"&amp;$G$2&amp;" ",
"ON "&amp;VLOOKUP(B61,Instruções!$F$13:$J$17,4,0)&amp;"_"&amp;$F$2&amp;" = "&amp;VLOOKUP(B61,Instruções!$F$13:$J$17,4,0)&amp;"_"&amp;$G$2&amp;" AND "&amp;VLOOKUP(B61,Instruções!$F$13:$J$17,5,0)&amp;"_"&amp;$F$2&amp;" = "&amp;VLOOKUP(B61,Instruções!$F$13:$J$17,5,0)&amp;"_"&amp;$G$2&amp;" ")</f>
        <v xml:space="preserve">ON entty_id_as_is = entty_id_to_be </v>
      </c>
      <c r="K61" s="17" t="str">
        <f t="shared" si="8"/>
        <v xml:space="preserve">WHERE coalesce(cast(grp_ebitda_as_is as string), '') &lt;&gt; coalesce(cast(grp_ebitda_to_be as string), '') </v>
      </c>
      <c r="L61" s="17" t="str">
        <f t="shared" si="9"/>
        <v xml:space="preserve">SELECT count(*) AS NUM_REG_DIF FROM (SELECT entty_id as entty_id_as_is, grp_ebitda as grp_ebitda_as_is FROM cd_loan_tapes_bce.lt003_entity WHERE ref_date='2024-09-30' AND nome_perimetro='Individual Corporativo' AND segmento='ESTR' AND ambito='PM' AND entidade='00100' ) A  Inner join (SELECT entty_id as entty_id_to_be, grp_ebitda as grp_ebitda_to_be FROM bu_loantape_work.lt003_entity WHERE ref_date='2024-09-30' AND nome_perimetro='Individual Corporativo' AND segmento='ESTR' AND ambito='PM' AND entidade='00100' ) B ON entty_id_as_is = entty_id_to_be WHERE coalesce(cast(grp_ebitda_as_is as string), '') &lt;&gt; coalesce(cast(grp_ebitda_to_be as string), '') </v>
      </c>
      <c r="M61" s="17" t="s">
        <v>55</v>
      </c>
      <c r="N61" s="17" t="str">
        <f>"SELECT 'Validação de campos' as tipologia_teste, '"&amp;VLOOKUP(B61,Instruções!$F$13:$J$17,3,0)&amp;"' AS TABELA, '"&amp;E61&amp;"' AS CAMPO, '"&amp;Instruções!$D$15&amp;"' as ref_date, coalesce(NUM_REG_DIF, 0) AS NUM_REG_DIF FROM ("&amp;L61&amp;") A "</f>
        <v xml:space="preserve">SELECT 'Validação de campos' as tipologia_teste, 'lt003_entity' AS TABELA, 'grp_ebitda' AS CAMPO, '2024-09-30' as ref_date, coalesce(NUM_REG_DIF, 0) AS NUM_REG_DIF FROM (SELECT count(*) AS NUM_REG_DIF FROM (SELECT entty_id as entty_id_as_is, grp_ebitda as grp_ebitda_as_is FROM cd_loan_tapes_bce.lt003_entity WHERE ref_date='2024-09-30' AND nome_perimetro='Individual Corporativo' AND segmento='ESTR' AND ambito='PM' AND entidade='00100' ) A  Inner join (SELECT entty_id as entty_id_to_be, grp_ebitda as grp_ebitda_to_be FROM bu_loantape_work.lt003_entity WHERE ref_date='2024-09-30' AND nome_perimetro='Individual Corporativo' AND segmento='ESTR' AND ambito='PM' AND entidade='00100' ) B ON entty_id_as_is = entty_id_to_be WHERE coalesce(cast(grp_ebitda_as_is as string), '') &lt;&gt; coalesce(cast(grp_ebitda_to_be as string), '') ) A </v>
      </c>
      <c r="O61" s="19" t="str">
        <f t="shared" si="4"/>
        <v>SELECT 'Validação de campos' as tipologia_teste, 'lt003_entity' AS TABELA, 'grp_ebitda' AS CAMPO, '2024-09-30' as ref_date, coalesce(NUM_REG_DIF, 0) AS NUM_REG_DIF FROM (SELECT count(*) AS NUM_REG_DIF FROM (SELECT entty_id as entty_id_as_is, grp_ebitda as grp_ebitda_as_is FROM cd_loan_tapes_bce.lt003_entity WHERE ref_date='2024-09-30' AND nome_perimetro='Individual Corporativo' AND segmento='ESTR' AND ambito='PM' AND entidade='00100' ) A  Inner join (SELECT entty_id as entty_id_to_be, grp_ebitda as grp_ebitda_to_be FROM bu_loantape_work.lt003_entity WHERE ref_date='2024-09-30' AND nome_perimetro='Individual Corporativo' AND segmento='ESTR' AND ambito='PM' AND entidade='00100' ) B ON entty_id_as_is = entty_id_to_be WHERE coalesce(cast(grp_ebitda_as_is as string), '') &lt;&gt; coalesce(cast(grp_ebitda_to_be as string), '') ) A UNION ALL</v>
      </c>
      <c r="P61" s="17">
        <f t="shared" si="5"/>
        <v>7</v>
      </c>
    </row>
    <row r="62" spans="2:16" s="15" customFormat="1" ht="11.45">
      <c r="B62" s="17" t="s">
        <v>11</v>
      </c>
      <c r="C62" s="17" t="str">
        <f>_xlfn.CONCAT(Instruções!$D$13,".",VLOOKUP(B62,Instruções!$F$12:$H$17,2,0))</f>
        <v>cd_loan_tapes_bce.lt003_entity</v>
      </c>
      <c r="D62" s="17" t="str">
        <f>_xlfn.CONCAT(Instruções!$D$14,".",VLOOKUP(B62,Instruções!$F$12:$H$17,3,0))</f>
        <v>bu_loantape_work.lt003_entity</v>
      </c>
      <c r="E62" s="17" t="s">
        <v>115</v>
      </c>
      <c r="F62" s="17" t="str">
        <f t="shared" si="6"/>
        <v>grp_eqty_as_is</v>
      </c>
      <c r="G62" s="17" t="str">
        <f t="shared" si="7"/>
        <v>grp_eqty_to_be</v>
      </c>
      <c r="H62" s="17" t="str">
        <f>IF(VLOOKUP(B62,Instruções!$F$13:$J$17,5,0)="",
"(SELECT "&amp;VLOOKUP(B62,Instruções!$F$13:$J$17,4,0)&amp;" as "&amp;VLOOKUP(B62,Instruções!$F$13:$J$17,4,0)&amp;"_"&amp;$F$2&amp;", "&amp;E62&amp;" as "&amp;F62&amp;" FROM "&amp;C62&amp;" WHERE "&amp;Instruções!$D$20&amp;") A ",
"(SELECT "&amp;VLOOKUP(B62,Instruções!$F$13:$J$17,4,0)&amp;" as "&amp;VLOOKUP(B62,Instruções!$F$13:$J$17,4,0)&amp;"_"&amp;$F$2&amp;", "&amp;VLOOKUP(B62,Instruções!$F$13:$J$17,5,0)&amp;" as "&amp;VLOOKUP(B62,Instruções!$F$13:$J$17,5,0)&amp;"_"&amp;$F$2&amp;","&amp;E62&amp;" as "&amp;F62&amp;" FROM "&amp;C62&amp;" WHERE "&amp;Instruções!$D$20&amp;") A ")</f>
        <v xml:space="preserve">(SELECT entty_id as entty_id_as_is, grp_eqty as grp_eqty_as_is FROM cd_loan_tapes_bce.lt003_entity WHERE ref_date='2024-09-30' AND nome_perimetro='Individual Corporativo' AND segmento='ESTR' AND ambito='PM' AND entidade='00100' ) A </v>
      </c>
      <c r="I62" s="17" t="str">
        <f>IF(VLOOKUP(B62,Instruções!$F$13:$J$17,5,0)="",
"(SELECT "&amp;VLOOKUP(B62,Instruções!$F$13:$J$17,4,0)&amp;" as "&amp;VLOOKUP(B62,Instruções!$F$13:$J$17,4,0)&amp;"_"&amp;$G$2&amp;", "&amp;E62&amp;" as "&amp;G62&amp;" FROM "&amp;D62&amp;" WHERE "&amp;Instruções!$D$21&amp;") B ",
"(SELECT "&amp;VLOOKUP(B62,Instruções!$F$13:$J$17,4,0)&amp;" as "&amp;VLOOKUP(B62,Instruções!$F$13:$J$17,4,0)&amp;"_"&amp;$G$2&amp;", "&amp;VLOOKUP(B62,Instruções!$F$13:$J$17,5,0)&amp;" as "&amp;VLOOKUP(B62,Instruções!$F$13:$J$17,5,0)&amp;"_"&amp;$G$2&amp;","&amp;E62&amp;" as "&amp;G62&amp;" FROM "&amp;D62&amp;" WHERE "&amp;Instruções!$D$21&amp;") B ")</f>
        <v xml:space="preserve">(SELECT entty_id as entty_id_to_be, grp_eqty as grp_eqty_to_be FROM bu_loantape_work.lt003_entity WHERE ref_date='2024-09-30' AND nome_perimetro='Individual Corporativo' AND segmento='ESTR' AND ambito='PM' AND entidade='00100' ) B </v>
      </c>
      <c r="J62" s="17" t="str">
        <f>IF(VLOOKUP(B62,Instruções!$F$13:$J$17,5,0)="",
"ON "&amp;VLOOKUP(B62,Instruções!$F$13:$J$17,4,0)&amp;"_"&amp;$F$2&amp;" = "&amp;VLOOKUP(B62,Instruções!$F$13:$J$17,4,0)&amp;"_"&amp;$G$2&amp;" ",
"ON "&amp;VLOOKUP(B62,Instruções!$F$13:$J$17,4,0)&amp;"_"&amp;$F$2&amp;" = "&amp;VLOOKUP(B62,Instruções!$F$13:$J$17,4,0)&amp;"_"&amp;$G$2&amp;" AND "&amp;VLOOKUP(B62,Instruções!$F$13:$J$17,5,0)&amp;"_"&amp;$F$2&amp;" = "&amp;VLOOKUP(B62,Instruções!$F$13:$J$17,5,0)&amp;"_"&amp;$G$2&amp;" ")</f>
        <v xml:space="preserve">ON entty_id_as_is = entty_id_to_be </v>
      </c>
      <c r="K62" s="17" t="str">
        <f t="shared" si="8"/>
        <v xml:space="preserve">WHERE coalesce(cast(grp_eqty_as_is as string), '') &lt;&gt; coalesce(cast(grp_eqty_to_be as string), '') </v>
      </c>
      <c r="L62" s="17" t="str">
        <f t="shared" si="9"/>
        <v xml:space="preserve">SELECT count(*) AS NUM_REG_DIF FROM (SELECT entty_id as entty_id_as_is, grp_eqty as grp_eqty_as_is FROM cd_loan_tapes_bce.lt003_entity WHERE ref_date='2024-09-30' AND nome_perimetro='Individual Corporativo' AND segmento='ESTR' AND ambito='PM' AND entidade='00100' ) A  Inner join (SELECT entty_id as entty_id_to_be, grp_eqty as grp_eqty_to_be FROM bu_loantape_work.lt003_entity WHERE ref_date='2024-09-30' AND nome_perimetro='Individual Corporativo' AND segmento='ESTR' AND ambito='PM' AND entidade='00100' ) B ON entty_id_as_is = entty_id_to_be WHERE coalesce(cast(grp_eqty_as_is as string), '') &lt;&gt; coalesce(cast(grp_eqty_to_be as string), '') </v>
      </c>
      <c r="M62" s="17" t="s">
        <v>55</v>
      </c>
      <c r="N62" s="17" t="str">
        <f>"SELECT 'Validação de campos' as tipologia_teste, '"&amp;VLOOKUP(B62,Instruções!$F$13:$J$17,3,0)&amp;"' AS TABELA, '"&amp;E62&amp;"' AS CAMPO, '"&amp;Instruções!$D$15&amp;"' as ref_date, coalesce(NUM_REG_DIF, 0) AS NUM_REG_DIF FROM ("&amp;L62&amp;") A "</f>
        <v xml:space="preserve">SELECT 'Validação de campos' as tipologia_teste, 'lt003_entity' AS TABELA, 'grp_eqty' AS CAMPO, '2024-09-30' as ref_date, coalesce(NUM_REG_DIF, 0) AS NUM_REG_DIF FROM (SELECT count(*) AS NUM_REG_DIF FROM (SELECT entty_id as entty_id_as_is, grp_eqty as grp_eqty_as_is FROM cd_loan_tapes_bce.lt003_entity WHERE ref_date='2024-09-30' AND nome_perimetro='Individual Corporativo' AND segmento='ESTR' AND ambito='PM' AND entidade='00100' ) A  Inner join (SELECT entty_id as entty_id_to_be, grp_eqty as grp_eqty_to_be FROM bu_loantape_work.lt003_entity WHERE ref_date='2024-09-30' AND nome_perimetro='Individual Corporativo' AND segmento='ESTR' AND ambito='PM' AND entidade='00100' ) B ON entty_id_as_is = entty_id_to_be WHERE coalesce(cast(grp_eqty_as_is as string), '') &lt;&gt; coalesce(cast(grp_eqty_to_be as string), '') ) A </v>
      </c>
      <c r="O62" s="19" t="str">
        <f t="shared" si="4"/>
        <v>SELECT 'Validação de campos' as tipologia_teste, 'lt003_entity' AS TABELA, 'grp_eqty' AS CAMPO, '2024-09-30' as ref_date, coalesce(NUM_REG_DIF, 0) AS NUM_REG_DIF FROM (SELECT count(*) AS NUM_REG_DIF FROM (SELECT entty_id as entty_id_as_is, grp_eqty as grp_eqty_as_is FROM cd_loan_tapes_bce.lt003_entity WHERE ref_date='2024-09-30' AND nome_perimetro='Individual Corporativo' AND segmento='ESTR' AND ambito='PM' AND entidade='00100' ) A  Inner join (SELECT entty_id as entty_id_to_be, grp_eqty as grp_eqty_to_be FROM bu_loantape_work.lt003_entity WHERE ref_date='2024-09-30' AND nome_perimetro='Individual Corporativo' AND segmento='ESTR' AND ambito='PM' AND entidade='00100' ) B ON entty_id_as_is = entty_id_to_be WHERE coalesce(cast(grp_eqty_as_is as string), '') &lt;&gt; coalesce(cast(grp_eqty_to_be as string), '') ) A UNION ALL</v>
      </c>
      <c r="P62" s="17">
        <f t="shared" si="5"/>
        <v>8</v>
      </c>
    </row>
    <row r="63" spans="2:16" s="15" customFormat="1" ht="11.45">
      <c r="B63" s="17" t="s">
        <v>11</v>
      </c>
      <c r="C63" s="17" t="str">
        <f>_xlfn.CONCAT(Instruções!$D$13,".",VLOOKUP(B63,Instruções!$F$12:$H$17,2,0))</f>
        <v>cd_loan_tapes_bce.lt003_entity</v>
      </c>
      <c r="D63" s="17" t="str">
        <f>_xlfn.CONCAT(Instruções!$D$14,".",VLOOKUP(B63,Instruções!$F$12:$H$17,3,0))</f>
        <v>bu_loantape_work.lt003_entity</v>
      </c>
      <c r="E63" s="17" t="s">
        <v>116</v>
      </c>
      <c r="F63" s="17" t="str">
        <f t="shared" si="6"/>
        <v>grp_nt_dbt_as_is</v>
      </c>
      <c r="G63" s="17" t="str">
        <f t="shared" si="7"/>
        <v>grp_nt_dbt_to_be</v>
      </c>
      <c r="H63" s="17" t="str">
        <f>IF(VLOOKUP(B63,Instruções!$F$13:$J$17,5,0)="",
"(SELECT "&amp;VLOOKUP(B63,Instruções!$F$13:$J$17,4,0)&amp;" as "&amp;VLOOKUP(B63,Instruções!$F$13:$J$17,4,0)&amp;"_"&amp;$F$2&amp;", "&amp;E63&amp;" as "&amp;F63&amp;" FROM "&amp;C63&amp;" WHERE "&amp;Instruções!$D$20&amp;") A ",
"(SELECT "&amp;VLOOKUP(B63,Instruções!$F$13:$J$17,4,0)&amp;" as "&amp;VLOOKUP(B63,Instruções!$F$13:$J$17,4,0)&amp;"_"&amp;$F$2&amp;", "&amp;VLOOKUP(B63,Instruções!$F$13:$J$17,5,0)&amp;" as "&amp;VLOOKUP(B63,Instruções!$F$13:$J$17,5,0)&amp;"_"&amp;$F$2&amp;","&amp;E63&amp;" as "&amp;F63&amp;" FROM "&amp;C63&amp;" WHERE "&amp;Instruções!$D$20&amp;") A ")</f>
        <v xml:space="preserve">(SELECT entty_id as entty_id_as_is, grp_nt_dbt as grp_nt_dbt_as_is FROM cd_loan_tapes_bce.lt003_entity WHERE ref_date='2024-09-30' AND nome_perimetro='Individual Corporativo' AND segmento='ESTR' AND ambito='PM' AND entidade='00100' ) A </v>
      </c>
      <c r="I63" s="17" t="str">
        <f>IF(VLOOKUP(B63,Instruções!$F$13:$J$17,5,0)="",
"(SELECT "&amp;VLOOKUP(B63,Instruções!$F$13:$J$17,4,0)&amp;" as "&amp;VLOOKUP(B63,Instruções!$F$13:$J$17,4,0)&amp;"_"&amp;$G$2&amp;", "&amp;E63&amp;" as "&amp;G63&amp;" FROM "&amp;D63&amp;" WHERE "&amp;Instruções!$D$21&amp;") B ",
"(SELECT "&amp;VLOOKUP(B63,Instruções!$F$13:$J$17,4,0)&amp;" as "&amp;VLOOKUP(B63,Instruções!$F$13:$J$17,4,0)&amp;"_"&amp;$G$2&amp;", "&amp;VLOOKUP(B63,Instruções!$F$13:$J$17,5,0)&amp;" as "&amp;VLOOKUP(B63,Instruções!$F$13:$J$17,5,0)&amp;"_"&amp;$G$2&amp;","&amp;E63&amp;" as "&amp;G63&amp;" FROM "&amp;D63&amp;" WHERE "&amp;Instruções!$D$21&amp;") B ")</f>
        <v xml:space="preserve">(SELECT entty_id as entty_id_to_be, grp_nt_dbt as grp_nt_dbt_to_be FROM bu_loantape_work.lt003_entity WHERE ref_date='2024-09-30' AND nome_perimetro='Individual Corporativo' AND segmento='ESTR' AND ambito='PM' AND entidade='00100' ) B </v>
      </c>
      <c r="J63" s="17" t="str">
        <f>IF(VLOOKUP(B63,Instruções!$F$13:$J$17,5,0)="",
"ON "&amp;VLOOKUP(B63,Instruções!$F$13:$J$17,4,0)&amp;"_"&amp;$F$2&amp;" = "&amp;VLOOKUP(B63,Instruções!$F$13:$J$17,4,0)&amp;"_"&amp;$G$2&amp;" ",
"ON "&amp;VLOOKUP(B63,Instruções!$F$13:$J$17,4,0)&amp;"_"&amp;$F$2&amp;" = "&amp;VLOOKUP(B63,Instruções!$F$13:$J$17,4,0)&amp;"_"&amp;$G$2&amp;" AND "&amp;VLOOKUP(B63,Instruções!$F$13:$J$17,5,0)&amp;"_"&amp;$F$2&amp;" = "&amp;VLOOKUP(B63,Instruções!$F$13:$J$17,5,0)&amp;"_"&amp;$G$2&amp;" ")</f>
        <v xml:space="preserve">ON entty_id_as_is = entty_id_to_be </v>
      </c>
      <c r="K63" s="17" t="str">
        <f t="shared" si="8"/>
        <v xml:space="preserve">WHERE coalesce(cast(grp_nt_dbt_as_is as string), '') &lt;&gt; coalesce(cast(grp_nt_dbt_to_be as string), '') </v>
      </c>
      <c r="L63" s="17" t="str">
        <f t="shared" si="9"/>
        <v xml:space="preserve">SELECT count(*) AS NUM_REG_DIF FROM (SELECT entty_id as entty_id_as_is, grp_nt_dbt as grp_nt_dbt_as_is FROM cd_loan_tapes_bce.lt003_entity WHERE ref_date='2024-09-30' AND nome_perimetro='Individual Corporativo' AND segmento='ESTR' AND ambito='PM' AND entidade='00100' ) A  Inner join (SELECT entty_id as entty_id_to_be, grp_nt_dbt as grp_nt_dbt_to_be FROM bu_loantape_work.lt003_entity WHERE ref_date='2024-09-30' AND nome_perimetro='Individual Corporativo' AND segmento='ESTR' AND ambito='PM' AND entidade='00100' ) B ON entty_id_as_is = entty_id_to_be WHERE coalesce(cast(grp_nt_dbt_as_is as string), '') &lt;&gt; coalesce(cast(grp_nt_dbt_to_be as string), '') </v>
      </c>
      <c r="M63" s="17" t="s">
        <v>55</v>
      </c>
      <c r="N63" s="17" t="str">
        <f>"SELECT 'Validação de campos' as tipologia_teste, '"&amp;VLOOKUP(B63,Instruções!$F$13:$J$17,3,0)&amp;"' AS TABELA, '"&amp;E63&amp;"' AS CAMPO, '"&amp;Instruções!$D$15&amp;"' as ref_date, coalesce(NUM_REG_DIF, 0) AS NUM_REG_DIF FROM ("&amp;L63&amp;") A "</f>
        <v xml:space="preserve">SELECT 'Validação de campos' as tipologia_teste, 'lt003_entity' AS TABELA, 'grp_nt_dbt' AS CAMPO, '2024-09-30' as ref_date, coalesce(NUM_REG_DIF, 0) AS NUM_REG_DIF FROM (SELECT count(*) AS NUM_REG_DIF FROM (SELECT entty_id as entty_id_as_is, grp_nt_dbt as grp_nt_dbt_as_is FROM cd_loan_tapes_bce.lt003_entity WHERE ref_date='2024-09-30' AND nome_perimetro='Individual Corporativo' AND segmento='ESTR' AND ambito='PM' AND entidade='00100' ) A  Inner join (SELECT entty_id as entty_id_to_be, grp_nt_dbt as grp_nt_dbt_to_be FROM bu_loantape_work.lt003_entity WHERE ref_date='2024-09-30' AND nome_perimetro='Individual Corporativo' AND segmento='ESTR' AND ambito='PM' AND entidade='00100' ) B ON entty_id_as_is = entty_id_to_be WHERE coalesce(cast(grp_nt_dbt_as_is as string), '') &lt;&gt; coalesce(cast(grp_nt_dbt_to_be as string), '') ) A </v>
      </c>
      <c r="O63" s="19" t="str">
        <f t="shared" si="4"/>
        <v>SELECT 'Validação de campos' as tipologia_teste, 'lt003_entity' AS TABELA, 'grp_nt_dbt' AS CAMPO, '2024-09-30' as ref_date, coalesce(NUM_REG_DIF, 0) AS NUM_REG_DIF FROM (SELECT count(*) AS NUM_REG_DIF FROM (SELECT entty_id as entty_id_as_is, grp_nt_dbt as grp_nt_dbt_as_is FROM cd_loan_tapes_bce.lt003_entity WHERE ref_date='2024-09-30' AND nome_perimetro='Individual Corporativo' AND segmento='ESTR' AND ambito='PM' AND entidade='00100' ) A  Inner join (SELECT entty_id as entty_id_to_be, grp_nt_dbt as grp_nt_dbt_to_be FROM bu_loantape_work.lt003_entity WHERE ref_date='2024-09-30' AND nome_perimetro='Individual Corporativo' AND segmento='ESTR' AND ambito='PM' AND entidade='00100' ) B ON entty_id_as_is = entty_id_to_be WHERE coalesce(cast(grp_nt_dbt_as_is as string), '') &lt;&gt; coalesce(cast(grp_nt_dbt_to_be as string), '') ) A UNION ALL</v>
      </c>
      <c r="P63" s="17">
        <f t="shared" si="5"/>
        <v>9</v>
      </c>
    </row>
    <row r="64" spans="2:16" s="15" customFormat="1" ht="11.45">
      <c r="B64" s="17" t="s">
        <v>11</v>
      </c>
      <c r="C64" s="17" t="str">
        <f>_xlfn.CONCAT(Instruções!$D$13,".",VLOOKUP(B64,Instruções!$F$12:$H$17,2,0))</f>
        <v>cd_loan_tapes_bce.lt003_entity</v>
      </c>
      <c r="D64" s="17" t="str">
        <f>_xlfn.CONCAT(Instruções!$D$14,".",VLOOKUP(B64,Instruções!$F$12:$H$17,3,0))</f>
        <v>bu_loantape_work.lt003_entity</v>
      </c>
      <c r="E64" s="17" t="s">
        <v>119</v>
      </c>
      <c r="F64" s="17" t="str">
        <f t="shared" si="6"/>
        <v>grp_ttl_dbt_as_is</v>
      </c>
      <c r="G64" s="17" t="str">
        <f t="shared" si="7"/>
        <v>grp_ttl_dbt_to_be</v>
      </c>
      <c r="H64" s="17" t="str">
        <f>IF(VLOOKUP(B64,Instruções!$F$13:$J$17,5,0)="",
"(SELECT "&amp;VLOOKUP(B64,Instruções!$F$13:$J$17,4,0)&amp;" as "&amp;VLOOKUP(B64,Instruções!$F$13:$J$17,4,0)&amp;"_"&amp;$F$2&amp;", "&amp;E64&amp;" as "&amp;F64&amp;" FROM "&amp;C64&amp;" WHERE "&amp;Instruções!$D$20&amp;") A ",
"(SELECT "&amp;VLOOKUP(B64,Instruções!$F$13:$J$17,4,0)&amp;" as "&amp;VLOOKUP(B64,Instruções!$F$13:$J$17,4,0)&amp;"_"&amp;$F$2&amp;", "&amp;VLOOKUP(B64,Instruções!$F$13:$J$17,5,0)&amp;" as "&amp;VLOOKUP(B64,Instruções!$F$13:$J$17,5,0)&amp;"_"&amp;$F$2&amp;","&amp;E64&amp;" as "&amp;F64&amp;" FROM "&amp;C64&amp;" WHERE "&amp;Instruções!$D$20&amp;") A ")</f>
        <v xml:space="preserve">(SELECT entty_id as entty_id_as_is, grp_ttl_dbt as grp_ttl_dbt_as_is FROM cd_loan_tapes_bce.lt003_entity WHERE ref_date='2024-09-30' AND nome_perimetro='Individual Corporativo' AND segmento='ESTR' AND ambito='PM' AND entidade='00100' ) A </v>
      </c>
      <c r="I64" s="17" t="str">
        <f>IF(VLOOKUP(B64,Instruções!$F$13:$J$17,5,0)="",
"(SELECT "&amp;VLOOKUP(B64,Instruções!$F$13:$J$17,4,0)&amp;" as "&amp;VLOOKUP(B64,Instruções!$F$13:$J$17,4,0)&amp;"_"&amp;$G$2&amp;", "&amp;E64&amp;" as "&amp;G64&amp;" FROM "&amp;D64&amp;" WHERE "&amp;Instruções!$D$21&amp;") B ",
"(SELECT "&amp;VLOOKUP(B64,Instruções!$F$13:$J$17,4,0)&amp;" as "&amp;VLOOKUP(B64,Instruções!$F$13:$J$17,4,0)&amp;"_"&amp;$G$2&amp;", "&amp;VLOOKUP(B64,Instruções!$F$13:$J$17,5,0)&amp;" as "&amp;VLOOKUP(B64,Instruções!$F$13:$J$17,5,0)&amp;"_"&amp;$G$2&amp;","&amp;E64&amp;" as "&amp;G64&amp;" FROM "&amp;D64&amp;" WHERE "&amp;Instruções!$D$21&amp;") B ")</f>
        <v xml:space="preserve">(SELECT entty_id as entty_id_to_be, grp_ttl_dbt as grp_ttl_dbt_to_be FROM bu_loantape_work.lt003_entity WHERE ref_date='2024-09-30' AND nome_perimetro='Individual Corporativo' AND segmento='ESTR' AND ambito='PM' AND entidade='00100' ) B </v>
      </c>
      <c r="J64" s="17" t="str">
        <f>IF(VLOOKUP(B64,Instruções!$F$13:$J$17,5,0)="",
"ON "&amp;VLOOKUP(B64,Instruções!$F$13:$J$17,4,0)&amp;"_"&amp;$F$2&amp;" = "&amp;VLOOKUP(B64,Instruções!$F$13:$J$17,4,0)&amp;"_"&amp;$G$2&amp;" ",
"ON "&amp;VLOOKUP(B64,Instruções!$F$13:$J$17,4,0)&amp;"_"&amp;$F$2&amp;" = "&amp;VLOOKUP(B64,Instruções!$F$13:$J$17,4,0)&amp;"_"&amp;$G$2&amp;" AND "&amp;VLOOKUP(B64,Instruções!$F$13:$J$17,5,0)&amp;"_"&amp;$F$2&amp;" = "&amp;VLOOKUP(B64,Instruções!$F$13:$J$17,5,0)&amp;"_"&amp;$G$2&amp;" ")</f>
        <v xml:space="preserve">ON entty_id_as_is = entty_id_to_be </v>
      </c>
      <c r="K64" s="17" t="str">
        <f t="shared" si="8"/>
        <v xml:space="preserve">WHERE coalesce(cast(grp_ttl_dbt_as_is as string), '') &lt;&gt; coalesce(cast(grp_ttl_dbt_to_be as string), '') </v>
      </c>
      <c r="L64" s="17" t="str">
        <f t="shared" si="9"/>
        <v xml:space="preserve">SELECT count(*) AS NUM_REG_DIF FROM (SELECT entty_id as entty_id_as_is, grp_ttl_dbt as grp_ttl_dbt_as_is FROM cd_loan_tapes_bce.lt003_entity WHERE ref_date='2024-09-30' AND nome_perimetro='Individual Corporativo' AND segmento='ESTR' AND ambito='PM' AND entidade='00100' ) A  Inner join (SELECT entty_id as entty_id_to_be, grp_ttl_dbt as grp_ttl_dbt_to_be FROM bu_loantape_work.lt003_entity WHERE ref_date='2024-09-30' AND nome_perimetro='Individual Corporativo' AND segmento='ESTR' AND ambito='PM' AND entidade='00100' ) B ON entty_id_as_is = entty_id_to_be WHERE coalesce(cast(grp_ttl_dbt_as_is as string), '') &lt;&gt; coalesce(cast(grp_ttl_dbt_to_be as string), '') </v>
      </c>
      <c r="M64" s="17" t="s">
        <v>55</v>
      </c>
      <c r="N64" s="17" t="str">
        <f>"SELECT 'Validação de campos' as tipologia_teste, '"&amp;VLOOKUP(B64,Instruções!$F$13:$J$17,3,0)&amp;"' AS TABELA, '"&amp;E64&amp;"' AS CAMPO, '"&amp;Instruções!$D$15&amp;"' as ref_date, coalesce(NUM_REG_DIF, 0) AS NUM_REG_DIF FROM ("&amp;L64&amp;") A "</f>
        <v xml:space="preserve">SELECT 'Validação de campos' as tipologia_teste, 'lt003_entity' AS TABELA, 'grp_ttl_dbt' AS CAMPO, '2024-09-30' as ref_date, coalesce(NUM_REG_DIF, 0) AS NUM_REG_DIF FROM (SELECT count(*) AS NUM_REG_DIF FROM (SELECT entty_id as entty_id_as_is, grp_ttl_dbt as grp_ttl_dbt_as_is FROM cd_loan_tapes_bce.lt003_entity WHERE ref_date='2024-09-30' AND nome_perimetro='Individual Corporativo' AND segmento='ESTR' AND ambito='PM' AND entidade='00100' ) A  Inner join (SELECT entty_id as entty_id_to_be, grp_ttl_dbt as grp_ttl_dbt_to_be FROM bu_loantape_work.lt003_entity WHERE ref_date='2024-09-30' AND nome_perimetro='Individual Corporativo' AND segmento='ESTR' AND ambito='PM' AND entidade='00100' ) B ON entty_id_as_is = entty_id_to_be WHERE coalesce(cast(grp_ttl_dbt_as_is as string), '') &lt;&gt; coalesce(cast(grp_ttl_dbt_to_be as string), '') ) A </v>
      </c>
      <c r="O64" s="19" t="str">
        <f t="shared" si="4"/>
        <v>SELECT 'Validação de campos' as tipologia_teste, 'lt003_entity' AS TABELA, 'grp_ttl_dbt' AS CAMPO, '2024-09-30' as ref_date, coalesce(NUM_REG_DIF, 0) AS NUM_REG_DIF FROM (SELECT count(*) AS NUM_REG_DIF FROM (SELECT entty_id as entty_id_as_is, grp_ttl_dbt as grp_ttl_dbt_as_is FROM cd_loan_tapes_bce.lt003_entity WHERE ref_date='2024-09-30' AND nome_perimetro='Individual Corporativo' AND segmento='ESTR' AND ambito='PM' AND entidade='00100' ) A  Inner join (SELECT entty_id as entty_id_to_be, grp_ttl_dbt as grp_ttl_dbt_to_be FROM bu_loantape_work.lt003_entity WHERE ref_date='2024-09-30' AND nome_perimetro='Individual Corporativo' AND segmento='ESTR' AND ambito='PM' AND entidade='00100' ) B ON entty_id_as_is = entty_id_to_be WHERE coalesce(cast(grp_ttl_dbt_as_is as string), '') &lt;&gt; coalesce(cast(grp_ttl_dbt_to_be as string), '') ) A UNION ALL</v>
      </c>
      <c r="P64" s="17">
        <f t="shared" si="5"/>
        <v>10</v>
      </c>
    </row>
    <row r="65" spans="2:16" s="15" customFormat="1" ht="11.45">
      <c r="B65" s="17" t="s">
        <v>11</v>
      </c>
      <c r="C65" s="17" t="str">
        <f>_xlfn.CONCAT(Instruções!$D$13,".",VLOOKUP(B65,Instruções!$F$12:$H$17,2,0))</f>
        <v>cd_loan_tapes_bce.lt003_entity</v>
      </c>
      <c r="D65" s="17" t="str">
        <f>_xlfn.CONCAT(Instruções!$D$14,".",VLOOKUP(B65,Instruções!$F$12:$H$17,3,0))</f>
        <v>bu_loantape_work.lt003_entity</v>
      </c>
      <c r="E65" s="17" t="s">
        <v>95</v>
      </c>
      <c r="F65" s="17" t="str">
        <f t="shared" si="6"/>
        <v>extrnl_rtng_prvs_as_is</v>
      </c>
      <c r="G65" s="17" t="str">
        <f t="shared" si="7"/>
        <v>extrnl_rtng_prvs_to_be</v>
      </c>
      <c r="H65" s="17" t="str">
        <f>IF(VLOOKUP(B65,Instruções!$F$13:$J$17,5,0)="",
"(SELECT "&amp;VLOOKUP(B65,Instruções!$F$13:$J$17,4,0)&amp;" as "&amp;VLOOKUP(B65,Instruções!$F$13:$J$17,4,0)&amp;"_"&amp;$F$2&amp;", "&amp;E65&amp;" as "&amp;F65&amp;" FROM "&amp;C65&amp;" WHERE "&amp;Instruções!$D$20&amp;") A ",
"(SELECT "&amp;VLOOKUP(B65,Instruções!$F$13:$J$17,4,0)&amp;" as "&amp;VLOOKUP(B65,Instruções!$F$13:$J$17,4,0)&amp;"_"&amp;$F$2&amp;", "&amp;VLOOKUP(B65,Instruções!$F$13:$J$17,5,0)&amp;" as "&amp;VLOOKUP(B65,Instruções!$F$13:$J$17,5,0)&amp;"_"&amp;$F$2&amp;","&amp;E65&amp;" as "&amp;F65&amp;" FROM "&amp;C65&amp;" WHERE "&amp;Instruções!$D$20&amp;") A ")</f>
        <v xml:space="preserve">(SELECT entty_id as entty_id_as_is, extrnl_rtng_prvs as extrnl_rtng_prvs_as_is FROM cd_loan_tapes_bce.lt003_entity WHERE ref_date='2024-09-30' AND nome_perimetro='Individual Corporativo' AND segmento='ESTR' AND ambito='PM' AND entidade='00100' ) A </v>
      </c>
      <c r="I65" s="17" t="str">
        <f>IF(VLOOKUP(B65,Instruções!$F$13:$J$17,5,0)="",
"(SELECT "&amp;VLOOKUP(B65,Instruções!$F$13:$J$17,4,0)&amp;" as "&amp;VLOOKUP(B65,Instruções!$F$13:$J$17,4,0)&amp;"_"&amp;$G$2&amp;", "&amp;E65&amp;" as "&amp;G65&amp;" FROM "&amp;D65&amp;" WHERE "&amp;Instruções!$D$21&amp;") B ",
"(SELECT "&amp;VLOOKUP(B65,Instruções!$F$13:$J$17,4,0)&amp;" as "&amp;VLOOKUP(B65,Instruções!$F$13:$J$17,4,0)&amp;"_"&amp;$G$2&amp;", "&amp;VLOOKUP(B65,Instruções!$F$13:$J$17,5,0)&amp;" as "&amp;VLOOKUP(B65,Instruções!$F$13:$J$17,5,0)&amp;"_"&amp;$G$2&amp;","&amp;E65&amp;" as "&amp;G65&amp;" FROM "&amp;D65&amp;" WHERE "&amp;Instruções!$D$21&amp;") B ")</f>
        <v xml:space="preserve">(SELECT entty_id as entty_id_to_be, extrnl_rtng_prvs as extrnl_rtng_prvs_to_be FROM bu_loantape_work.lt003_entity WHERE ref_date='2024-09-30' AND nome_perimetro='Individual Corporativo' AND segmento='ESTR' AND ambito='PM' AND entidade='00100' ) B </v>
      </c>
      <c r="J65" s="17" t="str">
        <f>IF(VLOOKUP(B65,Instruções!$F$13:$J$17,5,0)="",
"ON "&amp;VLOOKUP(B65,Instruções!$F$13:$J$17,4,0)&amp;"_"&amp;$F$2&amp;" = "&amp;VLOOKUP(B65,Instruções!$F$13:$J$17,4,0)&amp;"_"&amp;$G$2&amp;" ",
"ON "&amp;VLOOKUP(B65,Instruções!$F$13:$J$17,4,0)&amp;"_"&amp;$F$2&amp;" = "&amp;VLOOKUP(B65,Instruções!$F$13:$J$17,4,0)&amp;"_"&amp;$G$2&amp;" AND "&amp;VLOOKUP(B65,Instruções!$F$13:$J$17,5,0)&amp;"_"&amp;$F$2&amp;" = "&amp;VLOOKUP(B65,Instruções!$F$13:$J$17,5,0)&amp;"_"&amp;$G$2&amp;" ")</f>
        <v xml:space="preserve">ON entty_id_as_is = entty_id_to_be </v>
      </c>
      <c r="K65" s="17" t="str">
        <f t="shared" si="8"/>
        <v xml:space="preserve">WHERE coalesce(cast(extrnl_rtng_prvs_as_is as string), '') &lt;&gt; coalesce(cast(extrnl_rtng_prvs_to_be as string), '') </v>
      </c>
      <c r="L65" s="17" t="str">
        <f t="shared" si="9"/>
        <v xml:space="preserve">SELECT count(*) AS NUM_REG_DIF FROM (SELECT entty_id as entty_id_as_is, extrnl_rtng_prvs as extrnl_rtng_prvs_as_is FROM cd_loan_tapes_bce.lt003_entity WHERE ref_date='2024-09-30' AND nome_perimetro='Individual Corporativo' AND segmento='ESTR' AND ambito='PM' AND entidade='00100' ) A  Inner join (SELECT entty_id as entty_id_to_be, extrnl_rtng_prvs as extrnl_rtng_prvs_to_be FROM bu_loantape_work.lt003_entity WHERE ref_date='2024-09-30' AND nome_perimetro='Individual Corporativo' AND segmento='ESTR' AND ambito='PM' AND entidade='00100' ) B ON entty_id_as_is = entty_id_to_be WHERE coalesce(cast(extrnl_rtng_prvs_as_is as string), '') &lt;&gt; coalesce(cast(extrnl_rtng_prvs_to_be as string), '') </v>
      </c>
      <c r="M65" s="17" t="s">
        <v>55</v>
      </c>
      <c r="N65" s="17" t="str">
        <f>"SELECT 'Validação de campos' as tipologia_teste, '"&amp;VLOOKUP(B65,Instruções!$F$13:$J$17,3,0)&amp;"' AS TABELA, '"&amp;E65&amp;"' AS CAMPO, '"&amp;Instruções!$D$15&amp;"' as ref_date, coalesce(NUM_REG_DIF, 0) AS NUM_REG_DIF FROM ("&amp;L65&amp;") A "</f>
        <v xml:space="preserve">SELECT 'Validação de campos' as tipologia_teste, 'lt003_entity' AS TABELA, 'extrnl_rtng_prvs' AS CAMPO, '2024-09-30' as ref_date, coalesce(NUM_REG_DIF, 0) AS NUM_REG_DIF FROM (SELECT count(*) AS NUM_REG_DIF FROM (SELECT entty_id as entty_id_as_is, extrnl_rtng_prvs as extrnl_rtng_prvs_as_is FROM cd_loan_tapes_bce.lt003_entity WHERE ref_date='2024-09-30' AND nome_perimetro='Individual Corporativo' AND segmento='ESTR' AND ambito='PM' AND entidade='00100' ) A  Inner join (SELECT entty_id as entty_id_to_be, extrnl_rtng_prvs as extrnl_rtng_prvs_to_be FROM bu_loantape_work.lt003_entity WHERE ref_date='2024-09-30' AND nome_perimetro='Individual Corporativo' AND segmento='ESTR' AND ambito='PM' AND entidade='00100' ) B ON entty_id_as_is = entty_id_to_be WHERE coalesce(cast(extrnl_rtng_prvs_as_is as string), '') &lt;&gt; coalesce(cast(extrnl_rtng_prvs_to_be as string), '') ) A </v>
      </c>
      <c r="O65" s="19" t="str">
        <f t="shared" si="4"/>
        <v>SELECT 'Validação de campos' as tipologia_teste, 'lt003_entity' AS TABELA, 'extrnl_rtng_prvs' AS CAMPO, '2024-09-30' as ref_date, coalesce(NUM_REG_DIF, 0) AS NUM_REG_DIF FROM (SELECT count(*) AS NUM_REG_DIF FROM (SELECT entty_id as entty_id_as_is, extrnl_rtng_prvs as extrnl_rtng_prvs_as_is FROM cd_loan_tapes_bce.lt003_entity WHERE ref_date='2024-09-30' AND nome_perimetro='Individual Corporativo' AND segmento='ESTR' AND ambito='PM' AND entidade='00100' ) A  Inner join (SELECT entty_id as entty_id_to_be, extrnl_rtng_prvs as extrnl_rtng_prvs_to_be FROM bu_loantape_work.lt003_entity WHERE ref_date='2024-09-30' AND nome_perimetro='Individual Corporativo' AND segmento='ESTR' AND ambito='PM' AND entidade='00100' ) B ON entty_id_as_is = entty_id_to_be WHERE coalesce(cast(extrnl_rtng_prvs_as_is as string), '') &lt;&gt; coalesce(cast(extrnl_rtng_prvs_to_be as string), '') ) A UNION ALL</v>
      </c>
      <c r="P65" s="17">
        <f t="shared" si="5"/>
        <v>11</v>
      </c>
    </row>
    <row r="66" spans="2:16" s="15" customFormat="1" ht="11.45">
      <c r="B66" s="17" t="s">
        <v>11</v>
      </c>
      <c r="C66" s="17" t="str">
        <f>_xlfn.CONCAT(Instruções!$D$13,".",VLOOKUP(B66,Instruções!$F$12:$H$17,2,0))</f>
        <v>cd_loan_tapes_bce.lt003_entity</v>
      </c>
      <c r="D66" s="17" t="str">
        <f>_xlfn.CONCAT(Instruções!$D$14,".",VLOOKUP(B66,Instruções!$F$12:$H$17,3,0))</f>
        <v>bu_loantape_work.lt003_entity</v>
      </c>
      <c r="E66" s="17" t="s">
        <v>120</v>
      </c>
      <c r="F66" s="17" t="str">
        <f t="shared" si="6"/>
        <v>incm_sc_as_is</v>
      </c>
      <c r="G66" s="17" t="str">
        <f t="shared" si="7"/>
        <v>incm_sc_to_be</v>
      </c>
      <c r="H66" s="17" t="str">
        <f>IF(VLOOKUP(B66,Instruções!$F$13:$J$17,5,0)="",
"(SELECT "&amp;VLOOKUP(B66,Instruções!$F$13:$J$17,4,0)&amp;" as "&amp;VLOOKUP(B66,Instruções!$F$13:$J$17,4,0)&amp;"_"&amp;$F$2&amp;", "&amp;E66&amp;" as "&amp;F66&amp;" FROM "&amp;C66&amp;" WHERE "&amp;Instruções!$D$20&amp;") A ",
"(SELECT "&amp;VLOOKUP(B66,Instruções!$F$13:$J$17,4,0)&amp;" as "&amp;VLOOKUP(B66,Instruções!$F$13:$J$17,4,0)&amp;"_"&amp;$F$2&amp;", "&amp;VLOOKUP(B66,Instruções!$F$13:$J$17,5,0)&amp;" as "&amp;VLOOKUP(B66,Instruções!$F$13:$J$17,5,0)&amp;"_"&amp;$F$2&amp;","&amp;E66&amp;" as "&amp;F66&amp;" FROM "&amp;C66&amp;" WHERE "&amp;Instruções!$D$20&amp;") A ")</f>
        <v xml:space="preserve">(SELECT entty_id as entty_id_as_is, incm_sc as incm_sc_as_is FROM cd_loan_tapes_bce.lt003_entity WHERE ref_date='2024-09-30' AND nome_perimetro='Individual Corporativo' AND segmento='ESTR' AND ambito='PM' AND entidade='00100' ) A </v>
      </c>
      <c r="I66" s="17" t="str">
        <f>IF(VLOOKUP(B66,Instruções!$F$13:$J$17,5,0)="",
"(SELECT "&amp;VLOOKUP(B66,Instruções!$F$13:$J$17,4,0)&amp;" as "&amp;VLOOKUP(B66,Instruções!$F$13:$J$17,4,0)&amp;"_"&amp;$G$2&amp;", "&amp;E66&amp;" as "&amp;G66&amp;" FROM "&amp;D66&amp;" WHERE "&amp;Instruções!$D$21&amp;") B ",
"(SELECT "&amp;VLOOKUP(B66,Instruções!$F$13:$J$17,4,0)&amp;" as "&amp;VLOOKUP(B66,Instruções!$F$13:$J$17,4,0)&amp;"_"&amp;$G$2&amp;", "&amp;VLOOKUP(B66,Instruções!$F$13:$J$17,5,0)&amp;" as "&amp;VLOOKUP(B66,Instruções!$F$13:$J$17,5,0)&amp;"_"&amp;$G$2&amp;","&amp;E66&amp;" as "&amp;G66&amp;" FROM "&amp;D66&amp;" WHERE "&amp;Instruções!$D$21&amp;") B ")</f>
        <v xml:space="preserve">(SELECT entty_id as entty_id_to_be, incm_sc as incm_sc_to_be FROM bu_loantape_work.lt003_entity WHERE ref_date='2024-09-30' AND nome_perimetro='Individual Corporativo' AND segmento='ESTR' AND ambito='PM' AND entidade='00100' ) B </v>
      </c>
      <c r="J66" s="17" t="str">
        <f>IF(VLOOKUP(B66,Instruções!$F$13:$J$17,5,0)="",
"ON "&amp;VLOOKUP(B66,Instruções!$F$13:$J$17,4,0)&amp;"_"&amp;$F$2&amp;" = "&amp;VLOOKUP(B66,Instruções!$F$13:$J$17,4,0)&amp;"_"&amp;$G$2&amp;" ",
"ON "&amp;VLOOKUP(B66,Instruções!$F$13:$J$17,4,0)&amp;"_"&amp;$F$2&amp;" = "&amp;VLOOKUP(B66,Instruções!$F$13:$J$17,4,0)&amp;"_"&amp;$G$2&amp;" AND "&amp;VLOOKUP(B66,Instruções!$F$13:$J$17,5,0)&amp;"_"&amp;$F$2&amp;" = "&amp;VLOOKUP(B66,Instruções!$F$13:$J$17,5,0)&amp;"_"&amp;$G$2&amp;" ")</f>
        <v xml:space="preserve">ON entty_id_as_is = entty_id_to_be </v>
      </c>
      <c r="K66" s="17" t="str">
        <f t="shared" si="8"/>
        <v xml:space="preserve">WHERE coalesce(cast(incm_sc_as_is as string), '') &lt;&gt; coalesce(cast(incm_sc_to_be as string), '') </v>
      </c>
      <c r="L66" s="17" t="str">
        <f t="shared" si="9"/>
        <v xml:space="preserve">SELECT count(*) AS NUM_REG_DIF FROM (SELECT entty_id as entty_id_as_is, incm_sc as incm_sc_as_is FROM cd_loan_tapes_bce.lt003_entity WHERE ref_date='2024-09-30' AND nome_perimetro='Individual Corporativo' AND segmento='ESTR' AND ambito='PM' AND entidade='00100' ) A  Inner join (SELECT entty_id as entty_id_to_be, incm_sc as incm_sc_to_be FROM bu_loantape_work.lt003_entity WHERE ref_date='2024-09-30' AND nome_perimetro='Individual Corporativo' AND segmento='ESTR' AND ambito='PM' AND entidade='00100' ) B ON entty_id_as_is = entty_id_to_be WHERE coalesce(cast(incm_sc_as_is as string), '') &lt;&gt; coalesce(cast(incm_sc_to_be as string), '') </v>
      </c>
      <c r="M66" s="17" t="s">
        <v>55</v>
      </c>
      <c r="N66" s="17" t="str">
        <f>"SELECT 'Validação de campos' as tipologia_teste, '"&amp;VLOOKUP(B66,Instruções!$F$13:$J$17,3,0)&amp;"' AS TABELA, '"&amp;E66&amp;"' AS CAMPO, '"&amp;Instruções!$D$15&amp;"' as ref_date, coalesce(NUM_REG_DIF, 0) AS NUM_REG_DIF FROM ("&amp;L66&amp;") A "</f>
        <v xml:space="preserve">SELECT 'Validação de campos' as tipologia_teste, 'lt003_entity' AS TABELA, 'incm_sc' AS CAMPO, '2024-09-30' as ref_date, coalesce(NUM_REG_DIF, 0) AS NUM_REG_DIF FROM (SELECT count(*) AS NUM_REG_DIF FROM (SELECT entty_id as entty_id_as_is, incm_sc as incm_sc_as_is FROM cd_loan_tapes_bce.lt003_entity WHERE ref_date='2024-09-30' AND nome_perimetro='Individual Corporativo' AND segmento='ESTR' AND ambito='PM' AND entidade='00100' ) A  Inner join (SELECT entty_id as entty_id_to_be, incm_sc as incm_sc_to_be FROM bu_loantape_work.lt003_entity WHERE ref_date='2024-09-30' AND nome_perimetro='Individual Corporativo' AND segmento='ESTR' AND ambito='PM' AND entidade='00100' ) B ON entty_id_as_is = entty_id_to_be WHERE coalesce(cast(incm_sc_as_is as string), '') &lt;&gt; coalesce(cast(incm_sc_to_be as string), '') ) A </v>
      </c>
      <c r="O66" s="19" t="str">
        <f t="shared" si="4"/>
        <v>SELECT 'Validação de campos' as tipologia_teste, 'lt003_entity' AS TABELA, 'incm_sc' AS CAMPO, '2024-09-30' as ref_date, coalesce(NUM_REG_DIF, 0) AS NUM_REG_DIF FROM (SELECT count(*) AS NUM_REG_DIF FROM (SELECT entty_id as entty_id_as_is, incm_sc as incm_sc_as_is FROM cd_loan_tapes_bce.lt003_entity WHERE ref_date='2024-09-30' AND nome_perimetro='Individual Corporativo' AND segmento='ESTR' AND ambito='PM' AND entidade='00100' ) A  Inner join (SELECT entty_id as entty_id_to_be, incm_sc as incm_sc_to_be FROM bu_loantape_work.lt003_entity WHERE ref_date='2024-09-30' AND nome_perimetro='Individual Corporativo' AND segmento='ESTR' AND ambito='PM' AND entidade='00100' ) B ON entty_id_as_is = entty_id_to_be WHERE coalesce(cast(incm_sc_as_is as string), '') &lt;&gt; coalesce(cast(incm_sc_to_be as string), '') ) A UNION ALL</v>
      </c>
      <c r="P66" s="17">
        <f t="shared" si="5"/>
        <v>12</v>
      </c>
    </row>
    <row r="67" spans="2:16" s="15" customFormat="1" ht="11.45">
      <c r="B67" s="17" t="s">
        <v>11</v>
      </c>
      <c r="C67" s="17" t="str">
        <f>_xlfn.CONCAT(Instruções!$D$13,".",VLOOKUP(B67,Instruções!$F$12:$H$17,2,0))</f>
        <v>cd_loan_tapes_bce.lt003_entity</v>
      </c>
      <c r="D67" s="17" t="str">
        <f>_xlfn.CONCAT(Instruções!$D$14,".",VLOOKUP(B67,Instruções!$F$12:$H$17,3,0))</f>
        <v>bu_loantape_work.lt003_entity</v>
      </c>
      <c r="E67" s="17" t="s">
        <v>121</v>
      </c>
      <c r="F67" s="17" t="str">
        <f t="shared" si="6"/>
        <v>intrnl_rtng_as_is</v>
      </c>
      <c r="G67" s="17" t="str">
        <f t="shared" si="7"/>
        <v>intrnl_rtng_to_be</v>
      </c>
      <c r="H67" s="17" t="str">
        <f>IF(VLOOKUP(B67,Instruções!$F$13:$J$17,5,0)="",
"(SELECT "&amp;VLOOKUP(B67,Instruções!$F$13:$J$17,4,0)&amp;" as "&amp;VLOOKUP(B67,Instruções!$F$13:$J$17,4,0)&amp;"_"&amp;$F$2&amp;", "&amp;E67&amp;" as "&amp;F67&amp;" FROM "&amp;C67&amp;" WHERE "&amp;Instruções!$D$20&amp;") A ",
"(SELECT "&amp;VLOOKUP(B67,Instruções!$F$13:$J$17,4,0)&amp;" as "&amp;VLOOKUP(B67,Instruções!$F$13:$J$17,4,0)&amp;"_"&amp;$F$2&amp;", "&amp;VLOOKUP(B67,Instruções!$F$13:$J$17,5,0)&amp;" as "&amp;VLOOKUP(B67,Instruções!$F$13:$J$17,5,0)&amp;"_"&amp;$F$2&amp;","&amp;E67&amp;" as "&amp;F67&amp;" FROM "&amp;C67&amp;" WHERE "&amp;Instruções!$D$20&amp;") A ")</f>
        <v xml:space="preserve">(SELECT entty_id as entty_id_as_is, intrnl_rtng as intrnl_rtng_as_is FROM cd_loan_tapes_bce.lt003_entity WHERE ref_date='2024-09-30' AND nome_perimetro='Individual Corporativo' AND segmento='ESTR' AND ambito='PM' AND entidade='00100' ) A </v>
      </c>
      <c r="I67" s="17" t="str">
        <f>IF(VLOOKUP(B67,Instruções!$F$13:$J$17,5,0)="",
"(SELECT "&amp;VLOOKUP(B67,Instruções!$F$13:$J$17,4,0)&amp;" as "&amp;VLOOKUP(B67,Instruções!$F$13:$J$17,4,0)&amp;"_"&amp;$G$2&amp;", "&amp;E67&amp;" as "&amp;G67&amp;" FROM "&amp;D67&amp;" WHERE "&amp;Instruções!$D$21&amp;") B ",
"(SELECT "&amp;VLOOKUP(B67,Instruções!$F$13:$J$17,4,0)&amp;" as "&amp;VLOOKUP(B67,Instruções!$F$13:$J$17,4,0)&amp;"_"&amp;$G$2&amp;", "&amp;VLOOKUP(B67,Instruções!$F$13:$J$17,5,0)&amp;" as "&amp;VLOOKUP(B67,Instruções!$F$13:$J$17,5,0)&amp;"_"&amp;$G$2&amp;","&amp;E67&amp;" as "&amp;G67&amp;" FROM "&amp;D67&amp;" WHERE "&amp;Instruções!$D$21&amp;") B ")</f>
        <v xml:space="preserve">(SELECT entty_id as entty_id_to_be, intrnl_rtng as intrnl_rtng_to_be FROM bu_loantape_work.lt003_entity WHERE ref_date='2024-09-30' AND nome_perimetro='Individual Corporativo' AND segmento='ESTR' AND ambito='PM' AND entidade='00100' ) B </v>
      </c>
      <c r="J67" s="17" t="str">
        <f>IF(VLOOKUP(B67,Instruções!$F$13:$J$17,5,0)="",
"ON "&amp;VLOOKUP(B67,Instruções!$F$13:$J$17,4,0)&amp;"_"&amp;$F$2&amp;" = "&amp;VLOOKUP(B67,Instruções!$F$13:$J$17,4,0)&amp;"_"&amp;$G$2&amp;" ",
"ON "&amp;VLOOKUP(B67,Instruções!$F$13:$J$17,4,0)&amp;"_"&amp;$F$2&amp;" = "&amp;VLOOKUP(B67,Instruções!$F$13:$J$17,4,0)&amp;"_"&amp;$G$2&amp;" AND "&amp;VLOOKUP(B67,Instruções!$F$13:$J$17,5,0)&amp;"_"&amp;$F$2&amp;" = "&amp;VLOOKUP(B67,Instruções!$F$13:$J$17,5,0)&amp;"_"&amp;$G$2&amp;" ")</f>
        <v xml:space="preserve">ON entty_id_as_is = entty_id_to_be </v>
      </c>
      <c r="K67" s="17" t="str">
        <f t="shared" si="8"/>
        <v xml:space="preserve">WHERE coalesce(cast(intrnl_rtng_as_is as string), '') &lt;&gt; coalesce(cast(intrnl_rtng_to_be as string), '') </v>
      </c>
      <c r="L67" s="17" t="str">
        <f t="shared" si="9"/>
        <v xml:space="preserve">SELECT count(*) AS NUM_REG_DIF FROM (SELECT entty_id as entty_id_as_is, intrnl_rtng as intrnl_rtng_as_is FROM cd_loan_tapes_bce.lt003_entity WHERE ref_date='2024-09-30' AND nome_perimetro='Individual Corporativo' AND segmento='ESTR' AND ambito='PM' AND entidade='00100' ) A  Inner join (SELECT entty_id as entty_id_to_be, intrnl_rtng as intrnl_rtng_to_be FROM bu_loantape_work.lt003_entity WHERE ref_date='2024-09-30' AND nome_perimetro='Individual Corporativo' AND segmento='ESTR' AND ambito='PM' AND entidade='00100' ) B ON entty_id_as_is = entty_id_to_be WHERE coalesce(cast(intrnl_rtng_as_is as string), '') &lt;&gt; coalesce(cast(intrnl_rtng_to_be as string), '') </v>
      </c>
      <c r="M67" s="17" t="s">
        <v>55</v>
      </c>
      <c r="N67" s="17" t="str">
        <f>"SELECT 'Validação de campos' as tipologia_teste, '"&amp;VLOOKUP(B67,Instruções!$F$13:$J$17,3,0)&amp;"' AS TABELA, '"&amp;E67&amp;"' AS CAMPO, '"&amp;Instruções!$D$15&amp;"' as ref_date, coalesce(NUM_REG_DIF, 0) AS NUM_REG_DIF FROM ("&amp;L67&amp;") A "</f>
        <v xml:space="preserve">SELECT 'Validação de campos' as tipologia_teste, 'lt003_entity' AS TABELA, 'intrnl_rtng' AS CAMPO, '2024-09-30' as ref_date, coalesce(NUM_REG_DIF, 0) AS NUM_REG_DIF FROM (SELECT count(*) AS NUM_REG_DIF FROM (SELECT entty_id as entty_id_as_is, intrnl_rtng as intrnl_rtng_as_is FROM cd_loan_tapes_bce.lt003_entity WHERE ref_date='2024-09-30' AND nome_perimetro='Individual Corporativo' AND segmento='ESTR' AND ambito='PM' AND entidade='00100' ) A  Inner join (SELECT entty_id as entty_id_to_be, intrnl_rtng as intrnl_rtng_to_be FROM bu_loantape_work.lt003_entity WHERE ref_date='2024-09-30' AND nome_perimetro='Individual Corporativo' AND segmento='ESTR' AND ambito='PM' AND entidade='00100' ) B ON entty_id_as_is = entty_id_to_be WHERE coalesce(cast(intrnl_rtng_as_is as string), '') &lt;&gt; coalesce(cast(intrnl_rtng_to_be as string), '') ) A </v>
      </c>
      <c r="O67" s="19" t="str">
        <f t="shared" si="4"/>
        <v>SELECT 'Validação de campos' as tipologia_teste, 'lt003_entity' AS TABELA, 'intrnl_rtng' AS CAMPO, '2024-09-30' as ref_date, coalesce(NUM_REG_DIF, 0) AS NUM_REG_DIF FROM (SELECT count(*) AS NUM_REG_DIF FROM (SELECT entty_id as entty_id_as_is, intrnl_rtng as intrnl_rtng_as_is FROM cd_loan_tapes_bce.lt003_entity WHERE ref_date='2024-09-30' AND nome_perimetro='Individual Corporativo' AND segmento='ESTR' AND ambito='PM' AND entidade='00100' ) A  Inner join (SELECT entty_id as entty_id_to_be, intrnl_rtng as intrnl_rtng_to_be FROM bu_loantape_work.lt003_entity WHERE ref_date='2024-09-30' AND nome_perimetro='Individual Corporativo' AND segmento='ESTR' AND ambito='PM' AND entidade='00100' ) B ON entty_id_as_is = entty_id_to_be WHERE coalesce(cast(intrnl_rtng_as_is as string), '') &lt;&gt; coalesce(cast(intrnl_rtng_to_be as string), '') ) A UNION ALL</v>
      </c>
      <c r="P67" s="17">
        <f t="shared" si="5"/>
        <v>13</v>
      </c>
    </row>
    <row r="68" spans="2:16" s="15" customFormat="1" ht="11.45">
      <c r="B68" s="17" t="s">
        <v>11</v>
      </c>
      <c r="C68" s="17" t="str">
        <f>_xlfn.CONCAT(Instruções!$D$13,".",VLOOKUP(B68,Instruções!$F$12:$H$17,2,0))</f>
        <v>cd_loan_tapes_bce.lt003_entity</v>
      </c>
      <c r="D68" s="17" t="str">
        <f>_xlfn.CONCAT(Instruções!$D$14,".",VLOOKUP(B68,Instruções!$F$12:$H$17,3,0))</f>
        <v>bu_loantape_work.lt003_entity</v>
      </c>
      <c r="E68" s="17" t="s">
        <v>122</v>
      </c>
      <c r="F68" s="17" t="str">
        <f t="shared" si="6"/>
        <v>intrnl_rtng_prvs_as_is</v>
      </c>
      <c r="G68" s="17" t="str">
        <f t="shared" si="7"/>
        <v>intrnl_rtng_prvs_to_be</v>
      </c>
      <c r="H68" s="17" t="str">
        <f>IF(VLOOKUP(B68,Instruções!$F$13:$J$17,5,0)="",
"(SELECT "&amp;VLOOKUP(B68,Instruções!$F$13:$J$17,4,0)&amp;" as "&amp;VLOOKUP(B68,Instruções!$F$13:$J$17,4,0)&amp;"_"&amp;$F$2&amp;", "&amp;E68&amp;" as "&amp;F68&amp;" FROM "&amp;C68&amp;" WHERE "&amp;Instruções!$D$20&amp;") A ",
"(SELECT "&amp;VLOOKUP(B68,Instruções!$F$13:$J$17,4,0)&amp;" as "&amp;VLOOKUP(B68,Instruções!$F$13:$J$17,4,0)&amp;"_"&amp;$F$2&amp;", "&amp;VLOOKUP(B68,Instruções!$F$13:$J$17,5,0)&amp;" as "&amp;VLOOKUP(B68,Instruções!$F$13:$J$17,5,0)&amp;"_"&amp;$F$2&amp;","&amp;E68&amp;" as "&amp;F68&amp;" FROM "&amp;C68&amp;" WHERE "&amp;Instruções!$D$20&amp;") A ")</f>
        <v xml:space="preserve">(SELECT entty_id as entty_id_as_is, intrnl_rtng_prvs as intrnl_rtng_prvs_as_is FROM cd_loan_tapes_bce.lt003_entity WHERE ref_date='2024-09-30' AND nome_perimetro='Individual Corporativo' AND segmento='ESTR' AND ambito='PM' AND entidade='00100' ) A </v>
      </c>
      <c r="I68" s="17" t="str">
        <f>IF(VLOOKUP(B68,Instruções!$F$13:$J$17,5,0)="",
"(SELECT "&amp;VLOOKUP(B68,Instruções!$F$13:$J$17,4,0)&amp;" as "&amp;VLOOKUP(B68,Instruções!$F$13:$J$17,4,0)&amp;"_"&amp;$G$2&amp;", "&amp;E68&amp;" as "&amp;G68&amp;" FROM "&amp;D68&amp;" WHERE "&amp;Instruções!$D$21&amp;") B ",
"(SELECT "&amp;VLOOKUP(B68,Instruções!$F$13:$J$17,4,0)&amp;" as "&amp;VLOOKUP(B68,Instruções!$F$13:$J$17,4,0)&amp;"_"&amp;$G$2&amp;", "&amp;VLOOKUP(B68,Instruções!$F$13:$J$17,5,0)&amp;" as "&amp;VLOOKUP(B68,Instruções!$F$13:$J$17,5,0)&amp;"_"&amp;$G$2&amp;","&amp;E68&amp;" as "&amp;G68&amp;" FROM "&amp;D68&amp;" WHERE "&amp;Instruções!$D$21&amp;") B ")</f>
        <v xml:space="preserve">(SELECT entty_id as entty_id_to_be, intrnl_rtng_prvs as intrnl_rtng_prvs_to_be FROM bu_loantape_work.lt003_entity WHERE ref_date='2024-09-30' AND nome_perimetro='Individual Corporativo' AND segmento='ESTR' AND ambito='PM' AND entidade='00100' ) B </v>
      </c>
      <c r="J68" s="17" t="str">
        <f>IF(VLOOKUP(B68,Instruções!$F$13:$J$17,5,0)="",
"ON "&amp;VLOOKUP(B68,Instruções!$F$13:$J$17,4,0)&amp;"_"&amp;$F$2&amp;" = "&amp;VLOOKUP(B68,Instruções!$F$13:$J$17,4,0)&amp;"_"&amp;$G$2&amp;" ",
"ON "&amp;VLOOKUP(B68,Instruções!$F$13:$J$17,4,0)&amp;"_"&amp;$F$2&amp;" = "&amp;VLOOKUP(B68,Instruções!$F$13:$J$17,4,0)&amp;"_"&amp;$G$2&amp;" AND "&amp;VLOOKUP(B68,Instruções!$F$13:$J$17,5,0)&amp;"_"&amp;$F$2&amp;" = "&amp;VLOOKUP(B68,Instruções!$F$13:$J$17,5,0)&amp;"_"&amp;$G$2&amp;" ")</f>
        <v xml:space="preserve">ON entty_id_as_is = entty_id_to_be </v>
      </c>
      <c r="K68" s="17" t="str">
        <f t="shared" si="8"/>
        <v xml:space="preserve">WHERE coalesce(cast(intrnl_rtng_prvs_as_is as string), '') &lt;&gt; coalesce(cast(intrnl_rtng_prvs_to_be as string), '') </v>
      </c>
      <c r="L68" s="17" t="str">
        <f t="shared" si="9"/>
        <v xml:space="preserve">SELECT count(*) AS NUM_REG_DIF FROM (SELECT entty_id as entty_id_as_is, intrnl_rtng_prvs as intrnl_rtng_prvs_as_is FROM cd_loan_tapes_bce.lt003_entity WHERE ref_date='2024-09-30' AND nome_perimetro='Individual Corporativo' AND segmento='ESTR' AND ambito='PM' AND entidade='00100' ) A  Inner join (SELECT entty_id as entty_id_to_be, intrnl_rtng_prvs as intrnl_rtng_prvs_to_be FROM bu_loantape_work.lt003_entity WHERE ref_date='2024-09-30' AND nome_perimetro='Individual Corporativo' AND segmento='ESTR' AND ambito='PM' AND entidade='00100' ) B ON entty_id_as_is = entty_id_to_be WHERE coalesce(cast(intrnl_rtng_prvs_as_is as string), '') &lt;&gt; coalesce(cast(intrnl_rtng_prvs_to_be as string), '') </v>
      </c>
      <c r="M68" s="17" t="s">
        <v>55</v>
      </c>
      <c r="N68" s="17" t="str">
        <f>"SELECT 'Validação de campos' as tipologia_teste, '"&amp;VLOOKUP(B68,Instruções!$F$13:$J$17,3,0)&amp;"' AS TABELA, '"&amp;E68&amp;"' AS CAMPO, '"&amp;Instruções!$D$15&amp;"' as ref_date, coalesce(NUM_REG_DIF, 0) AS NUM_REG_DIF FROM ("&amp;L68&amp;") A "</f>
        <v xml:space="preserve">SELECT 'Validação de campos' as tipologia_teste, 'lt003_entity' AS TABELA, 'intrnl_rtng_prvs' AS CAMPO, '2024-09-30' as ref_date, coalesce(NUM_REG_DIF, 0) AS NUM_REG_DIF FROM (SELECT count(*) AS NUM_REG_DIF FROM (SELECT entty_id as entty_id_as_is, intrnl_rtng_prvs as intrnl_rtng_prvs_as_is FROM cd_loan_tapes_bce.lt003_entity WHERE ref_date='2024-09-30' AND nome_perimetro='Individual Corporativo' AND segmento='ESTR' AND ambito='PM' AND entidade='00100' ) A  Inner join (SELECT entty_id as entty_id_to_be, intrnl_rtng_prvs as intrnl_rtng_prvs_to_be FROM bu_loantape_work.lt003_entity WHERE ref_date='2024-09-30' AND nome_perimetro='Individual Corporativo' AND segmento='ESTR' AND ambito='PM' AND entidade='00100' ) B ON entty_id_as_is = entty_id_to_be WHERE coalesce(cast(intrnl_rtng_prvs_as_is as string), '') &lt;&gt; coalesce(cast(intrnl_rtng_prvs_to_be as string), '') ) A </v>
      </c>
      <c r="O68" s="19" t="str">
        <f t="shared" si="4"/>
        <v>SELECT 'Validação de campos' as tipologia_teste, 'lt003_entity' AS TABELA, 'intrnl_rtng_prvs' AS CAMPO, '2024-09-30' as ref_date, coalesce(NUM_REG_DIF, 0) AS NUM_REG_DIF FROM (SELECT count(*) AS NUM_REG_DIF FROM (SELECT entty_id as entty_id_as_is, intrnl_rtng_prvs as intrnl_rtng_prvs_as_is FROM cd_loan_tapes_bce.lt003_entity WHERE ref_date='2024-09-30' AND nome_perimetro='Individual Corporativo' AND segmento='ESTR' AND ambito='PM' AND entidade='00100' ) A  Inner join (SELECT entty_id as entty_id_to_be, intrnl_rtng_prvs as intrnl_rtng_prvs_to_be FROM bu_loantape_work.lt003_entity WHERE ref_date='2024-09-30' AND nome_perimetro='Individual Corporativo' AND segmento='ESTR' AND ambito='PM' AND entidade='00100' ) B ON entty_id_as_is = entty_id_to_be WHERE coalesce(cast(intrnl_rtng_prvs_as_is as string), '') &lt;&gt; coalesce(cast(intrnl_rtng_prvs_to_be as string), '') ) A UNION ALL</v>
      </c>
      <c r="P68" s="17">
        <f t="shared" si="5"/>
        <v>14</v>
      </c>
    </row>
    <row r="69" spans="2:16" s="15" customFormat="1" ht="11.45">
      <c r="B69" s="17" t="s">
        <v>11</v>
      </c>
      <c r="C69" s="17" t="str">
        <f>_xlfn.CONCAT(Instruções!$D$13,".",VLOOKUP(B69,Instruções!$F$12:$H$17,2,0))</f>
        <v>cd_loan_tapes_bce.lt003_entity</v>
      </c>
      <c r="D69" s="17" t="str">
        <f>_xlfn.CONCAT(Instruções!$D$14,".",VLOOKUP(B69,Instruções!$F$12:$H$17,3,0))</f>
        <v>bu_loantape_work.lt003_entity</v>
      </c>
      <c r="E69" s="17" t="s">
        <v>123</v>
      </c>
      <c r="F69" s="17" t="str">
        <f t="shared" si="6"/>
        <v>intrnl_sgmnt_as_is</v>
      </c>
      <c r="G69" s="17" t="str">
        <f t="shared" si="7"/>
        <v>intrnl_sgmnt_to_be</v>
      </c>
      <c r="H69" s="17" t="str">
        <f>IF(VLOOKUP(B69,Instruções!$F$13:$J$17,5,0)="",
"(SELECT "&amp;VLOOKUP(B69,Instruções!$F$13:$J$17,4,0)&amp;" as "&amp;VLOOKUP(B69,Instruções!$F$13:$J$17,4,0)&amp;"_"&amp;$F$2&amp;", "&amp;E69&amp;" as "&amp;F69&amp;" FROM "&amp;C69&amp;" WHERE "&amp;Instruções!$D$20&amp;") A ",
"(SELECT "&amp;VLOOKUP(B69,Instruções!$F$13:$J$17,4,0)&amp;" as "&amp;VLOOKUP(B69,Instruções!$F$13:$J$17,4,0)&amp;"_"&amp;$F$2&amp;", "&amp;VLOOKUP(B69,Instruções!$F$13:$J$17,5,0)&amp;" as "&amp;VLOOKUP(B69,Instruções!$F$13:$J$17,5,0)&amp;"_"&amp;$F$2&amp;","&amp;E69&amp;" as "&amp;F69&amp;" FROM "&amp;C69&amp;" WHERE "&amp;Instruções!$D$20&amp;") A ")</f>
        <v xml:space="preserve">(SELECT entty_id as entty_id_as_is, intrnl_sgmnt as intrnl_sgmnt_as_is FROM cd_loan_tapes_bce.lt003_entity WHERE ref_date='2024-09-30' AND nome_perimetro='Individual Corporativo' AND segmento='ESTR' AND ambito='PM' AND entidade='00100' ) A </v>
      </c>
      <c r="I69" s="17" t="str">
        <f>IF(VLOOKUP(B69,Instruções!$F$13:$J$17,5,0)="",
"(SELECT "&amp;VLOOKUP(B69,Instruções!$F$13:$J$17,4,0)&amp;" as "&amp;VLOOKUP(B69,Instruções!$F$13:$J$17,4,0)&amp;"_"&amp;$G$2&amp;", "&amp;E69&amp;" as "&amp;G69&amp;" FROM "&amp;D69&amp;" WHERE "&amp;Instruções!$D$21&amp;") B ",
"(SELECT "&amp;VLOOKUP(B69,Instruções!$F$13:$J$17,4,0)&amp;" as "&amp;VLOOKUP(B69,Instruções!$F$13:$J$17,4,0)&amp;"_"&amp;$G$2&amp;", "&amp;VLOOKUP(B69,Instruções!$F$13:$J$17,5,0)&amp;" as "&amp;VLOOKUP(B69,Instruções!$F$13:$J$17,5,0)&amp;"_"&amp;$G$2&amp;","&amp;E69&amp;" as "&amp;G69&amp;" FROM "&amp;D69&amp;" WHERE "&amp;Instruções!$D$21&amp;") B ")</f>
        <v xml:space="preserve">(SELECT entty_id as entty_id_to_be, intrnl_sgmnt as intrnl_sgmnt_to_be FROM bu_loantape_work.lt003_entity WHERE ref_date='2024-09-30' AND nome_perimetro='Individual Corporativo' AND segmento='ESTR' AND ambito='PM' AND entidade='00100' ) B </v>
      </c>
      <c r="J69" s="17" t="str">
        <f>IF(VLOOKUP(B69,Instruções!$F$13:$J$17,5,0)="",
"ON "&amp;VLOOKUP(B69,Instruções!$F$13:$J$17,4,0)&amp;"_"&amp;$F$2&amp;" = "&amp;VLOOKUP(B69,Instruções!$F$13:$J$17,4,0)&amp;"_"&amp;$G$2&amp;" ",
"ON "&amp;VLOOKUP(B69,Instruções!$F$13:$J$17,4,0)&amp;"_"&amp;$F$2&amp;" = "&amp;VLOOKUP(B69,Instruções!$F$13:$J$17,4,0)&amp;"_"&amp;$G$2&amp;" AND "&amp;VLOOKUP(B69,Instruções!$F$13:$J$17,5,0)&amp;"_"&amp;$F$2&amp;" = "&amp;VLOOKUP(B69,Instruções!$F$13:$J$17,5,0)&amp;"_"&amp;$G$2&amp;" ")</f>
        <v xml:space="preserve">ON entty_id_as_is = entty_id_to_be </v>
      </c>
      <c r="K69" s="17" t="str">
        <f t="shared" si="8"/>
        <v xml:space="preserve">WHERE coalesce(cast(intrnl_sgmnt_as_is as string), '') &lt;&gt; coalesce(cast(intrnl_sgmnt_to_be as string), '') </v>
      </c>
      <c r="L69" s="17" t="str">
        <f t="shared" si="9"/>
        <v xml:space="preserve">SELECT count(*) AS NUM_REG_DIF FROM (SELECT entty_id as entty_id_as_is, intrnl_sgmnt as intrnl_sgmnt_as_is FROM cd_loan_tapes_bce.lt003_entity WHERE ref_date='2024-09-30' AND nome_perimetro='Individual Corporativo' AND segmento='ESTR' AND ambito='PM' AND entidade='00100' ) A  Inner join (SELECT entty_id as entty_id_to_be, intrnl_sgmnt as intrnl_sgmnt_to_be FROM bu_loantape_work.lt003_entity WHERE ref_date='2024-09-30' AND nome_perimetro='Individual Corporativo' AND segmento='ESTR' AND ambito='PM' AND entidade='00100' ) B ON entty_id_as_is = entty_id_to_be WHERE coalesce(cast(intrnl_sgmnt_as_is as string), '') &lt;&gt; coalesce(cast(intrnl_sgmnt_to_be as string), '') </v>
      </c>
      <c r="M69" s="17" t="s">
        <v>55</v>
      </c>
      <c r="N69" s="17" t="str">
        <f>"SELECT 'Validação de campos' as tipologia_teste, '"&amp;VLOOKUP(B69,Instruções!$F$13:$J$17,3,0)&amp;"' AS TABELA, '"&amp;E69&amp;"' AS CAMPO, '"&amp;Instruções!$D$15&amp;"' as ref_date, coalesce(NUM_REG_DIF, 0) AS NUM_REG_DIF FROM ("&amp;L69&amp;") A "</f>
        <v xml:space="preserve">SELECT 'Validação de campos' as tipologia_teste, 'lt003_entity' AS TABELA, 'intrnl_sgmnt' AS CAMPO, '2024-09-30' as ref_date, coalesce(NUM_REG_DIF, 0) AS NUM_REG_DIF FROM (SELECT count(*) AS NUM_REG_DIF FROM (SELECT entty_id as entty_id_as_is, intrnl_sgmnt as intrnl_sgmnt_as_is FROM cd_loan_tapes_bce.lt003_entity WHERE ref_date='2024-09-30' AND nome_perimetro='Individual Corporativo' AND segmento='ESTR' AND ambito='PM' AND entidade='00100' ) A  Inner join (SELECT entty_id as entty_id_to_be, intrnl_sgmnt as intrnl_sgmnt_to_be FROM bu_loantape_work.lt003_entity WHERE ref_date='2024-09-30' AND nome_perimetro='Individual Corporativo' AND segmento='ESTR' AND ambito='PM' AND entidade='00100' ) B ON entty_id_as_is = entty_id_to_be WHERE coalesce(cast(intrnl_sgmnt_as_is as string), '') &lt;&gt; coalesce(cast(intrnl_sgmnt_to_be as string), '') ) A </v>
      </c>
      <c r="O69" s="19" t="str">
        <f t="shared" ref="O69:O103" si="10">IF(O70="",N69,N69&amp;$O$3)</f>
        <v>SELECT 'Validação de campos' as tipologia_teste, 'lt003_entity' AS TABELA, 'intrnl_sgmnt' AS CAMPO, '2024-09-30' as ref_date, coalesce(NUM_REG_DIF, 0) AS NUM_REG_DIF FROM (SELECT count(*) AS NUM_REG_DIF FROM (SELECT entty_id as entty_id_as_is, intrnl_sgmnt as intrnl_sgmnt_as_is FROM cd_loan_tapes_bce.lt003_entity WHERE ref_date='2024-09-30' AND nome_perimetro='Individual Corporativo' AND segmento='ESTR' AND ambito='PM' AND entidade='00100' ) A  Inner join (SELECT entty_id as entty_id_to_be, intrnl_sgmnt as intrnl_sgmnt_to_be FROM bu_loantape_work.lt003_entity WHERE ref_date='2024-09-30' AND nome_perimetro='Individual Corporativo' AND segmento='ESTR' AND ambito='PM' AND entidade='00100' ) B ON entty_id_as_is = entty_id_to_be WHERE coalesce(cast(intrnl_sgmnt_as_is as string), '') &lt;&gt; coalesce(cast(intrnl_sgmnt_to_be as string), '') ) A UNION ALL</v>
      </c>
      <c r="P69" s="17">
        <f t="shared" si="5"/>
        <v>15</v>
      </c>
    </row>
    <row r="70" spans="2:16" s="15" customFormat="1" ht="11.45">
      <c r="B70" s="17" t="s">
        <v>11</v>
      </c>
      <c r="C70" s="17" t="str">
        <f>_xlfn.CONCAT(Instruções!$D$13,".",VLOOKUP(B70,Instruções!$F$12:$H$17,2,0))</f>
        <v>cd_loan_tapes_bce.lt003_entity</v>
      </c>
      <c r="D70" s="17" t="str">
        <f>_xlfn.CONCAT(Instruções!$D$14,".",VLOOKUP(B70,Instruções!$F$12:$H$17,3,0))</f>
        <v>bu_loantape_work.lt003_entity</v>
      </c>
      <c r="E70" s="17" t="s">
        <v>124</v>
      </c>
      <c r="F70" s="17" t="str">
        <f t="shared" si="6"/>
        <v>intrnl_unt_as_is</v>
      </c>
      <c r="G70" s="17" t="str">
        <f t="shared" si="7"/>
        <v>intrnl_unt_to_be</v>
      </c>
      <c r="H70" s="17" t="str">
        <f>IF(VLOOKUP(B70,Instruções!$F$13:$J$17,5,0)="",
"(SELECT "&amp;VLOOKUP(B70,Instruções!$F$13:$J$17,4,0)&amp;" as "&amp;VLOOKUP(B70,Instruções!$F$13:$J$17,4,0)&amp;"_"&amp;$F$2&amp;", "&amp;E70&amp;" as "&amp;F70&amp;" FROM "&amp;C70&amp;" WHERE "&amp;Instruções!$D$20&amp;") A ",
"(SELECT "&amp;VLOOKUP(B70,Instruções!$F$13:$J$17,4,0)&amp;" as "&amp;VLOOKUP(B70,Instruções!$F$13:$J$17,4,0)&amp;"_"&amp;$F$2&amp;", "&amp;VLOOKUP(B70,Instruções!$F$13:$J$17,5,0)&amp;" as "&amp;VLOOKUP(B70,Instruções!$F$13:$J$17,5,0)&amp;"_"&amp;$F$2&amp;","&amp;E70&amp;" as "&amp;F70&amp;" FROM "&amp;C70&amp;" WHERE "&amp;Instruções!$D$20&amp;") A ")</f>
        <v xml:space="preserve">(SELECT entty_id as entty_id_as_is, intrnl_unt as intrnl_unt_as_is FROM cd_loan_tapes_bce.lt003_entity WHERE ref_date='2024-09-30' AND nome_perimetro='Individual Corporativo' AND segmento='ESTR' AND ambito='PM' AND entidade='00100' ) A </v>
      </c>
      <c r="I70" s="17" t="str">
        <f>IF(VLOOKUP(B70,Instruções!$F$13:$J$17,5,0)="",
"(SELECT "&amp;VLOOKUP(B70,Instruções!$F$13:$J$17,4,0)&amp;" as "&amp;VLOOKUP(B70,Instruções!$F$13:$J$17,4,0)&amp;"_"&amp;$G$2&amp;", "&amp;E70&amp;" as "&amp;G70&amp;" FROM "&amp;D70&amp;" WHERE "&amp;Instruções!$D$21&amp;") B ",
"(SELECT "&amp;VLOOKUP(B70,Instruções!$F$13:$J$17,4,0)&amp;" as "&amp;VLOOKUP(B70,Instruções!$F$13:$J$17,4,0)&amp;"_"&amp;$G$2&amp;", "&amp;VLOOKUP(B70,Instruções!$F$13:$J$17,5,0)&amp;" as "&amp;VLOOKUP(B70,Instruções!$F$13:$J$17,5,0)&amp;"_"&amp;$G$2&amp;","&amp;E70&amp;" as "&amp;G70&amp;" FROM "&amp;D70&amp;" WHERE "&amp;Instruções!$D$21&amp;") B ")</f>
        <v xml:space="preserve">(SELECT entty_id as entty_id_to_be, intrnl_unt as intrnl_unt_to_be FROM bu_loantape_work.lt003_entity WHERE ref_date='2024-09-30' AND nome_perimetro='Individual Corporativo' AND segmento='ESTR' AND ambito='PM' AND entidade='00100' ) B </v>
      </c>
      <c r="J70" s="17" t="str">
        <f>IF(VLOOKUP(B70,Instruções!$F$13:$J$17,5,0)="",
"ON "&amp;VLOOKUP(B70,Instruções!$F$13:$J$17,4,0)&amp;"_"&amp;$F$2&amp;" = "&amp;VLOOKUP(B70,Instruções!$F$13:$J$17,4,0)&amp;"_"&amp;$G$2&amp;" ",
"ON "&amp;VLOOKUP(B70,Instruções!$F$13:$J$17,4,0)&amp;"_"&amp;$F$2&amp;" = "&amp;VLOOKUP(B70,Instruções!$F$13:$J$17,4,0)&amp;"_"&amp;$G$2&amp;" AND "&amp;VLOOKUP(B70,Instruções!$F$13:$J$17,5,0)&amp;"_"&amp;$F$2&amp;" = "&amp;VLOOKUP(B70,Instruções!$F$13:$J$17,5,0)&amp;"_"&amp;$G$2&amp;" ")</f>
        <v xml:space="preserve">ON entty_id_as_is = entty_id_to_be </v>
      </c>
      <c r="K70" s="17" t="str">
        <f t="shared" si="8"/>
        <v xml:space="preserve">WHERE coalesce(cast(intrnl_unt_as_is as string), '') &lt;&gt; coalesce(cast(intrnl_unt_to_be as string), '') </v>
      </c>
      <c r="L70" s="17" t="str">
        <f t="shared" si="9"/>
        <v xml:space="preserve">SELECT count(*) AS NUM_REG_DIF FROM (SELECT entty_id as entty_id_as_is, intrnl_unt as intrnl_unt_as_is FROM cd_loan_tapes_bce.lt003_entity WHERE ref_date='2024-09-30' AND nome_perimetro='Individual Corporativo' AND segmento='ESTR' AND ambito='PM' AND entidade='00100' ) A  Inner join (SELECT entty_id as entty_id_to_be, intrnl_unt as intrnl_unt_to_be FROM bu_loantape_work.lt003_entity WHERE ref_date='2024-09-30' AND nome_perimetro='Individual Corporativo' AND segmento='ESTR' AND ambito='PM' AND entidade='00100' ) B ON entty_id_as_is = entty_id_to_be WHERE coalesce(cast(intrnl_unt_as_is as string), '') &lt;&gt; coalesce(cast(intrnl_unt_to_be as string), '') </v>
      </c>
      <c r="M70" s="17" t="s">
        <v>55</v>
      </c>
      <c r="N70" s="17" t="str">
        <f>"SELECT 'Validação de campos' as tipologia_teste, '"&amp;VLOOKUP(B70,Instruções!$F$13:$J$17,3,0)&amp;"' AS TABELA, '"&amp;E70&amp;"' AS CAMPO, '"&amp;Instruções!$D$15&amp;"' as ref_date, coalesce(NUM_REG_DIF, 0) AS NUM_REG_DIF FROM ("&amp;L70&amp;") A "</f>
        <v xml:space="preserve">SELECT 'Validação de campos' as tipologia_teste, 'lt003_entity' AS TABELA, 'intrnl_unt' AS CAMPO, '2024-09-30' as ref_date, coalesce(NUM_REG_DIF, 0) AS NUM_REG_DIF FROM (SELECT count(*) AS NUM_REG_DIF FROM (SELECT entty_id as entty_id_as_is, intrnl_unt as intrnl_unt_as_is FROM cd_loan_tapes_bce.lt003_entity WHERE ref_date='2024-09-30' AND nome_perimetro='Individual Corporativo' AND segmento='ESTR' AND ambito='PM' AND entidade='00100' ) A  Inner join (SELECT entty_id as entty_id_to_be, intrnl_unt as intrnl_unt_to_be FROM bu_loantape_work.lt003_entity WHERE ref_date='2024-09-30' AND nome_perimetro='Individual Corporativo' AND segmento='ESTR' AND ambito='PM' AND entidade='00100' ) B ON entty_id_as_is = entty_id_to_be WHERE coalesce(cast(intrnl_unt_as_is as string), '') &lt;&gt; coalesce(cast(intrnl_unt_to_be as string), '') ) A </v>
      </c>
      <c r="O70" s="19" t="str">
        <f t="shared" si="10"/>
        <v>SELECT 'Validação de campos' as tipologia_teste, 'lt003_entity' AS TABELA, 'intrnl_unt' AS CAMPO, '2024-09-30' as ref_date, coalesce(NUM_REG_DIF, 0) AS NUM_REG_DIF FROM (SELECT count(*) AS NUM_REG_DIF FROM (SELECT entty_id as entty_id_as_is, intrnl_unt as intrnl_unt_as_is FROM cd_loan_tapes_bce.lt003_entity WHERE ref_date='2024-09-30' AND nome_perimetro='Individual Corporativo' AND segmento='ESTR' AND ambito='PM' AND entidade='00100' ) A  Inner join (SELECT entty_id as entty_id_to_be, intrnl_unt as intrnl_unt_to_be FROM bu_loantape_work.lt003_entity WHERE ref_date='2024-09-30' AND nome_perimetro='Individual Corporativo' AND segmento='ESTR' AND ambito='PM' AND entidade='00100' ) B ON entty_id_as_is = entty_id_to_be WHERE coalesce(cast(intrnl_unt_as_is as string), '') &lt;&gt; coalesce(cast(intrnl_unt_to_be as string), '') ) A UNION ALL</v>
      </c>
      <c r="P70" s="17">
        <f t="shared" ref="P70:P133" si="11">P69+1</f>
        <v>16</v>
      </c>
    </row>
    <row r="71" spans="2:16" s="15" customFormat="1" ht="11.45">
      <c r="B71" s="17" t="s">
        <v>11</v>
      </c>
      <c r="C71" s="17" t="str">
        <f>_xlfn.CONCAT(Instruções!$D$13,".",VLOOKUP(B71,Instruções!$F$12:$H$17,2,0))</f>
        <v>cd_loan_tapes_bce.lt003_entity</v>
      </c>
      <c r="D71" s="17" t="str">
        <f>_xlfn.CONCAT(Instruções!$D$14,".",VLOOKUP(B71,Instruções!$F$12:$H$17,3,0))</f>
        <v>bu_loantape_work.lt003_entity</v>
      </c>
      <c r="E71" s="17" t="s">
        <v>125</v>
      </c>
      <c r="F71" s="17" t="str">
        <f t="shared" si="6"/>
        <v>lei_as_is</v>
      </c>
      <c r="G71" s="17" t="str">
        <f t="shared" si="7"/>
        <v>lei_to_be</v>
      </c>
      <c r="H71" s="17" t="str">
        <f>IF(VLOOKUP(B71,Instruções!$F$13:$J$17,5,0)="",
"(SELECT "&amp;VLOOKUP(B71,Instruções!$F$13:$J$17,4,0)&amp;" as "&amp;VLOOKUP(B71,Instruções!$F$13:$J$17,4,0)&amp;"_"&amp;$F$2&amp;", "&amp;E71&amp;" as "&amp;F71&amp;" FROM "&amp;C71&amp;" WHERE "&amp;Instruções!$D$20&amp;") A ",
"(SELECT "&amp;VLOOKUP(B71,Instruções!$F$13:$J$17,4,0)&amp;" as "&amp;VLOOKUP(B71,Instruções!$F$13:$J$17,4,0)&amp;"_"&amp;$F$2&amp;", "&amp;VLOOKUP(B71,Instruções!$F$13:$J$17,5,0)&amp;" as "&amp;VLOOKUP(B71,Instruções!$F$13:$J$17,5,0)&amp;"_"&amp;$F$2&amp;","&amp;E71&amp;" as "&amp;F71&amp;" FROM "&amp;C71&amp;" WHERE "&amp;Instruções!$D$20&amp;") A ")</f>
        <v xml:space="preserve">(SELECT entty_id as entty_id_as_is, lei as lei_as_is FROM cd_loan_tapes_bce.lt003_entity WHERE ref_date='2024-09-30' AND nome_perimetro='Individual Corporativo' AND segmento='ESTR' AND ambito='PM' AND entidade='00100' ) A </v>
      </c>
      <c r="I71" s="17" t="str">
        <f>IF(VLOOKUP(B71,Instruções!$F$13:$J$17,5,0)="",
"(SELECT "&amp;VLOOKUP(B71,Instruções!$F$13:$J$17,4,0)&amp;" as "&amp;VLOOKUP(B71,Instruções!$F$13:$J$17,4,0)&amp;"_"&amp;$G$2&amp;", "&amp;E71&amp;" as "&amp;G71&amp;" FROM "&amp;D71&amp;" WHERE "&amp;Instruções!$D$21&amp;") B ",
"(SELECT "&amp;VLOOKUP(B71,Instruções!$F$13:$J$17,4,0)&amp;" as "&amp;VLOOKUP(B71,Instruções!$F$13:$J$17,4,0)&amp;"_"&amp;$G$2&amp;", "&amp;VLOOKUP(B71,Instruções!$F$13:$J$17,5,0)&amp;" as "&amp;VLOOKUP(B71,Instruções!$F$13:$J$17,5,0)&amp;"_"&amp;$G$2&amp;","&amp;E71&amp;" as "&amp;G71&amp;" FROM "&amp;D71&amp;" WHERE "&amp;Instruções!$D$21&amp;") B ")</f>
        <v xml:space="preserve">(SELECT entty_id as entty_id_to_be, lei as lei_to_be FROM bu_loantape_work.lt003_entity WHERE ref_date='2024-09-30' AND nome_perimetro='Individual Corporativo' AND segmento='ESTR' AND ambito='PM' AND entidade='00100' ) B </v>
      </c>
      <c r="J71" s="17" t="str">
        <f>IF(VLOOKUP(B71,Instruções!$F$13:$J$17,5,0)="",
"ON "&amp;VLOOKUP(B71,Instruções!$F$13:$J$17,4,0)&amp;"_"&amp;$F$2&amp;" = "&amp;VLOOKUP(B71,Instruções!$F$13:$J$17,4,0)&amp;"_"&amp;$G$2&amp;" ",
"ON "&amp;VLOOKUP(B71,Instruções!$F$13:$J$17,4,0)&amp;"_"&amp;$F$2&amp;" = "&amp;VLOOKUP(B71,Instruções!$F$13:$J$17,4,0)&amp;"_"&amp;$G$2&amp;" AND "&amp;VLOOKUP(B71,Instruções!$F$13:$J$17,5,0)&amp;"_"&amp;$F$2&amp;" = "&amp;VLOOKUP(B71,Instruções!$F$13:$J$17,5,0)&amp;"_"&amp;$G$2&amp;" ")</f>
        <v xml:space="preserve">ON entty_id_as_is = entty_id_to_be </v>
      </c>
      <c r="K71" s="17" t="str">
        <f t="shared" si="8"/>
        <v xml:space="preserve">WHERE coalesce(cast(lei_as_is as string), '') &lt;&gt; coalesce(cast(lei_to_be as string), '') </v>
      </c>
      <c r="L71" s="17" t="str">
        <f t="shared" si="9"/>
        <v xml:space="preserve">SELECT count(*) AS NUM_REG_DIF FROM (SELECT entty_id as entty_id_as_is, lei as lei_as_is FROM cd_loan_tapes_bce.lt003_entity WHERE ref_date='2024-09-30' AND nome_perimetro='Individual Corporativo' AND segmento='ESTR' AND ambito='PM' AND entidade='00100' ) A  Inner join (SELECT entty_id as entty_id_to_be, lei as lei_to_be FROM bu_loantape_work.lt003_entity WHERE ref_date='2024-09-30' AND nome_perimetro='Individual Corporativo' AND segmento='ESTR' AND ambito='PM' AND entidade='00100' ) B ON entty_id_as_is = entty_id_to_be WHERE coalesce(cast(lei_as_is as string), '') &lt;&gt; coalesce(cast(lei_to_be as string), '') </v>
      </c>
      <c r="M71" s="17" t="s">
        <v>55</v>
      </c>
      <c r="N71" s="17" t="str">
        <f>"SELECT 'Validação de campos' as tipologia_teste, '"&amp;VLOOKUP(B71,Instruções!$F$13:$J$17,3,0)&amp;"' AS TABELA, '"&amp;E71&amp;"' AS CAMPO, '"&amp;Instruções!$D$15&amp;"' as ref_date, coalesce(NUM_REG_DIF, 0) AS NUM_REG_DIF FROM ("&amp;L71&amp;") A "</f>
        <v xml:space="preserve">SELECT 'Validação de campos' as tipologia_teste, 'lt003_entity' AS TABELA, 'lei' AS CAMPO, '2024-09-30' as ref_date, coalesce(NUM_REG_DIF, 0) AS NUM_REG_DIF FROM (SELECT count(*) AS NUM_REG_DIF FROM (SELECT entty_id as entty_id_as_is, lei as lei_as_is FROM cd_loan_tapes_bce.lt003_entity WHERE ref_date='2024-09-30' AND nome_perimetro='Individual Corporativo' AND segmento='ESTR' AND ambito='PM' AND entidade='00100' ) A  Inner join (SELECT entty_id as entty_id_to_be, lei as lei_to_be FROM bu_loantape_work.lt003_entity WHERE ref_date='2024-09-30' AND nome_perimetro='Individual Corporativo' AND segmento='ESTR' AND ambito='PM' AND entidade='00100' ) B ON entty_id_as_is = entty_id_to_be WHERE coalesce(cast(lei_as_is as string), '') &lt;&gt; coalesce(cast(lei_to_be as string), '') ) A </v>
      </c>
      <c r="O71" s="19" t="str">
        <f t="shared" si="10"/>
        <v>SELECT 'Validação de campos' as tipologia_teste, 'lt003_entity' AS TABELA, 'lei' AS CAMPO, '2024-09-30' as ref_date, coalesce(NUM_REG_DIF, 0) AS NUM_REG_DIF FROM (SELECT count(*) AS NUM_REG_DIF FROM (SELECT entty_id as entty_id_as_is, lei as lei_as_is FROM cd_loan_tapes_bce.lt003_entity WHERE ref_date='2024-09-30' AND nome_perimetro='Individual Corporativo' AND segmento='ESTR' AND ambito='PM' AND entidade='00100' ) A  Inner join (SELECT entty_id as entty_id_to_be, lei as lei_to_be FROM bu_loantape_work.lt003_entity WHERE ref_date='2024-09-30' AND nome_perimetro='Individual Corporativo' AND segmento='ESTR' AND ambito='PM' AND entidade='00100' ) B ON entty_id_as_is = entty_id_to_be WHERE coalesce(cast(lei_as_is as string), '') &lt;&gt; coalesce(cast(lei_to_be as string), '') ) A UNION ALL</v>
      </c>
      <c r="P71" s="17">
        <f t="shared" si="11"/>
        <v>17</v>
      </c>
    </row>
    <row r="72" spans="2:16" s="15" customFormat="1" ht="11.45">
      <c r="B72" s="17" t="s">
        <v>11</v>
      </c>
      <c r="C72" s="17" t="str">
        <f>_xlfn.CONCAT(Instruções!$D$13,".",VLOOKUP(B72,Instruções!$F$12:$H$17,2,0))</f>
        <v>cd_loan_tapes_bce.lt003_entity</v>
      </c>
      <c r="D72" s="17" t="str">
        <f>_xlfn.CONCAT(Instruções!$D$14,".",VLOOKUP(B72,Instruções!$F$12:$H$17,3,0))</f>
        <v>bu_loantape_work.lt003_entity</v>
      </c>
      <c r="E72" s="17" t="s">
        <v>126</v>
      </c>
      <c r="F72" s="17" t="str">
        <f t="shared" si="6"/>
        <v>lgl_prcdng_stts_le_as_is</v>
      </c>
      <c r="G72" s="17" t="str">
        <f t="shared" si="7"/>
        <v>lgl_prcdng_stts_le_to_be</v>
      </c>
      <c r="H72" s="17" t="str">
        <f>IF(VLOOKUP(B72,Instruções!$F$13:$J$17,5,0)="",
"(SELECT "&amp;VLOOKUP(B72,Instruções!$F$13:$J$17,4,0)&amp;" as "&amp;VLOOKUP(B72,Instruções!$F$13:$J$17,4,0)&amp;"_"&amp;$F$2&amp;", "&amp;E72&amp;" as "&amp;F72&amp;" FROM "&amp;C72&amp;" WHERE "&amp;Instruções!$D$20&amp;") A ",
"(SELECT "&amp;VLOOKUP(B72,Instruções!$F$13:$J$17,4,0)&amp;" as "&amp;VLOOKUP(B72,Instruções!$F$13:$J$17,4,0)&amp;"_"&amp;$F$2&amp;", "&amp;VLOOKUP(B72,Instruções!$F$13:$J$17,5,0)&amp;" as "&amp;VLOOKUP(B72,Instruções!$F$13:$J$17,5,0)&amp;"_"&amp;$F$2&amp;","&amp;E72&amp;" as "&amp;F72&amp;" FROM "&amp;C72&amp;" WHERE "&amp;Instruções!$D$20&amp;") A ")</f>
        <v xml:space="preserve">(SELECT entty_id as entty_id_as_is, lgl_prcdng_stts_le as lgl_prcdng_stts_le_as_is FROM cd_loan_tapes_bce.lt003_entity WHERE ref_date='2024-09-30' AND nome_perimetro='Individual Corporativo' AND segmento='ESTR' AND ambito='PM' AND entidade='00100' ) A </v>
      </c>
      <c r="I72" s="17" t="str">
        <f>IF(VLOOKUP(B72,Instruções!$F$13:$J$17,5,0)="",
"(SELECT "&amp;VLOOKUP(B72,Instruções!$F$13:$J$17,4,0)&amp;" as "&amp;VLOOKUP(B72,Instruções!$F$13:$J$17,4,0)&amp;"_"&amp;$G$2&amp;", "&amp;E72&amp;" as "&amp;G72&amp;" FROM "&amp;D72&amp;" WHERE "&amp;Instruções!$D$21&amp;") B ",
"(SELECT "&amp;VLOOKUP(B72,Instruções!$F$13:$J$17,4,0)&amp;" as "&amp;VLOOKUP(B72,Instruções!$F$13:$J$17,4,0)&amp;"_"&amp;$G$2&amp;", "&amp;VLOOKUP(B72,Instruções!$F$13:$J$17,5,0)&amp;" as "&amp;VLOOKUP(B72,Instruções!$F$13:$J$17,5,0)&amp;"_"&amp;$G$2&amp;","&amp;E72&amp;" as "&amp;G72&amp;" FROM "&amp;D72&amp;" WHERE "&amp;Instruções!$D$21&amp;") B ")</f>
        <v xml:space="preserve">(SELECT entty_id as entty_id_to_be, lgl_prcdng_stts_le as lgl_prcdng_stts_le_to_be FROM bu_loantape_work.lt003_entity WHERE ref_date='2024-09-30' AND nome_perimetro='Individual Corporativo' AND segmento='ESTR' AND ambito='PM' AND entidade='00100' ) B </v>
      </c>
      <c r="J72" s="17" t="str">
        <f>IF(VLOOKUP(B72,Instruções!$F$13:$J$17,5,0)="",
"ON "&amp;VLOOKUP(B72,Instruções!$F$13:$J$17,4,0)&amp;"_"&amp;$F$2&amp;" = "&amp;VLOOKUP(B72,Instruções!$F$13:$J$17,4,0)&amp;"_"&amp;$G$2&amp;" ",
"ON "&amp;VLOOKUP(B72,Instruções!$F$13:$J$17,4,0)&amp;"_"&amp;$F$2&amp;" = "&amp;VLOOKUP(B72,Instruções!$F$13:$J$17,4,0)&amp;"_"&amp;$G$2&amp;" AND "&amp;VLOOKUP(B72,Instruções!$F$13:$J$17,5,0)&amp;"_"&amp;$F$2&amp;" = "&amp;VLOOKUP(B72,Instruções!$F$13:$J$17,5,0)&amp;"_"&amp;$G$2&amp;" ")</f>
        <v xml:space="preserve">ON entty_id_as_is = entty_id_to_be </v>
      </c>
      <c r="K72" s="17" t="str">
        <f t="shared" si="8"/>
        <v xml:space="preserve">WHERE coalesce(cast(lgl_prcdng_stts_le_as_is as string), '') &lt;&gt; coalesce(cast(lgl_prcdng_stts_le_to_be as string), '') </v>
      </c>
      <c r="L72" s="17" t="str">
        <f t="shared" si="9"/>
        <v xml:space="preserve">SELECT count(*) AS NUM_REG_DIF FROM (SELECT entty_id as entty_id_as_is, lgl_prcdng_stts_le as lgl_prcdng_stts_le_as_is FROM cd_loan_tapes_bce.lt003_entity WHERE ref_date='2024-09-30' AND nome_perimetro='Individual Corporativo' AND segmento='ESTR' AND ambito='PM' AND entidade='00100' ) A  Inner join (SELECT entty_id as entty_id_to_be, lgl_prcdng_stts_le as lgl_prcdng_stts_le_to_be FROM bu_loantape_work.lt003_entity WHERE ref_date='2024-09-30' AND nome_perimetro='Individual Corporativo' AND segmento='ESTR' AND ambito='PM' AND entidade='00100' ) B ON entty_id_as_is = entty_id_to_be WHERE coalesce(cast(lgl_prcdng_stts_le_as_is as string), '') &lt;&gt; coalesce(cast(lgl_prcdng_stts_le_to_be as string), '') </v>
      </c>
      <c r="M72" s="17" t="s">
        <v>55</v>
      </c>
      <c r="N72" s="17" t="str">
        <f>"SELECT 'Validação de campos' as tipologia_teste, '"&amp;VLOOKUP(B72,Instruções!$F$13:$J$17,3,0)&amp;"' AS TABELA, '"&amp;E72&amp;"' AS CAMPO, '"&amp;Instruções!$D$15&amp;"' as ref_date, coalesce(NUM_REG_DIF, 0) AS NUM_REG_DIF FROM ("&amp;L72&amp;") A "</f>
        <v xml:space="preserve">SELECT 'Validação de campos' as tipologia_teste, 'lt003_entity' AS TABELA, 'lgl_prcdng_stts_le' AS CAMPO, '2024-09-30' as ref_date, coalesce(NUM_REG_DIF, 0) AS NUM_REG_DIF FROM (SELECT count(*) AS NUM_REG_DIF FROM (SELECT entty_id as entty_id_as_is, lgl_prcdng_stts_le as lgl_prcdng_stts_le_as_is FROM cd_loan_tapes_bce.lt003_entity WHERE ref_date='2024-09-30' AND nome_perimetro='Individual Corporativo' AND segmento='ESTR' AND ambito='PM' AND entidade='00100' ) A  Inner join (SELECT entty_id as entty_id_to_be, lgl_prcdng_stts_le as lgl_prcdng_stts_le_to_be FROM bu_loantape_work.lt003_entity WHERE ref_date='2024-09-30' AND nome_perimetro='Individual Corporativo' AND segmento='ESTR' AND ambito='PM' AND entidade='00100' ) B ON entty_id_as_is = entty_id_to_be WHERE coalesce(cast(lgl_prcdng_stts_le_as_is as string), '') &lt;&gt; coalesce(cast(lgl_prcdng_stts_le_to_be as string), '') ) A </v>
      </c>
      <c r="O72" s="19" t="str">
        <f t="shared" si="10"/>
        <v>SELECT 'Validação de campos' as tipologia_teste, 'lt003_entity' AS TABELA, 'lgl_prcdng_stts_le' AS CAMPO, '2024-09-30' as ref_date, coalesce(NUM_REG_DIF, 0) AS NUM_REG_DIF FROM (SELECT count(*) AS NUM_REG_DIF FROM (SELECT entty_id as entty_id_as_is, lgl_prcdng_stts_le as lgl_prcdng_stts_le_as_is FROM cd_loan_tapes_bce.lt003_entity WHERE ref_date='2024-09-30' AND nome_perimetro='Individual Corporativo' AND segmento='ESTR' AND ambito='PM' AND entidade='00100' ) A  Inner join (SELECT entty_id as entty_id_to_be, lgl_prcdng_stts_le as lgl_prcdng_stts_le_to_be FROM bu_loantape_work.lt003_entity WHERE ref_date='2024-09-30' AND nome_perimetro='Individual Corporativo' AND segmento='ESTR' AND ambito='PM' AND entidade='00100' ) B ON entty_id_as_is = entty_id_to_be WHERE coalesce(cast(lgl_prcdng_stts_le_as_is as string), '') &lt;&gt; coalesce(cast(lgl_prcdng_stts_le_to_be as string), '') ) A UNION ALL</v>
      </c>
      <c r="P72" s="17">
        <f t="shared" si="11"/>
        <v>18</v>
      </c>
    </row>
    <row r="73" spans="2:16" s="15" customFormat="1" ht="11.45">
      <c r="B73" s="17" t="s">
        <v>11</v>
      </c>
      <c r="C73" s="17" t="str">
        <f>_xlfn.CONCAT(Instruções!$D$13,".",VLOOKUP(B73,Instruções!$F$12:$H$17,2,0))</f>
        <v>cd_loan_tapes_bce.lt003_entity</v>
      </c>
      <c r="D73" s="17" t="str">
        <f>_xlfn.CONCAT(Instruções!$D$14,".",VLOOKUP(B73,Instruções!$F$12:$H$17,3,0))</f>
        <v>bu_loantape_work.lt003_entity</v>
      </c>
      <c r="E73" s="17" t="s">
        <v>127</v>
      </c>
      <c r="F73" s="17" t="str">
        <f t="shared" si="6"/>
        <v>lti_as_is</v>
      </c>
      <c r="G73" s="17" t="str">
        <f t="shared" si="7"/>
        <v>lti_to_be</v>
      </c>
      <c r="H73" s="17" t="str">
        <f>IF(VLOOKUP(B73,Instruções!$F$13:$J$17,5,0)="",
"(SELECT "&amp;VLOOKUP(B73,Instruções!$F$13:$J$17,4,0)&amp;" as "&amp;VLOOKUP(B73,Instruções!$F$13:$J$17,4,0)&amp;"_"&amp;$F$2&amp;", "&amp;E73&amp;" as "&amp;F73&amp;" FROM "&amp;C73&amp;" WHERE "&amp;Instruções!$D$20&amp;") A ",
"(SELECT "&amp;VLOOKUP(B73,Instruções!$F$13:$J$17,4,0)&amp;" as "&amp;VLOOKUP(B73,Instruções!$F$13:$J$17,4,0)&amp;"_"&amp;$F$2&amp;", "&amp;VLOOKUP(B73,Instruções!$F$13:$J$17,5,0)&amp;" as "&amp;VLOOKUP(B73,Instruções!$F$13:$J$17,5,0)&amp;"_"&amp;$F$2&amp;","&amp;E73&amp;" as "&amp;F73&amp;" FROM "&amp;C73&amp;" WHERE "&amp;Instruções!$D$20&amp;") A ")</f>
        <v xml:space="preserve">(SELECT entty_id as entty_id_as_is, lti as lti_as_is FROM cd_loan_tapes_bce.lt003_entity WHERE ref_date='2024-09-30' AND nome_perimetro='Individual Corporativo' AND segmento='ESTR' AND ambito='PM' AND entidade='00100' ) A </v>
      </c>
      <c r="I73" s="17" t="str">
        <f>IF(VLOOKUP(B73,Instruções!$F$13:$J$17,5,0)="",
"(SELECT "&amp;VLOOKUP(B73,Instruções!$F$13:$J$17,4,0)&amp;" as "&amp;VLOOKUP(B73,Instruções!$F$13:$J$17,4,0)&amp;"_"&amp;$G$2&amp;", "&amp;E73&amp;" as "&amp;G73&amp;" FROM "&amp;D73&amp;" WHERE "&amp;Instruções!$D$21&amp;") B ",
"(SELECT "&amp;VLOOKUP(B73,Instruções!$F$13:$J$17,4,0)&amp;" as "&amp;VLOOKUP(B73,Instruções!$F$13:$J$17,4,0)&amp;"_"&amp;$G$2&amp;", "&amp;VLOOKUP(B73,Instruções!$F$13:$J$17,5,0)&amp;" as "&amp;VLOOKUP(B73,Instruções!$F$13:$J$17,5,0)&amp;"_"&amp;$G$2&amp;","&amp;E73&amp;" as "&amp;G73&amp;" FROM "&amp;D73&amp;" WHERE "&amp;Instruções!$D$21&amp;") B ")</f>
        <v xml:space="preserve">(SELECT entty_id as entty_id_to_be, lti as lti_to_be FROM bu_loantape_work.lt003_entity WHERE ref_date='2024-09-30' AND nome_perimetro='Individual Corporativo' AND segmento='ESTR' AND ambito='PM' AND entidade='00100' ) B </v>
      </c>
      <c r="J73" s="17" t="str">
        <f>IF(VLOOKUP(B73,Instruções!$F$13:$J$17,5,0)="",
"ON "&amp;VLOOKUP(B73,Instruções!$F$13:$J$17,4,0)&amp;"_"&amp;$F$2&amp;" = "&amp;VLOOKUP(B73,Instruções!$F$13:$J$17,4,0)&amp;"_"&amp;$G$2&amp;" ",
"ON "&amp;VLOOKUP(B73,Instruções!$F$13:$J$17,4,0)&amp;"_"&amp;$F$2&amp;" = "&amp;VLOOKUP(B73,Instruções!$F$13:$J$17,4,0)&amp;"_"&amp;$G$2&amp;" AND "&amp;VLOOKUP(B73,Instruções!$F$13:$J$17,5,0)&amp;"_"&amp;$F$2&amp;" = "&amp;VLOOKUP(B73,Instruções!$F$13:$J$17,5,0)&amp;"_"&amp;$G$2&amp;" ")</f>
        <v xml:space="preserve">ON entty_id_as_is = entty_id_to_be </v>
      </c>
      <c r="K73" s="17" t="str">
        <f t="shared" si="8"/>
        <v xml:space="preserve">WHERE coalesce(cast(lti_as_is as string), '') &lt;&gt; coalesce(cast(lti_to_be as string), '') </v>
      </c>
      <c r="L73" s="17" t="str">
        <f t="shared" si="9"/>
        <v xml:space="preserve">SELECT count(*) AS NUM_REG_DIF FROM (SELECT entty_id as entty_id_as_is, lti as lti_as_is FROM cd_loan_tapes_bce.lt003_entity WHERE ref_date='2024-09-30' AND nome_perimetro='Individual Corporativo' AND segmento='ESTR' AND ambito='PM' AND entidade='00100' ) A  Inner join (SELECT entty_id as entty_id_to_be, lti as lti_to_be FROM bu_loantape_work.lt003_entity WHERE ref_date='2024-09-30' AND nome_perimetro='Individual Corporativo' AND segmento='ESTR' AND ambito='PM' AND entidade='00100' ) B ON entty_id_as_is = entty_id_to_be WHERE coalesce(cast(lti_as_is as string), '') &lt;&gt; coalesce(cast(lti_to_be as string), '') </v>
      </c>
      <c r="M73" s="17" t="s">
        <v>55</v>
      </c>
      <c r="N73" s="17" t="str">
        <f>"SELECT 'Validação de campos' as tipologia_teste, '"&amp;VLOOKUP(B73,Instruções!$F$13:$J$17,3,0)&amp;"' AS TABELA, '"&amp;E73&amp;"' AS CAMPO, '"&amp;Instruções!$D$15&amp;"' as ref_date, coalesce(NUM_REG_DIF, 0) AS NUM_REG_DIF FROM ("&amp;L73&amp;") A "</f>
        <v xml:space="preserve">SELECT 'Validação de campos' as tipologia_teste, 'lt003_entity' AS TABELA, 'lti' AS CAMPO, '2024-09-30' as ref_date, coalesce(NUM_REG_DIF, 0) AS NUM_REG_DIF FROM (SELECT count(*) AS NUM_REG_DIF FROM (SELECT entty_id as entty_id_as_is, lti as lti_as_is FROM cd_loan_tapes_bce.lt003_entity WHERE ref_date='2024-09-30' AND nome_perimetro='Individual Corporativo' AND segmento='ESTR' AND ambito='PM' AND entidade='00100' ) A  Inner join (SELECT entty_id as entty_id_to_be, lti as lti_to_be FROM bu_loantape_work.lt003_entity WHERE ref_date='2024-09-30' AND nome_perimetro='Individual Corporativo' AND segmento='ESTR' AND ambito='PM' AND entidade='00100' ) B ON entty_id_as_is = entty_id_to_be WHERE coalesce(cast(lti_as_is as string), '') &lt;&gt; coalesce(cast(lti_to_be as string), '') ) A </v>
      </c>
      <c r="O73" s="19" t="str">
        <f t="shared" si="10"/>
        <v>SELECT 'Validação de campos' as tipologia_teste, 'lt003_entity' AS TABELA, 'lti' AS CAMPO, '2024-09-30' as ref_date, coalesce(NUM_REG_DIF, 0) AS NUM_REG_DIF FROM (SELECT count(*) AS NUM_REG_DIF FROM (SELECT entty_id as entty_id_as_is, lti as lti_as_is FROM cd_loan_tapes_bce.lt003_entity WHERE ref_date='2024-09-30' AND nome_perimetro='Individual Corporativo' AND segmento='ESTR' AND ambito='PM' AND entidade='00100' ) A  Inner join (SELECT entty_id as entty_id_to_be, lti as lti_to_be FROM bu_loantape_work.lt003_entity WHERE ref_date='2024-09-30' AND nome_perimetro='Individual Corporativo' AND segmento='ESTR' AND ambito='PM' AND entidade='00100' ) B ON entty_id_as_is = entty_id_to_be WHERE coalesce(cast(lti_as_is as string), '') &lt;&gt; coalesce(cast(lti_to_be as string), '') ) A UNION ALL</v>
      </c>
      <c r="P73" s="17">
        <f t="shared" si="11"/>
        <v>19</v>
      </c>
    </row>
    <row r="74" spans="2:16" s="15" customFormat="1" ht="11.45">
      <c r="B74" s="17" t="s">
        <v>11</v>
      </c>
      <c r="C74" s="17" t="str">
        <f>_xlfn.CONCAT(Instruções!$D$13,".",VLOOKUP(B74,Instruções!$F$12:$H$17,2,0))</f>
        <v>cd_loan_tapes_bce.lt003_entity</v>
      </c>
      <c r="D74" s="17" t="str">
        <f>_xlfn.CONCAT(Instruções!$D$14,".",VLOOKUP(B74,Instruções!$F$12:$H$17,3,0))</f>
        <v>bu_loantape_work.lt003_entity</v>
      </c>
      <c r="E74" s="17" t="s">
        <v>128</v>
      </c>
      <c r="F74" s="17" t="str">
        <f t="shared" si="6"/>
        <v>lvrg_as_is</v>
      </c>
      <c r="G74" s="17" t="str">
        <f t="shared" si="7"/>
        <v>lvrg_to_be</v>
      </c>
      <c r="H74" s="17" t="str">
        <f>IF(VLOOKUP(B74,Instruções!$F$13:$J$17,5,0)="",
"(SELECT "&amp;VLOOKUP(B74,Instruções!$F$13:$J$17,4,0)&amp;" as "&amp;VLOOKUP(B74,Instruções!$F$13:$J$17,4,0)&amp;"_"&amp;$F$2&amp;", "&amp;E74&amp;" as "&amp;F74&amp;" FROM "&amp;C74&amp;" WHERE "&amp;Instruções!$D$20&amp;") A ",
"(SELECT "&amp;VLOOKUP(B74,Instruções!$F$13:$J$17,4,0)&amp;" as "&amp;VLOOKUP(B74,Instruções!$F$13:$J$17,4,0)&amp;"_"&amp;$F$2&amp;", "&amp;VLOOKUP(B74,Instruções!$F$13:$J$17,5,0)&amp;" as "&amp;VLOOKUP(B74,Instruções!$F$13:$J$17,5,0)&amp;"_"&amp;$F$2&amp;","&amp;E74&amp;" as "&amp;F74&amp;" FROM "&amp;C74&amp;" WHERE "&amp;Instruções!$D$20&amp;") A ")</f>
        <v xml:space="preserve">(SELECT entty_id as entty_id_as_is, lvrg as lvrg_as_is FROM cd_loan_tapes_bce.lt003_entity WHERE ref_date='2024-09-30' AND nome_perimetro='Individual Corporativo' AND segmento='ESTR' AND ambito='PM' AND entidade='00100' ) A </v>
      </c>
      <c r="I74" s="17" t="str">
        <f>IF(VLOOKUP(B74,Instruções!$F$13:$J$17,5,0)="",
"(SELECT "&amp;VLOOKUP(B74,Instruções!$F$13:$J$17,4,0)&amp;" as "&amp;VLOOKUP(B74,Instruções!$F$13:$J$17,4,0)&amp;"_"&amp;$G$2&amp;", "&amp;E74&amp;" as "&amp;G74&amp;" FROM "&amp;D74&amp;" WHERE "&amp;Instruções!$D$21&amp;") B ",
"(SELECT "&amp;VLOOKUP(B74,Instruções!$F$13:$J$17,4,0)&amp;" as "&amp;VLOOKUP(B74,Instruções!$F$13:$J$17,4,0)&amp;"_"&amp;$G$2&amp;", "&amp;VLOOKUP(B74,Instruções!$F$13:$J$17,5,0)&amp;" as "&amp;VLOOKUP(B74,Instruções!$F$13:$J$17,5,0)&amp;"_"&amp;$G$2&amp;","&amp;E74&amp;" as "&amp;G74&amp;" FROM "&amp;D74&amp;" WHERE "&amp;Instruções!$D$21&amp;") B ")</f>
        <v xml:space="preserve">(SELECT entty_id as entty_id_to_be, lvrg as lvrg_to_be FROM bu_loantape_work.lt003_entity WHERE ref_date='2024-09-30' AND nome_perimetro='Individual Corporativo' AND segmento='ESTR' AND ambito='PM' AND entidade='00100' ) B </v>
      </c>
      <c r="J74" s="17" t="str">
        <f>IF(VLOOKUP(B74,Instruções!$F$13:$J$17,5,0)="",
"ON "&amp;VLOOKUP(B74,Instruções!$F$13:$J$17,4,0)&amp;"_"&amp;$F$2&amp;" = "&amp;VLOOKUP(B74,Instruções!$F$13:$J$17,4,0)&amp;"_"&amp;$G$2&amp;" ",
"ON "&amp;VLOOKUP(B74,Instruções!$F$13:$J$17,4,0)&amp;"_"&amp;$F$2&amp;" = "&amp;VLOOKUP(B74,Instruções!$F$13:$J$17,4,0)&amp;"_"&amp;$G$2&amp;" AND "&amp;VLOOKUP(B74,Instruções!$F$13:$J$17,5,0)&amp;"_"&amp;$F$2&amp;" = "&amp;VLOOKUP(B74,Instruções!$F$13:$J$17,5,0)&amp;"_"&amp;$G$2&amp;" ")</f>
        <v xml:space="preserve">ON entty_id_as_is = entty_id_to_be </v>
      </c>
      <c r="K74" s="17" t="str">
        <f t="shared" si="8"/>
        <v xml:space="preserve">WHERE coalesce(cast(lvrg_as_is as string), '') &lt;&gt; coalesce(cast(lvrg_to_be as string), '') </v>
      </c>
      <c r="L74" s="17" t="str">
        <f t="shared" si="9"/>
        <v xml:space="preserve">SELECT count(*) AS NUM_REG_DIF FROM (SELECT entty_id as entty_id_as_is, lvrg as lvrg_as_is FROM cd_loan_tapes_bce.lt003_entity WHERE ref_date='2024-09-30' AND nome_perimetro='Individual Corporativo' AND segmento='ESTR' AND ambito='PM' AND entidade='00100' ) A  Inner join (SELECT entty_id as entty_id_to_be, lvrg as lvrg_to_be FROM bu_loantape_work.lt003_entity WHERE ref_date='2024-09-30' AND nome_perimetro='Individual Corporativo' AND segmento='ESTR' AND ambito='PM' AND entidade='00100' ) B ON entty_id_as_is = entty_id_to_be WHERE coalesce(cast(lvrg_as_is as string), '') &lt;&gt; coalesce(cast(lvrg_to_be as string), '') </v>
      </c>
      <c r="M74" s="17" t="s">
        <v>55</v>
      </c>
      <c r="N74" s="17" t="str">
        <f>"SELECT 'Validação de campos' as tipologia_teste, '"&amp;VLOOKUP(B74,Instruções!$F$13:$J$17,3,0)&amp;"' AS TABELA, '"&amp;E74&amp;"' AS CAMPO, '"&amp;Instruções!$D$15&amp;"' as ref_date, coalesce(NUM_REG_DIF, 0) AS NUM_REG_DIF FROM ("&amp;L74&amp;") A "</f>
        <v xml:space="preserve">SELECT 'Validação de campos' as tipologia_teste, 'lt003_entity' AS TABELA, 'lvrg' AS CAMPO, '2024-09-30' as ref_date, coalesce(NUM_REG_DIF, 0) AS NUM_REG_DIF FROM (SELECT count(*) AS NUM_REG_DIF FROM (SELECT entty_id as entty_id_as_is, lvrg as lvrg_as_is FROM cd_loan_tapes_bce.lt003_entity WHERE ref_date='2024-09-30' AND nome_perimetro='Individual Corporativo' AND segmento='ESTR' AND ambito='PM' AND entidade='00100' ) A  Inner join (SELECT entty_id as entty_id_to_be, lvrg as lvrg_to_be FROM bu_loantape_work.lt003_entity WHERE ref_date='2024-09-30' AND nome_perimetro='Individual Corporativo' AND segmento='ESTR' AND ambito='PM' AND entidade='00100' ) B ON entty_id_as_is = entty_id_to_be WHERE coalesce(cast(lvrg_as_is as string), '') &lt;&gt; coalesce(cast(lvrg_to_be as string), '') ) A </v>
      </c>
      <c r="O74" s="19" t="str">
        <f t="shared" si="10"/>
        <v>SELECT 'Validação de campos' as tipologia_teste, 'lt003_entity' AS TABELA, 'lvrg' AS CAMPO, '2024-09-30' as ref_date, coalesce(NUM_REG_DIF, 0) AS NUM_REG_DIF FROM (SELECT count(*) AS NUM_REG_DIF FROM (SELECT entty_id as entty_id_as_is, lvrg as lvrg_as_is FROM cd_loan_tapes_bce.lt003_entity WHERE ref_date='2024-09-30' AND nome_perimetro='Individual Corporativo' AND segmento='ESTR' AND ambito='PM' AND entidade='00100' ) A  Inner join (SELECT entty_id as entty_id_to_be, lvrg as lvrg_to_be FROM bu_loantape_work.lt003_entity WHERE ref_date='2024-09-30' AND nome_perimetro='Individual Corporativo' AND segmento='ESTR' AND ambito='PM' AND entidade='00100' ) B ON entty_id_as_is = entty_id_to_be WHERE coalesce(cast(lvrg_as_is as string), '') &lt;&gt; coalesce(cast(lvrg_to_be as string), '') ) A UNION ALL</v>
      </c>
      <c r="P74" s="17">
        <f t="shared" si="11"/>
        <v>20</v>
      </c>
    </row>
    <row r="75" spans="2:16" s="15" customFormat="1" ht="11.45">
      <c r="B75" s="17" t="s">
        <v>11</v>
      </c>
      <c r="C75" s="17" t="str">
        <f>_xlfn.CONCAT(Instruções!$D$13,".",VLOOKUP(B75,Instruções!$F$12:$H$17,2,0))</f>
        <v>cd_loan_tapes_bce.lt003_entity</v>
      </c>
      <c r="D75" s="17" t="str">
        <f>_xlfn.CONCAT(Instruções!$D$14,".",VLOOKUP(B75,Instruções!$F$12:$H$17,3,0))</f>
        <v>bu_loantape_work.lt003_entity</v>
      </c>
      <c r="E75" s="17" t="s">
        <v>129</v>
      </c>
      <c r="F75" s="17" t="str">
        <f t="shared" si="6"/>
        <v>lvrg_prvs_as_is</v>
      </c>
      <c r="G75" s="17" t="str">
        <f t="shared" si="7"/>
        <v>lvrg_prvs_to_be</v>
      </c>
      <c r="H75" s="17" t="str">
        <f>IF(VLOOKUP(B75,Instruções!$F$13:$J$17,5,0)="",
"(SELECT "&amp;VLOOKUP(B75,Instruções!$F$13:$J$17,4,0)&amp;" as "&amp;VLOOKUP(B75,Instruções!$F$13:$J$17,4,0)&amp;"_"&amp;$F$2&amp;", "&amp;E75&amp;" as "&amp;F75&amp;" FROM "&amp;C75&amp;" WHERE "&amp;Instruções!$D$20&amp;") A ",
"(SELECT "&amp;VLOOKUP(B75,Instruções!$F$13:$J$17,4,0)&amp;" as "&amp;VLOOKUP(B75,Instruções!$F$13:$J$17,4,0)&amp;"_"&amp;$F$2&amp;", "&amp;VLOOKUP(B75,Instruções!$F$13:$J$17,5,0)&amp;" as "&amp;VLOOKUP(B75,Instruções!$F$13:$J$17,5,0)&amp;"_"&amp;$F$2&amp;","&amp;E75&amp;" as "&amp;F75&amp;" FROM "&amp;C75&amp;" WHERE "&amp;Instruções!$D$20&amp;") A ")</f>
        <v xml:space="preserve">(SELECT entty_id as entty_id_as_is, lvrg_prvs as lvrg_prvs_as_is FROM cd_loan_tapes_bce.lt003_entity WHERE ref_date='2024-09-30' AND nome_perimetro='Individual Corporativo' AND segmento='ESTR' AND ambito='PM' AND entidade='00100' ) A </v>
      </c>
      <c r="I75" s="17" t="str">
        <f>IF(VLOOKUP(B75,Instruções!$F$13:$J$17,5,0)="",
"(SELECT "&amp;VLOOKUP(B75,Instruções!$F$13:$J$17,4,0)&amp;" as "&amp;VLOOKUP(B75,Instruções!$F$13:$J$17,4,0)&amp;"_"&amp;$G$2&amp;", "&amp;E75&amp;" as "&amp;G75&amp;" FROM "&amp;D75&amp;" WHERE "&amp;Instruções!$D$21&amp;") B ",
"(SELECT "&amp;VLOOKUP(B75,Instruções!$F$13:$J$17,4,0)&amp;" as "&amp;VLOOKUP(B75,Instruções!$F$13:$J$17,4,0)&amp;"_"&amp;$G$2&amp;", "&amp;VLOOKUP(B75,Instruções!$F$13:$J$17,5,0)&amp;" as "&amp;VLOOKUP(B75,Instruções!$F$13:$J$17,5,0)&amp;"_"&amp;$G$2&amp;","&amp;E75&amp;" as "&amp;G75&amp;" FROM "&amp;D75&amp;" WHERE "&amp;Instruções!$D$21&amp;") B ")</f>
        <v xml:space="preserve">(SELECT entty_id as entty_id_to_be, lvrg_prvs as lvrg_prvs_to_be FROM bu_loantape_work.lt003_entity WHERE ref_date='2024-09-30' AND nome_perimetro='Individual Corporativo' AND segmento='ESTR' AND ambito='PM' AND entidade='00100' ) B </v>
      </c>
      <c r="J75" s="17" t="str">
        <f>IF(VLOOKUP(B75,Instruções!$F$13:$J$17,5,0)="",
"ON "&amp;VLOOKUP(B75,Instruções!$F$13:$J$17,4,0)&amp;"_"&amp;$F$2&amp;" = "&amp;VLOOKUP(B75,Instruções!$F$13:$J$17,4,0)&amp;"_"&amp;$G$2&amp;" ",
"ON "&amp;VLOOKUP(B75,Instruções!$F$13:$J$17,4,0)&amp;"_"&amp;$F$2&amp;" = "&amp;VLOOKUP(B75,Instruções!$F$13:$J$17,4,0)&amp;"_"&amp;$G$2&amp;" AND "&amp;VLOOKUP(B75,Instruções!$F$13:$J$17,5,0)&amp;"_"&amp;$F$2&amp;" = "&amp;VLOOKUP(B75,Instruções!$F$13:$J$17,5,0)&amp;"_"&amp;$G$2&amp;" ")</f>
        <v xml:space="preserve">ON entty_id_as_is = entty_id_to_be </v>
      </c>
      <c r="K75" s="17" t="str">
        <f t="shared" si="8"/>
        <v xml:space="preserve">WHERE coalesce(cast(lvrg_prvs_as_is as string), '') &lt;&gt; coalesce(cast(lvrg_prvs_to_be as string), '') </v>
      </c>
      <c r="L75" s="17" t="str">
        <f t="shared" si="9"/>
        <v xml:space="preserve">SELECT count(*) AS NUM_REG_DIF FROM (SELECT entty_id as entty_id_as_is, lvrg_prvs as lvrg_prvs_as_is FROM cd_loan_tapes_bce.lt003_entity WHERE ref_date='2024-09-30' AND nome_perimetro='Individual Corporativo' AND segmento='ESTR' AND ambito='PM' AND entidade='00100' ) A  Inner join (SELECT entty_id as entty_id_to_be, lvrg_prvs as lvrg_prvs_to_be FROM bu_loantape_work.lt003_entity WHERE ref_date='2024-09-30' AND nome_perimetro='Individual Corporativo' AND segmento='ESTR' AND ambito='PM' AND entidade='00100' ) B ON entty_id_as_is = entty_id_to_be WHERE coalesce(cast(lvrg_prvs_as_is as string), '') &lt;&gt; coalesce(cast(lvrg_prvs_to_be as string), '') </v>
      </c>
      <c r="M75" s="17" t="s">
        <v>55</v>
      </c>
      <c r="N75" s="17" t="str">
        <f>"SELECT 'Validação de campos' as tipologia_teste, '"&amp;VLOOKUP(B75,Instruções!$F$13:$J$17,3,0)&amp;"' AS TABELA, '"&amp;E75&amp;"' AS CAMPO, '"&amp;Instruções!$D$15&amp;"' as ref_date, coalesce(NUM_REG_DIF, 0) AS NUM_REG_DIF FROM ("&amp;L75&amp;") A "</f>
        <v xml:space="preserve">SELECT 'Validação de campos' as tipologia_teste, 'lt003_entity' AS TABELA, 'lvrg_prvs' AS CAMPO, '2024-09-30' as ref_date, coalesce(NUM_REG_DIF, 0) AS NUM_REG_DIF FROM (SELECT count(*) AS NUM_REG_DIF FROM (SELECT entty_id as entty_id_as_is, lvrg_prvs as lvrg_prvs_as_is FROM cd_loan_tapes_bce.lt003_entity WHERE ref_date='2024-09-30' AND nome_perimetro='Individual Corporativo' AND segmento='ESTR' AND ambito='PM' AND entidade='00100' ) A  Inner join (SELECT entty_id as entty_id_to_be, lvrg_prvs as lvrg_prvs_to_be FROM bu_loantape_work.lt003_entity WHERE ref_date='2024-09-30' AND nome_perimetro='Individual Corporativo' AND segmento='ESTR' AND ambito='PM' AND entidade='00100' ) B ON entty_id_as_is = entty_id_to_be WHERE coalesce(cast(lvrg_prvs_as_is as string), '') &lt;&gt; coalesce(cast(lvrg_prvs_to_be as string), '') ) A </v>
      </c>
      <c r="O75" s="19" t="str">
        <f t="shared" si="10"/>
        <v>SELECT 'Validação de campos' as tipologia_teste, 'lt003_entity' AS TABELA, 'lvrg_prvs' AS CAMPO, '2024-09-30' as ref_date, coalesce(NUM_REG_DIF, 0) AS NUM_REG_DIF FROM (SELECT count(*) AS NUM_REG_DIF FROM (SELECT entty_id as entty_id_as_is, lvrg_prvs as lvrg_prvs_as_is FROM cd_loan_tapes_bce.lt003_entity WHERE ref_date='2024-09-30' AND nome_perimetro='Individual Corporativo' AND segmento='ESTR' AND ambito='PM' AND entidade='00100' ) A  Inner join (SELECT entty_id as entty_id_to_be, lvrg_prvs as lvrg_prvs_to_be FROM bu_loantape_work.lt003_entity WHERE ref_date='2024-09-30' AND nome_perimetro='Individual Corporativo' AND segmento='ESTR' AND ambito='PM' AND entidade='00100' ) B ON entty_id_as_is = entty_id_to_be WHERE coalesce(cast(lvrg_prvs_as_is as string), '') &lt;&gt; coalesce(cast(lvrg_prvs_to_be as string), '') ) A UNION ALL</v>
      </c>
      <c r="P75" s="17">
        <f t="shared" si="11"/>
        <v>21</v>
      </c>
    </row>
    <row r="76" spans="2:16" s="15" customFormat="1" ht="11.45">
      <c r="B76" s="17" t="s">
        <v>11</v>
      </c>
      <c r="C76" s="17" t="str">
        <f>_xlfn.CONCAT(Instruções!$D$13,".",VLOOKUP(B76,Instruções!$F$12:$H$17,2,0))</f>
        <v>cd_loan_tapes_bce.lt003_entity</v>
      </c>
      <c r="D76" s="17" t="str">
        <f>_xlfn.CONCAT(Instruções!$D$14,".",VLOOKUP(B76,Instruções!$F$12:$H$17,3,0))</f>
        <v>bu_loantape_work.lt003_entity</v>
      </c>
      <c r="E76" s="17" t="s">
        <v>130</v>
      </c>
      <c r="F76" s="17" t="str">
        <f t="shared" si="6"/>
        <v>mnthl_incm_as_is</v>
      </c>
      <c r="G76" s="17" t="str">
        <f t="shared" si="7"/>
        <v>mnthl_incm_to_be</v>
      </c>
      <c r="H76" s="17" t="str">
        <f>IF(VLOOKUP(B76,Instruções!$F$13:$J$17,5,0)="",
"(SELECT "&amp;VLOOKUP(B76,Instruções!$F$13:$J$17,4,0)&amp;" as "&amp;VLOOKUP(B76,Instruções!$F$13:$J$17,4,0)&amp;"_"&amp;$F$2&amp;", "&amp;E76&amp;" as "&amp;F76&amp;" FROM "&amp;C76&amp;" WHERE "&amp;Instruções!$D$20&amp;") A ",
"(SELECT "&amp;VLOOKUP(B76,Instruções!$F$13:$J$17,4,0)&amp;" as "&amp;VLOOKUP(B76,Instruções!$F$13:$J$17,4,0)&amp;"_"&amp;$F$2&amp;", "&amp;VLOOKUP(B76,Instruções!$F$13:$J$17,5,0)&amp;" as "&amp;VLOOKUP(B76,Instruções!$F$13:$J$17,5,0)&amp;"_"&amp;$F$2&amp;","&amp;E76&amp;" as "&amp;F76&amp;" FROM "&amp;C76&amp;" WHERE "&amp;Instruções!$D$20&amp;") A ")</f>
        <v xml:space="preserve">(SELECT entty_id as entty_id_as_is, mnthl_incm as mnthl_incm_as_is FROM cd_loan_tapes_bce.lt003_entity WHERE ref_date='2024-09-30' AND nome_perimetro='Individual Corporativo' AND segmento='ESTR' AND ambito='PM' AND entidade='00100' ) A </v>
      </c>
      <c r="I76" s="17" t="str">
        <f>IF(VLOOKUP(B76,Instruções!$F$13:$J$17,5,0)="",
"(SELECT "&amp;VLOOKUP(B76,Instruções!$F$13:$J$17,4,0)&amp;" as "&amp;VLOOKUP(B76,Instruções!$F$13:$J$17,4,0)&amp;"_"&amp;$G$2&amp;", "&amp;E76&amp;" as "&amp;G76&amp;" FROM "&amp;D76&amp;" WHERE "&amp;Instruções!$D$21&amp;") B ",
"(SELECT "&amp;VLOOKUP(B76,Instruções!$F$13:$J$17,4,0)&amp;" as "&amp;VLOOKUP(B76,Instruções!$F$13:$J$17,4,0)&amp;"_"&amp;$G$2&amp;", "&amp;VLOOKUP(B76,Instruções!$F$13:$J$17,5,0)&amp;" as "&amp;VLOOKUP(B76,Instruções!$F$13:$J$17,5,0)&amp;"_"&amp;$G$2&amp;","&amp;E76&amp;" as "&amp;G76&amp;" FROM "&amp;D76&amp;" WHERE "&amp;Instruções!$D$21&amp;") B ")</f>
        <v xml:space="preserve">(SELECT entty_id as entty_id_to_be, mnthl_incm as mnthl_incm_to_be FROM bu_loantape_work.lt003_entity WHERE ref_date='2024-09-30' AND nome_perimetro='Individual Corporativo' AND segmento='ESTR' AND ambito='PM' AND entidade='00100' ) B </v>
      </c>
      <c r="J76" s="17" t="str">
        <f>IF(VLOOKUP(B76,Instruções!$F$13:$J$17,5,0)="",
"ON "&amp;VLOOKUP(B76,Instruções!$F$13:$J$17,4,0)&amp;"_"&amp;$F$2&amp;" = "&amp;VLOOKUP(B76,Instruções!$F$13:$J$17,4,0)&amp;"_"&amp;$G$2&amp;" ",
"ON "&amp;VLOOKUP(B76,Instruções!$F$13:$J$17,4,0)&amp;"_"&amp;$F$2&amp;" = "&amp;VLOOKUP(B76,Instruções!$F$13:$J$17,4,0)&amp;"_"&amp;$G$2&amp;" AND "&amp;VLOOKUP(B76,Instruções!$F$13:$J$17,5,0)&amp;"_"&amp;$F$2&amp;" = "&amp;VLOOKUP(B76,Instruções!$F$13:$J$17,5,0)&amp;"_"&amp;$G$2&amp;" ")</f>
        <v xml:space="preserve">ON entty_id_as_is = entty_id_to_be </v>
      </c>
      <c r="K76" s="17" t="str">
        <f t="shared" si="8"/>
        <v xml:space="preserve">WHERE coalesce(cast(mnthl_incm_as_is as string), '') &lt;&gt; coalesce(cast(mnthl_incm_to_be as string), '') </v>
      </c>
      <c r="L76" s="17" t="str">
        <f t="shared" si="9"/>
        <v xml:space="preserve">SELECT count(*) AS NUM_REG_DIF FROM (SELECT entty_id as entty_id_as_is, mnthl_incm as mnthl_incm_as_is FROM cd_loan_tapes_bce.lt003_entity WHERE ref_date='2024-09-30' AND nome_perimetro='Individual Corporativo' AND segmento='ESTR' AND ambito='PM' AND entidade='00100' ) A  Inner join (SELECT entty_id as entty_id_to_be, mnthl_incm as mnthl_incm_to_be FROM bu_loantape_work.lt003_entity WHERE ref_date='2024-09-30' AND nome_perimetro='Individual Corporativo' AND segmento='ESTR' AND ambito='PM' AND entidade='00100' ) B ON entty_id_as_is = entty_id_to_be WHERE coalesce(cast(mnthl_incm_as_is as string), '') &lt;&gt; coalesce(cast(mnthl_incm_to_be as string), '') </v>
      </c>
      <c r="M76" s="17" t="s">
        <v>55</v>
      </c>
      <c r="N76" s="17" t="str">
        <f>"SELECT 'Validação de campos' as tipologia_teste, '"&amp;VLOOKUP(B76,Instruções!$F$13:$J$17,3,0)&amp;"' AS TABELA, '"&amp;E76&amp;"' AS CAMPO, '"&amp;Instruções!$D$15&amp;"' as ref_date, coalesce(NUM_REG_DIF, 0) AS NUM_REG_DIF FROM ("&amp;L76&amp;") A "</f>
        <v xml:space="preserve">SELECT 'Validação de campos' as tipologia_teste, 'lt003_entity' AS TABELA, 'mnthl_incm' AS CAMPO, '2024-09-30' as ref_date, coalesce(NUM_REG_DIF, 0) AS NUM_REG_DIF FROM (SELECT count(*) AS NUM_REG_DIF FROM (SELECT entty_id as entty_id_as_is, mnthl_incm as mnthl_incm_as_is FROM cd_loan_tapes_bce.lt003_entity WHERE ref_date='2024-09-30' AND nome_perimetro='Individual Corporativo' AND segmento='ESTR' AND ambito='PM' AND entidade='00100' ) A  Inner join (SELECT entty_id as entty_id_to_be, mnthl_incm as mnthl_incm_to_be FROM bu_loantape_work.lt003_entity WHERE ref_date='2024-09-30' AND nome_perimetro='Individual Corporativo' AND segmento='ESTR' AND ambito='PM' AND entidade='00100' ) B ON entty_id_as_is = entty_id_to_be WHERE coalesce(cast(mnthl_incm_as_is as string), '') &lt;&gt; coalesce(cast(mnthl_incm_to_be as string), '') ) A </v>
      </c>
      <c r="O76" s="19" t="str">
        <f t="shared" si="10"/>
        <v>SELECT 'Validação de campos' as tipologia_teste, 'lt003_entity' AS TABELA, 'mnthl_incm' AS CAMPO, '2024-09-30' as ref_date, coalesce(NUM_REG_DIF, 0) AS NUM_REG_DIF FROM (SELECT count(*) AS NUM_REG_DIF FROM (SELECT entty_id as entty_id_as_is, mnthl_incm as mnthl_incm_as_is FROM cd_loan_tapes_bce.lt003_entity WHERE ref_date='2024-09-30' AND nome_perimetro='Individual Corporativo' AND segmento='ESTR' AND ambito='PM' AND entidade='00100' ) A  Inner join (SELECT entty_id as entty_id_to_be, mnthl_incm as mnthl_incm_to_be FROM bu_loantape_work.lt003_entity WHERE ref_date='2024-09-30' AND nome_perimetro='Individual Corporativo' AND segmento='ESTR' AND ambito='PM' AND entidade='00100' ) B ON entty_id_as_is = entty_id_to_be WHERE coalesce(cast(mnthl_incm_as_is as string), '') &lt;&gt; coalesce(cast(mnthl_incm_to_be as string), '') ) A UNION ALL</v>
      </c>
      <c r="P76" s="17">
        <f t="shared" si="11"/>
        <v>22</v>
      </c>
    </row>
    <row r="77" spans="2:16" s="15" customFormat="1" ht="11.45">
      <c r="B77" s="17" t="s">
        <v>11</v>
      </c>
      <c r="C77" s="17" t="str">
        <f>_xlfn.CONCAT(Instruções!$D$13,".",VLOOKUP(B77,Instruções!$F$12:$H$17,2,0))</f>
        <v>cd_loan_tapes_bce.lt003_entity</v>
      </c>
      <c r="D77" s="17" t="str">
        <f>_xlfn.CONCAT(Instruções!$D$14,".",VLOOKUP(B77,Instruções!$F$12:$H$17,3,0))</f>
        <v>bu_loantape_work.lt003_entity</v>
      </c>
      <c r="E77" s="17" t="s">
        <v>131</v>
      </c>
      <c r="F77" s="17" t="str">
        <f t="shared" si="6"/>
        <v>mnthl_incm_slr_as_is</v>
      </c>
      <c r="G77" s="17" t="str">
        <f t="shared" si="7"/>
        <v>mnthl_incm_slr_to_be</v>
      </c>
      <c r="H77" s="17" t="str">
        <f>IF(VLOOKUP(B77,Instruções!$F$13:$J$17,5,0)="",
"(SELECT "&amp;VLOOKUP(B77,Instruções!$F$13:$J$17,4,0)&amp;" as "&amp;VLOOKUP(B77,Instruções!$F$13:$J$17,4,0)&amp;"_"&amp;$F$2&amp;", "&amp;E77&amp;" as "&amp;F77&amp;" FROM "&amp;C77&amp;" WHERE "&amp;Instruções!$D$20&amp;") A ",
"(SELECT "&amp;VLOOKUP(B77,Instruções!$F$13:$J$17,4,0)&amp;" as "&amp;VLOOKUP(B77,Instruções!$F$13:$J$17,4,0)&amp;"_"&amp;$F$2&amp;", "&amp;VLOOKUP(B77,Instruções!$F$13:$J$17,5,0)&amp;" as "&amp;VLOOKUP(B77,Instruções!$F$13:$J$17,5,0)&amp;"_"&amp;$F$2&amp;","&amp;E77&amp;" as "&amp;F77&amp;" FROM "&amp;C77&amp;" WHERE "&amp;Instruções!$D$20&amp;") A ")</f>
        <v xml:space="preserve">(SELECT entty_id as entty_id_as_is, mnthl_incm_slr as mnthl_incm_slr_as_is FROM cd_loan_tapes_bce.lt003_entity WHERE ref_date='2024-09-30' AND nome_perimetro='Individual Corporativo' AND segmento='ESTR' AND ambito='PM' AND entidade='00100' ) A </v>
      </c>
      <c r="I77" s="17" t="str">
        <f>IF(VLOOKUP(B77,Instruções!$F$13:$J$17,5,0)="",
"(SELECT "&amp;VLOOKUP(B77,Instruções!$F$13:$J$17,4,0)&amp;" as "&amp;VLOOKUP(B77,Instruções!$F$13:$J$17,4,0)&amp;"_"&amp;$G$2&amp;", "&amp;E77&amp;" as "&amp;G77&amp;" FROM "&amp;D77&amp;" WHERE "&amp;Instruções!$D$21&amp;") B ",
"(SELECT "&amp;VLOOKUP(B77,Instruções!$F$13:$J$17,4,0)&amp;" as "&amp;VLOOKUP(B77,Instruções!$F$13:$J$17,4,0)&amp;"_"&amp;$G$2&amp;", "&amp;VLOOKUP(B77,Instruções!$F$13:$J$17,5,0)&amp;" as "&amp;VLOOKUP(B77,Instruções!$F$13:$J$17,5,0)&amp;"_"&amp;$G$2&amp;","&amp;E77&amp;" as "&amp;G77&amp;" FROM "&amp;D77&amp;" WHERE "&amp;Instruções!$D$21&amp;") B ")</f>
        <v xml:space="preserve">(SELECT entty_id as entty_id_to_be, mnthl_incm_slr as mnthl_incm_slr_to_be FROM bu_loantape_work.lt003_entity WHERE ref_date='2024-09-30' AND nome_perimetro='Individual Corporativo' AND segmento='ESTR' AND ambito='PM' AND entidade='00100' ) B </v>
      </c>
      <c r="J77" s="17" t="str">
        <f>IF(VLOOKUP(B77,Instruções!$F$13:$J$17,5,0)="",
"ON "&amp;VLOOKUP(B77,Instruções!$F$13:$J$17,4,0)&amp;"_"&amp;$F$2&amp;" = "&amp;VLOOKUP(B77,Instruções!$F$13:$J$17,4,0)&amp;"_"&amp;$G$2&amp;" ",
"ON "&amp;VLOOKUP(B77,Instruções!$F$13:$J$17,4,0)&amp;"_"&amp;$F$2&amp;" = "&amp;VLOOKUP(B77,Instruções!$F$13:$J$17,4,0)&amp;"_"&amp;$G$2&amp;" AND "&amp;VLOOKUP(B77,Instruções!$F$13:$J$17,5,0)&amp;"_"&amp;$F$2&amp;" = "&amp;VLOOKUP(B77,Instruções!$F$13:$J$17,5,0)&amp;"_"&amp;$G$2&amp;" ")</f>
        <v xml:space="preserve">ON entty_id_as_is = entty_id_to_be </v>
      </c>
      <c r="K77" s="17" t="str">
        <f t="shared" si="8"/>
        <v xml:space="preserve">WHERE coalesce(cast(mnthl_incm_slr_as_is as string), '') &lt;&gt; coalesce(cast(mnthl_incm_slr_to_be as string), '') </v>
      </c>
      <c r="L77" s="17" t="str">
        <f t="shared" si="9"/>
        <v xml:space="preserve">SELECT count(*) AS NUM_REG_DIF FROM (SELECT entty_id as entty_id_as_is, mnthl_incm_slr as mnthl_incm_slr_as_is FROM cd_loan_tapes_bce.lt003_entity WHERE ref_date='2024-09-30' AND nome_perimetro='Individual Corporativo' AND segmento='ESTR' AND ambito='PM' AND entidade='00100' ) A  Inner join (SELECT entty_id as entty_id_to_be, mnthl_incm_slr as mnthl_incm_slr_to_be FROM bu_loantape_work.lt003_entity WHERE ref_date='2024-09-30' AND nome_perimetro='Individual Corporativo' AND segmento='ESTR' AND ambito='PM' AND entidade='00100' ) B ON entty_id_as_is = entty_id_to_be WHERE coalesce(cast(mnthl_incm_slr_as_is as string), '') &lt;&gt; coalesce(cast(mnthl_incm_slr_to_be as string), '') </v>
      </c>
      <c r="M77" s="17" t="s">
        <v>55</v>
      </c>
      <c r="N77" s="17" t="str">
        <f>"SELECT 'Validação de campos' as tipologia_teste, '"&amp;VLOOKUP(B77,Instruções!$F$13:$J$17,3,0)&amp;"' AS TABELA, '"&amp;E77&amp;"' AS CAMPO, '"&amp;Instruções!$D$15&amp;"' as ref_date, coalesce(NUM_REG_DIF, 0) AS NUM_REG_DIF FROM ("&amp;L77&amp;") A "</f>
        <v xml:space="preserve">SELECT 'Validação de campos' as tipologia_teste, 'lt003_entity' AS TABELA, 'mnthl_incm_slr' AS CAMPO, '2024-09-30' as ref_date, coalesce(NUM_REG_DIF, 0) AS NUM_REG_DIF FROM (SELECT count(*) AS NUM_REG_DIF FROM (SELECT entty_id as entty_id_as_is, mnthl_incm_slr as mnthl_incm_slr_as_is FROM cd_loan_tapes_bce.lt003_entity WHERE ref_date='2024-09-30' AND nome_perimetro='Individual Corporativo' AND segmento='ESTR' AND ambito='PM' AND entidade='00100' ) A  Inner join (SELECT entty_id as entty_id_to_be, mnthl_incm_slr as mnthl_incm_slr_to_be FROM bu_loantape_work.lt003_entity WHERE ref_date='2024-09-30' AND nome_perimetro='Individual Corporativo' AND segmento='ESTR' AND ambito='PM' AND entidade='00100' ) B ON entty_id_as_is = entty_id_to_be WHERE coalesce(cast(mnthl_incm_slr_as_is as string), '') &lt;&gt; coalesce(cast(mnthl_incm_slr_to_be as string), '') ) A </v>
      </c>
      <c r="O77" s="19" t="str">
        <f t="shared" si="10"/>
        <v>SELECT 'Validação de campos' as tipologia_teste, 'lt003_entity' AS TABELA, 'mnthl_incm_slr' AS CAMPO, '2024-09-30' as ref_date, coalesce(NUM_REG_DIF, 0) AS NUM_REG_DIF FROM (SELECT count(*) AS NUM_REG_DIF FROM (SELECT entty_id as entty_id_as_is, mnthl_incm_slr as mnthl_incm_slr_as_is FROM cd_loan_tapes_bce.lt003_entity WHERE ref_date='2024-09-30' AND nome_perimetro='Individual Corporativo' AND segmento='ESTR' AND ambito='PM' AND entidade='00100' ) A  Inner join (SELECT entty_id as entty_id_to_be, mnthl_incm_slr as mnthl_incm_slr_to_be FROM bu_loantape_work.lt003_entity WHERE ref_date='2024-09-30' AND nome_perimetro='Individual Corporativo' AND segmento='ESTR' AND ambito='PM' AND entidade='00100' ) B ON entty_id_as_is = entty_id_to_be WHERE coalesce(cast(mnthl_incm_slr_as_is as string), '') &lt;&gt; coalesce(cast(mnthl_incm_slr_to_be as string), '') ) A UNION ALL</v>
      </c>
      <c r="P77" s="17">
        <f t="shared" si="11"/>
        <v>23</v>
      </c>
    </row>
    <row r="78" spans="2:16" s="15" customFormat="1" ht="11.45">
      <c r="B78" s="17" t="s">
        <v>11</v>
      </c>
      <c r="C78" s="17" t="str">
        <f>_xlfn.CONCAT(Instruções!$D$13,".",VLOOKUP(B78,Instruções!$F$12:$H$17,2,0))</f>
        <v>cd_loan_tapes_bce.lt003_entity</v>
      </c>
      <c r="D78" s="17" t="str">
        <f>_xlfn.CONCAT(Instruções!$D$14,".",VLOOKUP(B78,Instruções!$F$12:$H$17,3,0))</f>
        <v>bu_loantape_work.lt003_entity</v>
      </c>
      <c r="E78" s="17" t="s">
        <v>132</v>
      </c>
      <c r="F78" s="17" t="str">
        <f t="shared" si="6"/>
        <v>mnthl_trnvr_as_is</v>
      </c>
      <c r="G78" s="17" t="str">
        <f t="shared" si="7"/>
        <v>mnthl_trnvr_to_be</v>
      </c>
      <c r="H78" s="17" t="str">
        <f>IF(VLOOKUP(B78,Instruções!$F$13:$J$17,5,0)="",
"(SELECT "&amp;VLOOKUP(B78,Instruções!$F$13:$J$17,4,0)&amp;" as "&amp;VLOOKUP(B78,Instruções!$F$13:$J$17,4,0)&amp;"_"&amp;$F$2&amp;", "&amp;E78&amp;" as "&amp;F78&amp;" FROM "&amp;C78&amp;" WHERE "&amp;Instruções!$D$20&amp;") A ",
"(SELECT "&amp;VLOOKUP(B78,Instruções!$F$13:$J$17,4,0)&amp;" as "&amp;VLOOKUP(B78,Instruções!$F$13:$J$17,4,0)&amp;"_"&amp;$F$2&amp;", "&amp;VLOOKUP(B78,Instruções!$F$13:$J$17,5,0)&amp;" as "&amp;VLOOKUP(B78,Instruções!$F$13:$J$17,5,0)&amp;"_"&amp;$F$2&amp;","&amp;E78&amp;" as "&amp;F78&amp;" FROM "&amp;C78&amp;" WHERE "&amp;Instruções!$D$20&amp;") A ")</f>
        <v xml:space="preserve">(SELECT entty_id as entty_id_as_is, mnthl_trnvr as mnthl_trnvr_as_is FROM cd_loan_tapes_bce.lt003_entity WHERE ref_date='2024-09-30' AND nome_perimetro='Individual Corporativo' AND segmento='ESTR' AND ambito='PM' AND entidade='00100' ) A </v>
      </c>
      <c r="I78" s="17" t="str">
        <f>IF(VLOOKUP(B78,Instruções!$F$13:$J$17,5,0)="",
"(SELECT "&amp;VLOOKUP(B78,Instruções!$F$13:$J$17,4,0)&amp;" as "&amp;VLOOKUP(B78,Instruções!$F$13:$J$17,4,0)&amp;"_"&amp;$G$2&amp;", "&amp;E78&amp;" as "&amp;G78&amp;" FROM "&amp;D78&amp;" WHERE "&amp;Instruções!$D$21&amp;") B ",
"(SELECT "&amp;VLOOKUP(B78,Instruções!$F$13:$J$17,4,0)&amp;" as "&amp;VLOOKUP(B78,Instruções!$F$13:$J$17,4,0)&amp;"_"&amp;$G$2&amp;", "&amp;VLOOKUP(B78,Instruções!$F$13:$J$17,5,0)&amp;" as "&amp;VLOOKUP(B78,Instruções!$F$13:$J$17,5,0)&amp;"_"&amp;$G$2&amp;","&amp;E78&amp;" as "&amp;G78&amp;" FROM "&amp;D78&amp;" WHERE "&amp;Instruções!$D$21&amp;") B ")</f>
        <v xml:space="preserve">(SELECT entty_id as entty_id_to_be, mnthl_trnvr as mnthl_trnvr_to_be FROM bu_loantape_work.lt003_entity WHERE ref_date='2024-09-30' AND nome_perimetro='Individual Corporativo' AND segmento='ESTR' AND ambito='PM' AND entidade='00100' ) B </v>
      </c>
      <c r="J78" s="17" t="str">
        <f>IF(VLOOKUP(B78,Instruções!$F$13:$J$17,5,0)="",
"ON "&amp;VLOOKUP(B78,Instruções!$F$13:$J$17,4,0)&amp;"_"&amp;$F$2&amp;" = "&amp;VLOOKUP(B78,Instruções!$F$13:$J$17,4,0)&amp;"_"&amp;$G$2&amp;" ",
"ON "&amp;VLOOKUP(B78,Instruções!$F$13:$J$17,4,0)&amp;"_"&amp;$F$2&amp;" = "&amp;VLOOKUP(B78,Instruções!$F$13:$J$17,4,0)&amp;"_"&amp;$G$2&amp;" AND "&amp;VLOOKUP(B78,Instruções!$F$13:$J$17,5,0)&amp;"_"&amp;$F$2&amp;" = "&amp;VLOOKUP(B78,Instruções!$F$13:$J$17,5,0)&amp;"_"&amp;$G$2&amp;" ")</f>
        <v xml:space="preserve">ON entty_id_as_is = entty_id_to_be </v>
      </c>
      <c r="K78" s="17" t="str">
        <f t="shared" si="8"/>
        <v xml:space="preserve">WHERE coalesce(cast(mnthl_trnvr_as_is as string), '') &lt;&gt; coalesce(cast(mnthl_trnvr_to_be as string), '') </v>
      </c>
      <c r="L78" s="17" t="str">
        <f t="shared" si="9"/>
        <v xml:space="preserve">SELECT count(*) AS NUM_REG_DIF FROM (SELECT entty_id as entty_id_as_is, mnthl_trnvr as mnthl_trnvr_as_is FROM cd_loan_tapes_bce.lt003_entity WHERE ref_date='2024-09-30' AND nome_perimetro='Individual Corporativo' AND segmento='ESTR' AND ambito='PM' AND entidade='00100' ) A  Inner join (SELECT entty_id as entty_id_to_be, mnthl_trnvr as mnthl_trnvr_to_be FROM bu_loantape_work.lt003_entity WHERE ref_date='2024-09-30' AND nome_perimetro='Individual Corporativo' AND segmento='ESTR' AND ambito='PM' AND entidade='00100' ) B ON entty_id_as_is = entty_id_to_be WHERE coalesce(cast(mnthl_trnvr_as_is as string), '') &lt;&gt; coalesce(cast(mnthl_trnvr_to_be as string), '') </v>
      </c>
      <c r="M78" s="17" t="s">
        <v>55</v>
      </c>
      <c r="N78" s="17" t="str">
        <f>"SELECT 'Validação de campos' as tipologia_teste, '"&amp;VLOOKUP(B78,Instruções!$F$13:$J$17,3,0)&amp;"' AS TABELA, '"&amp;E78&amp;"' AS CAMPO, '"&amp;Instruções!$D$15&amp;"' as ref_date, coalesce(NUM_REG_DIF, 0) AS NUM_REG_DIF FROM ("&amp;L78&amp;") A "</f>
        <v xml:space="preserve">SELECT 'Validação de campos' as tipologia_teste, 'lt003_entity' AS TABELA, 'mnthl_trnvr' AS CAMPO, '2024-09-30' as ref_date, coalesce(NUM_REG_DIF, 0) AS NUM_REG_DIF FROM (SELECT count(*) AS NUM_REG_DIF FROM (SELECT entty_id as entty_id_as_is, mnthl_trnvr as mnthl_trnvr_as_is FROM cd_loan_tapes_bce.lt003_entity WHERE ref_date='2024-09-30' AND nome_perimetro='Individual Corporativo' AND segmento='ESTR' AND ambito='PM' AND entidade='00100' ) A  Inner join (SELECT entty_id as entty_id_to_be, mnthl_trnvr as mnthl_trnvr_to_be FROM bu_loantape_work.lt003_entity WHERE ref_date='2024-09-30' AND nome_perimetro='Individual Corporativo' AND segmento='ESTR' AND ambito='PM' AND entidade='00100' ) B ON entty_id_as_is = entty_id_to_be WHERE coalesce(cast(mnthl_trnvr_as_is as string), '') &lt;&gt; coalesce(cast(mnthl_trnvr_to_be as string), '') ) A </v>
      </c>
      <c r="O78" s="19" t="str">
        <f t="shared" si="10"/>
        <v>SELECT 'Validação de campos' as tipologia_teste, 'lt003_entity' AS TABELA, 'mnthl_trnvr' AS CAMPO, '2024-09-30' as ref_date, coalesce(NUM_REG_DIF, 0) AS NUM_REG_DIF FROM (SELECT count(*) AS NUM_REG_DIF FROM (SELECT entty_id as entty_id_as_is, mnthl_trnvr as mnthl_trnvr_as_is FROM cd_loan_tapes_bce.lt003_entity WHERE ref_date='2024-09-30' AND nome_perimetro='Individual Corporativo' AND segmento='ESTR' AND ambito='PM' AND entidade='00100' ) A  Inner join (SELECT entty_id as entty_id_to_be, mnthl_trnvr as mnthl_trnvr_to_be FROM bu_loantape_work.lt003_entity WHERE ref_date='2024-09-30' AND nome_perimetro='Individual Corporativo' AND segmento='ESTR' AND ambito='PM' AND entidade='00100' ) B ON entty_id_as_is = entty_id_to_be WHERE coalesce(cast(mnthl_trnvr_as_is as string), '') &lt;&gt; coalesce(cast(mnthl_trnvr_to_be as string), '') ) A UNION ALL</v>
      </c>
      <c r="P78" s="17">
        <f t="shared" si="11"/>
        <v>24</v>
      </c>
    </row>
    <row r="79" spans="2:16" s="15" customFormat="1" ht="11.45">
      <c r="B79" s="17" t="s">
        <v>11</v>
      </c>
      <c r="C79" s="17" t="str">
        <f>_xlfn.CONCAT(Instruções!$D$13,".",VLOOKUP(B79,Instruções!$F$12:$H$17,2,0))</f>
        <v>cd_loan_tapes_bce.lt003_entity</v>
      </c>
      <c r="D79" s="17" t="str">
        <f>_xlfn.CONCAT(Instruções!$D$14,".",VLOOKUP(B79,Instruções!$F$12:$H$17,3,0))</f>
        <v>bu_loantape_work.lt003_entity</v>
      </c>
      <c r="E79" s="17" t="s">
        <v>133</v>
      </c>
      <c r="F79" s="17" t="str">
        <f t="shared" si="6"/>
        <v>nt_incm_as_is</v>
      </c>
      <c r="G79" s="17" t="str">
        <f t="shared" si="7"/>
        <v>nt_incm_to_be</v>
      </c>
      <c r="H79" s="17" t="str">
        <f>IF(VLOOKUP(B79,Instruções!$F$13:$J$17,5,0)="",
"(SELECT "&amp;VLOOKUP(B79,Instruções!$F$13:$J$17,4,0)&amp;" as "&amp;VLOOKUP(B79,Instruções!$F$13:$J$17,4,0)&amp;"_"&amp;$F$2&amp;", "&amp;E79&amp;" as "&amp;F79&amp;" FROM "&amp;C79&amp;" WHERE "&amp;Instruções!$D$20&amp;") A ",
"(SELECT "&amp;VLOOKUP(B79,Instruções!$F$13:$J$17,4,0)&amp;" as "&amp;VLOOKUP(B79,Instruções!$F$13:$J$17,4,0)&amp;"_"&amp;$F$2&amp;", "&amp;VLOOKUP(B79,Instruções!$F$13:$J$17,5,0)&amp;" as "&amp;VLOOKUP(B79,Instruções!$F$13:$J$17,5,0)&amp;"_"&amp;$F$2&amp;","&amp;E79&amp;" as "&amp;F79&amp;" FROM "&amp;C79&amp;" WHERE "&amp;Instruções!$D$20&amp;") A ")</f>
        <v xml:space="preserve">(SELECT entty_id as entty_id_as_is, nt_incm as nt_incm_as_is FROM cd_loan_tapes_bce.lt003_entity WHERE ref_date='2024-09-30' AND nome_perimetro='Individual Corporativo' AND segmento='ESTR' AND ambito='PM' AND entidade='00100' ) A </v>
      </c>
      <c r="I79" s="17" t="str">
        <f>IF(VLOOKUP(B79,Instruções!$F$13:$J$17,5,0)="",
"(SELECT "&amp;VLOOKUP(B79,Instruções!$F$13:$J$17,4,0)&amp;" as "&amp;VLOOKUP(B79,Instruções!$F$13:$J$17,4,0)&amp;"_"&amp;$G$2&amp;", "&amp;E79&amp;" as "&amp;G79&amp;" FROM "&amp;D79&amp;" WHERE "&amp;Instruções!$D$21&amp;") B ",
"(SELECT "&amp;VLOOKUP(B79,Instruções!$F$13:$J$17,4,0)&amp;" as "&amp;VLOOKUP(B79,Instruções!$F$13:$J$17,4,0)&amp;"_"&amp;$G$2&amp;", "&amp;VLOOKUP(B79,Instruções!$F$13:$J$17,5,0)&amp;" as "&amp;VLOOKUP(B79,Instruções!$F$13:$J$17,5,0)&amp;"_"&amp;$G$2&amp;","&amp;E79&amp;" as "&amp;G79&amp;" FROM "&amp;D79&amp;" WHERE "&amp;Instruções!$D$21&amp;") B ")</f>
        <v xml:space="preserve">(SELECT entty_id as entty_id_to_be, nt_incm as nt_incm_to_be FROM bu_loantape_work.lt003_entity WHERE ref_date='2024-09-30' AND nome_perimetro='Individual Corporativo' AND segmento='ESTR' AND ambito='PM' AND entidade='00100' ) B </v>
      </c>
      <c r="J79" s="17" t="str">
        <f>IF(VLOOKUP(B79,Instruções!$F$13:$J$17,5,0)="",
"ON "&amp;VLOOKUP(B79,Instruções!$F$13:$J$17,4,0)&amp;"_"&amp;$F$2&amp;" = "&amp;VLOOKUP(B79,Instruções!$F$13:$J$17,4,0)&amp;"_"&amp;$G$2&amp;" ",
"ON "&amp;VLOOKUP(B79,Instruções!$F$13:$J$17,4,0)&amp;"_"&amp;$F$2&amp;" = "&amp;VLOOKUP(B79,Instruções!$F$13:$J$17,4,0)&amp;"_"&amp;$G$2&amp;" AND "&amp;VLOOKUP(B79,Instruções!$F$13:$J$17,5,0)&amp;"_"&amp;$F$2&amp;" = "&amp;VLOOKUP(B79,Instruções!$F$13:$J$17,5,0)&amp;"_"&amp;$G$2&amp;" ")</f>
        <v xml:space="preserve">ON entty_id_as_is = entty_id_to_be </v>
      </c>
      <c r="K79" s="17" t="str">
        <f t="shared" si="8"/>
        <v xml:space="preserve">WHERE coalesce(cast(nt_incm_as_is as string), '') &lt;&gt; coalesce(cast(nt_incm_to_be as string), '') </v>
      </c>
      <c r="L79" s="17" t="str">
        <f t="shared" si="9"/>
        <v xml:space="preserve">SELECT count(*) AS NUM_REG_DIF FROM (SELECT entty_id as entty_id_as_is, nt_incm as nt_incm_as_is FROM cd_loan_tapes_bce.lt003_entity WHERE ref_date='2024-09-30' AND nome_perimetro='Individual Corporativo' AND segmento='ESTR' AND ambito='PM' AND entidade='00100' ) A  Inner join (SELECT entty_id as entty_id_to_be, nt_incm as nt_incm_to_be FROM bu_loantape_work.lt003_entity WHERE ref_date='2024-09-30' AND nome_perimetro='Individual Corporativo' AND segmento='ESTR' AND ambito='PM' AND entidade='00100' ) B ON entty_id_as_is = entty_id_to_be WHERE coalesce(cast(nt_incm_as_is as string), '') &lt;&gt; coalesce(cast(nt_incm_to_be as string), '') </v>
      </c>
      <c r="M79" s="17" t="s">
        <v>55</v>
      </c>
      <c r="N79" s="17" t="str">
        <f>"SELECT 'Validação de campos' as tipologia_teste, '"&amp;VLOOKUP(B79,Instruções!$F$13:$J$17,3,0)&amp;"' AS TABELA, '"&amp;E79&amp;"' AS CAMPO, '"&amp;Instruções!$D$15&amp;"' as ref_date, coalesce(NUM_REG_DIF, 0) AS NUM_REG_DIF FROM ("&amp;L79&amp;") A "</f>
        <v xml:space="preserve">SELECT 'Validação de campos' as tipologia_teste, 'lt003_entity' AS TABELA, 'nt_incm' AS CAMPO, '2024-09-30' as ref_date, coalesce(NUM_REG_DIF, 0) AS NUM_REG_DIF FROM (SELECT count(*) AS NUM_REG_DIF FROM (SELECT entty_id as entty_id_as_is, nt_incm as nt_incm_as_is FROM cd_loan_tapes_bce.lt003_entity WHERE ref_date='2024-09-30' AND nome_perimetro='Individual Corporativo' AND segmento='ESTR' AND ambito='PM' AND entidade='00100' ) A  Inner join (SELECT entty_id as entty_id_to_be, nt_incm as nt_incm_to_be FROM bu_loantape_work.lt003_entity WHERE ref_date='2024-09-30' AND nome_perimetro='Individual Corporativo' AND segmento='ESTR' AND ambito='PM' AND entidade='00100' ) B ON entty_id_as_is = entty_id_to_be WHERE coalesce(cast(nt_incm_as_is as string), '') &lt;&gt; coalesce(cast(nt_incm_to_be as string), '') ) A </v>
      </c>
      <c r="O79" s="19" t="str">
        <f t="shared" si="10"/>
        <v>SELECT 'Validação de campos' as tipologia_teste, 'lt003_entity' AS TABELA, 'nt_incm' AS CAMPO, '2024-09-30' as ref_date, coalesce(NUM_REG_DIF, 0) AS NUM_REG_DIF FROM (SELECT count(*) AS NUM_REG_DIF FROM (SELECT entty_id as entty_id_as_is, nt_incm as nt_incm_as_is FROM cd_loan_tapes_bce.lt003_entity WHERE ref_date='2024-09-30' AND nome_perimetro='Individual Corporativo' AND segmento='ESTR' AND ambito='PM' AND entidade='00100' ) A  Inner join (SELECT entty_id as entty_id_to_be, nt_incm as nt_incm_to_be FROM bu_loantape_work.lt003_entity WHERE ref_date='2024-09-30' AND nome_perimetro='Individual Corporativo' AND segmento='ESTR' AND ambito='PM' AND entidade='00100' ) B ON entty_id_as_is = entty_id_to_be WHERE coalesce(cast(nt_incm_as_is as string), '') &lt;&gt; coalesce(cast(nt_incm_to_be as string), '') ) A UNION ALL</v>
      </c>
      <c r="P79" s="17">
        <f t="shared" si="11"/>
        <v>25</v>
      </c>
    </row>
    <row r="80" spans="2:16" s="15" customFormat="1" ht="11.45">
      <c r="B80" s="17" t="s">
        <v>11</v>
      </c>
      <c r="C80" s="17" t="str">
        <f>_xlfn.CONCAT(Instruções!$D$13,".",VLOOKUP(B80,Instruções!$F$12:$H$17,2,0))</f>
        <v>cd_loan_tapes_bce.lt003_entity</v>
      </c>
      <c r="D80" s="17" t="str">
        <f>_xlfn.CONCAT(Instruções!$D$14,".",VLOOKUP(B80,Instruções!$F$12:$H$17,3,0))</f>
        <v>bu_loantape_work.lt003_entity</v>
      </c>
      <c r="E80" s="17" t="s">
        <v>134</v>
      </c>
      <c r="F80" s="17" t="str">
        <f t="shared" si="6"/>
        <v>nt_incm_prvs_as_is</v>
      </c>
      <c r="G80" s="17" t="str">
        <f t="shared" si="7"/>
        <v>nt_incm_prvs_to_be</v>
      </c>
      <c r="H80" s="17" t="str">
        <f>IF(VLOOKUP(B80,Instruções!$F$13:$J$17,5,0)="",
"(SELECT "&amp;VLOOKUP(B80,Instruções!$F$13:$J$17,4,0)&amp;" as "&amp;VLOOKUP(B80,Instruções!$F$13:$J$17,4,0)&amp;"_"&amp;$F$2&amp;", "&amp;E80&amp;" as "&amp;F80&amp;" FROM "&amp;C80&amp;" WHERE "&amp;Instruções!$D$20&amp;") A ",
"(SELECT "&amp;VLOOKUP(B80,Instruções!$F$13:$J$17,4,0)&amp;" as "&amp;VLOOKUP(B80,Instruções!$F$13:$J$17,4,0)&amp;"_"&amp;$F$2&amp;", "&amp;VLOOKUP(B80,Instruções!$F$13:$J$17,5,0)&amp;" as "&amp;VLOOKUP(B80,Instruções!$F$13:$J$17,5,0)&amp;"_"&amp;$F$2&amp;","&amp;E80&amp;" as "&amp;F80&amp;" FROM "&amp;C80&amp;" WHERE "&amp;Instruções!$D$20&amp;") A ")</f>
        <v xml:space="preserve">(SELECT entty_id as entty_id_as_is, nt_incm_prvs as nt_incm_prvs_as_is FROM cd_loan_tapes_bce.lt003_entity WHERE ref_date='2024-09-30' AND nome_perimetro='Individual Corporativo' AND segmento='ESTR' AND ambito='PM' AND entidade='00100' ) A </v>
      </c>
      <c r="I80" s="17" t="str">
        <f>IF(VLOOKUP(B80,Instruções!$F$13:$J$17,5,0)="",
"(SELECT "&amp;VLOOKUP(B80,Instruções!$F$13:$J$17,4,0)&amp;" as "&amp;VLOOKUP(B80,Instruções!$F$13:$J$17,4,0)&amp;"_"&amp;$G$2&amp;", "&amp;E80&amp;" as "&amp;G80&amp;" FROM "&amp;D80&amp;" WHERE "&amp;Instruções!$D$21&amp;") B ",
"(SELECT "&amp;VLOOKUP(B80,Instruções!$F$13:$J$17,4,0)&amp;" as "&amp;VLOOKUP(B80,Instruções!$F$13:$J$17,4,0)&amp;"_"&amp;$G$2&amp;", "&amp;VLOOKUP(B80,Instruções!$F$13:$J$17,5,0)&amp;" as "&amp;VLOOKUP(B80,Instruções!$F$13:$J$17,5,0)&amp;"_"&amp;$G$2&amp;","&amp;E80&amp;" as "&amp;G80&amp;" FROM "&amp;D80&amp;" WHERE "&amp;Instruções!$D$21&amp;") B ")</f>
        <v xml:space="preserve">(SELECT entty_id as entty_id_to_be, nt_incm_prvs as nt_incm_prvs_to_be FROM bu_loantape_work.lt003_entity WHERE ref_date='2024-09-30' AND nome_perimetro='Individual Corporativo' AND segmento='ESTR' AND ambito='PM' AND entidade='00100' ) B </v>
      </c>
      <c r="J80" s="17" t="str">
        <f>IF(VLOOKUP(B80,Instruções!$F$13:$J$17,5,0)="",
"ON "&amp;VLOOKUP(B80,Instruções!$F$13:$J$17,4,0)&amp;"_"&amp;$F$2&amp;" = "&amp;VLOOKUP(B80,Instruções!$F$13:$J$17,4,0)&amp;"_"&amp;$G$2&amp;" ",
"ON "&amp;VLOOKUP(B80,Instruções!$F$13:$J$17,4,0)&amp;"_"&amp;$F$2&amp;" = "&amp;VLOOKUP(B80,Instruções!$F$13:$J$17,4,0)&amp;"_"&amp;$G$2&amp;" AND "&amp;VLOOKUP(B80,Instruções!$F$13:$J$17,5,0)&amp;"_"&amp;$F$2&amp;" = "&amp;VLOOKUP(B80,Instruções!$F$13:$J$17,5,0)&amp;"_"&amp;$G$2&amp;" ")</f>
        <v xml:space="preserve">ON entty_id_as_is = entty_id_to_be </v>
      </c>
      <c r="K80" s="17" t="str">
        <f t="shared" si="8"/>
        <v xml:space="preserve">WHERE coalesce(cast(nt_incm_prvs_as_is as string), '') &lt;&gt; coalesce(cast(nt_incm_prvs_to_be as string), '') </v>
      </c>
      <c r="L80" s="17" t="str">
        <f t="shared" si="9"/>
        <v xml:space="preserve">SELECT count(*) AS NUM_REG_DIF FROM (SELECT entty_id as entty_id_as_is, nt_incm_prvs as nt_incm_prvs_as_is FROM cd_loan_tapes_bce.lt003_entity WHERE ref_date='2024-09-30' AND nome_perimetro='Individual Corporativo' AND segmento='ESTR' AND ambito='PM' AND entidade='00100' ) A  Inner join (SELECT entty_id as entty_id_to_be, nt_incm_prvs as nt_incm_prvs_to_be FROM bu_loantape_work.lt003_entity WHERE ref_date='2024-09-30' AND nome_perimetro='Individual Corporativo' AND segmento='ESTR' AND ambito='PM' AND entidade='00100' ) B ON entty_id_as_is = entty_id_to_be WHERE coalesce(cast(nt_incm_prvs_as_is as string), '') &lt;&gt; coalesce(cast(nt_incm_prvs_to_be as string), '') </v>
      </c>
      <c r="M80" s="17" t="s">
        <v>55</v>
      </c>
      <c r="N80" s="17" t="str">
        <f>"SELECT 'Validação de campos' as tipologia_teste, '"&amp;VLOOKUP(B80,Instruções!$F$13:$J$17,3,0)&amp;"' AS TABELA, '"&amp;E80&amp;"' AS CAMPO, '"&amp;Instruções!$D$15&amp;"' as ref_date, coalesce(NUM_REG_DIF, 0) AS NUM_REG_DIF FROM ("&amp;L80&amp;") A "</f>
        <v xml:space="preserve">SELECT 'Validação de campos' as tipologia_teste, 'lt003_entity' AS TABELA, 'nt_incm_prvs' AS CAMPO, '2024-09-30' as ref_date, coalesce(NUM_REG_DIF, 0) AS NUM_REG_DIF FROM (SELECT count(*) AS NUM_REG_DIF FROM (SELECT entty_id as entty_id_as_is, nt_incm_prvs as nt_incm_prvs_as_is FROM cd_loan_tapes_bce.lt003_entity WHERE ref_date='2024-09-30' AND nome_perimetro='Individual Corporativo' AND segmento='ESTR' AND ambito='PM' AND entidade='00100' ) A  Inner join (SELECT entty_id as entty_id_to_be, nt_incm_prvs as nt_incm_prvs_to_be FROM bu_loantape_work.lt003_entity WHERE ref_date='2024-09-30' AND nome_perimetro='Individual Corporativo' AND segmento='ESTR' AND ambito='PM' AND entidade='00100' ) B ON entty_id_as_is = entty_id_to_be WHERE coalesce(cast(nt_incm_prvs_as_is as string), '') &lt;&gt; coalesce(cast(nt_incm_prvs_to_be as string), '') ) A </v>
      </c>
      <c r="O80" s="19" t="str">
        <f t="shared" si="10"/>
        <v>SELECT 'Validação de campos' as tipologia_teste, 'lt003_entity' AS TABELA, 'nt_incm_prvs' AS CAMPO, '2024-09-30' as ref_date, coalesce(NUM_REG_DIF, 0) AS NUM_REG_DIF FROM (SELECT count(*) AS NUM_REG_DIF FROM (SELECT entty_id as entty_id_as_is, nt_incm_prvs as nt_incm_prvs_as_is FROM cd_loan_tapes_bce.lt003_entity WHERE ref_date='2024-09-30' AND nome_perimetro='Individual Corporativo' AND segmento='ESTR' AND ambito='PM' AND entidade='00100' ) A  Inner join (SELECT entty_id as entty_id_to_be, nt_incm_prvs as nt_incm_prvs_to_be FROM bu_loantape_work.lt003_entity WHERE ref_date='2024-09-30' AND nome_perimetro='Individual Corporativo' AND segmento='ESTR' AND ambito='PM' AND entidade='00100' ) B ON entty_id_as_is = entty_id_to_be WHERE coalesce(cast(nt_incm_prvs_as_is as string), '') &lt;&gt; coalesce(cast(nt_incm_prvs_to_be as string), '') ) A UNION ALL</v>
      </c>
      <c r="P80" s="17">
        <f t="shared" si="11"/>
        <v>26</v>
      </c>
    </row>
    <row r="81" spans="2:16" s="15" customFormat="1" ht="11.45">
      <c r="B81" s="17" t="s">
        <v>11</v>
      </c>
      <c r="C81" s="17" t="str">
        <f>_xlfn.CONCAT(Instruções!$D$13,".",VLOOKUP(B81,Instruções!$F$12:$H$17,2,0))</f>
        <v>cd_loan_tapes_bce.lt003_entity</v>
      </c>
      <c r="D81" s="17" t="str">
        <f>_xlfn.CONCAT(Instruções!$D$14,".",VLOOKUP(B81,Instruções!$F$12:$H$17,3,0))</f>
        <v>bu_loantape_work.lt003_entity</v>
      </c>
      <c r="E81" s="17" t="s">
        <v>135</v>
      </c>
      <c r="F81" s="17" t="str">
        <f t="shared" si="6"/>
        <v>osi_id_as_is</v>
      </c>
      <c r="G81" s="17" t="str">
        <f t="shared" si="7"/>
        <v>osi_id_to_be</v>
      </c>
      <c r="H81" s="17" t="str">
        <f>IF(VLOOKUP(B81,Instruções!$F$13:$J$17,5,0)="",
"(SELECT "&amp;VLOOKUP(B81,Instruções!$F$13:$J$17,4,0)&amp;" as "&amp;VLOOKUP(B81,Instruções!$F$13:$J$17,4,0)&amp;"_"&amp;$F$2&amp;", "&amp;E81&amp;" as "&amp;F81&amp;" FROM "&amp;C81&amp;" WHERE "&amp;Instruções!$D$20&amp;") A ",
"(SELECT "&amp;VLOOKUP(B81,Instruções!$F$13:$J$17,4,0)&amp;" as "&amp;VLOOKUP(B81,Instruções!$F$13:$J$17,4,0)&amp;"_"&amp;$F$2&amp;", "&amp;VLOOKUP(B81,Instruções!$F$13:$J$17,5,0)&amp;" as "&amp;VLOOKUP(B81,Instruções!$F$13:$J$17,5,0)&amp;"_"&amp;$F$2&amp;","&amp;E81&amp;" as "&amp;F81&amp;" FROM "&amp;C81&amp;" WHERE "&amp;Instruções!$D$20&amp;") A ")</f>
        <v xml:space="preserve">(SELECT entty_id as entty_id_as_is, osi_id as osi_id_as_is FROM cd_loan_tapes_bce.lt003_entity WHERE ref_date='2024-09-30' AND nome_perimetro='Individual Corporativo' AND segmento='ESTR' AND ambito='PM' AND entidade='00100' ) A </v>
      </c>
      <c r="I81" s="17" t="str">
        <f>IF(VLOOKUP(B81,Instruções!$F$13:$J$17,5,0)="",
"(SELECT "&amp;VLOOKUP(B81,Instruções!$F$13:$J$17,4,0)&amp;" as "&amp;VLOOKUP(B81,Instruções!$F$13:$J$17,4,0)&amp;"_"&amp;$G$2&amp;", "&amp;E81&amp;" as "&amp;G81&amp;" FROM "&amp;D81&amp;" WHERE "&amp;Instruções!$D$21&amp;") B ",
"(SELECT "&amp;VLOOKUP(B81,Instruções!$F$13:$J$17,4,0)&amp;" as "&amp;VLOOKUP(B81,Instruções!$F$13:$J$17,4,0)&amp;"_"&amp;$G$2&amp;", "&amp;VLOOKUP(B81,Instruções!$F$13:$J$17,5,0)&amp;" as "&amp;VLOOKUP(B81,Instruções!$F$13:$J$17,5,0)&amp;"_"&amp;$G$2&amp;","&amp;E81&amp;" as "&amp;G81&amp;" FROM "&amp;D81&amp;" WHERE "&amp;Instruções!$D$21&amp;") B ")</f>
        <v xml:space="preserve">(SELECT entty_id as entty_id_to_be, osi_id as osi_id_to_be FROM bu_loantape_work.lt003_entity WHERE ref_date='2024-09-30' AND nome_perimetro='Individual Corporativo' AND segmento='ESTR' AND ambito='PM' AND entidade='00100' ) B </v>
      </c>
      <c r="J81" s="17" t="str">
        <f>IF(VLOOKUP(B81,Instruções!$F$13:$J$17,5,0)="",
"ON "&amp;VLOOKUP(B81,Instruções!$F$13:$J$17,4,0)&amp;"_"&amp;$F$2&amp;" = "&amp;VLOOKUP(B81,Instruções!$F$13:$J$17,4,0)&amp;"_"&amp;$G$2&amp;" ",
"ON "&amp;VLOOKUP(B81,Instruções!$F$13:$J$17,4,0)&amp;"_"&amp;$F$2&amp;" = "&amp;VLOOKUP(B81,Instruções!$F$13:$J$17,4,0)&amp;"_"&amp;$G$2&amp;" AND "&amp;VLOOKUP(B81,Instruções!$F$13:$J$17,5,0)&amp;"_"&amp;$F$2&amp;" = "&amp;VLOOKUP(B81,Instruções!$F$13:$J$17,5,0)&amp;"_"&amp;$G$2&amp;" ")</f>
        <v xml:space="preserve">ON entty_id_as_is = entty_id_to_be </v>
      </c>
      <c r="K81" s="17" t="str">
        <f t="shared" si="8"/>
        <v xml:space="preserve">WHERE coalesce(cast(osi_id_as_is as string), '') &lt;&gt; coalesce(cast(osi_id_to_be as string), '') </v>
      </c>
      <c r="L81" s="17" t="str">
        <f t="shared" si="9"/>
        <v xml:space="preserve">SELECT count(*) AS NUM_REG_DIF FROM (SELECT entty_id as entty_id_as_is, osi_id as osi_id_as_is FROM cd_loan_tapes_bce.lt003_entity WHERE ref_date='2024-09-30' AND nome_perimetro='Individual Corporativo' AND segmento='ESTR' AND ambito='PM' AND entidade='00100' ) A  Inner join (SELECT entty_id as entty_id_to_be, osi_id as osi_id_to_be FROM bu_loantape_work.lt003_entity WHERE ref_date='2024-09-30' AND nome_perimetro='Individual Corporativo' AND segmento='ESTR' AND ambito='PM' AND entidade='00100' ) B ON entty_id_as_is = entty_id_to_be WHERE coalesce(cast(osi_id_as_is as string), '') &lt;&gt; coalesce(cast(osi_id_to_be as string), '') </v>
      </c>
      <c r="M81" s="17" t="s">
        <v>55</v>
      </c>
      <c r="N81" s="17" t="str">
        <f>"SELECT 'Validação de campos' as tipologia_teste, '"&amp;VLOOKUP(B81,Instruções!$F$13:$J$17,3,0)&amp;"' AS TABELA, '"&amp;E81&amp;"' AS CAMPO, '"&amp;Instruções!$D$15&amp;"' as ref_date, coalesce(NUM_REG_DIF, 0) AS NUM_REG_DIF FROM ("&amp;L81&amp;") A "</f>
        <v xml:space="preserve">SELECT 'Validação de campos' as tipologia_teste, 'lt003_entity' AS TABELA, 'osi_id' AS CAMPO, '2024-09-30' as ref_date, coalesce(NUM_REG_DIF, 0) AS NUM_REG_DIF FROM (SELECT count(*) AS NUM_REG_DIF FROM (SELECT entty_id as entty_id_as_is, osi_id as osi_id_as_is FROM cd_loan_tapes_bce.lt003_entity WHERE ref_date='2024-09-30' AND nome_perimetro='Individual Corporativo' AND segmento='ESTR' AND ambito='PM' AND entidade='00100' ) A  Inner join (SELECT entty_id as entty_id_to_be, osi_id as osi_id_to_be FROM bu_loantape_work.lt003_entity WHERE ref_date='2024-09-30' AND nome_perimetro='Individual Corporativo' AND segmento='ESTR' AND ambito='PM' AND entidade='00100' ) B ON entty_id_as_is = entty_id_to_be WHERE coalesce(cast(osi_id_as_is as string), '') &lt;&gt; coalesce(cast(osi_id_to_be as string), '') ) A </v>
      </c>
      <c r="O81" s="19" t="str">
        <f t="shared" si="10"/>
        <v>SELECT 'Validação de campos' as tipologia_teste, 'lt003_entity' AS TABELA, 'osi_id' AS CAMPO, '2024-09-30' as ref_date, coalesce(NUM_REG_DIF, 0) AS NUM_REG_DIF FROM (SELECT count(*) AS NUM_REG_DIF FROM (SELECT entty_id as entty_id_as_is, osi_id as osi_id_as_is FROM cd_loan_tapes_bce.lt003_entity WHERE ref_date='2024-09-30' AND nome_perimetro='Individual Corporativo' AND segmento='ESTR' AND ambito='PM' AND entidade='00100' ) A  Inner join (SELECT entty_id as entty_id_to_be, osi_id as osi_id_to_be FROM bu_loantape_work.lt003_entity WHERE ref_date='2024-09-30' AND nome_perimetro='Individual Corporativo' AND segmento='ESTR' AND ambito='PM' AND entidade='00100' ) B ON entty_id_as_is = entty_id_to_be WHERE coalesce(cast(osi_id_as_is as string), '') &lt;&gt; coalesce(cast(osi_id_to_be as string), '') ) A UNION ALL</v>
      </c>
      <c r="P81" s="17">
        <f t="shared" si="11"/>
        <v>27</v>
      </c>
    </row>
    <row r="82" spans="2:16" s="15" customFormat="1" ht="11.45">
      <c r="B82" s="17" t="s">
        <v>11</v>
      </c>
      <c r="C82" s="17" t="str">
        <f>_xlfn.CONCAT(Instruções!$D$13,".",VLOOKUP(B82,Instruções!$F$12:$H$17,2,0))</f>
        <v>cd_loan_tapes_bce.lt003_entity</v>
      </c>
      <c r="D82" s="17" t="str">
        <f>_xlfn.CONCAT(Instruções!$D$14,".",VLOOKUP(B82,Instruções!$F$12:$H$17,3,0))</f>
        <v>bu_loantape_work.lt003_entity</v>
      </c>
      <c r="E82" s="17" t="s">
        <v>136</v>
      </c>
      <c r="F82" s="17" t="str">
        <f t="shared" si="6"/>
        <v>ownd_by_spnsr_as_is</v>
      </c>
      <c r="G82" s="17" t="str">
        <f t="shared" si="7"/>
        <v>ownd_by_spnsr_to_be</v>
      </c>
      <c r="H82" s="17" t="str">
        <f>IF(VLOOKUP(B82,Instruções!$F$13:$J$17,5,0)="",
"(SELECT "&amp;VLOOKUP(B82,Instruções!$F$13:$J$17,4,0)&amp;" as "&amp;VLOOKUP(B82,Instruções!$F$13:$J$17,4,0)&amp;"_"&amp;$F$2&amp;", "&amp;E82&amp;" as "&amp;F82&amp;" FROM "&amp;C82&amp;" WHERE "&amp;Instruções!$D$20&amp;") A ",
"(SELECT "&amp;VLOOKUP(B82,Instruções!$F$13:$J$17,4,0)&amp;" as "&amp;VLOOKUP(B82,Instruções!$F$13:$J$17,4,0)&amp;"_"&amp;$F$2&amp;", "&amp;VLOOKUP(B82,Instruções!$F$13:$J$17,5,0)&amp;" as "&amp;VLOOKUP(B82,Instruções!$F$13:$J$17,5,0)&amp;"_"&amp;$F$2&amp;","&amp;E82&amp;" as "&amp;F82&amp;" FROM "&amp;C82&amp;" WHERE "&amp;Instruções!$D$20&amp;") A ")</f>
        <v xml:space="preserve">(SELECT entty_id as entty_id_as_is, ownd_by_spnsr as ownd_by_spnsr_as_is FROM cd_loan_tapes_bce.lt003_entity WHERE ref_date='2024-09-30' AND nome_perimetro='Individual Corporativo' AND segmento='ESTR' AND ambito='PM' AND entidade='00100' ) A </v>
      </c>
      <c r="I82" s="17" t="str">
        <f>IF(VLOOKUP(B82,Instruções!$F$13:$J$17,5,0)="",
"(SELECT "&amp;VLOOKUP(B82,Instruções!$F$13:$J$17,4,0)&amp;" as "&amp;VLOOKUP(B82,Instruções!$F$13:$J$17,4,0)&amp;"_"&amp;$G$2&amp;", "&amp;E82&amp;" as "&amp;G82&amp;" FROM "&amp;D82&amp;" WHERE "&amp;Instruções!$D$21&amp;") B ",
"(SELECT "&amp;VLOOKUP(B82,Instruções!$F$13:$J$17,4,0)&amp;" as "&amp;VLOOKUP(B82,Instruções!$F$13:$J$17,4,0)&amp;"_"&amp;$G$2&amp;", "&amp;VLOOKUP(B82,Instruções!$F$13:$J$17,5,0)&amp;" as "&amp;VLOOKUP(B82,Instruções!$F$13:$J$17,5,0)&amp;"_"&amp;$G$2&amp;","&amp;E82&amp;" as "&amp;G82&amp;" FROM "&amp;D82&amp;" WHERE "&amp;Instruções!$D$21&amp;") B ")</f>
        <v xml:space="preserve">(SELECT entty_id as entty_id_to_be, ownd_by_spnsr as ownd_by_spnsr_to_be FROM bu_loantape_work.lt003_entity WHERE ref_date='2024-09-30' AND nome_perimetro='Individual Corporativo' AND segmento='ESTR' AND ambito='PM' AND entidade='00100' ) B </v>
      </c>
      <c r="J82" s="17" t="str">
        <f>IF(VLOOKUP(B82,Instruções!$F$13:$J$17,5,0)="",
"ON "&amp;VLOOKUP(B82,Instruções!$F$13:$J$17,4,0)&amp;"_"&amp;$F$2&amp;" = "&amp;VLOOKUP(B82,Instruções!$F$13:$J$17,4,0)&amp;"_"&amp;$G$2&amp;" ",
"ON "&amp;VLOOKUP(B82,Instruções!$F$13:$J$17,4,0)&amp;"_"&amp;$F$2&amp;" = "&amp;VLOOKUP(B82,Instruções!$F$13:$J$17,4,0)&amp;"_"&amp;$G$2&amp;" AND "&amp;VLOOKUP(B82,Instruções!$F$13:$J$17,5,0)&amp;"_"&amp;$F$2&amp;" = "&amp;VLOOKUP(B82,Instruções!$F$13:$J$17,5,0)&amp;"_"&amp;$G$2&amp;" ")</f>
        <v xml:space="preserve">ON entty_id_as_is = entty_id_to_be </v>
      </c>
      <c r="K82" s="17" t="str">
        <f t="shared" si="8"/>
        <v xml:space="preserve">WHERE coalesce(cast(ownd_by_spnsr_as_is as string), '') &lt;&gt; coalesce(cast(ownd_by_spnsr_to_be as string), '') </v>
      </c>
      <c r="L82" s="17" t="str">
        <f t="shared" si="9"/>
        <v xml:space="preserve">SELECT count(*) AS NUM_REG_DIF FROM (SELECT entty_id as entty_id_as_is, ownd_by_spnsr as ownd_by_spnsr_as_is FROM cd_loan_tapes_bce.lt003_entity WHERE ref_date='2024-09-30' AND nome_perimetro='Individual Corporativo' AND segmento='ESTR' AND ambito='PM' AND entidade='00100' ) A  Inner join (SELECT entty_id as entty_id_to_be, ownd_by_spnsr as ownd_by_spnsr_to_be FROM bu_loantape_work.lt003_entity WHERE ref_date='2024-09-30' AND nome_perimetro='Individual Corporativo' AND segmento='ESTR' AND ambito='PM' AND entidade='00100' ) B ON entty_id_as_is = entty_id_to_be WHERE coalesce(cast(ownd_by_spnsr_as_is as string), '') &lt;&gt; coalesce(cast(ownd_by_spnsr_to_be as string), '') </v>
      </c>
      <c r="M82" s="17" t="s">
        <v>55</v>
      </c>
      <c r="N82" s="17" t="str">
        <f>"SELECT 'Validação de campos' as tipologia_teste, '"&amp;VLOOKUP(B82,Instruções!$F$13:$J$17,3,0)&amp;"' AS TABELA, '"&amp;E82&amp;"' AS CAMPO, '"&amp;Instruções!$D$15&amp;"' as ref_date, coalesce(NUM_REG_DIF, 0) AS NUM_REG_DIF FROM ("&amp;L82&amp;") A "</f>
        <v xml:space="preserve">SELECT 'Validação de campos' as tipologia_teste, 'lt003_entity' AS TABELA, 'ownd_by_spnsr' AS CAMPO, '2024-09-30' as ref_date, coalesce(NUM_REG_DIF, 0) AS NUM_REG_DIF FROM (SELECT count(*) AS NUM_REG_DIF FROM (SELECT entty_id as entty_id_as_is, ownd_by_spnsr as ownd_by_spnsr_as_is FROM cd_loan_tapes_bce.lt003_entity WHERE ref_date='2024-09-30' AND nome_perimetro='Individual Corporativo' AND segmento='ESTR' AND ambito='PM' AND entidade='00100' ) A  Inner join (SELECT entty_id as entty_id_to_be, ownd_by_spnsr as ownd_by_spnsr_to_be FROM bu_loantape_work.lt003_entity WHERE ref_date='2024-09-30' AND nome_perimetro='Individual Corporativo' AND segmento='ESTR' AND ambito='PM' AND entidade='00100' ) B ON entty_id_as_is = entty_id_to_be WHERE coalesce(cast(ownd_by_spnsr_as_is as string), '') &lt;&gt; coalesce(cast(ownd_by_spnsr_to_be as string), '') ) A </v>
      </c>
      <c r="O82" s="19" t="str">
        <f t="shared" si="10"/>
        <v>SELECT 'Validação de campos' as tipologia_teste, 'lt003_entity' AS TABELA, 'ownd_by_spnsr' AS CAMPO, '2024-09-30' as ref_date, coalesce(NUM_REG_DIF, 0) AS NUM_REG_DIF FROM (SELECT count(*) AS NUM_REG_DIF FROM (SELECT entty_id as entty_id_as_is, ownd_by_spnsr as ownd_by_spnsr_as_is FROM cd_loan_tapes_bce.lt003_entity WHERE ref_date='2024-09-30' AND nome_perimetro='Individual Corporativo' AND segmento='ESTR' AND ambito='PM' AND entidade='00100' ) A  Inner join (SELECT entty_id as entty_id_to_be, ownd_by_spnsr as ownd_by_spnsr_to_be FROM bu_loantape_work.lt003_entity WHERE ref_date='2024-09-30' AND nome_perimetro='Individual Corporativo' AND segmento='ESTR' AND ambito='PM' AND entidade='00100' ) B ON entty_id_as_is = entty_id_to_be WHERE coalesce(cast(ownd_by_spnsr_as_is as string), '') &lt;&gt; coalesce(cast(ownd_by_spnsr_to_be as string), '') ) A UNION ALL</v>
      </c>
      <c r="P82" s="17">
        <f t="shared" si="11"/>
        <v>28</v>
      </c>
    </row>
    <row r="83" spans="2:16" s="15" customFormat="1" ht="11.45">
      <c r="B83" s="17" t="s">
        <v>11</v>
      </c>
      <c r="C83" s="17" t="str">
        <f>_xlfn.CONCAT(Instruções!$D$13,".",VLOOKUP(B83,Instruções!$F$12:$H$17,2,0))</f>
        <v>cd_loan_tapes_bce.lt003_entity</v>
      </c>
      <c r="D83" s="17" t="str">
        <f>_xlfn.CONCAT(Instruções!$D$14,".",VLOOKUP(B83,Instruções!$F$12:$H$17,3,0))</f>
        <v>bu_loantape_work.lt003_entity</v>
      </c>
      <c r="E83" s="17" t="s">
        <v>137</v>
      </c>
      <c r="F83" s="17" t="str">
        <f t="shared" si="6"/>
        <v>pd_crr_rd_as_is</v>
      </c>
      <c r="G83" s="17" t="str">
        <f t="shared" si="7"/>
        <v>pd_crr_rd_to_be</v>
      </c>
      <c r="H83" s="17" t="str">
        <f>IF(VLOOKUP(B83,Instruções!$F$13:$J$17,5,0)="",
"(SELECT "&amp;VLOOKUP(B83,Instruções!$F$13:$J$17,4,0)&amp;" as "&amp;VLOOKUP(B83,Instruções!$F$13:$J$17,4,0)&amp;"_"&amp;$F$2&amp;", "&amp;E83&amp;" as "&amp;F83&amp;" FROM "&amp;C83&amp;" WHERE "&amp;Instruções!$D$20&amp;") A ",
"(SELECT "&amp;VLOOKUP(B83,Instruções!$F$13:$J$17,4,0)&amp;" as "&amp;VLOOKUP(B83,Instruções!$F$13:$J$17,4,0)&amp;"_"&amp;$F$2&amp;", "&amp;VLOOKUP(B83,Instruções!$F$13:$J$17,5,0)&amp;" as "&amp;VLOOKUP(B83,Instruções!$F$13:$J$17,5,0)&amp;"_"&amp;$F$2&amp;","&amp;E83&amp;" as "&amp;F83&amp;" FROM "&amp;C83&amp;" WHERE "&amp;Instruções!$D$20&amp;") A ")</f>
        <v xml:space="preserve">(SELECT entty_id as entty_id_as_is, pd_crr_rd as pd_crr_rd_as_is FROM cd_loan_tapes_bce.lt003_entity WHERE ref_date='2024-09-30' AND nome_perimetro='Individual Corporativo' AND segmento='ESTR' AND ambito='PM' AND entidade='00100' ) A </v>
      </c>
      <c r="I83" s="17" t="str">
        <f>IF(VLOOKUP(B83,Instruções!$F$13:$J$17,5,0)="",
"(SELECT "&amp;VLOOKUP(B83,Instruções!$F$13:$J$17,4,0)&amp;" as "&amp;VLOOKUP(B83,Instruções!$F$13:$J$17,4,0)&amp;"_"&amp;$G$2&amp;", "&amp;E83&amp;" as "&amp;G83&amp;" FROM "&amp;D83&amp;" WHERE "&amp;Instruções!$D$21&amp;") B ",
"(SELECT "&amp;VLOOKUP(B83,Instruções!$F$13:$J$17,4,0)&amp;" as "&amp;VLOOKUP(B83,Instruções!$F$13:$J$17,4,0)&amp;"_"&amp;$G$2&amp;", "&amp;VLOOKUP(B83,Instruções!$F$13:$J$17,5,0)&amp;" as "&amp;VLOOKUP(B83,Instruções!$F$13:$J$17,5,0)&amp;"_"&amp;$G$2&amp;","&amp;E83&amp;" as "&amp;G83&amp;" FROM "&amp;D83&amp;" WHERE "&amp;Instruções!$D$21&amp;") B ")</f>
        <v xml:space="preserve">(SELECT entty_id as entty_id_to_be, pd_crr_rd as pd_crr_rd_to_be FROM bu_loantape_work.lt003_entity WHERE ref_date='2024-09-30' AND nome_perimetro='Individual Corporativo' AND segmento='ESTR' AND ambito='PM' AND entidade='00100' ) B </v>
      </c>
      <c r="J83" s="17" t="str">
        <f>IF(VLOOKUP(B83,Instruções!$F$13:$J$17,5,0)="",
"ON "&amp;VLOOKUP(B83,Instruções!$F$13:$J$17,4,0)&amp;"_"&amp;$F$2&amp;" = "&amp;VLOOKUP(B83,Instruções!$F$13:$J$17,4,0)&amp;"_"&amp;$G$2&amp;" ",
"ON "&amp;VLOOKUP(B83,Instruções!$F$13:$J$17,4,0)&amp;"_"&amp;$F$2&amp;" = "&amp;VLOOKUP(B83,Instruções!$F$13:$J$17,4,0)&amp;"_"&amp;$G$2&amp;" AND "&amp;VLOOKUP(B83,Instruções!$F$13:$J$17,5,0)&amp;"_"&amp;$F$2&amp;" = "&amp;VLOOKUP(B83,Instruções!$F$13:$J$17,5,0)&amp;"_"&amp;$G$2&amp;" ")</f>
        <v xml:space="preserve">ON entty_id_as_is = entty_id_to_be </v>
      </c>
      <c r="K83" s="17" t="str">
        <f t="shared" si="8"/>
        <v xml:space="preserve">WHERE coalesce(cast(pd_crr_rd_as_is as string), '') &lt;&gt; coalesce(cast(pd_crr_rd_to_be as string), '') </v>
      </c>
      <c r="L83" s="17" t="str">
        <f t="shared" si="9"/>
        <v xml:space="preserve">SELECT count(*) AS NUM_REG_DIF FROM (SELECT entty_id as entty_id_as_is, pd_crr_rd as pd_crr_rd_as_is FROM cd_loan_tapes_bce.lt003_entity WHERE ref_date='2024-09-30' AND nome_perimetro='Individual Corporativo' AND segmento='ESTR' AND ambito='PM' AND entidade='00100' ) A  Inner join (SELECT entty_id as entty_id_to_be, pd_crr_rd as pd_crr_rd_to_be FROM bu_loantape_work.lt003_entity WHERE ref_date='2024-09-30' AND nome_perimetro='Individual Corporativo' AND segmento='ESTR' AND ambito='PM' AND entidade='00100' ) B ON entty_id_as_is = entty_id_to_be WHERE coalesce(cast(pd_crr_rd_as_is as string), '') &lt;&gt; coalesce(cast(pd_crr_rd_to_be as string), '') </v>
      </c>
      <c r="M83" s="17" t="s">
        <v>55</v>
      </c>
      <c r="N83" s="17" t="str">
        <f>"SELECT 'Validação de campos' as tipologia_teste, '"&amp;VLOOKUP(B83,Instruções!$F$13:$J$17,3,0)&amp;"' AS TABELA, '"&amp;E83&amp;"' AS CAMPO, '"&amp;Instruções!$D$15&amp;"' as ref_date, coalesce(NUM_REG_DIF, 0) AS NUM_REG_DIF FROM ("&amp;L83&amp;") A "</f>
        <v xml:space="preserve">SELECT 'Validação de campos' as tipologia_teste, 'lt003_entity' AS TABELA, 'pd_crr_rd' AS CAMPO, '2024-09-30' as ref_date, coalesce(NUM_REG_DIF, 0) AS NUM_REG_DIF FROM (SELECT count(*) AS NUM_REG_DIF FROM (SELECT entty_id as entty_id_as_is, pd_crr_rd as pd_crr_rd_as_is FROM cd_loan_tapes_bce.lt003_entity WHERE ref_date='2024-09-30' AND nome_perimetro='Individual Corporativo' AND segmento='ESTR' AND ambito='PM' AND entidade='00100' ) A  Inner join (SELECT entty_id as entty_id_to_be, pd_crr_rd as pd_crr_rd_to_be FROM bu_loantape_work.lt003_entity WHERE ref_date='2024-09-30' AND nome_perimetro='Individual Corporativo' AND segmento='ESTR' AND ambito='PM' AND entidade='00100' ) B ON entty_id_as_is = entty_id_to_be WHERE coalesce(cast(pd_crr_rd_as_is as string), '') &lt;&gt; coalesce(cast(pd_crr_rd_to_be as string), '') ) A </v>
      </c>
      <c r="O83" s="19" t="str">
        <f t="shared" si="10"/>
        <v>SELECT 'Validação de campos' as tipologia_teste, 'lt003_entity' AS TABELA, 'pd_crr_rd' AS CAMPO, '2024-09-30' as ref_date, coalesce(NUM_REG_DIF, 0) AS NUM_REG_DIF FROM (SELECT count(*) AS NUM_REG_DIF FROM (SELECT entty_id as entty_id_as_is, pd_crr_rd as pd_crr_rd_as_is FROM cd_loan_tapes_bce.lt003_entity WHERE ref_date='2024-09-30' AND nome_perimetro='Individual Corporativo' AND segmento='ESTR' AND ambito='PM' AND entidade='00100' ) A  Inner join (SELECT entty_id as entty_id_to_be, pd_crr_rd as pd_crr_rd_to_be FROM bu_loantape_work.lt003_entity WHERE ref_date='2024-09-30' AND nome_perimetro='Individual Corporativo' AND segmento='ESTR' AND ambito='PM' AND entidade='00100' ) B ON entty_id_as_is = entty_id_to_be WHERE coalesce(cast(pd_crr_rd_as_is as string), '') &lt;&gt; coalesce(cast(pd_crr_rd_to_be as string), '') ) A UNION ALL</v>
      </c>
      <c r="P83" s="17">
        <f t="shared" si="11"/>
        <v>29</v>
      </c>
    </row>
    <row r="84" spans="2:16" s="15" customFormat="1" ht="11.45">
      <c r="B84" s="17" t="s">
        <v>11</v>
      </c>
      <c r="C84" s="17" t="str">
        <f>_xlfn.CONCAT(Instruções!$D$13,".",VLOOKUP(B84,Instruções!$F$12:$H$17,2,0))</f>
        <v>cd_loan_tapes_bce.lt003_entity</v>
      </c>
      <c r="D84" s="17" t="str">
        <f>_xlfn.CONCAT(Instruções!$D$14,".",VLOOKUP(B84,Instruções!$F$12:$H$17,3,0))</f>
        <v>bu_loantape_work.lt003_entity</v>
      </c>
      <c r="E84" s="17" t="s">
        <v>138</v>
      </c>
      <c r="F84" s="17" t="str">
        <f t="shared" si="6"/>
        <v>pd_crr_rd_t1_as_is</v>
      </c>
      <c r="G84" s="17" t="str">
        <f t="shared" si="7"/>
        <v>pd_crr_rd_t1_to_be</v>
      </c>
      <c r="H84" s="17" t="str">
        <f>IF(VLOOKUP(B84,Instruções!$F$13:$J$17,5,0)="",
"(SELECT "&amp;VLOOKUP(B84,Instruções!$F$13:$J$17,4,0)&amp;" as "&amp;VLOOKUP(B84,Instruções!$F$13:$J$17,4,0)&amp;"_"&amp;$F$2&amp;", "&amp;E84&amp;" as "&amp;F84&amp;" FROM "&amp;C84&amp;" WHERE "&amp;Instruções!$D$20&amp;") A ",
"(SELECT "&amp;VLOOKUP(B84,Instruções!$F$13:$J$17,4,0)&amp;" as "&amp;VLOOKUP(B84,Instruções!$F$13:$J$17,4,0)&amp;"_"&amp;$F$2&amp;", "&amp;VLOOKUP(B84,Instruções!$F$13:$J$17,5,0)&amp;" as "&amp;VLOOKUP(B84,Instruções!$F$13:$J$17,5,0)&amp;"_"&amp;$F$2&amp;","&amp;E84&amp;" as "&amp;F84&amp;" FROM "&amp;C84&amp;" WHERE "&amp;Instruções!$D$20&amp;") A ")</f>
        <v xml:space="preserve">(SELECT entty_id as entty_id_as_is, pd_crr_rd_t1 as pd_crr_rd_t1_as_is FROM cd_loan_tapes_bce.lt003_entity WHERE ref_date='2024-09-30' AND nome_perimetro='Individual Corporativo' AND segmento='ESTR' AND ambito='PM' AND entidade='00100' ) A </v>
      </c>
      <c r="I84" s="17" t="str">
        <f>IF(VLOOKUP(B84,Instruções!$F$13:$J$17,5,0)="",
"(SELECT "&amp;VLOOKUP(B84,Instruções!$F$13:$J$17,4,0)&amp;" as "&amp;VLOOKUP(B84,Instruções!$F$13:$J$17,4,0)&amp;"_"&amp;$G$2&amp;", "&amp;E84&amp;" as "&amp;G84&amp;" FROM "&amp;D84&amp;" WHERE "&amp;Instruções!$D$21&amp;") B ",
"(SELECT "&amp;VLOOKUP(B84,Instruções!$F$13:$J$17,4,0)&amp;" as "&amp;VLOOKUP(B84,Instruções!$F$13:$J$17,4,0)&amp;"_"&amp;$G$2&amp;", "&amp;VLOOKUP(B84,Instruções!$F$13:$J$17,5,0)&amp;" as "&amp;VLOOKUP(B84,Instruções!$F$13:$J$17,5,0)&amp;"_"&amp;$G$2&amp;","&amp;E84&amp;" as "&amp;G84&amp;" FROM "&amp;D84&amp;" WHERE "&amp;Instruções!$D$21&amp;") B ")</f>
        <v xml:space="preserve">(SELECT entty_id as entty_id_to_be, pd_crr_rd_t1 as pd_crr_rd_t1_to_be FROM bu_loantape_work.lt003_entity WHERE ref_date='2024-09-30' AND nome_perimetro='Individual Corporativo' AND segmento='ESTR' AND ambito='PM' AND entidade='00100' ) B </v>
      </c>
      <c r="J84" s="17" t="str">
        <f>IF(VLOOKUP(B84,Instruções!$F$13:$J$17,5,0)="",
"ON "&amp;VLOOKUP(B84,Instruções!$F$13:$J$17,4,0)&amp;"_"&amp;$F$2&amp;" = "&amp;VLOOKUP(B84,Instruções!$F$13:$J$17,4,0)&amp;"_"&amp;$G$2&amp;" ",
"ON "&amp;VLOOKUP(B84,Instruções!$F$13:$J$17,4,0)&amp;"_"&amp;$F$2&amp;" = "&amp;VLOOKUP(B84,Instruções!$F$13:$J$17,4,0)&amp;"_"&amp;$G$2&amp;" AND "&amp;VLOOKUP(B84,Instruções!$F$13:$J$17,5,0)&amp;"_"&amp;$F$2&amp;" = "&amp;VLOOKUP(B84,Instruções!$F$13:$J$17,5,0)&amp;"_"&amp;$G$2&amp;" ")</f>
        <v xml:space="preserve">ON entty_id_as_is = entty_id_to_be </v>
      </c>
      <c r="K84" s="17" t="str">
        <f t="shared" si="8"/>
        <v xml:space="preserve">WHERE coalesce(cast(pd_crr_rd_t1_as_is as string), '') &lt;&gt; coalesce(cast(pd_crr_rd_t1_to_be as string), '') </v>
      </c>
      <c r="L84" s="17" t="str">
        <f t="shared" si="9"/>
        <v xml:space="preserve">SELECT count(*) AS NUM_REG_DIF FROM (SELECT entty_id as entty_id_as_is, pd_crr_rd_t1 as pd_crr_rd_t1_as_is FROM cd_loan_tapes_bce.lt003_entity WHERE ref_date='2024-09-30' AND nome_perimetro='Individual Corporativo' AND segmento='ESTR' AND ambito='PM' AND entidade='00100' ) A  Inner join (SELECT entty_id as entty_id_to_be, pd_crr_rd_t1 as pd_crr_rd_t1_to_be FROM bu_loantape_work.lt003_entity WHERE ref_date='2024-09-30' AND nome_perimetro='Individual Corporativo' AND segmento='ESTR' AND ambito='PM' AND entidade='00100' ) B ON entty_id_as_is = entty_id_to_be WHERE coalesce(cast(pd_crr_rd_t1_as_is as string), '') &lt;&gt; coalesce(cast(pd_crr_rd_t1_to_be as string), '') </v>
      </c>
      <c r="M84" s="17" t="s">
        <v>55</v>
      </c>
      <c r="N84" s="17" t="str">
        <f>"SELECT 'Validação de campos' as tipologia_teste, '"&amp;VLOOKUP(B84,Instruções!$F$13:$J$17,3,0)&amp;"' AS TABELA, '"&amp;E84&amp;"' AS CAMPO, '"&amp;Instruções!$D$15&amp;"' as ref_date, coalesce(NUM_REG_DIF, 0) AS NUM_REG_DIF FROM ("&amp;L84&amp;") A "</f>
        <v xml:space="preserve">SELECT 'Validação de campos' as tipologia_teste, 'lt003_entity' AS TABELA, 'pd_crr_rd_t1' AS CAMPO, '2024-09-30' as ref_date, coalesce(NUM_REG_DIF, 0) AS NUM_REG_DIF FROM (SELECT count(*) AS NUM_REG_DIF FROM (SELECT entty_id as entty_id_as_is, pd_crr_rd_t1 as pd_crr_rd_t1_as_is FROM cd_loan_tapes_bce.lt003_entity WHERE ref_date='2024-09-30' AND nome_perimetro='Individual Corporativo' AND segmento='ESTR' AND ambito='PM' AND entidade='00100' ) A  Inner join (SELECT entty_id as entty_id_to_be, pd_crr_rd_t1 as pd_crr_rd_t1_to_be FROM bu_loantape_work.lt003_entity WHERE ref_date='2024-09-30' AND nome_perimetro='Individual Corporativo' AND segmento='ESTR' AND ambito='PM' AND entidade='00100' ) B ON entty_id_as_is = entty_id_to_be WHERE coalesce(cast(pd_crr_rd_t1_as_is as string), '') &lt;&gt; coalesce(cast(pd_crr_rd_t1_to_be as string), '') ) A </v>
      </c>
      <c r="O84" s="19" t="str">
        <f t="shared" si="10"/>
        <v>SELECT 'Validação de campos' as tipologia_teste, 'lt003_entity' AS TABELA, 'pd_crr_rd_t1' AS CAMPO, '2024-09-30' as ref_date, coalesce(NUM_REG_DIF, 0) AS NUM_REG_DIF FROM (SELECT count(*) AS NUM_REG_DIF FROM (SELECT entty_id as entty_id_as_is, pd_crr_rd_t1 as pd_crr_rd_t1_as_is FROM cd_loan_tapes_bce.lt003_entity WHERE ref_date='2024-09-30' AND nome_perimetro='Individual Corporativo' AND segmento='ESTR' AND ambito='PM' AND entidade='00100' ) A  Inner join (SELECT entty_id as entty_id_to_be, pd_crr_rd_t1 as pd_crr_rd_t1_to_be FROM bu_loantape_work.lt003_entity WHERE ref_date='2024-09-30' AND nome_perimetro='Individual Corporativo' AND segmento='ESTR' AND ambito='PM' AND entidade='00100' ) B ON entty_id_as_is = entty_id_to_be WHERE coalesce(cast(pd_crr_rd_t1_as_is as string), '') &lt;&gt; coalesce(cast(pd_crr_rd_t1_to_be as string), '') ) A UNION ALL</v>
      </c>
      <c r="P84" s="17">
        <f t="shared" si="11"/>
        <v>30</v>
      </c>
    </row>
    <row r="85" spans="2:16" s="15" customFormat="1" ht="11.45">
      <c r="B85" s="17" t="s">
        <v>11</v>
      </c>
      <c r="C85" s="17" t="str">
        <f>_xlfn.CONCAT(Instruções!$D$13,".",VLOOKUP(B85,Instruções!$F$12:$H$17,2,0))</f>
        <v>cd_loan_tapes_bce.lt003_entity</v>
      </c>
      <c r="D85" s="17" t="str">
        <f>_xlfn.CONCAT(Instruções!$D$14,".",VLOOKUP(B85,Instruções!$F$12:$H$17,3,0))</f>
        <v>bu_loantape_work.lt003_entity</v>
      </c>
      <c r="E85" s="17" t="s">
        <v>139</v>
      </c>
      <c r="F85" s="17" t="str">
        <f t="shared" si="6"/>
        <v>pd_ifrs9_12m_rd_as_is</v>
      </c>
      <c r="G85" s="17" t="str">
        <f t="shared" si="7"/>
        <v>pd_ifrs9_12m_rd_to_be</v>
      </c>
      <c r="H85" s="17" t="str">
        <f>IF(VLOOKUP(B85,Instruções!$F$13:$J$17,5,0)="",
"(SELECT "&amp;VLOOKUP(B85,Instruções!$F$13:$J$17,4,0)&amp;" as "&amp;VLOOKUP(B85,Instruções!$F$13:$J$17,4,0)&amp;"_"&amp;$F$2&amp;", "&amp;E85&amp;" as "&amp;F85&amp;" FROM "&amp;C85&amp;" WHERE "&amp;Instruções!$D$20&amp;") A ",
"(SELECT "&amp;VLOOKUP(B85,Instruções!$F$13:$J$17,4,0)&amp;" as "&amp;VLOOKUP(B85,Instruções!$F$13:$J$17,4,0)&amp;"_"&amp;$F$2&amp;", "&amp;VLOOKUP(B85,Instruções!$F$13:$J$17,5,0)&amp;" as "&amp;VLOOKUP(B85,Instruções!$F$13:$J$17,5,0)&amp;"_"&amp;$F$2&amp;","&amp;E85&amp;" as "&amp;F85&amp;" FROM "&amp;C85&amp;" WHERE "&amp;Instruções!$D$20&amp;") A ")</f>
        <v xml:space="preserve">(SELECT entty_id as entty_id_as_is, pd_ifrs9_12m_rd as pd_ifrs9_12m_rd_as_is FROM cd_loan_tapes_bce.lt003_entity WHERE ref_date='2024-09-30' AND nome_perimetro='Individual Corporativo' AND segmento='ESTR' AND ambito='PM' AND entidade='00100' ) A </v>
      </c>
      <c r="I85" s="17" t="str">
        <f>IF(VLOOKUP(B85,Instruções!$F$13:$J$17,5,0)="",
"(SELECT "&amp;VLOOKUP(B85,Instruções!$F$13:$J$17,4,0)&amp;" as "&amp;VLOOKUP(B85,Instruções!$F$13:$J$17,4,0)&amp;"_"&amp;$G$2&amp;", "&amp;E85&amp;" as "&amp;G85&amp;" FROM "&amp;D85&amp;" WHERE "&amp;Instruções!$D$21&amp;") B ",
"(SELECT "&amp;VLOOKUP(B85,Instruções!$F$13:$J$17,4,0)&amp;" as "&amp;VLOOKUP(B85,Instruções!$F$13:$J$17,4,0)&amp;"_"&amp;$G$2&amp;", "&amp;VLOOKUP(B85,Instruções!$F$13:$J$17,5,0)&amp;" as "&amp;VLOOKUP(B85,Instruções!$F$13:$J$17,5,0)&amp;"_"&amp;$G$2&amp;","&amp;E85&amp;" as "&amp;G85&amp;" FROM "&amp;D85&amp;" WHERE "&amp;Instruções!$D$21&amp;") B ")</f>
        <v xml:space="preserve">(SELECT entty_id as entty_id_to_be, pd_ifrs9_12m_rd as pd_ifrs9_12m_rd_to_be FROM bu_loantape_work.lt003_entity WHERE ref_date='2024-09-30' AND nome_perimetro='Individual Corporativo' AND segmento='ESTR' AND ambito='PM' AND entidade='00100' ) B </v>
      </c>
      <c r="J85" s="17" t="str">
        <f>IF(VLOOKUP(B85,Instruções!$F$13:$J$17,5,0)="",
"ON "&amp;VLOOKUP(B85,Instruções!$F$13:$J$17,4,0)&amp;"_"&amp;$F$2&amp;" = "&amp;VLOOKUP(B85,Instruções!$F$13:$J$17,4,0)&amp;"_"&amp;$G$2&amp;" ",
"ON "&amp;VLOOKUP(B85,Instruções!$F$13:$J$17,4,0)&amp;"_"&amp;$F$2&amp;" = "&amp;VLOOKUP(B85,Instruções!$F$13:$J$17,4,0)&amp;"_"&amp;$G$2&amp;" AND "&amp;VLOOKUP(B85,Instruções!$F$13:$J$17,5,0)&amp;"_"&amp;$F$2&amp;" = "&amp;VLOOKUP(B85,Instruções!$F$13:$J$17,5,0)&amp;"_"&amp;$G$2&amp;" ")</f>
        <v xml:space="preserve">ON entty_id_as_is = entty_id_to_be </v>
      </c>
      <c r="K85" s="17" t="str">
        <f t="shared" si="8"/>
        <v xml:space="preserve">WHERE coalesce(cast(pd_ifrs9_12m_rd_as_is as string), '') &lt;&gt; coalesce(cast(pd_ifrs9_12m_rd_to_be as string), '') </v>
      </c>
      <c r="L85" s="17" t="str">
        <f t="shared" si="9"/>
        <v xml:space="preserve">SELECT count(*) AS NUM_REG_DIF FROM (SELECT entty_id as entty_id_as_is, pd_ifrs9_12m_rd as pd_ifrs9_12m_rd_as_is FROM cd_loan_tapes_bce.lt003_entity WHERE ref_date='2024-09-30' AND nome_perimetro='Individual Corporativo' AND segmento='ESTR' AND ambito='PM' AND entidade='00100' ) A  Inner join (SELECT entty_id as entty_id_to_be, pd_ifrs9_12m_rd as pd_ifrs9_12m_rd_to_be FROM bu_loantape_work.lt003_entity WHERE ref_date='2024-09-30' AND nome_perimetro='Individual Corporativo' AND segmento='ESTR' AND ambito='PM' AND entidade='00100' ) B ON entty_id_as_is = entty_id_to_be WHERE coalesce(cast(pd_ifrs9_12m_rd_as_is as string), '') &lt;&gt; coalesce(cast(pd_ifrs9_12m_rd_to_be as string), '') </v>
      </c>
      <c r="M85" s="17" t="s">
        <v>55</v>
      </c>
      <c r="N85" s="17" t="str">
        <f>"SELECT 'Validação de campos' as tipologia_teste, '"&amp;VLOOKUP(B85,Instruções!$F$13:$J$17,3,0)&amp;"' AS TABELA, '"&amp;E85&amp;"' AS CAMPO, '"&amp;Instruções!$D$15&amp;"' as ref_date, coalesce(NUM_REG_DIF, 0) AS NUM_REG_DIF FROM ("&amp;L85&amp;") A "</f>
        <v xml:space="preserve">SELECT 'Validação de campos' as tipologia_teste, 'lt003_entity' AS TABELA, 'pd_ifrs9_12m_rd' AS CAMPO, '2024-09-30' as ref_date, coalesce(NUM_REG_DIF, 0) AS NUM_REG_DIF FROM (SELECT count(*) AS NUM_REG_DIF FROM (SELECT entty_id as entty_id_as_is, pd_ifrs9_12m_rd as pd_ifrs9_12m_rd_as_is FROM cd_loan_tapes_bce.lt003_entity WHERE ref_date='2024-09-30' AND nome_perimetro='Individual Corporativo' AND segmento='ESTR' AND ambito='PM' AND entidade='00100' ) A  Inner join (SELECT entty_id as entty_id_to_be, pd_ifrs9_12m_rd as pd_ifrs9_12m_rd_to_be FROM bu_loantape_work.lt003_entity WHERE ref_date='2024-09-30' AND nome_perimetro='Individual Corporativo' AND segmento='ESTR' AND ambito='PM' AND entidade='00100' ) B ON entty_id_as_is = entty_id_to_be WHERE coalesce(cast(pd_ifrs9_12m_rd_as_is as string), '') &lt;&gt; coalesce(cast(pd_ifrs9_12m_rd_to_be as string), '') ) A </v>
      </c>
      <c r="O85" s="19" t="str">
        <f t="shared" si="10"/>
        <v>SELECT 'Validação de campos' as tipologia_teste, 'lt003_entity' AS TABELA, 'pd_ifrs9_12m_rd' AS CAMPO, '2024-09-30' as ref_date, coalesce(NUM_REG_DIF, 0) AS NUM_REG_DIF FROM (SELECT count(*) AS NUM_REG_DIF FROM (SELECT entty_id as entty_id_as_is, pd_ifrs9_12m_rd as pd_ifrs9_12m_rd_as_is FROM cd_loan_tapes_bce.lt003_entity WHERE ref_date='2024-09-30' AND nome_perimetro='Individual Corporativo' AND segmento='ESTR' AND ambito='PM' AND entidade='00100' ) A  Inner join (SELECT entty_id as entty_id_to_be, pd_ifrs9_12m_rd as pd_ifrs9_12m_rd_to_be FROM bu_loantape_work.lt003_entity WHERE ref_date='2024-09-30' AND nome_perimetro='Individual Corporativo' AND segmento='ESTR' AND ambito='PM' AND entidade='00100' ) B ON entty_id_as_is = entty_id_to_be WHERE coalesce(cast(pd_ifrs9_12m_rd_as_is as string), '') &lt;&gt; coalesce(cast(pd_ifrs9_12m_rd_to_be as string), '') ) A UNION ALL</v>
      </c>
      <c r="P85" s="17">
        <f t="shared" si="11"/>
        <v>31</v>
      </c>
    </row>
    <row r="86" spans="2:16" s="15" customFormat="1" ht="11.45">
      <c r="B86" s="17" t="s">
        <v>11</v>
      </c>
      <c r="C86" s="17" t="str">
        <f>_xlfn.CONCAT(Instruções!$D$13,".",VLOOKUP(B86,Instruções!$F$12:$H$17,2,0))</f>
        <v>cd_loan_tapes_bce.lt003_entity</v>
      </c>
      <c r="D86" s="17" t="str">
        <f>_xlfn.CONCAT(Instruções!$D$14,".",VLOOKUP(B86,Instruções!$F$12:$H$17,3,0))</f>
        <v>bu_loantape_work.lt003_entity</v>
      </c>
      <c r="E86" s="17" t="s">
        <v>140</v>
      </c>
      <c r="F86" s="17" t="str">
        <f t="shared" si="6"/>
        <v>pd_ifrs9_12m_rd_t1_as_is</v>
      </c>
      <c r="G86" s="17" t="str">
        <f t="shared" si="7"/>
        <v>pd_ifrs9_12m_rd_t1_to_be</v>
      </c>
      <c r="H86" s="17" t="str">
        <f>IF(VLOOKUP(B86,Instruções!$F$13:$J$17,5,0)="",
"(SELECT "&amp;VLOOKUP(B86,Instruções!$F$13:$J$17,4,0)&amp;" as "&amp;VLOOKUP(B86,Instruções!$F$13:$J$17,4,0)&amp;"_"&amp;$F$2&amp;", "&amp;E86&amp;" as "&amp;F86&amp;" FROM "&amp;C86&amp;" WHERE "&amp;Instruções!$D$20&amp;") A ",
"(SELECT "&amp;VLOOKUP(B86,Instruções!$F$13:$J$17,4,0)&amp;" as "&amp;VLOOKUP(B86,Instruções!$F$13:$J$17,4,0)&amp;"_"&amp;$F$2&amp;", "&amp;VLOOKUP(B86,Instruções!$F$13:$J$17,5,0)&amp;" as "&amp;VLOOKUP(B86,Instruções!$F$13:$J$17,5,0)&amp;"_"&amp;$F$2&amp;","&amp;E86&amp;" as "&amp;F86&amp;" FROM "&amp;C86&amp;" WHERE "&amp;Instruções!$D$20&amp;") A ")</f>
        <v xml:space="preserve">(SELECT entty_id as entty_id_as_is, pd_ifrs9_12m_rd_t1 as pd_ifrs9_12m_rd_t1_as_is FROM cd_loan_tapes_bce.lt003_entity WHERE ref_date='2024-09-30' AND nome_perimetro='Individual Corporativo' AND segmento='ESTR' AND ambito='PM' AND entidade='00100' ) A </v>
      </c>
      <c r="I86" s="17" t="str">
        <f>IF(VLOOKUP(B86,Instruções!$F$13:$J$17,5,0)="",
"(SELECT "&amp;VLOOKUP(B86,Instruções!$F$13:$J$17,4,0)&amp;" as "&amp;VLOOKUP(B86,Instruções!$F$13:$J$17,4,0)&amp;"_"&amp;$G$2&amp;", "&amp;E86&amp;" as "&amp;G86&amp;" FROM "&amp;D86&amp;" WHERE "&amp;Instruções!$D$21&amp;") B ",
"(SELECT "&amp;VLOOKUP(B86,Instruções!$F$13:$J$17,4,0)&amp;" as "&amp;VLOOKUP(B86,Instruções!$F$13:$J$17,4,0)&amp;"_"&amp;$G$2&amp;", "&amp;VLOOKUP(B86,Instruções!$F$13:$J$17,5,0)&amp;" as "&amp;VLOOKUP(B86,Instruções!$F$13:$J$17,5,0)&amp;"_"&amp;$G$2&amp;","&amp;E86&amp;" as "&amp;G86&amp;" FROM "&amp;D86&amp;" WHERE "&amp;Instruções!$D$21&amp;") B ")</f>
        <v xml:space="preserve">(SELECT entty_id as entty_id_to_be, pd_ifrs9_12m_rd_t1 as pd_ifrs9_12m_rd_t1_to_be FROM bu_loantape_work.lt003_entity WHERE ref_date='2024-09-30' AND nome_perimetro='Individual Corporativo' AND segmento='ESTR' AND ambito='PM' AND entidade='00100' ) B </v>
      </c>
      <c r="J86" s="17" t="str">
        <f>IF(VLOOKUP(B86,Instruções!$F$13:$J$17,5,0)="",
"ON "&amp;VLOOKUP(B86,Instruções!$F$13:$J$17,4,0)&amp;"_"&amp;$F$2&amp;" = "&amp;VLOOKUP(B86,Instruções!$F$13:$J$17,4,0)&amp;"_"&amp;$G$2&amp;" ",
"ON "&amp;VLOOKUP(B86,Instruções!$F$13:$J$17,4,0)&amp;"_"&amp;$F$2&amp;" = "&amp;VLOOKUP(B86,Instruções!$F$13:$J$17,4,0)&amp;"_"&amp;$G$2&amp;" AND "&amp;VLOOKUP(B86,Instruções!$F$13:$J$17,5,0)&amp;"_"&amp;$F$2&amp;" = "&amp;VLOOKUP(B86,Instruções!$F$13:$J$17,5,0)&amp;"_"&amp;$G$2&amp;" ")</f>
        <v xml:space="preserve">ON entty_id_as_is = entty_id_to_be </v>
      </c>
      <c r="K86" s="17" t="str">
        <f t="shared" si="8"/>
        <v xml:space="preserve">WHERE coalesce(cast(pd_ifrs9_12m_rd_t1_as_is as string), '') &lt;&gt; coalesce(cast(pd_ifrs9_12m_rd_t1_to_be as string), '') </v>
      </c>
      <c r="L86" s="17" t="str">
        <f t="shared" si="9"/>
        <v xml:space="preserve">SELECT count(*) AS NUM_REG_DIF FROM (SELECT entty_id as entty_id_as_is, pd_ifrs9_12m_rd_t1 as pd_ifrs9_12m_rd_t1_as_is FROM cd_loan_tapes_bce.lt003_entity WHERE ref_date='2024-09-30' AND nome_perimetro='Individual Corporativo' AND segmento='ESTR' AND ambito='PM' AND entidade='00100' ) A  Inner join (SELECT entty_id as entty_id_to_be, pd_ifrs9_12m_rd_t1 as pd_ifrs9_12m_rd_t1_to_be FROM bu_loantape_work.lt003_entity WHERE ref_date='2024-09-30' AND nome_perimetro='Individual Corporativo' AND segmento='ESTR' AND ambito='PM' AND entidade='00100' ) B ON entty_id_as_is = entty_id_to_be WHERE coalesce(cast(pd_ifrs9_12m_rd_t1_as_is as string), '') &lt;&gt; coalesce(cast(pd_ifrs9_12m_rd_t1_to_be as string), '') </v>
      </c>
      <c r="M86" s="17" t="s">
        <v>55</v>
      </c>
      <c r="N86" s="17" t="str">
        <f>"SELECT 'Validação de campos' as tipologia_teste, '"&amp;VLOOKUP(B86,Instruções!$F$13:$J$17,3,0)&amp;"' AS TABELA, '"&amp;E86&amp;"' AS CAMPO, '"&amp;Instruções!$D$15&amp;"' as ref_date, coalesce(NUM_REG_DIF, 0) AS NUM_REG_DIF FROM ("&amp;L86&amp;") A "</f>
        <v xml:space="preserve">SELECT 'Validação de campos' as tipologia_teste, 'lt003_entity' AS TABELA, 'pd_ifrs9_12m_rd_t1' AS CAMPO, '2024-09-30' as ref_date, coalesce(NUM_REG_DIF, 0) AS NUM_REG_DIF FROM (SELECT count(*) AS NUM_REG_DIF FROM (SELECT entty_id as entty_id_as_is, pd_ifrs9_12m_rd_t1 as pd_ifrs9_12m_rd_t1_as_is FROM cd_loan_tapes_bce.lt003_entity WHERE ref_date='2024-09-30' AND nome_perimetro='Individual Corporativo' AND segmento='ESTR' AND ambito='PM' AND entidade='00100' ) A  Inner join (SELECT entty_id as entty_id_to_be, pd_ifrs9_12m_rd_t1 as pd_ifrs9_12m_rd_t1_to_be FROM bu_loantape_work.lt003_entity WHERE ref_date='2024-09-30' AND nome_perimetro='Individual Corporativo' AND segmento='ESTR' AND ambito='PM' AND entidade='00100' ) B ON entty_id_as_is = entty_id_to_be WHERE coalesce(cast(pd_ifrs9_12m_rd_t1_as_is as string), '') &lt;&gt; coalesce(cast(pd_ifrs9_12m_rd_t1_to_be as string), '') ) A </v>
      </c>
      <c r="O86" s="19" t="str">
        <f t="shared" si="10"/>
        <v>SELECT 'Validação de campos' as tipologia_teste, 'lt003_entity' AS TABELA, 'pd_ifrs9_12m_rd_t1' AS CAMPO, '2024-09-30' as ref_date, coalesce(NUM_REG_DIF, 0) AS NUM_REG_DIF FROM (SELECT count(*) AS NUM_REG_DIF FROM (SELECT entty_id as entty_id_as_is, pd_ifrs9_12m_rd_t1 as pd_ifrs9_12m_rd_t1_as_is FROM cd_loan_tapes_bce.lt003_entity WHERE ref_date='2024-09-30' AND nome_perimetro='Individual Corporativo' AND segmento='ESTR' AND ambito='PM' AND entidade='00100' ) A  Inner join (SELECT entty_id as entty_id_to_be, pd_ifrs9_12m_rd_t1 as pd_ifrs9_12m_rd_t1_to_be FROM bu_loantape_work.lt003_entity WHERE ref_date='2024-09-30' AND nome_perimetro='Individual Corporativo' AND segmento='ESTR' AND ambito='PM' AND entidade='00100' ) B ON entty_id_as_is = entty_id_to_be WHERE coalesce(cast(pd_ifrs9_12m_rd_t1_as_is as string), '') &lt;&gt; coalesce(cast(pd_ifrs9_12m_rd_t1_to_be as string), '') ) A UNION ALL</v>
      </c>
      <c r="P86" s="17">
        <f t="shared" si="11"/>
        <v>32</v>
      </c>
    </row>
    <row r="87" spans="2:16" s="15" customFormat="1" ht="11.45">
      <c r="B87" s="17" t="s">
        <v>11</v>
      </c>
      <c r="C87" s="17" t="str">
        <f>_xlfn.CONCAT(Instruções!$D$13,".",VLOOKUP(B87,Instruções!$F$12:$H$17,2,0))</f>
        <v>cd_loan_tapes_bce.lt003_entity</v>
      </c>
      <c r="D87" s="17" t="str">
        <f>_xlfn.CONCAT(Instruções!$D$14,".",VLOOKUP(B87,Instruções!$F$12:$H$17,3,0))</f>
        <v>bu_loantape_work.lt003_entity</v>
      </c>
      <c r="E87" s="17" t="s">
        <v>141</v>
      </c>
      <c r="F87" s="17" t="str">
        <f t="shared" si="6"/>
        <v>prfrmng_stts_le_as_is</v>
      </c>
      <c r="G87" s="17" t="str">
        <f t="shared" si="7"/>
        <v>prfrmng_stts_le_to_be</v>
      </c>
      <c r="H87" s="17" t="str">
        <f>IF(VLOOKUP(B87,Instruções!$F$13:$J$17,5,0)="",
"(SELECT "&amp;VLOOKUP(B87,Instruções!$F$13:$J$17,4,0)&amp;" as "&amp;VLOOKUP(B87,Instruções!$F$13:$J$17,4,0)&amp;"_"&amp;$F$2&amp;", "&amp;E87&amp;" as "&amp;F87&amp;" FROM "&amp;C87&amp;" WHERE "&amp;Instruções!$D$20&amp;") A ",
"(SELECT "&amp;VLOOKUP(B87,Instruções!$F$13:$J$17,4,0)&amp;" as "&amp;VLOOKUP(B87,Instruções!$F$13:$J$17,4,0)&amp;"_"&amp;$F$2&amp;", "&amp;VLOOKUP(B87,Instruções!$F$13:$J$17,5,0)&amp;" as "&amp;VLOOKUP(B87,Instruções!$F$13:$J$17,5,0)&amp;"_"&amp;$F$2&amp;","&amp;E87&amp;" as "&amp;F87&amp;" FROM "&amp;C87&amp;" WHERE "&amp;Instruções!$D$20&amp;") A ")</f>
        <v xml:space="preserve">(SELECT entty_id as entty_id_as_is, prfrmng_stts_le as prfrmng_stts_le_as_is FROM cd_loan_tapes_bce.lt003_entity WHERE ref_date='2024-09-30' AND nome_perimetro='Individual Corporativo' AND segmento='ESTR' AND ambito='PM' AND entidade='00100' ) A </v>
      </c>
      <c r="I87" s="17" t="str">
        <f>IF(VLOOKUP(B87,Instruções!$F$13:$J$17,5,0)="",
"(SELECT "&amp;VLOOKUP(B87,Instruções!$F$13:$J$17,4,0)&amp;" as "&amp;VLOOKUP(B87,Instruções!$F$13:$J$17,4,0)&amp;"_"&amp;$G$2&amp;", "&amp;E87&amp;" as "&amp;G87&amp;" FROM "&amp;D87&amp;" WHERE "&amp;Instruções!$D$21&amp;") B ",
"(SELECT "&amp;VLOOKUP(B87,Instruções!$F$13:$J$17,4,0)&amp;" as "&amp;VLOOKUP(B87,Instruções!$F$13:$J$17,4,0)&amp;"_"&amp;$G$2&amp;", "&amp;VLOOKUP(B87,Instruções!$F$13:$J$17,5,0)&amp;" as "&amp;VLOOKUP(B87,Instruções!$F$13:$J$17,5,0)&amp;"_"&amp;$G$2&amp;","&amp;E87&amp;" as "&amp;G87&amp;" FROM "&amp;D87&amp;" WHERE "&amp;Instruções!$D$21&amp;") B ")</f>
        <v xml:space="preserve">(SELECT entty_id as entty_id_to_be, prfrmng_stts_le as prfrmng_stts_le_to_be FROM bu_loantape_work.lt003_entity WHERE ref_date='2024-09-30' AND nome_perimetro='Individual Corporativo' AND segmento='ESTR' AND ambito='PM' AND entidade='00100' ) B </v>
      </c>
      <c r="J87" s="17" t="str">
        <f>IF(VLOOKUP(B87,Instruções!$F$13:$J$17,5,0)="",
"ON "&amp;VLOOKUP(B87,Instruções!$F$13:$J$17,4,0)&amp;"_"&amp;$F$2&amp;" = "&amp;VLOOKUP(B87,Instruções!$F$13:$J$17,4,0)&amp;"_"&amp;$G$2&amp;" ",
"ON "&amp;VLOOKUP(B87,Instruções!$F$13:$J$17,4,0)&amp;"_"&amp;$F$2&amp;" = "&amp;VLOOKUP(B87,Instruções!$F$13:$J$17,4,0)&amp;"_"&amp;$G$2&amp;" AND "&amp;VLOOKUP(B87,Instruções!$F$13:$J$17,5,0)&amp;"_"&amp;$F$2&amp;" = "&amp;VLOOKUP(B87,Instruções!$F$13:$J$17,5,0)&amp;"_"&amp;$G$2&amp;" ")</f>
        <v xml:space="preserve">ON entty_id_as_is = entty_id_to_be </v>
      </c>
      <c r="K87" s="17" t="str">
        <f t="shared" si="8"/>
        <v xml:space="preserve">WHERE coalesce(cast(prfrmng_stts_le_as_is as string), '') &lt;&gt; coalesce(cast(prfrmng_stts_le_to_be as string), '') </v>
      </c>
      <c r="L87" s="17" t="str">
        <f t="shared" si="9"/>
        <v xml:space="preserve">SELECT count(*) AS NUM_REG_DIF FROM (SELECT entty_id as entty_id_as_is, prfrmng_stts_le as prfrmng_stts_le_as_is FROM cd_loan_tapes_bce.lt003_entity WHERE ref_date='2024-09-30' AND nome_perimetro='Individual Corporativo' AND segmento='ESTR' AND ambito='PM' AND entidade='00100' ) A  Inner join (SELECT entty_id as entty_id_to_be, prfrmng_stts_le as prfrmng_stts_le_to_be FROM bu_loantape_work.lt003_entity WHERE ref_date='2024-09-30' AND nome_perimetro='Individual Corporativo' AND segmento='ESTR' AND ambito='PM' AND entidade='00100' ) B ON entty_id_as_is = entty_id_to_be WHERE coalesce(cast(prfrmng_stts_le_as_is as string), '') &lt;&gt; coalesce(cast(prfrmng_stts_le_to_be as string), '') </v>
      </c>
      <c r="M87" s="17" t="s">
        <v>55</v>
      </c>
      <c r="N87" s="17" t="str">
        <f>"SELECT 'Validação de campos' as tipologia_teste, '"&amp;VLOOKUP(B87,Instruções!$F$13:$J$17,3,0)&amp;"' AS TABELA, '"&amp;E87&amp;"' AS CAMPO, '"&amp;Instruções!$D$15&amp;"' as ref_date, coalesce(NUM_REG_DIF, 0) AS NUM_REG_DIF FROM ("&amp;L87&amp;") A "</f>
        <v xml:space="preserve">SELECT 'Validação de campos' as tipologia_teste, 'lt003_entity' AS TABELA, 'prfrmng_stts_le' AS CAMPO, '2024-09-30' as ref_date, coalesce(NUM_REG_DIF, 0) AS NUM_REG_DIF FROM (SELECT count(*) AS NUM_REG_DIF FROM (SELECT entty_id as entty_id_as_is, prfrmng_stts_le as prfrmng_stts_le_as_is FROM cd_loan_tapes_bce.lt003_entity WHERE ref_date='2024-09-30' AND nome_perimetro='Individual Corporativo' AND segmento='ESTR' AND ambito='PM' AND entidade='00100' ) A  Inner join (SELECT entty_id as entty_id_to_be, prfrmng_stts_le as prfrmng_stts_le_to_be FROM bu_loantape_work.lt003_entity WHERE ref_date='2024-09-30' AND nome_perimetro='Individual Corporativo' AND segmento='ESTR' AND ambito='PM' AND entidade='00100' ) B ON entty_id_as_is = entty_id_to_be WHERE coalesce(cast(prfrmng_stts_le_as_is as string), '') &lt;&gt; coalesce(cast(prfrmng_stts_le_to_be as string), '') ) A </v>
      </c>
      <c r="O87" s="19" t="str">
        <f t="shared" si="10"/>
        <v>SELECT 'Validação de campos' as tipologia_teste, 'lt003_entity' AS TABELA, 'prfrmng_stts_le' AS CAMPO, '2024-09-30' as ref_date, coalesce(NUM_REG_DIF, 0) AS NUM_REG_DIF FROM (SELECT count(*) AS NUM_REG_DIF FROM (SELECT entty_id as entty_id_as_is, prfrmng_stts_le as prfrmng_stts_le_as_is FROM cd_loan_tapes_bce.lt003_entity WHERE ref_date='2024-09-30' AND nome_perimetro='Individual Corporativo' AND segmento='ESTR' AND ambito='PM' AND entidade='00100' ) A  Inner join (SELECT entty_id as entty_id_to_be, prfrmng_stts_le as prfrmng_stts_le_to_be FROM bu_loantape_work.lt003_entity WHERE ref_date='2024-09-30' AND nome_perimetro='Individual Corporativo' AND segmento='ESTR' AND ambito='PM' AND entidade='00100' ) B ON entty_id_as_is = entty_id_to_be WHERE coalesce(cast(prfrmng_stts_le_as_is as string), '') &lt;&gt; coalesce(cast(prfrmng_stts_le_to_be as string), '') ) A UNION ALL</v>
      </c>
      <c r="P87" s="17">
        <f t="shared" si="11"/>
        <v>33</v>
      </c>
    </row>
    <row r="88" spans="2:16" s="15" customFormat="1" ht="11.45">
      <c r="B88" s="17" t="s">
        <v>11</v>
      </c>
      <c r="C88" s="17" t="str">
        <f>_xlfn.CONCAT(Instruções!$D$13,".",VLOOKUP(B88,Instruções!$F$12:$H$17,2,0))</f>
        <v>cd_loan_tapes_bce.lt003_entity</v>
      </c>
      <c r="D88" s="17" t="str">
        <f>_xlfn.CONCAT(Instruções!$D$14,".",VLOOKUP(B88,Instruções!$F$12:$H$17,3,0))</f>
        <v>bu_loantape_work.lt003_entity</v>
      </c>
      <c r="E88" s="17" t="s">
        <v>142</v>
      </c>
      <c r="F88" s="17" t="str">
        <f t="shared" si="6"/>
        <v>prsn_typ_as_is</v>
      </c>
      <c r="G88" s="17" t="str">
        <f t="shared" si="7"/>
        <v>prsn_typ_to_be</v>
      </c>
      <c r="H88" s="17" t="str">
        <f>IF(VLOOKUP(B88,Instruções!$F$13:$J$17,5,0)="",
"(SELECT "&amp;VLOOKUP(B88,Instruções!$F$13:$J$17,4,0)&amp;" as "&amp;VLOOKUP(B88,Instruções!$F$13:$J$17,4,0)&amp;"_"&amp;$F$2&amp;", "&amp;E88&amp;" as "&amp;F88&amp;" FROM "&amp;C88&amp;" WHERE "&amp;Instruções!$D$20&amp;") A ",
"(SELECT "&amp;VLOOKUP(B88,Instruções!$F$13:$J$17,4,0)&amp;" as "&amp;VLOOKUP(B88,Instruções!$F$13:$J$17,4,0)&amp;"_"&amp;$F$2&amp;", "&amp;VLOOKUP(B88,Instruções!$F$13:$J$17,5,0)&amp;" as "&amp;VLOOKUP(B88,Instruções!$F$13:$J$17,5,0)&amp;"_"&amp;$F$2&amp;","&amp;E88&amp;" as "&amp;F88&amp;" FROM "&amp;C88&amp;" WHERE "&amp;Instruções!$D$20&amp;") A ")</f>
        <v xml:space="preserve">(SELECT entty_id as entty_id_as_is, prsn_typ as prsn_typ_as_is FROM cd_loan_tapes_bce.lt003_entity WHERE ref_date='2024-09-30' AND nome_perimetro='Individual Corporativo' AND segmento='ESTR' AND ambito='PM' AND entidade='00100' ) A </v>
      </c>
      <c r="I88" s="17" t="str">
        <f>IF(VLOOKUP(B88,Instruções!$F$13:$J$17,5,0)="",
"(SELECT "&amp;VLOOKUP(B88,Instruções!$F$13:$J$17,4,0)&amp;" as "&amp;VLOOKUP(B88,Instruções!$F$13:$J$17,4,0)&amp;"_"&amp;$G$2&amp;", "&amp;E88&amp;" as "&amp;G88&amp;" FROM "&amp;D88&amp;" WHERE "&amp;Instruções!$D$21&amp;") B ",
"(SELECT "&amp;VLOOKUP(B88,Instruções!$F$13:$J$17,4,0)&amp;" as "&amp;VLOOKUP(B88,Instruções!$F$13:$J$17,4,0)&amp;"_"&amp;$G$2&amp;", "&amp;VLOOKUP(B88,Instruções!$F$13:$J$17,5,0)&amp;" as "&amp;VLOOKUP(B88,Instruções!$F$13:$J$17,5,0)&amp;"_"&amp;$G$2&amp;","&amp;E88&amp;" as "&amp;G88&amp;" FROM "&amp;D88&amp;" WHERE "&amp;Instruções!$D$21&amp;") B ")</f>
        <v xml:space="preserve">(SELECT entty_id as entty_id_to_be, prsn_typ as prsn_typ_to_be FROM bu_loantape_work.lt003_entity WHERE ref_date='2024-09-30' AND nome_perimetro='Individual Corporativo' AND segmento='ESTR' AND ambito='PM' AND entidade='00100' ) B </v>
      </c>
      <c r="J88" s="17" t="str">
        <f>IF(VLOOKUP(B88,Instruções!$F$13:$J$17,5,0)="",
"ON "&amp;VLOOKUP(B88,Instruções!$F$13:$J$17,4,0)&amp;"_"&amp;$F$2&amp;" = "&amp;VLOOKUP(B88,Instruções!$F$13:$J$17,4,0)&amp;"_"&amp;$G$2&amp;" ",
"ON "&amp;VLOOKUP(B88,Instruções!$F$13:$J$17,4,0)&amp;"_"&amp;$F$2&amp;" = "&amp;VLOOKUP(B88,Instruções!$F$13:$J$17,4,0)&amp;"_"&amp;$G$2&amp;" AND "&amp;VLOOKUP(B88,Instruções!$F$13:$J$17,5,0)&amp;"_"&amp;$F$2&amp;" = "&amp;VLOOKUP(B88,Instruções!$F$13:$J$17,5,0)&amp;"_"&amp;$G$2&amp;" ")</f>
        <v xml:space="preserve">ON entty_id_as_is = entty_id_to_be </v>
      </c>
      <c r="K88" s="17" t="str">
        <f t="shared" si="8"/>
        <v xml:space="preserve">WHERE coalesce(cast(prsn_typ_as_is as string), '') &lt;&gt; coalesce(cast(prsn_typ_to_be as string), '') </v>
      </c>
      <c r="L88" s="17" t="str">
        <f t="shared" si="9"/>
        <v xml:space="preserve">SELECT count(*) AS NUM_REG_DIF FROM (SELECT entty_id as entty_id_as_is, prsn_typ as prsn_typ_as_is FROM cd_loan_tapes_bce.lt003_entity WHERE ref_date='2024-09-30' AND nome_perimetro='Individual Corporativo' AND segmento='ESTR' AND ambito='PM' AND entidade='00100' ) A  Inner join (SELECT entty_id as entty_id_to_be, prsn_typ as prsn_typ_to_be FROM bu_loantape_work.lt003_entity WHERE ref_date='2024-09-30' AND nome_perimetro='Individual Corporativo' AND segmento='ESTR' AND ambito='PM' AND entidade='00100' ) B ON entty_id_as_is = entty_id_to_be WHERE coalesce(cast(prsn_typ_as_is as string), '') &lt;&gt; coalesce(cast(prsn_typ_to_be as string), '') </v>
      </c>
      <c r="M88" s="17" t="s">
        <v>55</v>
      </c>
      <c r="N88" s="17" t="str">
        <f>"SELECT 'Validação de campos' as tipologia_teste, '"&amp;VLOOKUP(B88,Instruções!$F$13:$J$17,3,0)&amp;"' AS TABELA, '"&amp;E88&amp;"' AS CAMPO, '"&amp;Instruções!$D$15&amp;"' as ref_date, coalesce(NUM_REG_DIF, 0) AS NUM_REG_DIF FROM ("&amp;L88&amp;") A "</f>
        <v xml:space="preserve">SELECT 'Validação de campos' as tipologia_teste, 'lt003_entity' AS TABELA, 'prsn_typ' AS CAMPO, '2024-09-30' as ref_date, coalesce(NUM_REG_DIF, 0) AS NUM_REG_DIF FROM (SELECT count(*) AS NUM_REG_DIF FROM (SELECT entty_id as entty_id_as_is, prsn_typ as prsn_typ_as_is FROM cd_loan_tapes_bce.lt003_entity WHERE ref_date='2024-09-30' AND nome_perimetro='Individual Corporativo' AND segmento='ESTR' AND ambito='PM' AND entidade='00100' ) A  Inner join (SELECT entty_id as entty_id_to_be, prsn_typ as prsn_typ_to_be FROM bu_loantape_work.lt003_entity WHERE ref_date='2024-09-30' AND nome_perimetro='Individual Corporativo' AND segmento='ESTR' AND ambito='PM' AND entidade='00100' ) B ON entty_id_as_is = entty_id_to_be WHERE coalesce(cast(prsn_typ_as_is as string), '') &lt;&gt; coalesce(cast(prsn_typ_to_be as string), '') ) A </v>
      </c>
      <c r="O88" s="19" t="str">
        <f t="shared" si="10"/>
        <v>SELECT 'Validação de campos' as tipologia_teste, 'lt003_entity' AS TABELA, 'prsn_typ' AS CAMPO, '2024-09-30' as ref_date, coalesce(NUM_REG_DIF, 0) AS NUM_REG_DIF FROM (SELECT count(*) AS NUM_REG_DIF FROM (SELECT entty_id as entty_id_as_is, prsn_typ as prsn_typ_as_is FROM cd_loan_tapes_bce.lt003_entity WHERE ref_date='2024-09-30' AND nome_perimetro='Individual Corporativo' AND segmento='ESTR' AND ambito='PM' AND entidade='00100' ) A  Inner join (SELECT entty_id as entty_id_to_be, prsn_typ as prsn_typ_to_be FROM bu_loantape_work.lt003_entity WHERE ref_date='2024-09-30' AND nome_perimetro='Individual Corporativo' AND segmento='ESTR' AND ambito='PM' AND entidade='00100' ) B ON entty_id_as_is = entty_id_to_be WHERE coalesce(cast(prsn_typ_as_is as string), '') &lt;&gt; coalesce(cast(prsn_typ_to_be as string), '') ) A UNION ALL</v>
      </c>
      <c r="P88" s="17">
        <f t="shared" si="11"/>
        <v>34</v>
      </c>
    </row>
    <row r="89" spans="2:16" s="15" customFormat="1" ht="11.45">
      <c r="B89" s="17" t="s">
        <v>11</v>
      </c>
      <c r="C89" s="17" t="str">
        <f>_xlfn.CONCAT(Instruções!$D$13,".",VLOOKUP(B89,Instruções!$F$12:$H$17,2,0))</f>
        <v>cd_loan_tapes_bce.lt003_entity</v>
      </c>
      <c r="D89" s="17" t="str">
        <f>_xlfn.CONCAT(Instruções!$D$14,".",VLOOKUP(B89,Instruções!$F$12:$H$17,3,0))</f>
        <v>bu_loantape_work.lt003_entity</v>
      </c>
      <c r="E89" s="17" t="s">
        <v>145</v>
      </c>
      <c r="F89" s="17" t="str">
        <f t="shared" si="6"/>
        <v>rtng_mthd_as_is</v>
      </c>
      <c r="G89" s="17" t="str">
        <f t="shared" si="7"/>
        <v>rtng_mthd_to_be</v>
      </c>
      <c r="H89" s="17" t="str">
        <f>IF(VLOOKUP(B89,Instruções!$F$13:$J$17,5,0)="",
"(SELECT "&amp;VLOOKUP(B89,Instruções!$F$13:$J$17,4,0)&amp;" as "&amp;VLOOKUP(B89,Instruções!$F$13:$J$17,4,0)&amp;"_"&amp;$F$2&amp;", "&amp;E89&amp;" as "&amp;F89&amp;" FROM "&amp;C89&amp;" WHERE "&amp;Instruções!$D$20&amp;") A ",
"(SELECT "&amp;VLOOKUP(B89,Instruções!$F$13:$J$17,4,0)&amp;" as "&amp;VLOOKUP(B89,Instruções!$F$13:$J$17,4,0)&amp;"_"&amp;$F$2&amp;", "&amp;VLOOKUP(B89,Instruções!$F$13:$J$17,5,0)&amp;" as "&amp;VLOOKUP(B89,Instruções!$F$13:$J$17,5,0)&amp;"_"&amp;$F$2&amp;","&amp;E89&amp;" as "&amp;F89&amp;" FROM "&amp;C89&amp;" WHERE "&amp;Instruções!$D$20&amp;") A ")</f>
        <v xml:space="preserve">(SELECT entty_id as entty_id_as_is, rtng_mthd as rtng_mthd_as_is FROM cd_loan_tapes_bce.lt003_entity WHERE ref_date='2024-09-30' AND nome_perimetro='Individual Corporativo' AND segmento='ESTR' AND ambito='PM' AND entidade='00100' ) A </v>
      </c>
      <c r="I89" s="17" t="str">
        <f>IF(VLOOKUP(B89,Instruções!$F$13:$J$17,5,0)="",
"(SELECT "&amp;VLOOKUP(B89,Instruções!$F$13:$J$17,4,0)&amp;" as "&amp;VLOOKUP(B89,Instruções!$F$13:$J$17,4,0)&amp;"_"&amp;$G$2&amp;", "&amp;E89&amp;" as "&amp;G89&amp;" FROM "&amp;D89&amp;" WHERE "&amp;Instruções!$D$21&amp;") B ",
"(SELECT "&amp;VLOOKUP(B89,Instruções!$F$13:$J$17,4,0)&amp;" as "&amp;VLOOKUP(B89,Instruções!$F$13:$J$17,4,0)&amp;"_"&amp;$G$2&amp;", "&amp;VLOOKUP(B89,Instruções!$F$13:$J$17,5,0)&amp;" as "&amp;VLOOKUP(B89,Instruções!$F$13:$J$17,5,0)&amp;"_"&amp;$G$2&amp;","&amp;E89&amp;" as "&amp;G89&amp;" FROM "&amp;D89&amp;" WHERE "&amp;Instruções!$D$21&amp;") B ")</f>
        <v xml:space="preserve">(SELECT entty_id as entty_id_to_be, rtng_mthd as rtng_mthd_to_be FROM bu_loantape_work.lt003_entity WHERE ref_date='2024-09-30' AND nome_perimetro='Individual Corporativo' AND segmento='ESTR' AND ambito='PM' AND entidade='00100' ) B </v>
      </c>
      <c r="J89" s="17" t="str">
        <f>IF(VLOOKUP(B89,Instruções!$F$13:$J$17,5,0)="",
"ON "&amp;VLOOKUP(B89,Instruções!$F$13:$J$17,4,0)&amp;"_"&amp;$F$2&amp;" = "&amp;VLOOKUP(B89,Instruções!$F$13:$J$17,4,0)&amp;"_"&amp;$G$2&amp;" ",
"ON "&amp;VLOOKUP(B89,Instruções!$F$13:$J$17,4,0)&amp;"_"&amp;$F$2&amp;" = "&amp;VLOOKUP(B89,Instruções!$F$13:$J$17,4,0)&amp;"_"&amp;$G$2&amp;" AND "&amp;VLOOKUP(B89,Instruções!$F$13:$J$17,5,0)&amp;"_"&amp;$F$2&amp;" = "&amp;VLOOKUP(B89,Instruções!$F$13:$J$17,5,0)&amp;"_"&amp;$G$2&amp;" ")</f>
        <v xml:space="preserve">ON entty_id_as_is = entty_id_to_be </v>
      </c>
      <c r="K89" s="17" t="str">
        <f t="shared" si="8"/>
        <v xml:space="preserve">WHERE coalesce(cast(rtng_mthd_as_is as string), '') &lt;&gt; coalesce(cast(rtng_mthd_to_be as string), '') </v>
      </c>
      <c r="L89" s="17" t="str">
        <f t="shared" si="9"/>
        <v xml:space="preserve">SELECT count(*) AS NUM_REG_DIF FROM (SELECT entty_id as entty_id_as_is, rtng_mthd as rtng_mthd_as_is FROM cd_loan_tapes_bce.lt003_entity WHERE ref_date='2024-09-30' AND nome_perimetro='Individual Corporativo' AND segmento='ESTR' AND ambito='PM' AND entidade='00100' ) A  Inner join (SELECT entty_id as entty_id_to_be, rtng_mthd as rtng_mthd_to_be FROM bu_loantape_work.lt003_entity WHERE ref_date='2024-09-30' AND nome_perimetro='Individual Corporativo' AND segmento='ESTR' AND ambito='PM' AND entidade='00100' ) B ON entty_id_as_is = entty_id_to_be WHERE coalesce(cast(rtng_mthd_as_is as string), '') &lt;&gt; coalesce(cast(rtng_mthd_to_be as string), '') </v>
      </c>
      <c r="M89" s="17" t="s">
        <v>55</v>
      </c>
      <c r="N89" s="17" t="str">
        <f>"SELECT 'Validação de campos' as tipologia_teste, '"&amp;VLOOKUP(B89,Instruções!$F$13:$J$17,3,0)&amp;"' AS TABELA, '"&amp;E89&amp;"' AS CAMPO, '"&amp;Instruções!$D$15&amp;"' as ref_date, coalesce(NUM_REG_DIF, 0) AS NUM_REG_DIF FROM ("&amp;L89&amp;") A "</f>
        <v xml:space="preserve">SELECT 'Validação de campos' as tipologia_teste, 'lt003_entity' AS TABELA, 'rtng_mthd' AS CAMPO, '2024-09-30' as ref_date, coalesce(NUM_REG_DIF, 0) AS NUM_REG_DIF FROM (SELECT count(*) AS NUM_REG_DIF FROM (SELECT entty_id as entty_id_as_is, rtng_mthd as rtng_mthd_as_is FROM cd_loan_tapes_bce.lt003_entity WHERE ref_date='2024-09-30' AND nome_perimetro='Individual Corporativo' AND segmento='ESTR' AND ambito='PM' AND entidade='00100' ) A  Inner join (SELECT entty_id as entty_id_to_be, rtng_mthd as rtng_mthd_to_be FROM bu_loantape_work.lt003_entity WHERE ref_date='2024-09-30' AND nome_perimetro='Individual Corporativo' AND segmento='ESTR' AND ambito='PM' AND entidade='00100' ) B ON entty_id_as_is = entty_id_to_be WHERE coalesce(cast(rtng_mthd_as_is as string), '') &lt;&gt; coalesce(cast(rtng_mthd_to_be as string), '') ) A </v>
      </c>
      <c r="O89" s="19" t="str">
        <f>IF(O90="",N89,N89&amp;$O$3)</f>
        <v>SELECT 'Validação de campos' as tipologia_teste, 'lt003_entity' AS TABELA, 'rtng_mthd' AS CAMPO, '2024-09-30' as ref_date, coalesce(NUM_REG_DIF, 0) AS NUM_REG_DIF FROM (SELECT count(*) AS NUM_REG_DIF FROM (SELECT entty_id as entty_id_as_is, rtng_mthd as rtng_mthd_as_is FROM cd_loan_tapes_bce.lt003_entity WHERE ref_date='2024-09-30' AND nome_perimetro='Individual Corporativo' AND segmento='ESTR' AND ambito='PM' AND entidade='00100' ) A  Inner join (SELECT entty_id as entty_id_to_be, rtng_mthd as rtng_mthd_to_be FROM bu_loantape_work.lt003_entity WHERE ref_date='2024-09-30' AND nome_perimetro='Individual Corporativo' AND segmento='ESTR' AND ambito='PM' AND entidade='00100' ) B ON entty_id_as_is = entty_id_to_be WHERE coalesce(cast(rtng_mthd_as_is as string), '') &lt;&gt; coalesce(cast(rtng_mthd_to_be as string), '') ) A UNION ALL</v>
      </c>
      <c r="P89" s="17">
        <f t="shared" si="11"/>
        <v>35</v>
      </c>
    </row>
    <row r="90" spans="2:16" s="15" customFormat="1" ht="11.45">
      <c r="B90" s="17" t="s">
        <v>11</v>
      </c>
      <c r="C90" s="17" t="str">
        <f>_xlfn.CONCAT(Instruções!$D$13,".",VLOOKUP(B90,Instruções!$F$12:$H$17,2,0))</f>
        <v>cd_loan_tapes_bce.lt003_entity</v>
      </c>
      <c r="D90" s="17" t="str">
        <f>_xlfn.CONCAT(Instruções!$D$14,".",VLOOKUP(B90,Instruções!$F$12:$H$17,3,0))</f>
        <v>bu_loantape_work.lt003_entity</v>
      </c>
      <c r="E90" s="17" t="s">
        <v>146</v>
      </c>
      <c r="F90" s="17" t="str">
        <f t="shared" si="6"/>
        <v>rtng_scl_as_is</v>
      </c>
      <c r="G90" s="17" t="str">
        <f t="shared" si="7"/>
        <v>rtng_scl_to_be</v>
      </c>
      <c r="H90" s="17" t="str">
        <f>IF(VLOOKUP(B90,Instruções!$F$13:$J$17,5,0)="",
"(SELECT "&amp;VLOOKUP(B90,Instruções!$F$13:$J$17,4,0)&amp;" as "&amp;VLOOKUP(B90,Instruções!$F$13:$J$17,4,0)&amp;"_"&amp;$F$2&amp;", "&amp;E90&amp;" as "&amp;F90&amp;" FROM "&amp;C90&amp;" WHERE "&amp;Instruções!$D$20&amp;") A ",
"(SELECT "&amp;VLOOKUP(B90,Instruções!$F$13:$J$17,4,0)&amp;" as "&amp;VLOOKUP(B90,Instruções!$F$13:$J$17,4,0)&amp;"_"&amp;$F$2&amp;", "&amp;VLOOKUP(B90,Instruções!$F$13:$J$17,5,0)&amp;" as "&amp;VLOOKUP(B90,Instruções!$F$13:$J$17,5,0)&amp;"_"&amp;$F$2&amp;","&amp;E90&amp;" as "&amp;F90&amp;" FROM "&amp;C90&amp;" WHERE "&amp;Instruções!$D$20&amp;") A ")</f>
        <v xml:space="preserve">(SELECT entty_id as entty_id_as_is, rtng_scl as rtng_scl_as_is FROM cd_loan_tapes_bce.lt003_entity WHERE ref_date='2024-09-30' AND nome_perimetro='Individual Corporativo' AND segmento='ESTR' AND ambito='PM' AND entidade='00100' ) A </v>
      </c>
      <c r="I90" s="17" t="str">
        <f>IF(VLOOKUP(B90,Instruções!$F$13:$J$17,5,0)="",
"(SELECT "&amp;VLOOKUP(B90,Instruções!$F$13:$J$17,4,0)&amp;" as "&amp;VLOOKUP(B90,Instruções!$F$13:$J$17,4,0)&amp;"_"&amp;$G$2&amp;", "&amp;E90&amp;" as "&amp;G90&amp;" FROM "&amp;D90&amp;" WHERE "&amp;Instruções!$D$21&amp;") B ",
"(SELECT "&amp;VLOOKUP(B90,Instruções!$F$13:$J$17,4,0)&amp;" as "&amp;VLOOKUP(B90,Instruções!$F$13:$J$17,4,0)&amp;"_"&amp;$G$2&amp;", "&amp;VLOOKUP(B90,Instruções!$F$13:$J$17,5,0)&amp;" as "&amp;VLOOKUP(B90,Instruções!$F$13:$J$17,5,0)&amp;"_"&amp;$G$2&amp;","&amp;E90&amp;" as "&amp;G90&amp;" FROM "&amp;D90&amp;" WHERE "&amp;Instruções!$D$21&amp;") B ")</f>
        <v xml:space="preserve">(SELECT entty_id as entty_id_to_be, rtng_scl as rtng_scl_to_be FROM bu_loantape_work.lt003_entity WHERE ref_date='2024-09-30' AND nome_perimetro='Individual Corporativo' AND segmento='ESTR' AND ambito='PM' AND entidade='00100' ) B </v>
      </c>
      <c r="J90" s="17" t="str">
        <f>IF(VLOOKUP(B90,Instruções!$F$13:$J$17,5,0)="",
"ON "&amp;VLOOKUP(B90,Instruções!$F$13:$J$17,4,0)&amp;"_"&amp;$F$2&amp;" = "&amp;VLOOKUP(B90,Instruções!$F$13:$J$17,4,0)&amp;"_"&amp;$G$2&amp;" ",
"ON "&amp;VLOOKUP(B90,Instruções!$F$13:$J$17,4,0)&amp;"_"&amp;$F$2&amp;" = "&amp;VLOOKUP(B90,Instruções!$F$13:$J$17,4,0)&amp;"_"&amp;$G$2&amp;" AND "&amp;VLOOKUP(B90,Instruções!$F$13:$J$17,5,0)&amp;"_"&amp;$F$2&amp;" = "&amp;VLOOKUP(B90,Instruções!$F$13:$J$17,5,0)&amp;"_"&amp;$G$2&amp;" ")</f>
        <v xml:space="preserve">ON entty_id_as_is = entty_id_to_be </v>
      </c>
      <c r="K90" s="17" t="str">
        <f t="shared" si="8"/>
        <v xml:space="preserve">WHERE coalesce(cast(rtng_scl_as_is as string), '') &lt;&gt; coalesce(cast(rtng_scl_to_be as string), '') </v>
      </c>
      <c r="L90" s="17" t="str">
        <f t="shared" si="9"/>
        <v xml:space="preserve">SELECT count(*) AS NUM_REG_DIF FROM (SELECT entty_id as entty_id_as_is, rtng_scl as rtng_scl_as_is FROM cd_loan_tapes_bce.lt003_entity WHERE ref_date='2024-09-30' AND nome_perimetro='Individual Corporativo' AND segmento='ESTR' AND ambito='PM' AND entidade='00100' ) A  Inner join (SELECT entty_id as entty_id_to_be, rtng_scl as rtng_scl_to_be FROM bu_loantape_work.lt003_entity WHERE ref_date='2024-09-30' AND nome_perimetro='Individual Corporativo' AND segmento='ESTR' AND ambito='PM' AND entidade='00100' ) B ON entty_id_as_is = entty_id_to_be WHERE coalesce(cast(rtng_scl_as_is as string), '') &lt;&gt; coalesce(cast(rtng_scl_to_be as string), '') </v>
      </c>
      <c r="M90" s="17" t="s">
        <v>55</v>
      </c>
      <c r="N90" s="17" t="str">
        <f>"SELECT 'Validação de campos' as tipologia_teste, '"&amp;VLOOKUP(B90,Instruções!$F$13:$J$17,3,0)&amp;"' AS TABELA, '"&amp;E90&amp;"' AS CAMPO, '"&amp;Instruções!$D$15&amp;"' as ref_date, coalesce(NUM_REG_DIF, 0) AS NUM_REG_DIF FROM ("&amp;L90&amp;") A "</f>
        <v xml:space="preserve">SELECT 'Validação de campos' as tipologia_teste, 'lt003_entity' AS TABELA, 'rtng_scl' AS CAMPO, '2024-09-30' as ref_date, coalesce(NUM_REG_DIF, 0) AS NUM_REG_DIF FROM (SELECT count(*) AS NUM_REG_DIF FROM (SELECT entty_id as entty_id_as_is, rtng_scl as rtng_scl_as_is FROM cd_loan_tapes_bce.lt003_entity WHERE ref_date='2024-09-30' AND nome_perimetro='Individual Corporativo' AND segmento='ESTR' AND ambito='PM' AND entidade='00100' ) A  Inner join (SELECT entty_id as entty_id_to_be, rtng_scl as rtng_scl_to_be FROM bu_loantape_work.lt003_entity WHERE ref_date='2024-09-30' AND nome_perimetro='Individual Corporativo' AND segmento='ESTR' AND ambito='PM' AND entidade='00100' ) B ON entty_id_as_is = entty_id_to_be WHERE coalesce(cast(rtng_scl_as_is as string), '') &lt;&gt; coalesce(cast(rtng_scl_to_be as string), '') ) A </v>
      </c>
      <c r="O90" s="19" t="str">
        <f t="shared" si="10"/>
        <v>SELECT 'Validação de campos' as tipologia_teste, 'lt003_entity' AS TABELA, 'rtng_scl' AS CAMPO, '2024-09-30' as ref_date, coalesce(NUM_REG_DIF, 0) AS NUM_REG_DIF FROM (SELECT count(*) AS NUM_REG_DIF FROM (SELECT entty_id as entty_id_as_is, rtng_scl as rtng_scl_as_is FROM cd_loan_tapes_bce.lt003_entity WHERE ref_date='2024-09-30' AND nome_perimetro='Individual Corporativo' AND segmento='ESTR' AND ambito='PM' AND entidade='00100' ) A  Inner join (SELECT entty_id as entty_id_to_be, rtng_scl as rtng_scl_to_be FROM bu_loantape_work.lt003_entity WHERE ref_date='2024-09-30' AND nome_perimetro='Individual Corporativo' AND segmento='ESTR' AND ambito='PM' AND entidade='00100' ) B ON entty_id_as_is = entty_id_to_be WHERE coalesce(cast(rtng_scl_as_is as string), '') &lt;&gt; coalesce(cast(rtng_scl_to_be as string), '') ) A UNION ALL</v>
      </c>
      <c r="P90" s="17">
        <f t="shared" si="11"/>
        <v>36</v>
      </c>
    </row>
    <row r="91" spans="2:16" s="15" customFormat="1" ht="11.45">
      <c r="B91" s="17" t="s">
        <v>11</v>
      </c>
      <c r="C91" s="17" t="str">
        <f>_xlfn.CONCAT(Instruções!$D$13,".",VLOOKUP(B91,Instruções!$F$12:$H$17,2,0))</f>
        <v>cd_loan_tapes_bce.lt003_entity</v>
      </c>
      <c r="D91" s="17" t="str">
        <f>_xlfn.CONCAT(Instruções!$D$14,".",VLOOKUP(B91,Instruções!$F$12:$H$17,3,0))</f>
        <v>bu_loantape_work.lt003_entity</v>
      </c>
      <c r="E91" s="17" t="s">
        <v>148</v>
      </c>
      <c r="F91" s="17" t="str">
        <f t="shared" si="6"/>
        <v>sngl_prps_vhcl_as_is</v>
      </c>
      <c r="G91" s="17" t="str">
        <f t="shared" si="7"/>
        <v>sngl_prps_vhcl_to_be</v>
      </c>
      <c r="H91" s="17" t="str">
        <f>IF(VLOOKUP(B91,Instruções!$F$13:$J$17,5,0)="",
"(SELECT "&amp;VLOOKUP(B91,Instruções!$F$13:$J$17,4,0)&amp;" as "&amp;VLOOKUP(B91,Instruções!$F$13:$J$17,4,0)&amp;"_"&amp;$F$2&amp;", "&amp;E91&amp;" as "&amp;F91&amp;" FROM "&amp;C91&amp;" WHERE "&amp;Instruções!$D$20&amp;") A ",
"(SELECT "&amp;VLOOKUP(B91,Instruções!$F$13:$J$17,4,0)&amp;" as "&amp;VLOOKUP(B91,Instruções!$F$13:$J$17,4,0)&amp;"_"&amp;$F$2&amp;", "&amp;VLOOKUP(B91,Instruções!$F$13:$J$17,5,0)&amp;" as "&amp;VLOOKUP(B91,Instruções!$F$13:$J$17,5,0)&amp;"_"&amp;$F$2&amp;","&amp;E91&amp;" as "&amp;F91&amp;" FROM "&amp;C91&amp;" WHERE "&amp;Instruções!$D$20&amp;") A ")</f>
        <v xml:space="preserve">(SELECT entty_id as entty_id_as_is, sngl_prps_vhcl as sngl_prps_vhcl_as_is FROM cd_loan_tapes_bce.lt003_entity WHERE ref_date='2024-09-30' AND nome_perimetro='Individual Corporativo' AND segmento='ESTR' AND ambito='PM' AND entidade='00100' ) A </v>
      </c>
      <c r="I91" s="17" t="str">
        <f>IF(VLOOKUP(B91,Instruções!$F$13:$J$17,5,0)="",
"(SELECT "&amp;VLOOKUP(B91,Instruções!$F$13:$J$17,4,0)&amp;" as "&amp;VLOOKUP(B91,Instruções!$F$13:$J$17,4,0)&amp;"_"&amp;$G$2&amp;", "&amp;E91&amp;" as "&amp;G91&amp;" FROM "&amp;D91&amp;" WHERE "&amp;Instruções!$D$21&amp;") B ",
"(SELECT "&amp;VLOOKUP(B91,Instruções!$F$13:$J$17,4,0)&amp;" as "&amp;VLOOKUP(B91,Instruções!$F$13:$J$17,4,0)&amp;"_"&amp;$G$2&amp;", "&amp;VLOOKUP(B91,Instruções!$F$13:$J$17,5,0)&amp;" as "&amp;VLOOKUP(B91,Instruções!$F$13:$J$17,5,0)&amp;"_"&amp;$G$2&amp;","&amp;E91&amp;" as "&amp;G91&amp;" FROM "&amp;D91&amp;" WHERE "&amp;Instruções!$D$21&amp;") B ")</f>
        <v xml:space="preserve">(SELECT entty_id as entty_id_to_be, sngl_prps_vhcl as sngl_prps_vhcl_to_be FROM bu_loantape_work.lt003_entity WHERE ref_date='2024-09-30' AND nome_perimetro='Individual Corporativo' AND segmento='ESTR' AND ambito='PM' AND entidade='00100' ) B </v>
      </c>
      <c r="J91" s="17" t="str">
        <f>IF(VLOOKUP(B91,Instruções!$F$13:$J$17,5,0)="",
"ON "&amp;VLOOKUP(B91,Instruções!$F$13:$J$17,4,0)&amp;"_"&amp;$F$2&amp;" = "&amp;VLOOKUP(B91,Instruções!$F$13:$J$17,4,0)&amp;"_"&amp;$G$2&amp;" ",
"ON "&amp;VLOOKUP(B91,Instruções!$F$13:$J$17,4,0)&amp;"_"&amp;$F$2&amp;" = "&amp;VLOOKUP(B91,Instruções!$F$13:$J$17,4,0)&amp;"_"&amp;$G$2&amp;" AND "&amp;VLOOKUP(B91,Instruções!$F$13:$J$17,5,0)&amp;"_"&amp;$F$2&amp;" = "&amp;VLOOKUP(B91,Instruções!$F$13:$J$17,5,0)&amp;"_"&amp;$G$2&amp;" ")</f>
        <v xml:space="preserve">ON entty_id_as_is = entty_id_to_be </v>
      </c>
      <c r="K91" s="17" t="str">
        <f t="shared" si="8"/>
        <v xml:space="preserve">WHERE coalesce(cast(sngl_prps_vhcl_as_is as string), '') &lt;&gt; coalesce(cast(sngl_prps_vhcl_to_be as string), '') </v>
      </c>
      <c r="L91" s="17" t="str">
        <f t="shared" si="9"/>
        <v xml:space="preserve">SELECT count(*) AS NUM_REG_DIF FROM (SELECT entty_id as entty_id_as_is, sngl_prps_vhcl as sngl_prps_vhcl_as_is FROM cd_loan_tapes_bce.lt003_entity WHERE ref_date='2024-09-30' AND nome_perimetro='Individual Corporativo' AND segmento='ESTR' AND ambito='PM' AND entidade='00100' ) A  Inner join (SELECT entty_id as entty_id_to_be, sngl_prps_vhcl as sngl_prps_vhcl_to_be FROM bu_loantape_work.lt003_entity WHERE ref_date='2024-09-30' AND nome_perimetro='Individual Corporativo' AND segmento='ESTR' AND ambito='PM' AND entidade='00100' ) B ON entty_id_as_is = entty_id_to_be WHERE coalesce(cast(sngl_prps_vhcl_as_is as string), '') &lt;&gt; coalesce(cast(sngl_prps_vhcl_to_be as string), '') </v>
      </c>
      <c r="M91" s="17" t="s">
        <v>55</v>
      </c>
      <c r="N91" s="17" t="str">
        <f>"SELECT 'Validação de campos' as tipologia_teste, '"&amp;VLOOKUP(B91,Instruções!$F$13:$J$17,3,0)&amp;"' AS TABELA, '"&amp;E91&amp;"' AS CAMPO, '"&amp;Instruções!$D$15&amp;"' as ref_date, coalesce(NUM_REG_DIF, 0) AS NUM_REG_DIF FROM ("&amp;L91&amp;") A "</f>
        <v xml:space="preserve">SELECT 'Validação de campos' as tipologia_teste, 'lt003_entity' AS TABELA, 'sngl_prps_vhcl' AS CAMPO, '2024-09-30' as ref_date, coalesce(NUM_REG_DIF, 0) AS NUM_REG_DIF FROM (SELECT count(*) AS NUM_REG_DIF FROM (SELECT entty_id as entty_id_as_is, sngl_prps_vhcl as sngl_prps_vhcl_as_is FROM cd_loan_tapes_bce.lt003_entity WHERE ref_date='2024-09-30' AND nome_perimetro='Individual Corporativo' AND segmento='ESTR' AND ambito='PM' AND entidade='00100' ) A  Inner join (SELECT entty_id as entty_id_to_be, sngl_prps_vhcl as sngl_prps_vhcl_to_be FROM bu_loantape_work.lt003_entity WHERE ref_date='2024-09-30' AND nome_perimetro='Individual Corporativo' AND segmento='ESTR' AND ambito='PM' AND entidade='00100' ) B ON entty_id_as_is = entty_id_to_be WHERE coalesce(cast(sngl_prps_vhcl_as_is as string), '') &lt;&gt; coalesce(cast(sngl_prps_vhcl_to_be as string), '') ) A </v>
      </c>
      <c r="O91" s="19" t="str">
        <f t="shared" si="10"/>
        <v>SELECT 'Validação de campos' as tipologia_teste, 'lt003_entity' AS TABELA, 'sngl_prps_vhcl' AS CAMPO, '2024-09-30' as ref_date, coalesce(NUM_REG_DIF, 0) AS NUM_REG_DIF FROM (SELECT count(*) AS NUM_REG_DIF FROM (SELECT entty_id as entty_id_as_is, sngl_prps_vhcl as sngl_prps_vhcl_as_is FROM cd_loan_tapes_bce.lt003_entity WHERE ref_date='2024-09-30' AND nome_perimetro='Individual Corporativo' AND segmento='ESTR' AND ambito='PM' AND entidade='00100' ) A  Inner join (SELECT entty_id as entty_id_to_be, sngl_prps_vhcl as sngl_prps_vhcl_to_be FROM bu_loantape_work.lt003_entity WHERE ref_date='2024-09-30' AND nome_perimetro='Individual Corporativo' AND segmento='ESTR' AND ambito='PM' AND entidade='00100' ) B ON entty_id_as_is = entty_id_to_be WHERE coalesce(cast(sngl_prps_vhcl_as_is as string), '') &lt;&gt; coalesce(cast(sngl_prps_vhcl_to_be as string), '') ) A UNION ALL</v>
      </c>
      <c r="P91" s="17">
        <f t="shared" si="11"/>
        <v>37</v>
      </c>
    </row>
    <row r="92" spans="2:16" s="15" customFormat="1" ht="11.45">
      <c r="B92" s="17" t="s">
        <v>11</v>
      </c>
      <c r="C92" s="17" t="str">
        <f>_xlfn.CONCAT(Instruções!$D$13,".",VLOOKUP(B92,Instruções!$F$12:$H$17,2,0))</f>
        <v>cd_loan_tapes_bce.lt003_entity</v>
      </c>
      <c r="D92" s="17" t="str">
        <f>_xlfn.CONCAT(Instruções!$D$14,".",VLOOKUP(B92,Instruções!$F$12:$H$17,3,0))</f>
        <v>bu_loantape_work.lt003_entity</v>
      </c>
      <c r="E92" s="17" t="s">
        <v>149</v>
      </c>
      <c r="F92" s="17" t="str">
        <f t="shared" si="6"/>
        <v>tax_id_as_is</v>
      </c>
      <c r="G92" s="17" t="str">
        <f t="shared" si="7"/>
        <v>tax_id_to_be</v>
      </c>
      <c r="H92" s="17" t="str">
        <f>IF(VLOOKUP(B92,Instruções!$F$13:$J$17,5,0)="",
"(SELECT "&amp;VLOOKUP(B92,Instruções!$F$13:$J$17,4,0)&amp;" as "&amp;VLOOKUP(B92,Instruções!$F$13:$J$17,4,0)&amp;"_"&amp;$F$2&amp;", "&amp;E92&amp;" as "&amp;F92&amp;" FROM "&amp;C92&amp;" WHERE "&amp;Instruções!$D$20&amp;") A ",
"(SELECT "&amp;VLOOKUP(B92,Instruções!$F$13:$J$17,4,0)&amp;" as "&amp;VLOOKUP(B92,Instruções!$F$13:$J$17,4,0)&amp;"_"&amp;$F$2&amp;", "&amp;VLOOKUP(B92,Instruções!$F$13:$J$17,5,0)&amp;" as "&amp;VLOOKUP(B92,Instruções!$F$13:$J$17,5,0)&amp;"_"&amp;$F$2&amp;","&amp;E92&amp;" as "&amp;F92&amp;" FROM "&amp;C92&amp;" WHERE "&amp;Instruções!$D$20&amp;") A ")</f>
        <v xml:space="preserve">(SELECT entty_id as entty_id_as_is, tax_id as tax_id_as_is FROM cd_loan_tapes_bce.lt003_entity WHERE ref_date='2024-09-30' AND nome_perimetro='Individual Corporativo' AND segmento='ESTR' AND ambito='PM' AND entidade='00100' ) A </v>
      </c>
      <c r="I92" s="17" t="str">
        <f>IF(VLOOKUP(B92,Instruções!$F$13:$J$17,5,0)="",
"(SELECT "&amp;VLOOKUP(B92,Instruções!$F$13:$J$17,4,0)&amp;" as "&amp;VLOOKUP(B92,Instruções!$F$13:$J$17,4,0)&amp;"_"&amp;$G$2&amp;", "&amp;E92&amp;" as "&amp;G92&amp;" FROM "&amp;D92&amp;" WHERE "&amp;Instruções!$D$21&amp;") B ",
"(SELECT "&amp;VLOOKUP(B92,Instruções!$F$13:$J$17,4,0)&amp;" as "&amp;VLOOKUP(B92,Instruções!$F$13:$J$17,4,0)&amp;"_"&amp;$G$2&amp;", "&amp;VLOOKUP(B92,Instruções!$F$13:$J$17,5,0)&amp;" as "&amp;VLOOKUP(B92,Instruções!$F$13:$J$17,5,0)&amp;"_"&amp;$G$2&amp;","&amp;E92&amp;" as "&amp;G92&amp;" FROM "&amp;D92&amp;" WHERE "&amp;Instruções!$D$21&amp;") B ")</f>
        <v xml:space="preserve">(SELECT entty_id as entty_id_to_be, tax_id as tax_id_to_be FROM bu_loantape_work.lt003_entity WHERE ref_date='2024-09-30' AND nome_perimetro='Individual Corporativo' AND segmento='ESTR' AND ambito='PM' AND entidade='00100' ) B </v>
      </c>
      <c r="J92" s="17" t="str">
        <f>IF(VLOOKUP(B92,Instruções!$F$13:$J$17,5,0)="",
"ON "&amp;VLOOKUP(B92,Instruções!$F$13:$J$17,4,0)&amp;"_"&amp;$F$2&amp;" = "&amp;VLOOKUP(B92,Instruções!$F$13:$J$17,4,0)&amp;"_"&amp;$G$2&amp;" ",
"ON "&amp;VLOOKUP(B92,Instruções!$F$13:$J$17,4,0)&amp;"_"&amp;$F$2&amp;" = "&amp;VLOOKUP(B92,Instruções!$F$13:$J$17,4,0)&amp;"_"&amp;$G$2&amp;" AND "&amp;VLOOKUP(B92,Instruções!$F$13:$J$17,5,0)&amp;"_"&amp;$F$2&amp;" = "&amp;VLOOKUP(B92,Instruções!$F$13:$J$17,5,0)&amp;"_"&amp;$G$2&amp;" ")</f>
        <v xml:space="preserve">ON entty_id_as_is = entty_id_to_be </v>
      </c>
      <c r="K92" s="17" t="str">
        <f t="shared" si="8"/>
        <v xml:space="preserve">WHERE coalesce(cast(tax_id_as_is as string), '') &lt;&gt; coalesce(cast(tax_id_to_be as string), '') </v>
      </c>
      <c r="L92" s="17" t="str">
        <f t="shared" si="9"/>
        <v xml:space="preserve">SELECT count(*) AS NUM_REG_DIF FROM (SELECT entty_id as entty_id_as_is, tax_id as tax_id_as_is FROM cd_loan_tapes_bce.lt003_entity WHERE ref_date='2024-09-30' AND nome_perimetro='Individual Corporativo' AND segmento='ESTR' AND ambito='PM' AND entidade='00100' ) A  Inner join (SELECT entty_id as entty_id_to_be, tax_id as tax_id_to_be FROM bu_loantape_work.lt003_entity WHERE ref_date='2024-09-30' AND nome_perimetro='Individual Corporativo' AND segmento='ESTR' AND ambito='PM' AND entidade='00100' ) B ON entty_id_as_is = entty_id_to_be WHERE coalesce(cast(tax_id_as_is as string), '') &lt;&gt; coalesce(cast(tax_id_to_be as string), '') </v>
      </c>
      <c r="M92" s="17" t="s">
        <v>55</v>
      </c>
      <c r="N92" s="17" t="str">
        <f>"SELECT 'Validação de campos' as tipologia_teste, '"&amp;VLOOKUP(B92,Instruções!$F$13:$J$17,3,0)&amp;"' AS TABELA, '"&amp;E92&amp;"' AS CAMPO, '"&amp;Instruções!$D$15&amp;"' as ref_date, coalesce(NUM_REG_DIF, 0) AS NUM_REG_DIF FROM ("&amp;L92&amp;") A "</f>
        <v xml:space="preserve">SELECT 'Validação de campos' as tipologia_teste, 'lt003_entity' AS TABELA, 'tax_id' AS CAMPO, '2024-09-30' as ref_date, coalesce(NUM_REG_DIF, 0) AS NUM_REG_DIF FROM (SELECT count(*) AS NUM_REG_DIF FROM (SELECT entty_id as entty_id_as_is, tax_id as tax_id_as_is FROM cd_loan_tapes_bce.lt003_entity WHERE ref_date='2024-09-30' AND nome_perimetro='Individual Corporativo' AND segmento='ESTR' AND ambito='PM' AND entidade='00100' ) A  Inner join (SELECT entty_id as entty_id_to_be, tax_id as tax_id_to_be FROM bu_loantape_work.lt003_entity WHERE ref_date='2024-09-30' AND nome_perimetro='Individual Corporativo' AND segmento='ESTR' AND ambito='PM' AND entidade='00100' ) B ON entty_id_as_is = entty_id_to_be WHERE coalesce(cast(tax_id_as_is as string), '') &lt;&gt; coalesce(cast(tax_id_to_be as string), '') ) A </v>
      </c>
      <c r="O92" s="19" t="str">
        <f t="shared" si="10"/>
        <v>SELECT 'Validação de campos' as tipologia_teste, 'lt003_entity' AS TABELA, 'tax_id' AS CAMPO, '2024-09-30' as ref_date, coalesce(NUM_REG_DIF, 0) AS NUM_REG_DIF FROM (SELECT count(*) AS NUM_REG_DIF FROM (SELECT entty_id as entty_id_as_is, tax_id as tax_id_as_is FROM cd_loan_tapes_bce.lt003_entity WHERE ref_date='2024-09-30' AND nome_perimetro='Individual Corporativo' AND segmento='ESTR' AND ambito='PM' AND entidade='00100' ) A  Inner join (SELECT entty_id as entty_id_to_be, tax_id as tax_id_to_be FROM bu_loantape_work.lt003_entity WHERE ref_date='2024-09-30' AND nome_perimetro='Individual Corporativo' AND segmento='ESTR' AND ambito='PM' AND entidade='00100' ) B ON entty_id_as_is = entty_id_to_be WHERE coalesce(cast(tax_id_as_is as string), '') &lt;&gt; coalesce(cast(tax_id_to_be as string), '') ) A UNION ALL</v>
      </c>
      <c r="P92" s="17">
        <f t="shared" si="11"/>
        <v>38</v>
      </c>
    </row>
    <row r="93" spans="2:16" s="15" customFormat="1" ht="11.45">
      <c r="B93" s="17" t="s">
        <v>11</v>
      </c>
      <c r="C93" s="17" t="str">
        <f>_xlfn.CONCAT(Instruções!$D$13,".",VLOOKUP(B93,Instruções!$F$12:$H$17,2,0))</f>
        <v>cd_loan_tapes_bce.lt003_entity</v>
      </c>
      <c r="D93" s="17" t="str">
        <f>_xlfn.CONCAT(Instruções!$D$14,".",VLOOKUP(B93,Instruções!$F$12:$H$17,3,0))</f>
        <v>bu_loantape_work.lt003_entity</v>
      </c>
      <c r="E93" s="17" t="s">
        <v>150</v>
      </c>
      <c r="F93" s="17" t="str">
        <f t="shared" si="6"/>
        <v>ttl_dbt_as_is</v>
      </c>
      <c r="G93" s="17" t="str">
        <f t="shared" si="7"/>
        <v>ttl_dbt_to_be</v>
      </c>
      <c r="H93" s="17" t="str">
        <f>IF(VLOOKUP(B93,Instruções!$F$13:$J$17,5,0)="",
"(SELECT "&amp;VLOOKUP(B93,Instruções!$F$13:$J$17,4,0)&amp;" as "&amp;VLOOKUP(B93,Instruções!$F$13:$J$17,4,0)&amp;"_"&amp;$F$2&amp;", "&amp;E93&amp;" as "&amp;F93&amp;" FROM "&amp;C93&amp;" WHERE "&amp;Instruções!$D$20&amp;") A ",
"(SELECT "&amp;VLOOKUP(B93,Instruções!$F$13:$J$17,4,0)&amp;" as "&amp;VLOOKUP(B93,Instruções!$F$13:$J$17,4,0)&amp;"_"&amp;$F$2&amp;", "&amp;VLOOKUP(B93,Instruções!$F$13:$J$17,5,0)&amp;" as "&amp;VLOOKUP(B93,Instruções!$F$13:$J$17,5,0)&amp;"_"&amp;$F$2&amp;","&amp;E93&amp;" as "&amp;F93&amp;" FROM "&amp;C93&amp;" WHERE "&amp;Instruções!$D$20&amp;") A ")</f>
        <v xml:space="preserve">(SELECT entty_id as entty_id_as_is, ttl_dbt as ttl_dbt_as_is FROM cd_loan_tapes_bce.lt003_entity WHERE ref_date='2024-09-30' AND nome_perimetro='Individual Corporativo' AND segmento='ESTR' AND ambito='PM' AND entidade='00100' ) A </v>
      </c>
      <c r="I93" s="17" t="str">
        <f>IF(VLOOKUP(B93,Instruções!$F$13:$J$17,5,0)="",
"(SELECT "&amp;VLOOKUP(B93,Instruções!$F$13:$J$17,4,0)&amp;" as "&amp;VLOOKUP(B93,Instruções!$F$13:$J$17,4,0)&amp;"_"&amp;$G$2&amp;", "&amp;E93&amp;" as "&amp;G93&amp;" FROM "&amp;D93&amp;" WHERE "&amp;Instruções!$D$21&amp;") B ",
"(SELECT "&amp;VLOOKUP(B93,Instruções!$F$13:$J$17,4,0)&amp;" as "&amp;VLOOKUP(B93,Instruções!$F$13:$J$17,4,0)&amp;"_"&amp;$G$2&amp;", "&amp;VLOOKUP(B93,Instruções!$F$13:$J$17,5,0)&amp;" as "&amp;VLOOKUP(B93,Instruções!$F$13:$J$17,5,0)&amp;"_"&amp;$G$2&amp;","&amp;E93&amp;" as "&amp;G93&amp;" FROM "&amp;D93&amp;" WHERE "&amp;Instruções!$D$21&amp;") B ")</f>
        <v xml:space="preserve">(SELECT entty_id as entty_id_to_be, ttl_dbt as ttl_dbt_to_be FROM bu_loantape_work.lt003_entity WHERE ref_date='2024-09-30' AND nome_perimetro='Individual Corporativo' AND segmento='ESTR' AND ambito='PM' AND entidade='00100' ) B </v>
      </c>
      <c r="J93" s="17" t="str">
        <f>IF(VLOOKUP(B93,Instruções!$F$13:$J$17,5,0)="",
"ON "&amp;VLOOKUP(B93,Instruções!$F$13:$J$17,4,0)&amp;"_"&amp;$F$2&amp;" = "&amp;VLOOKUP(B93,Instruções!$F$13:$J$17,4,0)&amp;"_"&amp;$G$2&amp;" ",
"ON "&amp;VLOOKUP(B93,Instruções!$F$13:$J$17,4,0)&amp;"_"&amp;$F$2&amp;" = "&amp;VLOOKUP(B93,Instruções!$F$13:$J$17,4,0)&amp;"_"&amp;$G$2&amp;" AND "&amp;VLOOKUP(B93,Instruções!$F$13:$J$17,5,0)&amp;"_"&amp;$F$2&amp;" = "&amp;VLOOKUP(B93,Instruções!$F$13:$J$17,5,0)&amp;"_"&amp;$G$2&amp;" ")</f>
        <v xml:space="preserve">ON entty_id_as_is = entty_id_to_be </v>
      </c>
      <c r="K93" s="17" t="str">
        <f t="shared" si="8"/>
        <v xml:space="preserve">WHERE coalesce(cast(ttl_dbt_as_is as string), '') &lt;&gt; coalesce(cast(ttl_dbt_to_be as string), '') </v>
      </c>
      <c r="L93" s="17" t="str">
        <f t="shared" si="9"/>
        <v xml:space="preserve">SELECT count(*) AS NUM_REG_DIF FROM (SELECT entty_id as entty_id_as_is, ttl_dbt as ttl_dbt_as_is FROM cd_loan_tapes_bce.lt003_entity WHERE ref_date='2024-09-30' AND nome_perimetro='Individual Corporativo' AND segmento='ESTR' AND ambito='PM' AND entidade='00100' ) A  Inner join (SELECT entty_id as entty_id_to_be, ttl_dbt as ttl_dbt_to_be FROM bu_loantape_work.lt003_entity WHERE ref_date='2024-09-30' AND nome_perimetro='Individual Corporativo' AND segmento='ESTR' AND ambito='PM' AND entidade='00100' ) B ON entty_id_as_is = entty_id_to_be WHERE coalesce(cast(ttl_dbt_as_is as string), '') &lt;&gt; coalesce(cast(ttl_dbt_to_be as string), '') </v>
      </c>
      <c r="M93" s="17" t="s">
        <v>55</v>
      </c>
      <c r="N93" s="17" t="str">
        <f>"SELECT 'Validação de campos' as tipologia_teste, '"&amp;VLOOKUP(B93,Instruções!$F$13:$J$17,3,0)&amp;"' AS TABELA, '"&amp;E93&amp;"' AS CAMPO, '"&amp;Instruções!$D$15&amp;"' as ref_date, coalesce(NUM_REG_DIF, 0) AS NUM_REG_DIF FROM ("&amp;L93&amp;") A "</f>
        <v xml:space="preserve">SELECT 'Validação de campos' as tipologia_teste, 'lt003_entity' AS TABELA, 'ttl_dbt' AS CAMPO, '2024-09-30' as ref_date, coalesce(NUM_REG_DIF, 0) AS NUM_REG_DIF FROM (SELECT count(*) AS NUM_REG_DIF FROM (SELECT entty_id as entty_id_as_is, ttl_dbt as ttl_dbt_as_is FROM cd_loan_tapes_bce.lt003_entity WHERE ref_date='2024-09-30' AND nome_perimetro='Individual Corporativo' AND segmento='ESTR' AND ambito='PM' AND entidade='00100' ) A  Inner join (SELECT entty_id as entty_id_to_be, ttl_dbt as ttl_dbt_to_be FROM bu_loantape_work.lt003_entity WHERE ref_date='2024-09-30' AND nome_perimetro='Individual Corporativo' AND segmento='ESTR' AND ambito='PM' AND entidade='00100' ) B ON entty_id_as_is = entty_id_to_be WHERE coalesce(cast(ttl_dbt_as_is as string), '') &lt;&gt; coalesce(cast(ttl_dbt_to_be as string), '') ) A </v>
      </c>
      <c r="O93" s="19" t="str">
        <f t="shared" si="10"/>
        <v>SELECT 'Validação de campos' as tipologia_teste, 'lt003_entity' AS TABELA, 'ttl_dbt' AS CAMPO, '2024-09-30' as ref_date, coalesce(NUM_REG_DIF, 0) AS NUM_REG_DIF FROM (SELECT count(*) AS NUM_REG_DIF FROM (SELECT entty_id as entty_id_as_is, ttl_dbt as ttl_dbt_as_is FROM cd_loan_tapes_bce.lt003_entity WHERE ref_date='2024-09-30' AND nome_perimetro='Individual Corporativo' AND segmento='ESTR' AND ambito='PM' AND entidade='00100' ) A  Inner join (SELECT entty_id as entty_id_to_be, ttl_dbt as ttl_dbt_to_be FROM bu_loantape_work.lt003_entity WHERE ref_date='2024-09-30' AND nome_perimetro='Individual Corporativo' AND segmento='ESTR' AND ambito='PM' AND entidade='00100' ) B ON entty_id_as_is = entty_id_to_be WHERE coalesce(cast(ttl_dbt_as_is as string), '') &lt;&gt; coalesce(cast(ttl_dbt_to_be as string), '') ) A UNION ALL</v>
      </c>
      <c r="P93" s="17">
        <f t="shared" si="11"/>
        <v>39</v>
      </c>
    </row>
    <row r="94" spans="2:16" s="15" customFormat="1" ht="11.45">
      <c r="B94" s="17" t="s">
        <v>11</v>
      </c>
      <c r="C94" s="17" t="str">
        <f>_xlfn.CONCAT(Instruções!$D$13,".",VLOOKUP(B94,Instruções!$F$12:$H$17,2,0))</f>
        <v>cd_loan_tapes_bce.lt003_entity</v>
      </c>
      <c r="D94" s="17" t="str">
        <f>_xlfn.CONCAT(Instruções!$D$14,".",VLOOKUP(B94,Instruções!$F$12:$H$17,3,0))</f>
        <v>bu_loantape_work.lt003_entity</v>
      </c>
      <c r="E94" s="17" t="s">
        <v>151</v>
      </c>
      <c r="F94" s="17" t="str">
        <f t="shared" si="6"/>
        <v>ttl_dbt_prvs_as_is</v>
      </c>
      <c r="G94" s="17" t="str">
        <f t="shared" si="7"/>
        <v>ttl_dbt_prvs_to_be</v>
      </c>
      <c r="H94" s="17" t="str">
        <f>IF(VLOOKUP(B94,Instruções!$F$13:$J$17,5,0)="",
"(SELECT "&amp;VLOOKUP(B94,Instruções!$F$13:$J$17,4,0)&amp;" as "&amp;VLOOKUP(B94,Instruções!$F$13:$J$17,4,0)&amp;"_"&amp;$F$2&amp;", "&amp;E94&amp;" as "&amp;F94&amp;" FROM "&amp;C94&amp;" WHERE "&amp;Instruções!$D$20&amp;") A ",
"(SELECT "&amp;VLOOKUP(B94,Instruções!$F$13:$J$17,4,0)&amp;" as "&amp;VLOOKUP(B94,Instruções!$F$13:$J$17,4,0)&amp;"_"&amp;$F$2&amp;", "&amp;VLOOKUP(B94,Instruções!$F$13:$J$17,5,0)&amp;" as "&amp;VLOOKUP(B94,Instruções!$F$13:$J$17,5,0)&amp;"_"&amp;$F$2&amp;","&amp;E94&amp;" as "&amp;F94&amp;" FROM "&amp;C94&amp;" WHERE "&amp;Instruções!$D$20&amp;") A ")</f>
        <v xml:space="preserve">(SELECT entty_id as entty_id_as_is, ttl_dbt_prvs as ttl_dbt_prvs_as_is FROM cd_loan_tapes_bce.lt003_entity WHERE ref_date='2024-09-30' AND nome_perimetro='Individual Corporativo' AND segmento='ESTR' AND ambito='PM' AND entidade='00100' ) A </v>
      </c>
      <c r="I94" s="17" t="str">
        <f>IF(VLOOKUP(B94,Instruções!$F$13:$J$17,5,0)="",
"(SELECT "&amp;VLOOKUP(B94,Instruções!$F$13:$J$17,4,0)&amp;" as "&amp;VLOOKUP(B94,Instruções!$F$13:$J$17,4,0)&amp;"_"&amp;$G$2&amp;", "&amp;E94&amp;" as "&amp;G94&amp;" FROM "&amp;D94&amp;" WHERE "&amp;Instruções!$D$21&amp;") B ",
"(SELECT "&amp;VLOOKUP(B94,Instruções!$F$13:$J$17,4,0)&amp;" as "&amp;VLOOKUP(B94,Instruções!$F$13:$J$17,4,0)&amp;"_"&amp;$G$2&amp;", "&amp;VLOOKUP(B94,Instruções!$F$13:$J$17,5,0)&amp;" as "&amp;VLOOKUP(B94,Instruções!$F$13:$J$17,5,0)&amp;"_"&amp;$G$2&amp;","&amp;E94&amp;" as "&amp;G94&amp;" FROM "&amp;D94&amp;" WHERE "&amp;Instruções!$D$21&amp;") B ")</f>
        <v xml:space="preserve">(SELECT entty_id as entty_id_to_be, ttl_dbt_prvs as ttl_dbt_prvs_to_be FROM bu_loantape_work.lt003_entity WHERE ref_date='2024-09-30' AND nome_perimetro='Individual Corporativo' AND segmento='ESTR' AND ambito='PM' AND entidade='00100' ) B </v>
      </c>
      <c r="J94" s="17" t="str">
        <f>IF(VLOOKUP(B94,Instruções!$F$13:$J$17,5,0)="",
"ON "&amp;VLOOKUP(B94,Instruções!$F$13:$J$17,4,0)&amp;"_"&amp;$F$2&amp;" = "&amp;VLOOKUP(B94,Instruções!$F$13:$J$17,4,0)&amp;"_"&amp;$G$2&amp;" ",
"ON "&amp;VLOOKUP(B94,Instruções!$F$13:$J$17,4,0)&amp;"_"&amp;$F$2&amp;" = "&amp;VLOOKUP(B94,Instruções!$F$13:$J$17,4,0)&amp;"_"&amp;$G$2&amp;" AND "&amp;VLOOKUP(B94,Instruções!$F$13:$J$17,5,0)&amp;"_"&amp;$F$2&amp;" = "&amp;VLOOKUP(B94,Instruções!$F$13:$J$17,5,0)&amp;"_"&amp;$G$2&amp;" ")</f>
        <v xml:space="preserve">ON entty_id_as_is = entty_id_to_be </v>
      </c>
      <c r="K94" s="17" t="str">
        <f t="shared" si="8"/>
        <v xml:space="preserve">WHERE coalesce(cast(ttl_dbt_prvs_as_is as string), '') &lt;&gt; coalesce(cast(ttl_dbt_prvs_to_be as string), '') </v>
      </c>
      <c r="L94" s="17" t="str">
        <f t="shared" si="9"/>
        <v xml:space="preserve">SELECT count(*) AS NUM_REG_DIF FROM (SELECT entty_id as entty_id_as_is, ttl_dbt_prvs as ttl_dbt_prvs_as_is FROM cd_loan_tapes_bce.lt003_entity WHERE ref_date='2024-09-30' AND nome_perimetro='Individual Corporativo' AND segmento='ESTR' AND ambito='PM' AND entidade='00100' ) A  Inner join (SELECT entty_id as entty_id_to_be, ttl_dbt_prvs as ttl_dbt_prvs_to_be FROM bu_loantape_work.lt003_entity WHERE ref_date='2024-09-30' AND nome_perimetro='Individual Corporativo' AND segmento='ESTR' AND ambito='PM' AND entidade='00100' ) B ON entty_id_as_is = entty_id_to_be WHERE coalesce(cast(ttl_dbt_prvs_as_is as string), '') &lt;&gt; coalesce(cast(ttl_dbt_prvs_to_be as string), '') </v>
      </c>
      <c r="M94" s="17" t="s">
        <v>55</v>
      </c>
      <c r="N94" s="17" t="str">
        <f>"SELECT 'Validação de campos' as tipologia_teste, '"&amp;VLOOKUP(B94,Instruções!$F$13:$J$17,3,0)&amp;"' AS TABELA, '"&amp;E94&amp;"' AS CAMPO, '"&amp;Instruções!$D$15&amp;"' as ref_date, coalesce(NUM_REG_DIF, 0) AS NUM_REG_DIF FROM ("&amp;L94&amp;") A "</f>
        <v xml:space="preserve">SELECT 'Validação de campos' as tipologia_teste, 'lt003_entity' AS TABELA, 'ttl_dbt_prvs' AS CAMPO, '2024-09-30' as ref_date, coalesce(NUM_REG_DIF, 0) AS NUM_REG_DIF FROM (SELECT count(*) AS NUM_REG_DIF FROM (SELECT entty_id as entty_id_as_is, ttl_dbt_prvs as ttl_dbt_prvs_as_is FROM cd_loan_tapes_bce.lt003_entity WHERE ref_date='2024-09-30' AND nome_perimetro='Individual Corporativo' AND segmento='ESTR' AND ambito='PM' AND entidade='00100' ) A  Inner join (SELECT entty_id as entty_id_to_be, ttl_dbt_prvs as ttl_dbt_prvs_to_be FROM bu_loantape_work.lt003_entity WHERE ref_date='2024-09-30' AND nome_perimetro='Individual Corporativo' AND segmento='ESTR' AND ambito='PM' AND entidade='00100' ) B ON entty_id_as_is = entty_id_to_be WHERE coalesce(cast(ttl_dbt_prvs_as_is as string), '') &lt;&gt; coalesce(cast(ttl_dbt_prvs_to_be as string), '') ) A </v>
      </c>
      <c r="O94" s="19" t="str">
        <f t="shared" si="10"/>
        <v>SELECT 'Validação de campos' as tipologia_teste, 'lt003_entity' AS TABELA, 'ttl_dbt_prvs' AS CAMPO, '2024-09-30' as ref_date, coalesce(NUM_REG_DIF, 0) AS NUM_REG_DIF FROM (SELECT count(*) AS NUM_REG_DIF FROM (SELECT entty_id as entty_id_as_is, ttl_dbt_prvs as ttl_dbt_prvs_as_is FROM cd_loan_tapes_bce.lt003_entity WHERE ref_date='2024-09-30' AND nome_perimetro='Individual Corporativo' AND segmento='ESTR' AND ambito='PM' AND entidade='00100' ) A  Inner join (SELECT entty_id as entty_id_to_be, ttl_dbt_prvs as ttl_dbt_prvs_to_be FROM bu_loantape_work.lt003_entity WHERE ref_date='2024-09-30' AND nome_perimetro='Individual Corporativo' AND segmento='ESTR' AND ambito='PM' AND entidade='00100' ) B ON entty_id_as_is = entty_id_to_be WHERE coalesce(cast(ttl_dbt_prvs_as_is as string), '') &lt;&gt; coalesce(cast(ttl_dbt_prvs_to_be as string), '') ) A UNION ALL</v>
      </c>
      <c r="P94" s="17">
        <f t="shared" si="11"/>
        <v>40</v>
      </c>
    </row>
    <row r="95" spans="2:16" s="15" customFormat="1" ht="11.45">
      <c r="B95" s="17" t="s">
        <v>11</v>
      </c>
      <c r="C95" s="17" t="str">
        <f>_xlfn.CONCAT(Instruções!$D$13,".",VLOOKUP(B95,Instruções!$F$12:$H$17,2,0))</f>
        <v>cd_loan_tapes_bce.lt003_entity</v>
      </c>
      <c r="D95" s="17" t="str">
        <f>_xlfn.CONCAT(Instruções!$D$14,".",VLOOKUP(B95,Instruções!$F$12:$H$17,3,0))</f>
        <v>bu_loantape_work.lt003_entity</v>
      </c>
      <c r="E95" s="17" t="s">
        <v>152</v>
      </c>
      <c r="F95" s="17" t="str">
        <f t="shared" si="6"/>
        <v>ttl_intrst_pd_as_is</v>
      </c>
      <c r="G95" s="17" t="str">
        <f t="shared" si="7"/>
        <v>ttl_intrst_pd_to_be</v>
      </c>
      <c r="H95" s="17" t="str">
        <f>IF(VLOOKUP(B95,Instruções!$F$13:$J$17,5,0)="",
"(SELECT "&amp;VLOOKUP(B95,Instruções!$F$13:$J$17,4,0)&amp;" as "&amp;VLOOKUP(B95,Instruções!$F$13:$J$17,4,0)&amp;"_"&amp;$F$2&amp;", "&amp;E95&amp;" as "&amp;F95&amp;" FROM "&amp;C95&amp;" WHERE "&amp;Instruções!$D$20&amp;") A ",
"(SELECT "&amp;VLOOKUP(B95,Instruções!$F$13:$J$17,4,0)&amp;" as "&amp;VLOOKUP(B95,Instruções!$F$13:$J$17,4,0)&amp;"_"&amp;$F$2&amp;", "&amp;VLOOKUP(B95,Instruções!$F$13:$J$17,5,0)&amp;" as "&amp;VLOOKUP(B95,Instruções!$F$13:$J$17,5,0)&amp;"_"&amp;$F$2&amp;","&amp;E95&amp;" as "&amp;F95&amp;" FROM "&amp;C95&amp;" WHERE "&amp;Instruções!$D$20&amp;") A ")</f>
        <v xml:space="preserve">(SELECT entty_id as entty_id_as_is, ttl_intrst_pd as ttl_intrst_pd_as_is FROM cd_loan_tapes_bce.lt003_entity WHERE ref_date='2024-09-30' AND nome_perimetro='Individual Corporativo' AND segmento='ESTR' AND ambito='PM' AND entidade='00100' ) A </v>
      </c>
      <c r="I95" s="17" t="str">
        <f>IF(VLOOKUP(B95,Instruções!$F$13:$J$17,5,0)="",
"(SELECT "&amp;VLOOKUP(B95,Instruções!$F$13:$J$17,4,0)&amp;" as "&amp;VLOOKUP(B95,Instruções!$F$13:$J$17,4,0)&amp;"_"&amp;$G$2&amp;", "&amp;E95&amp;" as "&amp;G95&amp;" FROM "&amp;D95&amp;" WHERE "&amp;Instruções!$D$21&amp;") B ",
"(SELECT "&amp;VLOOKUP(B95,Instruções!$F$13:$J$17,4,0)&amp;" as "&amp;VLOOKUP(B95,Instruções!$F$13:$J$17,4,0)&amp;"_"&amp;$G$2&amp;", "&amp;VLOOKUP(B95,Instruções!$F$13:$J$17,5,0)&amp;" as "&amp;VLOOKUP(B95,Instruções!$F$13:$J$17,5,0)&amp;"_"&amp;$G$2&amp;","&amp;E95&amp;" as "&amp;G95&amp;" FROM "&amp;D95&amp;" WHERE "&amp;Instruções!$D$21&amp;") B ")</f>
        <v xml:space="preserve">(SELECT entty_id as entty_id_to_be, ttl_intrst_pd as ttl_intrst_pd_to_be FROM bu_loantape_work.lt003_entity WHERE ref_date='2024-09-30' AND nome_perimetro='Individual Corporativo' AND segmento='ESTR' AND ambito='PM' AND entidade='00100' ) B </v>
      </c>
      <c r="J95" s="17" t="str">
        <f>IF(VLOOKUP(B95,Instruções!$F$13:$J$17,5,0)="",
"ON "&amp;VLOOKUP(B95,Instruções!$F$13:$J$17,4,0)&amp;"_"&amp;$F$2&amp;" = "&amp;VLOOKUP(B95,Instruções!$F$13:$J$17,4,0)&amp;"_"&amp;$G$2&amp;" ",
"ON "&amp;VLOOKUP(B95,Instruções!$F$13:$J$17,4,0)&amp;"_"&amp;$F$2&amp;" = "&amp;VLOOKUP(B95,Instruções!$F$13:$J$17,4,0)&amp;"_"&amp;$G$2&amp;" AND "&amp;VLOOKUP(B95,Instruções!$F$13:$J$17,5,0)&amp;"_"&amp;$F$2&amp;" = "&amp;VLOOKUP(B95,Instruções!$F$13:$J$17,5,0)&amp;"_"&amp;$G$2&amp;" ")</f>
        <v xml:space="preserve">ON entty_id_as_is = entty_id_to_be </v>
      </c>
      <c r="K95" s="17" t="str">
        <f t="shared" si="8"/>
        <v xml:space="preserve">WHERE coalesce(cast(ttl_intrst_pd_as_is as string), '') &lt;&gt; coalesce(cast(ttl_intrst_pd_to_be as string), '') </v>
      </c>
      <c r="L95" s="17" t="str">
        <f t="shared" si="9"/>
        <v xml:space="preserve">SELECT count(*) AS NUM_REG_DIF FROM (SELECT entty_id as entty_id_as_is, ttl_intrst_pd as ttl_intrst_pd_as_is FROM cd_loan_tapes_bce.lt003_entity WHERE ref_date='2024-09-30' AND nome_perimetro='Individual Corporativo' AND segmento='ESTR' AND ambito='PM' AND entidade='00100' ) A  Inner join (SELECT entty_id as entty_id_to_be, ttl_intrst_pd as ttl_intrst_pd_to_be FROM bu_loantape_work.lt003_entity WHERE ref_date='2024-09-30' AND nome_perimetro='Individual Corporativo' AND segmento='ESTR' AND ambito='PM' AND entidade='00100' ) B ON entty_id_as_is = entty_id_to_be WHERE coalesce(cast(ttl_intrst_pd_as_is as string), '') &lt;&gt; coalesce(cast(ttl_intrst_pd_to_be as string), '') </v>
      </c>
      <c r="M95" s="17" t="s">
        <v>55</v>
      </c>
      <c r="N95" s="17" t="str">
        <f>"SELECT 'Validação de campos' as tipologia_teste, '"&amp;VLOOKUP(B95,Instruções!$F$13:$J$17,3,0)&amp;"' AS TABELA, '"&amp;E95&amp;"' AS CAMPO, '"&amp;Instruções!$D$15&amp;"' as ref_date, coalesce(NUM_REG_DIF, 0) AS NUM_REG_DIF FROM ("&amp;L95&amp;") A "</f>
        <v xml:space="preserve">SELECT 'Validação de campos' as tipologia_teste, 'lt003_entity' AS TABELA, 'ttl_intrst_pd' AS CAMPO, '2024-09-30' as ref_date, coalesce(NUM_REG_DIF, 0) AS NUM_REG_DIF FROM (SELECT count(*) AS NUM_REG_DIF FROM (SELECT entty_id as entty_id_as_is, ttl_intrst_pd as ttl_intrst_pd_as_is FROM cd_loan_tapes_bce.lt003_entity WHERE ref_date='2024-09-30' AND nome_perimetro='Individual Corporativo' AND segmento='ESTR' AND ambito='PM' AND entidade='00100' ) A  Inner join (SELECT entty_id as entty_id_to_be, ttl_intrst_pd as ttl_intrst_pd_to_be FROM bu_loantape_work.lt003_entity WHERE ref_date='2024-09-30' AND nome_perimetro='Individual Corporativo' AND segmento='ESTR' AND ambito='PM' AND entidade='00100' ) B ON entty_id_as_is = entty_id_to_be WHERE coalesce(cast(ttl_intrst_pd_as_is as string), '') &lt;&gt; coalesce(cast(ttl_intrst_pd_to_be as string), '') ) A </v>
      </c>
      <c r="O95" s="19" t="str">
        <f t="shared" si="10"/>
        <v>SELECT 'Validação de campos' as tipologia_teste, 'lt003_entity' AS TABELA, 'ttl_intrst_pd' AS CAMPO, '2024-09-30' as ref_date, coalesce(NUM_REG_DIF, 0) AS NUM_REG_DIF FROM (SELECT count(*) AS NUM_REG_DIF FROM (SELECT entty_id as entty_id_as_is, ttl_intrst_pd as ttl_intrst_pd_as_is FROM cd_loan_tapes_bce.lt003_entity WHERE ref_date='2024-09-30' AND nome_perimetro='Individual Corporativo' AND segmento='ESTR' AND ambito='PM' AND entidade='00100' ) A  Inner join (SELECT entty_id as entty_id_to_be, ttl_intrst_pd as ttl_intrst_pd_to_be FROM bu_loantape_work.lt003_entity WHERE ref_date='2024-09-30' AND nome_perimetro='Individual Corporativo' AND segmento='ESTR' AND ambito='PM' AND entidade='00100' ) B ON entty_id_as_is = entty_id_to_be WHERE coalesce(cast(ttl_intrst_pd_as_is as string), '') &lt;&gt; coalesce(cast(ttl_intrst_pd_to_be as string), '') ) A UNION ALL</v>
      </c>
      <c r="P95" s="17">
        <f t="shared" si="11"/>
        <v>41</v>
      </c>
    </row>
    <row r="96" spans="2:16" s="15" customFormat="1" ht="11.45">
      <c r="B96" s="17" t="s">
        <v>11</v>
      </c>
      <c r="C96" s="17" t="str">
        <f>_xlfn.CONCAT(Instruções!$D$13,".",VLOOKUP(B96,Instruções!$F$12:$H$17,2,0))</f>
        <v>cd_loan_tapes_bce.lt003_entity</v>
      </c>
      <c r="D96" s="17" t="str">
        <f>_xlfn.CONCAT(Instruções!$D$14,".",VLOOKUP(B96,Instruções!$F$12:$H$17,3,0))</f>
        <v>bu_loantape_work.lt003_entity</v>
      </c>
      <c r="E96" s="17" t="s">
        <v>153</v>
      </c>
      <c r="F96" s="17" t="str">
        <f t="shared" si="6"/>
        <v>ttl_lvrg_rt_as_is</v>
      </c>
      <c r="G96" s="17" t="str">
        <f t="shared" si="7"/>
        <v>ttl_lvrg_rt_to_be</v>
      </c>
      <c r="H96" s="17" t="str">
        <f>IF(VLOOKUP(B96,Instruções!$F$13:$J$17,5,0)="",
"(SELECT "&amp;VLOOKUP(B96,Instruções!$F$13:$J$17,4,0)&amp;" as "&amp;VLOOKUP(B96,Instruções!$F$13:$J$17,4,0)&amp;"_"&amp;$F$2&amp;", "&amp;E96&amp;" as "&amp;F96&amp;" FROM "&amp;C96&amp;" WHERE "&amp;Instruções!$D$20&amp;") A ",
"(SELECT "&amp;VLOOKUP(B96,Instruções!$F$13:$J$17,4,0)&amp;" as "&amp;VLOOKUP(B96,Instruções!$F$13:$J$17,4,0)&amp;"_"&amp;$F$2&amp;", "&amp;VLOOKUP(B96,Instruções!$F$13:$J$17,5,0)&amp;" as "&amp;VLOOKUP(B96,Instruções!$F$13:$J$17,5,0)&amp;"_"&amp;$F$2&amp;","&amp;E96&amp;" as "&amp;F96&amp;" FROM "&amp;C96&amp;" WHERE "&amp;Instruções!$D$20&amp;") A ")</f>
        <v xml:space="preserve">(SELECT entty_id as entty_id_as_is, ttl_lvrg_rt as ttl_lvrg_rt_as_is FROM cd_loan_tapes_bce.lt003_entity WHERE ref_date='2024-09-30' AND nome_perimetro='Individual Corporativo' AND segmento='ESTR' AND ambito='PM' AND entidade='00100' ) A </v>
      </c>
      <c r="I96" s="17" t="str">
        <f>IF(VLOOKUP(B96,Instruções!$F$13:$J$17,5,0)="",
"(SELECT "&amp;VLOOKUP(B96,Instruções!$F$13:$J$17,4,0)&amp;" as "&amp;VLOOKUP(B96,Instruções!$F$13:$J$17,4,0)&amp;"_"&amp;$G$2&amp;", "&amp;E96&amp;" as "&amp;G96&amp;" FROM "&amp;D96&amp;" WHERE "&amp;Instruções!$D$21&amp;") B ",
"(SELECT "&amp;VLOOKUP(B96,Instruções!$F$13:$J$17,4,0)&amp;" as "&amp;VLOOKUP(B96,Instruções!$F$13:$J$17,4,0)&amp;"_"&amp;$G$2&amp;", "&amp;VLOOKUP(B96,Instruções!$F$13:$J$17,5,0)&amp;" as "&amp;VLOOKUP(B96,Instruções!$F$13:$J$17,5,0)&amp;"_"&amp;$G$2&amp;","&amp;E96&amp;" as "&amp;G96&amp;" FROM "&amp;D96&amp;" WHERE "&amp;Instruções!$D$21&amp;") B ")</f>
        <v xml:space="preserve">(SELECT entty_id as entty_id_to_be, ttl_lvrg_rt as ttl_lvrg_rt_to_be FROM bu_loantape_work.lt003_entity WHERE ref_date='2024-09-30' AND nome_perimetro='Individual Corporativo' AND segmento='ESTR' AND ambito='PM' AND entidade='00100' ) B </v>
      </c>
      <c r="J96" s="17" t="str">
        <f>IF(VLOOKUP(B96,Instruções!$F$13:$J$17,5,0)="",
"ON "&amp;VLOOKUP(B96,Instruções!$F$13:$J$17,4,0)&amp;"_"&amp;$F$2&amp;" = "&amp;VLOOKUP(B96,Instruções!$F$13:$J$17,4,0)&amp;"_"&amp;$G$2&amp;" ",
"ON "&amp;VLOOKUP(B96,Instruções!$F$13:$J$17,4,0)&amp;"_"&amp;$F$2&amp;" = "&amp;VLOOKUP(B96,Instruções!$F$13:$J$17,4,0)&amp;"_"&amp;$G$2&amp;" AND "&amp;VLOOKUP(B96,Instruções!$F$13:$J$17,5,0)&amp;"_"&amp;$F$2&amp;" = "&amp;VLOOKUP(B96,Instruções!$F$13:$J$17,5,0)&amp;"_"&amp;$G$2&amp;" ")</f>
        <v xml:space="preserve">ON entty_id_as_is = entty_id_to_be </v>
      </c>
      <c r="K96" s="17" t="str">
        <f t="shared" si="8"/>
        <v xml:space="preserve">WHERE coalesce(cast(ttl_lvrg_rt_as_is as string), '') &lt;&gt; coalesce(cast(ttl_lvrg_rt_to_be as string), '') </v>
      </c>
      <c r="L96" s="17" t="str">
        <f t="shared" si="9"/>
        <v xml:space="preserve">SELECT count(*) AS NUM_REG_DIF FROM (SELECT entty_id as entty_id_as_is, ttl_lvrg_rt as ttl_lvrg_rt_as_is FROM cd_loan_tapes_bce.lt003_entity WHERE ref_date='2024-09-30' AND nome_perimetro='Individual Corporativo' AND segmento='ESTR' AND ambito='PM' AND entidade='00100' ) A  Inner join (SELECT entty_id as entty_id_to_be, ttl_lvrg_rt as ttl_lvrg_rt_to_be FROM bu_loantape_work.lt003_entity WHERE ref_date='2024-09-30' AND nome_perimetro='Individual Corporativo' AND segmento='ESTR' AND ambito='PM' AND entidade='00100' ) B ON entty_id_as_is = entty_id_to_be WHERE coalesce(cast(ttl_lvrg_rt_as_is as string), '') &lt;&gt; coalesce(cast(ttl_lvrg_rt_to_be as string), '') </v>
      </c>
      <c r="M96" s="17" t="s">
        <v>55</v>
      </c>
      <c r="N96" s="17" t="str">
        <f>"SELECT 'Validação de campos' as tipologia_teste, '"&amp;VLOOKUP(B96,Instruções!$F$13:$J$17,3,0)&amp;"' AS TABELA, '"&amp;E96&amp;"' AS CAMPO, '"&amp;Instruções!$D$15&amp;"' as ref_date, coalesce(NUM_REG_DIF, 0) AS NUM_REG_DIF FROM ("&amp;L96&amp;") A "</f>
        <v xml:space="preserve">SELECT 'Validação de campos' as tipologia_teste, 'lt003_entity' AS TABELA, 'ttl_lvrg_rt' AS CAMPO, '2024-09-30' as ref_date, coalesce(NUM_REG_DIF, 0) AS NUM_REG_DIF FROM (SELECT count(*) AS NUM_REG_DIF FROM (SELECT entty_id as entty_id_as_is, ttl_lvrg_rt as ttl_lvrg_rt_as_is FROM cd_loan_tapes_bce.lt003_entity WHERE ref_date='2024-09-30' AND nome_perimetro='Individual Corporativo' AND segmento='ESTR' AND ambito='PM' AND entidade='00100' ) A  Inner join (SELECT entty_id as entty_id_to_be, ttl_lvrg_rt as ttl_lvrg_rt_to_be FROM bu_loantape_work.lt003_entity WHERE ref_date='2024-09-30' AND nome_perimetro='Individual Corporativo' AND segmento='ESTR' AND ambito='PM' AND entidade='00100' ) B ON entty_id_as_is = entty_id_to_be WHERE coalesce(cast(ttl_lvrg_rt_as_is as string), '') &lt;&gt; coalesce(cast(ttl_lvrg_rt_to_be as string), '') ) A </v>
      </c>
      <c r="O96" s="19" t="str">
        <f t="shared" si="10"/>
        <v>SELECT 'Validação de campos' as tipologia_teste, 'lt003_entity' AS TABELA, 'ttl_lvrg_rt' AS CAMPO, '2024-09-30' as ref_date, coalesce(NUM_REG_DIF, 0) AS NUM_REG_DIF FROM (SELECT count(*) AS NUM_REG_DIF FROM (SELECT entty_id as entty_id_as_is, ttl_lvrg_rt as ttl_lvrg_rt_as_is FROM cd_loan_tapes_bce.lt003_entity WHERE ref_date='2024-09-30' AND nome_perimetro='Individual Corporativo' AND segmento='ESTR' AND ambito='PM' AND entidade='00100' ) A  Inner join (SELECT entty_id as entty_id_to_be, ttl_lvrg_rt as ttl_lvrg_rt_to_be FROM bu_loantape_work.lt003_entity WHERE ref_date='2024-09-30' AND nome_perimetro='Individual Corporativo' AND segmento='ESTR' AND ambito='PM' AND entidade='00100' ) B ON entty_id_as_is = entty_id_to_be WHERE coalesce(cast(ttl_lvrg_rt_as_is as string), '') &lt;&gt; coalesce(cast(ttl_lvrg_rt_to_be as string), '') ) A UNION ALL</v>
      </c>
      <c r="P96" s="17">
        <f t="shared" si="11"/>
        <v>42</v>
      </c>
    </row>
    <row r="97" spans="2:16" s="15" customFormat="1" ht="11.45">
      <c r="B97" s="17" t="s">
        <v>11</v>
      </c>
      <c r="C97" s="17" t="str">
        <f>_xlfn.CONCAT(Instruções!$D$13,".",VLOOKUP(B97,Instruções!$F$12:$H$17,2,0))</f>
        <v>cd_loan_tapes_bce.lt003_entity</v>
      </c>
      <c r="D97" s="17" t="str">
        <f>_xlfn.CONCAT(Instruções!$D$14,".",VLOOKUP(B97,Instruções!$F$12:$H$17,3,0))</f>
        <v>bu_loantape_work.lt003_entity</v>
      </c>
      <c r="E97" s="17" t="s">
        <v>154</v>
      </c>
      <c r="F97" s="17" t="str">
        <f t="shared" si="6"/>
        <v>ttl_lvrg_rt_prvs_as_is</v>
      </c>
      <c r="G97" s="17" t="str">
        <f t="shared" si="7"/>
        <v>ttl_lvrg_rt_prvs_to_be</v>
      </c>
      <c r="H97" s="17" t="str">
        <f>IF(VLOOKUP(B97,Instruções!$F$13:$J$17,5,0)="",
"(SELECT "&amp;VLOOKUP(B97,Instruções!$F$13:$J$17,4,0)&amp;" as "&amp;VLOOKUP(B97,Instruções!$F$13:$J$17,4,0)&amp;"_"&amp;$F$2&amp;", "&amp;E97&amp;" as "&amp;F97&amp;" FROM "&amp;C97&amp;" WHERE "&amp;Instruções!$D$20&amp;") A ",
"(SELECT "&amp;VLOOKUP(B97,Instruções!$F$13:$J$17,4,0)&amp;" as "&amp;VLOOKUP(B97,Instruções!$F$13:$J$17,4,0)&amp;"_"&amp;$F$2&amp;", "&amp;VLOOKUP(B97,Instruções!$F$13:$J$17,5,0)&amp;" as "&amp;VLOOKUP(B97,Instruções!$F$13:$J$17,5,0)&amp;"_"&amp;$F$2&amp;","&amp;E97&amp;" as "&amp;F97&amp;" FROM "&amp;C97&amp;" WHERE "&amp;Instruções!$D$20&amp;") A ")</f>
        <v xml:space="preserve">(SELECT entty_id as entty_id_as_is, ttl_lvrg_rt_prvs as ttl_lvrg_rt_prvs_as_is FROM cd_loan_tapes_bce.lt003_entity WHERE ref_date='2024-09-30' AND nome_perimetro='Individual Corporativo' AND segmento='ESTR' AND ambito='PM' AND entidade='00100' ) A </v>
      </c>
      <c r="I97" s="17" t="str">
        <f>IF(VLOOKUP(B97,Instruções!$F$13:$J$17,5,0)="",
"(SELECT "&amp;VLOOKUP(B97,Instruções!$F$13:$J$17,4,0)&amp;" as "&amp;VLOOKUP(B97,Instruções!$F$13:$J$17,4,0)&amp;"_"&amp;$G$2&amp;", "&amp;E97&amp;" as "&amp;G97&amp;" FROM "&amp;D97&amp;" WHERE "&amp;Instruções!$D$21&amp;") B ",
"(SELECT "&amp;VLOOKUP(B97,Instruções!$F$13:$J$17,4,0)&amp;" as "&amp;VLOOKUP(B97,Instruções!$F$13:$J$17,4,0)&amp;"_"&amp;$G$2&amp;", "&amp;VLOOKUP(B97,Instruções!$F$13:$J$17,5,0)&amp;" as "&amp;VLOOKUP(B97,Instruções!$F$13:$J$17,5,0)&amp;"_"&amp;$G$2&amp;","&amp;E97&amp;" as "&amp;G97&amp;" FROM "&amp;D97&amp;" WHERE "&amp;Instruções!$D$21&amp;") B ")</f>
        <v xml:space="preserve">(SELECT entty_id as entty_id_to_be, ttl_lvrg_rt_prvs as ttl_lvrg_rt_prvs_to_be FROM bu_loantape_work.lt003_entity WHERE ref_date='2024-09-30' AND nome_perimetro='Individual Corporativo' AND segmento='ESTR' AND ambito='PM' AND entidade='00100' ) B </v>
      </c>
      <c r="J97" s="17" t="str">
        <f>IF(VLOOKUP(B97,Instruções!$F$13:$J$17,5,0)="",
"ON "&amp;VLOOKUP(B97,Instruções!$F$13:$J$17,4,0)&amp;"_"&amp;$F$2&amp;" = "&amp;VLOOKUP(B97,Instruções!$F$13:$J$17,4,0)&amp;"_"&amp;$G$2&amp;" ",
"ON "&amp;VLOOKUP(B97,Instruções!$F$13:$J$17,4,0)&amp;"_"&amp;$F$2&amp;" = "&amp;VLOOKUP(B97,Instruções!$F$13:$J$17,4,0)&amp;"_"&amp;$G$2&amp;" AND "&amp;VLOOKUP(B97,Instruções!$F$13:$J$17,5,0)&amp;"_"&amp;$F$2&amp;" = "&amp;VLOOKUP(B97,Instruções!$F$13:$J$17,5,0)&amp;"_"&amp;$G$2&amp;" ")</f>
        <v xml:space="preserve">ON entty_id_as_is = entty_id_to_be </v>
      </c>
      <c r="K97" s="17" t="str">
        <f t="shared" si="8"/>
        <v xml:space="preserve">WHERE coalesce(cast(ttl_lvrg_rt_prvs_as_is as string), '') &lt;&gt; coalesce(cast(ttl_lvrg_rt_prvs_to_be as string), '') </v>
      </c>
      <c r="L97" s="17" t="str">
        <f t="shared" si="9"/>
        <v xml:space="preserve">SELECT count(*) AS NUM_REG_DIF FROM (SELECT entty_id as entty_id_as_is, ttl_lvrg_rt_prvs as ttl_lvrg_rt_prvs_as_is FROM cd_loan_tapes_bce.lt003_entity WHERE ref_date='2024-09-30' AND nome_perimetro='Individual Corporativo' AND segmento='ESTR' AND ambito='PM' AND entidade='00100' ) A  Inner join (SELECT entty_id as entty_id_to_be, ttl_lvrg_rt_prvs as ttl_lvrg_rt_prvs_to_be FROM bu_loantape_work.lt003_entity WHERE ref_date='2024-09-30' AND nome_perimetro='Individual Corporativo' AND segmento='ESTR' AND ambito='PM' AND entidade='00100' ) B ON entty_id_as_is = entty_id_to_be WHERE coalesce(cast(ttl_lvrg_rt_prvs_as_is as string), '') &lt;&gt; coalesce(cast(ttl_lvrg_rt_prvs_to_be as string), '') </v>
      </c>
      <c r="M97" s="17" t="s">
        <v>55</v>
      </c>
      <c r="N97" s="17" t="str">
        <f>"SELECT 'Validação de campos' as tipologia_teste, '"&amp;VLOOKUP(B97,Instruções!$F$13:$J$17,3,0)&amp;"' AS TABELA, '"&amp;E97&amp;"' AS CAMPO, '"&amp;Instruções!$D$15&amp;"' as ref_date, coalesce(NUM_REG_DIF, 0) AS NUM_REG_DIF FROM ("&amp;L97&amp;") A "</f>
        <v xml:space="preserve">SELECT 'Validação de campos' as tipologia_teste, 'lt003_entity' AS TABELA, 'ttl_lvrg_rt_prvs' AS CAMPO, '2024-09-30' as ref_date, coalesce(NUM_REG_DIF, 0) AS NUM_REG_DIF FROM (SELECT count(*) AS NUM_REG_DIF FROM (SELECT entty_id as entty_id_as_is, ttl_lvrg_rt_prvs as ttl_lvrg_rt_prvs_as_is FROM cd_loan_tapes_bce.lt003_entity WHERE ref_date='2024-09-30' AND nome_perimetro='Individual Corporativo' AND segmento='ESTR' AND ambito='PM' AND entidade='00100' ) A  Inner join (SELECT entty_id as entty_id_to_be, ttl_lvrg_rt_prvs as ttl_lvrg_rt_prvs_to_be FROM bu_loantape_work.lt003_entity WHERE ref_date='2024-09-30' AND nome_perimetro='Individual Corporativo' AND segmento='ESTR' AND ambito='PM' AND entidade='00100' ) B ON entty_id_as_is = entty_id_to_be WHERE coalesce(cast(ttl_lvrg_rt_prvs_as_is as string), '') &lt;&gt; coalesce(cast(ttl_lvrg_rt_prvs_to_be as string), '') ) A </v>
      </c>
      <c r="O97" s="19" t="str">
        <f t="shared" si="10"/>
        <v>SELECT 'Validação de campos' as tipologia_teste, 'lt003_entity' AS TABELA, 'ttl_lvrg_rt_prvs' AS CAMPO, '2024-09-30' as ref_date, coalesce(NUM_REG_DIF, 0) AS NUM_REG_DIF FROM (SELECT count(*) AS NUM_REG_DIF FROM (SELECT entty_id as entty_id_as_is, ttl_lvrg_rt_prvs as ttl_lvrg_rt_prvs_as_is FROM cd_loan_tapes_bce.lt003_entity WHERE ref_date='2024-09-30' AND nome_perimetro='Individual Corporativo' AND segmento='ESTR' AND ambito='PM' AND entidade='00100' ) A  Inner join (SELECT entty_id as entty_id_to_be, ttl_lvrg_rt_prvs as ttl_lvrg_rt_prvs_to_be FROM bu_loantape_work.lt003_entity WHERE ref_date='2024-09-30' AND nome_perimetro='Individual Corporativo' AND segmento='ESTR' AND ambito='PM' AND entidade='00100' ) B ON entty_id_as_is = entty_id_to_be WHERE coalesce(cast(ttl_lvrg_rt_prvs_as_is as string), '') &lt;&gt; coalesce(cast(ttl_lvrg_rt_prvs_to_be as string), '') ) A UNION ALL</v>
      </c>
      <c r="P97" s="17">
        <f t="shared" si="11"/>
        <v>43</v>
      </c>
    </row>
    <row r="98" spans="2:16" s="15" customFormat="1" ht="11.45">
      <c r="B98" s="17" t="s">
        <v>11</v>
      </c>
      <c r="C98" s="17" t="str">
        <f>_xlfn.CONCAT(Instruções!$D$13,".",VLOOKUP(B98,Instruções!$F$12:$H$17,2,0))</f>
        <v>cd_loan_tapes_bce.lt003_entity</v>
      </c>
      <c r="D98" s="17" t="str">
        <f>_xlfn.CONCAT(Instruções!$D$14,".",VLOOKUP(B98,Instruções!$F$12:$H$17,3,0))</f>
        <v>bu_loantape_work.lt003_entity</v>
      </c>
      <c r="E98" s="17" t="s">
        <v>156</v>
      </c>
      <c r="F98" s="17" t="str">
        <f t="shared" si="6"/>
        <v>wtch_lst_as_is</v>
      </c>
      <c r="G98" s="17" t="str">
        <f t="shared" si="7"/>
        <v>wtch_lst_to_be</v>
      </c>
      <c r="H98" s="17" t="str">
        <f>IF(VLOOKUP(B98,Instruções!$F$13:$J$17,5,0)="",
"(SELECT "&amp;VLOOKUP(B98,Instruções!$F$13:$J$17,4,0)&amp;" as "&amp;VLOOKUP(B98,Instruções!$F$13:$J$17,4,0)&amp;"_"&amp;$F$2&amp;", "&amp;E98&amp;" as "&amp;F98&amp;" FROM "&amp;C98&amp;" WHERE "&amp;Instruções!$D$20&amp;") A ",
"(SELECT "&amp;VLOOKUP(B98,Instruções!$F$13:$J$17,4,0)&amp;" as "&amp;VLOOKUP(B98,Instruções!$F$13:$J$17,4,0)&amp;"_"&amp;$F$2&amp;", "&amp;VLOOKUP(B98,Instruções!$F$13:$J$17,5,0)&amp;" as "&amp;VLOOKUP(B98,Instruções!$F$13:$J$17,5,0)&amp;"_"&amp;$F$2&amp;","&amp;E98&amp;" as "&amp;F98&amp;" FROM "&amp;C98&amp;" WHERE "&amp;Instruções!$D$20&amp;") A ")</f>
        <v xml:space="preserve">(SELECT entty_id as entty_id_as_is, wtch_lst as wtch_lst_as_is FROM cd_loan_tapes_bce.lt003_entity WHERE ref_date='2024-09-30' AND nome_perimetro='Individual Corporativo' AND segmento='ESTR' AND ambito='PM' AND entidade='00100' ) A </v>
      </c>
      <c r="I98" s="17" t="str">
        <f>IF(VLOOKUP(B98,Instruções!$F$13:$J$17,5,0)="",
"(SELECT "&amp;VLOOKUP(B98,Instruções!$F$13:$J$17,4,0)&amp;" as "&amp;VLOOKUP(B98,Instruções!$F$13:$J$17,4,0)&amp;"_"&amp;$G$2&amp;", "&amp;E98&amp;" as "&amp;G98&amp;" FROM "&amp;D98&amp;" WHERE "&amp;Instruções!$D$21&amp;") B ",
"(SELECT "&amp;VLOOKUP(B98,Instruções!$F$13:$J$17,4,0)&amp;" as "&amp;VLOOKUP(B98,Instruções!$F$13:$J$17,4,0)&amp;"_"&amp;$G$2&amp;", "&amp;VLOOKUP(B98,Instruções!$F$13:$J$17,5,0)&amp;" as "&amp;VLOOKUP(B98,Instruções!$F$13:$J$17,5,0)&amp;"_"&amp;$G$2&amp;","&amp;E98&amp;" as "&amp;G98&amp;" FROM "&amp;D98&amp;" WHERE "&amp;Instruções!$D$21&amp;") B ")</f>
        <v xml:space="preserve">(SELECT entty_id as entty_id_to_be, wtch_lst as wtch_lst_to_be FROM bu_loantape_work.lt003_entity WHERE ref_date='2024-09-30' AND nome_perimetro='Individual Corporativo' AND segmento='ESTR' AND ambito='PM' AND entidade='00100' ) B </v>
      </c>
      <c r="J98" s="17" t="str">
        <f>IF(VLOOKUP(B98,Instruções!$F$13:$J$17,5,0)="",
"ON "&amp;VLOOKUP(B98,Instruções!$F$13:$J$17,4,0)&amp;"_"&amp;$F$2&amp;" = "&amp;VLOOKUP(B98,Instruções!$F$13:$J$17,4,0)&amp;"_"&amp;$G$2&amp;" ",
"ON "&amp;VLOOKUP(B98,Instruções!$F$13:$J$17,4,0)&amp;"_"&amp;$F$2&amp;" = "&amp;VLOOKUP(B98,Instruções!$F$13:$J$17,4,0)&amp;"_"&amp;$G$2&amp;" AND "&amp;VLOOKUP(B98,Instruções!$F$13:$J$17,5,0)&amp;"_"&amp;$F$2&amp;" = "&amp;VLOOKUP(B98,Instruções!$F$13:$J$17,5,0)&amp;"_"&amp;$G$2&amp;" ")</f>
        <v xml:space="preserve">ON entty_id_as_is = entty_id_to_be </v>
      </c>
      <c r="K98" s="17" t="str">
        <f t="shared" si="8"/>
        <v xml:space="preserve">WHERE coalesce(cast(wtch_lst_as_is as string), '') &lt;&gt; coalesce(cast(wtch_lst_to_be as string), '') </v>
      </c>
      <c r="L98" s="17" t="str">
        <f t="shared" si="9"/>
        <v xml:space="preserve">SELECT count(*) AS NUM_REG_DIF FROM (SELECT entty_id as entty_id_as_is, wtch_lst as wtch_lst_as_is FROM cd_loan_tapes_bce.lt003_entity WHERE ref_date='2024-09-30' AND nome_perimetro='Individual Corporativo' AND segmento='ESTR' AND ambito='PM' AND entidade='00100' ) A  Inner join (SELECT entty_id as entty_id_to_be, wtch_lst as wtch_lst_to_be FROM bu_loantape_work.lt003_entity WHERE ref_date='2024-09-30' AND nome_perimetro='Individual Corporativo' AND segmento='ESTR' AND ambito='PM' AND entidade='00100' ) B ON entty_id_as_is = entty_id_to_be WHERE coalesce(cast(wtch_lst_as_is as string), '') &lt;&gt; coalesce(cast(wtch_lst_to_be as string), '') </v>
      </c>
      <c r="M98" s="17" t="s">
        <v>55</v>
      </c>
      <c r="N98" s="17" t="str">
        <f>"SELECT 'Validação de campos' as tipologia_teste, '"&amp;VLOOKUP(B98,Instruções!$F$13:$J$17,3,0)&amp;"' AS TABELA, '"&amp;E98&amp;"' AS CAMPO, '"&amp;Instruções!$D$15&amp;"' as ref_date, coalesce(NUM_REG_DIF, 0) AS NUM_REG_DIF FROM ("&amp;L98&amp;") A "</f>
        <v xml:space="preserve">SELECT 'Validação de campos' as tipologia_teste, 'lt003_entity' AS TABELA, 'wtch_lst' AS CAMPO, '2024-09-30' as ref_date, coalesce(NUM_REG_DIF, 0) AS NUM_REG_DIF FROM (SELECT count(*) AS NUM_REG_DIF FROM (SELECT entty_id as entty_id_as_is, wtch_lst as wtch_lst_as_is FROM cd_loan_tapes_bce.lt003_entity WHERE ref_date='2024-09-30' AND nome_perimetro='Individual Corporativo' AND segmento='ESTR' AND ambito='PM' AND entidade='00100' ) A  Inner join (SELECT entty_id as entty_id_to_be, wtch_lst as wtch_lst_to_be FROM bu_loantape_work.lt003_entity WHERE ref_date='2024-09-30' AND nome_perimetro='Individual Corporativo' AND segmento='ESTR' AND ambito='PM' AND entidade='00100' ) B ON entty_id_as_is = entty_id_to_be WHERE coalesce(cast(wtch_lst_as_is as string), '') &lt;&gt; coalesce(cast(wtch_lst_to_be as string), '') ) A </v>
      </c>
      <c r="O98" s="19" t="str">
        <f t="shared" si="10"/>
        <v>SELECT 'Validação de campos' as tipologia_teste, 'lt003_entity' AS TABELA, 'wtch_lst' AS CAMPO, '2024-09-30' as ref_date, coalesce(NUM_REG_DIF, 0) AS NUM_REG_DIF FROM (SELECT count(*) AS NUM_REG_DIF FROM (SELECT entty_id as entty_id_as_is, wtch_lst as wtch_lst_as_is FROM cd_loan_tapes_bce.lt003_entity WHERE ref_date='2024-09-30' AND nome_perimetro='Individual Corporativo' AND segmento='ESTR' AND ambito='PM' AND entidade='00100' ) A  Inner join (SELECT entty_id as entty_id_to_be, wtch_lst as wtch_lst_to_be FROM bu_loantape_work.lt003_entity WHERE ref_date='2024-09-30' AND nome_perimetro='Individual Corporativo' AND segmento='ESTR' AND ambito='PM' AND entidade='00100' ) B ON entty_id_as_is = entty_id_to_be WHERE coalesce(cast(wtch_lst_as_is as string), '') &lt;&gt; coalesce(cast(wtch_lst_to_be as string), '') ) A UNION ALL</v>
      </c>
      <c r="P98" s="17">
        <f t="shared" si="11"/>
        <v>44</v>
      </c>
    </row>
    <row r="99" spans="2:16" s="15" customFormat="1" ht="11.45">
      <c r="B99" s="17" t="s">
        <v>16</v>
      </c>
      <c r="C99" s="17" t="str">
        <f>_xlfn.CONCAT(Instruções!$D$13,".",VLOOKUP(B99,Instruções!$F$12:$H$17,2,0))</f>
        <v>cd_loan_tapes_bce.lt005_instr_ent</v>
      </c>
      <c r="D99" s="17" t="str">
        <f>_xlfn.CONCAT(Instruções!$D$14,".",VLOOKUP(B99,Instruções!$F$12:$H$17,3,0))</f>
        <v>bu_loantape_work.lt005_instr_ent</v>
      </c>
      <c r="E99" s="17" t="s">
        <v>64</v>
      </c>
      <c r="F99" s="17" t="str">
        <f t="shared" si="6"/>
        <v>cod_soc_as_is</v>
      </c>
      <c r="G99" s="17" t="str">
        <f t="shared" si="7"/>
        <v>cod_soc_to_be</v>
      </c>
      <c r="H99" s="17" t="str">
        <f>IF(VLOOKUP(B99,Instruções!$F$13:$J$17,5,0)="",
"(SELECT "&amp;VLOOKUP(B99,Instruções!$F$13:$J$17,4,0)&amp;" as "&amp;VLOOKUP(B99,Instruções!$F$13:$J$17,4,0)&amp;"_"&amp;$F$2&amp;", "&amp;E99&amp;" as "&amp;F99&amp;" FROM "&amp;C99&amp;" WHERE "&amp;Instruções!$D$20&amp;") A ",
"(SELECT "&amp;VLOOKUP(B99,Instruções!$F$13:$J$17,4,0)&amp;" as "&amp;VLOOKUP(B99,Instruções!$F$13:$J$17,4,0)&amp;"_"&amp;$F$2&amp;", "&amp;VLOOKUP(B99,Instruções!$F$13:$J$17,5,0)&amp;" as "&amp;VLOOKUP(B99,Instruções!$F$13:$J$17,5,0)&amp;"_"&amp;$F$2&amp;","&amp;E99&amp;" as "&amp;F99&amp;" FROM "&amp;C99&amp;" WHERE "&amp;Instruções!$D$20&amp;") A ")</f>
        <v xml:space="preserve">(SELECT instrmnt_id as instrmnt_id_as_is, entty_id as entty_id_as_is,cod_soc as cod_soc_as_is FROM cd_loan_tapes_bce.lt005_instr_ent WHERE ref_date='2024-09-30' AND nome_perimetro='Individual Corporativo' AND segmento='ESTR' AND ambito='PM' AND entidade='00100' ) A </v>
      </c>
      <c r="I99" s="17" t="str">
        <f>IF(VLOOKUP(B99,Instruções!$F$13:$J$17,5,0)="",
"(SELECT "&amp;VLOOKUP(B99,Instruções!$F$13:$J$17,4,0)&amp;" as "&amp;VLOOKUP(B99,Instruções!$F$13:$J$17,4,0)&amp;"_"&amp;$G$2&amp;", "&amp;E99&amp;" as "&amp;G99&amp;" FROM "&amp;D99&amp;" WHERE "&amp;Instruções!$D$21&amp;") B ",
"(SELECT "&amp;VLOOKUP(B99,Instruções!$F$13:$J$17,4,0)&amp;" as "&amp;VLOOKUP(B99,Instruções!$F$13:$J$17,4,0)&amp;"_"&amp;$G$2&amp;", "&amp;VLOOKUP(B99,Instruções!$F$13:$J$17,5,0)&amp;" as "&amp;VLOOKUP(B99,Instruções!$F$13:$J$17,5,0)&amp;"_"&amp;$G$2&amp;","&amp;E99&amp;" as "&amp;G99&amp;" FROM "&amp;D99&amp;" WHERE "&amp;Instruções!$D$21&amp;") B ")</f>
        <v xml:space="preserve">(SELECT instrmnt_id as instrmnt_id_to_be, entty_id as entty_id_to_be,cod_soc as cod_soc_to_be FROM bu_loantape_work.lt005_instr_ent WHERE ref_date='2024-09-30' AND nome_perimetro='Individual Corporativo' AND segmento='ESTR' AND ambito='PM' AND entidade='00100' ) B </v>
      </c>
      <c r="J99" s="17" t="str">
        <f>IF(VLOOKUP(B99,Instruções!$F$13:$J$17,5,0)="",
"ON "&amp;VLOOKUP(B99,Instruções!$F$13:$J$17,4,0)&amp;"_"&amp;$F$2&amp;" = "&amp;VLOOKUP(B99,Instruções!$F$13:$J$17,4,0)&amp;"_"&amp;$G$2&amp;" ",
"ON "&amp;VLOOKUP(B99,Instruções!$F$13:$J$17,4,0)&amp;"_"&amp;$F$2&amp;" = "&amp;VLOOKUP(B99,Instruções!$F$13:$J$17,4,0)&amp;"_"&amp;$G$2&amp;" AND "&amp;VLOOKUP(B99,Instruções!$F$13:$J$17,5,0)&amp;"_"&amp;$F$2&amp;" = "&amp;VLOOKUP(B99,Instruções!$F$13:$J$17,5,0)&amp;"_"&amp;$G$2&amp;" ")</f>
        <v xml:space="preserve">ON instrmnt_id_as_is = instrmnt_id_to_be AND entty_id_as_is = entty_id_to_be </v>
      </c>
      <c r="K99" s="17" t="str">
        <f t="shared" si="8"/>
        <v xml:space="preserve">WHERE coalesce(cast(cod_soc_as_is as string), '') &lt;&gt; coalesce(cast(cod_soc_to_be as string), '') </v>
      </c>
      <c r="L99" s="17" t="str">
        <f t="shared" si="9"/>
        <v xml:space="preserve">SELECT count(*) AS NUM_REG_DIF FROM (SELECT instrmnt_id as instrmnt_id_as_is, entty_id as entty_id_as_is,cod_soc as cod_soc_as_is FROM cd_loan_tapes_bce.lt005_instr_ent WHERE ref_date='2024-09-30' AND nome_perimetro='Individual Corporativo' AND segmento='ESTR' AND ambito='PM' AND entidade='00100' ) A  Inner join (SELECT instrmnt_id as instrmnt_id_to_be, entty_id as entty_id_to_be,cod_soc as cod_soc_to_be FROM bu_loantape_work.lt005_instr_ent WHERE ref_date='2024-09-30' AND nome_perimetro='Individual Corporativo' AND segmento='ESTR' AND ambito='PM' AND entidade='00100' ) B ON instrmnt_id_as_is = instrmnt_id_to_be AND entty_id_as_is = entty_id_to_be WHERE coalesce(cast(cod_soc_as_is as string), '') &lt;&gt; coalesce(cast(cod_soc_to_be as string), '') </v>
      </c>
      <c r="M99" s="17" t="s">
        <v>55</v>
      </c>
      <c r="N99" s="17" t="str">
        <f>"SELECT 'Validação de campos' as tipologia_teste, '"&amp;VLOOKUP(B99,Instruções!$F$13:$J$17,3,0)&amp;"' AS TABELA, '"&amp;E99&amp;"' AS CAMPO, '"&amp;Instruções!$D$15&amp;"' as ref_date, coalesce(NUM_REG_DIF, 0) AS NUM_REG_DIF FROM ("&amp;L99&amp;") A "</f>
        <v xml:space="preserve">SELECT 'Validação de campos' as tipologia_teste, 'lt005_instr_ent' AS TABELA, 'cod_soc' AS CAMPO, '2024-09-30' as ref_date, coalesce(NUM_REG_DIF, 0) AS NUM_REG_DIF FROM (SELECT count(*) AS NUM_REG_DIF FROM (SELECT instrmnt_id as instrmnt_id_as_is, entty_id as entty_id_as_is,cod_soc as cod_soc_as_is FROM cd_loan_tapes_bce.lt005_instr_ent WHERE ref_date='2024-09-30' AND nome_perimetro='Individual Corporativo' AND segmento='ESTR' AND ambito='PM' AND entidade='00100' ) A  Inner join (SELECT instrmnt_id as instrmnt_id_to_be, entty_id as entty_id_to_be,cod_soc as cod_soc_to_be FROM bu_loantape_work.lt005_instr_ent WHERE ref_date='2024-09-30' AND nome_perimetro='Individual Corporativo' AND segmento='ESTR' AND ambito='PM' AND entidade='00100' ) B ON instrmnt_id_as_is = instrmnt_id_to_be AND entty_id_as_is = entty_id_to_be WHERE coalesce(cast(cod_soc_as_is as string), '') &lt;&gt; coalesce(cast(cod_soc_to_be as string), '') ) A </v>
      </c>
      <c r="O99" s="19" t="str">
        <f t="shared" si="10"/>
        <v>SELECT 'Validação de campos' as tipologia_teste, 'lt005_instr_ent' AS TABELA, 'cod_soc' AS CAMPO, '2024-09-30' as ref_date, coalesce(NUM_REG_DIF, 0) AS NUM_REG_DIF FROM (SELECT count(*) AS NUM_REG_DIF FROM (SELECT instrmnt_id as instrmnt_id_as_is, entty_id as entty_id_as_is,cod_soc as cod_soc_as_is FROM cd_loan_tapes_bce.lt005_instr_ent WHERE ref_date='2024-09-30' AND nome_perimetro='Individual Corporativo' AND segmento='ESTR' AND ambito='PM' AND entidade='00100' ) A  Inner join (SELECT instrmnt_id as instrmnt_id_to_be, entty_id as entty_id_to_be,cod_soc as cod_soc_to_be FROM bu_loantape_work.lt005_instr_ent WHERE ref_date='2024-09-30' AND nome_perimetro='Individual Corporativo' AND segmento='ESTR' AND ambito='PM' AND entidade='00100' ) B ON instrmnt_id_as_is = instrmnt_id_to_be AND entty_id_as_is = entty_id_to_be WHERE coalesce(cast(cod_soc_as_is as string), '') &lt;&gt; coalesce(cast(cod_soc_to_be as string), '') ) A UNION ALL</v>
      </c>
      <c r="P99" s="17">
        <f t="shared" si="11"/>
        <v>45</v>
      </c>
    </row>
    <row r="100" spans="2:16" s="15" customFormat="1" ht="11.45">
      <c r="B100" s="17" t="s">
        <v>16</v>
      </c>
      <c r="C100" s="17" t="str">
        <f>_xlfn.CONCAT(Instruções!$D$13,".",VLOOKUP(B100,Instruções!$F$12:$H$17,2,0))</f>
        <v>cd_loan_tapes_bce.lt005_instr_ent</v>
      </c>
      <c r="D100" s="17" t="str">
        <f>_xlfn.CONCAT(Instruções!$D$14,".",VLOOKUP(B100,Instruções!$F$12:$H$17,3,0))</f>
        <v>bu_loantape_work.lt005_instr_ent</v>
      </c>
      <c r="E100" s="17" t="s">
        <v>157</v>
      </c>
      <c r="F100" s="17" t="str">
        <f t="shared" si="6"/>
        <v>jnt_lblty_amnt_as_is</v>
      </c>
      <c r="G100" s="17" t="str">
        <f t="shared" si="7"/>
        <v>jnt_lblty_amnt_to_be</v>
      </c>
      <c r="H100" s="17" t="str">
        <f>IF(VLOOKUP(B100,Instruções!$F$13:$J$17,5,0)="",
"(SELECT "&amp;VLOOKUP(B100,Instruções!$F$13:$J$17,4,0)&amp;" as "&amp;VLOOKUP(B100,Instruções!$F$13:$J$17,4,0)&amp;"_"&amp;$F$2&amp;", "&amp;E100&amp;" as "&amp;F100&amp;" FROM "&amp;C100&amp;" WHERE "&amp;Instruções!$D$20&amp;") A ",
"(SELECT "&amp;VLOOKUP(B100,Instruções!$F$13:$J$17,4,0)&amp;" as "&amp;VLOOKUP(B100,Instruções!$F$13:$J$17,4,0)&amp;"_"&amp;$F$2&amp;", "&amp;VLOOKUP(B100,Instruções!$F$13:$J$17,5,0)&amp;" as "&amp;VLOOKUP(B100,Instruções!$F$13:$J$17,5,0)&amp;"_"&amp;$F$2&amp;","&amp;E100&amp;" as "&amp;F100&amp;" FROM "&amp;C100&amp;" WHERE "&amp;Instruções!$D$20&amp;") A ")</f>
        <v xml:space="preserve">(SELECT instrmnt_id as instrmnt_id_as_is, entty_id as entty_id_as_is,jnt_lblty_amnt as jnt_lblty_amnt_as_is FROM cd_loan_tapes_bce.lt005_instr_ent WHERE ref_date='2024-09-30' AND nome_perimetro='Individual Corporativo' AND segmento='ESTR' AND ambito='PM' AND entidade='00100' ) A </v>
      </c>
      <c r="I100" s="17" t="str">
        <f>IF(VLOOKUP(B100,Instruções!$F$13:$J$17,5,0)="",
"(SELECT "&amp;VLOOKUP(B100,Instruções!$F$13:$J$17,4,0)&amp;" as "&amp;VLOOKUP(B100,Instruções!$F$13:$J$17,4,0)&amp;"_"&amp;$G$2&amp;", "&amp;E100&amp;" as "&amp;G100&amp;" FROM "&amp;D100&amp;" WHERE "&amp;Instruções!$D$21&amp;") B ",
"(SELECT "&amp;VLOOKUP(B100,Instruções!$F$13:$J$17,4,0)&amp;" as "&amp;VLOOKUP(B100,Instruções!$F$13:$J$17,4,0)&amp;"_"&amp;$G$2&amp;", "&amp;VLOOKUP(B100,Instruções!$F$13:$J$17,5,0)&amp;" as "&amp;VLOOKUP(B100,Instruções!$F$13:$J$17,5,0)&amp;"_"&amp;$G$2&amp;","&amp;E100&amp;" as "&amp;G100&amp;" FROM "&amp;D100&amp;" WHERE "&amp;Instruções!$D$21&amp;") B ")</f>
        <v xml:space="preserve">(SELECT instrmnt_id as instrmnt_id_to_be, entty_id as entty_id_to_be,jnt_lblty_amnt as jnt_lblty_amnt_to_be FROM bu_loantape_work.lt005_instr_ent WHERE ref_date='2024-09-30' AND nome_perimetro='Individual Corporativo' AND segmento='ESTR' AND ambito='PM' AND entidade='00100' ) B </v>
      </c>
      <c r="J100" s="17" t="str">
        <f>IF(VLOOKUP(B100,Instruções!$F$13:$J$17,5,0)="",
"ON "&amp;VLOOKUP(B100,Instruções!$F$13:$J$17,4,0)&amp;"_"&amp;$F$2&amp;" = "&amp;VLOOKUP(B100,Instruções!$F$13:$J$17,4,0)&amp;"_"&amp;$G$2&amp;" ",
"ON "&amp;VLOOKUP(B100,Instruções!$F$13:$J$17,4,0)&amp;"_"&amp;$F$2&amp;" = "&amp;VLOOKUP(B100,Instruções!$F$13:$J$17,4,0)&amp;"_"&amp;$G$2&amp;" AND "&amp;VLOOKUP(B100,Instruções!$F$13:$J$17,5,0)&amp;"_"&amp;$F$2&amp;" = "&amp;VLOOKUP(B100,Instruções!$F$13:$J$17,5,0)&amp;"_"&amp;$G$2&amp;" ")</f>
        <v xml:space="preserve">ON instrmnt_id_as_is = instrmnt_id_to_be AND entty_id_as_is = entty_id_to_be </v>
      </c>
      <c r="K100" s="17" t="str">
        <f t="shared" si="8"/>
        <v xml:space="preserve">WHERE coalesce(cast(jnt_lblty_amnt_as_is as string), '') &lt;&gt; coalesce(cast(jnt_lblty_amnt_to_be as string), '') </v>
      </c>
      <c r="L100" s="17" t="str">
        <f t="shared" si="9"/>
        <v xml:space="preserve">SELECT count(*) AS NUM_REG_DIF FROM (SELECT instrmnt_id as instrmnt_id_as_is, entty_id as entty_id_as_is,jnt_lblty_amnt as jnt_lblty_amnt_as_is FROM cd_loan_tapes_bce.lt005_instr_ent WHERE ref_date='2024-09-30' AND nome_perimetro='Individual Corporativo' AND segmento='ESTR' AND ambito='PM' AND entidade='00100' ) A  Inner join (SELECT instrmnt_id as instrmnt_id_to_be, entty_id as entty_id_to_be,jnt_lblty_amnt as jnt_lblty_amnt_to_be FROM bu_loantape_work.lt005_instr_ent WHERE ref_date='2024-09-30' AND nome_perimetro='Individual Corporativo' AND segmento='ESTR' AND ambito='PM' AND entidade='00100' ) B ON instrmnt_id_as_is = instrmnt_id_to_be AND entty_id_as_is = entty_id_to_be WHERE coalesce(cast(jnt_lblty_amnt_as_is as string), '') &lt;&gt; coalesce(cast(jnt_lblty_amnt_to_be as string), '') </v>
      </c>
      <c r="M100" s="17" t="s">
        <v>55</v>
      </c>
      <c r="N100" s="17" t="str">
        <f>"SELECT 'Validação de campos' as tipologia_teste, '"&amp;VLOOKUP(B100,Instruções!$F$13:$J$17,3,0)&amp;"' AS TABELA, '"&amp;E100&amp;"' AS CAMPO, '"&amp;Instruções!$D$15&amp;"' as ref_date, coalesce(NUM_REG_DIF, 0) AS NUM_REG_DIF FROM ("&amp;L100&amp;") A "</f>
        <v xml:space="preserve">SELECT 'Validação de campos' as tipologia_teste, 'lt005_instr_ent' AS TABELA, 'jnt_lblty_amnt' AS CAMPO, '2024-09-30' as ref_date, coalesce(NUM_REG_DIF, 0) AS NUM_REG_DIF FROM (SELECT count(*) AS NUM_REG_DIF FROM (SELECT instrmnt_id as instrmnt_id_as_is, entty_id as entty_id_as_is,jnt_lblty_amnt as jnt_lblty_amnt_as_is FROM cd_loan_tapes_bce.lt005_instr_ent WHERE ref_date='2024-09-30' AND nome_perimetro='Individual Corporativo' AND segmento='ESTR' AND ambito='PM' AND entidade='00100' ) A  Inner join (SELECT instrmnt_id as instrmnt_id_to_be, entty_id as entty_id_to_be,jnt_lblty_amnt as jnt_lblty_amnt_to_be FROM bu_loantape_work.lt005_instr_ent WHERE ref_date='2024-09-30' AND nome_perimetro='Individual Corporativo' AND segmento='ESTR' AND ambito='PM' AND entidade='00100' ) B ON instrmnt_id_as_is = instrmnt_id_to_be AND entty_id_as_is = entty_id_to_be WHERE coalesce(cast(jnt_lblty_amnt_as_is as string), '') &lt;&gt; coalesce(cast(jnt_lblty_amnt_to_be as string), '') ) A </v>
      </c>
      <c r="O100" s="19" t="str">
        <f t="shared" si="10"/>
        <v>SELECT 'Validação de campos' as tipologia_teste, 'lt005_instr_ent' AS TABELA, 'jnt_lblty_amnt' AS CAMPO, '2024-09-30' as ref_date, coalesce(NUM_REG_DIF, 0) AS NUM_REG_DIF FROM (SELECT count(*) AS NUM_REG_DIF FROM (SELECT instrmnt_id as instrmnt_id_as_is, entty_id as entty_id_as_is,jnt_lblty_amnt as jnt_lblty_amnt_as_is FROM cd_loan_tapes_bce.lt005_instr_ent WHERE ref_date='2024-09-30' AND nome_perimetro='Individual Corporativo' AND segmento='ESTR' AND ambito='PM' AND entidade='00100' ) A  Inner join (SELECT instrmnt_id as instrmnt_id_to_be, entty_id as entty_id_to_be,jnt_lblty_amnt as jnt_lblty_amnt_to_be FROM bu_loantape_work.lt005_instr_ent WHERE ref_date='2024-09-30' AND nome_perimetro='Individual Corporativo' AND segmento='ESTR' AND ambito='PM' AND entidade='00100' ) B ON instrmnt_id_as_is = instrmnt_id_to_be AND entty_id_as_is = entty_id_to_be WHERE coalesce(cast(jnt_lblty_amnt_as_is as string), '') &lt;&gt; coalesce(cast(jnt_lblty_amnt_to_be as string), '') ) A UNION ALL</v>
      </c>
      <c r="P100" s="17">
        <f t="shared" si="11"/>
        <v>46</v>
      </c>
    </row>
    <row r="101" spans="2:16" s="15" customFormat="1" ht="11.45">
      <c r="B101" s="17" t="s">
        <v>16</v>
      </c>
      <c r="C101" s="17" t="str">
        <f>_xlfn.CONCAT(Instruções!$D$13,".",VLOOKUP(B101,Instruções!$F$12:$H$17,2,0))</f>
        <v>cd_loan_tapes_bce.lt005_instr_ent</v>
      </c>
      <c r="D101" s="17" t="str">
        <f>_xlfn.CONCAT(Instruções!$D$14,".",VLOOKUP(B101,Instruções!$F$12:$H$17,3,0))</f>
        <v>bu_loantape_work.lt005_instr_ent</v>
      </c>
      <c r="E101" s="17" t="s">
        <v>158</v>
      </c>
      <c r="F101" s="17" t="str">
        <f t="shared" si="6"/>
        <v>mn_entty_id_as_is</v>
      </c>
      <c r="G101" s="17" t="str">
        <f t="shared" si="7"/>
        <v>mn_entty_id_to_be</v>
      </c>
      <c r="H101" s="17" t="str">
        <f>IF(VLOOKUP(B101,Instruções!$F$13:$J$17,5,0)="",
"(SELECT "&amp;VLOOKUP(B101,Instruções!$F$13:$J$17,4,0)&amp;" as "&amp;VLOOKUP(B101,Instruções!$F$13:$J$17,4,0)&amp;"_"&amp;$F$2&amp;", "&amp;E101&amp;" as "&amp;F101&amp;" FROM "&amp;C101&amp;" WHERE "&amp;Instruções!$D$20&amp;") A ",
"(SELECT "&amp;VLOOKUP(B101,Instruções!$F$13:$J$17,4,0)&amp;" as "&amp;VLOOKUP(B101,Instruções!$F$13:$J$17,4,0)&amp;"_"&amp;$F$2&amp;", "&amp;VLOOKUP(B101,Instruções!$F$13:$J$17,5,0)&amp;" as "&amp;VLOOKUP(B101,Instruções!$F$13:$J$17,5,0)&amp;"_"&amp;$F$2&amp;","&amp;E101&amp;" as "&amp;F101&amp;" FROM "&amp;C101&amp;" WHERE "&amp;Instruções!$D$20&amp;") A ")</f>
        <v xml:space="preserve">(SELECT instrmnt_id as instrmnt_id_as_is, entty_id as entty_id_as_is,mn_entty_id as mn_entty_id_as_is FROM cd_loan_tapes_bce.lt005_instr_ent WHERE ref_date='2024-09-30' AND nome_perimetro='Individual Corporativo' AND segmento='ESTR' AND ambito='PM' AND entidade='00100' ) A </v>
      </c>
      <c r="I101" s="17" t="str">
        <f>IF(VLOOKUP(B101,Instruções!$F$13:$J$17,5,0)="",
"(SELECT "&amp;VLOOKUP(B101,Instruções!$F$13:$J$17,4,0)&amp;" as "&amp;VLOOKUP(B101,Instruções!$F$13:$J$17,4,0)&amp;"_"&amp;$G$2&amp;", "&amp;E101&amp;" as "&amp;G101&amp;" FROM "&amp;D101&amp;" WHERE "&amp;Instruções!$D$21&amp;") B ",
"(SELECT "&amp;VLOOKUP(B101,Instruções!$F$13:$J$17,4,0)&amp;" as "&amp;VLOOKUP(B101,Instruções!$F$13:$J$17,4,0)&amp;"_"&amp;$G$2&amp;", "&amp;VLOOKUP(B101,Instruções!$F$13:$J$17,5,0)&amp;" as "&amp;VLOOKUP(B101,Instruções!$F$13:$J$17,5,0)&amp;"_"&amp;$G$2&amp;","&amp;E101&amp;" as "&amp;G101&amp;" FROM "&amp;D101&amp;" WHERE "&amp;Instruções!$D$21&amp;") B ")</f>
        <v xml:space="preserve">(SELECT instrmnt_id as instrmnt_id_to_be, entty_id as entty_id_to_be,mn_entty_id as mn_entty_id_to_be FROM bu_loantape_work.lt005_instr_ent WHERE ref_date='2024-09-30' AND nome_perimetro='Individual Corporativo' AND segmento='ESTR' AND ambito='PM' AND entidade='00100' ) B </v>
      </c>
      <c r="J101" s="17" t="str">
        <f>IF(VLOOKUP(B101,Instruções!$F$13:$J$17,5,0)="",
"ON "&amp;VLOOKUP(B101,Instruções!$F$13:$J$17,4,0)&amp;"_"&amp;$F$2&amp;" = "&amp;VLOOKUP(B101,Instruções!$F$13:$J$17,4,0)&amp;"_"&amp;$G$2&amp;" ",
"ON "&amp;VLOOKUP(B101,Instruções!$F$13:$J$17,4,0)&amp;"_"&amp;$F$2&amp;" = "&amp;VLOOKUP(B101,Instruções!$F$13:$J$17,4,0)&amp;"_"&amp;$G$2&amp;" AND "&amp;VLOOKUP(B101,Instruções!$F$13:$J$17,5,0)&amp;"_"&amp;$F$2&amp;" = "&amp;VLOOKUP(B101,Instruções!$F$13:$J$17,5,0)&amp;"_"&amp;$G$2&amp;" ")</f>
        <v xml:space="preserve">ON instrmnt_id_as_is = instrmnt_id_to_be AND entty_id_as_is = entty_id_to_be </v>
      </c>
      <c r="K101" s="17" t="str">
        <f t="shared" si="8"/>
        <v xml:space="preserve">WHERE coalesce(cast(mn_entty_id_as_is as string), '') &lt;&gt; coalesce(cast(mn_entty_id_to_be as string), '') </v>
      </c>
      <c r="L101" s="17" t="str">
        <f t="shared" si="9"/>
        <v xml:space="preserve">SELECT count(*) AS NUM_REG_DIF FROM (SELECT instrmnt_id as instrmnt_id_as_is, entty_id as entty_id_as_is,mn_entty_id as mn_entty_id_as_is FROM cd_loan_tapes_bce.lt005_instr_ent WHERE ref_date='2024-09-30' AND nome_perimetro='Individual Corporativo' AND segmento='ESTR' AND ambito='PM' AND entidade='00100' ) A  Inner join (SELECT instrmnt_id as instrmnt_id_to_be, entty_id as entty_id_to_be,mn_entty_id as mn_entty_id_to_be FROM bu_loantape_work.lt005_instr_ent WHERE ref_date='2024-09-30' AND nome_perimetro='Individual Corporativo' AND segmento='ESTR' AND ambito='PM' AND entidade='00100' ) B ON instrmnt_id_as_is = instrmnt_id_to_be AND entty_id_as_is = entty_id_to_be WHERE coalesce(cast(mn_entty_id_as_is as string), '') &lt;&gt; coalesce(cast(mn_entty_id_to_be as string), '') </v>
      </c>
      <c r="M101" s="17" t="s">
        <v>55</v>
      </c>
      <c r="N101" s="17" t="str">
        <f>"SELECT 'Validação de campos' as tipologia_teste, '"&amp;VLOOKUP(B101,Instruções!$F$13:$J$17,3,0)&amp;"' AS TABELA, '"&amp;E101&amp;"' AS CAMPO, '"&amp;Instruções!$D$15&amp;"' as ref_date, coalesce(NUM_REG_DIF, 0) AS NUM_REG_DIF FROM ("&amp;L101&amp;") A "</f>
        <v xml:space="preserve">SELECT 'Validação de campos' as tipologia_teste, 'lt005_instr_ent' AS TABELA, 'mn_entty_id' AS CAMPO, '2024-09-30' as ref_date, coalesce(NUM_REG_DIF, 0) AS NUM_REG_DIF FROM (SELECT count(*) AS NUM_REG_DIF FROM (SELECT instrmnt_id as instrmnt_id_as_is, entty_id as entty_id_as_is,mn_entty_id as mn_entty_id_as_is FROM cd_loan_tapes_bce.lt005_instr_ent WHERE ref_date='2024-09-30' AND nome_perimetro='Individual Corporativo' AND segmento='ESTR' AND ambito='PM' AND entidade='00100' ) A  Inner join (SELECT instrmnt_id as instrmnt_id_to_be, entty_id as entty_id_to_be,mn_entty_id as mn_entty_id_to_be FROM bu_loantape_work.lt005_instr_ent WHERE ref_date='2024-09-30' AND nome_perimetro='Individual Corporativo' AND segmento='ESTR' AND ambito='PM' AND entidade='00100' ) B ON instrmnt_id_as_is = instrmnt_id_to_be AND entty_id_as_is = entty_id_to_be WHERE coalesce(cast(mn_entty_id_as_is as string), '') &lt;&gt; coalesce(cast(mn_entty_id_to_be as string), '') ) A </v>
      </c>
      <c r="O101" s="19" t="str">
        <f t="shared" si="10"/>
        <v>SELECT 'Validação de campos' as tipologia_teste, 'lt005_instr_ent' AS TABELA, 'mn_entty_id' AS CAMPO, '2024-09-30' as ref_date, coalesce(NUM_REG_DIF, 0) AS NUM_REG_DIF FROM (SELECT count(*) AS NUM_REG_DIF FROM (SELECT instrmnt_id as instrmnt_id_as_is, entty_id as entty_id_as_is,mn_entty_id as mn_entty_id_as_is FROM cd_loan_tapes_bce.lt005_instr_ent WHERE ref_date='2024-09-30' AND nome_perimetro='Individual Corporativo' AND segmento='ESTR' AND ambito='PM' AND entidade='00100' ) A  Inner join (SELECT instrmnt_id as instrmnt_id_to_be, entty_id as entty_id_to_be,mn_entty_id as mn_entty_id_to_be FROM bu_loantape_work.lt005_instr_ent WHERE ref_date='2024-09-30' AND nome_perimetro='Individual Corporativo' AND segmento='ESTR' AND ambito='PM' AND entidade='00100' ) B ON instrmnt_id_as_is = instrmnt_id_to_be AND entty_id_as_is = entty_id_to_be WHERE coalesce(cast(mn_entty_id_as_is as string), '') &lt;&gt; coalesce(cast(mn_entty_id_to_be as string), '') ) A UNION ALL</v>
      </c>
      <c r="P101" s="17">
        <f t="shared" si="11"/>
        <v>47</v>
      </c>
    </row>
    <row r="102" spans="2:16" s="15" customFormat="1" ht="11.45">
      <c r="B102" s="17" t="s">
        <v>21</v>
      </c>
      <c r="C102" s="17" t="str">
        <f>_xlfn.CONCAT(Instruções!$D$13,".",VLOOKUP(B102,Instruções!$F$12:$H$17,2,0))</f>
        <v>cd_loan_tapes_bce.lt006_instr_prot</v>
      </c>
      <c r="D102" s="17" t="str">
        <f>_xlfn.CONCAT(Instruções!$D$14,".",VLOOKUP(B102,Instruções!$F$12:$H$17,3,0))</f>
        <v>bu_loantape_work.lt006_instr_prot</v>
      </c>
      <c r="E102" s="17" t="s">
        <v>64</v>
      </c>
      <c r="F102" s="17" t="str">
        <f t="shared" si="6"/>
        <v>cod_soc_as_is</v>
      </c>
      <c r="G102" s="17" t="str">
        <f t="shared" si="7"/>
        <v>cod_soc_to_be</v>
      </c>
      <c r="H102" s="17" t="str">
        <f>IF(VLOOKUP(B102,Instruções!$F$13:$J$17,5,0)="",
"(SELECT "&amp;VLOOKUP(B102,Instruções!$F$13:$J$17,4,0)&amp;" as "&amp;VLOOKUP(B102,Instruções!$F$13:$J$17,4,0)&amp;"_"&amp;$F$2&amp;", "&amp;E102&amp;" as "&amp;F102&amp;" FROM "&amp;C102&amp;" WHERE "&amp;Instruções!$D$20&amp;") A ",
"(SELECT "&amp;VLOOKUP(B102,Instruções!$F$13:$J$17,4,0)&amp;" as "&amp;VLOOKUP(B102,Instruções!$F$13:$J$17,4,0)&amp;"_"&amp;$F$2&amp;", "&amp;VLOOKUP(B102,Instruções!$F$13:$J$17,5,0)&amp;" as "&amp;VLOOKUP(B102,Instruções!$F$13:$J$17,5,0)&amp;"_"&amp;$F$2&amp;","&amp;E102&amp;" as "&amp;F102&amp;" FROM "&amp;C102&amp;" WHERE "&amp;Instruções!$D$20&amp;") A ")</f>
        <v xml:space="preserve">(SELECT instrmnt_id as instrmnt_id_as_is, prtctn_id as prtctn_id_as_is,cod_soc as cod_soc_as_is FROM cd_loan_tapes_bce.lt006_instr_prot WHERE ref_date='2024-09-30' AND nome_perimetro='Individual Corporativo' AND segmento='ESTR' AND ambito='PM' AND entidade='00100' ) A </v>
      </c>
      <c r="I102" s="17" t="str">
        <f>IF(VLOOKUP(B102,Instruções!$F$13:$J$17,5,0)="",
"(SELECT "&amp;VLOOKUP(B102,Instruções!$F$13:$J$17,4,0)&amp;" as "&amp;VLOOKUP(B102,Instruções!$F$13:$J$17,4,0)&amp;"_"&amp;$G$2&amp;", "&amp;E102&amp;" as "&amp;G102&amp;" FROM "&amp;D102&amp;" WHERE "&amp;Instruções!$D$21&amp;") B ",
"(SELECT "&amp;VLOOKUP(B102,Instruções!$F$13:$J$17,4,0)&amp;" as "&amp;VLOOKUP(B102,Instruções!$F$13:$J$17,4,0)&amp;"_"&amp;$G$2&amp;", "&amp;VLOOKUP(B102,Instruções!$F$13:$J$17,5,0)&amp;" as "&amp;VLOOKUP(B102,Instruções!$F$13:$J$17,5,0)&amp;"_"&amp;$G$2&amp;","&amp;E102&amp;" as "&amp;G102&amp;" FROM "&amp;D102&amp;" WHERE "&amp;Instruções!$D$21&amp;") B ")</f>
        <v xml:space="preserve">(SELECT instrmnt_id as instrmnt_id_to_be, prtctn_id as prtctn_id_to_be,cod_soc as cod_soc_to_be FROM bu_loantape_work.lt006_instr_prot WHERE ref_date='2024-09-30' AND nome_perimetro='Individual Corporativo' AND segmento='ESTR' AND ambito='PM' AND entidade='00100' ) B </v>
      </c>
      <c r="J102" s="17" t="str">
        <f>IF(VLOOKUP(B102,Instruções!$F$13:$J$17,5,0)="",
"ON "&amp;VLOOKUP(B102,Instruções!$F$13:$J$17,4,0)&amp;"_"&amp;$F$2&amp;" = "&amp;VLOOKUP(B102,Instruções!$F$13:$J$17,4,0)&amp;"_"&amp;$G$2&amp;" ",
"ON "&amp;VLOOKUP(B102,Instruções!$F$13:$J$17,4,0)&amp;"_"&amp;$F$2&amp;" = "&amp;VLOOKUP(B102,Instruções!$F$13:$J$17,4,0)&amp;"_"&amp;$G$2&amp;" AND "&amp;VLOOKUP(B102,Instruções!$F$13:$J$17,5,0)&amp;"_"&amp;$F$2&amp;" = "&amp;VLOOKUP(B102,Instruções!$F$13:$J$17,5,0)&amp;"_"&amp;$G$2&amp;" ")</f>
        <v xml:space="preserve">ON instrmnt_id_as_is = instrmnt_id_to_be AND prtctn_id_as_is = prtctn_id_to_be </v>
      </c>
      <c r="K102" s="17" t="str">
        <f t="shared" si="8"/>
        <v xml:space="preserve">WHERE coalesce(cast(cod_soc_as_is as string), '') &lt;&gt; coalesce(cast(cod_soc_to_be as string), '') </v>
      </c>
      <c r="L102" s="17" t="str">
        <f t="shared" si="9"/>
        <v xml:space="preserve">SELECT count(*) AS NUM_REG_DIF FROM (SELECT instrmnt_id as instrmnt_id_as_is, prtctn_id as prtctn_id_as_is,cod_soc as cod_soc_as_is FROM cd_loan_tapes_bce.lt006_instr_prot WHERE ref_date='2024-09-30' AND nome_perimetro='Individual Corporativo' AND segmento='ESTR' AND ambito='PM' AND entidade='00100' ) A  Inner join (SELECT instrmnt_id as instrmnt_id_to_be, prtctn_id as prtctn_id_to_be,cod_soc as cod_soc_to_be FROM bu_loantape_work.lt006_instr_prot WHERE ref_date='2024-09-30' AND nome_perimetro='Individual Corporativo' AND segmento='ESTR' AND ambito='PM' AND entidade='00100' ) B ON instrmnt_id_as_is = instrmnt_id_to_be AND prtctn_id_as_is = prtctn_id_to_be WHERE coalesce(cast(cod_soc_as_is as string), '') &lt;&gt; coalesce(cast(cod_soc_to_be as string), '') </v>
      </c>
      <c r="M102" s="17" t="s">
        <v>55</v>
      </c>
      <c r="N102" s="17" t="str">
        <f>"SELECT 'Validação de campos' as tipologia_teste, '"&amp;VLOOKUP(B102,Instruções!$F$13:$J$17,3,0)&amp;"' AS TABELA, '"&amp;E102&amp;"' AS CAMPO, '"&amp;Instruções!$D$15&amp;"' as ref_date, coalesce(NUM_REG_DIF, 0) AS NUM_REG_DIF FROM ("&amp;L102&amp;") A "</f>
        <v xml:space="preserve">SELECT 'Validação de campos' as tipologia_teste, 'lt006_instr_prot' AS TABELA, 'cod_soc' AS CAMPO, '2024-09-30' as ref_date, coalesce(NUM_REG_DIF, 0) AS NUM_REG_DIF FROM (SELECT count(*) AS NUM_REG_DIF FROM (SELECT instrmnt_id as instrmnt_id_as_is, prtctn_id as prtctn_id_as_is,cod_soc as cod_soc_as_is FROM cd_loan_tapes_bce.lt006_instr_prot WHERE ref_date='2024-09-30' AND nome_perimetro='Individual Corporativo' AND segmento='ESTR' AND ambito='PM' AND entidade='00100' ) A  Inner join (SELECT instrmnt_id as instrmnt_id_to_be, prtctn_id as prtctn_id_to_be,cod_soc as cod_soc_to_be FROM bu_loantape_work.lt006_instr_prot WHERE ref_date='2024-09-30' AND nome_perimetro='Individual Corporativo' AND segmento='ESTR' AND ambito='PM' AND entidade='00100' ) B ON instrmnt_id_as_is = instrmnt_id_to_be AND prtctn_id_as_is = prtctn_id_to_be WHERE coalesce(cast(cod_soc_as_is as string), '') &lt;&gt; coalesce(cast(cod_soc_to_be as string), '') ) A </v>
      </c>
      <c r="O102" s="19" t="str">
        <f t="shared" si="10"/>
        <v>SELECT 'Validação de campos' as tipologia_teste, 'lt006_instr_prot' AS TABELA, 'cod_soc' AS CAMPO, '2024-09-30' as ref_date, coalesce(NUM_REG_DIF, 0) AS NUM_REG_DIF FROM (SELECT count(*) AS NUM_REG_DIF FROM (SELECT instrmnt_id as instrmnt_id_as_is, prtctn_id as prtctn_id_as_is,cod_soc as cod_soc_as_is FROM cd_loan_tapes_bce.lt006_instr_prot WHERE ref_date='2024-09-30' AND nome_perimetro='Individual Corporativo' AND segmento='ESTR' AND ambito='PM' AND entidade='00100' ) A  Inner join (SELECT instrmnt_id as instrmnt_id_to_be, prtctn_id as prtctn_id_to_be,cod_soc as cod_soc_to_be FROM bu_loantape_work.lt006_instr_prot WHERE ref_date='2024-09-30' AND nome_perimetro='Individual Corporativo' AND segmento='ESTR' AND ambito='PM' AND entidade='00100' ) B ON instrmnt_id_as_is = instrmnt_id_to_be AND prtctn_id_as_is = prtctn_id_to_be WHERE coalesce(cast(cod_soc_as_is as string), '') &lt;&gt; coalesce(cast(cod_soc_to_be as string), '') ) A UNION ALL</v>
      </c>
      <c r="P102" s="17">
        <f t="shared" si="11"/>
        <v>48</v>
      </c>
    </row>
    <row r="103" spans="2:16" s="15" customFormat="1" ht="11.45">
      <c r="B103" s="17" t="s">
        <v>21</v>
      </c>
      <c r="C103" s="17" t="str">
        <f>_xlfn.CONCAT(Instruções!$D$13,".",VLOOKUP(B103,Instruções!$F$12:$H$17,2,0))</f>
        <v>cd_loan_tapes_bce.lt006_instr_prot</v>
      </c>
      <c r="D103" s="17" t="str">
        <f>_xlfn.CONCAT(Instruções!$D$14,".",VLOOKUP(B103,Instruções!$F$12:$H$17,3,0))</f>
        <v>bu_loantape_work.lt006_instr_prot</v>
      </c>
      <c r="E103" s="17" t="s">
        <v>159</v>
      </c>
      <c r="F103" s="17" t="str">
        <f t="shared" si="6"/>
        <v>prtctn_allctd_vl_as_is</v>
      </c>
      <c r="G103" s="17" t="str">
        <f t="shared" si="7"/>
        <v>prtctn_allctd_vl_to_be</v>
      </c>
      <c r="H103" s="17" t="str">
        <f>IF(VLOOKUP(B103,Instruções!$F$13:$J$17,5,0)="",
"(SELECT "&amp;VLOOKUP(B103,Instruções!$F$13:$J$17,4,0)&amp;" as "&amp;VLOOKUP(B103,Instruções!$F$13:$J$17,4,0)&amp;"_"&amp;$F$2&amp;", "&amp;E103&amp;" as "&amp;F103&amp;" FROM "&amp;C103&amp;" WHERE "&amp;Instruções!$D$20&amp;") A ",
"(SELECT "&amp;VLOOKUP(B103,Instruções!$F$13:$J$17,4,0)&amp;" as "&amp;VLOOKUP(B103,Instruções!$F$13:$J$17,4,0)&amp;"_"&amp;$F$2&amp;", "&amp;VLOOKUP(B103,Instruções!$F$13:$J$17,5,0)&amp;" as "&amp;VLOOKUP(B103,Instruções!$F$13:$J$17,5,0)&amp;"_"&amp;$F$2&amp;","&amp;E103&amp;" as "&amp;F103&amp;" FROM "&amp;C103&amp;" WHERE "&amp;Instruções!$D$20&amp;") A ")</f>
        <v xml:space="preserve">(SELECT instrmnt_id as instrmnt_id_as_is, prtctn_id as prtctn_id_as_is,prtctn_allctd_vl as prtctn_allctd_vl_as_is FROM cd_loan_tapes_bce.lt006_instr_prot WHERE ref_date='2024-09-30' AND nome_perimetro='Individual Corporativo' AND segmento='ESTR' AND ambito='PM' AND entidade='00100' ) A </v>
      </c>
      <c r="I103" s="17" t="str">
        <f>IF(VLOOKUP(B103,Instruções!$F$13:$J$17,5,0)="",
"(SELECT "&amp;VLOOKUP(B103,Instruções!$F$13:$J$17,4,0)&amp;" as "&amp;VLOOKUP(B103,Instruções!$F$13:$J$17,4,0)&amp;"_"&amp;$G$2&amp;", "&amp;E103&amp;" as "&amp;G103&amp;" FROM "&amp;D103&amp;" WHERE "&amp;Instruções!$D$21&amp;") B ",
"(SELECT "&amp;VLOOKUP(B103,Instruções!$F$13:$J$17,4,0)&amp;" as "&amp;VLOOKUP(B103,Instruções!$F$13:$J$17,4,0)&amp;"_"&amp;$G$2&amp;", "&amp;VLOOKUP(B103,Instruções!$F$13:$J$17,5,0)&amp;" as "&amp;VLOOKUP(B103,Instruções!$F$13:$J$17,5,0)&amp;"_"&amp;$G$2&amp;","&amp;E103&amp;" as "&amp;G103&amp;" FROM "&amp;D103&amp;" WHERE "&amp;Instruções!$D$21&amp;") B ")</f>
        <v xml:space="preserve">(SELECT instrmnt_id as instrmnt_id_to_be, prtctn_id as prtctn_id_to_be,prtctn_allctd_vl as prtctn_allctd_vl_to_be FROM bu_loantape_work.lt006_instr_prot WHERE ref_date='2024-09-30' AND nome_perimetro='Individual Corporativo' AND segmento='ESTR' AND ambito='PM' AND entidade='00100' ) B </v>
      </c>
      <c r="J103" s="17" t="str">
        <f>IF(VLOOKUP(B103,Instruções!$F$13:$J$17,5,0)="",
"ON "&amp;VLOOKUP(B103,Instruções!$F$13:$J$17,4,0)&amp;"_"&amp;$F$2&amp;" = "&amp;VLOOKUP(B103,Instruções!$F$13:$J$17,4,0)&amp;"_"&amp;$G$2&amp;" ",
"ON "&amp;VLOOKUP(B103,Instruções!$F$13:$J$17,4,0)&amp;"_"&amp;$F$2&amp;" = "&amp;VLOOKUP(B103,Instruções!$F$13:$J$17,4,0)&amp;"_"&amp;$G$2&amp;" AND "&amp;VLOOKUP(B103,Instruções!$F$13:$J$17,5,0)&amp;"_"&amp;$F$2&amp;" = "&amp;VLOOKUP(B103,Instruções!$F$13:$J$17,5,0)&amp;"_"&amp;$G$2&amp;" ")</f>
        <v xml:space="preserve">ON instrmnt_id_as_is = instrmnt_id_to_be AND prtctn_id_as_is = prtctn_id_to_be </v>
      </c>
      <c r="K103" s="17" t="str">
        <f t="shared" si="8"/>
        <v xml:space="preserve">WHERE coalesce(cast(prtctn_allctd_vl_as_is as string), '') &lt;&gt; coalesce(cast(prtctn_allctd_vl_to_be as string), '') </v>
      </c>
      <c r="L103" s="17" t="str">
        <f t="shared" si="9"/>
        <v xml:space="preserve">SELECT count(*) AS NUM_REG_DIF FROM (SELECT instrmnt_id as instrmnt_id_as_is, prtctn_id as prtctn_id_as_is,prtctn_allctd_vl as prtctn_allctd_vl_as_is FROM cd_loan_tapes_bce.lt006_instr_prot WHERE ref_date='2024-09-30' AND nome_perimetro='Individual Corporativo' AND segmento='ESTR' AND ambito='PM' AND entidade='00100' ) A  Inner join (SELECT instrmnt_id as instrmnt_id_to_be, prtctn_id as prtctn_id_to_be,prtctn_allctd_vl as prtctn_allctd_vl_to_be FROM bu_loantape_work.lt006_instr_prot WHERE ref_date='2024-09-30' AND nome_perimetro='Individual Corporativo' AND segmento='ESTR' AND ambito='PM' AND entidade='00100' ) B ON instrmnt_id_as_is = instrmnt_id_to_be AND prtctn_id_as_is = prtctn_id_to_be WHERE coalesce(cast(prtctn_allctd_vl_as_is as string), '') &lt;&gt; coalesce(cast(prtctn_allctd_vl_to_be as string), '') </v>
      </c>
      <c r="M103" s="17" t="s">
        <v>55</v>
      </c>
      <c r="N103" s="17" t="str">
        <f>"SELECT 'Validação de campos' as tipologia_teste, '"&amp;VLOOKUP(B103,Instruções!$F$13:$J$17,3,0)&amp;"' AS TABELA, '"&amp;E103&amp;"' AS CAMPO, '"&amp;Instruções!$D$15&amp;"' as ref_date, coalesce(NUM_REG_DIF, 0) AS NUM_REG_DIF FROM ("&amp;L103&amp;") A "</f>
        <v xml:space="preserve">SELECT 'Validação de campos' as tipologia_teste, 'lt006_instr_prot' AS TABELA, 'prtctn_allctd_vl' AS CAMPO, '2024-09-30' as ref_date, coalesce(NUM_REG_DIF, 0) AS NUM_REG_DIF FROM (SELECT count(*) AS NUM_REG_DIF FROM (SELECT instrmnt_id as instrmnt_id_as_is, prtctn_id as prtctn_id_as_is,prtctn_allctd_vl as prtctn_allctd_vl_as_is FROM cd_loan_tapes_bce.lt006_instr_prot WHERE ref_date='2024-09-30' AND nome_perimetro='Individual Corporativo' AND segmento='ESTR' AND ambito='PM' AND entidade='00100' ) A  Inner join (SELECT instrmnt_id as instrmnt_id_to_be, prtctn_id as prtctn_id_to_be,prtctn_allctd_vl as prtctn_allctd_vl_to_be FROM bu_loantape_work.lt006_instr_prot WHERE ref_date='2024-09-30' AND nome_perimetro='Individual Corporativo' AND segmento='ESTR' AND ambito='PM' AND entidade='00100' ) B ON instrmnt_id_as_is = instrmnt_id_to_be AND prtctn_id_as_is = prtctn_id_to_be WHERE coalesce(cast(prtctn_allctd_vl_as_is as string), '') &lt;&gt; coalesce(cast(prtctn_allctd_vl_to_be as string), '') ) A </v>
      </c>
      <c r="O103" s="19" t="str">
        <f t="shared" si="10"/>
        <v xml:space="preserve">SELECT 'Validação de campos' as tipologia_teste, 'lt006_instr_prot' AS TABELA, 'prtctn_allctd_vl' AS CAMPO, '2024-09-30' as ref_date, coalesce(NUM_REG_DIF, 0) AS NUM_REG_DIF FROM (SELECT count(*) AS NUM_REG_DIF FROM (SELECT instrmnt_id as instrmnt_id_as_is, prtctn_id as prtctn_id_as_is,prtctn_allctd_vl as prtctn_allctd_vl_as_is FROM cd_loan_tapes_bce.lt006_instr_prot WHERE ref_date='2024-09-30' AND nome_perimetro='Individual Corporativo' AND segmento='ESTR' AND ambito='PM' AND entidade='00100' ) A  Inner join (SELECT instrmnt_id as instrmnt_id_to_be, prtctn_id as prtctn_id_to_be,prtctn_allctd_vl as prtctn_allctd_vl_to_be FROM bu_loantape_work.lt006_instr_prot WHERE ref_date='2024-09-30' AND nome_perimetro='Individual Corporativo' AND segmento='ESTR' AND ambito='PM' AND entidade='00100' ) B ON instrmnt_id_as_is = instrmnt_id_to_be AND prtctn_id_as_is = prtctn_id_to_be WHERE coalesce(cast(prtctn_allctd_vl_as_is as string), '') &lt;&gt; coalesce(cast(prtctn_allctd_vl_to_be as string), '') ) A </v>
      </c>
      <c r="P103" s="17">
        <f t="shared" si="11"/>
        <v>49</v>
      </c>
    </row>
    <row r="104" spans="2:16" s="15" customFormat="1" ht="11.45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  <c r="P104" s="18"/>
    </row>
    <row r="105" spans="2:16" s="15" customFormat="1" ht="11.45">
      <c r="B105" s="17" t="s">
        <v>21</v>
      </c>
      <c r="C105" s="17" t="str">
        <f>_xlfn.CONCAT(Instruções!$D$13,".",VLOOKUP(B105,Instruções!$F$12:$H$17,2,0))</f>
        <v>cd_loan_tapes_bce.lt006_instr_prot</v>
      </c>
      <c r="D105" s="17" t="str">
        <f>_xlfn.CONCAT(Instruções!$D$14,".",VLOOKUP(B105,Instruções!$F$12:$H$17,3,0))</f>
        <v>bu_loantape_work.lt006_instr_prot</v>
      </c>
      <c r="E105" s="17" t="s">
        <v>160</v>
      </c>
      <c r="F105" s="17" t="str">
        <f t="shared" ref="F105:F153" si="12">E105&amp;"_"&amp;$F$2</f>
        <v>thrd_prty_prrty_clms_as_is</v>
      </c>
      <c r="G105" s="17" t="str">
        <f t="shared" ref="G105:G153" si="13">E105&amp;"_"&amp;$G$2</f>
        <v>thrd_prty_prrty_clms_to_be</v>
      </c>
      <c r="H105" s="17" t="str">
        <f>IF(VLOOKUP(B105,Instruções!$F$13:$J$17,5,0)="",
"(SELECT "&amp;VLOOKUP(B105,Instruções!$F$13:$J$17,4,0)&amp;" as "&amp;VLOOKUP(B105,Instruções!$F$13:$J$17,4,0)&amp;"_"&amp;$F$2&amp;", "&amp;E105&amp;" as "&amp;F105&amp;" FROM "&amp;C105&amp;" WHERE "&amp;Instruções!$D$20&amp;") A ",
"(SELECT "&amp;VLOOKUP(B105,Instruções!$F$13:$J$17,4,0)&amp;" as "&amp;VLOOKUP(B105,Instruções!$F$13:$J$17,4,0)&amp;"_"&amp;$F$2&amp;", "&amp;VLOOKUP(B105,Instruções!$F$13:$J$17,5,0)&amp;" as "&amp;VLOOKUP(B105,Instruções!$F$13:$J$17,5,0)&amp;"_"&amp;$F$2&amp;","&amp;E105&amp;" as "&amp;F105&amp;" FROM "&amp;C105&amp;" WHERE "&amp;Instruções!$D$20&amp;") A ")</f>
        <v xml:space="preserve">(SELECT instrmnt_id as instrmnt_id_as_is, prtctn_id as prtctn_id_as_is,thrd_prty_prrty_clms as thrd_prty_prrty_clms_as_is FROM cd_loan_tapes_bce.lt006_instr_prot WHERE ref_date='2024-09-30' AND nome_perimetro='Individual Corporativo' AND segmento='ESTR' AND ambito='PM' AND entidade='00100' ) A </v>
      </c>
      <c r="I105" s="17" t="str">
        <f>IF(VLOOKUP(B105,Instruções!$F$13:$J$17,5,0)="",
"(SELECT "&amp;VLOOKUP(B105,Instruções!$F$13:$J$17,4,0)&amp;" as "&amp;VLOOKUP(B105,Instruções!$F$13:$J$17,4,0)&amp;"_"&amp;$G$2&amp;", "&amp;E105&amp;" as "&amp;G105&amp;" FROM "&amp;D105&amp;" WHERE "&amp;Instruções!$D$21&amp;") B ",
"(SELECT "&amp;VLOOKUP(B105,Instruções!$F$13:$J$17,4,0)&amp;" as "&amp;VLOOKUP(B105,Instruções!$F$13:$J$17,4,0)&amp;"_"&amp;$G$2&amp;", "&amp;VLOOKUP(B105,Instruções!$F$13:$J$17,5,0)&amp;" as "&amp;VLOOKUP(B105,Instruções!$F$13:$J$17,5,0)&amp;"_"&amp;$G$2&amp;","&amp;E105&amp;" as "&amp;G105&amp;" FROM "&amp;D105&amp;" WHERE "&amp;Instruções!$D$21&amp;") B ")</f>
        <v xml:space="preserve">(SELECT instrmnt_id as instrmnt_id_to_be, prtctn_id as prtctn_id_to_be,thrd_prty_prrty_clms as thrd_prty_prrty_clms_to_be FROM bu_loantape_work.lt006_instr_prot WHERE ref_date='2024-09-30' AND nome_perimetro='Individual Corporativo' AND segmento='ESTR' AND ambito='PM' AND entidade='00100' ) B </v>
      </c>
      <c r="J105" s="17" t="str">
        <f>IF(VLOOKUP(B105,Instruções!$F$13:$J$17,5,0)="",
"ON "&amp;VLOOKUP(B105,Instruções!$F$13:$J$17,4,0)&amp;"_"&amp;$F$2&amp;" = "&amp;VLOOKUP(B105,Instruções!$F$13:$J$17,4,0)&amp;"_"&amp;$G$2&amp;" ",
"ON "&amp;VLOOKUP(B105,Instruções!$F$13:$J$17,4,0)&amp;"_"&amp;$F$2&amp;" = "&amp;VLOOKUP(B105,Instruções!$F$13:$J$17,4,0)&amp;"_"&amp;$G$2&amp;" AND "&amp;VLOOKUP(B105,Instruções!$F$13:$J$17,5,0)&amp;"_"&amp;$F$2&amp;" = "&amp;VLOOKUP(B105,Instruções!$F$13:$J$17,5,0)&amp;"_"&amp;$G$2&amp;" ")</f>
        <v xml:space="preserve">ON instrmnt_id_as_is = instrmnt_id_to_be AND prtctn_id_as_is = prtctn_id_to_be </v>
      </c>
      <c r="K105" s="17" t="str">
        <f t="shared" ref="K105:K153" si="14">"WHERE coalesce(cast("&amp;F105&amp;" as string), '') &lt;&gt; coalesce(cast("&amp;G105&amp;" as string), '') "</f>
        <v xml:space="preserve">WHERE coalesce(cast(thrd_prty_prrty_clms_as_is as string), '') &lt;&gt; coalesce(cast(thrd_prty_prrty_clms_to_be as string), '') </v>
      </c>
      <c r="L105" s="17" t="str">
        <f t="shared" ref="L105:L153" si="15">"SELECT count(*) AS NUM_REG_DIF FROM "&amp;H105&amp;" Inner join "&amp;I105&amp;J105&amp;K105</f>
        <v xml:space="preserve">SELECT count(*) AS NUM_REG_DIF FROM (SELECT instrmnt_id as instrmnt_id_as_is, prtctn_id as prtctn_id_as_is,thrd_prty_prrty_clms as thrd_prty_prrty_clms_as_is FROM cd_loan_tapes_bce.lt006_instr_prot WHERE ref_date='2024-09-30' AND nome_perimetro='Individual Corporativo' AND segmento='ESTR' AND ambito='PM' AND entidade='00100' ) A  Inner join (SELECT instrmnt_id as instrmnt_id_to_be, prtctn_id as prtctn_id_to_be,thrd_prty_prrty_clms as thrd_prty_prrty_clms_to_be FROM bu_loantape_work.lt006_instr_prot WHERE ref_date='2024-09-30' AND nome_perimetro='Individual Corporativo' AND segmento='ESTR' AND ambito='PM' AND entidade='00100' ) B ON instrmnt_id_as_is = instrmnt_id_to_be AND prtctn_id_as_is = prtctn_id_to_be WHERE coalesce(cast(thrd_prty_prrty_clms_as_is as string), '') &lt;&gt; coalesce(cast(thrd_prty_prrty_clms_to_be as string), '') </v>
      </c>
      <c r="M105" s="17" t="s">
        <v>55</v>
      </c>
      <c r="N105" s="17" t="str">
        <f>"SELECT 'Validação de campos' as tipologia_teste, '"&amp;VLOOKUP(B105,Instruções!$F$13:$J$17,3,0)&amp;"' AS TABELA, '"&amp;E105&amp;"' AS CAMPO, '"&amp;Instruções!$D$15&amp;"' as ref_date, coalesce(NUM_REG_DIF, 0) AS NUM_REG_DIF FROM ("&amp;L105&amp;") A "</f>
        <v xml:space="preserve">SELECT 'Validação de campos' as tipologia_teste, 'lt006_instr_prot' AS TABELA, 'thrd_prty_prrty_clms' AS CAMPO, '2024-09-30' as ref_date, coalesce(NUM_REG_DIF, 0) AS NUM_REG_DIF FROM (SELECT count(*) AS NUM_REG_DIF FROM (SELECT instrmnt_id as instrmnt_id_as_is, prtctn_id as prtctn_id_as_is,thrd_prty_prrty_clms as thrd_prty_prrty_clms_as_is FROM cd_loan_tapes_bce.lt006_instr_prot WHERE ref_date='2024-09-30' AND nome_perimetro='Individual Corporativo' AND segmento='ESTR' AND ambito='PM' AND entidade='00100' ) A  Inner join (SELECT instrmnt_id as instrmnt_id_to_be, prtctn_id as prtctn_id_to_be,thrd_prty_prrty_clms as thrd_prty_prrty_clms_to_be FROM bu_loantape_work.lt006_instr_prot WHERE ref_date='2024-09-30' AND nome_perimetro='Individual Corporativo' AND segmento='ESTR' AND ambito='PM' AND entidade='00100' ) B ON instrmnt_id_as_is = instrmnt_id_to_be AND prtctn_id_as_is = prtctn_id_to_be WHERE coalesce(cast(thrd_prty_prrty_clms_as_is as string), '') &lt;&gt; coalesce(cast(thrd_prty_prrty_clms_to_be as string), '') ) A </v>
      </c>
      <c r="O105" s="19" t="str">
        <f t="shared" ref="O105:O152" si="16">IF(O106="",N105,N105&amp;$O$3)</f>
        <v>SELECT 'Validação de campos' as tipologia_teste, 'lt006_instr_prot' AS TABELA, 'thrd_prty_prrty_clms' AS CAMPO, '2024-09-30' as ref_date, coalesce(NUM_REG_DIF, 0) AS NUM_REG_DIF FROM (SELECT count(*) AS NUM_REG_DIF FROM (SELECT instrmnt_id as instrmnt_id_as_is, prtctn_id as prtctn_id_as_is,thrd_prty_prrty_clms as thrd_prty_prrty_clms_as_is FROM cd_loan_tapes_bce.lt006_instr_prot WHERE ref_date='2024-09-30' AND nome_perimetro='Individual Corporativo' AND segmento='ESTR' AND ambito='PM' AND entidade='00100' ) A  Inner join (SELECT instrmnt_id as instrmnt_id_to_be, prtctn_id as prtctn_id_to_be,thrd_prty_prrty_clms as thrd_prty_prrty_clms_to_be FROM bu_loantape_work.lt006_instr_prot WHERE ref_date='2024-09-30' AND nome_perimetro='Individual Corporativo' AND segmento='ESTR' AND ambito='PM' AND entidade='00100' ) B ON instrmnt_id_as_is = instrmnt_id_to_be AND prtctn_id_as_is = prtctn_id_to_be WHERE coalesce(cast(thrd_prty_prrty_clms_as_is as string), '') &lt;&gt; coalesce(cast(thrd_prty_prrty_clms_to_be as string), '') ) A UNION ALL</v>
      </c>
      <c r="P105" s="17">
        <f t="shared" si="11"/>
        <v>1</v>
      </c>
    </row>
    <row r="106" spans="2:16" s="15" customFormat="1" ht="11.45">
      <c r="B106" s="17" t="s">
        <v>26</v>
      </c>
      <c r="C106" s="17" t="str">
        <f>_xlfn.CONCAT(Instruções!$D$13,".",VLOOKUP(B106,Instruções!$F$12:$H$17,2,0))</f>
        <v>cd_loan_tapes_bce.lt002_instrument</v>
      </c>
      <c r="D106" s="17" t="str">
        <f>_xlfn.CONCAT(Instruções!$D$14,".",VLOOKUP(B106,Instruções!$F$12:$H$17,3,0))</f>
        <v>bu_loantape_work.lt002_instrument</v>
      </c>
      <c r="E106" s="17" t="s">
        <v>161</v>
      </c>
      <c r="F106" s="17" t="str">
        <f t="shared" si="12"/>
        <v>accmltd_chngs_fv_cr_instrmnt_as_is</v>
      </c>
      <c r="G106" s="17" t="str">
        <f t="shared" si="13"/>
        <v>accmltd_chngs_fv_cr_instrmnt_to_be</v>
      </c>
      <c r="H106" s="17" t="str">
        <f>IF(VLOOKUP(B106,Instruções!$F$13:$J$17,5,0)="",
"(SELECT "&amp;VLOOKUP(B106,Instruções!$F$13:$J$17,4,0)&amp;" as "&amp;VLOOKUP(B106,Instruções!$F$13:$J$17,4,0)&amp;"_"&amp;$F$2&amp;", "&amp;E106&amp;" as "&amp;F106&amp;" FROM "&amp;C106&amp;" WHERE "&amp;Instruções!$D$20&amp;") A ",
"(SELECT "&amp;VLOOKUP(B106,Instruções!$F$13:$J$17,4,0)&amp;" as "&amp;VLOOKUP(B106,Instruções!$F$13:$J$17,4,0)&amp;"_"&amp;$F$2&amp;", "&amp;VLOOKUP(B106,Instruções!$F$13:$J$17,5,0)&amp;" as "&amp;VLOOKUP(B106,Instruções!$F$13:$J$17,5,0)&amp;"_"&amp;$F$2&amp;","&amp;E106&amp;" as "&amp;F106&amp;" FROM "&amp;C106&amp;" WHERE "&amp;Instruções!$D$20&amp;") A ")</f>
        <v xml:space="preserve">(SELECT instrmnt_id as instrmnt_id_as_is, accmltd_chngs_fv_cr_instrmnt as accmltd_chngs_fv_cr_instrmnt_as_is FROM cd_loan_tapes_bce.lt002_instrument WHERE ref_date='2024-09-30' AND nome_perimetro='Individual Corporativo' AND segmento='ESTR' AND ambito='PM' AND entidade='00100' ) A </v>
      </c>
      <c r="I106" s="17" t="str">
        <f>IF(VLOOKUP(B106,Instruções!$F$13:$J$17,5,0)="",
"(SELECT "&amp;VLOOKUP(B106,Instruções!$F$13:$J$17,4,0)&amp;" as "&amp;VLOOKUP(B106,Instruções!$F$13:$J$17,4,0)&amp;"_"&amp;$G$2&amp;", "&amp;E106&amp;" as "&amp;G106&amp;" FROM "&amp;D106&amp;" WHERE "&amp;Instruções!$D$21&amp;") B ",
"(SELECT "&amp;VLOOKUP(B106,Instruções!$F$13:$J$17,4,0)&amp;" as "&amp;VLOOKUP(B106,Instruções!$F$13:$J$17,4,0)&amp;"_"&amp;$G$2&amp;", "&amp;VLOOKUP(B106,Instruções!$F$13:$J$17,5,0)&amp;" as "&amp;VLOOKUP(B106,Instruções!$F$13:$J$17,5,0)&amp;"_"&amp;$G$2&amp;","&amp;E106&amp;" as "&amp;G106&amp;" FROM "&amp;D106&amp;" WHERE "&amp;Instruções!$D$21&amp;") B ")</f>
        <v xml:space="preserve">(SELECT instrmnt_id as instrmnt_id_to_be, accmltd_chngs_fv_cr_instrmnt as accmltd_chngs_fv_cr_instrmnt_to_be FROM bu_loantape_work.lt002_instrument WHERE ref_date='2024-09-30' AND nome_perimetro='Individual Corporativo' AND segmento='ESTR' AND ambito='PM' AND entidade='00100' ) B </v>
      </c>
      <c r="J106" s="17" t="str">
        <f>IF(VLOOKUP(B106,Instruções!$F$13:$J$17,5,0)="",
"ON "&amp;VLOOKUP(B106,Instruções!$F$13:$J$17,4,0)&amp;"_"&amp;$F$2&amp;" = "&amp;VLOOKUP(B106,Instruções!$F$13:$J$17,4,0)&amp;"_"&amp;$G$2&amp;" ",
"ON "&amp;VLOOKUP(B106,Instruções!$F$13:$J$17,4,0)&amp;"_"&amp;$F$2&amp;" = "&amp;VLOOKUP(B106,Instruções!$F$13:$J$17,4,0)&amp;"_"&amp;$G$2&amp;" AND "&amp;VLOOKUP(B106,Instruções!$F$13:$J$17,5,0)&amp;"_"&amp;$F$2&amp;" = "&amp;VLOOKUP(B106,Instruções!$F$13:$J$17,5,0)&amp;"_"&amp;$G$2&amp;" ")</f>
        <v xml:space="preserve">ON instrmnt_id_as_is = instrmnt_id_to_be </v>
      </c>
      <c r="K106" s="17" t="str">
        <f t="shared" si="14"/>
        <v xml:space="preserve">WHERE coalesce(cast(accmltd_chngs_fv_cr_instrmnt_as_is as string), '') &lt;&gt; coalesce(cast(accmltd_chngs_fv_cr_instrmnt_to_be as string), '') </v>
      </c>
      <c r="L106" s="17" t="str">
        <f t="shared" si="15"/>
        <v xml:space="preserve">SELECT count(*) AS NUM_REG_DIF FROM (SELECT instrmnt_id as instrmnt_id_as_is,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instrmnt_id_to_be, accmltd_chngs_fv_cr_instrmnt as accmltd_chngs_fv_cr_instrmnt_to_be FROM bu_loantape_work.lt002_instrument WHERE ref_date='2024-09-30' AND nome_perimetro='Individual Corporativo' AND segmento='ESTR' AND ambito='PM' AND entidade='00100' ) B ON instrmnt_id_as_is = instrmnt_id_to_be WHERE coalesce(cast(accmltd_chngs_fv_cr_instrmnt_as_is as string), '') &lt;&gt; coalesce(cast(accmltd_chngs_fv_cr_instrmnt_to_be as string), '') </v>
      </c>
      <c r="M106" s="17" t="s">
        <v>55</v>
      </c>
      <c r="N106" s="17" t="str">
        <f>"SELECT 'Validação de campos' as tipologia_teste, '"&amp;VLOOKUP(B106,Instruções!$F$13:$J$17,3,0)&amp;"' AS TABELA, '"&amp;E106&amp;"' AS CAMPO, '"&amp;Instruções!$D$15&amp;"' as ref_date, coalesce(NUM_REG_DIF, 0) AS NUM_REG_DIF FROM ("&amp;L106&amp;") A "</f>
        <v xml:space="preserve">SELECT 'Validação de campos' as tipologia_teste, 'lt002_instrument' AS TABELA, 'accmltd_chngs_fv_cr_instrmnt' AS CAMPO, '2024-09-30' as ref_date, coalesce(NUM_REG_DIF, 0) AS NUM_REG_DIF FROM (SELECT count(*) AS NUM_REG_DIF FROM (SELECT instrmnt_id as instrmnt_id_as_is,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instrmnt_id_to_be, accmltd_chngs_fv_cr_instrmnt as accmltd_chngs_fv_cr_instrmnt_to_be FROM bu_loantape_work.lt002_instrument WHERE ref_date='2024-09-30' AND nome_perimetro='Individual Corporativo' AND segmento='ESTR' AND ambito='PM' AND entidade='00100' ) B ON instrmnt_id_as_is = instrmnt_id_to_be WHERE coalesce(cast(accmltd_chngs_fv_cr_instrmnt_as_is as string), '') &lt;&gt; coalesce(cast(accmltd_chngs_fv_cr_instrmnt_to_be as string), '') ) A </v>
      </c>
      <c r="O106" s="19" t="str">
        <f t="shared" si="16"/>
        <v>SELECT 'Validação de campos' as tipologia_teste, 'lt002_instrument' AS TABELA, 'accmltd_chngs_fv_cr_instrmnt' AS CAMPO, '2024-09-30' as ref_date, coalesce(NUM_REG_DIF, 0) AS NUM_REG_DIF FROM (SELECT count(*) AS NUM_REG_DIF FROM (SELECT instrmnt_id as instrmnt_id_as_is, accmltd_chngs_fv_cr_instrmnt as accmltd_chngs_fv_cr_instrmnt_as_is FROM cd_loan_tapes_bce.lt002_instrument WHERE ref_date='2024-09-30' AND nome_perimetro='Individual Corporativo' AND segmento='ESTR' AND ambito='PM' AND entidade='00100' ) A  Inner join (SELECT instrmnt_id as instrmnt_id_to_be, accmltd_chngs_fv_cr_instrmnt as accmltd_chngs_fv_cr_instrmnt_to_be FROM bu_loantape_work.lt002_instrument WHERE ref_date='2024-09-30' AND nome_perimetro='Individual Corporativo' AND segmento='ESTR' AND ambito='PM' AND entidade='00100' ) B ON instrmnt_id_as_is = instrmnt_id_to_be WHERE coalesce(cast(accmltd_chngs_fv_cr_instrmnt_as_is as string), '') &lt;&gt; coalesce(cast(accmltd_chngs_fv_cr_instrmnt_to_be as string), '') ) A UNION ALL</v>
      </c>
      <c r="P106" s="17">
        <f t="shared" si="11"/>
        <v>2</v>
      </c>
    </row>
    <row r="107" spans="2:16" s="15" customFormat="1" ht="11.45">
      <c r="B107" s="17" t="s">
        <v>26</v>
      </c>
      <c r="C107" s="17" t="str">
        <f>_xlfn.CONCAT(Instruções!$D$13,".",VLOOKUP(B107,Instruções!$F$12:$H$17,2,0))</f>
        <v>cd_loan_tapes_bce.lt002_instrument</v>
      </c>
      <c r="D107" s="17" t="str">
        <f>_xlfn.CONCAT(Instruções!$D$14,".",VLOOKUP(B107,Instruções!$F$12:$H$17,3,0))</f>
        <v>bu_loantape_work.lt002_instrument</v>
      </c>
      <c r="E107" s="17" t="s">
        <v>162</v>
      </c>
      <c r="F107" s="17" t="str">
        <f t="shared" si="12"/>
        <v>accmltd_imprmnt_instrmnt_as_is</v>
      </c>
      <c r="G107" s="17" t="str">
        <f t="shared" si="13"/>
        <v>accmltd_imprmnt_instrmnt_to_be</v>
      </c>
      <c r="H107" s="17" t="str">
        <f>IF(VLOOKUP(B107,Instruções!$F$13:$J$17,5,0)="",
"(SELECT "&amp;VLOOKUP(B107,Instruções!$F$13:$J$17,4,0)&amp;" as "&amp;VLOOKUP(B107,Instruções!$F$13:$J$17,4,0)&amp;"_"&amp;$F$2&amp;", "&amp;E107&amp;" as "&amp;F107&amp;" FROM "&amp;C107&amp;" WHERE "&amp;Instruções!$D$20&amp;") A ",
"(SELECT "&amp;VLOOKUP(B107,Instruções!$F$13:$J$17,4,0)&amp;" as "&amp;VLOOKUP(B107,Instruções!$F$13:$J$17,4,0)&amp;"_"&amp;$F$2&amp;", "&amp;VLOOKUP(B107,Instruções!$F$13:$J$17,5,0)&amp;" as "&amp;VLOOKUP(B107,Instruções!$F$13:$J$17,5,0)&amp;"_"&amp;$F$2&amp;","&amp;E107&amp;" as "&amp;F107&amp;" FROM "&amp;C107&amp;" WHERE "&amp;Instruções!$D$20&amp;") A ")</f>
        <v xml:space="preserve">(SELECT instrmnt_id as instrmnt_id_as_is, accmltd_imprmnt_instrmnt as accmltd_imprmnt_instrmnt_as_is FROM cd_loan_tapes_bce.lt002_instrument WHERE ref_date='2024-09-30' AND nome_perimetro='Individual Corporativo' AND segmento='ESTR' AND ambito='PM' AND entidade='00100' ) A </v>
      </c>
      <c r="I107" s="17" t="str">
        <f>IF(VLOOKUP(B107,Instruções!$F$13:$J$17,5,0)="",
"(SELECT "&amp;VLOOKUP(B107,Instruções!$F$13:$J$17,4,0)&amp;" as "&amp;VLOOKUP(B107,Instruções!$F$13:$J$17,4,0)&amp;"_"&amp;$G$2&amp;", "&amp;E107&amp;" as "&amp;G107&amp;" FROM "&amp;D107&amp;" WHERE "&amp;Instruções!$D$21&amp;") B ",
"(SELECT "&amp;VLOOKUP(B107,Instruções!$F$13:$J$17,4,0)&amp;" as "&amp;VLOOKUP(B107,Instruções!$F$13:$J$17,4,0)&amp;"_"&amp;$G$2&amp;", "&amp;VLOOKUP(B107,Instruções!$F$13:$J$17,5,0)&amp;" as "&amp;VLOOKUP(B107,Instruções!$F$13:$J$17,5,0)&amp;"_"&amp;$G$2&amp;","&amp;E107&amp;" as "&amp;G107&amp;" FROM "&amp;D107&amp;" WHERE "&amp;Instruções!$D$21&amp;") B ")</f>
        <v xml:space="preserve">(SELECT instrmnt_id as instrmnt_id_to_be, accmltd_imprmnt_instrmnt as accmltd_imprmnt_instrmnt_to_be FROM bu_loantape_work.lt002_instrument WHERE ref_date='2024-09-30' AND nome_perimetro='Individual Corporativo' AND segmento='ESTR' AND ambito='PM' AND entidade='00100' ) B </v>
      </c>
      <c r="J107" s="17" t="str">
        <f>IF(VLOOKUP(B107,Instruções!$F$13:$J$17,5,0)="",
"ON "&amp;VLOOKUP(B107,Instruções!$F$13:$J$17,4,0)&amp;"_"&amp;$F$2&amp;" = "&amp;VLOOKUP(B107,Instruções!$F$13:$J$17,4,0)&amp;"_"&amp;$G$2&amp;" ",
"ON "&amp;VLOOKUP(B107,Instruções!$F$13:$J$17,4,0)&amp;"_"&amp;$F$2&amp;" = "&amp;VLOOKUP(B107,Instruções!$F$13:$J$17,4,0)&amp;"_"&amp;$G$2&amp;" AND "&amp;VLOOKUP(B107,Instruções!$F$13:$J$17,5,0)&amp;"_"&amp;$F$2&amp;" = "&amp;VLOOKUP(B107,Instruções!$F$13:$J$17,5,0)&amp;"_"&amp;$G$2&amp;" ")</f>
        <v xml:space="preserve">ON instrmnt_id_as_is = instrmnt_id_to_be </v>
      </c>
      <c r="K107" s="17" t="str">
        <f t="shared" si="14"/>
        <v xml:space="preserve">WHERE coalesce(cast(accmltd_imprmnt_instrmnt_as_is as string), '') &lt;&gt; coalesce(cast(accmltd_imprmnt_instrmnt_to_be as string), '') </v>
      </c>
      <c r="L107" s="17" t="str">
        <f t="shared" si="15"/>
        <v xml:space="preserve">SELECT count(*) AS NUM_REG_DIF FROM (SELECT instrmnt_id as instrmnt_id_as_is,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instrmnt_id_to_be, accmltd_imprmnt_instrmnt as accmltd_imprmnt_instrmnt_to_be FROM bu_loantape_work.lt002_instrument WHERE ref_date='2024-09-30' AND nome_perimetro='Individual Corporativo' AND segmento='ESTR' AND ambito='PM' AND entidade='00100' ) B ON instrmnt_id_as_is = instrmnt_id_to_be WHERE coalesce(cast(accmltd_imprmnt_instrmnt_as_is as string), '') &lt;&gt; coalesce(cast(accmltd_imprmnt_instrmnt_to_be as string), '') </v>
      </c>
      <c r="M107" s="17" t="s">
        <v>55</v>
      </c>
      <c r="N107" s="17" t="str">
        <f>"SELECT 'Validação de campos' as tipologia_teste, '"&amp;VLOOKUP(B107,Instruções!$F$13:$J$17,3,0)&amp;"' AS TABELA, '"&amp;E107&amp;"' AS CAMPO, '"&amp;Instruções!$D$15&amp;"' as ref_date, coalesce(NUM_REG_DIF, 0) AS NUM_REG_DIF FROM ("&amp;L107&amp;") A "</f>
        <v xml:space="preserve">SELECT 'Validação de campos' as tipologia_teste, 'lt002_instrument' AS TABELA, 'accmltd_imprmnt_instrmnt' AS CAMPO, '2024-09-30' as ref_date, coalesce(NUM_REG_DIF, 0) AS NUM_REG_DIF FROM (SELECT count(*) AS NUM_REG_DIF FROM (SELECT instrmnt_id as instrmnt_id_as_is,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instrmnt_id_to_be, accmltd_imprmnt_instrmnt as accmltd_imprmnt_instrmnt_to_be FROM bu_loantape_work.lt002_instrument WHERE ref_date='2024-09-30' AND nome_perimetro='Individual Corporativo' AND segmento='ESTR' AND ambito='PM' AND entidade='00100' ) B ON instrmnt_id_as_is = instrmnt_id_to_be WHERE coalesce(cast(accmltd_imprmnt_instrmnt_as_is as string), '') &lt;&gt; coalesce(cast(accmltd_imprmnt_instrmnt_to_be as string), '') ) A </v>
      </c>
      <c r="O107" s="19" t="str">
        <f t="shared" si="16"/>
        <v>SELECT 'Validação de campos' as tipologia_teste, 'lt002_instrument' AS TABELA, 'accmltd_imprmnt_instrmnt' AS CAMPO, '2024-09-30' as ref_date, coalesce(NUM_REG_DIF, 0) AS NUM_REG_DIF FROM (SELECT count(*) AS NUM_REG_DIF FROM (SELECT instrmnt_id as instrmnt_id_as_is, accmltd_imprmnt_instrmnt as accmltd_imprmnt_instrmnt_as_is FROM cd_loan_tapes_bce.lt002_instrument WHERE ref_date='2024-09-30' AND nome_perimetro='Individual Corporativo' AND segmento='ESTR' AND ambito='PM' AND entidade='00100' ) A  Inner join (SELECT instrmnt_id as instrmnt_id_to_be, accmltd_imprmnt_instrmnt as accmltd_imprmnt_instrmnt_to_be FROM bu_loantape_work.lt002_instrument WHERE ref_date='2024-09-30' AND nome_perimetro='Individual Corporativo' AND segmento='ESTR' AND ambito='PM' AND entidade='00100' ) B ON instrmnt_id_as_is = instrmnt_id_to_be WHERE coalesce(cast(accmltd_imprmnt_instrmnt_as_is as string), '') &lt;&gt; coalesce(cast(accmltd_imprmnt_instrmnt_to_be as string), '') ) A UNION ALL</v>
      </c>
      <c r="P107" s="17">
        <f t="shared" si="11"/>
        <v>3</v>
      </c>
    </row>
    <row r="108" spans="2:16" s="15" customFormat="1" ht="11.45">
      <c r="B108" s="17" t="s">
        <v>26</v>
      </c>
      <c r="C108" s="17" t="str">
        <f>_xlfn.CONCAT(Instruções!$D$13,".",VLOOKUP(B108,Instruções!$F$12:$H$17,2,0))</f>
        <v>cd_loan_tapes_bce.lt002_instrument</v>
      </c>
      <c r="D108" s="17" t="str">
        <f>_xlfn.CONCAT(Instruções!$D$14,".",VLOOKUP(B108,Instruções!$F$12:$H$17,3,0))</f>
        <v>bu_loantape_work.lt002_instrument</v>
      </c>
      <c r="E108" s="17" t="s">
        <v>163</v>
      </c>
      <c r="F108" s="17" t="str">
        <f t="shared" si="12"/>
        <v>accmltd_imprmnt_instrmnt_prvs_as_is</v>
      </c>
      <c r="G108" s="17" t="str">
        <f t="shared" si="13"/>
        <v>accmltd_imprmnt_instrmnt_prvs_to_be</v>
      </c>
      <c r="H108" s="17" t="str">
        <f>IF(VLOOKUP(B108,Instruções!$F$13:$J$17,5,0)="",
"(SELECT "&amp;VLOOKUP(B108,Instruções!$F$13:$J$17,4,0)&amp;" as "&amp;VLOOKUP(B108,Instruções!$F$13:$J$17,4,0)&amp;"_"&amp;$F$2&amp;", "&amp;E108&amp;" as "&amp;F108&amp;" FROM "&amp;C108&amp;" WHERE "&amp;Instruções!$D$20&amp;") A ",
"(SELECT "&amp;VLOOKUP(B108,Instruções!$F$13:$J$17,4,0)&amp;" as "&amp;VLOOKUP(B108,Instruções!$F$13:$J$17,4,0)&amp;"_"&amp;$F$2&amp;", "&amp;VLOOKUP(B108,Instruções!$F$13:$J$17,5,0)&amp;" as "&amp;VLOOKUP(B108,Instruções!$F$13:$J$17,5,0)&amp;"_"&amp;$F$2&amp;","&amp;E108&amp;" as "&amp;F108&amp;" FROM "&amp;C108&amp;" WHERE "&amp;Instruções!$D$20&amp;") A ")</f>
        <v xml:space="preserve">(SELECT instrmnt_id as instrmnt_id_as_is, accmltd_imprmnt_instrmnt_prvs as accmltd_imprmnt_instrmnt_prvs_as_is FROM cd_loan_tapes_bce.lt002_instrument WHERE ref_date='2024-09-30' AND nome_perimetro='Individual Corporativo' AND segmento='ESTR' AND ambito='PM' AND entidade='00100' ) A </v>
      </c>
      <c r="I108" s="17" t="str">
        <f>IF(VLOOKUP(B108,Instruções!$F$13:$J$17,5,0)="",
"(SELECT "&amp;VLOOKUP(B108,Instruções!$F$13:$J$17,4,0)&amp;" as "&amp;VLOOKUP(B108,Instruções!$F$13:$J$17,4,0)&amp;"_"&amp;$G$2&amp;", "&amp;E108&amp;" as "&amp;G108&amp;" FROM "&amp;D108&amp;" WHERE "&amp;Instruções!$D$21&amp;") B ",
"(SELECT "&amp;VLOOKUP(B108,Instruções!$F$13:$J$17,4,0)&amp;" as "&amp;VLOOKUP(B108,Instruções!$F$13:$J$17,4,0)&amp;"_"&amp;$G$2&amp;", "&amp;VLOOKUP(B108,Instruções!$F$13:$J$17,5,0)&amp;" as "&amp;VLOOKUP(B108,Instruções!$F$13:$J$17,5,0)&amp;"_"&amp;$G$2&amp;","&amp;E108&amp;" as "&amp;G108&amp;" FROM "&amp;D108&amp;" WHERE "&amp;Instruções!$D$21&amp;") B ")</f>
        <v xml:space="preserve">(SELECT instrmnt_id as instrmnt_id_to_be, accmltd_imprmnt_instrmnt_prvs as accmltd_imprmnt_instrmnt_prvs_to_be FROM bu_loantape_work.lt002_instrument WHERE ref_date='2024-09-30' AND nome_perimetro='Individual Corporativo' AND segmento='ESTR' AND ambito='PM' AND entidade='00100' ) B </v>
      </c>
      <c r="J108" s="17" t="str">
        <f>IF(VLOOKUP(B108,Instruções!$F$13:$J$17,5,0)="",
"ON "&amp;VLOOKUP(B108,Instruções!$F$13:$J$17,4,0)&amp;"_"&amp;$F$2&amp;" = "&amp;VLOOKUP(B108,Instruções!$F$13:$J$17,4,0)&amp;"_"&amp;$G$2&amp;" ",
"ON "&amp;VLOOKUP(B108,Instruções!$F$13:$J$17,4,0)&amp;"_"&amp;$F$2&amp;" = "&amp;VLOOKUP(B108,Instruções!$F$13:$J$17,4,0)&amp;"_"&amp;$G$2&amp;" AND "&amp;VLOOKUP(B108,Instruções!$F$13:$J$17,5,0)&amp;"_"&amp;$F$2&amp;" = "&amp;VLOOKUP(B108,Instruções!$F$13:$J$17,5,0)&amp;"_"&amp;$G$2&amp;" ")</f>
        <v xml:space="preserve">ON instrmnt_id_as_is = instrmnt_id_to_be </v>
      </c>
      <c r="K108" s="17" t="str">
        <f t="shared" si="14"/>
        <v xml:space="preserve">WHERE coalesce(cast(accmltd_imprmnt_instrmnt_prvs_as_is as string), '') &lt;&gt; coalesce(cast(accmltd_imprmnt_instrmnt_prvs_to_be as string), '') </v>
      </c>
      <c r="L108" s="17" t="str">
        <f t="shared" si="15"/>
        <v xml:space="preserve">SELECT count(*) AS NUM_REG_DIF FROM (SELECT instrmnt_id as instrmnt_id_as_is,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instrmnt_id_to_be, accmltd_imprmnt_instrmnt_prvs as accmltd_imprmnt_instrmnt_prvs_to_be FROM bu_loantape_work.lt002_instrument WHERE ref_date='2024-09-30' AND nome_perimetro='Individual Corporativo' AND segmento='ESTR' AND ambito='PM' AND entidade='00100' ) B ON instrmnt_id_as_is = instrmnt_id_to_be WHERE coalesce(cast(accmltd_imprmnt_instrmnt_prvs_as_is as string), '') &lt;&gt; coalesce(cast(accmltd_imprmnt_instrmnt_prvs_to_be as string), '') </v>
      </c>
      <c r="M108" s="17" t="s">
        <v>55</v>
      </c>
      <c r="N108" s="17" t="str">
        <f>"SELECT 'Validação de campos' as tipologia_teste, '"&amp;VLOOKUP(B108,Instruções!$F$13:$J$17,3,0)&amp;"' AS TABELA, '"&amp;E108&amp;"' AS CAMPO, '"&amp;Instruções!$D$15&amp;"' as ref_date, coalesce(NUM_REG_DIF, 0) AS NUM_REG_DIF FROM ("&amp;L108&amp;") A "</f>
        <v xml:space="preserve">SELECT 'Validação de campos' as tipologia_teste, 'lt002_instrument' AS TABELA, 'accmltd_imprmnt_instrmnt_prvs' AS CAMPO, '2024-09-30' as ref_date, coalesce(NUM_REG_DIF, 0) AS NUM_REG_DIF FROM (SELECT count(*) AS NUM_REG_DIF FROM (SELECT instrmnt_id as instrmnt_id_as_is,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instrmnt_id_to_be, accmltd_imprmnt_instrmnt_prvs as accmltd_imprmnt_instrmnt_prvs_to_be FROM bu_loantape_work.lt002_instrument WHERE ref_date='2024-09-30' AND nome_perimetro='Individual Corporativo' AND segmento='ESTR' AND ambito='PM' AND entidade='00100' ) B ON instrmnt_id_as_is = instrmnt_id_to_be WHERE coalesce(cast(accmltd_imprmnt_instrmnt_prvs_as_is as string), '') &lt;&gt; coalesce(cast(accmltd_imprmnt_instrmnt_prvs_to_be as string), '') ) A </v>
      </c>
      <c r="O108" s="19" t="str">
        <f t="shared" si="16"/>
        <v>SELECT 'Validação de campos' as tipologia_teste, 'lt002_instrument' AS TABELA, 'accmltd_imprmnt_instrmnt_prvs' AS CAMPO, '2024-09-30' as ref_date, coalesce(NUM_REG_DIF, 0) AS NUM_REG_DIF FROM (SELECT count(*) AS NUM_REG_DIF FROM (SELECT instrmnt_id as instrmnt_id_as_is, accmltd_imprmnt_instrmnt_prvs as accmltd_imprmnt_instrmnt_prvs_as_is FROM cd_loan_tapes_bce.lt002_instrument WHERE ref_date='2024-09-30' AND nome_perimetro='Individual Corporativo' AND segmento='ESTR' AND ambito='PM' AND entidade='00100' ) A  Inner join (SELECT instrmnt_id as instrmnt_id_to_be, accmltd_imprmnt_instrmnt_prvs as accmltd_imprmnt_instrmnt_prvs_to_be FROM bu_loantape_work.lt002_instrument WHERE ref_date='2024-09-30' AND nome_perimetro='Individual Corporativo' AND segmento='ESTR' AND ambito='PM' AND entidade='00100' ) B ON instrmnt_id_as_is = instrmnt_id_to_be WHERE coalesce(cast(accmltd_imprmnt_instrmnt_prvs_as_is as string), '') &lt;&gt; coalesce(cast(accmltd_imprmnt_instrmnt_prvs_to_be as string), '') ) A UNION ALL</v>
      </c>
      <c r="P108" s="17">
        <f t="shared" si="11"/>
        <v>4</v>
      </c>
    </row>
    <row r="109" spans="2:16" s="15" customFormat="1" ht="11.45">
      <c r="B109" s="17" t="s">
        <v>26</v>
      </c>
      <c r="C109" s="17" t="str">
        <f>_xlfn.CONCAT(Instruções!$D$13,".",VLOOKUP(B109,Instruções!$F$12:$H$17,2,0))</f>
        <v>cd_loan_tapes_bce.lt002_instrument</v>
      </c>
      <c r="D109" s="17" t="str">
        <f>_xlfn.CONCAT(Instruções!$D$14,".",VLOOKUP(B109,Instruções!$F$12:$H$17,3,0))</f>
        <v>bu_loantape_work.lt002_instrument</v>
      </c>
      <c r="E109" s="17" t="s">
        <v>164</v>
      </c>
      <c r="F109" s="17" t="str">
        <f t="shared" si="12"/>
        <v>accmltd_wrtffs_instrmnt_as_is</v>
      </c>
      <c r="G109" s="17" t="str">
        <f t="shared" si="13"/>
        <v>accmltd_wrtffs_instrmnt_to_be</v>
      </c>
      <c r="H109" s="17" t="str">
        <f>IF(VLOOKUP(B109,Instruções!$F$13:$J$17,5,0)="",
"(SELECT "&amp;VLOOKUP(B109,Instruções!$F$13:$J$17,4,0)&amp;" as "&amp;VLOOKUP(B109,Instruções!$F$13:$J$17,4,0)&amp;"_"&amp;$F$2&amp;", "&amp;E109&amp;" as "&amp;F109&amp;" FROM "&amp;C109&amp;" WHERE "&amp;Instruções!$D$20&amp;") A ",
"(SELECT "&amp;VLOOKUP(B109,Instruções!$F$13:$J$17,4,0)&amp;" as "&amp;VLOOKUP(B109,Instruções!$F$13:$J$17,4,0)&amp;"_"&amp;$F$2&amp;", "&amp;VLOOKUP(B109,Instruções!$F$13:$J$17,5,0)&amp;" as "&amp;VLOOKUP(B109,Instruções!$F$13:$J$17,5,0)&amp;"_"&amp;$F$2&amp;","&amp;E109&amp;" as "&amp;F109&amp;" FROM "&amp;C109&amp;" WHERE "&amp;Instruções!$D$20&amp;") A ")</f>
        <v xml:space="preserve">(SELECT instrmnt_id as instrmnt_id_as_is, accmltd_wrtffs_instrmnt as accmltd_wrtffs_instrmnt_as_is FROM cd_loan_tapes_bce.lt002_instrument WHERE ref_date='2024-09-30' AND nome_perimetro='Individual Corporativo' AND segmento='ESTR' AND ambito='PM' AND entidade='00100' ) A </v>
      </c>
      <c r="I109" s="17" t="str">
        <f>IF(VLOOKUP(B109,Instruções!$F$13:$J$17,5,0)="",
"(SELECT "&amp;VLOOKUP(B109,Instruções!$F$13:$J$17,4,0)&amp;" as "&amp;VLOOKUP(B109,Instruções!$F$13:$J$17,4,0)&amp;"_"&amp;$G$2&amp;", "&amp;E109&amp;" as "&amp;G109&amp;" FROM "&amp;D109&amp;" WHERE "&amp;Instruções!$D$21&amp;") B ",
"(SELECT "&amp;VLOOKUP(B109,Instruções!$F$13:$J$17,4,0)&amp;" as "&amp;VLOOKUP(B109,Instruções!$F$13:$J$17,4,0)&amp;"_"&amp;$G$2&amp;", "&amp;VLOOKUP(B109,Instruções!$F$13:$J$17,5,0)&amp;" as "&amp;VLOOKUP(B109,Instruções!$F$13:$J$17,5,0)&amp;"_"&amp;$G$2&amp;","&amp;E109&amp;" as "&amp;G109&amp;" FROM "&amp;D109&amp;" WHERE "&amp;Instruções!$D$21&amp;") B ")</f>
        <v xml:space="preserve">(SELECT instrmnt_id as instrmnt_id_to_be, accmltd_wrtffs_instrmnt as accmltd_wrtffs_instrmnt_to_be FROM bu_loantape_work.lt002_instrument WHERE ref_date='2024-09-30' AND nome_perimetro='Individual Corporativo' AND segmento='ESTR' AND ambito='PM' AND entidade='00100' ) B </v>
      </c>
      <c r="J109" s="17" t="str">
        <f>IF(VLOOKUP(B109,Instruções!$F$13:$J$17,5,0)="",
"ON "&amp;VLOOKUP(B109,Instruções!$F$13:$J$17,4,0)&amp;"_"&amp;$F$2&amp;" = "&amp;VLOOKUP(B109,Instruções!$F$13:$J$17,4,0)&amp;"_"&amp;$G$2&amp;" ",
"ON "&amp;VLOOKUP(B109,Instruções!$F$13:$J$17,4,0)&amp;"_"&amp;$F$2&amp;" = "&amp;VLOOKUP(B109,Instruções!$F$13:$J$17,4,0)&amp;"_"&amp;$G$2&amp;" AND "&amp;VLOOKUP(B109,Instruções!$F$13:$J$17,5,0)&amp;"_"&amp;$F$2&amp;" = "&amp;VLOOKUP(B109,Instruções!$F$13:$J$17,5,0)&amp;"_"&amp;$G$2&amp;" ")</f>
        <v xml:space="preserve">ON instrmnt_id_as_is = instrmnt_id_to_be </v>
      </c>
      <c r="K109" s="17" t="str">
        <f t="shared" si="14"/>
        <v xml:space="preserve">WHERE coalesce(cast(accmltd_wrtffs_instrmnt_as_is as string), '') &lt;&gt; coalesce(cast(accmltd_wrtffs_instrmnt_to_be as string), '') </v>
      </c>
      <c r="L109" s="17" t="str">
        <f t="shared" si="15"/>
        <v xml:space="preserve">SELECT count(*) AS NUM_REG_DIF FROM (SELECT instrmnt_id as instrmnt_id_as_is, accmltd_wrtffs_instrmnt as accmltd_wrtffs_instrmnt_as_is FROM cd_loan_tapes_bce.lt002_instrument WHERE ref_date='2024-09-30' AND nome_perimetro='Individual Corporativo' AND segmento='ESTR' AND ambito='PM' AND entidade='00100' ) A  Inner join (SELECT instrmnt_id as instrmnt_id_to_be, accmltd_wrtffs_instrmnt as accmltd_wrtffs_instrmnt_to_be FROM bu_loantape_work.lt002_instrument WHERE ref_date='2024-09-30' AND nome_perimetro='Individual Corporativo' AND segmento='ESTR' AND ambito='PM' AND entidade='00100' ) B ON instrmnt_id_as_is = instrmnt_id_to_be WHERE coalesce(cast(accmltd_wrtffs_instrmnt_as_is as string), '') &lt;&gt; coalesce(cast(accmltd_wrtffs_instrmnt_to_be as string), '') </v>
      </c>
      <c r="M109" s="17" t="s">
        <v>55</v>
      </c>
      <c r="N109" s="17" t="str">
        <f>"SELECT 'Validação de campos' as tipologia_teste, '"&amp;VLOOKUP(B109,Instruções!$F$13:$J$17,3,0)&amp;"' AS TABELA, '"&amp;E109&amp;"' AS CAMPO, '"&amp;Instruções!$D$15&amp;"' as ref_date, coalesce(NUM_REG_DIF, 0) AS NUM_REG_DIF FROM ("&amp;L109&amp;") A "</f>
        <v xml:space="preserve">SELECT 'Validação de campos' as tipologia_teste, 'lt002_instrument' AS TABELA, 'accmltd_wrtffs_instrmnt' AS CAMPO, '2024-09-30' as ref_date, coalesce(NUM_REG_DIF, 0) AS NUM_REG_DIF FROM (SELECT count(*) AS NUM_REG_DIF FROM (SELECT instrmnt_id as instrmnt_id_as_is, accmltd_wrtffs_instrmnt as accmltd_wrtffs_instrmnt_as_is FROM cd_loan_tapes_bce.lt002_instrument WHERE ref_date='2024-09-30' AND nome_perimetro='Individual Corporativo' AND segmento='ESTR' AND ambito='PM' AND entidade='00100' ) A  Inner join (SELECT instrmnt_id as instrmnt_id_to_be, accmltd_wrtffs_instrmnt as accmltd_wrtffs_instrmnt_to_be FROM bu_loantape_work.lt002_instrument WHERE ref_date='2024-09-30' AND nome_perimetro='Individual Corporativo' AND segmento='ESTR' AND ambito='PM' AND entidade='00100' ) B ON instrmnt_id_as_is = instrmnt_id_to_be WHERE coalesce(cast(accmltd_wrtffs_instrmnt_as_is as string), '') &lt;&gt; coalesce(cast(accmltd_wrtffs_instrmnt_to_be as string), '') ) A </v>
      </c>
      <c r="O109" s="19" t="str">
        <f t="shared" si="16"/>
        <v>SELECT 'Validação de campos' as tipologia_teste, 'lt002_instrument' AS TABELA, 'accmltd_wrtffs_instrmnt' AS CAMPO, '2024-09-30' as ref_date, coalesce(NUM_REG_DIF, 0) AS NUM_REG_DIF FROM (SELECT count(*) AS NUM_REG_DIF FROM (SELECT instrmnt_id as instrmnt_id_as_is, accmltd_wrtffs_instrmnt as accmltd_wrtffs_instrmnt_as_is FROM cd_loan_tapes_bce.lt002_instrument WHERE ref_date='2024-09-30' AND nome_perimetro='Individual Corporativo' AND segmento='ESTR' AND ambito='PM' AND entidade='00100' ) A  Inner join (SELECT instrmnt_id as instrmnt_id_to_be, accmltd_wrtffs_instrmnt as accmltd_wrtffs_instrmnt_to_be FROM bu_loantape_work.lt002_instrument WHERE ref_date='2024-09-30' AND nome_perimetro='Individual Corporativo' AND segmento='ESTR' AND ambito='PM' AND entidade='00100' ) B ON instrmnt_id_as_is = instrmnt_id_to_be WHERE coalesce(cast(accmltd_wrtffs_instrmnt_as_is as string), '') &lt;&gt; coalesce(cast(accmltd_wrtffs_instrmnt_to_be as string), '') ) A UNION ALL</v>
      </c>
      <c r="P109" s="17">
        <f t="shared" si="11"/>
        <v>5</v>
      </c>
    </row>
    <row r="110" spans="2:16" s="15" customFormat="1" ht="11.45">
      <c r="B110" s="17" t="s">
        <v>26</v>
      </c>
      <c r="C110" s="17" t="str">
        <f>_xlfn.CONCAT(Instruções!$D$13,".",VLOOKUP(B110,Instruções!$F$12:$H$17,2,0))</f>
        <v>cd_loan_tapes_bce.lt002_instrument</v>
      </c>
      <c r="D110" s="17" t="str">
        <f>_xlfn.CONCAT(Instruções!$D$14,".",VLOOKUP(B110,Instruções!$F$12:$H$17,3,0))</f>
        <v>bu_loantape_work.lt002_instrument</v>
      </c>
      <c r="E110" s="17" t="s">
        <v>165</v>
      </c>
      <c r="F110" s="17" t="str">
        <f t="shared" si="12"/>
        <v>accntng_clssfctn_as_is</v>
      </c>
      <c r="G110" s="17" t="str">
        <f t="shared" si="13"/>
        <v>accntng_clssfctn_to_be</v>
      </c>
      <c r="H110" s="17" t="str">
        <f>IF(VLOOKUP(B110,Instruções!$F$13:$J$17,5,0)="",
"(SELECT "&amp;VLOOKUP(B110,Instruções!$F$13:$J$17,4,0)&amp;" as "&amp;VLOOKUP(B110,Instruções!$F$13:$J$17,4,0)&amp;"_"&amp;$F$2&amp;", "&amp;E110&amp;" as "&amp;F110&amp;" FROM "&amp;C110&amp;" WHERE "&amp;Instruções!$D$20&amp;") A ",
"(SELECT "&amp;VLOOKUP(B110,Instruções!$F$13:$J$17,4,0)&amp;" as "&amp;VLOOKUP(B110,Instruções!$F$13:$J$17,4,0)&amp;"_"&amp;$F$2&amp;", "&amp;VLOOKUP(B110,Instruções!$F$13:$J$17,5,0)&amp;" as "&amp;VLOOKUP(B110,Instruções!$F$13:$J$17,5,0)&amp;"_"&amp;$F$2&amp;","&amp;E110&amp;" as "&amp;F110&amp;" FROM "&amp;C110&amp;" WHERE "&amp;Instruções!$D$20&amp;") A ")</f>
        <v xml:space="preserve">(SELECT instrmnt_id as instrmnt_id_as_is, accntng_clssfctn as accntng_clssfctn_as_is FROM cd_loan_tapes_bce.lt002_instrument WHERE ref_date='2024-09-30' AND nome_perimetro='Individual Corporativo' AND segmento='ESTR' AND ambito='PM' AND entidade='00100' ) A </v>
      </c>
      <c r="I110" s="17" t="str">
        <f>IF(VLOOKUP(B110,Instruções!$F$13:$J$17,5,0)="",
"(SELECT "&amp;VLOOKUP(B110,Instruções!$F$13:$J$17,4,0)&amp;" as "&amp;VLOOKUP(B110,Instruções!$F$13:$J$17,4,0)&amp;"_"&amp;$G$2&amp;", "&amp;E110&amp;" as "&amp;G110&amp;" FROM "&amp;D110&amp;" WHERE "&amp;Instruções!$D$21&amp;") B ",
"(SELECT "&amp;VLOOKUP(B110,Instruções!$F$13:$J$17,4,0)&amp;" as "&amp;VLOOKUP(B110,Instruções!$F$13:$J$17,4,0)&amp;"_"&amp;$G$2&amp;", "&amp;VLOOKUP(B110,Instruções!$F$13:$J$17,5,0)&amp;" as "&amp;VLOOKUP(B110,Instruções!$F$13:$J$17,5,0)&amp;"_"&amp;$G$2&amp;","&amp;E110&amp;" as "&amp;G110&amp;" FROM "&amp;D110&amp;" WHERE "&amp;Instruções!$D$21&amp;") B ")</f>
        <v xml:space="preserve">(SELECT instrmnt_id as instrmnt_id_to_be, accntng_clssfctn as accntng_clssfctn_to_be FROM bu_loantape_work.lt002_instrument WHERE ref_date='2024-09-30' AND nome_perimetro='Individual Corporativo' AND segmento='ESTR' AND ambito='PM' AND entidade='00100' ) B </v>
      </c>
      <c r="J110" s="17" t="str">
        <f>IF(VLOOKUP(B110,Instruções!$F$13:$J$17,5,0)="",
"ON "&amp;VLOOKUP(B110,Instruções!$F$13:$J$17,4,0)&amp;"_"&amp;$F$2&amp;" = "&amp;VLOOKUP(B110,Instruções!$F$13:$J$17,4,0)&amp;"_"&amp;$G$2&amp;" ",
"ON "&amp;VLOOKUP(B110,Instruções!$F$13:$J$17,4,0)&amp;"_"&amp;$F$2&amp;" = "&amp;VLOOKUP(B110,Instruções!$F$13:$J$17,4,0)&amp;"_"&amp;$G$2&amp;" AND "&amp;VLOOKUP(B110,Instruções!$F$13:$J$17,5,0)&amp;"_"&amp;$F$2&amp;" = "&amp;VLOOKUP(B110,Instruções!$F$13:$J$17,5,0)&amp;"_"&amp;$G$2&amp;" ")</f>
        <v xml:space="preserve">ON instrmnt_id_as_is = instrmnt_id_to_be </v>
      </c>
      <c r="K110" s="17" t="str">
        <f t="shared" si="14"/>
        <v xml:space="preserve">WHERE coalesce(cast(accntng_clssfctn_as_is as string), '') &lt;&gt; coalesce(cast(accntng_clssfctn_to_be as string), '') </v>
      </c>
      <c r="L110" s="17" t="str">
        <f t="shared" si="15"/>
        <v xml:space="preserve">SELECT count(*) AS NUM_REG_DIF FROM (SELECT instrmnt_id as instrmnt_id_as_is, accntng_clssfctn as accntng_clssfctn_as_is FROM cd_loan_tapes_bce.lt002_instrument WHERE ref_date='2024-09-30' AND nome_perimetro='Individual Corporativo' AND segmento='ESTR' AND ambito='PM' AND entidade='00100' ) A  Inner join (SELECT instrmnt_id as instrmnt_id_to_be, accntng_clssfctn as accntng_clssfctn_to_be FROM bu_loantape_work.lt002_instrument WHERE ref_date='2024-09-30' AND nome_perimetro='Individual Corporativo' AND segmento='ESTR' AND ambito='PM' AND entidade='00100' ) B ON instrmnt_id_as_is = instrmnt_id_to_be WHERE coalesce(cast(accntng_clssfctn_as_is as string), '') &lt;&gt; coalesce(cast(accntng_clssfctn_to_be as string), '') </v>
      </c>
      <c r="M110" s="17" t="s">
        <v>55</v>
      </c>
      <c r="N110" s="17" t="str">
        <f>"SELECT 'Validação de campos' as tipologia_teste, '"&amp;VLOOKUP(B110,Instruções!$F$13:$J$17,3,0)&amp;"' AS TABELA, '"&amp;E110&amp;"' AS CAMPO, '"&amp;Instruções!$D$15&amp;"' as ref_date, coalesce(NUM_REG_DIF, 0) AS NUM_REG_DIF FROM ("&amp;L110&amp;") A "</f>
        <v xml:space="preserve">SELECT 'Validação de campos' as tipologia_teste, 'lt002_instrument' AS TABELA, 'accntng_clssfctn' AS CAMPO, '2024-09-30' as ref_date, coalesce(NUM_REG_DIF, 0) AS NUM_REG_DIF FROM (SELECT count(*) AS NUM_REG_DIF FROM (SELECT instrmnt_id as instrmnt_id_as_is, accntng_clssfctn as accntng_clssfctn_as_is FROM cd_loan_tapes_bce.lt002_instrument WHERE ref_date='2024-09-30' AND nome_perimetro='Individual Corporativo' AND segmento='ESTR' AND ambito='PM' AND entidade='00100' ) A  Inner join (SELECT instrmnt_id as instrmnt_id_to_be, accntng_clssfctn as accntng_clssfctn_to_be FROM bu_loantape_work.lt002_instrument WHERE ref_date='2024-09-30' AND nome_perimetro='Individual Corporativo' AND segmento='ESTR' AND ambito='PM' AND entidade='00100' ) B ON instrmnt_id_as_is = instrmnt_id_to_be WHERE coalesce(cast(accntng_clssfctn_as_is as string), '') &lt;&gt; coalesce(cast(accntng_clssfctn_to_be as string), '') ) A </v>
      </c>
      <c r="O110" s="19" t="str">
        <f t="shared" si="16"/>
        <v>SELECT 'Validação de campos' as tipologia_teste, 'lt002_instrument' AS TABELA, 'accntng_clssfctn' AS CAMPO, '2024-09-30' as ref_date, coalesce(NUM_REG_DIF, 0) AS NUM_REG_DIF FROM (SELECT count(*) AS NUM_REG_DIF FROM (SELECT instrmnt_id as instrmnt_id_as_is, accntng_clssfctn as accntng_clssfctn_as_is FROM cd_loan_tapes_bce.lt002_instrument WHERE ref_date='2024-09-30' AND nome_perimetro='Individual Corporativo' AND segmento='ESTR' AND ambito='PM' AND entidade='00100' ) A  Inner join (SELECT instrmnt_id as instrmnt_id_to_be, accntng_clssfctn as accntng_clssfctn_to_be FROM bu_loantape_work.lt002_instrument WHERE ref_date='2024-09-30' AND nome_perimetro='Individual Corporativo' AND segmento='ESTR' AND ambito='PM' AND entidade='00100' ) B ON instrmnt_id_as_is = instrmnt_id_to_be WHERE coalesce(cast(accntng_clssfctn_as_is as string), '') &lt;&gt; coalesce(cast(accntng_clssfctn_to_be as string), '') ) A UNION ALL</v>
      </c>
      <c r="P110" s="17">
        <f t="shared" si="11"/>
        <v>6</v>
      </c>
    </row>
    <row r="111" spans="2:16" s="15" customFormat="1" ht="11.45">
      <c r="B111" s="17" t="s">
        <v>26</v>
      </c>
      <c r="C111" s="17" t="str">
        <f>_xlfn.CONCAT(Instruções!$D$13,".",VLOOKUP(B111,Instruções!$F$12:$H$17,2,0))</f>
        <v>cd_loan_tapes_bce.lt002_instrument</v>
      </c>
      <c r="D111" s="17" t="str">
        <f>_xlfn.CONCAT(Instruções!$D$14,".",VLOOKUP(B111,Instruções!$F$12:$H$17,3,0))</f>
        <v>bu_loantape_work.lt002_instrument</v>
      </c>
      <c r="E111" s="17" t="s">
        <v>166</v>
      </c>
      <c r="F111" s="17" t="str">
        <f t="shared" si="12"/>
        <v>accrd_intrst_instrmnt_as_is</v>
      </c>
      <c r="G111" s="17" t="str">
        <f t="shared" si="13"/>
        <v>accrd_intrst_instrmnt_to_be</v>
      </c>
      <c r="H111" s="17" t="str">
        <f>IF(VLOOKUP(B111,Instruções!$F$13:$J$17,5,0)="",
"(SELECT "&amp;VLOOKUP(B111,Instruções!$F$13:$J$17,4,0)&amp;" as "&amp;VLOOKUP(B111,Instruções!$F$13:$J$17,4,0)&amp;"_"&amp;$F$2&amp;", "&amp;E111&amp;" as "&amp;F111&amp;" FROM "&amp;C111&amp;" WHERE "&amp;Instruções!$D$20&amp;") A ",
"(SELECT "&amp;VLOOKUP(B111,Instruções!$F$13:$J$17,4,0)&amp;" as "&amp;VLOOKUP(B111,Instruções!$F$13:$J$17,4,0)&amp;"_"&amp;$F$2&amp;", "&amp;VLOOKUP(B111,Instruções!$F$13:$J$17,5,0)&amp;" as "&amp;VLOOKUP(B111,Instruções!$F$13:$J$17,5,0)&amp;"_"&amp;$F$2&amp;","&amp;E111&amp;" as "&amp;F111&amp;" FROM "&amp;C111&amp;" WHERE "&amp;Instruções!$D$20&amp;") A ")</f>
        <v xml:space="preserve">(SELECT instrmnt_id as instrmnt_id_as_is, accrd_intrst_instrmnt as accrd_intrst_instrmnt_as_is FROM cd_loan_tapes_bce.lt002_instrument WHERE ref_date='2024-09-30' AND nome_perimetro='Individual Corporativo' AND segmento='ESTR' AND ambito='PM' AND entidade='00100' ) A </v>
      </c>
      <c r="I111" s="17" t="str">
        <f>IF(VLOOKUP(B111,Instruções!$F$13:$J$17,5,0)="",
"(SELECT "&amp;VLOOKUP(B111,Instruções!$F$13:$J$17,4,0)&amp;" as "&amp;VLOOKUP(B111,Instruções!$F$13:$J$17,4,0)&amp;"_"&amp;$G$2&amp;", "&amp;E111&amp;" as "&amp;G111&amp;" FROM "&amp;D111&amp;" WHERE "&amp;Instruções!$D$21&amp;") B ",
"(SELECT "&amp;VLOOKUP(B111,Instruções!$F$13:$J$17,4,0)&amp;" as "&amp;VLOOKUP(B111,Instruções!$F$13:$J$17,4,0)&amp;"_"&amp;$G$2&amp;", "&amp;VLOOKUP(B111,Instruções!$F$13:$J$17,5,0)&amp;" as "&amp;VLOOKUP(B111,Instruções!$F$13:$J$17,5,0)&amp;"_"&amp;$G$2&amp;","&amp;E111&amp;" as "&amp;G111&amp;" FROM "&amp;D111&amp;" WHERE "&amp;Instruções!$D$21&amp;") B ")</f>
        <v xml:space="preserve">(SELECT instrmnt_id as instrmnt_id_to_be, accrd_intrst_instrmnt as accrd_intrst_instrmnt_to_be FROM bu_loantape_work.lt002_instrument WHERE ref_date='2024-09-30' AND nome_perimetro='Individual Corporativo' AND segmento='ESTR' AND ambito='PM' AND entidade='00100' ) B </v>
      </c>
      <c r="J111" s="17" t="str">
        <f>IF(VLOOKUP(B111,Instruções!$F$13:$J$17,5,0)="",
"ON "&amp;VLOOKUP(B111,Instruções!$F$13:$J$17,4,0)&amp;"_"&amp;$F$2&amp;" = "&amp;VLOOKUP(B111,Instruções!$F$13:$J$17,4,0)&amp;"_"&amp;$G$2&amp;" ",
"ON "&amp;VLOOKUP(B111,Instruções!$F$13:$J$17,4,0)&amp;"_"&amp;$F$2&amp;" = "&amp;VLOOKUP(B111,Instruções!$F$13:$J$17,4,0)&amp;"_"&amp;$G$2&amp;" AND "&amp;VLOOKUP(B111,Instruções!$F$13:$J$17,5,0)&amp;"_"&amp;$F$2&amp;" = "&amp;VLOOKUP(B111,Instruções!$F$13:$J$17,5,0)&amp;"_"&amp;$G$2&amp;" ")</f>
        <v xml:space="preserve">ON instrmnt_id_as_is = instrmnt_id_to_be </v>
      </c>
      <c r="K111" s="17" t="str">
        <f t="shared" si="14"/>
        <v xml:space="preserve">WHERE coalesce(cast(accrd_intrst_instrmnt_as_is as string), '') &lt;&gt; coalesce(cast(accrd_intrst_instrmnt_to_be as string), '') </v>
      </c>
      <c r="L111" s="17" t="str">
        <f t="shared" si="15"/>
        <v xml:space="preserve">SELECT count(*) AS NUM_REG_DIF FROM (SELECT instrmnt_id as instrmnt_id_as_is, accrd_intrst_instrmnt as accrd_intrst_instrmnt_as_is FROM cd_loan_tapes_bce.lt002_instrument WHERE ref_date='2024-09-30' AND nome_perimetro='Individual Corporativo' AND segmento='ESTR' AND ambito='PM' AND entidade='00100' ) A  Inner join (SELECT instrmnt_id as instrmnt_id_to_be, accrd_intrst_instrmnt as accrd_intrst_instrmnt_to_be FROM bu_loantape_work.lt002_instrument WHERE ref_date='2024-09-30' AND nome_perimetro='Individual Corporativo' AND segmento='ESTR' AND ambito='PM' AND entidade='00100' ) B ON instrmnt_id_as_is = instrmnt_id_to_be WHERE coalesce(cast(accrd_intrst_instrmnt_as_is as string), '') &lt;&gt; coalesce(cast(accrd_intrst_instrmnt_to_be as string), '') </v>
      </c>
      <c r="M111" s="17" t="s">
        <v>55</v>
      </c>
      <c r="N111" s="17" t="str">
        <f>"SELECT 'Validação de campos' as tipologia_teste, '"&amp;VLOOKUP(B111,Instruções!$F$13:$J$17,3,0)&amp;"' AS TABELA, '"&amp;E111&amp;"' AS CAMPO, '"&amp;Instruções!$D$15&amp;"' as ref_date, coalesce(NUM_REG_DIF, 0) AS NUM_REG_DIF FROM ("&amp;L111&amp;") A "</f>
        <v xml:space="preserve">SELECT 'Validação de campos' as tipologia_teste, 'lt002_instrument' AS TABELA, 'accrd_intrst_instrmnt' AS CAMPO, '2024-09-30' as ref_date, coalesce(NUM_REG_DIF, 0) AS NUM_REG_DIF FROM (SELECT count(*) AS NUM_REG_DIF FROM (SELECT instrmnt_id as instrmnt_id_as_is, accrd_intrst_instrmnt as accrd_intrst_instrmnt_as_is FROM cd_loan_tapes_bce.lt002_instrument WHERE ref_date='2024-09-30' AND nome_perimetro='Individual Corporativo' AND segmento='ESTR' AND ambito='PM' AND entidade='00100' ) A  Inner join (SELECT instrmnt_id as instrmnt_id_to_be, accrd_intrst_instrmnt as accrd_intrst_instrmnt_to_be FROM bu_loantape_work.lt002_instrument WHERE ref_date='2024-09-30' AND nome_perimetro='Individual Corporativo' AND segmento='ESTR' AND ambito='PM' AND entidade='00100' ) B ON instrmnt_id_as_is = instrmnt_id_to_be WHERE coalesce(cast(accrd_intrst_instrmnt_as_is as string), '') &lt;&gt; coalesce(cast(accrd_intrst_instrmnt_to_be as string), '') ) A </v>
      </c>
      <c r="O111" s="19" t="str">
        <f t="shared" si="16"/>
        <v>SELECT 'Validação de campos' as tipologia_teste, 'lt002_instrument' AS TABELA, 'accrd_intrst_instrmnt' AS CAMPO, '2024-09-30' as ref_date, coalesce(NUM_REG_DIF, 0) AS NUM_REG_DIF FROM (SELECT count(*) AS NUM_REG_DIF FROM (SELECT instrmnt_id as instrmnt_id_as_is, accrd_intrst_instrmnt as accrd_intrst_instrmnt_as_is FROM cd_loan_tapes_bce.lt002_instrument WHERE ref_date='2024-09-30' AND nome_perimetro='Individual Corporativo' AND segmento='ESTR' AND ambito='PM' AND entidade='00100' ) A  Inner join (SELECT instrmnt_id as instrmnt_id_to_be, accrd_intrst_instrmnt as accrd_intrst_instrmnt_to_be FROM bu_loantape_work.lt002_instrument WHERE ref_date='2024-09-30' AND nome_perimetro='Individual Corporativo' AND segmento='ESTR' AND ambito='PM' AND entidade='00100' ) B ON instrmnt_id_as_is = instrmnt_id_to_be WHERE coalesce(cast(accrd_intrst_instrmnt_as_is as string), '') &lt;&gt; coalesce(cast(accrd_intrst_instrmnt_to_be as string), '') ) A UNION ALL</v>
      </c>
      <c r="P111" s="17">
        <f t="shared" si="11"/>
        <v>7</v>
      </c>
    </row>
    <row r="112" spans="2:16" s="15" customFormat="1" ht="11.45">
      <c r="B112" s="17" t="s">
        <v>26</v>
      </c>
      <c r="C112" s="17" t="str">
        <f>_xlfn.CONCAT(Instruções!$D$13,".",VLOOKUP(B112,Instruções!$F$12:$H$17,2,0))</f>
        <v>cd_loan_tapes_bce.lt002_instrument</v>
      </c>
      <c r="D112" s="17" t="str">
        <f>_xlfn.CONCAT(Instruções!$D$14,".",VLOOKUP(B112,Instruções!$F$12:$H$17,3,0))</f>
        <v>bu_loantape_work.lt002_instrument</v>
      </c>
      <c r="E112" s="17" t="s">
        <v>167</v>
      </c>
      <c r="F112" s="17" t="str">
        <f t="shared" si="12"/>
        <v>amnt_d_at_mtrty_as_is</v>
      </c>
      <c r="G112" s="17" t="str">
        <f t="shared" si="13"/>
        <v>amnt_d_at_mtrty_to_be</v>
      </c>
      <c r="H112" s="17" t="str">
        <f>IF(VLOOKUP(B112,Instruções!$F$13:$J$17,5,0)="",
"(SELECT "&amp;VLOOKUP(B112,Instruções!$F$13:$J$17,4,0)&amp;" as "&amp;VLOOKUP(B112,Instruções!$F$13:$J$17,4,0)&amp;"_"&amp;$F$2&amp;", "&amp;E112&amp;" as "&amp;F112&amp;" FROM "&amp;C112&amp;" WHERE "&amp;Instruções!$D$20&amp;") A ",
"(SELECT "&amp;VLOOKUP(B112,Instruções!$F$13:$J$17,4,0)&amp;" as "&amp;VLOOKUP(B112,Instruções!$F$13:$J$17,4,0)&amp;"_"&amp;$F$2&amp;", "&amp;VLOOKUP(B112,Instruções!$F$13:$J$17,5,0)&amp;" as "&amp;VLOOKUP(B112,Instruções!$F$13:$J$17,5,0)&amp;"_"&amp;$F$2&amp;","&amp;E112&amp;" as "&amp;F112&amp;" FROM "&amp;C112&amp;" WHERE "&amp;Instruções!$D$20&amp;") A ")</f>
        <v xml:space="preserve">(SELECT instrmnt_id as instrmnt_id_as_is, amnt_d_at_mtrty as amnt_d_at_mtrty_as_is FROM cd_loan_tapes_bce.lt002_instrument WHERE ref_date='2024-09-30' AND nome_perimetro='Individual Corporativo' AND segmento='ESTR' AND ambito='PM' AND entidade='00100' ) A </v>
      </c>
      <c r="I112" s="17" t="str">
        <f>IF(VLOOKUP(B112,Instruções!$F$13:$J$17,5,0)="",
"(SELECT "&amp;VLOOKUP(B112,Instruções!$F$13:$J$17,4,0)&amp;" as "&amp;VLOOKUP(B112,Instruções!$F$13:$J$17,4,0)&amp;"_"&amp;$G$2&amp;", "&amp;E112&amp;" as "&amp;G112&amp;" FROM "&amp;D112&amp;" WHERE "&amp;Instruções!$D$21&amp;") B ",
"(SELECT "&amp;VLOOKUP(B112,Instruções!$F$13:$J$17,4,0)&amp;" as "&amp;VLOOKUP(B112,Instruções!$F$13:$J$17,4,0)&amp;"_"&amp;$G$2&amp;", "&amp;VLOOKUP(B112,Instruções!$F$13:$J$17,5,0)&amp;" as "&amp;VLOOKUP(B112,Instruções!$F$13:$J$17,5,0)&amp;"_"&amp;$G$2&amp;","&amp;E112&amp;" as "&amp;G112&amp;" FROM "&amp;D112&amp;" WHERE "&amp;Instruções!$D$21&amp;") B ")</f>
        <v xml:space="preserve">(SELECT instrmnt_id as instrmnt_id_to_be, amnt_d_at_mtrty as amnt_d_at_mtrty_to_be FROM bu_loantape_work.lt002_instrument WHERE ref_date='2024-09-30' AND nome_perimetro='Individual Corporativo' AND segmento='ESTR' AND ambito='PM' AND entidade='00100' ) B </v>
      </c>
      <c r="J112" s="17" t="str">
        <f>IF(VLOOKUP(B112,Instruções!$F$13:$J$17,5,0)="",
"ON "&amp;VLOOKUP(B112,Instruções!$F$13:$J$17,4,0)&amp;"_"&amp;$F$2&amp;" = "&amp;VLOOKUP(B112,Instruções!$F$13:$J$17,4,0)&amp;"_"&amp;$G$2&amp;" ",
"ON "&amp;VLOOKUP(B112,Instruções!$F$13:$J$17,4,0)&amp;"_"&amp;$F$2&amp;" = "&amp;VLOOKUP(B112,Instruções!$F$13:$J$17,4,0)&amp;"_"&amp;$G$2&amp;" AND "&amp;VLOOKUP(B112,Instruções!$F$13:$J$17,5,0)&amp;"_"&amp;$F$2&amp;" = "&amp;VLOOKUP(B112,Instruções!$F$13:$J$17,5,0)&amp;"_"&amp;$G$2&amp;" ")</f>
        <v xml:space="preserve">ON instrmnt_id_as_is = instrmnt_id_to_be </v>
      </c>
      <c r="K112" s="17" t="str">
        <f t="shared" si="14"/>
        <v xml:space="preserve">WHERE coalesce(cast(amnt_d_at_mtrty_as_is as string), '') &lt;&gt; coalesce(cast(amnt_d_at_mtrty_to_be as string), '') </v>
      </c>
      <c r="L112" s="17" t="str">
        <f t="shared" si="15"/>
        <v xml:space="preserve">SELECT count(*) AS NUM_REG_DIF FROM (SELECT instrmnt_id as instrmnt_id_as_is, amnt_d_at_mtrty as amnt_d_at_mtrty_as_is FROM cd_loan_tapes_bce.lt002_instrument WHERE ref_date='2024-09-30' AND nome_perimetro='Individual Corporativo' AND segmento='ESTR' AND ambito='PM' AND entidade='00100' ) A  Inner join (SELECT instrmnt_id as instrmnt_id_to_be, amnt_d_at_mtrty as amnt_d_at_mtrty_to_be FROM bu_loantape_work.lt002_instrument WHERE ref_date='2024-09-30' AND nome_perimetro='Individual Corporativo' AND segmento='ESTR' AND ambito='PM' AND entidade='00100' ) B ON instrmnt_id_as_is = instrmnt_id_to_be WHERE coalesce(cast(amnt_d_at_mtrty_as_is as string), '') &lt;&gt; coalesce(cast(amnt_d_at_mtrty_to_be as string), '') </v>
      </c>
      <c r="M112" s="17" t="s">
        <v>55</v>
      </c>
      <c r="N112" s="17" t="str">
        <f>"SELECT 'Validação de campos' as tipologia_teste, '"&amp;VLOOKUP(B112,Instruções!$F$13:$J$17,3,0)&amp;"' AS TABELA, '"&amp;E112&amp;"' AS CAMPO, '"&amp;Instruções!$D$15&amp;"' as ref_date, coalesce(NUM_REG_DIF, 0) AS NUM_REG_DIF FROM ("&amp;L112&amp;") A "</f>
        <v xml:space="preserve">SELECT 'Validação de campos' as tipologia_teste, 'lt002_instrument' AS TABELA, 'amnt_d_at_mtrty' AS CAMPO, '2024-09-30' as ref_date, coalesce(NUM_REG_DIF, 0) AS NUM_REG_DIF FROM (SELECT count(*) AS NUM_REG_DIF FROM (SELECT instrmnt_id as instrmnt_id_as_is, amnt_d_at_mtrty as amnt_d_at_mtrty_as_is FROM cd_loan_tapes_bce.lt002_instrument WHERE ref_date='2024-09-30' AND nome_perimetro='Individual Corporativo' AND segmento='ESTR' AND ambito='PM' AND entidade='00100' ) A  Inner join (SELECT instrmnt_id as instrmnt_id_to_be, amnt_d_at_mtrty as amnt_d_at_mtrty_to_be FROM bu_loantape_work.lt002_instrument WHERE ref_date='2024-09-30' AND nome_perimetro='Individual Corporativo' AND segmento='ESTR' AND ambito='PM' AND entidade='00100' ) B ON instrmnt_id_as_is = instrmnt_id_to_be WHERE coalesce(cast(amnt_d_at_mtrty_as_is as string), '') &lt;&gt; coalesce(cast(amnt_d_at_mtrty_to_be as string), '') ) A </v>
      </c>
      <c r="O112" s="19" t="str">
        <f t="shared" si="16"/>
        <v>SELECT 'Validação de campos' as tipologia_teste, 'lt002_instrument' AS TABELA, 'amnt_d_at_mtrty' AS CAMPO, '2024-09-30' as ref_date, coalesce(NUM_REG_DIF, 0) AS NUM_REG_DIF FROM (SELECT count(*) AS NUM_REG_DIF FROM (SELECT instrmnt_id as instrmnt_id_as_is, amnt_d_at_mtrty as amnt_d_at_mtrty_as_is FROM cd_loan_tapes_bce.lt002_instrument WHERE ref_date='2024-09-30' AND nome_perimetro='Individual Corporativo' AND segmento='ESTR' AND ambito='PM' AND entidade='00100' ) A  Inner join (SELECT instrmnt_id as instrmnt_id_to_be, amnt_d_at_mtrty as amnt_d_at_mtrty_to_be FROM bu_loantape_work.lt002_instrument WHERE ref_date='2024-09-30' AND nome_perimetro='Individual Corporativo' AND segmento='ESTR' AND ambito='PM' AND entidade='00100' ) B ON instrmnt_id_as_is = instrmnt_id_to_be WHERE coalesce(cast(amnt_d_at_mtrty_as_is as string), '') &lt;&gt; coalesce(cast(amnt_d_at_mtrty_to_be as string), '') ) A UNION ALL</v>
      </c>
      <c r="P112" s="17">
        <f t="shared" si="11"/>
        <v>8</v>
      </c>
    </row>
    <row r="113" spans="2:16" s="15" customFormat="1" ht="11.45">
      <c r="B113" s="17" t="s">
        <v>26</v>
      </c>
      <c r="C113" s="17" t="str">
        <f>_xlfn.CONCAT(Instruções!$D$13,".",VLOOKUP(B113,Instruções!$F$12:$H$17,2,0))</f>
        <v>cd_loan_tapes_bce.lt002_instrument</v>
      </c>
      <c r="D113" s="17" t="str">
        <f>_xlfn.CONCAT(Instruções!$D$14,".",VLOOKUP(B113,Instruções!$F$12:$H$17,3,0))</f>
        <v>bu_loantape_work.lt002_instrument</v>
      </c>
      <c r="E113" s="17" t="s">
        <v>168</v>
      </c>
      <c r="F113" s="17" t="str">
        <f t="shared" si="12"/>
        <v>annlsd_agrd_rt_as_is</v>
      </c>
      <c r="G113" s="17" t="str">
        <f t="shared" si="13"/>
        <v>annlsd_agrd_rt_to_be</v>
      </c>
      <c r="H113" s="17" t="str">
        <f>IF(VLOOKUP(B113,Instruções!$F$13:$J$17,5,0)="",
"(SELECT "&amp;VLOOKUP(B113,Instruções!$F$13:$J$17,4,0)&amp;" as "&amp;VLOOKUP(B113,Instruções!$F$13:$J$17,4,0)&amp;"_"&amp;$F$2&amp;", "&amp;E113&amp;" as "&amp;F113&amp;" FROM "&amp;C113&amp;" WHERE "&amp;Instruções!$D$20&amp;") A ",
"(SELECT "&amp;VLOOKUP(B113,Instruções!$F$13:$J$17,4,0)&amp;" as "&amp;VLOOKUP(B113,Instruções!$F$13:$J$17,4,0)&amp;"_"&amp;$F$2&amp;", "&amp;VLOOKUP(B113,Instruções!$F$13:$J$17,5,0)&amp;" as "&amp;VLOOKUP(B113,Instruções!$F$13:$J$17,5,0)&amp;"_"&amp;$F$2&amp;","&amp;E113&amp;" as "&amp;F113&amp;" FROM "&amp;C113&amp;" WHERE "&amp;Instruções!$D$20&amp;") A ")</f>
        <v xml:space="preserve">(SELECT instrmnt_id as instrmnt_id_as_is, annlsd_agrd_rt as annlsd_agrd_rt_as_is FROM cd_loan_tapes_bce.lt002_instrument WHERE ref_date='2024-09-30' AND nome_perimetro='Individual Corporativo' AND segmento='ESTR' AND ambito='PM' AND entidade='00100' ) A </v>
      </c>
      <c r="I113" s="17" t="str">
        <f>IF(VLOOKUP(B113,Instruções!$F$13:$J$17,5,0)="",
"(SELECT "&amp;VLOOKUP(B113,Instruções!$F$13:$J$17,4,0)&amp;" as "&amp;VLOOKUP(B113,Instruções!$F$13:$J$17,4,0)&amp;"_"&amp;$G$2&amp;", "&amp;E113&amp;" as "&amp;G113&amp;" FROM "&amp;D113&amp;" WHERE "&amp;Instruções!$D$21&amp;") B ",
"(SELECT "&amp;VLOOKUP(B113,Instruções!$F$13:$J$17,4,0)&amp;" as "&amp;VLOOKUP(B113,Instruções!$F$13:$J$17,4,0)&amp;"_"&amp;$G$2&amp;", "&amp;VLOOKUP(B113,Instruções!$F$13:$J$17,5,0)&amp;" as "&amp;VLOOKUP(B113,Instruções!$F$13:$J$17,5,0)&amp;"_"&amp;$G$2&amp;","&amp;E113&amp;" as "&amp;G113&amp;" FROM "&amp;D113&amp;" WHERE "&amp;Instruções!$D$21&amp;") B ")</f>
        <v xml:space="preserve">(SELECT instrmnt_id as instrmnt_id_to_be, annlsd_agrd_rt as annlsd_agrd_rt_to_be FROM bu_loantape_work.lt002_instrument WHERE ref_date='2024-09-30' AND nome_perimetro='Individual Corporativo' AND segmento='ESTR' AND ambito='PM' AND entidade='00100' ) B </v>
      </c>
      <c r="J113" s="17" t="str">
        <f>IF(VLOOKUP(B113,Instruções!$F$13:$J$17,5,0)="",
"ON "&amp;VLOOKUP(B113,Instruções!$F$13:$J$17,4,0)&amp;"_"&amp;$F$2&amp;" = "&amp;VLOOKUP(B113,Instruções!$F$13:$J$17,4,0)&amp;"_"&amp;$G$2&amp;" ",
"ON "&amp;VLOOKUP(B113,Instruções!$F$13:$J$17,4,0)&amp;"_"&amp;$F$2&amp;" = "&amp;VLOOKUP(B113,Instruções!$F$13:$J$17,4,0)&amp;"_"&amp;$G$2&amp;" AND "&amp;VLOOKUP(B113,Instruções!$F$13:$J$17,5,0)&amp;"_"&amp;$F$2&amp;" = "&amp;VLOOKUP(B113,Instruções!$F$13:$J$17,5,0)&amp;"_"&amp;$G$2&amp;" ")</f>
        <v xml:space="preserve">ON instrmnt_id_as_is = instrmnt_id_to_be </v>
      </c>
      <c r="K113" s="17" t="str">
        <f t="shared" si="14"/>
        <v xml:space="preserve">WHERE coalesce(cast(annlsd_agrd_rt_as_is as string), '') &lt;&gt; coalesce(cast(annlsd_agrd_rt_to_be as string), '') </v>
      </c>
      <c r="L113" s="17" t="str">
        <f t="shared" si="15"/>
        <v xml:space="preserve">SELECT count(*) AS NUM_REG_DIF FROM (SELECT instrmnt_id as instrmnt_id_as_is, annlsd_agrd_rt as annlsd_agrd_rt_as_is FROM cd_loan_tapes_bce.lt002_instrument WHERE ref_date='2024-09-30' AND nome_perimetro='Individual Corporativo' AND segmento='ESTR' AND ambito='PM' AND entidade='00100' ) A  Inner join (SELECT instrmnt_id as instrmnt_id_to_be, annlsd_agrd_rt as annlsd_agrd_rt_to_be FROM bu_loantape_work.lt002_instrument WHERE ref_date='2024-09-30' AND nome_perimetro='Individual Corporativo' AND segmento='ESTR' AND ambito='PM' AND entidade='00100' ) B ON instrmnt_id_as_is = instrmnt_id_to_be WHERE coalesce(cast(annlsd_agrd_rt_as_is as string), '') &lt;&gt; coalesce(cast(annlsd_agrd_rt_to_be as string), '') </v>
      </c>
      <c r="M113" s="17" t="s">
        <v>55</v>
      </c>
      <c r="N113" s="17" t="str">
        <f>"SELECT 'Validação de campos' as tipologia_teste, '"&amp;VLOOKUP(B113,Instruções!$F$13:$J$17,3,0)&amp;"' AS TABELA, '"&amp;E113&amp;"' AS CAMPO, '"&amp;Instruções!$D$15&amp;"' as ref_date, coalesce(NUM_REG_DIF, 0) AS NUM_REG_DIF FROM ("&amp;L113&amp;") A "</f>
        <v xml:space="preserve">SELECT 'Validação de campos' as tipologia_teste, 'lt002_instrument' AS TABELA, 'annlsd_agrd_rt' AS CAMPO, '2024-09-30' as ref_date, coalesce(NUM_REG_DIF, 0) AS NUM_REG_DIF FROM (SELECT count(*) AS NUM_REG_DIF FROM (SELECT instrmnt_id as instrmnt_id_as_is, annlsd_agrd_rt as annlsd_agrd_rt_as_is FROM cd_loan_tapes_bce.lt002_instrument WHERE ref_date='2024-09-30' AND nome_perimetro='Individual Corporativo' AND segmento='ESTR' AND ambito='PM' AND entidade='00100' ) A  Inner join (SELECT instrmnt_id as instrmnt_id_to_be, annlsd_agrd_rt as annlsd_agrd_rt_to_be FROM bu_loantape_work.lt002_instrument WHERE ref_date='2024-09-30' AND nome_perimetro='Individual Corporativo' AND segmento='ESTR' AND ambito='PM' AND entidade='00100' ) B ON instrmnt_id_as_is = instrmnt_id_to_be WHERE coalesce(cast(annlsd_agrd_rt_as_is as string), '') &lt;&gt; coalesce(cast(annlsd_agrd_rt_to_be as string), '') ) A </v>
      </c>
      <c r="O113" s="19" t="str">
        <f t="shared" si="16"/>
        <v>SELECT 'Validação de campos' as tipologia_teste, 'lt002_instrument' AS TABELA, 'annlsd_agrd_rt' AS CAMPO, '2024-09-30' as ref_date, coalesce(NUM_REG_DIF, 0) AS NUM_REG_DIF FROM (SELECT count(*) AS NUM_REG_DIF FROM (SELECT instrmnt_id as instrmnt_id_as_is, annlsd_agrd_rt as annlsd_agrd_rt_as_is FROM cd_loan_tapes_bce.lt002_instrument WHERE ref_date='2024-09-30' AND nome_perimetro='Individual Corporativo' AND segmento='ESTR' AND ambito='PM' AND entidade='00100' ) A  Inner join (SELECT instrmnt_id as instrmnt_id_to_be, annlsd_agrd_rt as annlsd_agrd_rt_to_be FROM bu_loantape_work.lt002_instrument WHERE ref_date='2024-09-30' AND nome_perimetro='Individual Corporativo' AND segmento='ESTR' AND ambito='PM' AND entidade='00100' ) B ON instrmnt_id_as_is = instrmnt_id_to_be WHERE coalesce(cast(annlsd_agrd_rt_as_is as string), '') &lt;&gt; coalesce(cast(annlsd_agrd_rt_to_be as string), '') ) A UNION ALL</v>
      </c>
      <c r="P113" s="17">
        <f t="shared" si="11"/>
        <v>9</v>
      </c>
    </row>
    <row r="114" spans="2:16" s="15" customFormat="1" ht="11.45">
      <c r="B114" s="17" t="s">
        <v>26</v>
      </c>
      <c r="C114" s="17" t="str">
        <f>_xlfn.CONCAT(Instruções!$D$13,".",VLOOKUP(B114,Instruções!$F$12:$H$17,2,0))</f>
        <v>cd_loan_tapes_bce.lt002_instrument</v>
      </c>
      <c r="D114" s="17" t="str">
        <f>_xlfn.CONCAT(Instruções!$D$14,".",VLOOKUP(B114,Instruções!$F$12:$H$17,3,0))</f>
        <v>bu_loantape_work.lt002_instrument</v>
      </c>
      <c r="E114" s="17" t="s">
        <v>170</v>
      </c>
      <c r="F114" s="17" t="str">
        <f t="shared" si="12"/>
        <v>arrrs_instrmnt_as_is</v>
      </c>
      <c r="G114" s="17" t="str">
        <f t="shared" si="13"/>
        <v>arrrs_instrmnt_to_be</v>
      </c>
      <c r="H114" s="17" t="str">
        <f>IF(VLOOKUP(B114,Instruções!$F$13:$J$17,5,0)="",
"(SELECT "&amp;VLOOKUP(B114,Instruções!$F$13:$J$17,4,0)&amp;" as "&amp;VLOOKUP(B114,Instruções!$F$13:$J$17,4,0)&amp;"_"&amp;$F$2&amp;", "&amp;E114&amp;" as "&amp;F114&amp;" FROM "&amp;C114&amp;" WHERE "&amp;Instruções!$D$20&amp;") A ",
"(SELECT "&amp;VLOOKUP(B114,Instruções!$F$13:$J$17,4,0)&amp;" as "&amp;VLOOKUP(B114,Instruções!$F$13:$J$17,4,0)&amp;"_"&amp;$F$2&amp;", "&amp;VLOOKUP(B114,Instruções!$F$13:$J$17,5,0)&amp;" as "&amp;VLOOKUP(B114,Instruções!$F$13:$J$17,5,0)&amp;"_"&amp;$F$2&amp;","&amp;E114&amp;" as "&amp;F114&amp;" FROM "&amp;C114&amp;" WHERE "&amp;Instruções!$D$20&amp;") A ")</f>
        <v xml:space="preserve">(SELECT instrmnt_id as instrmnt_id_as_is, arrrs_instrmnt as arrrs_instrmnt_as_is FROM cd_loan_tapes_bce.lt002_instrument WHERE ref_date='2024-09-30' AND nome_perimetro='Individual Corporativo' AND segmento='ESTR' AND ambito='PM' AND entidade='00100' ) A </v>
      </c>
      <c r="I114" s="17" t="str">
        <f>IF(VLOOKUP(B114,Instruções!$F$13:$J$17,5,0)="",
"(SELECT "&amp;VLOOKUP(B114,Instruções!$F$13:$J$17,4,0)&amp;" as "&amp;VLOOKUP(B114,Instruções!$F$13:$J$17,4,0)&amp;"_"&amp;$G$2&amp;", "&amp;E114&amp;" as "&amp;G114&amp;" FROM "&amp;D114&amp;" WHERE "&amp;Instruções!$D$21&amp;") B ",
"(SELECT "&amp;VLOOKUP(B114,Instruções!$F$13:$J$17,4,0)&amp;" as "&amp;VLOOKUP(B114,Instruções!$F$13:$J$17,4,0)&amp;"_"&amp;$G$2&amp;", "&amp;VLOOKUP(B114,Instruções!$F$13:$J$17,5,0)&amp;" as "&amp;VLOOKUP(B114,Instruções!$F$13:$J$17,5,0)&amp;"_"&amp;$G$2&amp;","&amp;E114&amp;" as "&amp;G114&amp;" FROM "&amp;D114&amp;" WHERE "&amp;Instruções!$D$21&amp;") B ")</f>
        <v xml:space="preserve">(SELECT instrmnt_id as instrmnt_id_to_be, arrrs_instrmnt as arrrs_instrmnt_to_be FROM bu_loantape_work.lt002_instrument WHERE ref_date='2024-09-30' AND nome_perimetro='Individual Corporativo' AND segmento='ESTR' AND ambito='PM' AND entidade='00100' ) B </v>
      </c>
      <c r="J114" s="17" t="str">
        <f>IF(VLOOKUP(B114,Instruções!$F$13:$J$17,5,0)="",
"ON "&amp;VLOOKUP(B114,Instruções!$F$13:$J$17,4,0)&amp;"_"&amp;$F$2&amp;" = "&amp;VLOOKUP(B114,Instruções!$F$13:$J$17,4,0)&amp;"_"&amp;$G$2&amp;" ",
"ON "&amp;VLOOKUP(B114,Instruções!$F$13:$J$17,4,0)&amp;"_"&amp;$F$2&amp;" = "&amp;VLOOKUP(B114,Instruções!$F$13:$J$17,4,0)&amp;"_"&amp;$G$2&amp;" AND "&amp;VLOOKUP(B114,Instruções!$F$13:$J$17,5,0)&amp;"_"&amp;$F$2&amp;" = "&amp;VLOOKUP(B114,Instruções!$F$13:$J$17,5,0)&amp;"_"&amp;$G$2&amp;" ")</f>
        <v xml:space="preserve">ON instrmnt_id_as_is = instrmnt_id_to_be </v>
      </c>
      <c r="K114" s="17" t="str">
        <f t="shared" si="14"/>
        <v xml:space="preserve">WHERE coalesce(cast(arrrs_instrmnt_as_is as string), '') &lt;&gt; coalesce(cast(arrrs_instrmnt_to_be as string), '') </v>
      </c>
      <c r="L114" s="17" t="str">
        <f t="shared" si="15"/>
        <v xml:space="preserve">SELECT count(*) AS NUM_REG_DIF FROM (SELECT instrmnt_id as instrmnt_id_as_is, arrrs_instrmnt as arrrs_instrmnt_as_is FROM cd_loan_tapes_bce.lt002_instrument WHERE ref_date='2024-09-30' AND nome_perimetro='Individual Corporativo' AND segmento='ESTR' AND ambito='PM' AND entidade='00100' ) A  Inner join (SELECT instrmnt_id as instrmnt_id_to_be, arrrs_instrmnt as arrrs_instrmnt_to_be FROM bu_loantape_work.lt002_instrument WHERE ref_date='2024-09-30' AND nome_perimetro='Individual Corporativo' AND segmento='ESTR' AND ambito='PM' AND entidade='00100' ) B ON instrmnt_id_as_is = instrmnt_id_to_be WHERE coalesce(cast(arrrs_instrmnt_as_is as string), '') &lt;&gt; coalesce(cast(arrrs_instrmnt_to_be as string), '') </v>
      </c>
      <c r="M114" s="17" t="s">
        <v>55</v>
      </c>
      <c r="N114" s="17" t="str">
        <f>"SELECT 'Validação de campos' as tipologia_teste, '"&amp;VLOOKUP(B114,Instruções!$F$13:$J$17,3,0)&amp;"' AS TABELA, '"&amp;E114&amp;"' AS CAMPO, '"&amp;Instruções!$D$15&amp;"' as ref_date, coalesce(NUM_REG_DIF, 0) AS NUM_REG_DIF FROM ("&amp;L114&amp;") A "</f>
        <v xml:space="preserve">SELECT 'Validação de campos' as tipologia_teste, 'lt002_instrument' AS TABELA, 'arrrs_instrmnt' AS CAMPO, '2024-09-30' as ref_date, coalesce(NUM_REG_DIF, 0) AS NUM_REG_DIF FROM (SELECT count(*) AS NUM_REG_DIF FROM (SELECT instrmnt_id as instrmnt_id_as_is, arrrs_instrmnt as arrrs_instrmnt_as_is FROM cd_loan_tapes_bce.lt002_instrument WHERE ref_date='2024-09-30' AND nome_perimetro='Individual Corporativo' AND segmento='ESTR' AND ambito='PM' AND entidade='00100' ) A  Inner join (SELECT instrmnt_id as instrmnt_id_to_be, arrrs_instrmnt as arrrs_instrmnt_to_be FROM bu_loantape_work.lt002_instrument WHERE ref_date='2024-09-30' AND nome_perimetro='Individual Corporativo' AND segmento='ESTR' AND ambito='PM' AND entidade='00100' ) B ON instrmnt_id_as_is = instrmnt_id_to_be WHERE coalesce(cast(arrrs_instrmnt_as_is as string), '') &lt;&gt; coalesce(cast(arrrs_instrmnt_to_be as string), '') ) A </v>
      </c>
      <c r="O114" s="19" t="str">
        <f t="shared" si="16"/>
        <v>SELECT 'Validação de campos' as tipologia_teste, 'lt002_instrument' AS TABELA, 'arrrs_instrmnt' AS CAMPO, '2024-09-30' as ref_date, coalesce(NUM_REG_DIF, 0) AS NUM_REG_DIF FROM (SELECT count(*) AS NUM_REG_DIF FROM (SELECT instrmnt_id as instrmnt_id_as_is, arrrs_instrmnt as arrrs_instrmnt_as_is FROM cd_loan_tapes_bce.lt002_instrument WHERE ref_date='2024-09-30' AND nome_perimetro='Individual Corporativo' AND segmento='ESTR' AND ambito='PM' AND entidade='00100' ) A  Inner join (SELECT instrmnt_id as instrmnt_id_to_be, arrrs_instrmnt as arrrs_instrmnt_to_be FROM bu_loantape_work.lt002_instrument WHERE ref_date='2024-09-30' AND nome_perimetro='Individual Corporativo' AND segmento='ESTR' AND ambito='PM' AND entidade='00100' ) B ON instrmnt_id_as_is = instrmnt_id_to_be WHERE coalesce(cast(arrrs_instrmnt_as_is as string), '') &lt;&gt; coalesce(cast(arrrs_instrmnt_to_be as string), '') ) A UNION ALL</v>
      </c>
      <c r="P114" s="17">
        <f t="shared" si="11"/>
        <v>10</v>
      </c>
    </row>
    <row r="115" spans="2:16" s="15" customFormat="1" ht="11.45">
      <c r="B115" s="17" t="s">
        <v>26</v>
      </c>
      <c r="C115" s="17" t="str">
        <f>_xlfn.CONCAT(Instruções!$D$13,".",VLOOKUP(B115,Instruções!$F$12:$H$17,2,0))</f>
        <v>cd_loan_tapes_bce.lt002_instrument</v>
      </c>
      <c r="D115" s="17" t="str">
        <f>_xlfn.CONCAT(Instruções!$D$14,".",VLOOKUP(B115,Instruções!$F$12:$H$17,3,0))</f>
        <v>bu_loantape_work.lt002_instrument</v>
      </c>
      <c r="E115" s="17" t="s">
        <v>169</v>
      </c>
      <c r="F115" s="17" t="str">
        <f t="shared" si="12"/>
        <v>arrrs_instrmnt_12m_as_is</v>
      </c>
      <c r="G115" s="17" t="str">
        <f t="shared" si="13"/>
        <v>arrrs_instrmnt_12m_to_be</v>
      </c>
      <c r="H115" s="17" t="str">
        <f>IF(VLOOKUP(B115,Instruções!$F$13:$J$17,5,0)="",
"(SELECT "&amp;VLOOKUP(B115,Instruções!$F$13:$J$17,4,0)&amp;" as "&amp;VLOOKUP(B115,Instruções!$F$13:$J$17,4,0)&amp;"_"&amp;$F$2&amp;", "&amp;E115&amp;" as "&amp;F115&amp;" FROM "&amp;C115&amp;" WHERE "&amp;Instruções!$D$20&amp;") A ",
"(SELECT "&amp;VLOOKUP(B115,Instruções!$F$13:$J$17,4,0)&amp;" as "&amp;VLOOKUP(B115,Instruções!$F$13:$J$17,4,0)&amp;"_"&amp;$F$2&amp;", "&amp;VLOOKUP(B115,Instruções!$F$13:$J$17,5,0)&amp;" as "&amp;VLOOKUP(B115,Instruções!$F$13:$J$17,5,0)&amp;"_"&amp;$F$2&amp;","&amp;E115&amp;" as "&amp;F115&amp;" FROM "&amp;C115&amp;" WHERE "&amp;Instruções!$D$20&amp;") A ")</f>
        <v xml:space="preserve">(SELECT instrmnt_id as instrmnt_id_as_is, arrrs_instrmnt_12m as arrrs_instrmnt_12m_as_is FROM cd_loan_tapes_bce.lt002_instrument WHERE ref_date='2024-09-30' AND nome_perimetro='Individual Corporativo' AND segmento='ESTR' AND ambito='PM' AND entidade='00100' ) A </v>
      </c>
      <c r="I115" s="17" t="str">
        <f>IF(VLOOKUP(B115,Instruções!$F$13:$J$17,5,0)="",
"(SELECT "&amp;VLOOKUP(B115,Instruções!$F$13:$J$17,4,0)&amp;" as "&amp;VLOOKUP(B115,Instruções!$F$13:$J$17,4,0)&amp;"_"&amp;$G$2&amp;", "&amp;E115&amp;" as "&amp;G115&amp;" FROM "&amp;D115&amp;" WHERE "&amp;Instruções!$D$21&amp;") B ",
"(SELECT "&amp;VLOOKUP(B115,Instruções!$F$13:$J$17,4,0)&amp;" as "&amp;VLOOKUP(B115,Instruções!$F$13:$J$17,4,0)&amp;"_"&amp;$G$2&amp;", "&amp;VLOOKUP(B115,Instruções!$F$13:$J$17,5,0)&amp;" as "&amp;VLOOKUP(B115,Instruções!$F$13:$J$17,5,0)&amp;"_"&amp;$G$2&amp;","&amp;E115&amp;" as "&amp;G115&amp;" FROM "&amp;D115&amp;" WHERE "&amp;Instruções!$D$21&amp;") B ")</f>
        <v xml:space="preserve">(SELECT instrmnt_id as instrmnt_id_to_be, arrrs_instrmnt_12m as arrrs_instrmnt_12m_to_be FROM bu_loantape_work.lt002_instrument WHERE ref_date='2024-09-30' AND nome_perimetro='Individual Corporativo' AND segmento='ESTR' AND ambito='PM' AND entidade='00100' ) B </v>
      </c>
      <c r="J115" s="17" t="str">
        <f>IF(VLOOKUP(B115,Instruções!$F$13:$J$17,5,0)="",
"ON "&amp;VLOOKUP(B115,Instruções!$F$13:$J$17,4,0)&amp;"_"&amp;$F$2&amp;" = "&amp;VLOOKUP(B115,Instruções!$F$13:$J$17,4,0)&amp;"_"&amp;$G$2&amp;" ",
"ON "&amp;VLOOKUP(B115,Instruções!$F$13:$J$17,4,0)&amp;"_"&amp;$F$2&amp;" = "&amp;VLOOKUP(B115,Instruções!$F$13:$J$17,4,0)&amp;"_"&amp;$G$2&amp;" AND "&amp;VLOOKUP(B115,Instruções!$F$13:$J$17,5,0)&amp;"_"&amp;$F$2&amp;" = "&amp;VLOOKUP(B115,Instruções!$F$13:$J$17,5,0)&amp;"_"&amp;$G$2&amp;" ")</f>
        <v xml:space="preserve">ON instrmnt_id_as_is = instrmnt_id_to_be </v>
      </c>
      <c r="K115" s="17" t="str">
        <f t="shared" si="14"/>
        <v xml:space="preserve">WHERE coalesce(cast(arrrs_instrmnt_12m_as_is as string), '') &lt;&gt; coalesce(cast(arrrs_instrmnt_12m_to_be as string), '') </v>
      </c>
      <c r="L115" s="17" t="str">
        <f t="shared" si="15"/>
        <v xml:space="preserve">SELECT count(*) AS NUM_REG_DIF FROM (SELECT instrmnt_id as instrmnt_id_as_is, arrrs_instrmnt_12m as arrrs_instrmnt_12m_as_is FROM cd_loan_tapes_bce.lt002_instrument WHERE ref_date='2024-09-30' AND nome_perimetro='Individual Corporativo' AND segmento='ESTR' AND ambito='PM' AND entidade='00100' ) A  Inner join (SELECT instrmnt_id as instrmnt_id_to_be, arrrs_instrmnt_12m as arrrs_instrmnt_12m_to_be FROM bu_loantape_work.lt002_instrument WHERE ref_date='2024-09-30' AND nome_perimetro='Individual Corporativo' AND segmento='ESTR' AND ambito='PM' AND entidade='00100' ) B ON instrmnt_id_as_is = instrmnt_id_to_be WHERE coalesce(cast(arrrs_instrmnt_12m_as_is as string), '') &lt;&gt; coalesce(cast(arrrs_instrmnt_12m_to_be as string), '') </v>
      </c>
      <c r="M115" s="17" t="s">
        <v>55</v>
      </c>
      <c r="N115" s="17" t="str">
        <f>"SELECT 'Validação de campos' as tipologia_teste, '"&amp;VLOOKUP(B115,Instruções!$F$13:$J$17,3,0)&amp;"' AS TABELA, '"&amp;E115&amp;"' AS CAMPO, '"&amp;Instruções!$D$15&amp;"' as ref_date, coalesce(NUM_REG_DIF, 0) AS NUM_REG_DIF FROM ("&amp;L115&amp;") A "</f>
        <v xml:space="preserve">SELECT 'Validação de campos' as tipologia_teste, 'lt002_instrument' AS TABELA, 'arrrs_instrmnt_12m' AS CAMPO, '2024-09-30' as ref_date, coalesce(NUM_REG_DIF, 0) AS NUM_REG_DIF FROM (SELECT count(*) AS NUM_REG_DIF FROM (SELECT instrmnt_id as instrmnt_id_as_is, arrrs_instrmnt_12m as arrrs_instrmnt_12m_as_is FROM cd_loan_tapes_bce.lt002_instrument WHERE ref_date='2024-09-30' AND nome_perimetro='Individual Corporativo' AND segmento='ESTR' AND ambito='PM' AND entidade='00100' ) A  Inner join (SELECT instrmnt_id as instrmnt_id_to_be, arrrs_instrmnt_12m as arrrs_instrmnt_12m_to_be FROM bu_loantape_work.lt002_instrument WHERE ref_date='2024-09-30' AND nome_perimetro='Individual Corporativo' AND segmento='ESTR' AND ambito='PM' AND entidade='00100' ) B ON instrmnt_id_as_is = instrmnt_id_to_be WHERE coalesce(cast(arrrs_instrmnt_12m_as_is as string), '') &lt;&gt; coalesce(cast(arrrs_instrmnt_12m_to_be as string), '') ) A </v>
      </c>
      <c r="O115" s="19" t="str">
        <f t="shared" si="16"/>
        <v>SELECT 'Validação de campos' as tipologia_teste, 'lt002_instrument' AS TABELA, 'arrrs_instrmnt_12m' AS CAMPO, '2024-09-30' as ref_date, coalesce(NUM_REG_DIF, 0) AS NUM_REG_DIF FROM (SELECT count(*) AS NUM_REG_DIF FROM (SELECT instrmnt_id as instrmnt_id_as_is, arrrs_instrmnt_12m as arrrs_instrmnt_12m_as_is FROM cd_loan_tapes_bce.lt002_instrument WHERE ref_date='2024-09-30' AND nome_perimetro='Individual Corporativo' AND segmento='ESTR' AND ambito='PM' AND entidade='00100' ) A  Inner join (SELECT instrmnt_id as instrmnt_id_to_be, arrrs_instrmnt_12m as arrrs_instrmnt_12m_to_be FROM bu_loantape_work.lt002_instrument WHERE ref_date='2024-09-30' AND nome_perimetro='Individual Corporativo' AND segmento='ESTR' AND ambito='PM' AND entidade='00100' ) B ON instrmnt_id_as_is = instrmnt_id_to_be WHERE coalesce(cast(arrrs_instrmnt_12m_as_is as string), '') &lt;&gt; coalesce(cast(arrrs_instrmnt_12m_to_be as string), '') ) A UNION ALL</v>
      </c>
      <c r="P115" s="17">
        <f t="shared" si="11"/>
        <v>11</v>
      </c>
    </row>
    <row r="116" spans="2:16" s="15" customFormat="1" ht="11.45">
      <c r="B116" s="17" t="s">
        <v>26</v>
      </c>
      <c r="C116" s="17" t="str">
        <f>_xlfn.CONCAT(Instruções!$D$13,".",VLOOKUP(B116,Instruções!$F$12:$H$17,2,0))</f>
        <v>cd_loan_tapes_bce.lt002_instrument</v>
      </c>
      <c r="D116" s="17" t="str">
        <f>_xlfn.CONCAT(Instruções!$D$14,".",VLOOKUP(B116,Instruções!$F$12:$H$17,3,0))</f>
        <v>bu_loantape_work.lt002_instrument</v>
      </c>
      <c r="E116" s="17" t="s">
        <v>171</v>
      </c>
      <c r="F116" s="17" t="str">
        <f t="shared" si="12"/>
        <v>asst_scrt_clss_as_is</v>
      </c>
      <c r="G116" s="17" t="str">
        <f t="shared" si="13"/>
        <v>asst_scrt_clss_to_be</v>
      </c>
      <c r="H116" s="17" t="str">
        <f>IF(VLOOKUP(B116,Instruções!$F$13:$J$17,5,0)="",
"(SELECT "&amp;VLOOKUP(B116,Instruções!$F$13:$J$17,4,0)&amp;" as "&amp;VLOOKUP(B116,Instruções!$F$13:$J$17,4,0)&amp;"_"&amp;$F$2&amp;", "&amp;E116&amp;" as "&amp;F116&amp;" FROM "&amp;C116&amp;" WHERE "&amp;Instruções!$D$20&amp;") A ",
"(SELECT "&amp;VLOOKUP(B116,Instruções!$F$13:$J$17,4,0)&amp;" as "&amp;VLOOKUP(B116,Instruções!$F$13:$J$17,4,0)&amp;"_"&amp;$F$2&amp;", "&amp;VLOOKUP(B116,Instruções!$F$13:$J$17,5,0)&amp;" as "&amp;VLOOKUP(B116,Instruções!$F$13:$J$17,5,0)&amp;"_"&amp;$F$2&amp;","&amp;E116&amp;" as "&amp;F116&amp;" FROM "&amp;C116&amp;" WHERE "&amp;Instruções!$D$20&amp;") A ")</f>
        <v xml:space="preserve">(SELECT instrmnt_id as instrmnt_id_as_is, asst_scrt_clss as asst_scrt_clss_as_is FROM cd_loan_tapes_bce.lt002_instrument WHERE ref_date='2024-09-30' AND nome_perimetro='Individual Corporativo' AND segmento='ESTR' AND ambito='PM' AND entidade='00100' ) A </v>
      </c>
      <c r="I116" s="17" t="str">
        <f>IF(VLOOKUP(B116,Instruções!$F$13:$J$17,5,0)="",
"(SELECT "&amp;VLOOKUP(B116,Instruções!$F$13:$J$17,4,0)&amp;" as "&amp;VLOOKUP(B116,Instruções!$F$13:$J$17,4,0)&amp;"_"&amp;$G$2&amp;", "&amp;E116&amp;" as "&amp;G116&amp;" FROM "&amp;D116&amp;" WHERE "&amp;Instruções!$D$21&amp;") B ",
"(SELECT "&amp;VLOOKUP(B116,Instruções!$F$13:$J$17,4,0)&amp;" as "&amp;VLOOKUP(B116,Instruções!$F$13:$J$17,4,0)&amp;"_"&amp;$G$2&amp;", "&amp;VLOOKUP(B116,Instruções!$F$13:$J$17,5,0)&amp;" as "&amp;VLOOKUP(B116,Instruções!$F$13:$J$17,5,0)&amp;"_"&amp;$G$2&amp;","&amp;E116&amp;" as "&amp;G116&amp;" FROM "&amp;D116&amp;" WHERE "&amp;Instruções!$D$21&amp;") B ")</f>
        <v xml:space="preserve">(SELECT instrmnt_id as instrmnt_id_to_be, asst_scrt_clss as asst_scrt_clss_to_be FROM bu_loantape_work.lt002_instrument WHERE ref_date='2024-09-30' AND nome_perimetro='Individual Corporativo' AND segmento='ESTR' AND ambito='PM' AND entidade='00100' ) B </v>
      </c>
      <c r="J116" s="17" t="str">
        <f>IF(VLOOKUP(B116,Instruções!$F$13:$J$17,5,0)="",
"ON "&amp;VLOOKUP(B116,Instruções!$F$13:$J$17,4,0)&amp;"_"&amp;$F$2&amp;" = "&amp;VLOOKUP(B116,Instruções!$F$13:$J$17,4,0)&amp;"_"&amp;$G$2&amp;" ",
"ON "&amp;VLOOKUP(B116,Instruções!$F$13:$J$17,4,0)&amp;"_"&amp;$F$2&amp;" = "&amp;VLOOKUP(B116,Instruções!$F$13:$J$17,4,0)&amp;"_"&amp;$G$2&amp;" AND "&amp;VLOOKUP(B116,Instruções!$F$13:$J$17,5,0)&amp;"_"&amp;$F$2&amp;" = "&amp;VLOOKUP(B116,Instruções!$F$13:$J$17,5,0)&amp;"_"&amp;$G$2&amp;" ")</f>
        <v xml:space="preserve">ON instrmnt_id_as_is = instrmnt_id_to_be </v>
      </c>
      <c r="K116" s="17" t="str">
        <f t="shared" si="14"/>
        <v xml:space="preserve">WHERE coalesce(cast(asst_scrt_clss_as_is as string), '') &lt;&gt; coalesce(cast(asst_scrt_clss_to_be as string), '') </v>
      </c>
      <c r="L116" s="17" t="str">
        <f t="shared" si="15"/>
        <v xml:space="preserve">SELECT count(*) AS NUM_REG_DIF FROM (SELECT instrmnt_id as instrmnt_id_as_is, asst_scrt_clss as asst_scrt_clss_as_is FROM cd_loan_tapes_bce.lt002_instrument WHERE ref_date='2024-09-30' AND nome_perimetro='Individual Corporativo' AND segmento='ESTR' AND ambito='PM' AND entidade='00100' ) A  Inner join (SELECT instrmnt_id as instrmnt_id_to_be, asst_scrt_clss as asst_scrt_clss_to_be FROM bu_loantape_work.lt002_instrument WHERE ref_date='2024-09-30' AND nome_perimetro='Individual Corporativo' AND segmento='ESTR' AND ambito='PM' AND entidade='00100' ) B ON instrmnt_id_as_is = instrmnt_id_to_be WHERE coalesce(cast(asst_scrt_clss_as_is as string), '') &lt;&gt; coalesce(cast(asst_scrt_clss_to_be as string), '') </v>
      </c>
      <c r="M116" s="17" t="s">
        <v>55</v>
      </c>
      <c r="N116" s="17" t="str">
        <f>"SELECT 'Validação de campos' as tipologia_teste, '"&amp;VLOOKUP(B116,Instruções!$F$13:$J$17,3,0)&amp;"' AS TABELA, '"&amp;E116&amp;"' AS CAMPO, '"&amp;Instruções!$D$15&amp;"' as ref_date, coalesce(NUM_REG_DIF, 0) AS NUM_REG_DIF FROM ("&amp;L116&amp;") A "</f>
        <v xml:space="preserve">SELECT 'Validação de campos' as tipologia_teste, 'lt002_instrument' AS TABELA, 'asst_scrt_clss' AS CAMPO, '2024-09-30' as ref_date, coalesce(NUM_REG_DIF, 0) AS NUM_REG_DIF FROM (SELECT count(*) AS NUM_REG_DIF FROM (SELECT instrmnt_id as instrmnt_id_as_is, asst_scrt_clss as asst_scrt_clss_as_is FROM cd_loan_tapes_bce.lt002_instrument WHERE ref_date='2024-09-30' AND nome_perimetro='Individual Corporativo' AND segmento='ESTR' AND ambito='PM' AND entidade='00100' ) A  Inner join (SELECT instrmnt_id as instrmnt_id_to_be, asst_scrt_clss as asst_scrt_clss_to_be FROM bu_loantape_work.lt002_instrument WHERE ref_date='2024-09-30' AND nome_perimetro='Individual Corporativo' AND segmento='ESTR' AND ambito='PM' AND entidade='00100' ) B ON instrmnt_id_as_is = instrmnt_id_to_be WHERE coalesce(cast(asst_scrt_clss_as_is as string), '') &lt;&gt; coalesce(cast(asst_scrt_clss_to_be as string), '') ) A </v>
      </c>
      <c r="O116" s="19" t="str">
        <f t="shared" si="16"/>
        <v>SELECT 'Validação de campos' as tipologia_teste, 'lt002_instrument' AS TABELA, 'asst_scrt_clss' AS CAMPO, '2024-09-30' as ref_date, coalesce(NUM_REG_DIF, 0) AS NUM_REG_DIF FROM (SELECT count(*) AS NUM_REG_DIF FROM (SELECT instrmnt_id as instrmnt_id_as_is, asst_scrt_clss as asst_scrt_clss_as_is FROM cd_loan_tapes_bce.lt002_instrument WHERE ref_date='2024-09-30' AND nome_perimetro='Individual Corporativo' AND segmento='ESTR' AND ambito='PM' AND entidade='00100' ) A  Inner join (SELECT instrmnt_id as instrmnt_id_to_be, asst_scrt_clss as asst_scrt_clss_to_be FROM bu_loantape_work.lt002_instrument WHERE ref_date='2024-09-30' AND nome_perimetro='Individual Corporativo' AND segmento='ESTR' AND ambito='PM' AND entidade='00100' ) B ON instrmnt_id_as_is = instrmnt_id_to_be WHERE coalesce(cast(asst_scrt_clss_as_is as string), '') &lt;&gt; coalesce(cast(asst_scrt_clss_to_be as string), '') ) A UNION ALL</v>
      </c>
      <c r="P116" s="17">
        <f t="shared" si="11"/>
        <v>12</v>
      </c>
    </row>
    <row r="117" spans="2:16" s="15" customFormat="1" ht="11.45">
      <c r="B117" s="17" t="s">
        <v>26</v>
      </c>
      <c r="C117" s="17" t="str">
        <f>_xlfn.CONCAT(Instruções!$D$13,".",VLOOKUP(B117,Instruções!$F$12:$H$17,2,0))</f>
        <v>cd_loan_tapes_bce.lt002_instrument</v>
      </c>
      <c r="D117" s="17" t="str">
        <f>_xlfn.CONCAT(Instruções!$D$14,".",VLOOKUP(B117,Instruções!$F$12:$H$17,3,0))</f>
        <v>bu_loantape_work.lt002_instrument</v>
      </c>
      <c r="E117" s="17" t="s">
        <v>172</v>
      </c>
      <c r="F117" s="17" t="str">
        <f t="shared" si="12"/>
        <v>brchd_cvnnts_as_is</v>
      </c>
      <c r="G117" s="17" t="str">
        <f t="shared" si="13"/>
        <v>brchd_cvnnts_to_be</v>
      </c>
      <c r="H117" s="17" t="str">
        <f>IF(VLOOKUP(B117,Instruções!$F$13:$J$17,5,0)="",
"(SELECT "&amp;VLOOKUP(B117,Instruções!$F$13:$J$17,4,0)&amp;" as "&amp;VLOOKUP(B117,Instruções!$F$13:$J$17,4,0)&amp;"_"&amp;$F$2&amp;", "&amp;E117&amp;" as "&amp;F117&amp;" FROM "&amp;C117&amp;" WHERE "&amp;Instruções!$D$20&amp;") A ",
"(SELECT "&amp;VLOOKUP(B117,Instruções!$F$13:$J$17,4,0)&amp;" as "&amp;VLOOKUP(B117,Instruções!$F$13:$J$17,4,0)&amp;"_"&amp;$F$2&amp;", "&amp;VLOOKUP(B117,Instruções!$F$13:$J$17,5,0)&amp;" as "&amp;VLOOKUP(B117,Instruções!$F$13:$J$17,5,0)&amp;"_"&amp;$F$2&amp;","&amp;E117&amp;" as "&amp;F117&amp;" FROM "&amp;C117&amp;" WHERE "&amp;Instruções!$D$20&amp;") A ")</f>
        <v xml:space="preserve">(SELECT instrmnt_id as instrmnt_id_as_is, brchd_cvnnts as brchd_cvnnts_as_is FROM cd_loan_tapes_bce.lt002_instrument WHERE ref_date='2024-09-30' AND nome_perimetro='Individual Corporativo' AND segmento='ESTR' AND ambito='PM' AND entidade='00100' ) A </v>
      </c>
      <c r="I117" s="17" t="str">
        <f>IF(VLOOKUP(B117,Instruções!$F$13:$J$17,5,0)="",
"(SELECT "&amp;VLOOKUP(B117,Instruções!$F$13:$J$17,4,0)&amp;" as "&amp;VLOOKUP(B117,Instruções!$F$13:$J$17,4,0)&amp;"_"&amp;$G$2&amp;", "&amp;E117&amp;" as "&amp;G117&amp;" FROM "&amp;D117&amp;" WHERE "&amp;Instruções!$D$21&amp;") B ",
"(SELECT "&amp;VLOOKUP(B117,Instruções!$F$13:$J$17,4,0)&amp;" as "&amp;VLOOKUP(B117,Instruções!$F$13:$J$17,4,0)&amp;"_"&amp;$G$2&amp;", "&amp;VLOOKUP(B117,Instruções!$F$13:$J$17,5,0)&amp;" as "&amp;VLOOKUP(B117,Instruções!$F$13:$J$17,5,0)&amp;"_"&amp;$G$2&amp;","&amp;E117&amp;" as "&amp;G117&amp;" FROM "&amp;D117&amp;" WHERE "&amp;Instruções!$D$21&amp;") B ")</f>
        <v xml:space="preserve">(SELECT instrmnt_id as instrmnt_id_to_be, brchd_cvnnts as brchd_cvnnts_to_be FROM bu_loantape_work.lt002_instrument WHERE ref_date='2024-09-30' AND nome_perimetro='Individual Corporativo' AND segmento='ESTR' AND ambito='PM' AND entidade='00100' ) B </v>
      </c>
      <c r="J117" s="17" t="str">
        <f>IF(VLOOKUP(B117,Instruções!$F$13:$J$17,5,0)="",
"ON "&amp;VLOOKUP(B117,Instruções!$F$13:$J$17,4,0)&amp;"_"&amp;$F$2&amp;" = "&amp;VLOOKUP(B117,Instruções!$F$13:$J$17,4,0)&amp;"_"&amp;$G$2&amp;" ",
"ON "&amp;VLOOKUP(B117,Instruções!$F$13:$J$17,4,0)&amp;"_"&amp;$F$2&amp;" = "&amp;VLOOKUP(B117,Instruções!$F$13:$J$17,4,0)&amp;"_"&amp;$G$2&amp;" AND "&amp;VLOOKUP(B117,Instruções!$F$13:$J$17,5,0)&amp;"_"&amp;$F$2&amp;" = "&amp;VLOOKUP(B117,Instruções!$F$13:$J$17,5,0)&amp;"_"&amp;$G$2&amp;" ")</f>
        <v xml:space="preserve">ON instrmnt_id_as_is = instrmnt_id_to_be </v>
      </c>
      <c r="K117" s="17" t="str">
        <f t="shared" si="14"/>
        <v xml:space="preserve">WHERE coalesce(cast(brchd_cvnnts_as_is as string), '') &lt;&gt; coalesce(cast(brchd_cvnnts_to_be as string), '') </v>
      </c>
      <c r="L117" s="17" t="str">
        <f t="shared" si="15"/>
        <v xml:space="preserve">SELECT count(*) AS NUM_REG_DIF FROM (SELECT instrmnt_id as instrmnt_id_as_is, brchd_cvnnts as brchd_cvnnts_as_is FROM cd_loan_tapes_bce.lt002_instrument WHERE ref_date='2024-09-30' AND nome_perimetro='Individual Corporativo' AND segmento='ESTR' AND ambito='PM' AND entidade='00100' ) A  Inner join (SELECT instrmnt_id as instrmnt_id_to_be, brchd_cvnnts as brchd_cvnnts_to_be FROM bu_loantape_work.lt002_instrument WHERE ref_date='2024-09-30' AND nome_perimetro='Individual Corporativo' AND segmento='ESTR' AND ambito='PM' AND entidade='00100' ) B ON instrmnt_id_as_is = instrmnt_id_to_be WHERE coalesce(cast(brchd_cvnnts_as_is as string), '') &lt;&gt; coalesce(cast(brchd_cvnnts_to_be as string), '') </v>
      </c>
      <c r="M117" s="17" t="s">
        <v>55</v>
      </c>
      <c r="N117" s="17" t="str">
        <f>"SELECT 'Validação de campos' as tipologia_teste, '"&amp;VLOOKUP(B117,Instruções!$F$13:$J$17,3,0)&amp;"' AS TABELA, '"&amp;E117&amp;"' AS CAMPO, '"&amp;Instruções!$D$15&amp;"' as ref_date, coalesce(NUM_REG_DIF, 0) AS NUM_REG_DIF FROM ("&amp;L117&amp;") A "</f>
        <v xml:space="preserve">SELECT 'Validação de campos' as tipologia_teste, 'lt002_instrument' AS TABELA, 'brchd_cvnnts' AS CAMPO, '2024-09-30' as ref_date, coalesce(NUM_REG_DIF, 0) AS NUM_REG_DIF FROM (SELECT count(*) AS NUM_REG_DIF FROM (SELECT instrmnt_id as instrmnt_id_as_is, brchd_cvnnts as brchd_cvnnts_as_is FROM cd_loan_tapes_bce.lt002_instrument WHERE ref_date='2024-09-30' AND nome_perimetro='Individual Corporativo' AND segmento='ESTR' AND ambito='PM' AND entidade='00100' ) A  Inner join (SELECT instrmnt_id as instrmnt_id_to_be, brchd_cvnnts as brchd_cvnnts_to_be FROM bu_loantape_work.lt002_instrument WHERE ref_date='2024-09-30' AND nome_perimetro='Individual Corporativo' AND segmento='ESTR' AND ambito='PM' AND entidade='00100' ) B ON instrmnt_id_as_is = instrmnt_id_to_be WHERE coalesce(cast(brchd_cvnnts_as_is as string), '') &lt;&gt; coalesce(cast(brchd_cvnnts_to_be as string), '') ) A </v>
      </c>
      <c r="O117" s="19" t="str">
        <f t="shared" si="16"/>
        <v>SELECT 'Validação de campos' as tipologia_teste, 'lt002_instrument' AS TABELA, 'brchd_cvnnts' AS CAMPO, '2024-09-30' as ref_date, coalesce(NUM_REG_DIF, 0) AS NUM_REG_DIF FROM (SELECT count(*) AS NUM_REG_DIF FROM (SELECT instrmnt_id as instrmnt_id_as_is, brchd_cvnnts as brchd_cvnnts_as_is FROM cd_loan_tapes_bce.lt002_instrument WHERE ref_date='2024-09-30' AND nome_perimetro='Individual Corporativo' AND segmento='ESTR' AND ambito='PM' AND entidade='00100' ) A  Inner join (SELECT instrmnt_id as instrmnt_id_to_be, brchd_cvnnts as brchd_cvnnts_to_be FROM bu_loantape_work.lt002_instrument WHERE ref_date='2024-09-30' AND nome_perimetro='Individual Corporativo' AND segmento='ESTR' AND ambito='PM' AND entidade='00100' ) B ON instrmnt_id_as_is = instrmnt_id_to_be WHERE coalesce(cast(brchd_cvnnts_as_is as string), '') &lt;&gt; coalesce(cast(brchd_cvnnts_to_be as string), '') ) A UNION ALL</v>
      </c>
      <c r="P117" s="17">
        <f t="shared" si="11"/>
        <v>13</v>
      </c>
    </row>
    <row r="118" spans="2:16" s="15" customFormat="1" ht="11.45">
      <c r="B118" s="17" t="s">
        <v>26</v>
      </c>
      <c r="C118" s="17" t="str">
        <f>_xlfn.CONCAT(Instruções!$D$13,".",VLOOKUP(B118,Instruções!$F$12:$H$17,2,0))</f>
        <v>cd_loan_tapes_bce.lt002_instrument</v>
      </c>
      <c r="D118" s="17" t="str">
        <f>_xlfn.CONCAT(Instruções!$D$14,".",VLOOKUP(B118,Instruções!$F$12:$H$17,3,0))</f>
        <v>bu_loantape_work.lt002_instrument</v>
      </c>
      <c r="E118" s="17" t="s">
        <v>173</v>
      </c>
      <c r="F118" s="17" t="str">
        <f t="shared" si="12"/>
        <v>ccf_as_is</v>
      </c>
      <c r="G118" s="17" t="str">
        <f t="shared" si="13"/>
        <v>ccf_to_be</v>
      </c>
      <c r="H118" s="17" t="str">
        <f>IF(VLOOKUP(B118,Instruções!$F$13:$J$17,5,0)="",
"(SELECT "&amp;VLOOKUP(B118,Instruções!$F$13:$J$17,4,0)&amp;" as "&amp;VLOOKUP(B118,Instruções!$F$13:$J$17,4,0)&amp;"_"&amp;$F$2&amp;", "&amp;E118&amp;" as "&amp;F118&amp;" FROM "&amp;C118&amp;" WHERE "&amp;Instruções!$D$20&amp;") A ",
"(SELECT "&amp;VLOOKUP(B118,Instruções!$F$13:$J$17,4,0)&amp;" as "&amp;VLOOKUP(B118,Instruções!$F$13:$J$17,4,0)&amp;"_"&amp;$F$2&amp;", "&amp;VLOOKUP(B118,Instruções!$F$13:$J$17,5,0)&amp;" as "&amp;VLOOKUP(B118,Instruções!$F$13:$J$17,5,0)&amp;"_"&amp;$F$2&amp;","&amp;E118&amp;" as "&amp;F118&amp;" FROM "&amp;C118&amp;" WHERE "&amp;Instruções!$D$20&amp;") A ")</f>
        <v xml:space="preserve">(SELECT instrmnt_id as instrmnt_id_as_is, ccf as ccf_as_is FROM cd_loan_tapes_bce.lt002_instrument WHERE ref_date='2024-09-30' AND nome_perimetro='Individual Corporativo' AND segmento='ESTR' AND ambito='PM' AND entidade='00100' ) A </v>
      </c>
      <c r="I118" s="17" t="str">
        <f>IF(VLOOKUP(B118,Instruções!$F$13:$J$17,5,0)="",
"(SELECT "&amp;VLOOKUP(B118,Instruções!$F$13:$J$17,4,0)&amp;" as "&amp;VLOOKUP(B118,Instruções!$F$13:$J$17,4,0)&amp;"_"&amp;$G$2&amp;", "&amp;E118&amp;" as "&amp;G118&amp;" FROM "&amp;D118&amp;" WHERE "&amp;Instruções!$D$21&amp;") B ",
"(SELECT "&amp;VLOOKUP(B118,Instruções!$F$13:$J$17,4,0)&amp;" as "&amp;VLOOKUP(B118,Instruções!$F$13:$J$17,4,0)&amp;"_"&amp;$G$2&amp;", "&amp;VLOOKUP(B118,Instruções!$F$13:$J$17,5,0)&amp;" as "&amp;VLOOKUP(B118,Instruções!$F$13:$J$17,5,0)&amp;"_"&amp;$G$2&amp;","&amp;E118&amp;" as "&amp;G118&amp;" FROM "&amp;D118&amp;" WHERE "&amp;Instruções!$D$21&amp;") B ")</f>
        <v xml:space="preserve">(SELECT instrmnt_id as instrmnt_id_to_be, ccf as ccf_to_be FROM bu_loantape_work.lt002_instrument WHERE ref_date='2024-09-30' AND nome_perimetro='Individual Corporativo' AND segmento='ESTR' AND ambito='PM' AND entidade='00100' ) B </v>
      </c>
      <c r="J118" s="17" t="str">
        <f>IF(VLOOKUP(B118,Instruções!$F$13:$J$17,5,0)="",
"ON "&amp;VLOOKUP(B118,Instruções!$F$13:$J$17,4,0)&amp;"_"&amp;$F$2&amp;" = "&amp;VLOOKUP(B118,Instruções!$F$13:$J$17,4,0)&amp;"_"&amp;$G$2&amp;" ",
"ON "&amp;VLOOKUP(B118,Instruções!$F$13:$J$17,4,0)&amp;"_"&amp;$F$2&amp;" = "&amp;VLOOKUP(B118,Instruções!$F$13:$J$17,4,0)&amp;"_"&amp;$G$2&amp;" AND "&amp;VLOOKUP(B118,Instruções!$F$13:$J$17,5,0)&amp;"_"&amp;$F$2&amp;" = "&amp;VLOOKUP(B118,Instruções!$F$13:$J$17,5,0)&amp;"_"&amp;$G$2&amp;" ")</f>
        <v xml:space="preserve">ON instrmnt_id_as_is = instrmnt_id_to_be </v>
      </c>
      <c r="K118" s="17" t="str">
        <f t="shared" si="14"/>
        <v xml:space="preserve">WHERE coalesce(cast(ccf_as_is as string), '') &lt;&gt; coalesce(cast(ccf_to_be as string), '') </v>
      </c>
      <c r="L118" s="17" t="str">
        <f t="shared" si="15"/>
        <v xml:space="preserve">SELECT count(*) AS NUM_REG_DIF FROM (SELECT instrmnt_id as instrmnt_id_as_is, ccf as ccf_as_is FROM cd_loan_tapes_bce.lt002_instrument WHERE ref_date='2024-09-30' AND nome_perimetro='Individual Corporativo' AND segmento='ESTR' AND ambito='PM' AND entidade='00100' ) A  Inner join (SELECT instrmnt_id as instrmnt_id_to_be, ccf as ccf_to_be FROM bu_loantape_work.lt002_instrument WHERE ref_date='2024-09-30' AND nome_perimetro='Individual Corporativo' AND segmento='ESTR' AND ambito='PM' AND entidade='00100' ) B ON instrmnt_id_as_is = instrmnt_id_to_be WHERE coalesce(cast(ccf_as_is as string), '') &lt;&gt; coalesce(cast(ccf_to_be as string), '') </v>
      </c>
      <c r="M118" s="17" t="s">
        <v>55</v>
      </c>
      <c r="N118" s="17" t="str">
        <f>"SELECT 'Validação de campos' as tipologia_teste, '"&amp;VLOOKUP(B118,Instruções!$F$13:$J$17,3,0)&amp;"' AS TABELA, '"&amp;E118&amp;"' AS CAMPO, '"&amp;Instruções!$D$15&amp;"' as ref_date, coalesce(NUM_REG_DIF, 0) AS NUM_REG_DIF FROM ("&amp;L118&amp;") A "</f>
        <v xml:space="preserve">SELECT 'Validação de campos' as tipologia_teste, 'lt002_instrument' AS TABELA, 'ccf' AS CAMPO, '2024-09-30' as ref_date, coalesce(NUM_REG_DIF, 0) AS NUM_REG_DIF FROM (SELECT count(*) AS NUM_REG_DIF FROM (SELECT instrmnt_id as instrmnt_id_as_is, ccf as ccf_as_is FROM cd_loan_tapes_bce.lt002_instrument WHERE ref_date='2024-09-30' AND nome_perimetro='Individual Corporativo' AND segmento='ESTR' AND ambito='PM' AND entidade='00100' ) A  Inner join (SELECT instrmnt_id as instrmnt_id_to_be, ccf as ccf_to_be FROM bu_loantape_work.lt002_instrument WHERE ref_date='2024-09-30' AND nome_perimetro='Individual Corporativo' AND segmento='ESTR' AND ambito='PM' AND entidade='00100' ) B ON instrmnt_id_as_is = instrmnt_id_to_be WHERE coalesce(cast(ccf_as_is as string), '') &lt;&gt; coalesce(cast(ccf_to_be as string), '') ) A </v>
      </c>
      <c r="O118" s="19" t="str">
        <f t="shared" si="16"/>
        <v>SELECT 'Validação de campos' as tipologia_teste, 'lt002_instrument' AS TABELA, 'ccf' AS CAMPO, '2024-09-30' as ref_date, coalesce(NUM_REG_DIF, 0) AS NUM_REG_DIF FROM (SELECT count(*) AS NUM_REG_DIF FROM (SELECT instrmnt_id as instrmnt_id_as_is, ccf as ccf_as_is FROM cd_loan_tapes_bce.lt002_instrument WHERE ref_date='2024-09-30' AND nome_perimetro='Individual Corporativo' AND segmento='ESTR' AND ambito='PM' AND entidade='00100' ) A  Inner join (SELECT instrmnt_id as instrmnt_id_to_be, ccf as ccf_to_be FROM bu_loantape_work.lt002_instrument WHERE ref_date='2024-09-30' AND nome_perimetro='Individual Corporativo' AND segmento='ESTR' AND ambito='PM' AND entidade='00100' ) B ON instrmnt_id_as_is = instrmnt_id_to_be WHERE coalesce(cast(ccf_as_is as string), '') &lt;&gt; coalesce(cast(ccf_to_be as string), '') ) A UNION ALL</v>
      </c>
      <c r="P118" s="17">
        <f t="shared" si="11"/>
        <v>14</v>
      </c>
    </row>
    <row r="119" spans="2:16" s="15" customFormat="1" ht="11.45">
      <c r="B119" s="17" t="s">
        <v>26</v>
      </c>
      <c r="C119" s="17" t="str">
        <f>_xlfn.CONCAT(Instruções!$D$13,".",VLOOKUP(B119,Instruções!$F$12:$H$17,2,0))</f>
        <v>cd_loan_tapes_bce.lt002_instrument</v>
      </c>
      <c r="D119" s="17" t="str">
        <f>_xlfn.CONCAT(Instruções!$D$14,".",VLOOKUP(B119,Instruções!$F$12:$H$17,3,0))</f>
        <v>bu_loantape_work.lt002_instrument</v>
      </c>
      <c r="E119" s="17" t="s">
        <v>174</v>
      </c>
      <c r="F119" s="17" t="str">
        <f t="shared" si="12"/>
        <v>chnnl_orgntn_as_is</v>
      </c>
      <c r="G119" s="17" t="str">
        <f t="shared" si="13"/>
        <v>chnnl_orgntn_to_be</v>
      </c>
      <c r="H119" s="17" t="str">
        <f>IF(VLOOKUP(B119,Instruções!$F$13:$J$17,5,0)="",
"(SELECT "&amp;VLOOKUP(B119,Instruções!$F$13:$J$17,4,0)&amp;" as "&amp;VLOOKUP(B119,Instruções!$F$13:$J$17,4,0)&amp;"_"&amp;$F$2&amp;", "&amp;E119&amp;" as "&amp;F119&amp;" FROM "&amp;C119&amp;" WHERE "&amp;Instruções!$D$20&amp;") A ",
"(SELECT "&amp;VLOOKUP(B119,Instruções!$F$13:$J$17,4,0)&amp;" as "&amp;VLOOKUP(B119,Instruções!$F$13:$J$17,4,0)&amp;"_"&amp;$F$2&amp;", "&amp;VLOOKUP(B119,Instruções!$F$13:$J$17,5,0)&amp;" as "&amp;VLOOKUP(B119,Instruções!$F$13:$J$17,5,0)&amp;"_"&amp;$F$2&amp;","&amp;E119&amp;" as "&amp;F119&amp;" FROM "&amp;C119&amp;" WHERE "&amp;Instruções!$D$20&amp;") A ")</f>
        <v xml:space="preserve">(SELECT instrmnt_id as instrmnt_id_as_is, chnnl_orgntn as chnnl_orgntn_as_is FROM cd_loan_tapes_bce.lt002_instrument WHERE ref_date='2024-09-30' AND nome_perimetro='Individual Corporativo' AND segmento='ESTR' AND ambito='PM' AND entidade='00100' ) A </v>
      </c>
      <c r="I119" s="17" t="str">
        <f>IF(VLOOKUP(B119,Instruções!$F$13:$J$17,5,0)="",
"(SELECT "&amp;VLOOKUP(B119,Instruções!$F$13:$J$17,4,0)&amp;" as "&amp;VLOOKUP(B119,Instruções!$F$13:$J$17,4,0)&amp;"_"&amp;$G$2&amp;", "&amp;E119&amp;" as "&amp;G119&amp;" FROM "&amp;D119&amp;" WHERE "&amp;Instruções!$D$21&amp;") B ",
"(SELECT "&amp;VLOOKUP(B119,Instruções!$F$13:$J$17,4,0)&amp;" as "&amp;VLOOKUP(B119,Instruções!$F$13:$J$17,4,0)&amp;"_"&amp;$G$2&amp;", "&amp;VLOOKUP(B119,Instruções!$F$13:$J$17,5,0)&amp;" as "&amp;VLOOKUP(B119,Instruções!$F$13:$J$17,5,0)&amp;"_"&amp;$G$2&amp;","&amp;E119&amp;" as "&amp;G119&amp;" FROM "&amp;D119&amp;" WHERE "&amp;Instruções!$D$21&amp;") B ")</f>
        <v xml:space="preserve">(SELECT instrmnt_id as instrmnt_id_to_be, chnnl_orgntn as chnnl_orgntn_to_be FROM bu_loantape_work.lt002_instrument WHERE ref_date='2024-09-30' AND nome_perimetro='Individual Corporativo' AND segmento='ESTR' AND ambito='PM' AND entidade='00100' ) B </v>
      </c>
      <c r="J119" s="17" t="str">
        <f>IF(VLOOKUP(B119,Instruções!$F$13:$J$17,5,0)="",
"ON "&amp;VLOOKUP(B119,Instruções!$F$13:$J$17,4,0)&amp;"_"&amp;$F$2&amp;" = "&amp;VLOOKUP(B119,Instruções!$F$13:$J$17,4,0)&amp;"_"&amp;$G$2&amp;" ",
"ON "&amp;VLOOKUP(B119,Instruções!$F$13:$J$17,4,0)&amp;"_"&amp;$F$2&amp;" = "&amp;VLOOKUP(B119,Instruções!$F$13:$J$17,4,0)&amp;"_"&amp;$G$2&amp;" AND "&amp;VLOOKUP(B119,Instruções!$F$13:$J$17,5,0)&amp;"_"&amp;$F$2&amp;" = "&amp;VLOOKUP(B119,Instruções!$F$13:$J$17,5,0)&amp;"_"&amp;$G$2&amp;" ")</f>
        <v xml:space="preserve">ON instrmnt_id_as_is = instrmnt_id_to_be </v>
      </c>
      <c r="K119" s="17" t="str">
        <f t="shared" si="14"/>
        <v xml:space="preserve">WHERE coalesce(cast(chnnl_orgntn_as_is as string), '') &lt;&gt; coalesce(cast(chnnl_orgntn_to_be as string), '') </v>
      </c>
      <c r="L119" s="17" t="str">
        <f t="shared" si="15"/>
        <v xml:space="preserve">SELECT count(*) AS NUM_REG_DIF FROM (SELECT instrmnt_id as instrmnt_id_as_is, chnnl_orgntn as chnnl_orgntn_as_is FROM cd_loan_tapes_bce.lt002_instrument WHERE ref_date='2024-09-30' AND nome_perimetro='Individual Corporativo' AND segmento='ESTR' AND ambito='PM' AND entidade='00100' ) A  Inner join (SELECT instrmnt_id as instrmnt_id_to_be, chnnl_orgntn as chnnl_orgntn_to_be FROM bu_loantape_work.lt002_instrument WHERE ref_date='2024-09-30' AND nome_perimetro='Individual Corporativo' AND segmento='ESTR' AND ambito='PM' AND entidade='00100' ) B ON instrmnt_id_as_is = instrmnt_id_to_be WHERE coalesce(cast(chnnl_orgntn_as_is as string), '') &lt;&gt; coalesce(cast(chnnl_orgntn_to_be as string), '') </v>
      </c>
      <c r="M119" s="17" t="s">
        <v>55</v>
      </c>
      <c r="N119" s="17" t="str">
        <f>"SELECT 'Validação de campos' as tipologia_teste, '"&amp;VLOOKUP(B119,Instruções!$F$13:$J$17,3,0)&amp;"' AS TABELA, '"&amp;E119&amp;"' AS CAMPO, '"&amp;Instruções!$D$15&amp;"' as ref_date, coalesce(NUM_REG_DIF, 0) AS NUM_REG_DIF FROM ("&amp;L119&amp;") A "</f>
        <v xml:space="preserve">SELECT 'Validação de campos' as tipologia_teste, 'lt002_instrument' AS TABELA, 'chnnl_orgntn' AS CAMPO, '2024-09-30' as ref_date, coalesce(NUM_REG_DIF, 0) AS NUM_REG_DIF FROM (SELECT count(*) AS NUM_REG_DIF FROM (SELECT instrmnt_id as instrmnt_id_as_is, chnnl_orgntn as chnnl_orgntn_as_is FROM cd_loan_tapes_bce.lt002_instrument WHERE ref_date='2024-09-30' AND nome_perimetro='Individual Corporativo' AND segmento='ESTR' AND ambito='PM' AND entidade='00100' ) A  Inner join (SELECT instrmnt_id as instrmnt_id_to_be, chnnl_orgntn as chnnl_orgntn_to_be FROM bu_loantape_work.lt002_instrument WHERE ref_date='2024-09-30' AND nome_perimetro='Individual Corporativo' AND segmento='ESTR' AND ambito='PM' AND entidade='00100' ) B ON instrmnt_id_as_is = instrmnt_id_to_be WHERE coalesce(cast(chnnl_orgntn_as_is as string), '') &lt;&gt; coalesce(cast(chnnl_orgntn_to_be as string), '') ) A </v>
      </c>
      <c r="O119" s="19" t="str">
        <f t="shared" si="16"/>
        <v>SELECT 'Validação de campos' as tipologia_teste, 'lt002_instrument' AS TABELA, 'chnnl_orgntn' AS CAMPO, '2024-09-30' as ref_date, coalesce(NUM_REG_DIF, 0) AS NUM_REG_DIF FROM (SELECT count(*) AS NUM_REG_DIF FROM (SELECT instrmnt_id as instrmnt_id_as_is, chnnl_orgntn as chnnl_orgntn_as_is FROM cd_loan_tapes_bce.lt002_instrument WHERE ref_date='2024-09-30' AND nome_perimetro='Individual Corporativo' AND segmento='ESTR' AND ambito='PM' AND entidade='00100' ) A  Inner join (SELECT instrmnt_id as instrmnt_id_to_be, chnnl_orgntn as chnnl_orgntn_to_be FROM bu_loantape_work.lt002_instrument WHERE ref_date='2024-09-30' AND nome_perimetro='Individual Corporativo' AND segmento='ESTR' AND ambito='PM' AND entidade='00100' ) B ON instrmnt_id_as_is = instrmnt_id_to_be WHERE coalesce(cast(chnnl_orgntn_as_is as string), '') &lt;&gt; coalesce(cast(chnnl_orgntn_to_be as string), '') ) A UNION ALL</v>
      </c>
      <c r="P119" s="17">
        <f t="shared" si="11"/>
        <v>15</v>
      </c>
    </row>
    <row r="120" spans="2:16" s="15" customFormat="1" ht="11.45">
      <c r="B120" s="17" t="s">
        <v>26</v>
      </c>
      <c r="C120" s="17" t="str">
        <f>_xlfn.CONCAT(Instruções!$D$13,".",VLOOKUP(B120,Instruções!$F$12:$H$17,2,0))</f>
        <v>cd_loan_tapes_bce.lt002_instrument</v>
      </c>
      <c r="D120" s="17" t="str">
        <f>_xlfn.CONCAT(Instruções!$D$14,".",VLOOKUP(B120,Instruções!$F$12:$H$17,3,0))</f>
        <v>bu_loantape_work.lt002_instrument</v>
      </c>
      <c r="E120" s="17" t="s">
        <v>175</v>
      </c>
      <c r="F120" s="17" t="str">
        <f t="shared" si="12"/>
        <v>cmltv_rcvrs_snc_dflt_instrmnt_as_is</v>
      </c>
      <c r="G120" s="17" t="str">
        <f t="shared" si="13"/>
        <v>cmltv_rcvrs_snc_dflt_instrmnt_to_be</v>
      </c>
      <c r="H120" s="17" t="str">
        <f>IF(VLOOKUP(B120,Instruções!$F$13:$J$17,5,0)="",
"(SELECT "&amp;VLOOKUP(B120,Instruções!$F$13:$J$17,4,0)&amp;" as "&amp;VLOOKUP(B120,Instruções!$F$13:$J$17,4,0)&amp;"_"&amp;$F$2&amp;", "&amp;E120&amp;" as "&amp;F120&amp;" FROM "&amp;C120&amp;" WHERE "&amp;Instruções!$D$20&amp;") A ",
"(SELECT "&amp;VLOOKUP(B120,Instruções!$F$13:$J$17,4,0)&amp;" as "&amp;VLOOKUP(B120,Instruções!$F$13:$J$17,4,0)&amp;"_"&amp;$F$2&amp;", "&amp;VLOOKUP(B120,Instruções!$F$13:$J$17,5,0)&amp;" as "&amp;VLOOKUP(B120,Instruções!$F$13:$J$17,5,0)&amp;"_"&amp;$F$2&amp;","&amp;E120&amp;" as "&amp;F120&amp;" FROM "&amp;C120&amp;" WHERE "&amp;Instruções!$D$20&amp;") A ")</f>
        <v xml:space="preserve">(SELECT instrmnt_id as instrmnt_id_as_is, cmltv_rcvrs_snc_dflt_instrmnt as cmltv_rcvrs_snc_dflt_instrmnt_as_is FROM cd_loan_tapes_bce.lt002_instrument WHERE ref_date='2024-09-30' AND nome_perimetro='Individual Corporativo' AND segmento='ESTR' AND ambito='PM' AND entidade='00100' ) A </v>
      </c>
      <c r="I120" s="17" t="str">
        <f>IF(VLOOKUP(B120,Instruções!$F$13:$J$17,5,0)="",
"(SELECT "&amp;VLOOKUP(B120,Instruções!$F$13:$J$17,4,0)&amp;" as "&amp;VLOOKUP(B120,Instruções!$F$13:$J$17,4,0)&amp;"_"&amp;$G$2&amp;", "&amp;E120&amp;" as "&amp;G120&amp;" FROM "&amp;D120&amp;" WHERE "&amp;Instruções!$D$21&amp;") B ",
"(SELECT "&amp;VLOOKUP(B120,Instruções!$F$13:$J$17,4,0)&amp;" as "&amp;VLOOKUP(B120,Instruções!$F$13:$J$17,4,0)&amp;"_"&amp;$G$2&amp;", "&amp;VLOOKUP(B120,Instruções!$F$13:$J$17,5,0)&amp;" as "&amp;VLOOKUP(B120,Instruções!$F$13:$J$17,5,0)&amp;"_"&amp;$G$2&amp;","&amp;E120&amp;" as "&amp;G120&amp;" FROM "&amp;D120&amp;" WHERE "&amp;Instruções!$D$21&amp;") B ")</f>
        <v xml:space="preserve">(SELECT instrmnt_id as instrmnt_id_to_be, cmltv_rcvrs_snc_dflt_instrmnt as cmltv_rcvrs_snc_dflt_instrmnt_to_be FROM bu_loantape_work.lt002_instrument WHERE ref_date='2024-09-30' AND nome_perimetro='Individual Corporativo' AND segmento='ESTR' AND ambito='PM' AND entidade='00100' ) B </v>
      </c>
      <c r="J120" s="17" t="str">
        <f>IF(VLOOKUP(B120,Instruções!$F$13:$J$17,5,0)="",
"ON "&amp;VLOOKUP(B120,Instruções!$F$13:$J$17,4,0)&amp;"_"&amp;$F$2&amp;" = "&amp;VLOOKUP(B120,Instruções!$F$13:$J$17,4,0)&amp;"_"&amp;$G$2&amp;" ",
"ON "&amp;VLOOKUP(B120,Instruções!$F$13:$J$17,4,0)&amp;"_"&amp;$F$2&amp;" = "&amp;VLOOKUP(B120,Instruções!$F$13:$J$17,4,0)&amp;"_"&amp;$G$2&amp;" AND "&amp;VLOOKUP(B120,Instruções!$F$13:$J$17,5,0)&amp;"_"&amp;$F$2&amp;" = "&amp;VLOOKUP(B120,Instruções!$F$13:$J$17,5,0)&amp;"_"&amp;$G$2&amp;" ")</f>
        <v xml:space="preserve">ON instrmnt_id_as_is = instrmnt_id_to_be </v>
      </c>
      <c r="K120" s="17" t="str">
        <f t="shared" si="14"/>
        <v xml:space="preserve">WHERE coalesce(cast(cmltv_rcvrs_snc_dflt_instrmnt_as_is as string), '') &lt;&gt; coalesce(cast(cmltv_rcvrs_snc_dflt_instrmnt_to_be as string), '') </v>
      </c>
      <c r="L120" s="17" t="str">
        <f t="shared" si="15"/>
        <v xml:space="preserve">SELECT count(*) AS NUM_REG_DIF FROM (SELECT instrmnt_id as instrmnt_id_as_is,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instrmnt_id_to_be, cmltv_rcvrs_snc_dflt_instrmnt as cmltv_rcvrs_snc_dflt_instrmnt_to_be FROM bu_loantape_work.lt002_instrument WHERE ref_date='2024-09-30' AND nome_perimetro='Individual Corporativo' AND segmento='ESTR' AND ambito='PM' AND entidade='00100' ) B ON instrmnt_id_as_is = instrmnt_id_to_be WHERE coalesce(cast(cmltv_rcvrs_snc_dflt_instrmnt_as_is as string), '') &lt;&gt; coalesce(cast(cmltv_rcvrs_snc_dflt_instrmnt_to_be as string), '') </v>
      </c>
      <c r="M120" s="17" t="s">
        <v>55</v>
      </c>
      <c r="N120" s="17" t="str">
        <f>"SELECT 'Validação de campos' as tipologia_teste, '"&amp;VLOOKUP(B120,Instruções!$F$13:$J$17,3,0)&amp;"' AS TABELA, '"&amp;E120&amp;"' AS CAMPO, '"&amp;Instruções!$D$15&amp;"' as ref_date, coalesce(NUM_REG_DIF, 0) AS NUM_REG_DIF FROM ("&amp;L120&amp;") A "</f>
        <v xml:space="preserve">SELECT 'Validação de campos' as tipologia_teste, 'lt002_instrument' AS TABELA, 'cmltv_rcvrs_snc_dflt_instrmnt' AS CAMPO, '2024-09-30' as ref_date, coalesce(NUM_REG_DIF, 0) AS NUM_REG_DIF FROM (SELECT count(*) AS NUM_REG_DIF FROM (SELECT instrmnt_id as instrmnt_id_as_is,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instrmnt_id_to_be, cmltv_rcvrs_snc_dflt_instrmnt as cmltv_rcvrs_snc_dflt_instrmnt_to_be FROM bu_loantape_work.lt002_instrument WHERE ref_date='2024-09-30' AND nome_perimetro='Individual Corporativo' AND segmento='ESTR' AND ambito='PM' AND entidade='00100' ) B ON instrmnt_id_as_is = instrmnt_id_to_be WHERE coalesce(cast(cmltv_rcvrs_snc_dflt_instrmnt_as_is as string), '') &lt;&gt; coalesce(cast(cmltv_rcvrs_snc_dflt_instrmnt_to_be as string), '') ) A </v>
      </c>
      <c r="O120" s="19" t="str">
        <f t="shared" si="16"/>
        <v>SELECT 'Validação de campos' as tipologia_teste, 'lt002_instrument' AS TABELA, 'cmltv_rcvrs_snc_dflt_instrmnt' AS CAMPO, '2024-09-30' as ref_date, coalesce(NUM_REG_DIF, 0) AS NUM_REG_DIF FROM (SELECT count(*) AS NUM_REG_DIF FROM (SELECT instrmnt_id as instrmnt_id_as_is, cmltv_rcvrs_snc_dflt_instrmnt as cmltv_rcvrs_snc_dflt_instrmnt_as_is FROM cd_loan_tapes_bce.lt002_instrument WHERE ref_date='2024-09-30' AND nome_perimetro='Individual Corporativo' AND segmento='ESTR' AND ambito='PM' AND entidade='00100' ) A  Inner join (SELECT instrmnt_id as instrmnt_id_to_be, cmltv_rcvrs_snc_dflt_instrmnt as cmltv_rcvrs_snc_dflt_instrmnt_to_be FROM bu_loantape_work.lt002_instrument WHERE ref_date='2024-09-30' AND nome_perimetro='Individual Corporativo' AND segmento='ESTR' AND ambito='PM' AND entidade='00100' ) B ON instrmnt_id_as_is = instrmnt_id_to_be WHERE coalesce(cast(cmltv_rcvrs_snc_dflt_instrmnt_as_is as string), '') &lt;&gt; coalesce(cast(cmltv_rcvrs_snc_dflt_instrmnt_to_be as string), '') ) A UNION ALL</v>
      </c>
      <c r="P120" s="17">
        <f t="shared" si="11"/>
        <v>16</v>
      </c>
    </row>
    <row r="121" spans="2:16" s="15" customFormat="1" ht="11.45">
      <c r="B121" s="17" t="s">
        <v>26</v>
      </c>
      <c r="C121" s="17" t="str">
        <f>_xlfn.CONCAT(Instruções!$D$13,".",VLOOKUP(B121,Instruções!$F$12:$H$17,2,0))</f>
        <v>cd_loan_tapes_bce.lt002_instrument</v>
      </c>
      <c r="D121" s="17" t="str">
        <f>_xlfn.CONCAT(Instruções!$D$14,".",VLOOKUP(B121,Instruções!$F$12:$H$17,3,0))</f>
        <v>bu_loantape_work.lt002_instrument</v>
      </c>
      <c r="E121" s="17" t="s">
        <v>176</v>
      </c>
      <c r="F121" s="17" t="str">
        <f t="shared" si="12"/>
        <v>cmmtmnt_incptn_instrmnt_as_is</v>
      </c>
      <c r="G121" s="17" t="str">
        <f t="shared" si="13"/>
        <v>cmmtmnt_incptn_instrmnt_to_be</v>
      </c>
      <c r="H121" s="17" t="str">
        <f>IF(VLOOKUP(B121,Instruções!$F$13:$J$17,5,0)="",
"(SELECT "&amp;VLOOKUP(B121,Instruções!$F$13:$J$17,4,0)&amp;" as "&amp;VLOOKUP(B121,Instruções!$F$13:$J$17,4,0)&amp;"_"&amp;$F$2&amp;", "&amp;E121&amp;" as "&amp;F121&amp;" FROM "&amp;C121&amp;" WHERE "&amp;Instruções!$D$20&amp;") A ",
"(SELECT "&amp;VLOOKUP(B121,Instruções!$F$13:$J$17,4,0)&amp;" as "&amp;VLOOKUP(B121,Instruções!$F$13:$J$17,4,0)&amp;"_"&amp;$F$2&amp;", "&amp;VLOOKUP(B121,Instruções!$F$13:$J$17,5,0)&amp;" as "&amp;VLOOKUP(B121,Instruções!$F$13:$J$17,5,0)&amp;"_"&amp;$F$2&amp;","&amp;E121&amp;" as "&amp;F121&amp;" FROM "&amp;C121&amp;" WHERE "&amp;Instruções!$D$20&amp;") A ")</f>
        <v xml:space="preserve">(SELECT instrmnt_id as instrmnt_id_as_is, cmmtmnt_incptn_instrmnt as cmmtmnt_incptn_instrmnt_as_is FROM cd_loan_tapes_bce.lt002_instrument WHERE ref_date='2024-09-30' AND nome_perimetro='Individual Corporativo' AND segmento='ESTR' AND ambito='PM' AND entidade='00100' ) A </v>
      </c>
      <c r="I121" s="17" t="str">
        <f>IF(VLOOKUP(B121,Instruções!$F$13:$J$17,5,0)="",
"(SELECT "&amp;VLOOKUP(B121,Instruções!$F$13:$J$17,4,0)&amp;" as "&amp;VLOOKUP(B121,Instruções!$F$13:$J$17,4,0)&amp;"_"&amp;$G$2&amp;", "&amp;E121&amp;" as "&amp;G121&amp;" FROM "&amp;D121&amp;" WHERE "&amp;Instruções!$D$21&amp;") B ",
"(SELECT "&amp;VLOOKUP(B121,Instruções!$F$13:$J$17,4,0)&amp;" as "&amp;VLOOKUP(B121,Instruções!$F$13:$J$17,4,0)&amp;"_"&amp;$G$2&amp;", "&amp;VLOOKUP(B121,Instruções!$F$13:$J$17,5,0)&amp;" as "&amp;VLOOKUP(B121,Instruções!$F$13:$J$17,5,0)&amp;"_"&amp;$G$2&amp;","&amp;E121&amp;" as "&amp;G121&amp;" FROM "&amp;D121&amp;" WHERE "&amp;Instruções!$D$21&amp;") B ")</f>
        <v xml:space="preserve">(SELECT instrmnt_id as instrmnt_id_to_be, cmmtmnt_incptn_instrmnt as cmmtmnt_incptn_instrmnt_to_be FROM bu_loantape_work.lt002_instrument WHERE ref_date='2024-09-30' AND nome_perimetro='Individual Corporativo' AND segmento='ESTR' AND ambito='PM' AND entidade='00100' ) B </v>
      </c>
      <c r="J121" s="17" t="str">
        <f>IF(VLOOKUP(B121,Instruções!$F$13:$J$17,5,0)="",
"ON "&amp;VLOOKUP(B121,Instruções!$F$13:$J$17,4,0)&amp;"_"&amp;$F$2&amp;" = "&amp;VLOOKUP(B121,Instruções!$F$13:$J$17,4,0)&amp;"_"&amp;$G$2&amp;" ",
"ON "&amp;VLOOKUP(B121,Instruções!$F$13:$J$17,4,0)&amp;"_"&amp;$F$2&amp;" = "&amp;VLOOKUP(B121,Instruções!$F$13:$J$17,4,0)&amp;"_"&amp;$G$2&amp;" AND "&amp;VLOOKUP(B121,Instruções!$F$13:$J$17,5,0)&amp;"_"&amp;$F$2&amp;" = "&amp;VLOOKUP(B121,Instruções!$F$13:$J$17,5,0)&amp;"_"&amp;$G$2&amp;" ")</f>
        <v xml:space="preserve">ON instrmnt_id_as_is = instrmnt_id_to_be </v>
      </c>
      <c r="K121" s="17" t="str">
        <f t="shared" si="14"/>
        <v xml:space="preserve">WHERE coalesce(cast(cmmtmnt_incptn_instrmnt_as_is as string), '') &lt;&gt; coalesce(cast(cmmtmnt_incptn_instrmnt_to_be as string), '') </v>
      </c>
      <c r="L121" s="17" t="str">
        <f t="shared" si="15"/>
        <v xml:space="preserve">SELECT count(*) AS NUM_REG_DIF FROM (SELECT instrmnt_id as instrmnt_id_as_is, cmmtmnt_incptn_instrmnt as cmmtmnt_incptn_instrmnt_as_is FROM cd_loan_tapes_bce.lt002_instrument WHERE ref_date='2024-09-30' AND nome_perimetro='Individual Corporativo' AND segmento='ESTR' AND ambito='PM' AND entidade='00100' ) A  Inner join (SELECT instrmnt_id as instrmnt_id_to_be, cmmtmnt_incptn_instrmnt as cmmtmnt_incptn_instrmnt_to_be FROM bu_loantape_work.lt002_instrument WHERE ref_date='2024-09-30' AND nome_perimetro='Individual Corporativo' AND segmento='ESTR' AND ambito='PM' AND entidade='00100' ) B ON instrmnt_id_as_is = instrmnt_id_to_be WHERE coalesce(cast(cmmtmnt_incptn_instrmnt_as_is as string), '') &lt;&gt; coalesce(cast(cmmtmnt_incptn_instrmnt_to_be as string), '') </v>
      </c>
      <c r="M121" s="17" t="s">
        <v>55</v>
      </c>
      <c r="N121" s="17" t="str">
        <f>"SELECT 'Validação de campos' as tipologia_teste, '"&amp;VLOOKUP(B121,Instruções!$F$13:$J$17,3,0)&amp;"' AS TABELA, '"&amp;E121&amp;"' AS CAMPO, '"&amp;Instruções!$D$15&amp;"' as ref_date, coalesce(NUM_REG_DIF, 0) AS NUM_REG_DIF FROM ("&amp;L121&amp;") A "</f>
        <v xml:space="preserve">SELECT 'Validação de campos' as tipologia_teste, 'lt002_instrument' AS TABELA, 'cmmtmnt_incptn_instrmnt' AS CAMPO, '2024-09-30' as ref_date, coalesce(NUM_REG_DIF, 0) AS NUM_REG_DIF FROM (SELECT count(*) AS NUM_REG_DIF FROM (SELECT instrmnt_id as instrmnt_id_as_is, cmmtmnt_incptn_instrmnt as cmmtmnt_incptn_instrmnt_as_is FROM cd_loan_tapes_bce.lt002_instrument WHERE ref_date='2024-09-30' AND nome_perimetro='Individual Corporativo' AND segmento='ESTR' AND ambito='PM' AND entidade='00100' ) A  Inner join (SELECT instrmnt_id as instrmnt_id_to_be, cmmtmnt_incptn_instrmnt as cmmtmnt_incptn_instrmnt_to_be FROM bu_loantape_work.lt002_instrument WHERE ref_date='2024-09-30' AND nome_perimetro='Individual Corporativo' AND segmento='ESTR' AND ambito='PM' AND entidade='00100' ) B ON instrmnt_id_as_is = instrmnt_id_to_be WHERE coalesce(cast(cmmtmnt_incptn_instrmnt_as_is as string), '') &lt;&gt; coalesce(cast(cmmtmnt_incptn_instrmnt_to_be as string), '') ) A </v>
      </c>
      <c r="O121" s="19" t="str">
        <f t="shared" si="16"/>
        <v>SELECT 'Validação de campos' as tipologia_teste, 'lt002_instrument' AS TABELA, 'cmmtmnt_incptn_instrmnt' AS CAMPO, '2024-09-30' as ref_date, coalesce(NUM_REG_DIF, 0) AS NUM_REG_DIF FROM (SELECT count(*) AS NUM_REG_DIF FROM (SELECT instrmnt_id as instrmnt_id_as_is, cmmtmnt_incptn_instrmnt as cmmtmnt_incptn_instrmnt_as_is FROM cd_loan_tapes_bce.lt002_instrument WHERE ref_date='2024-09-30' AND nome_perimetro='Individual Corporativo' AND segmento='ESTR' AND ambito='PM' AND entidade='00100' ) A  Inner join (SELECT instrmnt_id as instrmnt_id_to_be, cmmtmnt_incptn_instrmnt as cmmtmnt_incptn_instrmnt_to_be FROM bu_loantape_work.lt002_instrument WHERE ref_date='2024-09-30' AND nome_perimetro='Individual Corporativo' AND segmento='ESTR' AND ambito='PM' AND entidade='00100' ) B ON instrmnt_id_as_is = instrmnt_id_to_be WHERE coalesce(cast(cmmtmnt_incptn_instrmnt_as_is as string), '') &lt;&gt; coalesce(cast(cmmtmnt_incptn_instrmnt_to_be as string), '') ) A UNION ALL</v>
      </c>
      <c r="P121" s="17">
        <f t="shared" si="11"/>
        <v>17</v>
      </c>
    </row>
    <row r="122" spans="2:16" s="15" customFormat="1" ht="11.45">
      <c r="B122" s="17" t="s">
        <v>26</v>
      </c>
      <c r="C122" s="17" t="str">
        <f>_xlfn.CONCAT(Instruções!$D$13,".",VLOOKUP(B122,Instruções!$F$12:$H$17,2,0))</f>
        <v>cd_loan_tapes_bce.lt002_instrument</v>
      </c>
      <c r="D122" s="17" t="str">
        <f>_xlfn.CONCAT(Instruções!$D$14,".",VLOOKUP(B122,Instruções!$F$12:$H$17,3,0))</f>
        <v>bu_loantape_work.lt002_instrument</v>
      </c>
      <c r="E122" s="17" t="s">
        <v>177</v>
      </c>
      <c r="F122" s="17" t="str">
        <f t="shared" si="12"/>
        <v>cmmtmnt_instrmnt_as_is</v>
      </c>
      <c r="G122" s="17" t="str">
        <f t="shared" si="13"/>
        <v>cmmtmnt_instrmnt_to_be</v>
      </c>
      <c r="H122" s="17" t="str">
        <f>IF(VLOOKUP(B122,Instruções!$F$13:$J$17,5,0)="",
"(SELECT "&amp;VLOOKUP(B122,Instruções!$F$13:$J$17,4,0)&amp;" as "&amp;VLOOKUP(B122,Instruções!$F$13:$J$17,4,0)&amp;"_"&amp;$F$2&amp;", "&amp;E122&amp;" as "&amp;F122&amp;" FROM "&amp;C122&amp;" WHERE "&amp;Instruções!$D$20&amp;") A ",
"(SELECT "&amp;VLOOKUP(B122,Instruções!$F$13:$J$17,4,0)&amp;" as "&amp;VLOOKUP(B122,Instruções!$F$13:$J$17,4,0)&amp;"_"&amp;$F$2&amp;", "&amp;VLOOKUP(B122,Instruções!$F$13:$J$17,5,0)&amp;" as "&amp;VLOOKUP(B122,Instruções!$F$13:$J$17,5,0)&amp;"_"&amp;$F$2&amp;","&amp;E122&amp;" as "&amp;F122&amp;" FROM "&amp;C122&amp;" WHERE "&amp;Instruções!$D$20&amp;") A ")</f>
        <v xml:space="preserve">(SELECT instrmnt_id as instrmnt_id_as_is, cmmtmnt_instrmnt as cmmtmnt_instrmnt_as_is FROM cd_loan_tapes_bce.lt002_instrument WHERE ref_date='2024-09-30' AND nome_perimetro='Individual Corporativo' AND segmento='ESTR' AND ambito='PM' AND entidade='00100' ) A </v>
      </c>
      <c r="I122" s="17" t="str">
        <f>IF(VLOOKUP(B122,Instruções!$F$13:$J$17,5,0)="",
"(SELECT "&amp;VLOOKUP(B122,Instruções!$F$13:$J$17,4,0)&amp;" as "&amp;VLOOKUP(B122,Instruções!$F$13:$J$17,4,0)&amp;"_"&amp;$G$2&amp;", "&amp;E122&amp;" as "&amp;G122&amp;" FROM "&amp;D122&amp;" WHERE "&amp;Instruções!$D$21&amp;") B ",
"(SELECT "&amp;VLOOKUP(B122,Instruções!$F$13:$J$17,4,0)&amp;" as "&amp;VLOOKUP(B122,Instruções!$F$13:$J$17,4,0)&amp;"_"&amp;$G$2&amp;", "&amp;VLOOKUP(B122,Instruções!$F$13:$J$17,5,0)&amp;" as "&amp;VLOOKUP(B122,Instruções!$F$13:$J$17,5,0)&amp;"_"&amp;$G$2&amp;","&amp;E122&amp;" as "&amp;G122&amp;" FROM "&amp;D122&amp;" WHERE "&amp;Instruções!$D$21&amp;") B ")</f>
        <v xml:space="preserve">(SELECT instrmnt_id as instrmnt_id_to_be, cmmtmnt_instrmnt as cmmtmnt_instrmnt_to_be FROM bu_loantape_work.lt002_instrument WHERE ref_date='2024-09-30' AND nome_perimetro='Individual Corporativo' AND segmento='ESTR' AND ambito='PM' AND entidade='00100' ) B </v>
      </c>
      <c r="J122" s="17" t="str">
        <f>IF(VLOOKUP(B122,Instruções!$F$13:$J$17,5,0)="",
"ON "&amp;VLOOKUP(B122,Instruções!$F$13:$J$17,4,0)&amp;"_"&amp;$F$2&amp;" = "&amp;VLOOKUP(B122,Instruções!$F$13:$J$17,4,0)&amp;"_"&amp;$G$2&amp;" ",
"ON "&amp;VLOOKUP(B122,Instruções!$F$13:$J$17,4,0)&amp;"_"&amp;$F$2&amp;" = "&amp;VLOOKUP(B122,Instruções!$F$13:$J$17,4,0)&amp;"_"&amp;$G$2&amp;" AND "&amp;VLOOKUP(B122,Instruções!$F$13:$J$17,5,0)&amp;"_"&amp;$F$2&amp;" = "&amp;VLOOKUP(B122,Instruções!$F$13:$J$17,5,0)&amp;"_"&amp;$G$2&amp;" ")</f>
        <v xml:space="preserve">ON instrmnt_id_as_is = instrmnt_id_to_be </v>
      </c>
      <c r="K122" s="17" t="str">
        <f t="shared" si="14"/>
        <v xml:space="preserve">WHERE coalesce(cast(cmmtmnt_instrmnt_as_is as string), '') &lt;&gt; coalesce(cast(cmmtmnt_instrmnt_to_be as string), '') </v>
      </c>
      <c r="L122" s="17" t="str">
        <f t="shared" si="15"/>
        <v xml:space="preserve">SELECT count(*) AS NUM_REG_DIF FROM (SELECT instrmnt_id as instrmnt_id_as_is, cmmtmnt_instrmnt as cmmtmnt_instrmnt_as_is FROM cd_loan_tapes_bce.lt002_instrument WHERE ref_date='2024-09-30' AND nome_perimetro='Individual Corporativo' AND segmento='ESTR' AND ambito='PM' AND entidade='00100' ) A  Inner join (SELECT instrmnt_id as instrmnt_id_to_be, cmmtmnt_instrmnt as cmmtmnt_instrmnt_to_be FROM bu_loantape_work.lt002_instrument WHERE ref_date='2024-09-30' AND nome_perimetro='Individual Corporativo' AND segmento='ESTR' AND ambito='PM' AND entidade='00100' ) B ON instrmnt_id_as_is = instrmnt_id_to_be WHERE coalesce(cast(cmmtmnt_instrmnt_as_is as string), '') &lt;&gt; coalesce(cast(cmmtmnt_instrmnt_to_be as string), '') </v>
      </c>
      <c r="M122" s="17" t="s">
        <v>55</v>
      </c>
      <c r="N122" s="17" t="str">
        <f>"SELECT 'Validação de campos' as tipologia_teste, '"&amp;VLOOKUP(B122,Instruções!$F$13:$J$17,3,0)&amp;"' AS TABELA, '"&amp;E122&amp;"' AS CAMPO, '"&amp;Instruções!$D$15&amp;"' as ref_date, coalesce(NUM_REG_DIF, 0) AS NUM_REG_DIF FROM ("&amp;L122&amp;") A "</f>
        <v xml:space="preserve">SELECT 'Validação de campos' as tipologia_teste, 'lt002_instrument' AS TABELA, 'cmmtmnt_instrmnt' AS CAMPO, '2024-09-30' as ref_date, coalesce(NUM_REG_DIF, 0) AS NUM_REG_DIF FROM (SELECT count(*) AS NUM_REG_DIF FROM (SELECT instrmnt_id as instrmnt_id_as_is, cmmtmnt_instrmnt as cmmtmnt_instrmnt_as_is FROM cd_loan_tapes_bce.lt002_instrument WHERE ref_date='2024-09-30' AND nome_perimetro='Individual Corporativo' AND segmento='ESTR' AND ambito='PM' AND entidade='00100' ) A  Inner join (SELECT instrmnt_id as instrmnt_id_to_be, cmmtmnt_instrmnt as cmmtmnt_instrmnt_to_be FROM bu_loantape_work.lt002_instrument WHERE ref_date='2024-09-30' AND nome_perimetro='Individual Corporativo' AND segmento='ESTR' AND ambito='PM' AND entidade='00100' ) B ON instrmnt_id_as_is = instrmnt_id_to_be WHERE coalesce(cast(cmmtmnt_instrmnt_as_is as string), '') &lt;&gt; coalesce(cast(cmmtmnt_instrmnt_to_be as string), '') ) A </v>
      </c>
      <c r="O122" s="19" t="str">
        <f t="shared" si="16"/>
        <v>SELECT 'Validação de campos' as tipologia_teste, 'lt002_instrument' AS TABELA, 'cmmtmnt_instrmnt' AS CAMPO, '2024-09-30' as ref_date, coalesce(NUM_REG_DIF, 0) AS NUM_REG_DIF FROM (SELECT count(*) AS NUM_REG_DIF FROM (SELECT instrmnt_id as instrmnt_id_as_is, cmmtmnt_instrmnt as cmmtmnt_instrmnt_as_is FROM cd_loan_tapes_bce.lt002_instrument WHERE ref_date='2024-09-30' AND nome_perimetro='Individual Corporativo' AND segmento='ESTR' AND ambito='PM' AND entidade='00100' ) A  Inner join (SELECT instrmnt_id as instrmnt_id_to_be, cmmtmnt_instrmnt as cmmtmnt_instrmnt_to_be FROM bu_loantape_work.lt002_instrument WHERE ref_date='2024-09-30' AND nome_perimetro='Individual Corporativo' AND segmento='ESTR' AND ambito='PM' AND entidade='00100' ) B ON instrmnt_id_as_is = instrmnt_id_to_be WHERE coalesce(cast(cmmtmnt_instrmnt_as_is as string), '') &lt;&gt; coalesce(cast(cmmtmnt_instrmnt_to_be as string), '') ) A UNION ALL</v>
      </c>
      <c r="P122" s="17">
        <f t="shared" si="11"/>
        <v>18</v>
      </c>
    </row>
    <row r="123" spans="2:16" s="15" customFormat="1" ht="11.45">
      <c r="B123" s="17" t="s">
        <v>26</v>
      </c>
      <c r="C123" s="17" t="str">
        <f>_xlfn.CONCAT(Instruções!$D$13,".",VLOOKUP(B123,Instruções!$F$12:$H$17,2,0))</f>
        <v>cd_loan_tapes_bce.lt002_instrument</v>
      </c>
      <c r="D123" s="17" t="str">
        <f>_xlfn.CONCAT(Instruções!$D$14,".",VLOOKUP(B123,Instruções!$F$12:$H$17,3,0))</f>
        <v>bu_loantape_work.lt002_instrument</v>
      </c>
      <c r="E123" s="17" t="s">
        <v>178</v>
      </c>
      <c r="F123" s="17" t="str">
        <f t="shared" si="12"/>
        <v>cmplnt_mrtr_c19_nm_as_is</v>
      </c>
      <c r="G123" s="17" t="str">
        <f t="shared" si="13"/>
        <v>cmplnt_mrtr_c19_nm_to_be</v>
      </c>
      <c r="H123" s="17" t="str">
        <f>IF(VLOOKUP(B123,Instruções!$F$13:$J$17,5,0)="",
"(SELECT "&amp;VLOOKUP(B123,Instruções!$F$13:$J$17,4,0)&amp;" as "&amp;VLOOKUP(B123,Instruções!$F$13:$J$17,4,0)&amp;"_"&amp;$F$2&amp;", "&amp;E123&amp;" as "&amp;F123&amp;" FROM "&amp;C123&amp;" WHERE "&amp;Instruções!$D$20&amp;") A ",
"(SELECT "&amp;VLOOKUP(B123,Instruções!$F$13:$J$17,4,0)&amp;" as "&amp;VLOOKUP(B123,Instruções!$F$13:$J$17,4,0)&amp;"_"&amp;$F$2&amp;", "&amp;VLOOKUP(B123,Instruções!$F$13:$J$17,5,0)&amp;" as "&amp;VLOOKUP(B123,Instruções!$F$13:$J$17,5,0)&amp;"_"&amp;$F$2&amp;","&amp;E123&amp;" as "&amp;F123&amp;" FROM "&amp;C123&amp;" WHERE "&amp;Instruções!$D$20&amp;") A ")</f>
        <v xml:space="preserve">(SELECT instrmnt_id as instrmnt_id_as_is, cmplnt_mrtr_c19_nm as cmplnt_mrtr_c19_nm_as_is FROM cd_loan_tapes_bce.lt002_instrument WHERE ref_date='2024-09-30' AND nome_perimetro='Individual Corporativo' AND segmento='ESTR' AND ambito='PM' AND entidade='00100' ) A </v>
      </c>
      <c r="I123" s="17" t="str">
        <f>IF(VLOOKUP(B123,Instruções!$F$13:$J$17,5,0)="",
"(SELECT "&amp;VLOOKUP(B123,Instruções!$F$13:$J$17,4,0)&amp;" as "&amp;VLOOKUP(B123,Instruções!$F$13:$J$17,4,0)&amp;"_"&amp;$G$2&amp;", "&amp;E123&amp;" as "&amp;G123&amp;" FROM "&amp;D123&amp;" WHERE "&amp;Instruções!$D$21&amp;") B ",
"(SELECT "&amp;VLOOKUP(B123,Instruções!$F$13:$J$17,4,0)&amp;" as "&amp;VLOOKUP(B123,Instruções!$F$13:$J$17,4,0)&amp;"_"&amp;$G$2&amp;", "&amp;VLOOKUP(B123,Instruções!$F$13:$J$17,5,0)&amp;" as "&amp;VLOOKUP(B123,Instruções!$F$13:$J$17,5,0)&amp;"_"&amp;$G$2&amp;","&amp;E123&amp;" as "&amp;G123&amp;" FROM "&amp;D123&amp;" WHERE "&amp;Instruções!$D$21&amp;") B ")</f>
        <v xml:space="preserve">(SELECT instrmnt_id as instrmnt_id_to_be, cmplnt_mrtr_c19_nm as cmplnt_mrtr_c19_nm_to_be FROM bu_loantape_work.lt002_instrument WHERE ref_date='2024-09-30' AND nome_perimetro='Individual Corporativo' AND segmento='ESTR' AND ambito='PM' AND entidade='00100' ) B </v>
      </c>
      <c r="J123" s="17" t="str">
        <f>IF(VLOOKUP(B123,Instruções!$F$13:$J$17,5,0)="",
"ON "&amp;VLOOKUP(B123,Instruções!$F$13:$J$17,4,0)&amp;"_"&amp;$F$2&amp;" = "&amp;VLOOKUP(B123,Instruções!$F$13:$J$17,4,0)&amp;"_"&amp;$G$2&amp;" ",
"ON "&amp;VLOOKUP(B123,Instruções!$F$13:$J$17,4,0)&amp;"_"&amp;$F$2&amp;" = "&amp;VLOOKUP(B123,Instruções!$F$13:$J$17,4,0)&amp;"_"&amp;$G$2&amp;" AND "&amp;VLOOKUP(B123,Instruções!$F$13:$J$17,5,0)&amp;"_"&amp;$F$2&amp;" = "&amp;VLOOKUP(B123,Instruções!$F$13:$J$17,5,0)&amp;"_"&amp;$G$2&amp;" ")</f>
        <v xml:space="preserve">ON instrmnt_id_as_is = instrmnt_id_to_be </v>
      </c>
      <c r="K123" s="17" t="str">
        <f t="shared" si="14"/>
        <v xml:space="preserve">WHERE coalesce(cast(cmplnt_mrtr_c19_nm_as_is as string), '') &lt;&gt; coalesce(cast(cmplnt_mrtr_c19_nm_to_be as string), '') </v>
      </c>
      <c r="L123" s="17" t="str">
        <f t="shared" si="15"/>
        <v xml:space="preserve">SELECT count(*) AS NUM_REG_DIF FROM (SELECT instrmnt_id as instrmnt_id_as_is, cmplnt_mrtr_c19_nm as cmplnt_mrtr_c19_nm_as_is FROM cd_loan_tapes_bce.lt002_instrument WHERE ref_date='2024-09-30' AND nome_perimetro='Individual Corporativo' AND segmento='ESTR' AND ambito='PM' AND entidade='00100' ) A  Inner join (SELECT instrmnt_id as instrmnt_id_to_be, cmplnt_mrtr_c19_nm as cmplnt_mrtr_c19_nm_to_be FROM bu_loantape_work.lt002_instrument WHERE ref_date='2024-09-30' AND nome_perimetro='Individual Corporativo' AND segmento='ESTR' AND ambito='PM' AND entidade='00100' ) B ON instrmnt_id_as_is = instrmnt_id_to_be WHERE coalesce(cast(cmplnt_mrtr_c19_nm_as_is as string), '') &lt;&gt; coalesce(cast(cmplnt_mrtr_c19_nm_to_be as string), '') </v>
      </c>
      <c r="M123" s="17" t="s">
        <v>55</v>
      </c>
      <c r="N123" s="17" t="str">
        <f>"SELECT 'Validação de campos' as tipologia_teste, '"&amp;VLOOKUP(B123,Instruções!$F$13:$J$17,3,0)&amp;"' AS TABELA, '"&amp;E123&amp;"' AS CAMPO, '"&amp;Instruções!$D$15&amp;"' as ref_date, coalesce(NUM_REG_DIF, 0) AS NUM_REG_DIF FROM ("&amp;L123&amp;") A "</f>
        <v xml:space="preserve">SELECT 'Validação de campos' as tipologia_teste, 'lt002_instrument' AS TABELA, 'cmplnt_mrtr_c19_nm' AS CAMPO, '2024-09-30' as ref_date, coalesce(NUM_REG_DIF, 0) AS NUM_REG_DIF FROM (SELECT count(*) AS NUM_REG_DIF FROM (SELECT instrmnt_id as instrmnt_id_as_is, cmplnt_mrtr_c19_nm as cmplnt_mrtr_c19_nm_as_is FROM cd_loan_tapes_bce.lt002_instrument WHERE ref_date='2024-09-30' AND nome_perimetro='Individual Corporativo' AND segmento='ESTR' AND ambito='PM' AND entidade='00100' ) A  Inner join (SELECT instrmnt_id as instrmnt_id_to_be, cmplnt_mrtr_c19_nm as cmplnt_mrtr_c19_nm_to_be FROM bu_loantape_work.lt002_instrument WHERE ref_date='2024-09-30' AND nome_perimetro='Individual Corporativo' AND segmento='ESTR' AND ambito='PM' AND entidade='00100' ) B ON instrmnt_id_as_is = instrmnt_id_to_be WHERE coalesce(cast(cmplnt_mrtr_c19_nm_as_is as string), '') &lt;&gt; coalesce(cast(cmplnt_mrtr_c19_nm_to_be as string), '') ) A </v>
      </c>
      <c r="O123" s="19" t="str">
        <f>IF(N123="",N123,N123&amp;$O$3)</f>
        <v>SELECT 'Validação de campos' as tipologia_teste, 'lt002_instrument' AS TABELA, 'cmplnt_mrtr_c19_nm' AS CAMPO, '2024-09-30' as ref_date, coalesce(NUM_REG_DIF, 0) AS NUM_REG_DIF FROM (SELECT count(*) AS NUM_REG_DIF FROM (SELECT instrmnt_id as instrmnt_id_as_is, cmplnt_mrtr_c19_nm as cmplnt_mrtr_c19_nm_as_is FROM cd_loan_tapes_bce.lt002_instrument WHERE ref_date='2024-09-30' AND nome_perimetro='Individual Corporativo' AND segmento='ESTR' AND ambito='PM' AND entidade='00100' ) A  Inner join (SELECT instrmnt_id as instrmnt_id_to_be, cmplnt_mrtr_c19_nm as cmplnt_mrtr_c19_nm_to_be FROM bu_loantape_work.lt002_instrument WHERE ref_date='2024-09-30' AND nome_perimetro='Individual Corporativo' AND segmento='ESTR' AND ambito='PM' AND entidade='00100' ) B ON instrmnt_id_as_is = instrmnt_id_to_be WHERE coalesce(cast(cmplnt_mrtr_c19_nm_as_is as string), '') &lt;&gt; coalesce(cast(cmplnt_mrtr_c19_nm_to_be as string), '') ) A UNION ALL</v>
      </c>
      <c r="P123" s="17">
        <f t="shared" si="11"/>
        <v>19</v>
      </c>
    </row>
    <row r="124" spans="2:16" s="15" customFormat="1" ht="11.45">
      <c r="B124" s="17" t="s">
        <v>26</v>
      </c>
      <c r="C124" s="17" t="str">
        <f>_xlfn.CONCAT(Instruções!$D$13,".",VLOOKUP(B124,Instruções!$F$12:$H$17,2,0))</f>
        <v>cd_loan_tapes_bce.lt002_instrument</v>
      </c>
      <c r="D124" s="17" t="str">
        <f>_xlfn.CONCAT(Instruções!$D$14,".",VLOOKUP(B124,Instruções!$F$12:$H$17,3,0))</f>
        <v>bu_loantape_work.lt002_instrument</v>
      </c>
      <c r="E124" s="17" t="s">
        <v>179</v>
      </c>
      <c r="F124" s="17" t="str">
        <f t="shared" si="12"/>
        <v>cnsmptn_fnrp18_as_is</v>
      </c>
      <c r="G124" s="17" t="str">
        <f t="shared" si="13"/>
        <v>cnsmptn_fnrp18_to_be</v>
      </c>
      <c r="H124" s="17" t="str">
        <f>IF(VLOOKUP(B124,Instruções!$F$13:$J$17,5,0)="",
"(SELECT "&amp;VLOOKUP(B124,Instruções!$F$13:$J$17,4,0)&amp;" as "&amp;VLOOKUP(B124,Instruções!$F$13:$J$17,4,0)&amp;"_"&amp;$F$2&amp;", "&amp;E124&amp;" as "&amp;F124&amp;" FROM "&amp;C124&amp;" WHERE "&amp;Instruções!$D$20&amp;") A ",
"(SELECT "&amp;VLOOKUP(B124,Instruções!$F$13:$J$17,4,0)&amp;" as "&amp;VLOOKUP(B124,Instruções!$F$13:$J$17,4,0)&amp;"_"&amp;$F$2&amp;", "&amp;VLOOKUP(B124,Instruções!$F$13:$J$17,5,0)&amp;" as "&amp;VLOOKUP(B124,Instruções!$F$13:$J$17,5,0)&amp;"_"&amp;$F$2&amp;","&amp;E124&amp;" as "&amp;F124&amp;" FROM "&amp;C124&amp;" WHERE "&amp;Instruções!$D$20&amp;") A ")</f>
        <v xml:space="preserve">(SELECT instrmnt_id as instrmnt_id_as_is, cnsmptn_fnrp18 as cnsmptn_fnrp18_as_is FROM cd_loan_tapes_bce.lt002_instrument WHERE ref_date='2024-09-30' AND nome_perimetro='Individual Corporativo' AND segmento='ESTR' AND ambito='PM' AND entidade='00100' ) A </v>
      </c>
      <c r="I124" s="17" t="str">
        <f>IF(VLOOKUP(B124,Instruções!$F$13:$J$17,5,0)="",
"(SELECT "&amp;VLOOKUP(B124,Instruções!$F$13:$J$17,4,0)&amp;" as "&amp;VLOOKUP(B124,Instruções!$F$13:$J$17,4,0)&amp;"_"&amp;$G$2&amp;", "&amp;E124&amp;" as "&amp;G124&amp;" FROM "&amp;D124&amp;" WHERE "&amp;Instruções!$D$21&amp;") B ",
"(SELECT "&amp;VLOOKUP(B124,Instruções!$F$13:$J$17,4,0)&amp;" as "&amp;VLOOKUP(B124,Instruções!$F$13:$J$17,4,0)&amp;"_"&amp;$G$2&amp;", "&amp;VLOOKUP(B124,Instruções!$F$13:$J$17,5,0)&amp;" as "&amp;VLOOKUP(B124,Instruções!$F$13:$J$17,5,0)&amp;"_"&amp;$G$2&amp;","&amp;E124&amp;" as "&amp;G124&amp;" FROM "&amp;D124&amp;" WHERE "&amp;Instruções!$D$21&amp;") B ")</f>
        <v xml:space="preserve">(SELECT instrmnt_id as instrmnt_id_to_be, cnsmptn_fnrp18 as cnsmptn_fnrp18_to_be FROM bu_loantape_work.lt002_instrument WHERE ref_date='2024-09-30' AND nome_perimetro='Individual Corporativo' AND segmento='ESTR' AND ambito='PM' AND entidade='00100' ) B </v>
      </c>
      <c r="J124" s="17" t="str">
        <f>IF(VLOOKUP(B124,Instruções!$F$13:$J$17,5,0)="",
"ON "&amp;VLOOKUP(B124,Instruções!$F$13:$J$17,4,0)&amp;"_"&amp;$F$2&amp;" = "&amp;VLOOKUP(B124,Instruções!$F$13:$J$17,4,0)&amp;"_"&amp;$G$2&amp;" ",
"ON "&amp;VLOOKUP(B124,Instruções!$F$13:$J$17,4,0)&amp;"_"&amp;$F$2&amp;" = "&amp;VLOOKUP(B124,Instruções!$F$13:$J$17,4,0)&amp;"_"&amp;$G$2&amp;" AND "&amp;VLOOKUP(B124,Instruções!$F$13:$J$17,5,0)&amp;"_"&amp;$F$2&amp;" = "&amp;VLOOKUP(B124,Instruções!$F$13:$J$17,5,0)&amp;"_"&amp;$G$2&amp;" ")</f>
        <v xml:space="preserve">ON instrmnt_id_as_is = instrmnt_id_to_be </v>
      </c>
      <c r="K124" s="17" t="str">
        <f t="shared" si="14"/>
        <v xml:space="preserve">WHERE coalesce(cast(cnsmptn_fnrp18_as_is as string), '') &lt;&gt; coalesce(cast(cnsmptn_fnrp18_to_be as string), '') </v>
      </c>
      <c r="L124" s="17" t="str">
        <f t="shared" si="15"/>
        <v xml:space="preserve">SELECT count(*) AS NUM_REG_DIF FROM (SELECT instrmnt_id as instrmnt_id_as_is, cnsmptn_fnrp18 as cnsmptn_fnrp18_as_is FROM cd_loan_tapes_bce.lt002_instrument WHERE ref_date='2024-09-30' AND nome_perimetro='Individual Corporativo' AND segmento='ESTR' AND ambito='PM' AND entidade='00100' ) A  Inner join (SELECT instrmnt_id as instrmnt_id_to_be, cnsmptn_fnrp18 as cnsmptn_fnrp18_to_be FROM bu_loantape_work.lt002_instrument WHERE ref_date='2024-09-30' AND nome_perimetro='Individual Corporativo' AND segmento='ESTR' AND ambito='PM' AND entidade='00100' ) B ON instrmnt_id_as_is = instrmnt_id_to_be WHERE coalesce(cast(cnsmptn_fnrp18_as_is as string), '') &lt;&gt; coalesce(cast(cnsmptn_fnrp18_to_be as string), '') </v>
      </c>
      <c r="M124" s="17" t="s">
        <v>55</v>
      </c>
      <c r="N124" s="17" t="str">
        <f>"SELECT 'Validação de campos' as tipologia_teste, '"&amp;VLOOKUP(B124,Instruções!$F$13:$J$17,3,0)&amp;"' AS TABELA, '"&amp;E124&amp;"' AS CAMPO, '"&amp;Instruções!$D$15&amp;"' as ref_date, coalesce(NUM_REG_DIF, 0) AS NUM_REG_DIF FROM ("&amp;L124&amp;") A "</f>
        <v xml:space="preserve">SELECT 'Validação de campos' as tipologia_teste, 'lt002_instrument' AS TABELA, 'cnsmptn_fnrp18' AS CAMPO, '2024-09-30' as ref_date, coalesce(NUM_REG_DIF, 0) AS NUM_REG_DIF FROM (SELECT count(*) AS NUM_REG_DIF FROM (SELECT instrmnt_id as instrmnt_id_as_is, cnsmptn_fnrp18 as cnsmptn_fnrp18_as_is FROM cd_loan_tapes_bce.lt002_instrument WHERE ref_date='2024-09-30' AND nome_perimetro='Individual Corporativo' AND segmento='ESTR' AND ambito='PM' AND entidade='00100' ) A  Inner join (SELECT instrmnt_id as instrmnt_id_to_be, cnsmptn_fnrp18 as cnsmptn_fnrp18_to_be FROM bu_loantape_work.lt002_instrument WHERE ref_date='2024-09-30' AND nome_perimetro='Individual Corporativo' AND segmento='ESTR' AND ambito='PM' AND entidade='00100' ) B ON instrmnt_id_as_is = instrmnt_id_to_be WHERE coalesce(cast(cnsmptn_fnrp18_as_is as string), '') &lt;&gt; coalesce(cast(cnsmptn_fnrp18_to_be as string), '') ) A </v>
      </c>
      <c r="O124" s="19" t="str">
        <f>IF(O125="",N124,N124&amp;$O$3)</f>
        <v>SELECT 'Validação de campos' as tipologia_teste, 'lt002_instrument' AS TABELA, 'cnsmptn_fnrp18' AS CAMPO, '2024-09-30' as ref_date, coalesce(NUM_REG_DIF, 0) AS NUM_REG_DIF FROM (SELECT count(*) AS NUM_REG_DIF FROM (SELECT instrmnt_id as instrmnt_id_as_is, cnsmptn_fnrp18 as cnsmptn_fnrp18_as_is FROM cd_loan_tapes_bce.lt002_instrument WHERE ref_date='2024-09-30' AND nome_perimetro='Individual Corporativo' AND segmento='ESTR' AND ambito='PM' AND entidade='00100' ) A  Inner join (SELECT instrmnt_id as instrmnt_id_to_be, cnsmptn_fnrp18 as cnsmptn_fnrp18_to_be FROM bu_loantape_work.lt002_instrument WHERE ref_date='2024-09-30' AND nome_perimetro='Individual Corporativo' AND segmento='ESTR' AND ambito='PM' AND entidade='00100' ) B ON instrmnt_id_as_is = instrmnt_id_to_be WHERE coalesce(cast(cnsmptn_fnrp18_as_is as string), '') &lt;&gt; coalesce(cast(cnsmptn_fnrp18_to_be as string), '') ) A UNION ALL</v>
      </c>
      <c r="P124" s="17">
        <f t="shared" si="11"/>
        <v>20</v>
      </c>
    </row>
    <row r="125" spans="2:16" s="15" customFormat="1" ht="11.45">
      <c r="B125" s="17" t="s">
        <v>26</v>
      </c>
      <c r="C125" s="17" t="str">
        <f>_xlfn.CONCAT(Instruções!$D$13,".",VLOOKUP(B125,Instruções!$F$12:$H$17,2,0))</f>
        <v>cd_loan_tapes_bce.lt002_instrument</v>
      </c>
      <c r="D125" s="17" t="str">
        <f>_xlfn.CONCAT(Instruções!$D$14,".",VLOOKUP(B125,Instruções!$F$12:$H$17,3,0))</f>
        <v>bu_loantape_work.lt002_instrument</v>
      </c>
      <c r="E125" s="17" t="s">
        <v>180</v>
      </c>
      <c r="F125" s="17" t="str">
        <f t="shared" si="12"/>
        <v>cntrct_id_as_is</v>
      </c>
      <c r="G125" s="17" t="str">
        <f t="shared" si="13"/>
        <v>cntrct_id_to_be</v>
      </c>
      <c r="H125" s="17" t="str">
        <f>IF(VLOOKUP(B125,Instruções!$F$13:$J$17,5,0)="",
"(SELECT "&amp;VLOOKUP(B125,Instruções!$F$13:$J$17,4,0)&amp;" as "&amp;VLOOKUP(B125,Instruções!$F$13:$J$17,4,0)&amp;"_"&amp;$F$2&amp;", "&amp;E125&amp;" as "&amp;F125&amp;" FROM "&amp;C125&amp;" WHERE "&amp;Instruções!$D$20&amp;") A ",
"(SELECT "&amp;VLOOKUP(B125,Instruções!$F$13:$J$17,4,0)&amp;" as "&amp;VLOOKUP(B125,Instruções!$F$13:$J$17,4,0)&amp;"_"&amp;$F$2&amp;", "&amp;VLOOKUP(B125,Instruções!$F$13:$J$17,5,0)&amp;" as "&amp;VLOOKUP(B125,Instruções!$F$13:$J$17,5,0)&amp;"_"&amp;$F$2&amp;","&amp;E125&amp;" as "&amp;F125&amp;" FROM "&amp;C125&amp;" WHERE "&amp;Instruções!$D$20&amp;") A ")</f>
        <v xml:space="preserve">(SELECT instrmnt_id as instrmnt_id_as_is, cntrct_id as cntrct_id_as_is FROM cd_loan_tapes_bce.lt002_instrument WHERE ref_date='2024-09-30' AND nome_perimetro='Individual Corporativo' AND segmento='ESTR' AND ambito='PM' AND entidade='00100' ) A </v>
      </c>
      <c r="I125" s="17" t="str">
        <f>IF(VLOOKUP(B125,Instruções!$F$13:$J$17,5,0)="",
"(SELECT "&amp;VLOOKUP(B125,Instruções!$F$13:$J$17,4,0)&amp;" as "&amp;VLOOKUP(B125,Instruções!$F$13:$J$17,4,0)&amp;"_"&amp;$G$2&amp;", "&amp;E125&amp;" as "&amp;G125&amp;" FROM "&amp;D125&amp;" WHERE "&amp;Instruções!$D$21&amp;") B ",
"(SELECT "&amp;VLOOKUP(B125,Instruções!$F$13:$J$17,4,0)&amp;" as "&amp;VLOOKUP(B125,Instruções!$F$13:$J$17,4,0)&amp;"_"&amp;$G$2&amp;", "&amp;VLOOKUP(B125,Instruções!$F$13:$J$17,5,0)&amp;" as "&amp;VLOOKUP(B125,Instruções!$F$13:$J$17,5,0)&amp;"_"&amp;$G$2&amp;","&amp;E125&amp;" as "&amp;G125&amp;" FROM "&amp;D125&amp;" WHERE "&amp;Instruções!$D$21&amp;") B ")</f>
        <v xml:space="preserve">(SELECT instrmnt_id as instrmnt_id_to_be, cntrct_id as cntrct_id_to_be FROM bu_loantape_work.lt002_instrument WHERE ref_date='2024-09-30' AND nome_perimetro='Individual Corporativo' AND segmento='ESTR' AND ambito='PM' AND entidade='00100' ) B </v>
      </c>
      <c r="J125" s="17" t="str">
        <f>IF(VLOOKUP(B125,Instruções!$F$13:$J$17,5,0)="",
"ON "&amp;VLOOKUP(B125,Instruções!$F$13:$J$17,4,0)&amp;"_"&amp;$F$2&amp;" = "&amp;VLOOKUP(B125,Instruções!$F$13:$J$17,4,0)&amp;"_"&amp;$G$2&amp;" ",
"ON "&amp;VLOOKUP(B125,Instruções!$F$13:$J$17,4,0)&amp;"_"&amp;$F$2&amp;" = "&amp;VLOOKUP(B125,Instruções!$F$13:$J$17,4,0)&amp;"_"&amp;$G$2&amp;" AND "&amp;VLOOKUP(B125,Instruções!$F$13:$J$17,5,0)&amp;"_"&amp;$F$2&amp;" = "&amp;VLOOKUP(B125,Instruções!$F$13:$J$17,5,0)&amp;"_"&amp;$G$2&amp;" ")</f>
        <v xml:space="preserve">ON instrmnt_id_as_is = instrmnt_id_to_be </v>
      </c>
      <c r="K125" s="17" t="str">
        <f t="shared" si="14"/>
        <v xml:space="preserve">WHERE coalesce(cast(cntrct_id_as_is as string), '') &lt;&gt; coalesce(cast(cntrct_id_to_be as string), '') </v>
      </c>
      <c r="L125" s="17" t="str">
        <f t="shared" si="15"/>
        <v xml:space="preserve">SELECT count(*) AS NUM_REG_DIF FROM (SELECT instrmnt_id as instrmnt_id_as_is, cntrct_id as cntrct_id_as_is FROM cd_loan_tapes_bce.lt002_instrument WHERE ref_date='2024-09-30' AND nome_perimetro='Individual Corporativo' AND segmento='ESTR' AND ambito='PM' AND entidade='00100' ) A  Inner join (SELECT instrmnt_id as instrmnt_id_to_be, cntrct_id as cntrct_id_to_be FROM bu_loantape_work.lt002_instrument WHERE ref_date='2024-09-30' AND nome_perimetro='Individual Corporativo' AND segmento='ESTR' AND ambito='PM' AND entidade='00100' ) B ON instrmnt_id_as_is = instrmnt_id_to_be WHERE coalesce(cast(cntrct_id_as_is as string), '') &lt;&gt; coalesce(cast(cntrct_id_to_be as string), '') </v>
      </c>
      <c r="M125" s="17" t="s">
        <v>55</v>
      </c>
      <c r="N125" s="17" t="str">
        <f>"SELECT 'Validação de campos' as tipologia_teste, '"&amp;VLOOKUP(B125,Instruções!$F$13:$J$17,3,0)&amp;"' AS TABELA, '"&amp;E125&amp;"' AS CAMPO, '"&amp;Instruções!$D$15&amp;"' as ref_date, coalesce(NUM_REG_DIF, 0) AS NUM_REG_DIF FROM ("&amp;L125&amp;") A "</f>
        <v xml:space="preserve">SELECT 'Validação de campos' as tipologia_teste, 'lt002_instrument' AS TABELA, 'cntrct_id' AS CAMPO, '2024-09-30' as ref_date, coalesce(NUM_REG_DIF, 0) AS NUM_REG_DIF FROM (SELECT count(*) AS NUM_REG_DIF FROM (SELECT instrmnt_id as instrmnt_id_as_is, cntrct_id as cntrct_id_as_is FROM cd_loan_tapes_bce.lt002_instrument WHERE ref_date='2024-09-30' AND nome_perimetro='Individual Corporativo' AND segmento='ESTR' AND ambito='PM' AND entidade='00100' ) A  Inner join (SELECT instrmnt_id as instrmnt_id_to_be, cntrct_id as cntrct_id_to_be FROM bu_loantape_work.lt002_instrument WHERE ref_date='2024-09-30' AND nome_perimetro='Individual Corporativo' AND segmento='ESTR' AND ambito='PM' AND entidade='00100' ) B ON instrmnt_id_as_is = instrmnt_id_to_be WHERE coalesce(cast(cntrct_id_as_is as string), '') &lt;&gt; coalesce(cast(cntrct_id_to_be as string), '') ) A </v>
      </c>
      <c r="O125" s="19" t="str">
        <f t="shared" si="16"/>
        <v>SELECT 'Validação de campos' as tipologia_teste, 'lt002_instrument' AS TABELA, 'cntrct_id' AS CAMPO, '2024-09-30' as ref_date, coalesce(NUM_REG_DIF, 0) AS NUM_REG_DIF FROM (SELECT count(*) AS NUM_REG_DIF FROM (SELECT instrmnt_id as instrmnt_id_as_is, cntrct_id as cntrct_id_as_is FROM cd_loan_tapes_bce.lt002_instrument WHERE ref_date='2024-09-30' AND nome_perimetro='Individual Corporativo' AND segmento='ESTR' AND ambito='PM' AND entidade='00100' ) A  Inner join (SELECT instrmnt_id as instrmnt_id_to_be, cntrct_id as cntrct_id_to_be FROM bu_loantape_work.lt002_instrument WHERE ref_date='2024-09-30' AND nome_perimetro='Individual Corporativo' AND segmento='ESTR' AND ambito='PM' AND entidade='00100' ) B ON instrmnt_id_as_is = instrmnt_id_to_be WHERE coalesce(cast(cntrct_id_as_is as string), '') &lt;&gt; coalesce(cast(cntrct_id_to_be as string), '') ) A UNION ALL</v>
      </c>
      <c r="P125" s="17">
        <f t="shared" si="11"/>
        <v>21</v>
      </c>
    </row>
    <row r="126" spans="2:16" s="15" customFormat="1" ht="11.45">
      <c r="B126" s="17" t="s">
        <v>26</v>
      </c>
      <c r="C126" s="17" t="str">
        <f>_xlfn.CONCAT(Instruções!$D$13,".",VLOOKUP(B126,Instruções!$F$12:$H$17,2,0))</f>
        <v>cd_loan_tapes_bce.lt002_instrument</v>
      </c>
      <c r="D126" s="17" t="str">
        <f>_xlfn.CONCAT(Instruções!$D$14,".",VLOOKUP(B126,Instruções!$F$12:$H$17,3,0))</f>
        <v>bu_loantape_work.lt002_instrument</v>
      </c>
      <c r="E126" s="17" t="s">
        <v>181</v>
      </c>
      <c r="F126" s="17" t="str">
        <f t="shared" si="12"/>
        <v>cntrct_id_bdr_as_is</v>
      </c>
      <c r="G126" s="17" t="str">
        <f t="shared" si="13"/>
        <v>cntrct_id_bdr_to_be</v>
      </c>
      <c r="H126" s="17" t="str">
        <f>IF(VLOOKUP(B126,Instruções!$F$13:$J$17,5,0)="",
"(SELECT "&amp;VLOOKUP(B126,Instruções!$F$13:$J$17,4,0)&amp;" as "&amp;VLOOKUP(B126,Instruções!$F$13:$J$17,4,0)&amp;"_"&amp;$F$2&amp;", "&amp;E126&amp;" as "&amp;F126&amp;" FROM "&amp;C126&amp;" WHERE "&amp;Instruções!$D$20&amp;") A ",
"(SELECT "&amp;VLOOKUP(B126,Instruções!$F$13:$J$17,4,0)&amp;" as "&amp;VLOOKUP(B126,Instruções!$F$13:$J$17,4,0)&amp;"_"&amp;$F$2&amp;", "&amp;VLOOKUP(B126,Instruções!$F$13:$J$17,5,0)&amp;" as "&amp;VLOOKUP(B126,Instruções!$F$13:$J$17,5,0)&amp;"_"&amp;$F$2&amp;","&amp;E126&amp;" as "&amp;F126&amp;" FROM "&amp;C126&amp;" WHERE "&amp;Instruções!$D$20&amp;") A ")</f>
        <v xml:space="preserve">(SELECT instrmnt_id as instrmnt_id_as_is, cntrct_id_bdr as cntrct_id_bdr_as_is FROM cd_loan_tapes_bce.lt002_instrument WHERE ref_date='2024-09-30' AND nome_perimetro='Individual Corporativo' AND segmento='ESTR' AND ambito='PM' AND entidade='00100' ) A </v>
      </c>
      <c r="I126" s="17" t="str">
        <f>IF(VLOOKUP(B126,Instruções!$F$13:$J$17,5,0)="",
"(SELECT "&amp;VLOOKUP(B126,Instruções!$F$13:$J$17,4,0)&amp;" as "&amp;VLOOKUP(B126,Instruções!$F$13:$J$17,4,0)&amp;"_"&amp;$G$2&amp;", "&amp;E126&amp;" as "&amp;G126&amp;" FROM "&amp;D126&amp;" WHERE "&amp;Instruções!$D$21&amp;") B ",
"(SELECT "&amp;VLOOKUP(B126,Instruções!$F$13:$J$17,4,0)&amp;" as "&amp;VLOOKUP(B126,Instruções!$F$13:$J$17,4,0)&amp;"_"&amp;$G$2&amp;", "&amp;VLOOKUP(B126,Instruções!$F$13:$J$17,5,0)&amp;" as "&amp;VLOOKUP(B126,Instruções!$F$13:$J$17,5,0)&amp;"_"&amp;$G$2&amp;","&amp;E126&amp;" as "&amp;G126&amp;" FROM "&amp;D126&amp;" WHERE "&amp;Instruções!$D$21&amp;") B ")</f>
        <v xml:space="preserve">(SELECT instrmnt_id as instrmnt_id_to_be, cntrct_id_bdr as cntrct_id_bdr_to_be FROM bu_loantape_work.lt002_instrument WHERE ref_date='2024-09-30' AND nome_perimetro='Individual Corporativo' AND segmento='ESTR' AND ambito='PM' AND entidade='00100' ) B </v>
      </c>
      <c r="J126" s="17" t="str">
        <f>IF(VLOOKUP(B126,Instruções!$F$13:$J$17,5,0)="",
"ON "&amp;VLOOKUP(B126,Instruções!$F$13:$J$17,4,0)&amp;"_"&amp;$F$2&amp;" = "&amp;VLOOKUP(B126,Instruções!$F$13:$J$17,4,0)&amp;"_"&amp;$G$2&amp;" ",
"ON "&amp;VLOOKUP(B126,Instruções!$F$13:$J$17,4,0)&amp;"_"&amp;$F$2&amp;" = "&amp;VLOOKUP(B126,Instruções!$F$13:$J$17,4,0)&amp;"_"&amp;$G$2&amp;" AND "&amp;VLOOKUP(B126,Instruções!$F$13:$J$17,5,0)&amp;"_"&amp;$F$2&amp;" = "&amp;VLOOKUP(B126,Instruções!$F$13:$J$17,5,0)&amp;"_"&amp;$G$2&amp;" ")</f>
        <v xml:space="preserve">ON instrmnt_id_as_is = instrmnt_id_to_be </v>
      </c>
      <c r="K126" s="17" t="str">
        <f t="shared" si="14"/>
        <v xml:space="preserve">WHERE coalesce(cast(cntrct_id_bdr_as_is as string), '') &lt;&gt; coalesce(cast(cntrct_id_bdr_to_be as string), '') </v>
      </c>
      <c r="L126" s="17" t="str">
        <f t="shared" si="15"/>
        <v xml:space="preserve">SELECT count(*) AS NUM_REG_DIF FROM (SELECT instrmnt_id as instrmnt_id_as_is, cntrct_id_bdr as cntrct_id_bdr_as_is FROM cd_loan_tapes_bce.lt002_instrument WHERE ref_date='2024-09-30' AND nome_perimetro='Individual Corporativo' AND segmento='ESTR' AND ambito='PM' AND entidade='00100' ) A  Inner join (SELECT instrmnt_id as instrmnt_id_to_be, cntrct_id_bdr as cntrct_id_bdr_to_be FROM bu_loantape_work.lt002_instrument WHERE ref_date='2024-09-30' AND nome_perimetro='Individual Corporativo' AND segmento='ESTR' AND ambito='PM' AND entidade='00100' ) B ON instrmnt_id_as_is = instrmnt_id_to_be WHERE coalesce(cast(cntrct_id_bdr_as_is as string), '') &lt;&gt; coalesce(cast(cntrct_id_bdr_to_be as string), '') </v>
      </c>
      <c r="M126" s="17" t="s">
        <v>55</v>
      </c>
      <c r="N126" s="17" t="str">
        <f>"SELECT 'Validação de campos' as tipologia_teste, '"&amp;VLOOKUP(B126,Instruções!$F$13:$J$17,3,0)&amp;"' AS TABELA, '"&amp;E126&amp;"' AS CAMPO, '"&amp;Instruções!$D$15&amp;"' as ref_date, coalesce(NUM_REG_DIF, 0) AS NUM_REG_DIF FROM ("&amp;L126&amp;") A "</f>
        <v xml:space="preserve">SELECT 'Validação de campos' as tipologia_teste, 'lt002_instrument' AS TABELA, 'cntrct_id_bdr' AS CAMPO, '2024-09-30' as ref_date, coalesce(NUM_REG_DIF, 0) AS NUM_REG_DIF FROM (SELECT count(*) AS NUM_REG_DIF FROM (SELECT instrmnt_id as instrmnt_id_as_is, cntrct_id_bdr as cntrct_id_bdr_as_is FROM cd_loan_tapes_bce.lt002_instrument WHERE ref_date='2024-09-30' AND nome_perimetro='Individual Corporativo' AND segmento='ESTR' AND ambito='PM' AND entidade='00100' ) A  Inner join (SELECT instrmnt_id as instrmnt_id_to_be, cntrct_id_bdr as cntrct_id_bdr_to_be FROM bu_loantape_work.lt002_instrument WHERE ref_date='2024-09-30' AND nome_perimetro='Individual Corporativo' AND segmento='ESTR' AND ambito='PM' AND entidade='00100' ) B ON instrmnt_id_as_is = instrmnt_id_to_be WHERE coalesce(cast(cntrct_id_bdr_as_is as string), '') &lt;&gt; coalesce(cast(cntrct_id_bdr_to_be as string), '') ) A </v>
      </c>
      <c r="O126" s="19" t="str">
        <f t="shared" si="16"/>
        <v>SELECT 'Validação de campos' as tipologia_teste, 'lt002_instrument' AS TABELA, 'cntrct_id_bdr' AS CAMPO, '2024-09-30' as ref_date, coalesce(NUM_REG_DIF, 0) AS NUM_REG_DIF FROM (SELECT count(*) AS NUM_REG_DIF FROM (SELECT instrmnt_id as instrmnt_id_as_is, cntrct_id_bdr as cntrct_id_bdr_as_is FROM cd_loan_tapes_bce.lt002_instrument WHERE ref_date='2024-09-30' AND nome_perimetro='Individual Corporativo' AND segmento='ESTR' AND ambito='PM' AND entidade='00100' ) A  Inner join (SELECT instrmnt_id as instrmnt_id_to_be, cntrct_id_bdr as cntrct_id_bdr_to_be FROM bu_loantape_work.lt002_instrument WHERE ref_date='2024-09-30' AND nome_perimetro='Individual Corporativo' AND segmento='ESTR' AND ambito='PM' AND entidade='00100' ) B ON instrmnt_id_as_is = instrmnt_id_to_be WHERE coalesce(cast(cntrct_id_bdr_as_is as string), '') &lt;&gt; coalesce(cast(cntrct_id_bdr_to_be as string), '') ) A UNION ALL</v>
      </c>
      <c r="P126" s="17">
        <f t="shared" si="11"/>
        <v>22</v>
      </c>
    </row>
    <row r="127" spans="2:16" s="15" customFormat="1" ht="11.45">
      <c r="B127" s="17" t="s">
        <v>26</v>
      </c>
      <c r="C127" s="17" t="str">
        <f>_xlfn.CONCAT(Instruções!$D$13,".",VLOOKUP(B127,Instruções!$F$12:$H$17,2,0))</f>
        <v>cd_loan_tapes_bce.lt002_instrument</v>
      </c>
      <c r="D127" s="17" t="str">
        <f>_xlfn.CONCAT(Instruções!$D$14,".",VLOOKUP(B127,Instruções!$F$12:$H$17,3,0))</f>
        <v>bu_loantape_work.lt002_instrument</v>
      </c>
      <c r="E127" s="17" t="s">
        <v>64</v>
      </c>
      <c r="F127" s="17" t="str">
        <f t="shared" si="12"/>
        <v>cod_soc_as_is</v>
      </c>
      <c r="G127" s="17" t="str">
        <f t="shared" si="13"/>
        <v>cod_soc_to_be</v>
      </c>
      <c r="H127" s="17" t="str">
        <f>IF(VLOOKUP(B127,Instruções!$F$13:$J$17,5,0)="",
"(SELECT "&amp;VLOOKUP(B127,Instruções!$F$13:$J$17,4,0)&amp;" as "&amp;VLOOKUP(B127,Instruções!$F$13:$J$17,4,0)&amp;"_"&amp;$F$2&amp;", "&amp;E127&amp;" as "&amp;F127&amp;" FROM "&amp;C127&amp;" WHERE "&amp;Instruções!$D$20&amp;") A ",
"(SELECT "&amp;VLOOKUP(B127,Instruções!$F$13:$J$17,4,0)&amp;" as "&amp;VLOOKUP(B127,Instruções!$F$13:$J$17,4,0)&amp;"_"&amp;$F$2&amp;", "&amp;VLOOKUP(B127,Instruções!$F$13:$J$17,5,0)&amp;" as "&amp;VLOOKUP(B127,Instruções!$F$13:$J$17,5,0)&amp;"_"&amp;$F$2&amp;","&amp;E127&amp;" as "&amp;F127&amp;" FROM "&amp;C127&amp;" WHERE "&amp;Instruções!$D$20&amp;") A ")</f>
        <v xml:space="preserve">(SELECT instrmnt_id as instrmnt_id_as_is, cod_soc as cod_soc_as_is FROM cd_loan_tapes_bce.lt002_instrument WHERE ref_date='2024-09-30' AND nome_perimetro='Individual Corporativo' AND segmento='ESTR' AND ambito='PM' AND entidade='00100' ) A </v>
      </c>
      <c r="I127" s="17" t="str">
        <f>IF(VLOOKUP(B127,Instruções!$F$13:$J$17,5,0)="",
"(SELECT "&amp;VLOOKUP(B127,Instruções!$F$13:$J$17,4,0)&amp;" as "&amp;VLOOKUP(B127,Instruções!$F$13:$J$17,4,0)&amp;"_"&amp;$G$2&amp;", "&amp;E127&amp;" as "&amp;G127&amp;" FROM "&amp;D127&amp;" WHERE "&amp;Instruções!$D$21&amp;") B ",
"(SELECT "&amp;VLOOKUP(B127,Instruções!$F$13:$J$17,4,0)&amp;" as "&amp;VLOOKUP(B127,Instruções!$F$13:$J$17,4,0)&amp;"_"&amp;$G$2&amp;", "&amp;VLOOKUP(B127,Instruções!$F$13:$J$17,5,0)&amp;" as "&amp;VLOOKUP(B127,Instruções!$F$13:$J$17,5,0)&amp;"_"&amp;$G$2&amp;","&amp;E127&amp;" as "&amp;G127&amp;" FROM "&amp;D127&amp;" WHERE "&amp;Instruções!$D$21&amp;") B ")</f>
        <v xml:space="preserve">(SELECT instrmnt_id as instrmnt_id_to_be, cod_soc as cod_soc_to_be FROM bu_loantape_work.lt002_instrument WHERE ref_date='2024-09-30' AND nome_perimetro='Individual Corporativo' AND segmento='ESTR' AND ambito='PM' AND entidade='00100' ) B </v>
      </c>
      <c r="J127" s="17" t="str">
        <f>IF(VLOOKUP(B127,Instruções!$F$13:$J$17,5,0)="",
"ON "&amp;VLOOKUP(B127,Instruções!$F$13:$J$17,4,0)&amp;"_"&amp;$F$2&amp;" = "&amp;VLOOKUP(B127,Instruções!$F$13:$J$17,4,0)&amp;"_"&amp;$G$2&amp;" ",
"ON "&amp;VLOOKUP(B127,Instruções!$F$13:$J$17,4,0)&amp;"_"&amp;$F$2&amp;" = "&amp;VLOOKUP(B127,Instruções!$F$13:$J$17,4,0)&amp;"_"&amp;$G$2&amp;" AND "&amp;VLOOKUP(B127,Instruções!$F$13:$J$17,5,0)&amp;"_"&amp;$F$2&amp;" = "&amp;VLOOKUP(B127,Instruções!$F$13:$J$17,5,0)&amp;"_"&amp;$G$2&amp;" ")</f>
        <v xml:space="preserve">ON instrmnt_id_as_is = instrmnt_id_to_be </v>
      </c>
      <c r="K127" s="17" t="str">
        <f t="shared" si="14"/>
        <v xml:space="preserve">WHERE coalesce(cast(cod_soc_as_is as string), '') &lt;&gt; coalesce(cast(cod_soc_to_be as string), '') </v>
      </c>
      <c r="L127" s="17" t="str">
        <f t="shared" si="15"/>
        <v xml:space="preserve">SELECT count(*) AS NUM_REG_DIF FROM (SELECT instrmnt_id as instrmnt_id_as_is, cod_soc as cod_soc_as_is FROM cd_loan_tapes_bce.lt002_instrument WHERE ref_date='2024-09-30' AND nome_perimetro='Individual Corporativo' AND segmento='ESTR' AND ambito='PM' AND entidade='00100' ) A  Inner join (SELECT instrmnt_id as instrmnt_id_to_be, cod_soc as cod_soc_to_be FROM bu_loantape_work.lt002_instrument WHERE ref_date='2024-09-30' AND nome_perimetro='Individual Corporativo' AND segmento='ESTR' AND ambito='PM' AND entidade='00100' ) B ON instrmnt_id_as_is = instrmnt_id_to_be WHERE coalesce(cast(cod_soc_as_is as string), '') &lt;&gt; coalesce(cast(cod_soc_to_be as string), '') </v>
      </c>
      <c r="M127" s="17" t="s">
        <v>55</v>
      </c>
      <c r="N127" s="17" t="str">
        <f>"SELECT 'Validação de campos' as tipologia_teste, '"&amp;VLOOKUP(B127,Instruções!$F$13:$J$17,3,0)&amp;"' AS TABELA, '"&amp;E127&amp;"' AS CAMPO, '"&amp;Instruções!$D$15&amp;"' as ref_date, coalesce(NUM_REG_DIF, 0) AS NUM_REG_DIF FROM ("&amp;L127&amp;") A "</f>
        <v xml:space="preserve">SELECT 'Validação de campos' as tipologia_teste, 'lt002_instrument' AS TABELA, 'cod_soc' AS CAMPO, '2024-09-30' as ref_date, coalesce(NUM_REG_DIF, 0) AS NUM_REG_DIF FROM (SELECT count(*) AS NUM_REG_DIF FROM (SELECT instrmnt_id as instrmnt_id_as_is, cod_soc as cod_soc_as_is FROM cd_loan_tapes_bce.lt002_instrument WHERE ref_date='2024-09-30' AND nome_perimetro='Individual Corporativo' AND segmento='ESTR' AND ambito='PM' AND entidade='00100' ) A  Inner join (SELECT instrmnt_id as instrmnt_id_to_be, cod_soc as cod_soc_to_be FROM bu_loantape_work.lt002_instrument WHERE ref_date='2024-09-30' AND nome_perimetro='Individual Corporativo' AND segmento='ESTR' AND ambito='PM' AND entidade='00100' ) B ON instrmnt_id_as_is = instrmnt_id_to_be WHERE coalesce(cast(cod_soc_as_is as string), '') &lt;&gt; coalesce(cast(cod_soc_to_be as string), '') ) A </v>
      </c>
      <c r="O127" s="19" t="str">
        <f t="shared" si="16"/>
        <v>SELECT 'Validação de campos' as tipologia_teste, 'lt002_instrument' AS TABELA, 'cod_soc' AS CAMPO, '2024-09-30' as ref_date, coalesce(NUM_REG_DIF, 0) AS NUM_REG_DIF FROM (SELECT count(*) AS NUM_REG_DIF FROM (SELECT instrmnt_id as instrmnt_id_as_is, cod_soc as cod_soc_as_is FROM cd_loan_tapes_bce.lt002_instrument WHERE ref_date='2024-09-30' AND nome_perimetro='Individual Corporativo' AND segmento='ESTR' AND ambito='PM' AND entidade='00100' ) A  Inner join (SELECT instrmnt_id as instrmnt_id_to_be, cod_soc as cod_soc_to_be FROM bu_loantape_work.lt002_instrument WHERE ref_date='2024-09-30' AND nome_perimetro='Individual Corporativo' AND segmento='ESTR' AND ambito='PM' AND entidade='00100' ) B ON instrmnt_id_as_is = instrmnt_id_to_be WHERE coalesce(cast(cod_soc_as_is as string), '') &lt;&gt; coalesce(cast(cod_soc_to_be as string), '') ) A UNION ALL</v>
      </c>
      <c r="P127" s="17">
        <f t="shared" si="11"/>
        <v>23</v>
      </c>
    </row>
    <row r="128" spans="2:16" s="15" customFormat="1" ht="11.45">
      <c r="B128" s="17" t="s">
        <v>26</v>
      </c>
      <c r="C128" s="17" t="str">
        <f>_xlfn.CONCAT(Instruções!$D$13,".",VLOOKUP(B128,Instruções!$F$12:$H$17,2,0))</f>
        <v>cd_loan_tapes_bce.lt002_instrument</v>
      </c>
      <c r="D128" s="17" t="str">
        <f>_xlfn.CONCAT(Instruções!$D$14,".",VLOOKUP(B128,Instruções!$F$12:$H$17,3,0))</f>
        <v>bu_loantape_work.lt002_instrument</v>
      </c>
      <c r="E128" s="17" t="s">
        <v>182</v>
      </c>
      <c r="F128" s="17" t="str">
        <f t="shared" si="12"/>
        <v>cod_soc_intrgrp_as_is</v>
      </c>
      <c r="G128" s="17" t="str">
        <f t="shared" si="13"/>
        <v>cod_soc_intrgrp_to_be</v>
      </c>
      <c r="H128" s="17" t="str">
        <f>IF(VLOOKUP(B128,Instruções!$F$13:$J$17,5,0)="",
"(SELECT "&amp;VLOOKUP(B128,Instruções!$F$13:$J$17,4,0)&amp;" as "&amp;VLOOKUP(B128,Instruções!$F$13:$J$17,4,0)&amp;"_"&amp;$F$2&amp;", "&amp;E128&amp;" as "&amp;F128&amp;" FROM "&amp;C128&amp;" WHERE "&amp;Instruções!$D$20&amp;") A ",
"(SELECT "&amp;VLOOKUP(B128,Instruções!$F$13:$J$17,4,0)&amp;" as "&amp;VLOOKUP(B128,Instruções!$F$13:$J$17,4,0)&amp;"_"&amp;$F$2&amp;", "&amp;VLOOKUP(B128,Instruções!$F$13:$J$17,5,0)&amp;" as "&amp;VLOOKUP(B128,Instruções!$F$13:$J$17,5,0)&amp;"_"&amp;$F$2&amp;","&amp;E128&amp;" as "&amp;F128&amp;" FROM "&amp;C128&amp;" WHERE "&amp;Instruções!$D$20&amp;") A ")</f>
        <v xml:space="preserve">(SELECT instrmnt_id as instrmnt_id_as_is, cod_soc_intrgrp as cod_soc_intrgrp_as_is FROM cd_loan_tapes_bce.lt002_instrument WHERE ref_date='2024-09-30' AND nome_perimetro='Individual Corporativo' AND segmento='ESTR' AND ambito='PM' AND entidade='00100' ) A </v>
      </c>
      <c r="I128" s="17" t="str">
        <f>IF(VLOOKUP(B128,Instruções!$F$13:$J$17,5,0)="",
"(SELECT "&amp;VLOOKUP(B128,Instruções!$F$13:$J$17,4,0)&amp;" as "&amp;VLOOKUP(B128,Instruções!$F$13:$J$17,4,0)&amp;"_"&amp;$G$2&amp;", "&amp;E128&amp;" as "&amp;G128&amp;" FROM "&amp;D128&amp;" WHERE "&amp;Instruções!$D$21&amp;") B ",
"(SELECT "&amp;VLOOKUP(B128,Instruções!$F$13:$J$17,4,0)&amp;" as "&amp;VLOOKUP(B128,Instruções!$F$13:$J$17,4,0)&amp;"_"&amp;$G$2&amp;", "&amp;VLOOKUP(B128,Instruções!$F$13:$J$17,5,0)&amp;" as "&amp;VLOOKUP(B128,Instruções!$F$13:$J$17,5,0)&amp;"_"&amp;$G$2&amp;","&amp;E128&amp;" as "&amp;G128&amp;" FROM "&amp;D128&amp;" WHERE "&amp;Instruções!$D$21&amp;") B ")</f>
        <v xml:space="preserve">(SELECT instrmnt_id as instrmnt_id_to_be, cod_soc_intrgrp as cod_soc_intrgrp_to_be FROM bu_loantape_work.lt002_instrument WHERE ref_date='2024-09-30' AND nome_perimetro='Individual Corporativo' AND segmento='ESTR' AND ambito='PM' AND entidade='00100' ) B </v>
      </c>
      <c r="J128" s="17" t="str">
        <f>IF(VLOOKUP(B128,Instruções!$F$13:$J$17,5,0)="",
"ON "&amp;VLOOKUP(B128,Instruções!$F$13:$J$17,4,0)&amp;"_"&amp;$F$2&amp;" = "&amp;VLOOKUP(B128,Instruções!$F$13:$J$17,4,0)&amp;"_"&amp;$G$2&amp;" ",
"ON "&amp;VLOOKUP(B128,Instruções!$F$13:$J$17,4,0)&amp;"_"&amp;$F$2&amp;" = "&amp;VLOOKUP(B128,Instruções!$F$13:$J$17,4,0)&amp;"_"&amp;$G$2&amp;" AND "&amp;VLOOKUP(B128,Instruções!$F$13:$J$17,5,0)&amp;"_"&amp;$F$2&amp;" = "&amp;VLOOKUP(B128,Instruções!$F$13:$J$17,5,0)&amp;"_"&amp;$G$2&amp;" ")</f>
        <v xml:space="preserve">ON instrmnt_id_as_is = instrmnt_id_to_be </v>
      </c>
      <c r="K128" s="17" t="str">
        <f t="shared" si="14"/>
        <v xml:space="preserve">WHERE coalesce(cast(cod_soc_intrgrp_as_is as string), '') &lt;&gt; coalesce(cast(cod_soc_intrgrp_to_be as string), '') </v>
      </c>
      <c r="L128" s="17" t="str">
        <f t="shared" si="15"/>
        <v xml:space="preserve">SELECT count(*) AS NUM_REG_DIF FROM (SELECT instrmnt_id as instrmnt_id_as_is, cod_soc_intrgrp as cod_soc_intrgrp_as_is FROM cd_loan_tapes_bce.lt002_instrument WHERE ref_date='2024-09-30' AND nome_perimetro='Individual Corporativo' AND segmento='ESTR' AND ambito='PM' AND entidade='00100' ) A  Inner join (SELECT instrmnt_id as instrmnt_id_to_be, cod_soc_intrgrp as cod_soc_intrgrp_to_be FROM bu_loantape_work.lt002_instrument WHERE ref_date='2024-09-30' AND nome_perimetro='Individual Corporativo' AND segmento='ESTR' AND ambito='PM' AND entidade='00100' ) B ON instrmnt_id_as_is = instrmnt_id_to_be WHERE coalesce(cast(cod_soc_intrgrp_as_is as string), '') &lt;&gt; coalesce(cast(cod_soc_intrgrp_to_be as string), '') </v>
      </c>
      <c r="M128" s="17" t="s">
        <v>55</v>
      </c>
      <c r="N128" s="17" t="str">
        <f>"SELECT 'Validação de campos' as tipologia_teste, '"&amp;VLOOKUP(B128,Instruções!$F$13:$J$17,3,0)&amp;"' AS TABELA, '"&amp;E128&amp;"' AS CAMPO, '"&amp;Instruções!$D$15&amp;"' as ref_date, coalesce(NUM_REG_DIF, 0) AS NUM_REG_DIF FROM ("&amp;L128&amp;") A "</f>
        <v xml:space="preserve">SELECT 'Validação de campos' as tipologia_teste, 'lt002_instrument' AS TABELA, 'cod_soc_intrgrp' AS CAMPO, '2024-09-30' as ref_date, coalesce(NUM_REG_DIF, 0) AS NUM_REG_DIF FROM (SELECT count(*) AS NUM_REG_DIF FROM (SELECT instrmnt_id as instrmnt_id_as_is, cod_soc_intrgrp as cod_soc_intrgrp_as_is FROM cd_loan_tapes_bce.lt002_instrument WHERE ref_date='2024-09-30' AND nome_perimetro='Individual Corporativo' AND segmento='ESTR' AND ambito='PM' AND entidade='00100' ) A  Inner join (SELECT instrmnt_id as instrmnt_id_to_be, cod_soc_intrgrp as cod_soc_intrgrp_to_be FROM bu_loantape_work.lt002_instrument WHERE ref_date='2024-09-30' AND nome_perimetro='Individual Corporativo' AND segmento='ESTR' AND ambito='PM' AND entidade='00100' ) B ON instrmnt_id_as_is = instrmnt_id_to_be WHERE coalesce(cast(cod_soc_intrgrp_as_is as string), '') &lt;&gt; coalesce(cast(cod_soc_intrgrp_to_be as string), '') ) A </v>
      </c>
      <c r="O128" s="19" t="str">
        <f t="shared" si="16"/>
        <v>SELECT 'Validação de campos' as tipologia_teste, 'lt002_instrument' AS TABELA, 'cod_soc_intrgrp' AS CAMPO, '2024-09-30' as ref_date, coalesce(NUM_REG_DIF, 0) AS NUM_REG_DIF FROM (SELECT count(*) AS NUM_REG_DIF FROM (SELECT instrmnt_id as instrmnt_id_as_is, cod_soc_intrgrp as cod_soc_intrgrp_as_is FROM cd_loan_tapes_bce.lt002_instrument WHERE ref_date='2024-09-30' AND nome_perimetro='Individual Corporativo' AND segmento='ESTR' AND ambito='PM' AND entidade='00100' ) A  Inner join (SELECT instrmnt_id as instrmnt_id_to_be, cod_soc_intrgrp as cod_soc_intrgrp_to_be FROM bu_loantape_work.lt002_instrument WHERE ref_date='2024-09-30' AND nome_perimetro='Individual Corporativo' AND segmento='ESTR' AND ambito='PM' AND entidade='00100' ) B ON instrmnt_id_as_is = instrmnt_id_to_be WHERE coalesce(cast(cod_soc_intrgrp_as_is as string), '') &lt;&gt; coalesce(cast(cod_soc_intrgrp_to_be as string), '') ) A UNION ALL</v>
      </c>
      <c r="P128" s="17">
        <f t="shared" si="11"/>
        <v>24</v>
      </c>
    </row>
    <row r="129" spans="2:16" s="15" customFormat="1" ht="11.45">
      <c r="B129" s="17" t="s">
        <v>26</v>
      </c>
      <c r="C129" s="17" t="str">
        <f>_xlfn.CONCAT(Instruções!$D$13,".",VLOOKUP(B129,Instruções!$F$12:$H$17,2,0))</f>
        <v>cd_loan_tapes_bce.lt002_instrument</v>
      </c>
      <c r="D129" s="17" t="str">
        <f>_xlfn.CONCAT(Instruções!$D$14,".",VLOOKUP(B129,Instruções!$F$12:$H$17,3,0))</f>
        <v>bu_loantape_work.lt002_instrument</v>
      </c>
      <c r="E129" s="17" t="s">
        <v>183</v>
      </c>
      <c r="F129" s="17" t="str">
        <f t="shared" si="12"/>
        <v>cpn_crrncy_as_is</v>
      </c>
      <c r="G129" s="17" t="str">
        <f t="shared" si="13"/>
        <v>cpn_crrncy_to_be</v>
      </c>
      <c r="H129" s="17" t="str">
        <f>IF(VLOOKUP(B129,Instruções!$F$13:$J$17,5,0)="",
"(SELECT "&amp;VLOOKUP(B129,Instruções!$F$13:$J$17,4,0)&amp;" as "&amp;VLOOKUP(B129,Instruções!$F$13:$J$17,4,0)&amp;"_"&amp;$F$2&amp;", "&amp;E129&amp;" as "&amp;F129&amp;" FROM "&amp;C129&amp;" WHERE "&amp;Instruções!$D$20&amp;") A ",
"(SELECT "&amp;VLOOKUP(B129,Instruções!$F$13:$J$17,4,0)&amp;" as "&amp;VLOOKUP(B129,Instruções!$F$13:$J$17,4,0)&amp;"_"&amp;$F$2&amp;", "&amp;VLOOKUP(B129,Instruções!$F$13:$J$17,5,0)&amp;" as "&amp;VLOOKUP(B129,Instruções!$F$13:$J$17,5,0)&amp;"_"&amp;$F$2&amp;","&amp;E129&amp;" as "&amp;F129&amp;" FROM "&amp;C129&amp;" WHERE "&amp;Instruções!$D$20&amp;") A ")</f>
        <v xml:space="preserve">(SELECT instrmnt_id as instrmnt_id_as_is, cpn_crrncy as cpn_crrncy_as_is FROM cd_loan_tapes_bce.lt002_instrument WHERE ref_date='2024-09-30' AND nome_perimetro='Individual Corporativo' AND segmento='ESTR' AND ambito='PM' AND entidade='00100' ) A </v>
      </c>
      <c r="I129" s="17" t="str">
        <f>IF(VLOOKUP(B129,Instruções!$F$13:$J$17,5,0)="",
"(SELECT "&amp;VLOOKUP(B129,Instruções!$F$13:$J$17,4,0)&amp;" as "&amp;VLOOKUP(B129,Instruções!$F$13:$J$17,4,0)&amp;"_"&amp;$G$2&amp;", "&amp;E129&amp;" as "&amp;G129&amp;" FROM "&amp;D129&amp;" WHERE "&amp;Instruções!$D$21&amp;") B ",
"(SELECT "&amp;VLOOKUP(B129,Instruções!$F$13:$J$17,4,0)&amp;" as "&amp;VLOOKUP(B129,Instruções!$F$13:$J$17,4,0)&amp;"_"&amp;$G$2&amp;", "&amp;VLOOKUP(B129,Instruções!$F$13:$J$17,5,0)&amp;" as "&amp;VLOOKUP(B129,Instruções!$F$13:$J$17,5,0)&amp;"_"&amp;$G$2&amp;","&amp;E129&amp;" as "&amp;G129&amp;" FROM "&amp;D129&amp;" WHERE "&amp;Instruções!$D$21&amp;") B ")</f>
        <v xml:space="preserve">(SELECT instrmnt_id as instrmnt_id_to_be, cpn_crrncy as cpn_crrncy_to_be FROM bu_loantape_work.lt002_instrument WHERE ref_date='2024-09-30' AND nome_perimetro='Individual Corporativo' AND segmento='ESTR' AND ambito='PM' AND entidade='00100' ) B </v>
      </c>
      <c r="J129" s="17" t="str">
        <f>IF(VLOOKUP(B129,Instruções!$F$13:$J$17,5,0)="",
"ON "&amp;VLOOKUP(B129,Instruções!$F$13:$J$17,4,0)&amp;"_"&amp;$F$2&amp;" = "&amp;VLOOKUP(B129,Instruções!$F$13:$J$17,4,0)&amp;"_"&amp;$G$2&amp;" ",
"ON "&amp;VLOOKUP(B129,Instruções!$F$13:$J$17,4,0)&amp;"_"&amp;$F$2&amp;" = "&amp;VLOOKUP(B129,Instruções!$F$13:$J$17,4,0)&amp;"_"&amp;$G$2&amp;" AND "&amp;VLOOKUP(B129,Instruções!$F$13:$J$17,5,0)&amp;"_"&amp;$F$2&amp;" = "&amp;VLOOKUP(B129,Instruções!$F$13:$J$17,5,0)&amp;"_"&amp;$G$2&amp;" ")</f>
        <v xml:space="preserve">ON instrmnt_id_as_is = instrmnt_id_to_be </v>
      </c>
      <c r="K129" s="17" t="str">
        <f t="shared" si="14"/>
        <v xml:space="preserve">WHERE coalesce(cast(cpn_crrncy_as_is as string), '') &lt;&gt; coalesce(cast(cpn_crrncy_to_be as string), '') </v>
      </c>
      <c r="L129" s="17" t="str">
        <f t="shared" si="15"/>
        <v xml:space="preserve">SELECT count(*) AS NUM_REG_DIF FROM (SELECT instrmnt_id as instrmnt_id_as_is, cpn_crrncy as cpn_crrncy_as_is FROM cd_loan_tapes_bce.lt002_instrument WHERE ref_date='2024-09-30' AND nome_perimetro='Individual Corporativo' AND segmento='ESTR' AND ambito='PM' AND entidade='00100' ) A  Inner join (SELECT instrmnt_id as instrmnt_id_to_be, cpn_crrncy as cpn_crrncy_to_be FROM bu_loantape_work.lt002_instrument WHERE ref_date='2024-09-30' AND nome_perimetro='Individual Corporativo' AND segmento='ESTR' AND ambito='PM' AND entidade='00100' ) B ON instrmnt_id_as_is = instrmnt_id_to_be WHERE coalesce(cast(cpn_crrncy_as_is as string), '') &lt;&gt; coalesce(cast(cpn_crrncy_to_be as string), '') </v>
      </c>
      <c r="M129" s="17" t="s">
        <v>55</v>
      </c>
      <c r="N129" s="17" t="str">
        <f>"SELECT 'Validação de campos' as tipologia_teste, '"&amp;VLOOKUP(B129,Instruções!$F$13:$J$17,3,0)&amp;"' AS TABELA, '"&amp;E129&amp;"' AS CAMPO, '"&amp;Instruções!$D$15&amp;"' as ref_date, coalesce(NUM_REG_DIF, 0) AS NUM_REG_DIF FROM ("&amp;L129&amp;") A "</f>
        <v xml:space="preserve">SELECT 'Validação de campos' as tipologia_teste, 'lt002_instrument' AS TABELA, 'cpn_crrncy' AS CAMPO, '2024-09-30' as ref_date, coalesce(NUM_REG_DIF, 0) AS NUM_REG_DIF FROM (SELECT count(*) AS NUM_REG_DIF FROM (SELECT instrmnt_id as instrmnt_id_as_is, cpn_crrncy as cpn_crrncy_as_is FROM cd_loan_tapes_bce.lt002_instrument WHERE ref_date='2024-09-30' AND nome_perimetro='Individual Corporativo' AND segmento='ESTR' AND ambito='PM' AND entidade='00100' ) A  Inner join (SELECT instrmnt_id as instrmnt_id_to_be, cpn_crrncy as cpn_crrncy_to_be FROM bu_loantape_work.lt002_instrument WHERE ref_date='2024-09-30' AND nome_perimetro='Individual Corporativo' AND segmento='ESTR' AND ambito='PM' AND entidade='00100' ) B ON instrmnt_id_as_is = instrmnt_id_to_be WHERE coalesce(cast(cpn_crrncy_as_is as string), '') &lt;&gt; coalesce(cast(cpn_crrncy_to_be as string), '') ) A </v>
      </c>
      <c r="O129" s="19" t="str">
        <f t="shared" si="16"/>
        <v>SELECT 'Validação de campos' as tipologia_teste, 'lt002_instrument' AS TABELA, 'cpn_crrncy' AS CAMPO, '2024-09-30' as ref_date, coalesce(NUM_REG_DIF, 0) AS NUM_REG_DIF FROM (SELECT count(*) AS NUM_REG_DIF FROM (SELECT instrmnt_id as instrmnt_id_as_is, cpn_crrncy as cpn_crrncy_as_is FROM cd_loan_tapes_bce.lt002_instrument WHERE ref_date='2024-09-30' AND nome_perimetro='Individual Corporativo' AND segmento='ESTR' AND ambito='PM' AND entidade='00100' ) A  Inner join (SELECT instrmnt_id as instrmnt_id_to_be, cpn_crrncy as cpn_crrncy_to_be FROM bu_loantape_work.lt002_instrument WHERE ref_date='2024-09-30' AND nome_perimetro='Individual Corporativo' AND segmento='ESTR' AND ambito='PM' AND entidade='00100' ) B ON instrmnt_id_as_is = instrmnt_id_to_be WHERE coalesce(cast(cpn_crrncy_as_is as string), '') &lt;&gt; coalesce(cast(cpn_crrncy_to_be as string), '') ) A UNION ALL</v>
      </c>
      <c r="P129" s="17">
        <f t="shared" si="11"/>
        <v>25</v>
      </c>
    </row>
    <row r="130" spans="2:16" s="15" customFormat="1" ht="11.45">
      <c r="B130" s="17" t="s">
        <v>26</v>
      </c>
      <c r="C130" s="17" t="str">
        <f>_xlfn.CONCAT(Instruções!$D$13,".",VLOOKUP(B130,Instruções!$F$12:$H$17,2,0))</f>
        <v>cd_loan_tapes_bce.lt002_instrument</v>
      </c>
      <c r="D130" s="17" t="str">
        <f>_xlfn.CONCAT(Instruções!$D$14,".",VLOOKUP(B130,Instruções!$F$12:$H$17,3,0))</f>
        <v>bu_loantape_work.lt002_instrument</v>
      </c>
      <c r="E130" s="17" t="s">
        <v>184</v>
      </c>
      <c r="F130" s="17" t="str">
        <f t="shared" si="12"/>
        <v>cpn_rt_as_is</v>
      </c>
      <c r="G130" s="17" t="str">
        <f t="shared" si="13"/>
        <v>cpn_rt_to_be</v>
      </c>
      <c r="H130" s="17" t="str">
        <f>IF(VLOOKUP(B130,Instruções!$F$13:$J$17,5,0)="",
"(SELECT "&amp;VLOOKUP(B130,Instruções!$F$13:$J$17,4,0)&amp;" as "&amp;VLOOKUP(B130,Instruções!$F$13:$J$17,4,0)&amp;"_"&amp;$F$2&amp;", "&amp;E130&amp;" as "&amp;F130&amp;" FROM "&amp;C130&amp;" WHERE "&amp;Instruções!$D$20&amp;") A ",
"(SELECT "&amp;VLOOKUP(B130,Instruções!$F$13:$J$17,4,0)&amp;" as "&amp;VLOOKUP(B130,Instruções!$F$13:$J$17,4,0)&amp;"_"&amp;$F$2&amp;", "&amp;VLOOKUP(B130,Instruções!$F$13:$J$17,5,0)&amp;" as "&amp;VLOOKUP(B130,Instruções!$F$13:$J$17,5,0)&amp;"_"&amp;$F$2&amp;","&amp;E130&amp;" as "&amp;F130&amp;" FROM "&amp;C130&amp;" WHERE "&amp;Instruções!$D$20&amp;") A ")</f>
        <v xml:space="preserve">(SELECT instrmnt_id as instrmnt_id_as_is, cpn_rt as cpn_rt_as_is FROM cd_loan_tapes_bce.lt002_instrument WHERE ref_date='2024-09-30' AND nome_perimetro='Individual Corporativo' AND segmento='ESTR' AND ambito='PM' AND entidade='00100' ) A </v>
      </c>
      <c r="I130" s="17" t="str">
        <f>IF(VLOOKUP(B130,Instruções!$F$13:$J$17,5,0)="",
"(SELECT "&amp;VLOOKUP(B130,Instruções!$F$13:$J$17,4,0)&amp;" as "&amp;VLOOKUP(B130,Instruções!$F$13:$J$17,4,0)&amp;"_"&amp;$G$2&amp;", "&amp;E130&amp;" as "&amp;G130&amp;" FROM "&amp;D130&amp;" WHERE "&amp;Instruções!$D$21&amp;") B ",
"(SELECT "&amp;VLOOKUP(B130,Instruções!$F$13:$J$17,4,0)&amp;" as "&amp;VLOOKUP(B130,Instruções!$F$13:$J$17,4,0)&amp;"_"&amp;$G$2&amp;", "&amp;VLOOKUP(B130,Instruções!$F$13:$J$17,5,0)&amp;" as "&amp;VLOOKUP(B130,Instruções!$F$13:$J$17,5,0)&amp;"_"&amp;$G$2&amp;","&amp;E130&amp;" as "&amp;G130&amp;" FROM "&amp;D130&amp;" WHERE "&amp;Instruções!$D$21&amp;") B ")</f>
        <v xml:space="preserve">(SELECT instrmnt_id as instrmnt_id_to_be, cpn_rt as cpn_rt_to_be FROM bu_loantape_work.lt002_instrument WHERE ref_date='2024-09-30' AND nome_perimetro='Individual Corporativo' AND segmento='ESTR' AND ambito='PM' AND entidade='00100' ) B </v>
      </c>
      <c r="J130" s="17" t="str">
        <f>IF(VLOOKUP(B130,Instruções!$F$13:$J$17,5,0)="",
"ON "&amp;VLOOKUP(B130,Instruções!$F$13:$J$17,4,0)&amp;"_"&amp;$F$2&amp;" = "&amp;VLOOKUP(B130,Instruções!$F$13:$J$17,4,0)&amp;"_"&amp;$G$2&amp;" ",
"ON "&amp;VLOOKUP(B130,Instruções!$F$13:$J$17,4,0)&amp;"_"&amp;$F$2&amp;" = "&amp;VLOOKUP(B130,Instruções!$F$13:$J$17,4,0)&amp;"_"&amp;$G$2&amp;" AND "&amp;VLOOKUP(B130,Instruções!$F$13:$J$17,5,0)&amp;"_"&amp;$F$2&amp;" = "&amp;VLOOKUP(B130,Instruções!$F$13:$J$17,5,0)&amp;"_"&amp;$G$2&amp;" ")</f>
        <v xml:space="preserve">ON instrmnt_id_as_is = instrmnt_id_to_be </v>
      </c>
      <c r="K130" s="17" t="str">
        <f t="shared" si="14"/>
        <v xml:space="preserve">WHERE coalesce(cast(cpn_rt_as_is as string), '') &lt;&gt; coalesce(cast(cpn_rt_to_be as string), '') </v>
      </c>
      <c r="L130" s="17" t="str">
        <f t="shared" si="15"/>
        <v xml:space="preserve">SELECT count(*) AS NUM_REG_DIF FROM (SELECT instrmnt_id as instrmnt_id_as_is, cpn_rt as cpn_rt_as_is FROM cd_loan_tapes_bce.lt002_instrument WHERE ref_date='2024-09-30' AND nome_perimetro='Individual Corporativo' AND segmento='ESTR' AND ambito='PM' AND entidade='00100' ) A  Inner join (SELECT instrmnt_id as instrmnt_id_to_be, cpn_rt as cpn_rt_to_be FROM bu_loantape_work.lt002_instrument WHERE ref_date='2024-09-30' AND nome_perimetro='Individual Corporativo' AND segmento='ESTR' AND ambito='PM' AND entidade='00100' ) B ON instrmnt_id_as_is = instrmnt_id_to_be WHERE coalesce(cast(cpn_rt_as_is as string), '') &lt;&gt; coalesce(cast(cpn_rt_to_be as string), '') </v>
      </c>
      <c r="M130" s="17" t="s">
        <v>55</v>
      </c>
      <c r="N130" s="17" t="str">
        <f>"SELECT 'Validação de campos' as tipologia_teste, '"&amp;VLOOKUP(B130,Instruções!$F$13:$J$17,3,0)&amp;"' AS TABELA, '"&amp;E130&amp;"' AS CAMPO, '"&amp;Instruções!$D$15&amp;"' as ref_date, coalesce(NUM_REG_DIF, 0) AS NUM_REG_DIF FROM ("&amp;L130&amp;") A "</f>
        <v xml:space="preserve">SELECT 'Validação de campos' as tipologia_teste, 'lt002_instrument' AS TABELA, 'cpn_rt' AS CAMPO, '2024-09-30' as ref_date, coalesce(NUM_REG_DIF, 0) AS NUM_REG_DIF FROM (SELECT count(*) AS NUM_REG_DIF FROM (SELECT instrmnt_id as instrmnt_id_as_is, cpn_rt as cpn_rt_as_is FROM cd_loan_tapes_bce.lt002_instrument WHERE ref_date='2024-09-30' AND nome_perimetro='Individual Corporativo' AND segmento='ESTR' AND ambito='PM' AND entidade='00100' ) A  Inner join (SELECT instrmnt_id as instrmnt_id_to_be, cpn_rt as cpn_rt_to_be FROM bu_loantape_work.lt002_instrument WHERE ref_date='2024-09-30' AND nome_perimetro='Individual Corporativo' AND segmento='ESTR' AND ambito='PM' AND entidade='00100' ) B ON instrmnt_id_as_is = instrmnt_id_to_be WHERE coalesce(cast(cpn_rt_as_is as string), '') &lt;&gt; coalesce(cast(cpn_rt_to_be as string), '') ) A </v>
      </c>
      <c r="O130" s="19" t="str">
        <f t="shared" si="16"/>
        <v>SELECT 'Validação de campos' as tipologia_teste, 'lt002_instrument' AS TABELA, 'cpn_rt' AS CAMPO, '2024-09-30' as ref_date, coalesce(NUM_REG_DIF, 0) AS NUM_REG_DIF FROM (SELECT count(*) AS NUM_REG_DIF FROM (SELECT instrmnt_id as instrmnt_id_as_is, cpn_rt as cpn_rt_as_is FROM cd_loan_tapes_bce.lt002_instrument WHERE ref_date='2024-09-30' AND nome_perimetro='Individual Corporativo' AND segmento='ESTR' AND ambito='PM' AND entidade='00100' ) A  Inner join (SELECT instrmnt_id as instrmnt_id_to_be, cpn_rt as cpn_rt_to_be FROM bu_loantape_work.lt002_instrument WHERE ref_date='2024-09-30' AND nome_perimetro='Individual Corporativo' AND segmento='ESTR' AND ambito='PM' AND entidade='00100' ) B ON instrmnt_id_as_is = instrmnt_id_to_be WHERE coalesce(cast(cpn_rt_as_is as string), '') &lt;&gt; coalesce(cast(cpn_rt_to_be as string), '') ) A UNION ALL</v>
      </c>
      <c r="P130" s="17">
        <f t="shared" si="11"/>
        <v>26</v>
      </c>
    </row>
    <row r="131" spans="2:16" s="15" customFormat="1" ht="11.45">
      <c r="B131" s="17" t="s">
        <v>26</v>
      </c>
      <c r="C131" s="17" t="str">
        <f>_xlfn.CONCAT(Instruções!$D$13,".",VLOOKUP(B131,Instruções!$F$12:$H$17,2,0))</f>
        <v>cd_loan_tapes_bce.lt002_instrument</v>
      </c>
      <c r="D131" s="17" t="str">
        <f>_xlfn.CONCAT(Instruções!$D$14,".",VLOOKUP(B131,Instruções!$F$12:$H$17,3,0))</f>
        <v>bu_loantape_work.lt002_instrument</v>
      </c>
      <c r="E131" s="17" t="s">
        <v>185</v>
      </c>
      <c r="F131" s="17" t="str">
        <f t="shared" si="12"/>
        <v>cre_fnrp18_as_is</v>
      </c>
      <c r="G131" s="17" t="str">
        <f t="shared" si="13"/>
        <v>cre_fnrp18_to_be</v>
      </c>
      <c r="H131" s="17" t="str">
        <f>IF(VLOOKUP(B131,Instruções!$F$13:$J$17,5,0)="",
"(SELECT "&amp;VLOOKUP(B131,Instruções!$F$13:$J$17,4,0)&amp;" as "&amp;VLOOKUP(B131,Instruções!$F$13:$J$17,4,0)&amp;"_"&amp;$F$2&amp;", "&amp;E131&amp;" as "&amp;F131&amp;" FROM "&amp;C131&amp;" WHERE "&amp;Instruções!$D$20&amp;") A ",
"(SELECT "&amp;VLOOKUP(B131,Instruções!$F$13:$J$17,4,0)&amp;" as "&amp;VLOOKUP(B131,Instruções!$F$13:$J$17,4,0)&amp;"_"&amp;$F$2&amp;", "&amp;VLOOKUP(B131,Instruções!$F$13:$J$17,5,0)&amp;" as "&amp;VLOOKUP(B131,Instruções!$F$13:$J$17,5,0)&amp;"_"&amp;$F$2&amp;","&amp;E131&amp;" as "&amp;F131&amp;" FROM "&amp;C131&amp;" WHERE "&amp;Instruções!$D$20&amp;") A ")</f>
        <v xml:space="preserve">(SELECT instrmnt_id as instrmnt_id_as_is, cre_fnrp18 as cre_fnrp18_as_is FROM cd_loan_tapes_bce.lt002_instrument WHERE ref_date='2024-09-30' AND nome_perimetro='Individual Corporativo' AND segmento='ESTR' AND ambito='PM' AND entidade='00100' ) A </v>
      </c>
      <c r="I131" s="17" t="str">
        <f>IF(VLOOKUP(B131,Instruções!$F$13:$J$17,5,0)="",
"(SELECT "&amp;VLOOKUP(B131,Instruções!$F$13:$J$17,4,0)&amp;" as "&amp;VLOOKUP(B131,Instruções!$F$13:$J$17,4,0)&amp;"_"&amp;$G$2&amp;", "&amp;E131&amp;" as "&amp;G131&amp;" FROM "&amp;D131&amp;" WHERE "&amp;Instruções!$D$21&amp;") B ",
"(SELECT "&amp;VLOOKUP(B131,Instruções!$F$13:$J$17,4,0)&amp;" as "&amp;VLOOKUP(B131,Instruções!$F$13:$J$17,4,0)&amp;"_"&amp;$G$2&amp;", "&amp;VLOOKUP(B131,Instruções!$F$13:$J$17,5,0)&amp;" as "&amp;VLOOKUP(B131,Instruções!$F$13:$J$17,5,0)&amp;"_"&amp;$G$2&amp;","&amp;E131&amp;" as "&amp;G131&amp;" FROM "&amp;D131&amp;" WHERE "&amp;Instruções!$D$21&amp;") B ")</f>
        <v xml:space="preserve">(SELECT instrmnt_id as instrmnt_id_to_be, cre_fnrp18 as cre_fnrp18_to_be FROM bu_loantape_work.lt002_instrument WHERE ref_date='2024-09-30' AND nome_perimetro='Individual Corporativo' AND segmento='ESTR' AND ambito='PM' AND entidade='00100' ) B </v>
      </c>
      <c r="J131" s="17" t="str">
        <f>IF(VLOOKUP(B131,Instruções!$F$13:$J$17,5,0)="",
"ON "&amp;VLOOKUP(B131,Instruções!$F$13:$J$17,4,0)&amp;"_"&amp;$F$2&amp;" = "&amp;VLOOKUP(B131,Instruções!$F$13:$J$17,4,0)&amp;"_"&amp;$G$2&amp;" ",
"ON "&amp;VLOOKUP(B131,Instruções!$F$13:$J$17,4,0)&amp;"_"&amp;$F$2&amp;" = "&amp;VLOOKUP(B131,Instruções!$F$13:$J$17,4,0)&amp;"_"&amp;$G$2&amp;" AND "&amp;VLOOKUP(B131,Instruções!$F$13:$J$17,5,0)&amp;"_"&amp;$F$2&amp;" = "&amp;VLOOKUP(B131,Instruções!$F$13:$J$17,5,0)&amp;"_"&amp;$G$2&amp;" ")</f>
        <v xml:space="preserve">ON instrmnt_id_as_is = instrmnt_id_to_be </v>
      </c>
      <c r="K131" s="17" t="str">
        <f t="shared" si="14"/>
        <v xml:space="preserve">WHERE coalesce(cast(cre_fnrp18_as_is as string), '') &lt;&gt; coalesce(cast(cre_fnrp18_to_be as string), '') </v>
      </c>
      <c r="L131" s="17" t="str">
        <f t="shared" si="15"/>
        <v xml:space="preserve">SELECT count(*) AS NUM_REG_DIF FROM (SELECT instrmnt_id as instrmnt_id_as_is, cre_fnrp18 as cre_fnrp18_as_is FROM cd_loan_tapes_bce.lt002_instrument WHERE ref_date='2024-09-30' AND nome_perimetro='Individual Corporativo' AND segmento='ESTR' AND ambito='PM' AND entidade='00100' ) A  Inner join (SELECT instrmnt_id as instrmnt_id_to_be, cre_fnrp18 as cre_fnrp18_to_be FROM bu_loantape_work.lt002_instrument WHERE ref_date='2024-09-30' AND nome_perimetro='Individual Corporativo' AND segmento='ESTR' AND ambito='PM' AND entidade='00100' ) B ON instrmnt_id_as_is = instrmnt_id_to_be WHERE coalesce(cast(cre_fnrp18_as_is as string), '') &lt;&gt; coalesce(cast(cre_fnrp18_to_be as string), '') </v>
      </c>
      <c r="M131" s="17" t="s">
        <v>55</v>
      </c>
      <c r="N131" s="17" t="str">
        <f>"SELECT 'Validação de campos' as tipologia_teste, '"&amp;VLOOKUP(B131,Instruções!$F$13:$J$17,3,0)&amp;"' AS TABELA, '"&amp;E131&amp;"' AS CAMPO, '"&amp;Instruções!$D$15&amp;"' as ref_date, coalesce(NUM_REG_DIF, 0) AS NUM_REG_DIF FROM ("&amp;L131&amp;") A "</f>
        <v xml:space="preserve">SELECT 'Validação de campos' as tipologia_teste, 'lt002_instrument' AS TABELA, 'cre_fnrp18' AS CAMPO, '2024-09-30' as ref_date, coalesce(NUM_REG_DIF, 0) AS NUM_REG_DIF FROM (SELECT count(*) AS NUM_REG_DIF FROM (SELECT instrmnt_id as instrmnt_id_as_is, cre_fnrp18 as cre_fnrp18_as_is FROM cd_loan_tapes_bce.lt002_instrument WHERE ref_date='2024-09-30' AND nome_perimetro='Individual Corporativo' AND segmento='ESTR' AND ambito='PM' AND entidade='00100' ) A  Inner join (SELECT instrmnt_id as instrmnt_id_to_be, cre_fnrp18 as cre_fnrp18_to_be FROM bu_loantape_work.lt002_instrument WHERE ref_date='2024-09-30' AND nome_perimetro='Individual Corporativo' AND segmento='ESTR' AND ambito='PM' AND entidade='00100' ) B ON instrmnt_id_as_is = instrmnt_id_to_be WHERE coalesce(cast(cre_fnrp18_as_is as string), '') &lt;&gt; coalesce(cast(cre_fnrp18_to_be as string), '') ) A </v>
      </c>
      <c r="O131" s="19" t="str">
        <f t="shared" si="16"/>
        <v>SELECT 'Validação de campos' as tipologia_teste, 'lt002_instrument' AS TABELA, 'cre_fnrp18' AS CAMPO, '2024-09-30' as ref_date, coalesce(NUM_REG_DIF, 0) AS NUM_REG_DIF FROM (SELECT count(*) AS NUM_REG_DIF FROM (SELECT instrmnt_id as instrmnt_id_as_is, cre_fnrp18 as cre_fnrp18_as_is FROM cd_loan_tapes_bce.lt002_instrument WHERE ref_date='2024-09-30' AND nome_perimetro='Individual Corporativo' AND segmento='ESTR' AND ambito='PM' AND entidade='00100' ) A  Inner join (SELECT instrmnt_id as instrmnt_id_to_be, cre_fnrp18 as cre_fnrp18_to_be FROM bu_loantape_work.lt002_instrument WHERE ref_date='2024-09-30' AND nome_perimetro='Individual Corporativo' AND segmento='ESTR' AND ambito='PM' AND entidade='00100' ) B ON instrmnt_id_as_is = instrmnt_id_to_be WHERE coalesce(cast(cre_fnrp18_as_is as string), '') &lt;&gt; coalesce(cast(cre_fnrp18_to_be as string), '') ) A UNION ALL</v>
      </c>
      <c r="P131" s="17">
        <f t="shared" si="11"/>
        <v>27</v>
      </c>
    </row>
    <row r="132" spans="2:16" s="15" customFormat="1" ht="11.45">
      <c r="B132" s="17" t="s">
        <v>26</v>
      </c>
      <c r="C132" s="17" t="str">
        <f>_xlfn.CONCAT(Instruções!$D$13,".",VLOOKUP(B132,Instruções!$F$12:$H$17,2,0))</f>
        <v>cd_loan_tapes_bce.lt002_instrument</v>
      </c>
      <c r="D132" s="17" t="str">
        <f>_xlfn.CONCAT(Instruções!$D$14,".",VLOOKUP(B132,Instruções!$F$12:$H$17,3,0))</f>
        <v>bu_loantape_work.lt002_instrument</v>
      </c>
      <c r="E132" s="17" t="s">
        <v>186</v>
      </c>
      <c r="F132" s="17" t="str">
        <f t="shared" si="12"/>
        <v>crrltn_cffcnt_as_is</v>
      </c>
      <c r="G132" s="17" t="str">
        <f t="shared" si="13"/>
        <v>crrltn_cffcnt_to_be</v>
      </c>
      <c r="H132" s="17" t="str">
        <f>IF(VLOOKUP(B132,Instruções!$F$13:$J$17,5,0)="",
"(SELECT "&amp;VLOOKUP(B132,Instruções!$F$13:$J$17,4,0)&amp;" as "&amp;VLOOKUP(B132,Instruções!$F$13:$J$17,4,0)&amp;"_"&amp;$F$2&amp;", "&amp;E132&amp;" as "&amp;F132&amp;" FROM "&amp;C132&amp;" WHERE "&amp;Instruções!$D$20&amp;") A ",
"(SELECT "&amp;VLOOKUP(B132,Instruções!$F$13:$J$17,4,0)&amp;" as "&amp;VLOOKUP(B132,Instruções!$F$13:$J$17,4,0)&amp;"_"&amp;$F$2&amp;", "&amp;VLOOKUP(B132,Instruções!$F$13:$J$17,5,0)&amp;" as "&amp;VLOOKUP(B132,Instruções!$F$13:$J$17,5,0)&amp;"_"&amp;$F$2&amp;","&amp;E132&amp;" as "&amp;F132&amp;" FROM "&amp;C132&amp;" WHERE "&amp;Instruções!$D$20&amp;") A ")</f>
        <v xml:space="preserve">(SELECT instrmnt_id as instrmnt_id_as_is, crrltn_cffcnt as crrltn_cffcnt_as_is FROM cd_loan_tapes_bce.lt002_instrument WHERE ref_date='2024-09-30' AND nome_perimetro='Individual Corporativo' AND segmento='ESTR' AND ambito='PM' AND entidade='00100' ) A </v>
      </c>
      <c r="I132" s="17" t="str">
        <f>IF(VLOOKUP(B132,Instruções!$F$13:$J$17,5,0)="",
"(SELECT "&amp;VLOOKUP(B132,Instruções!$F$13:$J$17,4,0)&amp;" as "&amp;VLOOKUP(B132,Instruções!$F$13:$J$17,4,0)&amp;"_"&amp;$G$2&amp;", "&amp;E132&amp;" as "&amp;G132&amp;" FROM "&amp;D132&amp;" WHERE "&amp;Instruções!$D$21&amp;") B ",
"(SELECT "&amp;VLOOKUP(B132,Instruções!$F$13:$J$17,4,0)&amp;" as "&amp;VLOOKUP(B132,Instruções!$F$13:$J$17,4,0)&amp;"_"&amp;$G$2&amp;", "&amp;VLOOKUP(B132,Instruções!$F$13:$J$17,5,0)&amp;" as "&amp;VLOOKUP(B132,Instruções!$F$13:$J$17,5,0)&amp;"_"&amp;$G$2&amp;","&amp;E132&amp;" as "&amp;G132&amp;" FROM "&amp;D132&amp;" WHERE "&amp;Instruções!$D$21&amp;") B ")</f>
        <v xml:space="preserve">(SELECT instrmnt_id as instrmnt_id_to_be, crrltn_cffcnt as crrltn_cffcnt_to_be FROM bu_loantape_work.lt002_instrument WHERE ref_date='2024-09-30' AND nome_perimetro='Individual Corporativo' AND segmento='ESTR' AND ambito='PM' AND entidade='00100' ) B </v>
      </c>
      <c r="J132" s="17" t="str">
        <f>IF(VLOOKUP(B132,Instruções!$F$13:$J$17,5,0)="",
"ON "&amp;VLOOKUP(B132,Instruções!$F$13:$J$17,4,0)&amp;"_"&amp;$F$2&amp;" = "&amp;VLOOKUP(B132,Instruções!$F$13:$J$17,4,0)&amp;"_"&amp;$G$2&amp;" ",
"ON "&amp;VLOOKUP(B132,Instruções!$F$13:$J$17,4,0)&amp;"_"&amp;$F$2&amp;" = "&amp;VLOOKUP(B132,Instruções!$F$13:$J$17,4,0)&amp;"_"&amp;$G$2&amp;" AND "&amp;VLOOKUP(B132,Instruções!$F$13:$J$17,5,0)&amp;"_"&amp;$F$2&amp;" = "&amp;VLOOKUP(B132,Instruções!$F$13:$J$17,5,0)&amp;"_"&amp;$G$2&amp;" ")</f>
        <v xml:space="preserve">ON instrmnt_id_as_is = instrmnt_id_to_be </v>
      </c>
      <c r="K132" s="17" t="str">
        <f t="shared" si="14"/>
        <v xml:space="preserve">WHERE coalesce(cast(crrltn_cffcnt_as_is as string), '') &lt;&gt; coalesce(cast(crrltn_cffcnt_to_be as string), '') </v>
      </c>
      <c r="L132" s="17" t="str">
        <f t="shared" si="15"/>
        <v xml:space="preserve">SELECT count(*) AS NUM_REG_DIF FROM (SELECT instrmnt_id as instrmnt_id_as_is, crrltn_cffcnt as crrltn_cffcnt_as_is FROM cd_loan_tapes_bce.lt002_instrument WHERE ref_date='2024-09-30' AND nome_perimetro='Individual Corporativo' AND segmento='ESTR' AND ambito='PM' AND entidade='00100' ) A  Inner join (SELECT instrmnt_id as instrmnt_id_to_be, crrltn_cffcnt as crrltn_cffcnt_to_be FROM bu_loantape_work.lt002_instrument WHERE ref_date='2024-09-30' AND nome_perimetro='Individual Corporativo' AND segmento='ESTR' AND ambito='PM' AND entidade='00100' ) B ON instrmnt_id_as_is = instrmnt_id_to_be WHERE coalesce(cast(crrltn_cffcnt_as_is as string), '') &lt;&gt; coalesce(cast(crrltn_cffcnt_to_be as string), '') </v>
      </c>
      <c r="M132" s="17" t="s">
        <v>55</v>
      </c>
      <c r="N132" s="17" t="str">
        <f>"SELECT 'Validação de campos' as tipologia_teste, '"&amp;VLOOKUP(B132,Instruções!$F$13:$J$17,3,0)&amp;"' AS TABELA, '"&amp;E132&amp;"' AS CAMPO, '"&amp;Instruções!$D$15&amp;"' as ref_date, coalesce(NUM_REG_DIF, 0) AS NUM_REG_DIF FROM ("&amp;L132&amp;") A "</f>
        <v xml:space="preserve">SELECT 'Validação de campos' as tipologia_teste, 'lt002_instrument' AS TABELA, 'crrltn_cffcnt' AS CAMPO, '2024-09-30' as ref_date, coalesce(NUM_REG_DIF, 0) AS NUM_REG_DIF FROM (SELECT count(*) AS NUM_REG_DIF FROM (SELECT instrmnt_id as instrmnt_id_as_is, crrltn_cffcnt as crrltn_cffcnt_as_is FROM cd_loan_tapes_bce.lt002_instrument WHERE ref_date='2024-09-30' AND nome_perimetro='Individual Corporativo' AND segmento='ESTR' AND ambito='PM' AND entidade='00100' ) A  Inner join (SELECT instrmnt_id as instrmnt_id_to_be, crrltn_cffcnt as crrltn_cffcnt_to_be FROM bu_loantape_work.lt002_instrument WHERE ref_date='2024-09-30' AND nome_perimetro='Individual Corporativo' AND segmento='ESTR' AND ambito='PM' AND entidade='00100' ) B ON instrmnt_id_as_is = instrmnt_id_to_be WHERE coalesce(cast(crrltn_cffcnt_as_is as string), '') &lt;&gt; coalesce(cast(crrltn_cffcnt_to_be as string), '') ) A </v>
      </c>
      <c r="O132" s="19" t="str">
        <f t="shared" si="16"/>
        <v>SELECT 'Validação de campos' as tipologia_teste, 'lt002_instrument' AS TABELA, 'crrltn_cffcnt' AS CAMPO, '2024-09-30' as ref_date, coalesce(NUM_REG_DIF, 0) AS NUM_REG_DIF FROM (SELECT count(*) AS NUM_REG_DIF FROM (SELECT instrmnt_id as instrmnt_id_as_is, crrltn_cffcnt as crrltn_cffcnt_as_is FROM cd_loan_tapes_bce.lt002_instrument WHERE ref_date='2024-09-30' AND nome_perimetro='Individual Corporativo' AND segmento='ESTR' AND ambito='PM' AND entidade='00100' ) A  Inner join (SELECT instrmnt_id as instrmnt_id_to_be, crrltn_cffcnt as crrltn_cffcnt_to_be FROM bu_loantape_work.lt002_instrument WHERE ref_date='2024-09-30' AND nome_perimetro='Individual Corporativo' AND segmento='ESTR' AND ambito='PM' AND entidade='00100' ) B ON instrmnt_id_as_is = instrmnt_id_to_be WHERE coalesce(cast(crrltn_cffcnt_as_is as string), '') &lt;&gt; coalesce(cast(crrltn_cffcnt_to_be as string), '') ) A UNION ALL</v>
      </c>
      <c r="P132" s="17">
        <f t="shared" si="11"/>
        <v>28</v>
      </c>
    </row>
    <row r="133" spans="2:16" s="15" customFormat="1" ht="11.45">
      <c r="B133" s="17" t="s">
        <v>26</v>
      </c>
      <c r="C133" s="17" t="str">
        <f>_xlfn.CONCAT(Instruções!$D$13,".",VLOOKUP(B133,Instruções!$F$12:$H$17,2,0))</f>
        <v>cd_loan_tapes_bce.lt002_instrument</v>
      </c>
      <c r="D133" s="17" t="str">
        <f>_xlfn.CONCAT(Instruções!$D$14,".",VLOOKUP(B133,Instruções!$F$12:$H$17,3,0))</f>
        <v>bu_loantape_work.lt002_instrument</v>
      </c>
      <c r="E133" s="17" t="s">
        <v>187</v>
      </c>
      <c r="F133" s="17" t="str">
        <f t="shared" si="12"/>
        <v>crrncy_dnmntn_as_is</v>
      </c>
      <c r="G133" s="17" t="str">
        <f t="shared" si="13"/>
        <v>crrncy_dnmntn_to_be</v>
      </c>
      <c r="H133" s="17" t="str">
        <f>IF(VLOOKUP(B133,Instruções!$F$13:$J$17,5,0)="",
"(SELECT "&amp;VLOOKUP(B133,Instruções!$F$13:$J$17,4,0)&amp;" as "&amp;VLOOKUP(B133,Instruções!$F$13:$J$17,4,0)&amp;"_"&amp;$F$2&amp;", "&amp;E133&amp;" as "&amp;F133&amp;" FROM "&amp;C133&amp;" WHERE "&amp;Instruções!$D$20&amp;") A ",
"(SELECT "&amp;VLOOKUP(B133,Instruções!$F$13:$J$17,4,0)&amp;" as "&amp;VLOOKUP(B133,Instruções!$F$13:$J$17,4,0)&amp;"_"&amp;$F$2&amp;", "&amp;VLOOKUP(B133,Instruções!$F$13:$J$17,5,0)&amp;" as "&amp;VLOOKUP(B133,Instruções!$F$13:$J$17,5,0)&amp;"_"&amp;$F$2&amp;","&amp;E133&amp;" as "&amp;F133&amp;" FROM "&amp;C133&amp;" WHERE "&amp;Instruções!$D$20&amp;") A ")</f>
        <v xml:space="preserve">(SELECT instrmnt_id as instrmnt_id_as_is, crrncy_dnmntn as crrncy_dnmntn_as_is FROM cd_loan_tapes_bce.lt002_instrument WHERE ref_date='2024-09-30' AND nome_perimetro='Individual Corporativo' AND segmento='ESTR' AND ambito='PM' AND entidade='00100' ) A </v>
      </c>
      <c r="I133" s="17" t="str">
        <f>IF(VLOOKUP(B133,Instruções!$F$13:$J$17,5,0)="",
"(SELECT "&amp;VLOOKUP(B133,Instruções!$F$13:$J$17,4,0)&amp;" as "&amp;VLOOKUP(B133,Instruções!$F$13:$J$17,4,0)&amp;"_"&amp;$G$2&amp;", "&amp;E133&amp;" as "&amp;G133&amp;" FROM "&amp;D133&amp;" WHERE "&amp;Instruções!$D$21&amp;") B ",
"(SELECT "&amp;VLOOKUP(B133,Instruções!$F$13:$J$17,4,0)&amp;" as "&amp;VLOOKUP(B133,Instruções!$F$13:$J$17,4,0)&amp;"_"&amp;$G$2&amp;", "&amp;VLOOKUP(B133,Instruções!$F$13:$J$17,5,0)&amp;" as "&amp;VLOOKUP(B133,Instruções!$F$13:$J$17,5,0)&amp;"_"&amp;$G$2&amp;","&amp;E133&amp;" as "&amp;G133&amp;" FROM "&amp;D133&amp;" WHERE "&amp;Instruções!$D$21&amp;") B ")</f>
        <v xml:space="preserve">(SELECT instrmnt_id as instrmnt_id_to_be, crrncy_dnmntn as crrncy_dnmntn_to_be FROM bu_loantape_work.lt002_instrument WHERE ref_date='2024-09-30' AND nome_perimetro='Individual Corporativo' AND segmento='ESTR' AND ambito='PM' AND entidade='00100' ) B </v>
      </c>
      <c r="J133" s="17" t="str">
        <f>IF(VLOOKUP(B133,Instruções!$F$13:$J$17,5,0)="",
"ON "&amp;VLOOKUP(B133,Instruções!$F$13:$J$17,4,0)&amp;"_"&amp;$F$2&amp;" = "&amp;VLOOKUP(B133,Instruções!$F$13:$J$17,4,0)&amp;"_"&amp;$G$2&amp;" ",
"ON "&amp;VLOOKUP(B133,Instruções!$F$13:$J$17,4,0)&amp;"_"&amp;$F$2&amp;" = "&amp;VLOOKUP(B133,Instruções!$F$13:$J$17,4,0)&amp;"_"&amp;$G$2&amp;" AND "&amp;VLOOKUP(B133,Instruções!$F$13:$J$17,5,0)&amp;"_"&amp;$F$2&amp;" = "&amp;VLOOKUP(B133,Instruções!$F$13:$J$17,5,0)&amp;"_"&amp;$G$2&amp;" ")</f>
        <v xml:space="preserve">ON instrmnt_id_as_is = instrmnt_id_to_be </v>
      </c>
      <c r="K133" s="17" t="str">
        <f t="shared" si="14"/>
        <v xml:space="preserve">WHERE coalesce(cast(crrncy_dnmntn_as_is as string), '') &lt;&gt; coalesce(cast(crrncy_dnmntn_to_be as string), '') </v>
      </c>
      <c r="L133" s="17" t="str">
        <f t="shared" si="15"/>
        <v xml:space="preserve">SELECT count(*) AS NUM_REG_DIF FROM (SELECT instrmnt_id as instrmnt_id_as_is, crrncy_dnmntn as crrncy_dnmntn_as_is FROM cd_loan_tapes_bce.lt002_instrument WHERE ref_date='2024-09-30' AND nome_perimetro='Individual Corporativo' AND segmento='ESTR' AND ambito='PM' AND entidade='00100' ) A  Inner join (SELECT instrmnt_id as instrmnt_id_to_be, crrncy_dnmntn as crrncy_dnmntn_to_be FROM bu_loantape_work.lt002_instrument WHERE ref_date='2024-09-30' AND nome_perimetro='Individual Corporativo' AND segmento='ESTR' AND ambito='PM' AND entidade='00100' ) B ON instrmnt_id_as_is = instrmnt_id_to_be WHERE coalesce(cast(crrncy_dnmntn_as_is as string), '') &lt;&gt; coalesce(cast(crrncy_dnmntn_to_be as string), '') </v>
      </c>
      <c r="M133" s="17" t="s">
        <v>55</v>
      </c>
      <c r="N133" s="17" t="str">
        <f>"SELECT 'Validação de campos' as tipologia_teste, '"&amp;VLOOKUP(B133,Instruções!$F$13:$J$17,3,0)&amp;"' AS TABELA, '"&amp;E133&amp;"' AS CAMPO, '"&amp;Instruções!$D$15&amp;"' as ref_date, coalesce(NUM_REG_DIF, 0) AS NUM_REG_DIF FROM ("&amp;L133&amp;") A "</f>
        <v xml:space="preserve">SELECT 'Validação de campos' as tipologia_teste, 'lt002_instrument' AS TABELA, 'crrncy_dnmntn' AS CAMPO, '2024-09-30' as ref_date, coalesce(NUM_REG_DIF, 0) AS NUM_REG_DIF FROM (SELECT count(*) AS NUM_REG_DIF FROM (SELECT instrmnt_id as instrmnt_id_as_is, crrncy_dnmntn as crrncy_dnmntn_as_is FROM cd_loan_tapes_bce.lt002_instrument WHERE ref_date='2024-09-30' AND nome_perimetro='Individual Corporativo' AND segmento='ESTR' AND ambito='PM' AND entidade='00100' ) A  Inner join (SELECT instrmnt_id as instrmnt_id_to_be, crrncy_dnmntn as crrncy_dnmntn_to_be FROM bu_loantape_work.lt002_instrument WHERE ref_date='2024-09-30' AND nome_perimetro='Individual Corporativo' AND segmento='ESTR' AND ambito='PM' AND entidade='00100' ) B ON instrmnt_id_as_is = instrmnt_id_to_be WHERE coalesce(cast(crrncy_dnmntn_as_is as string), '') &lt;&gt; coalesce(cast(crrncy_dnmntn_to_be as string), '') ) A </v>
      </c>
      <c r="O133" s="19" t="str">
        <f t="shared" si="16"/>
        <v>SELECT 'Validação de campos' as tipologia_teste, 'lt002_instrument' AS TABELA, 'crrncy_dnmntn' AS CAMPO, '2024-09-30' as ref_date, coalesce(NUM_REG_DIF, 0) AS NUM_REG_DIF FROM (SELECT count(*) AS NUM_REG_DIF FROM (SELECT instrmnt_id as instrmnt_id_as_is, crrncy_dnmntn as crrncy_dnmntn_as_is FROM cd_loan_tapes_bce.lt002_instrument WHERE ref_date='2024-09-30' AND nome_perimetro='Individual Corporativo' AND segmento='ESTR' AND ambito='PM' AND entidade='00100' ) A  Inner join (SELECT instrmnt_id as instrmnt_id_to_be, crrncy_dnmntn as crrncy_dnmntn_to_be FROM bu_loantape_work.lt002_instrument WHERE ref_date='2024-09-30' AND nome_perimetro='Individual Corporativo' AND segmento='ESTR' AND ambito='PM' AND entidade='00100' ) B ON instrmnt_id_as_is = instrmnt_id_to_be WHERE coalesce(cast(crrncy_dnmntn_as_is as string), '') &lt;&gt; coalesce(cast(crrncy_dnmntn_to_be as string), '') ) A UNION ALL</v>
      </c>
      <c r="P133" s="17">
        <f t="shared" si="11"/>
        <v>29</v>
      </c>
    </row>
    <row r="134" spans="2:16" s="15" customFormat="1" ht="11.45">
      <c r="B134" s="17" t="s">
        <v>26</v>
      </c>
      <c r="C134" s="17" t="str">
        <f>_xlfn.CONCAT(Instruções!$D$13,".",VLOOKUP(B134,Instruções!$F$12:$H$17,2,0))</f>
        <v>cd_loan_tapes_bce.lt002_instrument</v>
      </c>
      <c r="D134" s="17" t="str">
        <f>_xlfn.CONCAT(Instruções!$D$14,".",VLOOKUP(B134,Instruções!$F$12:$H$17,3,0))</f>
        <v>bu_loantape_work.lt002_instrument</v>
      </c>
      <c r="E134" s="17" t="s">
        <v>188</v>
      </c>
      <c r="F134" s="17" t="str">
        <f t="shared" si="12"/>
        <v>crryng_amnt_instrmnt_as_is</v>
      </c>
      <c r="G134" s="17" t="str">
        <f t="shared" si="13"/>
        <v>crryng_amnt_instrmnt_to_be</v>
      </c>
      <c r="H134" s="17" t="str">
        <f>IF(VLOOKUP(B134,Instruções!$F$13:$J$17,5,0)="",
"(SELECT "&amp;VLOOKUP(B134,Instruções!$F$13:$J$17,4,0)&amp;" as "&amp;VLOOKUP(B134,Instruções!$F$13:$J$17,4,0)&amp;"_"&amp;$F$2&amp;", "&amp;E134&amp;" as "&amp;F134&amp;" FROM "&amp;C134&amp;" WHERE "&amp;Instruções!$D$20&amp;") A ",
"(SELECT "&amp;VLOOKUP(B134,Instruções!$F$13:$J$17,4,0)&amp;" as "&amp;VLOOKUP(B134,Instruções!$F$13:$J$17,4,0)&amp;"_"&amp;$F$2&amp;", "&amp;VLOOKUP(B134,Instruções!$F$13:$J$17,5,0)&amp;" as "&amp;VLOOKUP(B134,Instruções!$F$13:$J$17,5,0)&amp;"_"&amp;$F$2&amp;","&amp;E134&amp;" as "&amp;F134&amp;" FROM "&amp;C134&amp;" WHERE "&amp;Instruções!$D$20&amp;") A ")</f>
        <v xml:space="preserve">(SELECT instrmnt_id as instrmnt_id_as_is, crryng_amnt_instrmnt as crryng_amnt_instrmnt_as_is FROM cd_loan_tapes_bce.lt002_instrument WHERE ref_date='2024-09-30' AND nome_perimetro='Individual Corporativo' AND segmento='ESTR' AND ambito='PM' AND entidade='00100' ) A </v>
      </c>
      <c r="I134" s="17" t="str">
        <f>IF(VLOOKUP(B134,Instruções!$F$13:$J$17,5,0)="",
"(SELECT "&amp;VLOOKUP(B134,Instruções!$F$13:$J$17,4,0)&amp;" as "&amp;VLOOKUP(B134,Instruções!$F$13:$J$17,4,0)&amp;"_"&amp;$G$2&amp;", "&amp;E134&amp;" as "&amp;G134&amp;" FROM "&amp;D134&amp;" WHERE "&amp;Instruções!$D$21&amp;") B ",
"(SELECT "&amp;VLOOKUP(B134,Instruções!$F$13:$J$17,4,0)&amp;" as "&amp;VLOOKUP(B134,Instruções!$F$13:$J$17,4,0)&amp;"_"&amp;$G$2&amp;", "&amp;VLOOKUP(B134,Instruções!$F$13:$J$17,5,0)&amp;" as "&amp;VLOOKUP(B134,Instruções!$F$13:$J$17,5,0)&amp;"_"&amp;$G$2&amp;","&amp;E134&amp;" as "&amp;G134&amp;" FROM "&amp;D134&amp;" WHERE "&amp;Instruções!$D$21&amp;") B ")</f>
        <v xml:space="preserve">(SELECT instrmnt_id as instrmnt_id_to_be, crryng_amnt_instrmnt as crryng_amnt_instrmnt_to_be FROM bu_loantape_work.lt002_instrument WHERE ref_date='2024-09-30' AND nome_perimetro='Individual Corporativo' AND segmento='ESTR' AND ambito='PM' AND entidade='00100' ) B </v>
      </c>
      <c r="J134" s="17" t="str">
        <f>IF(VLOOKUP(B134,Instruções!$F$13:$J$17,5,0)="",
"ON "&amp;VLOOKUP(B134,Instruções!$F$13:$J$17,4,0)&amp;"_"&amp;$F$2&amp;" = "&amp;VLOOKUP(B134,Instruções!$F$13:$J$17,4,0)&amp;"_"&amp;$G$2&amp;" ",
"ON "&amp;VLOOKUP(B134,Instruções!$F$13:$J$17,4,0)&amp;"_"&amp;$F$2&amp;" = "&amp;VLOOKUP(B134,Instruções!$F$13:$J$17,4,0)&amp;"_"&amp;$G$2&amp;" AND "&amp;VLOOKUP(B134,Instruções!$F$13:$J$17,5,0)&amp;"_"&amp;$F$2&amp;" = "&amp;VLOOKUP(B134,Instruções!$F$13:$J$17,5,0)&amp;"_"&amp;$G$2&amp;" ")</f>
        <v xml:space="preserve">ON instrmnt_id_as_is = instrmnt_id_to_be </v>
      </c>
      <c r="K134" s="17" t="str">
        <f t="shared" si="14"/>
        <v xml:space="preserve">WHERE coalesce(cast(crryng_amnt_instrmnt_as_is as string), '') &lt;&gt; coalesce(cast(crryng_amnt_instrmnt_to_be as string), '') </v>
      </c>
      <c r="L134" s="17" t="str">
        <f t="shared" si="15"/>
        <v xml:space="preserve">SELECT count(*) AS NUM_REG_DIF FROM (SELECT instrmnt_id as instrmnt_id_as_is, crryng_amnt_instrmnt as crryng_amnt_instrmnt_as_is FROM cd_loan_tapes_bce.lt002_instrument WHERE ref_date='2024-09-30' AND nome_perimetro='Individual Corporativo' AND segmento='ESTR' AND ambito='PM' AND entidade='00100' ) A  Inner join (SELECT instrmnt_id as instrmnt_id_to_be, crryng_amnt_instrmnt as crryng_amnt_instrmnt_to_be FROM bu_loantape_work.lt002_instrument WHERE ref_date='2024-09-30' AND nome_perimetro='Individual Corporativo' AND segmento='ESTR' AND ambito='PM' AND entidade='00100' ) B ON instrmnt_id_as_is = instrmnt_id_to_be WHERE coalesce(cast(crryng_amnt_instrmnt_as_is as string), '') &lt;&gt; coalesce(cast(crryng_amnt_instrmnt_to_be as string), '') </v>
      </c>
      <c r="M134" s="17" t="s">
        <v>55</v>
      </c>
      <c r="N134" s="17" t="str">
        <f>"SELECT 'Validação de campos' as tipologia_teste, '"&amp;VLOOKUP(B134,Instruções!$F$13:$J$17,3,0)&amp;"' AS TABELA, '"&amp;E134&amp;"' AS CAMPO, '"&amp;Instruções!$D$15&amp;"' as ref_date, coalesce(NUM_REG_DIF, 0) AS NUM_REG_DIF FROM ("&amp;L134&amp;") A "</f>
        <v xml:space="preserve">SELECT 'Validação de campos' as tipologia_teste, 'lt002_instrument' AS TABELA, 'crryng_amnt_instrmnt' AS CAMPO, '2024-09-30' as ref_date, coalesce(NUM_REG_DIF, 0) AS NUM_REG_DIF FROM (SELECT count(*) AS NUM_REG_DIF FROM (SELECT instrmnt_id as instrmnt_id_as_is, crryng_amnt_instrmnt as crryng_amnt_instrmnt_as_is FROM cd_loan_tapes_bce.lt002_instrument WHERE ref_date='2024-09-30' AND nome_perimetro='Individual Corporativo' AND segmento='ESTR' AND ambito='PM' AND entidade='00100' ) A  Inner join (SELECT instrmnt_id as instrmnt_id_to_be, crryng_amnt_instrmnt as crryng_amnt_instrmnt_to_be FROM bu_loantape_work.lt002_instrument WHERE ref_date='2024-09-30' AND nome_perimetro='Individual Corporativo' AND segmento='ESTR' AND ambito='PM' AND entidade='00100' ) B ON instrmnt_id_as_is = instrmnt_id_to_be WHERE coalesce(cast(crryng_amnt_instrmnt_as_is as string), '') &lt;&gt; coalesce(cast(crryng_amnt_instrmnt_to_be as string), '') ) A </v>
      </c>
      <c r="O134" s="19" t="str">
        <f t="shared" si="16"/>
        <v>SELECT 'Validação de campos' as tipologia_teste, 'lt002_instrument' AS TABELA, 'crryng_amnt_instrmnt' AS CAMPO, '2024-09-30' as ref_date, coalesce(NUM_REG_DIF, 0) AS NUM_REG_DIF FROM (SELECT count(*) AS NUM_REG_DIF FROM (SELECT instrmnt_id as instrmnt_id_as_is, crryng_amnt_instrmnt as crryng_amnt_instrmnt_as_is FROM cd_loan_tapes_bce.lt002_instrument WHERE ref_date='2024-09-30' AND nome_perimetro='Individual Corporativo' AND segmento='ESTR' AND ambito='PM' AND entidade='00100' ) A  Inner join (SELECT instrmnt_id as instrmnt_id_to_be, crryng_amnt_instrmnt as crryng_amnt_instrmnt_to_be FROM bu_loantape_work.lt002_instrument WHERE ref_date='2024-09-30' AND nome_perimetro='Individual Corporativo' AND segmento='ESTR' AND ambito='PM' AND entidade='00100' ) B ON instrmnt_id_as_is = instrmnt_id_to_be WHERE coalesce(cast(crryng_amnt_instrmnt_as_is as string), '') &lt;&gt; coalesce(cast(crryng_amnt_instrmnt_to_be as string), '') ) A UNION ALL</v>
      </c>
      <c r="P134" s="17">
        <f t="shared" ref="P134:P153" si="17">P133+1</f>
        <v>30</v>
      </c>
    </row>
    <row r="135" spans="2:16" s="15" customFormat="1" ht="11.45">
      <c r="B135" s="17" t="s">
        <v>26</v>
      </c>
      <c r="C135" s="17" t="str">
        <f>_xlfn.CONCAT(Instruções!$D$13,".",VLOOKUP(B135,Instruções!$F$12:$H$17,2,0))</f>
        <v>cd_loan_tapes_bce.lt002_instrument</v>
      </c>
      <c r="D135" s="17" t="str">
        <f>_xlfn.CONCAT(Instruções!$D$14,".",VLOOKUP(B135,Instruções!$F$12:$H$17,3,0))</f>
        <v>bu_loantape_work.lt002_instrument</v>
      </c>
      <c r="E135" s="17" t="s">
        <v>189</v>
      </c>
      <c r="F135" s="17" t="str">
        <f t="shared" si="12"/>
        <v>csh_swp_trp_as_is</v>
      </c>
      <c r="G135" s="17" t="str">
        <f t="shared" si="13"/>
        <v>csh_swp_trp_to_be</v>
      </c>
      <c r="H135" s="17" t="str">
        <f>IF(VLOOKUP(B135,Instruções!$F$13:$J$17,5,0)="",
"(SELECT "&amp;VLOOKUP(B135,Instruções!$F$13:$J$17,4,0)&amp;" as "&amp;VLOOKUP(B135,Instruções!$F$13:$J$17,4,0)&amp;"_"&amp;$F$2&amp;", "&amp;E135&amp;" as "&amp;F135&amp;" FROM "&amp;C135&amp;" WHERE "&amp;Instruções!$D$20&amp;") A ",
"(SELECT "&amp;VLOOKUP(B135,Instruções!$F$13:$J$17,4,0)&amp;" as "&amp;VLOOKUP(B135,Instruções!$F$13:$J$17,4,0)&amp;"_"&amp;$F$2&amp;", "&amp;VLOOKUP(B135,Instruções!$F$13:$J$17,5,0)&amp;" as "&amp;VLOOKUP(B135,Instruções!$F$13:$J$17,5,0)&amp;"_"&amp;$F$2&amp;","&amp;E135&amp;" as "&amp;F135&amp;" FROM "&amp;C135&amp;" WHERE "&amp;Instruções!$D$20&amp;") A ")</f>
        <v xml:space="preserve">(SELECT instrmnt_id as instrmnt_id_as_is, csh_swp_trp as csh_swp_trp_as_is FROM cd_loan_tapes_bce.lt002_instrument WHERE ref_date='2024-09-30' AND nome_perimetro='Individual Corporativo' AND segmento='ESTR' AND ambito='PM' AND entidade='00100' ) A </v>
      </c>
      <c r="I135" s="17" t="str">
        <f>IF(VLOOKUP(B135,Instruções!$F$13:$J$17,5,0)="",
"(SELECT "&amp;VLOOKUP(B135,Instruções!$F$13:$J$17,4,0)&amp;" as "&amp;VLOOKUP(B135,Instruções!$F$13:$J$17,4,0)&amp;"_"&amp;$G$2&amp;", "&amp;E135&amp;" as "&amp;G135&amp;" FROM "&amp;D135&amp;" WHERE "&amp;Instruções!$D$21&amp;") B ",
"(SELECT "&amp;VLOOKUP(B135,Instruções!$F$13:$J$17,4,0)&amp;" as "&amp;VLOOKUP(B135,Instruções!$F$13:$J$17,4,0)&amp;"_"&amp;$G$2&amp;", "&amp;VLOOKUP(B135,Instruções!$F$13:$J$17,5,0)&amp;" as "&amp;VLOOKUP(B135,Instruções!$F$13:$J$17,5,0)&amp;"_"&amp;$G$2&amp;","&amp;E135&amp;" as "&amp;G135&amp;" FROM "&amp;D135&amp;" WHERE "&amp;Instruções!$D$21&amp;") B ")</f>
        <v xml:space="preserve">(SELECT instrmnt_id as instrmnt_id_to_be, csh_swp_trp as csh_swp_trp_to_be FROM bu_loantape_work.lt002_instrument WHERE ref_date='2024-09-30' AND nome_perimetro='Individual Corporativo' AND segmento='ESTR' AND ambito='PM' AND entidade='00100' ) B </v>
      </c>
      <c r="J135" s="17" t="str">
        <f>IF(VLOOKUP(B135,Instruções!$F$13:$J$17,5,0)="",
"ON "&amp;VLOOKUP(B135,Instruções!$F$13:$J$17,4,0)&amp;"_"&amp;$F$2&amp;" = "&amp;VLOOKUP(B135,Instruções!$F$13:$J$17,4,0)&amp;"_"&amp;$G$2&amp;" ",
"ON "&amp;VLOOKUP(B135,Instruções!$F$13:$J$17,4,0)&amp;"_"&amp;$F$2&amp;" = "&amp;VLOOKUP(B135,Instruções!$F$13:$J$17,4,0)&amp;"_"&amp;$G$2&amp;" AND "&amp;VLOOKUP(B135,Instruções!$F$13:$J$17,5,0)&amp;"_"&amp;$F$2&amp;" = "&amp;VLOOKUP(B135,Instruções!$F$13:$J$17,5,0)&amp;"_"&amp;$G$2&amp;" ")</f>
        <v xml:space="preserve">ON instrmnt_id_as_is = instrmnt_id_to_be </v>
      </c>
      <c r="K135" s="17" t="str">
        <f t="shared" si="14"/>
        <v xml:space="preserve">WHERE coalesce(cast(csh_swp_trp_as_is as string), '') &lt;&gt; coalesce(cast(csh_swp_trp_to_be as string), '') </v>
      </c>
      <c r="L135" s="17" t="str">
        <f t="shared" si="15"/>
        <v xml:space="preserve">SELECT count(*) AS NUM_REG_DIF FROM (SELECT instrmnt_id as instrmnt_id_as_is, csh_swp_trp as csh_swp_trp_as_is FROM cd_loan_tapes_bce.lt002_instrument WHERE ref_date='2024-09-30' AND nome_perimetro='Individual Corporativo' AND segmento='ESTR' AND ambito='PM' AND entidade='00100' ) A  Inner join (SELECT instrmnt_id as instrmnt_id_to_be, csh_swp_trp as csh_swp_trp_to_be FROM bu_loantape_work.lt002_instrument WHERE ref_date='2024-09-30' AND nome_perimetro='Individual Corporativo' AND segmento='ESTR' AND ambito='PM' AND entidade='00100' ) B ON instrmnt_id_as_is = instrmnt_id_to_be WHERE coalesce(cast(csh_swp_trp_as_is as string), '') &lt;&gt; coalesce(cast(csh_swp_trp_to_be as string), '') </v>
      </c>
      <c r="M135" s="17" t="s">
        <v>55</v>
      </c>
      <c r="N135" s="17" t="str">
        <f>"SELECT 'Validação de campos' as tipologia_teste, '"&amp;VLOOKUP(B135,Instruções!$F$13:$J$17,3,0)&amp;"' AS TABELA, '"&amp;E135&amp;"' AS CAMPO, '"&amp;Instruções!$D$15&amp;"' as ref_date, coalesce(NUM_REG_DIF, 0) AS NUM_REG_DIF FROM ("&amp;L135&amp;") A "</f>
        <v xml:space="preserve">SELECT 'Validação de campos' as tipologia_teste, 'lt002_instrument' AS TABELA, 'csh_swp_trp' AS CAMPO, '2024-09-30' as ref_date, coalesce(NUM_REG_DIF, 0) AS NUM_REG_DIF FROM (SELECT count(*) AS NUM_REG_DIF FROM (SELECT instrmnt_id as instrmnt_id_as_is, csh_swp_trp as csh_swp_trp_as_is FROM cd_loan_tapes_bce.lt002_instrument WHERE ref_date='2024-09-30' AND nome_perimetro='Individual Corporativo' AND segmento='ESTR' AND ambito='PM' AND entidade='00100' ) A  Inner join (SELECT instrmnt_id as instrmnt_id_to_be, csh_swp_trp as csh_swp_trp_to_be FROM bu_loantape_work.lt002_instrument WHERE ref_date='2024-09-30' AND nome_perimetro='Individual Corporativo' AND segmento='ESTR' AND ambito='PM' AND entidade='00100' ) B ON instrmnt_id_as_is = instrmnt_id_to_be WHERE coalesce(cast(csh_swp_trp_as_is as string), '') &lt;&gt; coalesce(cast(csh_swp_trp_to_be as string), '') ) A </v>
      </c>
      <c r="O135" s="19" t="str">
        <f t="shared" si="16"/>
        <v>SELECT 'Validação de campos' as tipologia_teste, 'lt002_instrument' AS TABELA, 'csh_swp_trp' AS CAMPO, '2024-09-30' as ref_date, coalesce(NUM_REG_DIF, 0) AS NUM_REG_DIF FROM (SELECT count(*) AS NUM_REG_DIF FROM (SELECT instrmnt_id as instrmnt_id_as_is, csh_swp_trp as csh_swp_trp_as_is FROM cd_loan_tapes_bce.lt002_instrument WHERE ref_date='2024-09-30' AND nome_perimetro='Individual Corporativo' AND segmento='ESTR' AND ambito='PM' AND entidade='00100' ) A  Inner join (SELECT instrmnt_id as instrmnt_id_to_be, csh_swp_trp as csh_swp_trp_to_be FROM bu_loantape_work.lt002_instrument WHERE ref_date='2024-09-30' AND nome_perimetro='Individual Corporativo' AND segmento='ESTR' AND ambito='PM' AND entidade='00100' ) B ON instrmnt_id_as_is = instrmnt_id_to_be WHERE coalesce(cast(csh_swp_trp_as_is as string), '') &lt;&gt; coalesce(cast(csh_swp_trp_to_be as string), '') ) A UNION ALL</v>
      </c>
      <c r="P135" s="17">
        <f t="shared" si="17"/>
        <v>31</v>
      </c>
    </row>
    <row r="136" spans="2:16" s="15" customFormat="1" ht="11.45">
      <c r="B136" s="17" t="s">
        <v>26</v>
      </c>
      <c r="C136" s="17" t="str">
        <f>_xlfn.CONCAT(Instruções!$D$13,".",VLOOKUP(B136,Instruções!$F$12:$H$17,2,0))</f>
        <v>cd_loan_tapes_bce.lt002_instrument</v>
      </c>
      <c r="D136" s="17" t="str">
        <f>_xlfn.CONCAT(Instruções!$D$14,".",VLOOKUP(B136,Instruções!$F$12:$H$17,3,0))</f>
        <v>bu_loantape_work.lt002_instrument</v>
      </c>
      <c r="E136" s="17" t="s">
        <v>190</v>
      </c>
      <c r="F136" s="17" t="str">
        <f t="shared" si="12"/>
        <v>cvnnt_stts_as_is</v>
      </c>
      <c r="G136" s="17" t="str">
        <f t="shared" si="13"/>
        <v>cvnnt_stts_to_be</v>
      </c>
      <c r="H136" s="17" t="str">
        <f>IF(VLOOKUP(B136,Instruções!$F$13:$J$17,5,0)="",
"(SELECT "&amp;VLOOKUP(B136,Instruções!$F$13:$J$17,4,0)&amp;" as "&amp;VLOOKUP(B136,Instruções!$F$13:$J$17,4,0)&amp;"_"&amp;$F$2&amp;", "&amp;E136&amp;" as "&amp;F136&amp;" FROM "&amp;C136&amp;" WHERE "&amp;Instruções!$D$20&amp;") A ",
"(SELECT "&amp;VLOOKUP(B136,Instruções!$F$13:$J$17,4,0)&amp;" as "&amp;VLOOKUP(B136,Instruções!$F$13:$J$17,4,0)&amp;"_"&amp;$F$2&amp;", "&amp;VLOOKUP(B136,Instruções!$F$13:$J$17,5,0)&amp;" as "&amp;VLOOKUP(B136,Instruções!$F$13:$J$17,5,0)&amp;"_"&amp;$F$2&amp;","&amp;E136&amp;" as "&amp;F136&amp;" FROM "&amp;C136&amp;" WHERE "&amp;Instruções!$D$20&amp;") A ")</f>
        <v xml:space="preserve">(SELECT instrmnt_id as instrmnt_id_as_is, cvnnt_stts as cvnnt_stts_as_is FROM cd_loan_tapes_bce.lt002_instrument WHERE ref_date='2024-09-30' AND nome_perimetro='Individual Corporativo' AND segmento='ESTR' AND ambito='PM' AND entidade='00100' ) A </v>
      </c>
      <c r="I136" s="17" t="str">
        <f>IF(VLOOKUP(B136,Instruções!$F$13:$J$17,5,0)="",
"(SELECT "&amp;VLOOKUP(B136,Instruções!$F$13:$J$17,4,0)&amp;" as "&amp;VLOOKUP(B136,Instruções!$F$13:$J$17,4,0)&amp;"_"&amp;$G$2&amp;", "&amp;E136&amp;" as "&amp;G136&amp;" FROM "&amp;D136&amp;" WHERE "&amp;Instruções!$D$21&amp;") B ",
"(SELECT "&amp;VLOOKUP(B136,Instruções!$F$13:$J$17,4,0)&amp;" as "&amp;VLOOKUP(B136,Instruções!$F$13:$J$17,4,0)&amp;"_"&amp;$G$2&amp;", "&amp;VLOOKUP(B136,Instruções!$F$13:$J$17,5,0)&amp;" as "&amp;VLOOKUP(B136,Instruções!$F$13:$J$17,5,0)&amp;"_"&amp;$G$2&amp;","&amp;E136&amp;" as "&amp;G136&amp;" FROM "&amp;D136&amp;" WHERE "&amp;Instruções!$D$21&amp;") B ")</f>
        <v xml:space="preserve">(SELECT instrmnt_id as instrmnt_id_to_be, cvnnt_stts as cvnnt_stts_to_be FROM bu_loantape_work.lt002_instrument WHERE ref_date='2024-09-30' AND nome_perimetro='Individual Corporativo' AND segmento='ESTR' AND ambito='PM' AND entidade='00100' ) B </v>
      </c>
      <c r="J136" s="17" t="str">
        <f>IF(VLOOKUP(B136,Instruções!$F$13:$J$17,5,0)="",
"ON "&amp;VLOOKUP(B136,Instruções!$F$13:$J$17,4,0)&amp;"_"&amp;$F$2&amp;" = "&amp;VLOOKUP(B136,Instruções!$F$13:$J$17,4,0)&amp;"_"&amp;$G$2&amp;" ",
"ON "&amp;VLOOKUP(B136,Instruções!$F$13:$J$17,4,0)&amp;"_"&amp;$F$2&amp;" = "&amp;VLOOKUP(B136,Instruções!$F$13:$J$17,4,0)&amp;"_"&amp;$G$2&amp;" AND "&amp;VLOOKUP(B136,Instruções!$F$13:$J$17,5,0)&amp;"_"&amp;$F$2&amp;" = "&amp;VLOOKUP(B136,Instruções!$F$13:$J$17,5,0)&amp;"_"&amp;$G$2&amp;" ")</f>
        <v xml:space="preserve">ON instrmnt_id_as_is = instrmnt_id_to_be </v>
      </c>
      <c r="K136" s="17" t="str">
        <f t="shared" si="14"/>
        <v xml:space="preserve">WHERE coalesce(cast(cvnnt_stts_as_is as string), '') &lt;&gt; coalesce(cast(cvnnt_stts_to_be as string), '') </v>
      </c>
      <c r="L136" s="17" t="str">
        <f t="shared" si="15"/>
        <v xml:space="preserve">SELECT count(*) AS NUM_REG_DIF FROM (SELECT instrmnt_id as instrmnt_id_as_is, cvnnt_stts as cvnnt_stts_as_is FROM cd_loan_tapes_bce.lt002_instrument WHERE ref_date='2024-09-30' AND nome_perimetro='Individual Corporativo' AND segmento='ESTR' AND ambito='PM' AND entidade='00100' ) A  Inner join (SELECT instrmnt_id as instrmnt_id_to_be, cvnnt_stts as cvnnt_stts_to_be FROM bu_loantape_work.lt002_instrument WHERE ref_date='2024-09-30' AND nome_perimetro='Individual Corporativo' AND segmento='ESTR' AND ambito='PM' AND entidade='00100' ) B ON instrmnt_id_as_is = instrmnt_id_to_be WHERE coalesce(cast(cvnnt_stts_as_is as string), '') &lt;&gt; coalesce(cast(cvnnt_stts_to_be as string), '') </v>
      </c>
      <c r="M136" s="17" t="s">
        <v>55</v>
      </c>
      <c r="N136" s="17" t="str">
        <f>"SELECT 'Validação de campos' as tipologia_teste, '"&amp;VLOOKUP(B136,Instruções!$F$13:$J$17,3,0)&amp;"' AS TABELA, '"&amp;E136&amp;"' AS CAMPO, '"&amp;Instruções!$D$15&amp;"' as ref_date, coalesce(NUM_REG_DIF, 0) AS NUM_REG_DIF FROM ("&amp;L136&amp;") A "</f>
        <v xml:space="preserve">SELECT 'Validação de campos' as tipologia_teste, 'lt002_instrument' AS TABELA, 'cvnnt_stts' AS CAMPO, '2024-09-30' as ref_date, coalesce(NUM_REG_DIF, 0) AS NUM_REG_DIF FROM (SELECT count(*) AS NUM_REG_DIF FROM (SELECT instrmnt_id as instrmnt_id_as_is, cvnnt_stts as cvnnt_stts_as_is FROM cd_loan_tapes_bce.lt002_instrument WHERE ref_date='2024-09-30' AND nome_perimetro='Individual Corporativo' AND segmento='ESTR' AND ambito='PM' AND entidade='00100' ) A  Inner join (SELECT instrmnt_id as instrmnt_id_to_be, cvnnt_stts as cvnnt_stts_to_be FROM bu_loantape_work.lt002_instrument WHERE ref_date='2024-09-30' AND nome_perimetro='Individual Corporativo' AND segmento='ESTR' AND ambito='PM' AND entidade='00100' ) B ON instrmnt_id_as_is = instrmnt_id_to_be WHERE coalesce(cast(cvnnt_stts_as_is as string), '') &lt;&gt; coalesce(cast(cvnnt_stts_to_be as string), '') ) A </v>
      </c>
      <c r="O136" s="19" t="str">
        <f t="shared" si="16"/>
        <v>SELECT 'Validação de campos' as tipologia_teste, 'lt002_instrument' AS TABELA, 'cvnnt_stts' AS CAMPO, '2024-09-30' as ref_date, coalesce(NUM_REG_DIF, 0) AS NUM_REG_DIF FROM (SELECT count(*) AS NUM_REG_DIF FROM (SELECT instrmnt_id as instrmnt_id_as_is, cvnnt_stts as cvnnt_stts_as_is FROM cd_loan_tapes_bce.lt002_instrument WHERE ref_date='2024-09-30' AND nome_perimetro='Individual Corporativo' AND segmento='ESTR' AND ambito='PM' AND entidade='00100' ) A  Inner join (SELECT instrmnt_id as instrmnt_id_to_be, cvnnt_stts as cvnnt_stts_to_be FROM bu_loantape_work.lt002_instrument WHERE ref_date='2024-09-30' AND nome_perimetro='Individual Corporativo' AND segmento='ESTR' AND ambito='PM' AND entidade='00100' ) B ON instrmnt_id_as_is = instrmnt_id_to_be WHERE coalesce(cast(cvnnt_stts_as_is as string), '') &lt;&gt; coalesce(cast(cvnnt_stts_to_be as string), '') ) A UNION ALL</v>
      </c>
      <c r="P136" s="17">
        <f t="shared" si="17"/>
        <v>32</v>
      </c>
    </row>
    <row r="137" spans="2:16" s="15" customFormat="1" ht="11.45">
      <c r="B137" s="17" t="s">
        <v>26</v>
      </c>
      <c r="C137" s="17" t="str">
        <f>_xlfn.CONCAT(Instruções!$D$13,".",VLOOKUP(B137,Instruções!$F$12:$H$17,2,0))</f>
        <v>cd_loan_tapes_bce.lt002_instrument</v>
      </c>
      <c r="D137" s="17" t="str">
        <f>_xlfn.CONCAT(Instruções!$D$14,".",VLOOKUP(B137,Instruções!$F$12:$H$17,3,0))</f>
        <v>bu_loantape_work.lt002_instrument</v>
      </c>
      <c r="E137" s="17" t="s">
        <v>191</v>
      </c>
      <c r="F137" s="17" t="str">
        <f t="shared" si="12"/>
        <v>cvnnt_typ_as_is</v>
      </c>
      <c r="G137" s="17" t="str">
        <f t="shared" si="13"/>
        <v>cvnnt_typ_to_be</v>
      </c>
      <c r="H137" s="17" t="str">
        <f>IF(VLOOKUP(B137,Instruções!$F$13:$J$17,5,0)="",
"(SELECT "&amp;VLOOKUP(B137,Instruções!$F$13:$J$17,4,0)&amp;" as "&amp;VLOOKUP(B137,Instruções!$F$13:$J$17,4,0)&amp;"_"&amp;$F$2&amp;", "&amp;E137&amp;" as "&amp;F137&amp;" FROM "&amp;C137&amp;" WHERE "&amp;Instruções!$D$20&amp;") A ",
"(SELECT "&amp;VLOOKUP(B137,Instruções!$F$13:$J$17,4,0)&amp;" as "&amp;VLOOKUP(B137,Instruções!$F$13:$J$17,4,0)&amp;"_"&amp;$F$2&amp;", "&amp;VLOOKUP(B137,Instruções!$F$13:$J$17,5,0)&amp;" as "&amp;VLOOKUP(B137,Instruções!$F$13:$J$17,5,0)&amp;"_"&amp;$F$2&amp;","&amp;E137&amp;" as "&amp;F137&amp;" FROM "&amp;C137&amp;" WHERE "&amp;Instruções!$D$20&amp;") A ")</f>
        <v xml:space="preserve">(SELECT instrmnt_id as instrmnt_id_as_is, cvnnt_typ as cvnnt_typ_as_is FROM cd_loan_tapes_bce.lt002_instrument WHERE ref_date='2024-09-30' AND nome_perimetro='Individual Corporativo' AND segmento='ESTR' AND ambito='PM' AND entidade='00100' ) A </v>
      </c>
      <c r="I137" s="17" t="str">
        <f>IF(VLOOKUP(B137,Instruções!$F$13:$J$17,5,0)="",
"(SELECT "&amp;VLOOKUP(B137,Instruções!$F$13:$J$17,4,0)&amp;" as "&amp;VLOOKUP(B137,Instruções!$F$13:$J$17,4,0)&amp;"_"&amp;$G$2&amp;", "&amp;E137&amp;" as "&amp;G137&amp;" FROM "&amp;D137&amp;" WHERE "&amp;Instruções!$D$21&amp;") B ",
"(SELECT "&amp;VLOOKUP(B137,Instruções!$F$13:$J$17,4,0)&amp;" as "&amp;VLOOKUP(B137,Instruções!$F$13:$J$17,4,0)&amp;"_"&amp;$G$2&amp;", "&amp;VLOOKUP(B137,Instruções!$F$13:$J$17,5,0)&amp;" as "&amp;VLOOKUP(B137,Instruções!$F$13:$J$17,5,0)&amp;"_"&amp;$G$2&amp;","&amp;E137&amp;" as "&amp;G137&amp;" FROM "&amp;D137&amp;" WHERE "&amp;Instruções!$D$21&amp;") B ")</f>
        <v xml:space="preserve">(SELECT instrmnt_id as instrmnt_id_to_be, cvnnt_typ as cvnnt_typ_to_be FROM bu_loantape_work.lt002_instrument WHERE ref_date='2024-09-30' AND nome_perimetro='Individual Corporativo' AND segmento='ESTR' AND ambito='PM' AND entidade='00100' ) B </v>
      </c>
      <c r="J137" s="17" t="str">
        <f>IF(VLOOKUP(B137,Instruções!$F$13:$J$17,5,0)="",
"ON "&amp;VLOOKUP(B137,Instruções!$F$13:$J$17,4,0)&amp;"_"&amp;$F$2&amp;" = "&amp;VLOOKUP(B137,Instruções!$F$13:$J$17,4,0)&amp;"_"&amp;$G$2&amp;" ",
"ON "&amp;VLOOKUP(B137,Instruções!$F$13:$J$17,4,0)&amp;"_"&amp;$F$2&amp;" = "&amp;VLOOKUP(B137,Instruções!$F$13:$J$17,4,0)&amp;"_"&amp;$G$2&amp;" AND "&amp;VLOOKUP(B137,Instruções!$F$13:$J$17,5,0)&amp;"_"&amp;$F$2&amp;" = "&amp;VLOOKUP(B137,Instruções!$F$13:$J$17,5,0)&amp;"_"&amp;$G$2&amp;" ")</f>
        <v xml:space="preserve">ON instrmnt_id_as_is = instrmnt_id_to_be </v>
      </c>
      <c r="K137" s="17" t="str">
        <f t="shared" si="14"/>
        <v xml:space="preserve">WHERE coalesce(cast(cvnnt_typ_as_is as string), '') &lt;&gt; coalesce(cast(cvnnt_typ_to_be as string), '') </v>
      </c>
      <c r="L137" s="17" t="str">
        <f t="shared" si="15"/>
        <v xml:space="preserve">SELECT count(*) AS NUM_REG_DIF FROM (SELECT instrmnt_id as instrmnt_id_as_is, cvnnt_typ as cvnnt_typ_as_is FROM cd_loan_tapes_bce.lt002_instrument WHERE ref_date='2024-09-30' AND nome_perimetro='Individual Corporativo' AND segmento='ESTR' AND ambito='PM' AND entidade='00100' ) A  Inner join (SELECT instrmnt_id as instrmnt_id_to_be, cvnnt_typ as cvnnt_typ_to_be FROM bu_loantape_work.lt002_instrument WHERE ref_date='2024-09-30' AND nome_perimetro='Individual Corporativo' AND segmento='ESTR' AND ambito='PM' AND entidade='00100' ) B ON instrmnt_id_as_is = instrmnt_id_to_be WHERE coalesce(cast(cvnnt_typ_as_is as string), '') &lt;&gt; coalesce(cast(cvnnt_typ_to_be as string), '') </v>
      </c>
      <c r="M137" s="17" t="s">
        <v>55</v>
      </c>
      <c r="N137" s="17" t="str">
        <f>"SELECT 'Validação de campos' as tipologia_teste, '"&amp;VLOOKUP(B137,Instruções!$F$13:$J$17,3,0)&amp;"' AS TABELA, '"&amp;E137&amp;"' AS CAMPO, '"&amp;Instruções!$D$15&amp;"' as ref_date, coalesce(NUM_REG_DIF, 0) AS NUM_REG_DIF FROM ("&amp;L137&amp;") A "</f>
        <v xml:space="preserve">SELECT 'Validação de campos' as tipologia_teste, 'lt002_instrument' AS TABELA, 'cvnnt_typ' AS CAMPO, '2024-09-30' as ref_date, coalesce(NUM_REG_DIF, 0) AS NUM_REG_DIF FROM (SELECT count(*) AS NUM_REG_DIF FROM (SELECT instrmnt_id as instrmnt_id_as_is, cvnnt_typ as cvnnt_typ_as_is FROM cd_loan_tapes_bce.lt002_instrument WHERE ref_date='2024-09-30' AND nome_perimetro='Individual Corporativo' AND segmento='ESTR' AND ambito='PM' AND entidade='00100' ) A  Inner join (SELECT instrmnt_id as instrmnt_id_to_be, cvnnt_typ as cvnnt_typ_to_be FROM bu_loantape_work.lt002_instrument WHERE ref_date='2024-09-30' AND nome_perimetro='Individual Corporativo' AND segmento='ESTR' AND ambito='PM' AND entidade='00100' ) B ON instrmnt_id_as_is = instrmnt_id_to_be WHERE coalesce(cast(cvnnt_typ_as_is as string), '') &lt;&gt; coalesce(cast(cvnnt_typ_to_be as string), '') ) A </v>
      </c>
      <c r="O137" s="19" t="str">
        <f t="shared" si="16"/>
        <v>SELECT 'Validação de campos' as tipologia_teste, 'lt002_instrument' AS TABELA, 'cvnnt_typ' AS CAMPO, '2024-09-30' as ref_date, coalesce(NUM_REG_DIF, 0) AS NUM_REG_DIF FROM (SELECT count(*) AS NUM_REG_DIF FROM (SELECT instrmnt_id as instrmnt_id_as_is, cvnnt_typ as cvnnt_typ_as_is FROM cd_loan_tapes_bce.lt002_instrument WHERE ref_date='2024-09-30' AND nome_perimetro='Individual Corporativo' AND segmento='ESTR' AND ambito='PM' AND entidade='00100' ) A  Inner join (SELECT instrmnt_id as instrmnt_id_to_be, cvnnt_typ as cvnnt_typ_to_be FROM bu_loantape_work.lt002_instrument WHERE ref_date='2024-09-30' AND nome_perimetro='Individual Corporativo' AND segmento='ESTR' AND ambito='PM' AND entidade='00100' ) B ON instrmnt_id_as_is = instrmnt_id_to_be WHERE coalesce(cast(cvnnt_typ_as_is as string), '') &lt;&gt; coalesce(cast(cvnnt_typ_to_be as string), '') ) A UNION ALL</v>
      </c>
      <c r="P137" s="17">
        <f t="shared" si="17"/>
        <v>33</v>
      </c>
    </row>
    <row r="138" spans="2:16" s="15" customFormat="1" ht="11.45">
      <c r="B138" s="17" t="s">
        <v>26</v>
      </c>
      <c r="C138" s="17" t="str">
        <f>_xlfn.CONCAT(Instruções!$D$13,".",VLOOKUP(B138,Instruções!$F$12:$H$17,2,0))</f>
        <v>cd_loan_tapes_bce.lt002_instrument</v>
      </c>
      <c r="D138" s="17" t="str">
        <f>_xlfn.CONCAT(Instruções!$D$14,".",VLOOKUP(B138,Instruções!$F$12:$H$17,3,0))</f>
        <v>bu_loantape_work.lt002_instrument</v>
      </c>
      <c r="E138" s="17" t="s">
        <v>192</v>
      </c>
      <c r="F138" s="17" t="str">
        <f t="shared" si="12"/>
        <v>dbt_yld_as_is</v>
      </c>
      <c r="G138" s="17" t="str">
        <f t="shared" si="13"/>
        <v>dbt_yld_to_be</v>
      </c>
      <c r="H138" s="17" t="str">
        <f>IF(VLOOKUP(B138,Instruções!$F$13:$J$17,5,0)="",
"(SELECT "&amp;VLOOKUP(B138,Instruções!$F$13:$J$17,4,0)&amp;" as "&amp;VLOOKUP(B138,Instruções!$F$13:$J$17,4,0)&amp;"_"&amp;$F$2&amp;", "&amp;E138&amp;" as "&amp;F138&amp;" FROM "&amp;C138&amp;" WHERE "&amp;Instruções!$D$20&amp;") A ",
"(SELECT "&amp;VLOOKUP(B138,Instruções!$F$13:$J$17,4,0)&amp;" as "&amp;VLOOKUP(B138,Instruções!$F$13:$J$17,4,0)&amp;"_"&amp;$F$2&amp;", "&amp;VLOOKUP(B138,Instruções!$F$13:$J$17,5,0)&amp;" as "&amp;VLOOKUP(B138,Instruções!$F$13:$J$17,5,0)&amp;"_"&amp;$F$2&amp;","&amp;E138&amp;" as "&amp;F138&amp;" FROM "&amp;C138&amp;" WHERE "&amp;Instruções!$D$20&amp;") A ")</f>
        <v xml:space="preserve">(SELECT instrmnt_id as instrmnt_id_as_is, dbt_yld as dbt_yld_as_is FROM cd_loan_tapes_bce.lt002_instrument WHERE ref_date='2024-09-30' AND nome_perimetro='Individual Corporativo' AND segmento='ESTR' AND ambito='PM' AND entidade='00100' ) A </v>
      </c>
      <c r="I138" s="17" t="str">
        <f>IF(VLOOKUP(B138,Instruções!$F$13:$J$17,5,0)="",
"(SELECT "&amp;VLOOKUP(B138,Instruções!$F$13:$J$17,4,0)&amp;" as "&amp;VLOOKUP(B138,Instruções!$F$13:$J$17,4,0)&amp;"_"&amp;$G$2&amp;", "&amp;E138&amp;" as "&amp;G138&amp;" FROM "&amp;D138&amp;" WHERE "&amp;Instruções!$D$21&amp;") B ",
"(SELECT "&amp;VLOOKUP(B138,Instruções!$F$13:$J$17,4,0)&amp;" as "&amp;VLOOKUP(B138,Instruções!$F$13:$J$17,4,0)&amp;"_"&amp;$G$2&amp;", "&amp;VLOOKUP(B138,Instruções!$F$13:$J$17,5,0)&amp;" as "&amp;VLOOKUP(B138,Instruções!$F$13:$J$17,5,0)&amp;"_"&amp;$G$2&amp;","&amp;E138&amp;" as "&amp;G138&amp;" FROM "&amp;D138&amp;" WHERE "&amp;Instruções!$D$21&amp;") B ")</f>
        <v xml:space="preserve">(SELECT instrmnt_id as instrmnt_id_to_be, dbt_yld as dbt_yld_to_be FROM bu_loantape_work.lt002_instrument WHERE ref_date='2024-09-30' AND nome_perimetro='Individual Corporativo' AND segmento='ESTR' AND ambito='PM' AND entidade='00100' ) B </v>
      </c>
      <c r="J138" s="17" t="str">
        <f>IF(VLOOKUP(B138,Instruções!$F$13:$J$17,5,0)="",
"ON "&amp;VLOOKUP(B138,Instruções!$F$13:$J$17,4,0)&amp;"_"&amp;$F$2&amp;" = "&amp;VLOOKUP(B138,Instruções!$F$13:$J$17,4,0)&amp;"_"&amp;$G$2&amp;" ",
"ON "&amp;VLOOKUP(B138,Instruções!$F$13:$J$17,4,0)&amp;"_"&amp;$F$2&amp;" = "&amp;VLOOKUP(B138,Instruções!$F$13:$J$17,4,0)&amp;"_"&amp;$G$2&amp;" AND "&amp;VLOOKUP(B138,Instruções!$F$13:$J$17,5,0)&amp;"_"&amp;$F$2&amp;" = "&amp;VLOOKUP(B138,Instruções!$F$13:$J$17,5,0)&amp;"_"&amp;$G$2&amp;" ")</f>
        <v xml:space="preserve">ON instrmnt_id_as_is = instrmnt_id_to_be </v>
      </c>
      <c r="K138" s="17" t="str">
        <f t="shared" si="14"/>
        <v xml:space="preserve">WHERE coalesce(cast(dbt_yld_as_is as string), '') &lt;&gt; coalesce(cast(dbt_yld_to_be as string), '') </v>
      </c>
      <c r="L138" s="17" t="str">
        <f t="shared" si="15"/>
        <v xml:space="preserve">SELECT count(*) AS NUM_REG_DIF FROM (SELECT instrmnt_id as instrmnt_id_as_is, dbt_yld as dbt_yld_as_is FROM cd_loan_tapes_bce.lt002_instrument WHERE ref_date='2024-09-30' AND nome_perimetro='Individual Corporativo' AND segmento='ESTR' AND ambito='PM' AND entidade='00100' ) A  Inner join (SELECT instrmnt_id as instrmnt_id_to_be, dbt_yld as dbt_yld_to_be FROM bu_loantape_work.lt002_instrument WHERE ref_date='2024-09-30' AND nome_perimetro='Individual Corporativo' AND segmento='ESTR' AND ambito='PM' AND entidade='00100' ) B ON instrmnt_id_as_is = instrmnt_id_to_be WHERE coalesce(cast(dbt_yld_as_is as string), '') &lt;&gt; coalesce(cast(dbt_yld_to_be as string), '') </v>
      </c>
      <c r="M138" s="17" t="s">
        <v>55</v>
      </c>
      <c r="N138" s="17" t="str">
        <f>"SELECT 'Validação de campos' as tipologia_teste, '"&amp;VLOOKUP(B138,Instruções!$F$13:$J$17,3,0)&amp;"' AS TABELA, '"&amp;E138&amp;"' AS CAMPO, '"&amp;Instruções!$D$15&amp;"' as ref_date, coalesce(NUM_REG_DIF, 0) AS NUM_REG_DIF FROM ("&amp;L138&amp;") A "</f>
        <v xml:space="preserve">SELECT 'Validação de campos' as tipologia_teste, 'lt002_instrument' AS TABELA, 'dbt_yld' AS CAMPO, '2024-09-30' as ref_date, coalesce(NUM_REG_DIF, 0) AS NUM_REG_DIF FROM (SELECT count(*) AS NUM_REG_DIF FROM (SELECT instrmnt_id as instrmnt_id_as_is, dbt_yld as dbt_yld_as_is FROM cd_loan_tapes_bce.lt002_instrument WHERE ref_date='2024-09-30' AND nome_perimetro='Individual Corporativo' AND segmento='ESTR' AND ambito='PM' AND entidade='00100' ) A  Inner join (SELECT instrmnt_id as instrmnt_id_to_be, dbt_yld as dbt_yld_to_be FROM bu_loantape_work.lt002_instrument WHERE ref_date='2024-09-30' AND nome_perimetro='Individual Corporativo' AND segmento='ESTR' AND ambito='PM' AND entidade='00100' ) B ON instrmnt_id_as_is = instrmnt_id_to_be WHERE coalesce(cast(dbt_yld_as_is as string), '') &lt;&gt; coalesce(cast(dbt_yld_to_be as string), '') ) A </v>
      </c>
      <c r="O138" s="19" t="str">
        <f t="shared" si="16"/>
        <v>SELECT 'Validação de campos' as tipologia_teste, 'lt002_instrument' AS TABELA, 'dbt_yld' AS CAMPO, '2024-09-30' as ref_date, coalesce(NUM_REG_DIF, 0) AS NUM_REG_DIF FROM (SELECT count(*) AS NUM_REG_DIF FROM (SELECT instrmnt_id as instrmnt_id_as_is, dbt_yld as dbt_yld_as_is FROM cd_loan_tapes_bce.lt002_instrument WHERE ref_date='2024-09-30' AND nome_perimetro='Individual Corporativo' AND segmento='ESTR' AND ambito='PM' AND entidade='00100' ) A  Inner join (SELECT instrmnt_id as instrmnt_id_to_be, dbt_yld as dbt_yld_to_be FROM bu_loantape_work.lt002_instrument WHERE ref_date='2024-09-30' AND nome_perimetro='Individual Corporativo' AND segmento='ESTR' AND ambito='PM' AND entidade='00100' ) B ON instrmnt_id_as_is = instrmnt_id_to_be WHERE coalesce(cast(dbt_yld_as_is as string), '') &lt;&gt; coalesce(cast(dbt_yld_to_be as string), '') ) A UNION ALL</v>
      </c>
      <c r="P138" s="17">
        <f t="shared" si="17"/>
        <v>34</v>
      </c>
    </row>
    <row r="139" spans="2:16" s="15" customFormat="1" ht="11.45">
      <c r="B139" s="17" t="s">
        <v>26</v>
      </c>
      <c r="C139" s="17" t="str">
        <f>_xlfn.CONCAT(Instruções!$D$13,".",VLOOKUP(B139,Instruções!$F$12:$H$17,2,0))</f>
        <v>cd_loan_tapes_bce.lt002_instrument</v>
      </c>
      <c r="D139" s="17" t="str">
        <f>_xlfn.CONCAT(Instruções!$D$14,".",VLOOKUP(B139,Instruções!$F$12:$H$17,3,0))</f>
        <v>bu_loantape_work.lt002_instrument</v>
      </c>
      <c r="E139" s="17" t="s">
        <v>193</v>
      </c>
      <c r="F139" s="17" t="str">
        <f t="shared" si="12"/>
        <v>dflt_stts_instrmnt_as_is</v>
      </c>
      <c r="G139" s="17" t="str">
        <f t="shared" si="13"/>
        <v>dflt_stts_instrmnt_to_be</v>
      </c>
      <c r="H139" s="17" t="str">
        <f>IF(VLOOKUP(B139,Instruções!$F$13:$J$17,5,0)="",
"(SELECT "&amp;VLOOKUP(B139,Instruções!$F$13:$J$17,4,0)&amp;" as "&amp;VLOOKUP(B139,Instruções!$F$13:$J$17,4,0)&amp;"_"&amp;$F$2&amp;", "&amp;E139&amp;" as "&amp;F139&amp;" FROM "&amp;C139&amp;" WHERE "&amp;Instruções!$D$20&amp;") A ",
"(SELECT "&amp;VLOOKUP(B139,Instruções!$F$13:$J$17,4,0)&amp;" as "&amp;VLOOKUP(B139,Instruções!$F$13:$J$17,4,0)&amp;"_"&amp;$F$2&amp;", "&amp;VLOOKUP(B139,Instruções!$F$13:$J$17,5,0)&amp;" as "&amp;VLOOKUP(B139,Instruções!$F$13:$J$17,5,0)&amp;"_"&amp;$F$2&amp;","&amp;E139&amp;" as "&amp;F139&amp;" FROM "&amp;C139&amp;" WHERE "&amp;Instruções!$D$20&amp;") A ")</f>
        <v xml:space="preserve">(SELECT instrmnt_id as instrmnt_id_as_is, dflt_stts_instrmnt as dflt_stts_instrmnt_as_is FROM cd_loan_tapes_bce.lt002_instrument WHERE ref_date='2024-09-30' AND nome_perimetro='Individual Corporativo' AND segmento='ESTR' AND ambito='PM' AND entidade='00100' ) A </v>
      </c>
      <c r="I139" s="17" t="str">
        <f>IF(VLOOKUP(B139,Instruções!$F$13:$J$17,5,0)="",
"(SELECT "&amp;VLOOKUP(B139,Instruções!$F$13:$J$17,4,0)&amp;" as "&amp;VLOOKUP(B139,Instruções!$F$13:$J$17,4,0)&amp;"_"&amp;$G$2&amp;", "&amp;E139&amp;" as "&amp;G139&amp;" FROM "&amp;D139&amp;" WHERE "&amp;Instruções!$D$21&amp;") B ",
"(SELECT "&amp;VLOOKUP(B139,Instruções!$F$13:$J$17,4,0)&amp;" as "&amp;VLOOKUP(B139,Instruções!$F$13:$J$17,4,0)&amp;"_"&amp;$G$2&amp;", "&amp;VLOOKUP(B139,Instruções!$F$13:$J$17,5,0)&amp;" as "&amp;VLOOKUP(B139,Instruções!$F$13:$J$17,5,0)&amp;"_"&amp;$G$2&amp;","&amp;E139&amp;" as "&amp;G139&amp;" FROM "&amp;D139&amp;" WHERE "&amp;Instruções!$D$21&amp;") B ")</f>
        <v xml:space="preserve">(SELECT instrmnt_id as instrmnt_id_to_be, dflt_stts_instrmnt as dflt_stts_instrmnt_to_be FROM bu_loantape_work.lt002_instrument WHERE ref_date='2024-09-30' AND nome_perimetro='Individual Corporativo' AND segmento='ESTR' AND ambito='PM' AND entidade='00100' ) B </v>
      </c>
      <c r="J139" s="17" t="str">
        <f>IF(VLOOKUP(B139,Instruções!$F$13:$J$17,5,0)="",
"ON "&amp;VLOOKUP(B139,Instruções!$F$13:$J$17,4,0)&amp;"_"&amp;$F$2&amp;" = "&amp;VLOOKUP(B139,Instruções!$F$13:$J$17,4,0)&amp;"_"&amp;$G$2&amp;" ",
"ON "&amp;VLOOKUP(B139,Instruções!$F$13:$J$17,4,0)&amp;"_"&amp;$F$2&amp;" = "&amp;VLOOKUP(B139,Instruções!$F$13:$J$17,4,0)&amp;"_"&amp;$G$2&amp;" AND "&amp;VLOOKUP(B139,Instruções!$F$13:$J$17,5,0)&amp;"_"&amp;$F$2&amp;" = "&amp;VLOOKUP(B139,Instruções!$F$13:$J$17,5,0)&amp;"_"&amp;$G$2&amp;" ")</f>
        <v xml:space="preserve">ON instrmnt_id_as_is = instrmnt_id_to_be </v>
      </c>
      <c r="K139" s="17" t="str">
        <f t="shared" si="14"/>
        <v xml:space="preserve">WHERE coalesce(cast(dflt_stts_instrmnt_as_is as string), '') &lt;&gt; coalesce(cast(dflt_stts_instrmnt_to_be as string), '') </v>
      </c>
      <c r="L139" s="17" t="str">
        <f t="shared" si="15"/>
        <v xml:space="preserve">SELECT count(*) AS NUM_REG_DIF FROM (SELECT instrmnt_id as instrmnt_id_as_is, dflt_stts_instrmnt as dflt_stts_instrmnt_as_is FROM cd_loan_tapes_bce.lt002_instrument WHERE ref_date='2024-09-30' AND nome_perimetro='Individual Corporativo' AND segmento='ESTR' AND ambito='PM' AND entidade='00100' ) A  Inner join (SELECT instrmnt_id as instrmnt_id_to_be, dflt_stts_instrmnt as dflt_stts_instrmnt_to_be FROM bu_loantape_work.lt002_instrument WHERE ref_date='2024-09-30' AND nome_perimetro='Individual Corporativo' AND segmento='ESTR' AND ambito='PM' AND entidade='00100' ) B ON instrmnt_id_as_is = instrmnt_id_to_be WHERE coalesce(cast(dflt_stts_instrmnt_as_is as string), '') &lt;&gt; coalesce(cast(dflt_stts_instrmnt_to_be as string), '') </v>
      </c>
      <c r="M139" s="17" t="s">
        <v>55</v>
      </c>
      <c r="N139" s="17" t="str">
        <f>"SELECT 'Validação de campos' as tipologia_teste, '"&amp;VLOOKUP(B139,Instruções!$F$13:$J$17,3,0)&amp;"' AS TABELA, '"&amp;E139&amp;"' AS CAMPO, '"&amp;Instruções!$D$15&amp;"' as ref_date, coalesce(NUM_REG_DIF, 0) AS NUM_REG_DIF FROM ("&amp;L139&amp;") A "</f>
        <v xml:space="preserve">SELECT 'Validação de campos' as tipologia_teste, 'lt002_instrument' AS TABELA, 'dflt_stts_instrmnt' AS CAMPO, '2024-09-30' as ref_date, coalesce(NUM_REG_DIF, 0) AS NUM_REG_DIF FROM (SELECT count(*) AS NUM_REG_DIF FROM (SELECT instrmnt_id as instrmnt_id_as_is, dflt_stts_instrmnt as dflt_stts_instrmnt_as_is FROM cd_loan_tapes_bce.lt002_instrument WHERE ref_date='2024-09-30' AND nome_perimetro='Individual Corporativo' AND segmento='ESTR' AND ambito='PM' AND entidade='00100' ) A  Inner join (SELECT instrmnt_id as instrmnt_id_to_be, dflt_stts_instrmnt as dflt_stts_instrmnt_to_be FROM bu_loantape_work.lt002_instrument WHERE ref_date='2024-09-30' AND nome_perimetro='Individual Corporativo' AND segmento='ESTR' AND ambito='PM' AND entidade='00100' ) B ON instrmnt_id_as_is = instrmnt_id_to_be WHERE coalesce(cast(dflt_stts_instrmnt_as_is as string), '') &lt;&gt; coalesce(cast(dflt_stts_instrmnt_to_be as string), '') ) A </v>
      </c>
      <c r="O139" s="19" t="str">
        <f t="shared" si="16"/>
        <v>SELECT 'Validação de campos' as tipologia_teste, 'lt002_instrument' AS TABELA, 'dflt_stts_instrmnt' AS CAMPO, '2024-09-30' as ref_date, coalesce(NUM_REG_DIF, 0) AS NUM_REG_DIF FROM (SELECT count(*) AS NUM_REG_DIF FROM (SELECT instrmnt_id as instrmnt_id_as_is, dflt_stts_instrmnt as dflt_stts_instrmnt_as_is FROM cd_loan_tapes_bce.lt002_instrument WHERE ref_date='2024-09-30' AND nome_perimetro='Individual Corporativo' AND segmento='ESTR' AND ambito='PM' AND entidade='00100' ) A  Inner join (SELECT instrmnt_id as instrmnt_id_to_be, dflt_stts_instrmnt as dflt_stts_instrmnt_to_be FROM bu_loantape_work.lt002_instrument WHERE ref_date='2024-09-30' AND nome_perimetro='Individual Corporativo' AND segmento='ESTR' AND ambito='PM' AND entidade='00100' ) B ON instrmnt_id_as_is = instrmnt_id_to_be WHERE coalesce(cast(dflt_stts_instrmnt_as_is as string), '') &lt;&gt; coalesce(cast(dflt_stts_instrmnt_to_be as string), '') ) A UNION ALL</v>
      </c>
      <c r="P139" s="17">
        <f t="shared" si="17"/>
        <v>35</v>
      </c>
    </row>
    <row r="140" spans="2:16" s="15" customFormat="1" ht="11.45">
      <c r="B140" s="17" t="s">
        <v>26</v>
      </c>
      <c r="C140" s="17" t="str">
        <f>_xlfn.CONCAT(Instruções!$D$13,".",VLOOKUP(B140,Instruções!$F$12:$H$17,2,0))</f>
        <v>cd_loan_tapes_bce.lt002_instrument</v>
      </c>
      <c r="D140" s="17" t="str">
        <f>_xlfn.CONCAT(Instruções!$D$14,".",VLOOKUP(B140,Instruções!$F$12:$H$17,3,0))</f>
        <v>bu_loantape_work.lt002_instrument</v>
      </c>
      <c r="E140" s="17" t="s">
        <v>199</v>
      </c>
      <c r="F140" s="17" t="str">
        <f t="shared" si="12"/>
        <v>dpd_as_is</v>
      </c>
      <c r="G140" s="17" t="str">
        <f t="shared" si="13"/>
        <v>dpd_to_be</v>
      </c>
      <c r="H140" s="17" t="str">
        <f>IF(VLOOKUP(B140,Instruções!$F$13:$J$17,5,0)="",
"(SELECT "&amp;VLOOKUP(B140,Instruções!$F$13:$J$17,4,0)&amp;" as "&amp;VLOOKUP(B140,Instruções!$F$13:$J$17,4,0)&amp;"_"&amp;$F$2&amp;", "&amp;E140&amp;" as "&amp;F140&amp;" FROM "&amp;C140&amp;" WHERE "&amp;Instruções!$D$20&amp;") A ",
"(SELECT "&amp;VLOOKUP(B140,Instruções!$F$13:$J$17,4,0)&amp;" as "&amp;VLOOKUP(B140,Instruções!$F$13:$J$17,4,0)&amp;"_"&amp;$F$2&amp;", "&amp;VLOOKUP(B140,Instruções!$F$13:$J$17,5,0)&amp;" as "&amp;VLOOKUP(B140,Instruções!$F$13:$J$17,5,0)&amp;"_"&amp;$F$2&amp;","&amp;E140&amp;" as "&amp;F140&amp;" FROM "&amp;C140&amp;" WHERE "&amp;Instruções!$D$20&amp;") A ")</f>
        <v xml:space="preserve">(SELECT instrmnt_id as instrmnt_id_as_is, dpd as dpd_as_is FROM cd_loan_tapes_bce.lt002_instrument WHERE ref_date='2024-09-30' AND nome_perimetro='Individual Corporativo' AND segmento='ESTR' AND ambito='PM' AND entidade='00100' ) A </v>
      </c>
      <c r="I140" s="17" t="str">
        <f>IF(VLOOKUP(B140,Instruções!$F$13:$J$17,5,0)="",
"(SELECT "&amp;VLOOKUP(B140,Instruções!$F$13:$J$17,4,0)&amp;" as "&amp;VLOOKUP(B140,Instruções!$F$13:$J$17,4,0)&amp;"_"&amp;$G$2&amp;", "&amp;E140&amp;" as "&amp;G140&amp;" FROM "&amp;D140&amp;" WHERE "&amp;Instruções!$D$21&amp;") B ",
"(SELECT "&amp;VLOOKUP(B140,Instruções!$F$13:$J$17,4,0)&amp;" as "&amp;VLOOKUP(B140,Instruções!$F$13:$J$17,4,0)&amp;"_"&amp;$G$2&amp;", "&amp;VLOOKUP(B140,Instruções!$F$13:$J$17,5,0)&amp;" as "&amp;VLOOKUP(B140,Instruções!$F$13:$J$17,5,0)&amp;"_"&amp;$G$2&amp;","&amp;E140&amp;" as "&amp;G140&amp;" FROM "&amp;D140&amp;" WHERE "&amp;Instruções!$D$21&amp;") B ")</f>
        <v xml:space="preserve">(SELECT instrmnt_id as instrmnt_id_to_be, dpd as dpd_to_be FROM bu_loantape_work.lt002_instrument WHERE ref_date='2024-09-30' AND nome_perimetro='Individual Corporativo' AND segmento='ESTR' AND ambito='PM' AND entidade='00100' ) B </v>
      </c>
      <c r="J140" s="17" t="str">
        <f>IF(VLOOKUP(B140,Instruções!$F$13:$J$17,5,0)="",
"ON "&amp;VLOOKUP(B140,Instruções!$F$13:$J$17,4,0)&amp;"_"&amp;$F$2&amp;" = "&amp;VLOOKUP(B140,Instruções!$F$13:$J$17,4,0)&amp;"_"&amp;$G$2&amp;" ",
"ON "&amp;VLOOKUP(B140,Instruções!$F$13:$J$17,4,0)&amp;"_"&amp;$F$2&amp;" = "&amp;VLOOKUP(B140,Instruções!$F$13:$J$17,4,0)&amp;"_"&amp;$G$2&amp;" AND "&amp;VLOOKUP(B140,Instruções!$F$13:$J$17,5,0)&amp;"_"&amp;$F$2&amp;" = "&amp;VLOOKUP(B140,Instruções!$F$13:$J$17,5,0)&amp;"_"&amp;$G$2&amp;" ")</f>
        <v xml:space="preserve">ON instrmnt_id_as_is = instrmnt_id_to_be </v>
      </c>
      <c r="K140" s="17" t="str">
        <f t="shared" si="14"/>
        <v xml:space="preserve">WHERE coalesce(cast(dpd_as_is as string), '') &lt;&gt; coalesce(cast(dpd_to_be as string), '') </v>
      </c>
      <c r="L140" s="17" t="str">
        <f t="shared" si="15"/>
        <v xml:space="preserve">SELECT count(*) AS NUM_REG_DIF FROM (SELECT instrmnt_id as instrmnt_id_as_is, dpd as dpd_as_is FROM cd_loan_tapes_bce.lt002_instrument WHERE ref_date='2024-09-30' AND nome_perimetro='Individual Corporativo' AND segmento='ESTR' AND ambito='PM' AND entidade='00100' ) A  Inner join (SELECT instrmnt_id as instrmnt_id_to_be, dpd as dpd_to_be FROM bu_loantape_work.lt002_instrument WHERE ref_date='2024-09-30' AND nome_perimetro='Individual Corporativo' AND segmento='ESTR' AND ambito='PM' AND entidade='00100' ) B ON instrmnt_id_as_is = instrmnt_id_to_be WHERE coalesce(cast(dpd_as_is as string), '') &lt;&gt; coalesce(cast(dpd_to_be as string), '') </v>
      </c>
      <c r="M140" s="17" t="s">
        <v>55</v>
      </c>
      <c r="N140" s="17" t="str">
        <f>"SELECT 'Validação de campos' as tipologia_teste, '"&amp;VLOOKUP(B140,Instruções!$F$13:$J$17,3,0)&amp;"' AS TABELA, '"&amp;E140&amp;"' AS CAMPO, '"&amp;Instruções!$D$15&amp;"' as ref_date, coalesce(NUM_REG_DIF, 0) AS NUM_REG_DIF FROM ("&amp;L140&amp;") A "</f>
        <v xml:space="preserve">SELECT 'Validação de campos' as tipologia_teste, 'lt002_instrument' AS TABELA, 'dpd' AS CAMPO, '2024-09-30' as ref_date, coalesce(NUM_REG_DIF, 0) AS NUM_REG_DIF FROM (SELECT count(*) AS NUM_REG_DIF FROM (SELECT instrmnt_id as instrmnt_id_as_is, dpd as dpd_as_is FROM cd_loan_tapes_bce.lt002_instrument WHERE ref_date='2024-09-30' AND nome_perimetro='Individual Corporativo' AND segmento='ESTR' AND ambito='PM' AND entidade='00100' ) A  Inner join (SELECT instrmnt_id as instrmnt_id_to_be, dpd as dpd_to_be FROM bu_loantape_work.lt002_instrument WHERE ref_date='2024-09-30' AND nome_perimetro='Individual Corporativo' AND segmento='ESTR' AND ambito='PM' AND entidade='00100' ) B ON instrmnt_id_as_is = instrmnt_id_to_be WHERE coalesce(cast(dpd_as_is as string), '') &lt;&gt; coalesce(cast(dpd_to_be as string), '') ) A </v>
      </c>
      <c r="O140" s="19" t="str">
        <f t="shared" si="16"/>
        <v>SELECT 'Validação de campos' as tipologia_teste, 'lt002_instrument' AS TABELA, 'dpd' AS CAMPO, '2024-09-30' as ref_date, coalesce(NUM_REG_DIF, 0) AS NUM_REG_DIF FROM (SELECT count(*) AS NUM_REG_DIF FROM (SELECT instrmnt_id as instrmnt_id_as_is, dpd as dpd_as_is FROM cd_loan_tapes_bce.lt002_instrument WHERE ref_date='2024-09-30' AND nome_perimetro='Individual Corporativo' AND segmento='ESTR' AND ambito='PM' AND entidade='00100' ) A  Inner join (SELECT instrmnt_id as instrmnt_id_to_be, dpd as dpd_to_be FROM bu_loantape_work.lt002_instrument WHERE ref_date='2024-09-30' AND nome_perimetro='Individual Corporativo' AND segmento='ESTR' AND ambito='PM' AND entidade='00100' ) B ON instrmnt_id_as_is = instrmnt_id_to_be WHERE coalesce(cast(dpd_as_is as string), '') &lt;&gt; coalesce(cast(dpd_to_be as string), '') ) A UNION ALL</v>
      </c>
      <c r="P140" s="17">
        <f t="shared" si="17"/>
        <v>36</v>
      </c>
    </row>
    <row r="141" spans="2:16" s="15" customFormat="1" ht="11.45">
      <c r="B141" s="17" t="s">
        <v>26</v>
      </c>
      <c r="C141" s="17" t="str">
        <f>_xlfn.CONCAT(Instruções!$D$13,".",VLOOKUP(B141,Instruções!$F$12:$H$17,2,0))</f>
        <v>cd_loan_tapes_bce.lt002_instrument</v>
      </c>
      <c r="D141" s="17" t="str">
        <f>_xlfn.CONCAT(Instruções!$D$14,".",VLOOKUP(B141,Instruções!$F$12:$H$17,3,0))</f>
        <v>bu_loantape_work.lt002_instrument</v>
      </c>
      <c r="E141" s="17" t="s">
        <v>194</v>
      </c>
      <c r="F141" s="17" t="str">
        <f t="shared" si="12"/>
        <v>dpd_12m_as_is</v>
      </c>
      <c r="G141" s="17" t="str">
        <f t="shared" si="13"/>
        <v>dpd_12m_to_be</v>
      </c>
      <c r="H141" s="17" t="str">
        <f>IF(VLOOKUP(B141,Instruções!$F$13:$J$17,5,0)="",
"(SELECT "&amp;VLOOKUP(B141,Instruções!$F$13:$J$17,4,0)&amp;" as "&amp;VLOOKUP(B141,Instruções!$F$13:$J$17,4,0)&amp;"_"&amp;$F$2&amp;", "&amp;E141&amp;" as "&amp;F141&amp;" FROM "&amp;C141&amp;" WHERE "&amp;Instruções!$D$20&amp;") A ",
"(SELECT "&amp;VLOOKUP(B141,Instruções!$F$13:$J$17,4,0)&amp;" as "&amp;VLOOKUP(B141,Instruções!$F$13:$J$17,4,0)&amp;"_"&amp;$F$2&amp;", "&amp;VLOOKUP(B141,Instruções!$F$13:$J$17,5,0)&amp;" as "&amp;VLOOKUP(B141,Instruções!$F$13:$J$17,5,0)&amp;"_"&amp;$F$2&amp;","&amp;E141&amp;" as "&amp;F141&amp;" FROM "&amp;C141&amp;" WHERE "&amp;Instruções!$D$20&amp;") A ")</f>
        <v xml:space="preserve">(SELECT instrmnt_id as instrmnt_id_as_is, dpd_12m as dpd_12m_as_is FROM cd_loan_tapes_bce.lt002_instrument WHERE ref_date='2024-09-30' AND nome_perimetro='Individual Corporativo' AND segmento='ESTR' AND ambito='PM' AND entidade='00100' ) A </v>
      </c>
      <c r="I141" s="17" t="str">
        <f>IF(VLOOKUP(B141,Instruções!$F$13:$J$17,5,0)="",
"(SELECT "&amp;VLOOKUP(B141,Instruções!$F$13:$J$17,4,0)&amp;" as "&amp;VLOOKUP(B141,Instruções!$F$13:$J$17,4,0)&amp;"_"&amp;$G$2&amp;", "&amp;E141&amp;" as "&amp;G141&amp;" FROM "&amp;D141&amp;" WHERE "&amp;Instruções!$D$21&amp;") B ",
"(SELECT "&amp;VLOOKUP(B141,Instruções!$F$13:$J$17,4,0)&amp;" as "&amp;VLOOKUP(B141,Instruções!$F$13:$J$17,4,0)&amp;"_"&amp;$G$2&amp;", "&amp;VLOOKUP(B141,Instruções!$F$13:$J$17,5,0)&amp;" as "&amp;VLOOKUP(B141,Instruções!$F$13:$J$17,5,0)&amp;"_"&amp;$G$2&amp;","&amp;E141&amp;" as "&amp;G141&amp;" FROM "&amp;D141&amp;" WHERE "&amp;Instruções!$D$21&amp;") B ")</f>
        <v xml:space="preserve">(SELECT instrmnt_id as instrmnt_id_to_be, dpd_12m as dpd_12m_to_be FROM bu_loantape_work.lt002_instrument WHERE ref_date='2024-09-30' AND nome_perimetro='Individual Corporativo' AND segmento='ESTR' AND ambito='PM' AND entidade='00100' ) B </v>
      </c>
      <c r="J141" s="17" t="str">
        <f>IF(VLOOKUP(B141,Instruções!$F$13:$J$17,5,0)="",
"ON "&amp;VLOOKUP(B141,Instruções!$F$13:$J$17,4,0)&amp;"_"&amp;$F$2&amp;" = "&amp;VLOOKUP(B141,Instruções!$F$13:$J$17,4,0)&amp;"_"&amp;$G$2&amp;" ",
"ON "&amp;VLOOKUP(B141,Instruções!$F$13:$J$17,4,0)&amp;"_"&amp;$F$2&amp;" = "&amp;VLOOKUP(B141,Instruções!$F$13:$J$17,4,0)&amp;"_"&amp;$G$2&amp;" AND "&amp;VLOOKUP(B141,Instruções!$F$13:$J$17,5,0)&amp;"_"&amp;$F$2&amp;" = "&amp;VLOOKUP(B141,Instruções!$F$13:$J$17,5,0)&amp;"_"&amp;$G$2&amp;" ")</f>
        <v xml:space="preserve">ON instrmnt_id_as_is = instrmnt_id_to_be </v>
      </c>
      <c r="K141" s="17" t="str">
        <f t="shared" si="14"/>
        <v xml:space="preserve">WHERE coalesce(cast(dpd_12m_as_is as string), '') &lt;&gt; coalesce(cast(dpd_12m_to_be as string), '') </v>
      </c>
      <c r="L141" s="17" t="str">
        <f t="shared" si="15"/>
        <v xml:space="preserve">SELECT count(*) AS NUM_REG_DIF FROM (SELECT instrmnt_id as instrmnt_id_as_is, dpd_12m as dpd_12m_as_is FROM cd_loan_tapes_bce.lt002_instrument WHERE ref_date='2024-09-30' AND nome_perimetro='Individual Corporativo' AND segmento='ESTR' AND ambito='PM' AND entidade='00100' ) A  Inner join (SELECT instrmnt_id as instrmnt_id_to_be, dpd_12m as dpd_12m_to_be FROM bu_loantape_work.lt002_instrument WHERE ref_date='2024-09-30' AND nome_perimetro='Individual Corporativo' AND segmento='ESTR' AND ambito='PM' AND entidade='00100' ) B ON instrmnt_id_as_is = instrmnt_id_to_be WHERE coalesce(cast(dpd_12m_as_is as string), '') &lt;&gt; coalesce(cast(dpd_12m_to_be as string), '') </v>
      </c>
      <c r="M141" s="17" t="s">
        <v>55</v>
      </c>
      <c r="N141" s="17" t="str">
        <f>"SELECT 'Validação de campos' as tipologia_teste, '"&amp;VLOOKUP(B141,Instruções!$F$13:$J$17,3,0)&amp;"' AS TABELA, '"&amp;E141&amp;"' AS CAMPO, '"&amp;Instruções!$D$15&amp;"' as ref_date, coalesce(NUM_REG_DIF, 0) AS NUM_REG_DIF FROM ("&amp;L141&amp;") A "</f>
        <v xml:space="preserve">SELECT 'Validação de campos' as tipologia_teste, 'lt002_instrument' AS TABELA, 'dpd_12m' AS CAMPO, '2024-09-30' as ref_date, coalesce(NUM_REG_DIF, 0) AS NUM_REG_DIF FROM (SELECT count(*) AS NUM_REG_DIF FROM (SELECT instrmnt_id as instrmnt_id_as_is, dpd_12m as dpd_12m_as_is FROM cd_loan_tapes_bce.lt002_instrument WHERE ref_date='2024-09-30' AND nome_perimetro='Individual Corporativo' AND segmento='ESTR' AND ambito='PM' AND entidade='00100' ) A  Inner join (SELECT instrmnt_id as instrmnt_id_to_be, dpd_12m as dpd_12m_to_be FROM bu_loantape_work.lt002_instrument WHERE ref_date='2024-09-30' AND nome_perimetro='Individual Corporativo' AND segmento='ESTR' AND ambito='PM' AND entidade='00100' ) B ON instrmnt_id_as_is = instrmnt_id_to_be WHERE coalesce(cast(dpd_12m_as_is as string), '') &lt;&gt; coalesce(cast(dpd_12m_to_be as string), '') ) A </v>
      </c>
      <c r="O141" s="19" t="str">
        <f t="shared" si="16"/>
        <v>SELECT 'Validação de campos' as tipologia_teste, 'lt002_instrument' AS TABELA, 'dpd_12m' AS CAMPO, '2024-09-30' as ref_date, coalesce(NUM_REG_DIF, 0) AS NUM_REG_DIF FROM (SELECT count(*) AS NUM_REG_DIF FROM (SELECT instrmnt_id as instrmnt_id_as_is, dpd_12m as dpd_12m_as_is FROM cd_loan_tapes_bce.lt002_instrument WHERE ref_date='2024-09-30' AND nome_perimetro='Individual Corporativo' AND segmento='ESTR' AND ambito='PM' AND entidade='00100' ) A  Inner join (SELECT instrmnt_id as instrmnt_id_to_be, dpd_12m as dpd_12m_to_be FROM bu_loantape_work.lt002_instrument WHERE ref_date='2024-09-30' AND nome_perimetro='Individual Corporativo' AND segmento='ESTR' AND ambito='PM' AND entidade='00100' ) B ON instrmnt_id_as_is = instrmnt_id_to_be WHERE coalesce(cast(dpd_12m_as_is as string), '') &lt;&gt; coalesce(cast(dpd_12m_to_be as string), '') ) A UNION ALL</v>
      </c>
      <c r="P141" s="17">
        <f t="shared" si="17"/>
        <v>37</v>
      </c>
    </row>
    <row r="142" spans="2:16" s="15" customFormat="1" ht="11.45">
      <c r="B142" s="17" t="s">
        <v>26</v>
      </c>
      <c r="C142" s="17" t="str">
        <f>_xlfn.CONCAT(Instruções!$D$13,".",VLOOKUP(B142,Instruções!$F$12:$H$17,2,0))</f>
        <v>cd_loan_tapes_bce.lt002_instrument</v>
      </c>
      <c r="D142" s="17" t="str">
        <f>_xlfn.CONCAT(Instruções!$D$14,".",VLOOKUP(B142,Instruções!$F$12:$H$17,3,0))</f>
        <v>bu_loantape_work.lt002_instrument</v>
      </c>
      <c r="E142" s="17" t="s">
        <v>195</v>
      </c>
      <c r="F142" s="17" t="str">
        <f t="shared" si="12"/>
        <v>dpd_12m_frbrnc_stts_as_is</v>
      </c>
      <c r="G142" s="17" t="str">
        <f t="shared" si="13"/>
        <v>dpd_12m_frbrnc_stts_to_be</v>
      </c>
      <c r="H142" s="17" t="str">
        <f>IF(VLOOKUP(B142,Instruções!$F$13:$J$17,5,0)="",
"(SELECT "&amp;VLOOKUP(B142,Instruções!$F$13:$J$17,4,0)&amp;" as "&amp;VLOOKUP(B142,Instruções!$F$13:$J$17,4,0)&amp;"_"&amp;$F$2&amp;", "&amp;E142&amp;" as "&amp;F142&amp;" FROM "&amp;C142&amp;" WHERE "&amp;Instruções!$D$20&amp;") A ",
"(SELECT "&amp;VLOOKUP(B142,Instruções!$F$13:$J$17,4,0)&amp;" as "&amp;VLOOKUP(B142,Instruções!$F$13:$J$17,4,0)&amp;"_"&amp;$F$2&amp;", "&amp;VLOOKUP(B142,Instruções!$F$13:$J$17,5,0)&amp;" as "&amp;VLOOKUP(B142,Instruções!$F$13:$J$17,5,0)&amp;"_"&amp;$F$2&amp;","&amp;E142&amp;" as "&amp;F142&amp;" FROM "&amp;C142&amp;" WHERE "&amp;Instruções!$D$20&amp;") A ")</f>
        <v xml:space="preserve">(SELECT instrmnt_id as instrmnt_id_as_is, dpd_12m_frbrnc_stts as dpd_12m_frbrnc_stts_as_is FROM cd_loan_tapes_bce.lt002_instrument WHERE ref_date='2024-09-30' AND nome_perimetro='Individual Corporativo' AND segmento='ESTR' AND ambito='PM' AND entidade='00100' ) A </v>
      </c>
      <c r="I142" s="17" t="str">
        <f>IF(VLOOKUP(B142,Instruções!$F$13:$J$17,5,0)="",
"(SELECT "&amp;VLOOKUP(B142,Instruções!$F$13:$J$17,4,0)&amp;" as "&amp;VLOOKUP(B142,Instruções!$F$13:$J$17,4,0)&amp;"_"&amp;$G$2&amp;", "&amp;E142&amp;" as "&amp;G142&amp;" FROM "&amp;D142&amp;" WHERE "&amp;Instruções!$D$21&amp;") B ",
"(SELECT "&amp;VLOOKUP(B142,Instruções!$F$13:$J$17,4,0)&amp;" as "&amp;VLOOKUP(B142,Instruções!$F$13:$J$17,4,0)&amp;"_"&amp;$G$2&amp;", "&amp;VLOOKUP(B142,Instruções!$F$13:$J$17,5,0)&amp;" as "&amp;VLOOKUP(B142,Instruções!$F$13:$J$17,5,0)&amp;"_"&amp;$G$2&amp;","&amp;E142&amp;" as "&amp;G142&amp;" FROM "&amp;D142&amp;" WHERE "&amp;Instruções!$D$21&amp;") B ")</f>
        <v xml:space="preserve">(SELECT instrmnt_id as instrmnt_id_to_be, dpd_12m_frbrnc_stts as dpd_12m_frbrnc_stts_to_be FROM bu_loantape_work.lt002_instrument WHERE ref_date='2024-09-30' AND nome_perimetro='Individual Corporativo' AND segmento='ESTR' AND ambito='PM' AND entidade='00100' ) B </v>
      </c>
      <c r="J142" s="17" t="str">
        <f>IF(VLOOKUP(B142,Instruções!$F$13:$J$17,5,0)="",
"ON "&amp;VLOOKUP(B142,Instruções!$F$13:$J$17,4,0)&amp;"_"&amp;$F$2&amp;" = "&amp;VLOOKUP(B142,Instruções!$F$13:$J$17,4,0)&amp;"_"&amp;$G$2&amp;" ",
"ON "&amp;VLOOKUP(B142,Instruções!$F$13:$J$17,4,0)&amp;"_"&amp;$F$2&amp;" = "&amp;VLOOKUP(B142,Instruções!$F$13:$J$17,4,0)&amp;"_"&amp;$G$2&amp;" AND "&amp;VLOOKUP(B142,Instruções!$F$13:$J$17,5,0)&amp;"_"&amp;$F$2&amp;" = "&amp;VLOOKUP(B142,Instruções!$F$13:$J$17,5,0)&amp;"_"&amp;$G$2&amp;" ")</f>
        <v xml:space="preserve">ON instrmnt_id_as_is = instrmnt_id_to_be </v>
      </c>
      <c r="K142" s="17" t="str">
        <f t="shared" si="14"/>
        <v xml:space="preserve">WHERE coalesce(cast(dpd_12m_frbrnc_stts_as_is as string), '') &lt;&gt; coalesce(cast(dpd_12m_frbrnc_stts_to_be as string), '') </v>
      </c>
      <c r="L142" s="17" t="str">
        <f t="shared" si="15"/>
        <v xml:space="preserve">SELECT count(*) AS NUM_REG_DIF FROM (SELECT instrmnt_id as instrmnt_id_as_is, dpd_12m_frbrnc_stts as dpd_12m_frbrnc_stts_as_is FROM cd_loan_tapes_bce.lt002_instrument WHERE ref_date='2024-09-30' AND nome_perimetro='Individual Corporativo' AND segmento='ESTR' AND ambito='PM' AND entidade='00100' ) A  Inner join (SELECT instrmnt_id as instrmnt_id_to_be, dpd_12m_frbrnc_stts as dpd_12m_frbrnc_stts_to_be FROM bu_loantape_work.lt002_instrument WHERE ref_date='2024-09-30' AND nome_perimetro='Individual Corporativo' AND segmento='ESTR' AND ambito='PM' AND entidade='00100' ) B ON instrmnt_id_as_is = instrmnt_id_to_be WHERE coalesce(cast(dpd_12m_frbrnc_stts_as_is as string), '') &lt;&gt; coalesce(cast(dpd_12m_frbrnc_stts_to_be as string), '') </v>
      </c>
      <c r="M142" s="17" t="s">
        <v>55</v>
      </c>
      <c r="N142" s="17" t="str">
        <f>"SELECT 'Validação de campos' as tipologia_teste, '"&amp;VLOOKUP(B142,Instruções!$F$13:$J$17,3,0)&amp;"' AS TABELA, '"&amp;E142&amp;"' AS CAMPO, '"&amp;Instruções!$D$15&amp;"' as ref_date, coalesce(NUM_REG_DIF, 0) AS NUM_REG_DIF FROM ("&amp;L142&amp;") A "</f>
        <v xml:space="preserve">SELECT 'Validação de campos' as tipologia_teste, 'lt002_instrument' AS TABELA, 'dpd_12m_frbrnc_stts' AS CAMPO, '2024-09-30' as ref_date, coalesce(NUM_REG_DIF, 0) AS NUM_REG_DIF FROM (SELECT count(*) AS NUM_REG_DIF FROM (SELECT instrmnt_id as instrmnt_id_as_is, dpd_12m_frbrnc_stts as dpd_12m_frbrnc_stts_as_is FROM cd_loan_tapes_bce.lt002_instrument WHERE ref_date='2024-09-30' AND nome_perimetro='Individual Corporativo' AND segmento='ESTR' AND ambito='PM' AND entidade='00100' ) A  Inner join (SELECT instrmnt_id as instrmnt_id_to_be, dpd_12m_frbrnc_stts as dpd_12m_frbrnc_stts_to_be FROM bu_loantape_work.lt002_instrument WHERE ref_date='2024-09-30' AND nome_perimetro='Individual Corporativo' AND segmento='ESTR' AND ambito='PM' AND entidade='00100' ) B ON instrmnt_id_as_is = instrmnt_id_to_be WHERE coalesce(cast(dpd_12m_frbrnc_stts_as_is as string), '') &lt;&gt; coalesce(cast(dpd_12m_frbrnc_stts_to_be as string), '') ) A </v>
      </c>
      <c r="O142" s="19" t="str">
        <f t="shared" si="16"/>
        <v>SELECT 'Validação de campos' as tipologia_teste, 'lt002_instrument' AS TABELA, 'dpd_12m_frbrnc_stts' AS CAMPO, '2024-09-30' as ref_date, coalesce(NUM_REG_DIF, 0) AS NUM_REG_DIF FROM (SELECT count(*) AS NUM_REG_DIF FROM (SELECT instrmnt_id as instrmnt_id_as_is, dpd_12m_frbrnc_stts as dpd_12m_frbrnc_stts_as_is FROM cd_loan_tapes_bce.lt002_instrument WHERE ref_date='2024-09-30' AND nome_perimetro='Individual Corporativo' AND segmento='ESTR' AND ambito='PM' AND entidade='00100' ) A  Inner join (SELECT instrmnt_id as instrmnt_id_to_be, dpd_12m_frbrnc_stts as dpd_12m_frbrnc_stts_to_be FROM bu_loantape_work.lt002_instrument WHERE ref_date='2024-09-30' AND nome_perimetro='Individual Corporativo' AND segmento='ESTR' AND ambito='PM' AND entidade='00100' ) B ON instrmnt_id_as_is = instrmnt_id_to_be WHERE coalesce(cast(dpd_12m_frbrnc_stts_as_is as string), '') &lt;&gt; coalesce(cast(dpd_12m_frbrnc_stts_to_be as string), '') ) A UNION ALL</v>
      </c>
      <c r="P142" s="17">
        <f t="shared" si="17"/>
        <v>38</v>
      </c>
    </row>
    <row r="143" spans="2:16" s="15" customFormat="1" ht="11.45">
      <c r="B143" s="17" t="s">
        <v>26</v>
      </c>
      <c r="C143" s="17" t="str">
        <f>_xlfn.CONCAT(Instruções!$D$13,".",VLOOKUP(B143,Instruções!$F$12:$H$17,2,0))</f>
        <v>cd_loan_tapes_bce.lt002_instrument</v>
      </c>
      <c r="D143" s="17" t="str">
        <f>_xlfn.CONCAT(Instruções!$D$14,".",VLOOKUP(B143,Instruções!$F$12:$H$17,3,0))</f>
        <v>bu_loantape_work.lt002_instrument</v>
      </c>
      <c r="E143" s="17" t="s">
        <v>196</v>
      </c>
      <c r="F143" s="17" t="str">
        <f t="shared" si="12"/>
        <v>dpd_12m_prfrmng_stts_as_is</v>
      </c>
      <c r="G143" s="17" t="str">
        <f t="shared" si="13"/>
        <v>dpd_12m_prfrmng_stts_to_be</v>
      </c>
      <c r="H143" s="17" t="str">
        <f>IF(VLOOKUP(B143,Instruções!$F$13:$J$17,5,0)="",
"(SELECT "&amp;VLOOKUP(B143,Instruções!$F$13:$J$17,4,0)&amp;" as "&amp;VLOOKUP(B143,Instruções!$F$13:$J$17,4,0)&amp;"_"&amp;$F$2&amp;", "&amp;E143&amp;" as "&amp;F143&amp;" FROM "&amp;C143&amp;" WHERE "&amp;Instruções!$D$20&amp;") A ",
"(SELECT "&amp;VLOOKUP(B143,Instruções!$F$13:$J$17,4,0)&amp;" as "&amp;VLOOKUP(B143,Instruções!$F$13:$J$17,4,0)&amp;"_"&amp;$F$2&amp;", "&amp;VLOOKUP(B143,Instruções!$F$13:$J$17,5,0)&amp;" as "&amp;VLOOKUP(B143,Instruções!$F$13:$J$17,5,0)&amp;"_"&amp;$F$2&amp;","&amp;E143&amp;" as "&amp;F143&amp;" FROM "&amp;C143&amp;" WHERE "&amp;Instruções!$D$20&amp;") A ")</f>
        <v xml:space="preserve">(SELECT instrmnt_id as instrmnt_id_as_is, dpd_12m_prfrmng_stts as dpd_12m_prfrmng_stts_as_is FROM cd_loan_tapes_bce.lt002_instrument WHERE ref_date='2024-09-30' AND nome_perimetro='Individual Corporativo' AND segmento='ESTR' AND ambito='PM' AND entidade='00100' ) A </v>
      </c>
      <c r="I143" s="17" t="str">
        <f>IF(VLOOKUP(B143,Instruções!$F$13:$J$17,5,0)="",
"(SELECT "&amp;VLOOKUP(B143,Instruções!$F$13:$J$17,4,0)&amp;" as "&amp;VLOOKUP(B143,Instruções!$F$13:$J$17,4,0)&amp;"_"&amp;$G$2&amp;", "&amp;E143&amp;" as "&amp;G143&amp;" FROM "&amp;D143&amp;" WHERE "&amp;Instruções!$D$21&amp;") B ",
"(SELECT "&amp;VLOOKUP(B143,Instruções!$F$13:$J$17,4,0)&amp;" as "&amp;VLOOKUP(B143,Instruções!$F$13:$J$17,4,0)&amp;"_"&amp;$G$2&amp;", "&amp;VLOOKUP(B143,Instruções!$F$13:$J$17,5,0)&amp;" as "&amp;VLOOKUP(B143,Instruções!$F$13:$J$17,5,0)&amp;"_"&amp;$G$2&amp;","&amp;E143&amp;" as "&amp;G143&amp;" FROM "&amp;D143&amp;" WHERE "&amp;Instruções!$D$21&amp;") B ")</f>
        <v xml:space="preserve">(SELECT instrmnt_id as instrmnt_id_to_be, dpd_12m_prfrmng_stts as dpd_12m_prfrmng_stts_to_be FROM bu_loantape_work.lt002_instrument WHERE ref_date='2024-09-30' AND nome_perimetro='Individual Corporativo' AND segmento='ESTR' AND ambito='PM' AND entidade='00100' ) B </v>
      </c>
      <c r="J143" s="17" t="str">
        <f>IF(VLOOKUP(B143,Instruções!$F$13:$J$17,5,0)="",
"ON "&amp;VLOOKUP(B143,Instruções!$F$13:$J$17,4,0)&amp;"_"&amp;$F$2&amp;" = "&amp;VLOOKUP(B143,Instruções!$F$13:$J$17,4,0)&amp;"_"&amp;$G$2&amp;" ",
"ON "&amp;VLOOKUP(B143,Instruções!$F$13:$J$17,4,0)&amp;"_"&amp;$F$2&amp;" = "&amp;VLOOKUP(B143,Instruções!$F$13:$J$17,4,0)&amp;"_"&amp;$G$2&amp;" AND "&amp;VLOOKUP(B143,Instruções!$F$13:$J$17,5,0)&amp;"_"&amp;$F$2&amp;" = "&amp;VLOOKUP(B143,Instruções!$F$13:$J$17,5,0)&amp;"_"&amp;$G$2&amp;" ")</f>
        <v xml:space="preserve">ON instrmnt_id_as_is = instrmnt_id_to_be </v>
      </c>
      <c r="K143" s="17" t="str">
        <f t="shared" si="14"/>
        <v xml:space="preserve">WHERE coalesce(cast(dpd_12m_prfrmng_stts_as_is as string), '') &lt;&gt; coalesce(cast(dpd_12m_prfrmng_stts_to_be as string), '') </v>
      </c>
      <c r="L143" s="17" t="str">
        <f t="shared" si="15"/>
        <v xml:space="preserve">SELECT count(*) AS NUM_REG_DIF FROM (SELECT instrmnt_id as instrmnt_id_as_is, dpd_12m_prfrmng_stts as dpd_12m_prfrmng_stts_as_is FROM cd_loan_tapes_bce.lt002_instrument WHERE ref_date='2024-09-30' AND nome_perimetro='Individual Corporativo' AND segmento='ESTR' AND ambito='PM' AND entidade='00100' ) A  Inner join (SELECT instrmnt_id as instrmnt_id_to_be, dpd_12m_prfrmng_stts as dpd_12m_prfrmng_stts_to_be FROM bu_loantape_work.lt002_instrument WHERE ref_date='2024-09-30' AND nome_perimetro='Individual Corporativo' AND segmento='ESTR' AND ambito='PM' AND entidade='00100' ) B ON instrmnt_id_as_is = instrmnt_id_to_be WHERE coalesce(cast(dpd_12m_prfrmng_stts_as_is as string), '') &lt;&gt; coalesce(cast(dpd_12m_prfrmng_stts_to_be as string), '') </v>
      </c>
      <c r="M143" s="17" t="s">
        <v>55</v>
      </c>
      <c r="N143" s="17" t="str">
        <f>"SELECT 'Validação de campos' as tipologia_teste, '"&amp;VLOOKUP(B143,Instruções!$F$13:$J$17,3,0)&amp;"' AS TABELA, '"&amp;E143&amp;"' AS CAMPO, '"&amp;Instruções!$D$15&amp;"' as ref_date, coalesce(NUM_REG_DIF, 0) AS NUM_REG_DIF FROM ("&amp;L143&amp;") A "</f>
        <v xml:space="preserve">SELECT 'Validação de campos' as tipologia_teste, 'lt002_instrument' AS TABELA, 'dpd_12m_prfrmng_stts' AS CAMPO, '2024-09-30' as ref_date, coalesce(NUM_REG_DIF, 0) AS NUM_REG_DIF FROM (SELECT count(*) AS NUM_REG_DIF FROM (SELECT instrmnt_id as instrmnt_id_as_is, dpd_12m_prfrmng_stts as dpd_12m_prfrmng_stts_as_is FROM cd_loan_tapes_bce.lt002_instrument WHERE ref_date='2024-09-30' AND nome_perimetro='Individual Corporativo' AND segmento='ESTR' AND ambito='PM' AND entidade='00100' ) A  Inner join (SELECT instrmnt_id as instrmnt_id_to_be, dpd_12m_prfrmng_stts as dpd_12m_prfrmng_stts_to_be FROM bu_loantape_work.lt002_instrument WHERE ref_date='2024-09-30' AND nome_perimetro='Individual Corporativo' AND segmento='ESTR' AND ambito='PM' AND entidade='00100' ) B ON instrmnt_id_as_is = instrmnt_id_to_be WHERE coalesce(cast(dpd_12m_prfrmng_stts_as_is as string), '') &lt;&gt; coalesce(cast(dpd_12m_prfrmng_stts_to_be as string), '') ) A </v>
      </c>
      <c r="O143" s="19" t="str">
        <f t="shared" si="16"/>
        <v>SELECT 'Validação de campos' as tipologia_teste, 'lt002_instrument' AS TABELA, 'dpd_12m_prfrmng_stts' AS CAMPO, '2024-09-30' as ref_date, coalesce(NUM_REG_DIF, 0) AS NUM_REG_DIF FROM (SELECT count(*) AS NUM_REG_DIF FROM (SELECT instrmnt_id as instrmnt_id_as_is, dpd_12m_prfrmng_stts as dpd_12m_prfrmng_stts_as_is FROM cd_loan_tapes_bce.lt002_instrument WHERE ref_date='2024-09-30' AND nome_perimetro='Individual Corporativo' AND segmento='ESTR' AND ambito='PM' AND entidade='00100' ) A  Inner join (SELECT instrmnt_id as instrmnt_id_to_be, dpd_12m_prfrmng_stts as dpd_12m_prfrmng_stts_to_be FROM bu_loantape_work.lt002_instrument WHERE ref_date='2024-09-30' AND nome_perimetro='Individual Corporativo' AND segmento='ESTR' AND ambito='PM' AND entidade='00100' ) B ON instrmnt_id_as_is = instrmnt_id_to_be WHERE coalesce(cast(dpd_12m_prfrmng_stts_as_is as string), '') &lt;&gt; coalesce(cast(dpd_12m_prfrmng_stts_to_be as string), '') ) A UNION ALL</v>
      </c>
      <c r="P143" s="17">
        <f t="shared" si="17"/>
        <v>39</v>
      </c>
    </row>
    <row r="144" spans="2:16" s="15" customFormat="1" ht="11.45">
      <c r="B144" s="17" t="s">
        <v>26</v>
      </c>
      <c r="C144" s="17" t="str">
        <f>_xlfn.CONCAT(Instruções!$D$13,".",VLOOKUP(B144,Instruções!$F$12:$H$17,2,0))</f>
        <v>cd_loan_tapes_bce.lt002_instrument</v>
      </c>
      <c r="D144" s="17" t="str">
        <f>_xlfn.CONCAT(Instruções!$D$14,".",VLOOKUP(B144,Instruções!$F$12:$H$17,3,0))</f>
        <v>bu_loantape_work.lt002_instrument</v>
      </c>
      <c r="E144" s="17" t="s">
        <v>197</v>
      </c>
      <c r="F144" s="17" t="str">
        <f t="shared" si="12"/>
        <v>dpd_24m_frbrnc_stts_as_is</v>
      </c>
      <c r="G144" s="17" t="str">
        <f t="shared" si="13"/>
        <v>dpd_24m_frbrnc_stts_to_be</v>
      </c>
      <c r="H144" s="17" t="str">
        <f>IF(VLOOKUP(B144,Instruções!$F$13:$J$17,5,0)="",
"(SELECT "&amp;VLOOKUP(B144,Instruções!$F$13:$J$17,4,0)&amp;" as "&amp;VLOOKUP(B144,Instruções!$F$13:$J$17,4,0)&amp;"_"&amp;$F$2&amp;", "&amp;E144&amp;" as "&amp;F144&amp;" FROM "&amp;C144&amp;" WHERE "&amp;Instruções!$D$20&amp;") A ",
"(SELECT "&amp;VLOOKUP(B144,Instruções!$F$13:$J$17,4,0)&amp;" as "&amp;VLOOKUP(B144,Instruções!$F$13:$J$17,4,0)&amp;"_"&amp;$F$2&amp;", "&amp;VLOOKUP(B144,Instruções!$F$13:$J$17,5,0)&amp;" as "&amp;VLOOKUP(B144,Instruções!$F$13:$J$17,5,0)&amp;"_"&amp;$F$2&amp;","&amp;E144&amp;" as "&amp;F144&amp;" FROM "&amp;C144&amp;" WHERE "&amp;Instruções!$D$20&amp;") A ")</f>
        <v xml:space="preserve">(SELECT instrmnt_id as instrmnt_id_as_is, dpd_24m_frbrnc_stts as dpd_24m_frbrnc_stts_as_is FROM cd_loan_tapes_bce.lt002_instrument WHERE ref_date='2024-09-30' AND nome_perimetro='Individual Corporativo' AND segmento='ESTR' AND ambito='PM' AND entidade='00100' ) A </v>
      </c>
      <c r="I144" s="17" t="str">
        <f>IF(VLOOKUP(B144,Instruções!$F$13:$J$17,5,0)="",
"(SELECT "&amp;VLOOKUP(B144,Instruções!$F$13:$J$17,4,0)&amp;" as "&amp;VLOOKUP(B144,Instruções!$F$13:$J$17,4,0)&amp;"_"&amp;$G$2&amp;", "&amp;E144&amp;" as "&amp;G144&amp;" FROM "&amp;D144&amp;" WHERE "&amp;Instruções!$D$21&amp;") B ",
"(SELECT "&amp;VLOOKUP(B144,Instruções!$F$13:$J$17,4,0)&amp;" as "&amp;VLOOKUP(B144,Instruções!$F$13:$J$17,4,0)&amp;"_"&amp;$G$2&amp;", "&amp;VLOOKUP(B144,Instruções!$F$13:$J$17,5,0)&amp;" as "&amp;VLOOKUP(B144,Instruções!$F$13:$J$17,5,0)&amp;"_"&amp;$G$2&amp;","&amp;E144&amp;" as "&amp;G144&amp;" FROM "&amp;D144&amp;" WHERE "&amp;Instruções!$D$21&amp;") B ")</f>
        <v xml:space="preserve">(SELECT instrmnt_id as instrmnt_id_to_be, dpd_24m_frbrnc_stts as dpd_24m_frbrnc_stts_to_be FROM bu_loantape_work.lt002_instrument WHERE ref_date='2024-09-30' AND nome_perimetro='Individual Corporativo' AND segmento='ESTR' AND ambito='PM' AND entidade='00100' ) B </v>
      </c>
      <c r="J144" s="17" t="str">
        <f>IF(VLOOKUP(B144,Instruções!$F$13:$J$17,5,0)="",
"ON "&amp;VLOOKUP(B144,Instruções!$F$13:$J$17,4,0)&amp;"_"&amp;$F$2&amp;" = "&amp;VLOOKUP(B144,Instruções!$F$13:$J$17,4,0)&amp;"_"&amp;$G$2&amp;" ",
"ON "&amp;VLOOKUP(B144,Instruções!$F$13:$J$17,4,0)&amp;"_"&amp;$F$2&amp;" = "&amp;VLOOKUP(B144,Instruções!$F$13:$J$17,4,0)&amp;"_"&amp;$G$2&amp;" AND "&amp;VLOOKUP(B144,Instruções!$F$13:$J$17,5,0)&amp;"_"&amp;$F$2&amp;" = "&amp;VLOOKUP(B144,Instruções!$F$13:$J$17,5,0)&amp;"_"&amp;$G$2&amp;" ")</f>
        <v xml:space="preserve">ON instrmnt_id_as_is = instrmnt_id_to_be </v>
      </c>
      <c r="K144" s="17" t="str">
        <f t="shared" si="14"/>
        <v xml:space="preserve">WHERE coalesce(cast(dpd_24m_frbrnc_stts_as_is as string), '') &lt;&gt; coalesce(cast(dpd_24m_frbrnc_stts_to_be as string), '') </v>
      </c>
      <c r="L144" s="17" t="str">
        <f t="shared" si="15"/>
        <v xml:space="preserve">SELECT count(*) AS NUM_REG_DIF FROM (SELECT instrmnt_id as instrmnt_id_as_is, dpd_24m_frbrnc_stts as dpd_24m_frbrnc_stts_as_is FROM cd_loan_tapes_bce.lt002_instrument WHERE ref_date='2024-09-30' AND nome_perimetro='Individual Corporativo' AND segmento='ESTR' AND ambito='PM' AND entidade='00100' ) A  Inner join (SELECT instrmnt_id as instrmnt_id_to_be, dpd_24m_frbrnc_stts as dpd_24m_frbrnc_stts_to_be FROM bu_loantape_work.lt002_instrument WHERE ref_date='2024-09-30' AND nome_perimetro='Individual Corporativo' AND segmento='ESTR' AND ambito='PM' AND entidade='00100' ) B ON instrmnt_id_as_is = instrmnt_id_to_be WHERE coalesce(cast(dpd_24m_frbrnc_stts_as_is as string), '') &lt;&gt; coalesce(cast(dpd_24m_frbrnc_stts_to_be as string), '') </v>
      </c>
      <c r="M144" s="17" t="s">
        <v>55</v>
      </c>
      <c r="N144" s="17" t="str">
        <f>"SELECT 'Validação de campos' as tipologia_teste, '"&amp;VLOOKUP(B144,Instruções!$F$13:$J$17,3,0)&amp;"' AS TABELA, '"&amp;E144&amp;"' AS CAMPO, '"&amp;Instruções!$D$15&amp;"' as ref_date, coalesce(NUM_REG_DIF, 0) AS NUM_REG_DIF FROM ("&amp;L144&amp;") A "</f>
        <v xml:space="preserve">SELECT 'Validação de campos' as tipologia_teste, 'lt002_instrument' AS TABELA, 'dpd_24m_frbrnc_stts' AS CAMPO, '2024-09-30' as ref_date, coalesce(NUM_REG_DIF, 0) AS NUM_REG_DIF FROM (SELECT count(*) AS NUM_REG_DIF FROM (SELECT instrmnt_id as instrmnt_id_as_is, dpd_24m_frbrnc_stts as dpd_24m_frbrnc_stts_as_is FROM cd_loan_tapes_bce.lt002_instrument WHERE ref_date='2024-09-30' AND nome_perimetro='Individual Corporativo' AND segmento='ESTR' AND ambito='PM' AND entidade='00100' ) A  Inner join (SELECT instrmnt_id as instrmnt_id_to_be, dpd_24m_frbrnc_stts as dpd_24m_frbrnc_stts_to_be FROM bu_loantape_work.lt002_instrument WHERE ref_date='2024-09-30' AND nome_perimetro='Individual Corporativo' AND segmento='ESTR' AND ambito='PM' AND entidade='00100' ) B ON instrmnt_id_as_is = instrmnt_id_to_be WHERE coalesce(cast(dpd_24m_frbrnc_stts_as_is as string), '') &lt;&gt; coalesce(cast(dpd_24m_frbrnc_stts_to_be as string), '') ) A </v>
      </c>
      <c r="O144" s="19" t="str">
        <f t="shared" si="16"/>
        <v>SELECT 'Validação de campos' as tipologia_teste, 'lt002_instrument' AS TABELA, 'dpd_24m_frbrnc_stts' AS CAMPO, '2024-09-30' as ref_date, coalesce(NUM_REG_DIF, 0) AS NUM_REG_DIF FROM (SELECT count(*) AS NUM_REG_DIF FROM (SELECT instrmnt_id as instrmnt_id_as_is, dpd_24m_frbrnc_stts as dpd_24m_frbrnc_stts_as_is FROM cd_loan_tapes_bce.lt002_instrument WHERE ref_date='2024-09-30' AND nome_perimetro='Individual Corporativo' AND segmento='ESTR' AND ambito='PM' AND entidade='00100' ) A  Inner join (SELECT instrmnt_id as instrmnt_id_to_be, dpd_24m_frbrnc_stts as dpd_24m_frbrnc_stts_to_be FROM bu_loantape_work.lt002_instrument WHERE ref_date='2024-09-30' AND nome_perimetro='Individual Corporativo' AND segmento='ESTR' AND ambito='PM' AND entidade='00100' ) B ON instrmnt_id_as_is = instrmnt_id_to_be WHERE coalesce(cast(dpd_24m_frbrnc_stts_as_is as string), '') &lt;&gt; coalesce(cast(dpd_24m_frbrnc_stts_to_be as string), '') ) A UNION ALL</v>
      </c>
      <c r="P144" s="17">
        <f t="shared" si="17"/>
        <v>40</v>
      </c>
    </row>
    <row r="145" spans="2:16" s="15" customFormat="1" ht="11.45">
      <c r="B145" s="17" t="s">
        <v>26</v>
      </c>
      <c r="C145" s="17" t="str">
        <f>_xlfn.CONCAT(Instruções!$D$13,".",VLOOKUP(B145,Instruções!$F$12:$H$17,2,0))</f>
        <v>cd_loan_tapes_bce.lt002_instrument</v>
      </c>
      <c r="D145" s="17" t="str">
        <f>_xlfn.CONCAT(Instruções!$D$14,".",VLOOKUP(B145,Instruções!$F$12:$H$17,3,0))</f>
        <v>bu_loantape_work.lt002_instrument</v>
      </c>
      <c r="E145" s="17" t="s">
        <v>198</v>
      </c>
      <c r="F145" s="17" t="str">
        <f t="shared" si="12"/>
        <v>dpd_24m_prfrmng_stts_as_is</v>
      </c>
      <c r="G145" s="17" t="str">
        <f t="shared" si="13"/>
        <v>dpd_24m_prfrmng_stts_to_be</v>
      </c>
      <c r="H145" s="17" t="str">
        <f>IF(VLOOKUP(B145,Instruções!$F$13:$J$17,5,0)="",
"(SELECT "&amp;VLOOKUP(B145,Instruções!$F$13:$J$17,4,0)&amp;" as "&amp;VLOOKUP(B145,Instruções!$F$13:$J$17,4,0)&amp;"_"&amp;$F$2&amp;", "&amp;E145&amp;" as "&amp;F145&amp;" FROM "&amp;C145&amp;" WHERE "&amp;Instruções!$D$20&amp;") A ",
"(SELECT "&amp;VLOOKUP(B145,Instruções!$F$13:$J$17,4,0)&amp;" as "&amp;VLOOKUP(B145,Instruções!$F$13:$J$17,4,0)&amp;"_"&amp;$F$2&amp;", "&amp;VLOOKUP(B145,Instruções!$F$13:$J$17,5,0)&amp;" as "&amp;VLOOKUP(B145,Instruções!$F$13:$J$17,5,0)&amp;"_"&amp;$F$2&amp;","&amp;E145&amp;" as "&amp;F145&amp;" FROM "&amp;C145&amp;" WHERE "&amp;Instruções!$D$20&amp;") A ")</f>
        <v xml:space="preserve">(SELECT instrmnt_id as instrmnt_id_as_is, dpd_24m_prfrmng_stts as dpd_24m_prfrmng_stts_as_is FROM cd_loan_tapes_bce.lt002_instrument WHERE ref_date='2024-09-30' AND nome_perimetro='Individual Corporativo' AND segmento='ESTR' AND ambito='PM' AND entidade='00100' ) A </v>
      </c>
      <c r="I145" s="17" t="str">
        <f>IF(VLOOKUP(B145,Instruções!$F$13:$J$17,5,0)="",
"(SELECT "&amp;VLOOKUP(B145,Instruções!$F$13:$J$17,4,0)&amp;" as "&amp;VLOOKUP(B145,Instruções!$F$13:$J$17,4,0)&amp;"_"&amp;$G$2&amp;", "&amp;E145&amp;" as "&amp;G145&amp;" FROM "&amp;D145&amp;" WHERE "&amp;Instruções!$D$21&amp;") B ",
"(SELECT "&amp;VLOOKUP(B145,Instruções!$F$13:$J$17,4,0)&amp;" as "&amp;VLOOKUP(B145,Instruções!$F$13:$J$17,4,0)&amp;"_"&amp;$G$2&amp;", "&amp;VLOOKUP(B145,Instruções!$F$13:$J$17,5,0)&amp;" as "&amp;VLOOKUP(B145,Instruções!$F$13:$J$17,5,0)&amp;"_"&amp;$G$2&amp;","&amp;E145&amp;" as "&amp;G145&amp;" FROM "&amp;D145&amp;" WHERE "&amp;Instruções!$D$21&amp;") B ")</f>
        <v xml:space="preserve">(SELECT instrmnt_id as instrmnt_id_to_be, dpd_24m_prfrmng_stts as dpd_24m_prfrmng_stts_to_be FROM bu_loantape_work.lt002_instrument WHERE ref_date='2024-09-30' AND nome_perimetro='Individual Corporativo' AND segmento='ESTR' AND ambito='PM' AND entidade='00100' ) B </v>
      </c>
      <c r="J145" s="17" t="str">
        <f>IF(VLOOKUP(B145,Instruções!$F$13:$J$17,5,0)="",
"ON "&amp;VLOOKUP(B145,Instruções!$F$13:$J$17,4,0)&amp;"_"&amp;$F$2&amp;" = "&amp;VLOOKUP(B145,Instruções!$F$13:$J$17,4,0)&amp;"_"&amp;$G$2&amp;" ",
"ON "&amp;VLOOKUP(B145,Instruções!$F$13:$J$17,4,0)&amp;"_"&amp;$F$2&amp;" = "&amp;VLOOKUP(B145,Instruções!$F$13:$J$17,4,0)&amp;"_"&amp;$G$2&amp;" AND "&amp;VLOOKUP(B145,Instruções!$F$13:$J$17,5,0)&amp;"_"&amp;$F$2&amp;" = "&amp;VLOOKUP(B145,Instruções!$F$13:$J$17,5,0)&amp;"_"&amp;$G$2&amp;" ")</f>
        <v xml:space="preserve">ON instrmnt_id_as_is = instrmnt_id_to_be </v>
      </c>
      <c r="K145" s="17" t="str">
        <f t="shared" si="14"/>
        <v xml:space="preserve">WHERE coalesce(cast(dpd_24m_prfrmng_stts_as_is as string), '') &lt;&gt; coalesce(cast(dpd_24m_prfrmng_stts_to_be as string), '') </v>
      </c>
      <c r="L145" s="17" t="str">
        <f t="shared" si="15"/>
        <v xml:space="preserve">SELECT count(*) AS NUM_REG_DIF FROM (SELECT instrmnt_id as instrmnt_id_as_is, dpd_24m_prfrmng_stts as dpd_24m_prfrmng_stts_as_is FROM cd_loan_tapes_bce.lt002_instrument WHERE ref_date='2024-09-30' AND nome_perimetro='Individual Corporativo' AND segmento='ESTR' AND ambito='PM' AND entidade='00100' ) A  Inner join (SELECT instrmnt_id as instrmnt_id_to_be, dpd_24m_prfrmng_stts as dpd_24m_prfrmng_stts_to_be FROM bu_loantape_work.lt002_instrument WHERE ref_date='2024-09-30' AND nome_perimetro='Individual Corporativo' AND segmento='ESTR' AND ambito='PM' AND entidade='00100' ) B ON instrmnt_id_as_is = instrmnt_id_to_be WHERE coalesce(cast(dpd_24m_prfrmng_stts_as_is as string), '') &lt;&gt; coalesce(cast(dpd_24m_prfrmng_stts_to_be as string), '') </v>
      </c>
      <c r="M145" s="17" t="s">
        <v>55</v>
      </c>
      <c r="N145" s="17" t="str">
        <f>"SELECT 'Validação de campos' as tipologia_teste, '"&amp;VLOOKUP(B145,Instruções!$F$13:$J$17,3,0)&amp;"' AS TABELA, '"&amp;E145&amp;"' AS CAMPO, '"&amp;Instruções!$D$15&amp;"' as ref_date, coalesce(NUM_REG_DIF, 0) AS NUM_REG_DIF FROM ("&amp;L145&amp;") A "</f>
        <v xml:space="preserve">SELECT 'Validação de campos' as tipologia_teste, 'lt002_instrument' AS TABELA, 'dpd_24m_prfrmng_stts' AS CAMPO, '2024-09-30' as ref_date, coalesce(NUM_REG_DIF, 0) AS NUM_REG_DIF FROM (SELECT count(*) AS NUM_REG_DIF FROM (SELECT instrmnt_id as instrmnt_id_as_is, dpd_24m_prfrmng_stts as dpd_24m_prfrmng_stts_as_is FROM cd_loan_tapes_bce.lt002_instrument WHERE ref_date='2024-09-30' AND nome_perimetro='Individual Corporativo' AND segmento='ESTR' AND ambito='PM' AND entidade='00100' ) A  Inner join (SELECT instrmnt_id as instrmnt_id_to_be, dpd_24m_prfrmng_stts as dpd_24m_prfrmng_stts_to_be FROM bu_loantape_work.lt002_instrument WHERE ref_date='2024-09-30' AND nome_perimetro='Individual Corporativo' AND segmento='ESTR' AND ambito='PM' AND entidade='00100' ) B ON instrmnt_id_as_is = instrmnt_id_to_be WHERE coalesce(cast(dpd_24m_prfrmng_stts_as_is as string), '') &lt;&gt; coalesce(cast(dpd_24m_prfrmng_stts_to_be as string), '') ) A </v>
      </c>
      <c r="O145" s="19" t="str">
        <f t="shared" si="16"/>
        <v>SELECT 'Validação de campos' as tipologia_teste, 'lt002_instrument' AS TABELA, 'dpd_24m_prfrmng_stts' AS CAMPO, '2024-09-30' as ref_date, coalesce(NUM_REG_DIF, 0) AS NUM_REG_DIF FROM (SELECT count(*) AS NUM_REG_DIF FROM (SELECT instrmnt_id as instrmnt_id_as_is, dpd_24m_prfrmng_stts as dpd_24m_prfrmng_stts_as_is FROM cd_loan_tapes_bce.lt002_instrument WHERE ref_date='2024-09-30' AND nome_perimetro='Individual Corporativo' AND segmento='ESTR' AND ambito='PM' AND entidade='00100' ) A  Inner join (SELECT instrmnt_id as instrmnt_id_to_be, dpd_24m_prfrmng_stts as dpd_24m_prfrmng_stts_to_be FROM bu_loantape_work.lt002_instrument WHERE ref_date='2024-09-30' AND nome_perimetro='Individual Corporativo' AND segmento='ESTR' AND ambito='PM' AND entidade='00100' ) B ON instrmnt_id_as_is = instrmnt_id_to_be WHERE coalesce(cast(dpd_24m_prfrmng_stts_as_is as string), '') &lt;&gt; coalesce(cast(dpd_24m_prfrmng_stts_to_be as string), '') ) A UNION ALL</v>
      </c>
      <c r="P145" s="17">
        <f t="shared" si="17"/>
        <v>41</v>
      </c>
    </row>
    <row r="146" spans="2:16" s="15" customFormat="1" ht="11.45">
      <c r="B146" s="17" t="s">
        <v>26</v>
      </c>
      <c r="C146" s="17" t="str">
        <f>_xlfn.CONCAT(Instruções!$D$13,".",VLOOKUP(B146,Instruções!$F$12:$H$17,2,0))</f>
        <v>cd_loan_tapes_bce.lt002_instrument</v>
      </c>
      <c r="D146" s="17" t="str">
        <f>_xlfn.CONCAT(Instruções!$D$14,".",VLOOKUP(B146,Instruções!$F$12:$H$17,3,0))</f>
        <v>bu_loantape_work.lt002_instrument</v>
      </c>
      <c r="E146" s="17" t="s">
        <v>200</v>
      </c>
      <c r="F146" s="17" t="str">
        <f t="shared" si="12"/>
        <v>dpd_frbrnc_stts_as_is</v>
      </c>
      <c r="G146" s="17" t="str">
        <f t="shared" si="13"/>
        <v>dpd_frbrnc_stts_to_be</v>
      </c>
      <c r="H146" s="17" t="str">
        <f>IF(VLOOKUP(B146,Instruções!$F$13:$J$17,5,0)="",
"(SELECT "&amp;VLOOKUP(B146,Instruções!$F$13:$J$17,4,0)&amp;" as "&amp;VLOOKUP(B146,Instruções!$F$13:$J$17,4,0)&amp;"_"&amp;$F$2&amp;", "&amp;E146&amp;" as "&amp;F146&amp;" FROM "&amp;C146&amp;" WHERE "&amp;Instruções!$D$20&amp;") A ",
"(SELECT "&amp;VLOOKUP(B146,Instruções!$F$13:$J$17,4,0)&amp;" as "&amp;VLOOKUP(B146,Instruções!$F$13:$J$17,4,0)&amp;"_"&amp;$F$2&amp;", "&amp;VLOOKUP(B146,Instruções!$F$13:$J$17,5,0)&amp;" as "&amp;VLOOKUP(B146,Instruções!$F$13:$J$17,5,0)&amp;"_"&amp;$F$2&amp;","&amp;E146&amp;" as "&amp;F146&amp;" FROM "&amp;C146&amp;" WHERE "&amp;Instruções!$D$20&amp;") A ")</f>
        <v xml:space="preserve">(SELECT instrmnt_id as instrmnt_id_as_is, dpd_frbrnc_stts as dpd_frbrnc_stts_as_is FROM cd_loan_tapes_bce.lt002_instrument WHERE ref_date='2024-09-30' AND nome_perimetro='Individual Corporativo' AND segmento='ESTR' AND ambito='PM' AND entidade='00100' ) A </v>
      </c>
      <c r="I146" s="17" t="str">
        <f>IF(VLOOKUP(B146,Instruções!$F$13:$J$17,5,0)="",
"(SELECT "&amp;VLOOKUP(B146,Instruções!$F$13:$J$17,4,0)&amp;" as "&amp;VLOOKUP(B146,Instruções!$F$13:$J$17,4,0)&amp;"_"&amp;$G$2&amp;", "&amp;E146&amp;" as "&amp;G146&amp;" FROM "&amp;D146&amp;" WHERE "&amp;Instruções!$D$21&amp;") B ",
"(SELECT "&amp;VLOOKUP(B146,Instruções!$F$13:$J$17,4,0)&amp;" as "&amp;VLOOKUP(B146,Instruções!$F$13:$J$17,4,0)&amp;"_"&amp;$G$2&amp;", "&amp;VLOOKUP(B146,Instruções!$F$13:$J$17,5,0)&amp;" as "&amp;VLOOKUP(B146,Instruções!$F$13:$J$17,5,0)&amp;"_"&amp;$G$2&amp;","&amp;E146&amp;" as "&amp;G146&amp;" FROM "&amp;D146&amp;" WHERE "&amp;Instruções!$D$21&amp;") B ")</f>
        <v xml:space="preserve">(SELECT instrmnt_id as instrmnt_id_to_be, dpd_frbrnc_stts as dpd_frbrnc_stts_to_be FROM bu_loantape_work.lt002_instrument WHERE ref_date='2024-09-30' AND nome_perimetro='Individual Corporativo' AND segmento='ESTR' AND ambito='PM' AND entidade='00100' ) B </v>
      </c>
      <c r="J146" s="17" t="str">
        <f>IF(VLOOKUP(B146,Instruções!$F$13:$J$17,5,0)="",
"ON "&amp;VLOOKUP(B146,Instruções!$F$13:$J$17,4,0)&amp;"_"&amp;$F$2&amp;" = "&amp;VLOOKUP(B146,Instruções!$F$13:$J$17,4,0)&amp;"_"&amp;$G$2&amp;" ",
"ON "&amp;VLOOKUP(B146,Instruções!$F$13:$J$17,4,0)&amp;"_"&amp;$F$2&amp;" = "&amp;VLOOKUP(B146,Instruções!$F$13:$J$17,4,0)&amp;"_"&amp;$G$2&amp;" AND "&amp;VLOOKUP(B146,Instruções!$F$13:$J$17,5,0)&amp;"_"&amp;$F$2&amp;" = "&amp;VLOOKUP(B146,Instruções!$F$13:$J$17,5,0)&amp;"_"&amp;$G$2&amp;" ")</f>
        <v xml:space="preserve">ON instrmnt_id_as_is = instrmnt_id_to_be </v>
      </c>
      <c r="K146" s="17" t="str">
        <f t="shared" si="14"/>
        <v xml:space="preserve">WHERE coalesce(cast(dpd_frbrnc_stts_as_is as string), '') &lt;&gt; coalesce(cast(dpd_frbrnc_stts_to_be as string), '') </v>
      </c>
      <c r="L146" s="17" t="str">
        <f t="shared" si="15"/>
        <v xml:space="preserve">SELECT count(*) AS NUM_REG_DIF FROM (SELECT instrmnt_id as instrmnt_id_as_is, dpd_frbrnc_stts as dpd_frbrnc_stts_as_is FROM cd_loan_tapes_bce.lt002_instrument WHERE ref_date='2024-09-30' AND nome_perimetro='Individual Corporativo' AND segmento='ESTR' AND ambito='PM' AND entidade='00100' ) A  Inner join (SELECT instrmnt_id as instrmnt_id_to_be, dpd_frbrnc_stts as dpd_frbrnc_stts_to_be FROM bu_loantape_work.lt002_instrument WHERE ref_date='2024-09-30' AND nome_perimetro='Individual Corporativo' AND segmento='ESTR' AND ambito='PM' AND entidade='00100' ) B ON instrmnt_id_as_is = instrmnt_id_to_be WHERE coalesce(cast(dpd_frbrnc_stts_as_is as string), '') &lt;&gt; coalesce(cast(dpd_frbrnc_stts_to_be as string), '') </v>
      </c>
      <c r="M146" s="17" t="s">
        <v>55</v>
      </c>
      <c r="N146" s="17" t="str">
        <f>"SELECT 'Validação de campos' as tipologia_teste, '"&amp;VLOOKUP(B146,Instruções!$F$13:$J$17,3,0)&amp;"' AS TABELA, '"&amp;E146&amp;"' AS CAMPO, '"&amp;Instruções!$D$15&amp;"' as ref_date, coalesce(NUM_REG_DIF, 0) AS NUM_REG_DIF FROM ("&amp;L146&amp;") A "</f>
        <v xml:space="preserve">SELECT 'Validação de campos' as tipologia_teste, 'lt002_instrument' AS TABELA, 'dpd_frbrnc_stts' AS CAMPO, '2024-09-30' as ref_date, coalesce(NUM_REG_DIF, 0) AS NUM_REG_DIF FROM (SELECT count(*) AS NUM_REG_DIF FROM (SELECT instrmnt_id as instrmnt_id_as_is, dpd_frbrnc_stts as dpd_frbrnc_stts_as_is FROM cd_loan_tapes_bce.lt002_instrument WHERE ref_date='2024-09-30' AND nome_perimetro='Individual Corporativo' AND segmento='ESTR' AND ambito='PM' AND entidade='00100' ) A  Inner join (SELECT instrmnt_id as instrmnt_id_to_be, dpd_frbrnc_stts as dpd_frbrnc_stts_to_be FROM bu_loantape_work.lt002_instrument WHERE ref_date='2024-09-30' AND nome_perimetro='Individual Corporativo' AND segmento='ESTR' AND ambito='PM' AND entidade='00100' ) B ON instrmnt_id_as_is = instrmnt_id_to_be WHERE coalesce(cast(dpd_frbrnc_stts_as_is as string), '') &lt;&gt; coalesce(cast(dpd_frbrnc_stts_to_be as string), '') ) A </v>
      </c>
      <c r="O146" s="19" t="str">
        <f t="shared" si="16"/>
        <v>SELECT 'Validação de campos' as tipologia_teste, 'lt002_instrument' AS TABELA, 'dpd_frbrnc_stts' AS CAMPO, '2024-09-30' as ref_date, coalesce(NUM_REG_DIF, 0) AS NUM_REG_DIF FROM (SELECT count(*) AS NUM_REG_DIF FROM (SELECT instrmnt_id as instrmnt_id_as_is, dpd_frbrnc_stts as dpd_frbrnc_stts_as_is FROM cd_loan_tapes_bce.lt002_instrument WHERE ref_date='2024-09-30' AND nome_perimetro='Individual Corporativo' AND segmento='ESTR' AND ambito='PM' AND entidade='00100' ) A  Inner join (SELECT instrmnt_id as instrmnt_id_to_be, dpd_frbrnc_stts as dpd_frbrnc_stts_to_be FROM bu_loantape_work.lt002_instrument WHERE ref_date='2024-09-30' AND nome_perimetro='Individual Corporativo' AND segmento='ESTR' AND ambito='PM' AND entidade='00100' ) B ON instrmnt_id_as_is = instrmnt_id_to_be WHERE coalesce(cast(dpd_frbrnc_stts_as_is as string), '') &lt;&gt; coalesce(cast(dpd_frbrnc_stts_to_be as string), '') ) A UNION ALL</v>
      </c>
      <c r="P146" s="17">
        <f t="shared" si="17"/>
        <v>42</v>
      </c>
    </row>
    <row r="147" spans="2:16" s="15" customFormat="1" ht="11.45">
      <c r="B147" s="17" t="s">
        <v>26</v>
      </c>
      <c r="C147" s="17" t="str">
        <f>_xlfn.CONCAT(Instruções!$D$13,".",VLOOKUP(B147,Instruções!$F$12:$H$17,2,0))</f>
        <v>cd_loan_tapes_bce.lt002_instrument</v>
      </c>
      <c r="D147" s="17" t="str">
        <f>_xlfn.CONCAT(Instruções!$D$14,".",VLOOKUP(B147,Instruções!$F$12:$H$17,3,0))</f>
        <v>bu_loantape_work.lt002_instrument</v>
      </c>
      <c r="E147" s="17" t="s">
        <v>201</v>
      </c>
      <c r="F147" s="17" t="str">
        <f t="shared" si="12"/>
        <v>dpd_prfrmng_stts_as_is</v>
      </c>
      <c r="G147" s="17" t="str">
        <f t="shared" si="13"/>
        <v>dpd_prfrmng_stts_to_be</v>
      </c>
      <c r="H147" s="17" t="str">
        <f>IF(VLOOKUP(B147,Instruções!$F$13:$J$17,5,0)="",
"(SELECT "&amp;VLOOKUP(B147,Instruções!$F$13:$J$17,4,0)&amp;" as "&amp;VLOOKUP(B147,Instruções!$F$13:$J$17,4,0)&amp;"_"&amp;$F$2&amp;", "&amp;E147&amp;" as "&amp;F147&amp;" FROM "&amp;C147&amp;" WHERE "&amp;Instruções!$D$20&amp;") A ",
"(SELECT "&amp;VLOOKUP(B147,Instruções!$F$13:$J$17,4,0)&amp;" as "&amp;VLOOKUP(B147,Instruções!$F$13:$J$17,4,0)&amp;"_"&amp;$F$2&amp;", "&amp;VLOOKUP(B147,Instruções!$F$13:$J$17,5,0)&amp;" as "&amp;VLOOKUP(B147,Instruções!$F$13:$J$17,5,0)&amp;"_"&amp;$F$2&amp;","&amp;E147&amp;" as "&amp;F147&amp;" FROM "&amp;C147&amp;" WHERE "&amp;Instruções!$D$20&amp;") A ")</f>
        <v xml:space="preserve">(SELECT instrmnt_id as instrmnt_id_as_is, dpd_prfrmng_stts as dpd_prfrmng_stts_as_is FROM cd_loan_tapes_bce.lt002_instrument WHERE ref_date='2024-09-30' AND nome_perimetro='Individual Corporativo' AND segmento='ESTR' AND ambito='PM' AND entidade='00100' ) A </v>
      </c>
      <c r="I147" s="17" t="str">
        <f>IF(VLOOKUP(B147,Instruções!$F$13:$J$17,5,0)="",
"(SELECT "&amp;VLOOKUP(B147,Instruções!$F$13:$J$17,4,0)&amp;" as "&amp;VLOOKUP(B147,Instruções!$F$13:$J$17,4,0)&amp;"_"&amp;$G$2&amp;", "&amp;E147&amp;" as "&amp;G147&amp;" FROM "&amp;D147&amp;" WHERE "&amp;Instruções!$D$21&amp;") B ",
"(SELECT "&amp;VLOOKUP(B147,Instruções!$F$13:$J$17,4,0)&amp;" as "&amp;VLOOKUP(B147,Instruções!$F$13:$J$17,4,0)&amp;"_"&amp;$G$2&amp;", "&amp;VLOOKUP(B147,Instruções!$F$13:$J$17,5,0)&amp;" as "&amp;VLOOKUP(B147,Instruções!$F$13:$J$17,5,0)&amp;"_"&amp;$G$2&amp;","&amp;E147&amp;" as "&amp;G147&amp;" FROM "&amp;D147&amp;" WHERE "&amp;Instruções!$D$21&amp;") B ")</f>
        <v xml:space="preserve">(SELECT instrmnt_id as instrmnt_id_to_be, dpd_prfrmng_stts as dpd_prfrmng_stts_to_be FROM bu_loantape_work.lt002_instrument WHERE ref_date='2024-09-30' AND nome_perimetro='Individual Corporativo' AND segmento='ESTR' AND ambito='PM' AND entidade='00100' ) B </v>
      </c>
      <c r="J147" s="17" t="str">
        <f>IF(VLOOKUP(B147,Instruções!$F$13:$J$17,5,0)="",
"ON "&amp;VLOOKUP(B147,Instruções!$F$13:$J$17,4,0)&amp;"_"&amp;$F$2&amp;" = "&amp;VLOOKUP(B147,Instruções!$F$13:$J$17,4,0)&amp;"_"&amp;$G$2&amp;" ",
"ON "&amp;VLOOKUP(B147,Instruções!$F$13:$J$17,4,0)&amp;"_"&amp;$F$2&amp;" = "&amp;VLOOKUP(B147,Instruções!$F$13:$J$17,4,0)&amp;"_"&amp;$G$2&amp;" AND "&amp;VLOOKUP(B147,Instruções!$F$13:$J$17,5,0)&amp;"_"&amp;$F$2&amp;" = "&amp;VLOOKUP(B147,Instruções!$F$13:$J$17,5,0)&amp;"_"&amp;$G$2&amp;" ")</f>
        <v xml:space="preserve">ON instrmnt_id_as_is = instrmnt_id_to_be </v>
      </c>
      <c r="K147" s="17" t="str">
        <f t="shared" si="14"/>
        <v xml:space="preserve">WHERE coalesce(cast(dpd_prfrmng_stts_as_is as string), '') &lt;&gt; coalesce(cast(dpd_prfrmng_stts_to_be as string), '') </v>
      </c>
      <c r="L147" s="17" t="str">
        <f t="shared" si="15"/>
        <v xml:space="preserve">SELECT count(*) AS NUM_REG_DIF FROM (SELECT instrmnt_id as instrmnt_id_as_is, dpd_prfrmng_stts as dpd_prfrmng_stts_as_is FROM cd_loan_tapes_bce.lt002_instrument WHERE ref_date='2024-09-30' AND nome_perimetro='Individual Corporativo' AND segmento='ESTR' AND ambito='PM' AND entidade='00100' ) A  Inner join (SELECT instrmnt_id as instrmnt_id_to_be, dpd_prfrmng_stts as dpd_prfrmng_stts_to_be FROM bu_loantape_work.lt002_instrument WHERE ref_date='2024-09-30' AND nome_perimetro='Individual Corporativo' AND segmento='ESTR' AND ambito='PM' AND entidade='00100' ) B ON instrmnt_id_as_is = instrmnt_id_to_be WHERE coalesce(cast(dpd_prfrmng_stts_as_is as string), '') &lt;&gt; coalesce(cast(dpd_prfrmng_stts_to_be as string), '') </v>
      </c>
      <c r="M147" s="17" t="s">
        <v>55</v>
      </c>
      <c r="N147" s="17" t="str">
        <f>"SELECT 'Validação de campos' as tipologia_teste, '"&amp;VLOOKUP(B147,Instruções!$F$13:$J$17,3,0)&amp;"' AS TABELA, '"&amp;E147&amp;"' AS CAMPO, '"&amp;Instruções!$D$15&amp;"' as ref_date, coalesce(NUM_REG_DIF, 0) AS NUM_REG_DIF FROM ("&amp;L147&amp;") A "</f>
        <v xml:space="preserve">SELECT 'Validação de campos' as tipologia_teste, 'lt002_instrument' AS TABELA, 'dpd_prfrmng_stts' AS CAMPO, '2024-09-30' as ref_date, coalesce(NUM_REG_DIF, 0) AS NUM_REG_DIF FROM (SELECT count(*) AS NUM_REG_DIF FROM (SELECT instrmnt_id as instrmnt_id_as_is, dpd_prfrmng_stts as dpd_prfrmng_stts_as_is FROM cd_loan_tapes_bce.lt002_instrument WHERE ref_date='2024-09-30' AND nome_perimetro='Individual Corporativo' AND segmento='ESTR' AND ambito='PM' AND entidade='00100' ) A  Inner join (SELECT instrmnt_id as instrmnt_id_to_be, dpd_prfrmng_stts as dpd_prfrmng_stts_to_be FROM bu_loantape_work.lt002_instrument WHERE ref_date='2024-09-30' AND nome_perimetro='Individual Corporativo' AND segmento='ESTR' AND ambito='PM' AND entidade='00100' ) B ON instrmnt_id_as_is = instrmnt_id_to_be WHERE coalesce(cast(dpd_prfrmng_stts_as_is as string), '') &lt;&gt; coalesce(cast(dpd_prfrmng_stts_to_be as string), '') ) A </v>
      </c>
      <c r="O147" s="19" t="str">
        <f t="shared" si="16"/>
        <v>SELECT 'Validação de campos' as tipologia_teste, 'lt002_instrument' AS TABELA, 'dpd_prfrmng_stts' AS CAMPO, '2024-09-30' as ref_date, coalesce(NUM_REG_DIF, 0) AS NUM_REG_DIF FROM (SELECT count(*) AS NUM_REG_DIF FROM (SELECT instrmnt_id as instrmnt_id_as_is, dpd_prfrmng_stts as dpd_prfrmng_stts_as_is FROM cd_loan_tapes_bce.lt002_instrument WHERE ref_date='2024-09-30' AND nome_perimetro='Individual Corporativo' AND segmento='ESTR' AND ambito='PM' AND entidade='00100' ) A  Inner join (SELECT instrmnt_id as instrmnt_id_to_be, dpd_prfrmng_stts as dpd_prfrmng_stts_to_be FROM bu_loantape_work.lt002_instrument WHERE ref_date='2024-09-30' AND nome_perimetro='Individual Corporativo' AND segmento='ESTR' AND ambito='PM' AND entidade='00100' ) B ON instrmnt_id_as_is = instrmnt_id_to_be WHERE coalesce(cast(dpd_prfrmng_stts_as_is as string), '') &lt;&gt; coalesce(cast(dpd_prfrmng_stts_to_be as string), '') ) A UNION ALL</v>
      </c>
      <c r="P147" s="17">
        <f t="shared" si="17"/>
        <v>43</v>
      </c>
    </row>
    <row r="148" spans="2:16" s="15" customFormat="1" ht="11.45">
      <c r="B148" s="17" t="s">
        <v>26</v>
      </c>
      <c r="C148" s="17" t="str">
        <f>_xlfn.CONCAT(Instruções!$D$13,".",VLOOKUP(B148,Instruções!$F$12:$H$17,2,0))</f>
        <v>cd_loan_tapes_bce.lt002_instrument</v>
      </c>
      <c r="D148" s="17" t="str">
        <f>_xlfn.CONCAT(Instruções!$D$14,".",VLOOKUP(B148,Instruções!$F$12:$H$17,3,0))</f>
        <v>bu_loantape_work.lt002_instrument</v>
      </c>
      <c r="E148" s="17" t="s">
        <v>202</v>
      </c>
      <c r="F148" s="17" t="str">
        <f t="shared" si="12"/>
        <v>dsti_as_is</v>
      </c>
      <c r="G148" s="17" t="str">
        <f t="shared" si="13"/>
        <v>dsti_to_be</v>
      </c>
      <c r="H148" s="17" t="str">
        <f>IF(VLOOKUP(B148,Instruções!$F$13:$J$17,5,0)="",
"(SELECT "&amp;VLOOKUP(B148,Instruções!$F$13:$J$17,4,0)&amp;" as "&amp;VLOOKUP(B148,Instruções!$F$13:$J$17,4,0)&amp;"_"&amp;$F$2&amp;", "&amp;E148&amp;" as "&amp;F148&amp;" FROM "&amp;C148&amp;" WHERE "&amp;Instruções!$D$20&amp;") A ",
"(SELECT "&amp;VLOOKUP(B148,Instruções!$F$13:$J$17,4,0)&amp;" as "&amp;VLOOKUP(B148,Instruções!$F$13:$J$17,4,0)&amp;"_"&amp;$F$2&amp;", "&amp;VLOOKUP(B148,Instruções!$F$13:$J$17,5,0)&amp;" as "&amp;VLOOKUP(B148,Instruções!$F$13:$J$17,5,0)&amp;"_"&amp;$F$2&amp;","&amp;E148&amp;" as "&amp;F148&amp;" FROM "&amp;C148&amp;" WHERE "&amp;Instruções!$D$20&amp;") A ")</f>
        <v xml:space="preserve">(SELECT instrmnt_id as instrmnt_id_as_is, dsti as dsti_as_is FROM cd_loan_tapes_bce.lt002_instrument WHERE ref_date='2024-09-30' AND nome_perimetro='Individual Corporativo' AND segmento='ESTR' AND ambito='PM' AND entidade='00100' ) A </v>
      </c>
      <c r="I148" s="17" t="str">
        <f>IF(VLOOKUP(B148,Instruções!$F$13:$J$17,5,0)="",
"(SELECT "&amp;VLOOKUP(B148,Instruções!$F$13:$J$17,4,0)&amp;" as "&amp;VLOOKUP(B148,Instruções!$F$13:$J$17,4,0)&amp;"_"&amp;$G$2&amp;", "&amp;E148&amp;" as "&amp;G148&amp;" FROM "&amp;D148&amp;" WHERE "&amp;Instruções!$D$21&amp;") B ",
"(SELECT "&amp;VLOOKUP(B148,Instruções!$F$13:$J$17,4,0)&amp;" as "&amp;VLOOKUP(B148,Instruções!$F$13:$J$17,4,0)&amp;"_"&amp;$G$2&amp;", "&amp;VLOOKUP(B148,Instruções!$F$13:$J$17,5,0)&amp;" as "&amp;VLOOKUP(B148,Instruções!$F$13:$J$17,5,0)&amp;"_"&amp;$G$2&amp;","&amp;E148&amp;" as "&amp;G148&amp;" FROM "&amp;D148&amp;" WHERE "&amp;Instruções!$D$21&amp;") B ")</f>
        <v xml:space="preserve">(SELECT instrmnt_id as instrmnt_id_to_be, dsti as dsti_to_be FROM bu_loantape_work.lt002_instrument WHERE ref_date='2024-09-30' AND nome_perimetro='Individual Corporativo' AND segmento='ESTR' AND ambito='PM' AND entidade='00100' ) B </v>
      </c>
      <c r="J148" s="17" t="str">
        <f>IF(VLOOKUP(B148,Instruções!$F$13:$J$17,5,0)="",
"ON "&amp;VLOOKUP(B148,Instruções!$F$13:$J$17,4,0)&amp;"_"&amp;$F$2&amp;" = "&amp;VLOOKUP(B148,Instruções!$F$13:$J$17,4,0)&amp;"_"&amp;$G$2&amp;" ",
"ON "&amp;VLOOKUP(B148,Instruções!$F$13:$J$17,4,0)&amp;"_"&amp;$F$2&amp;" = "&amp;VLOOKUP(B148,Instruções!$F$13:$J$17,4,0)&amp;"_"&amp;$G$2&amp;" AND "&amp;VLOOKUP(B148,Instruções!$F$13:$J$17,5,0)&amp;"_"&amp;$F$2&amp;" = "&amp;VLOOKUP(B148,Instruções!$F$13:$J$17,5,0)&amp;"_"&amp;$G$2&amp;" ")</f>
        <v xml:space="preserve">ON instrmnt_id_as_is = instrmnt_id_to_be </v>
      </c>
      <c r="K148" s="17" t="str">
        <f t="shared" si="14"/>
        <v xml:space="preserve">WHERE coalesce(cast(dsti_as_is as string), '') &lt;&gt; coalesce(cast(dsti_to_be as string), '') </v>
      </c>
      <c r="L148" s="17" t="str">
        <f t="shared" si="15"/>
        <v xml:space="preserve">SELECT count(*) AS NUM_REG_DIF FROM (SELECT instrmnt_id as instrmnt_id_as_is, dsti as dsti_as_is FROM cd_loan_tapes_bce.lt002_instrument WHERE ref_date='2024-09-30' AND nome_perimetro='Individual Corporativo' AND segmento='ESTR' AND ambito='PM' AND entidade='00100' ) A  Inner join (SELECT instrmnt_id as instrmnt_id_to_be, dsti as dsti_to_be FROM bu_loantape_work.lt002_instrument WHERE ref_date='2024-09-30' AND nome_perimetro='Individual Corporativo' AND segmento='ESTR' AND ambito='PM' AND entidade='00100' ) B ON instrmnt_id_as_is = instrmnt_id_to_be WHERE coalesce(cast(dsti_as_is as string), '') &lt;&gt; coalesce(cast(dsti_to_be as string), '') </v>
      </c>
      <c r="M148" s="17" t="s">
        <v>55</v>
      </c>
      <c r="N148" s="17" t="str">
        <f>"SELECT 'Validação de campos' as tipologia_teste, '"&amp;VLOOKUP(B148,Instruções!$F$13:$J$17,3,0)&amp;"' AS TABELA, '"&amp;E148&amp;"' AS CAMPO, '"&amp;Instruções!$D$15&amp;"' as ref_date, coalesce(NUM_REG_DIF, 0) AS NUM_REG_DIF FROM ("&amp;L148&amp;") A "</f>
        <v xml:space="preserve">SELECT 'Validação de campos' as tipologia_teste, 'lt002_instrument' AS TABELA, 'dsti' AS CAMPO, '2024-09-30' as ref_date, coalesce(NUM_REG_DIF, 0) AS NUM_REG_DIF FROM (SELECT count(*) AS NUM_REG_DIF FROM (SELECT instrmnt_id as instrmnt_id_as_is, dsti as dsti_as_is FROM cd_loan_tapes_bce.lt002_instrument WHERE ref_date='2024-09-30' AND nome_perimetro='Individual Corporativo' AND segmento='ESTR' AND ambito='PM' AND entidade='00100' ) A  Inner join (SELECT instrmnt_id as instrmnt_id_to_be, dsti as dsti_to_be FROM bu_loantape_work.lt002_instrument WHERE ref_date='2024-09-30' AND nome_perimetro='Individual Corporativo' AND segmento='ESTR' AND ambito='PM' AND entidade='00100' ) B ON instrmnt_id_as_is = instrmnt_id_to_be WHERE coalesce(cast(dsti_as_is as string), '') &lt;&gt; coalesce(cast(dsti_to_be as string), '') ) A </v>
      </c>
      <c r="O148" s="19" t="str">
        <f t="shared" si="16"/>
        <v>SELECT 'Validação de campos' as tipologia_teste, 'lt002_instrument' AS TABELA, 'dsti' AS CAMPO, '2024-09-30' as ref_date, coalesce(NUM_REG_DIF, 0) AS NUM_REG_DIF FROM (SELECT count(*) AS NUM_REG_DIF FROM (SELECT instrmnt_id as instrmnt_id_as_is, dsti as dsti_as_is FROM cd_loan_tapes_bce.lt002_instrument WHERE ref_date='2024-09-30' AND nome_perimetro='Individual Corporativo' AND segmento='ESTR' AND ambito='PM' AND entidade='00100' ) A  Inner join (SELECT instrmnt_id as instrmnt_id_to_be, dsti as dsti_to_be FROM bu_loantape_work.lt002_instrument WHERE ref_date='2024-09-30' AND nome_perimetro='Individual Corporativo' AND segmento='ESTR' AND ambito='PM' AND entidade='00100' ) B ON instrmnt_id_as_is = instrmnt_id_to_be WHERE coalesce(cast(dsti_as_is as string), '') &lt;&gt; coalesce(cast(dsti_to_be as string), '') ) A UNION ALL</v>
      </c>
      <c r="P148" s="17">
        <f t="shared" si="17"/>
        <v>44</v>
      </c>
    </row>
    <row r="149" spans="2:16" s="15" customFormat="1" ht="11.45">
      <c r="B149" s="17" t="s">
        <v>26</v>
      </c>
      <c r="C149" s="17" t="str">
        <f>_xlfn.CONCAT(Instruções!$D$13,".",VLOOKUP(B149,Instruções!$F$12:$H$17,2,0))</f>
        <v>cd_loan_tapes_bce.lt002_instrument</v>
      </c>
      <c r="D149" s="17" t="str">
        <f>_xlfn.CONCAT(Instruções!$D$14,".",VLOOKUP(B149,Instruções!$F$12:$H$17,3,0))</f>
        <v>bu_loantape_work.lt002_instrument</v>
      </c>
      <c r="E149" s="17" t="s">
        <v>204</v>
      </c>
      <c r="F149" s="17" t="str">
        <f t="shared" si="12"/>
        <v>dt_cmplnt_mrtr_stts_c19_as_is</v>
      </c>
      <c r="G149" s="17" t="str">
        <f t="shared" si="13"/>
        <v>dt_cmplnt_mrtr_stts_c19_to_be</v>
      </c>
      <c r="H149" s="17" t="str">
        <f>IF(VLOOKUP(B149,Instruções!$F$13:$J$17,5,0)="",
"(SELECT "&amp;VLOOKUP(B149,Instruções!$F$13:$J$17,4,0)&amp;" as "&amp;VLOOKUP(B149,Instruções!$F$13:$J$17,4,0)&amp;"_"&amp;$F$2&amp;", "&amp;E149&amp;" as "&amp;F149&amp;" FROM "&amp;C149&amp;" WHERE "&amp;Instruções!$D$20&amp;") A ",
"(SELECT "&amp;VLOOKUP(B149,Instruções!$F$13:$J$17,4,0)&amp;" as "&amp;VLOOKUP(B149,Instruções!$F$13:$J$17,4,0)&amp;"_"&amp;$F$2&amp;", "&amp;VLOOKUP(B149,Instruções!$F$13:$J$17,5,0)&amp;" as "&amp;VLOOKUP(B149,Instruções!$F$13:$J$17,5,0)&amp;"_"&amp;$F$2&amp;","&amp;E149&amp;" as "&amp;F149&amp;" FROM "&amp;C149&amp;" WHERE "&amp;Instruções!$D$20&amp;") A ")</f>
        <v xml:space="preserve">(SELECT instrmnt_id as instrmnt_id_as_is, dt_cmplnt_mrtr_stts_c19 as dt_cmplnt_mrtr_stts_c19_as_is FROM cd_loan_tapes_bce.lt002_instrument WHERE ref_date='2024-09-30' AND nome_perimetro='Individual Corporativo' AND segmento='ESTR' AND ambito='PM' AND entidade='00100' ) A </v>
      </c>
      <c r="I149" s="17" t="str">
        <f>IF(VLOOKUP(B149,Instruções!$F$13:$J$17,5,0)="",
"(SELECT "&amp;VLOOKUP(B149,Instruções!$F$13:$J$17,4,0)&amp;" as "&amp;VLOOKUP(B149,Instruções!$F$13:$J$17,4,0)&amp;"_"&amp;$G$2&amp;", "&amp;E149&amp;" as "&amp;G149&amp;" FROM "&amp;D149&amp;" WHERE "&amp;Instruções!$D$21&amp;") B ",
"(SELECT "&amp;VLOOKUP(B149,Instruções!$F$13:$J$17,4,0)&amp;" as "&amp;VLOOKUP(B149,Instruções!$F$13:$J$17,4,0)&amp;"_"&amp;$G$2&amp;", "&amp;VLOOKUP(B149,Instruções!$F$13:$J$17,5,0)&amp;" as "&amp;VLOOKUP(B149,Instruções!$F$13:$J$17,5,0)&amp;"_"&amp;$G$2&amp;","&amp;E149&amp;" as "&amp;G149&amp;" FROM "&amp;D149&amp;" WHERE "&amp;Instruções!$D$21&amp;") B ")</f>
        <v xml:space="preserve">(SELECT instrmnt_id as instrmnt_id_to_be, dt_cmplnt_mrtr_stts_c19 as dt_cmplnt_mrtr_stts_c19_to_be FROM bu_loantape_work.lt002_instrument WHERE ref_date='2024-09-30' AND nome_perimetro='Individual Corporativo' AND segmento='ESTR' AND ambito='PM' AND entidade='00100' ) B </v>
      </c>
      <c r="J149" s="17" t="str">
        <f>IF(VLOOKUP(B149,Instruções!$F$13:$J$17,5,0)="",
"ON "&amp;VLOOKUP(B149,Instruções!$F$13:$J$17,4,0)&amp;"_"&amp;$F$2&amp;" = "&amp;VLOOKUP(B149,Instruções!$F$13:$J$17,4,0)&amp;"_"&amp;$G$2&amp;" ",
"ON "&amp;VLOOKUP(B149,Instruções!$F$13:$J$17,4,0)&amp;"_"&amp;$F$2&amp;" = "&amp;VLOOKUP(B149,Instruções!$F$13:$J$17,4,0)&amp;"_"&amp;$G$2&amp;" AND "&amp;VLOOKUP(B149,Instruções!$F$13:$J$17,5,0)&amp;"_"&amp;$F$2&amp;" = "&amp;VLOOKUP(B149,Instruções!$F$13:$J$17,5,0)&amp;"_"&amp;$G$2&amp;" ")</f>
        <v xml:space="preserve">ON instrmnt_id_as_is = instrmnt_id_to_be </v>
      </c>
      <c r="K149" s="17" t="str">
        <f t="shared" si="14"/>
        <v xml:space="preserve">WHERE coalesce(cast(dt_cmplnt_mrtr_stts_c19_as_is as string), '') &lt;&gt; coalesce(cast(dt_cmplnt_mrtr_stts_c19_to_be as string), '') </v>
      </c>
      <c r="L149" s="17" t="str">
        <f t="shared" si="15"/>
        <v xml:space="preserve">SELECT count(*) AS NUM_REG_DIF FROM (SELECT instrmnt_id as instrmnt_id_as_is, dt_cmplnt_mrtr_stts_c19 as dt_cmplnt_mrtr_stts_c19_as_is FROM cd_loan_tapes_bce.lt002_instrument WHERE ref_date='2024-09-30' AND nome_perimetro='Individual Corporativo' AND segmento='ESTR' AND ambito='PM' AND entidade='00100' ) A  Inner join (SELECT instrmnt_id as instrmnt_id_to_be, dt_cmplnt_mrtr_stts_c19 as dt_cmplnt_mrtr_stts_c19_to_be FROM bu_loantape_work.lt002_instrument WHERE ref_date='2024-09-30' AND nome_perimetro='Individual Corporativo' AND segmento='ESTR' AND ambito='PM' AND entidade='00100' ) B ON instrmnt_id_as_is = instrmnt_id_to_be WHERE coalesce(cast(dt_cmplnt_mrtr_stts_c19_as_is as string), '') &lt;&gt; coalesce(cast(dt_cmplnt_mrtr_stts_c19_to_be as string), '') </v>
      </c>
      <c r="M149" s="17" t="s">
        <v>55</v>
      </c>
      <c r="N149" s="17" t="str">
        <f>"SELECT 'Validação de campos' as tipologia_teste, '"&amp;VLOOKUP(B149,Instruções!$F$13:$J$17,3,0)&amp;"' AS TABELA, '"&amp;E149&amp;"' AS CAMPO, '"&amp;Instruções!$D$15&amp;"' as ref_date, coalesce(NUM_REG_DIF, 0) AS NUM_REG_DIF FROM ("&amp;L149&amp;") A "</f>
        <v xml:space="preserve">SELECT 'Validação de campos' as tipologia_teste, 'lt002_instrument' AS TABELA, 'dt_cmplnt_mrtr_stts_c19' AS CAMPO, '2024-09-30' as ref_date, coalesce(NUM_REG_DIF, 0) AS NUM_REG_DIF FROM (SELECT count(*) AS NUM_REG_DIF FROM (SELECT instrmnt_id as instrmnt_id_as_is, dt_cmplnt_mrtr_stts_c19 as dt_cmplnt_mrtr_stts_c19_as_is FROM cd_loan_tapes_bce.lt002_instrument WHERE ref_date='2024-09-30' AND nome_perimetro='Individual Corporativo' AND segmento='ESTR' AND ambito='PM' AND entidade='00100' ) A  Inner join (SELECT instrmnt_id as instrmnt_id_to_be, dt_cmplnt_mrtr_stts_c19 as dt_cmplnt_mrtr_stts_c19_to_be FROM bu_loantape_work.lt002_instrument WHERE ref_date='2024-09-30' AND nome_perimetro='Individual Corporativo' AND segmento='ESTR' AND ambito='PM' AND entidade='00100' ) B ON instrmnt_id_as_is = instrmnt_id_to_be WHERE coalesce(cast(dt_cmplnt_mrtr_stts_c19_as_is as string), '') &lt;&gt; coalesce(cast(dt_cmplnt_mrtr_stts_c19_to_be as string), '') ) A </v>
      </c>
      <c r="O149" s="19" t="str">
        <f t="shared" si="16"/>
        <v>SELECT 'Validação de campos' as tipologia_teste, 'lt002_instrument' AS TABELA, 'dt_cmplnt_mrtr_stts_c19' AS CAMPO, '2024-09-30' as ref_date, coalesce(NUM_REG_DIF, 0) AS NUM_REG_DIF FROM (SELECT count(*) AS NUM_REG_DIF FROM (SELECT instrmnt_id as instrmnt_id_as_is, dt_cmplnt_mrtr_stts_c19 as dt_cmplnt_mrtr_stts_c19_as_is FROM cd_loan_tapes_bce.lt002_instrument WHERE ref_date='2024-09-30' AND nome_perimetro='Individual Corporativo' AND segmento='ESTR' AND ambito='PM' AND entidade='00100' ) A  Inner join (SELECT instrmnt_id as instrmnt_id_to_be, dt_cmplnt_mrtr_stts_c19 as dt_cmplnt_mrtr_stts_c19_to_be FROM bu_loantape_work.lt002_instrument WHERE ref_date='2024-09-30' AND nome_perimetro='Individual Corporativo' AND segmento='ESTR' AND ambito='PM' AND entidade='00100' ) B ON instrmnt_id_as_is = instrmnt_id_to_be WHERE coalesce(cast(dt_cmplnt_mrtr_stts_c19_as_is as string), '') &lt;&gt; coalesce(cast(dt_cmplnt_mrtr_stts_c19_to_be as string), '') ) A UNION ALL</v>
      </c>
      <c r="P149" s="17">
        <f t="shared" si="17"/>
        <v>45</v>
      </c>
    </row>
    <row r="150" spans="2:16" s="15" customFormat="1" ht="11.45">
      <c r="B150" s="17" t="s">
        <v>26</v>
      </c>
      <c r="C150" s="17" t="str">
        <f>_xlfn.CONCAT(Instruções!$D$13,".",VLOOKUP(B150,Instruções!$F$12:$H$17,2,0))</f>
        <v>cd_loan_tapes_bce.lt002_instrument</v>
      </c>
      <c r="D150" s="17" t="str">
        <f>_xlfn.CONCAT(Instruções!$D$14,".",VLOOKUP(B150,Instruções!$F$12:$H$17,3,0))</f>
        <v>bu_loantape_work.lt002_instrument</v>
      </c>
      <c r="E150" s="17" t="s">
        <v>205</v>
      </c>
      <c r="F150" s="17" t="str">
        <f t="shared" si="12"/>
        <v>dt_cmplnt_mrtr_stts_prvs_c19_as_is</v>
      </c>
      <c r="G150" s="17" t="str">
        <f t="shared" si="13"/>
        <v>dt_cmplnt_mrtr_stts_prvs_c19_to_be</v>
      </c>
      <c r="H150" s="17" t="str">
        <f>IF(VLOOKUP(B150,Instruções!$F$13:$J$17,5,0)="",
"(SELECT "&amp;VLOOKUP(B150,Instruções!$F$13:$J$17,4,0)&amp;" as "&amp;VLOOKUP(B150,Instruções!$F$13:$J$17,4,0)&amp;"_"&amp;$F$2&amp;", "&amp;E150&amp;" as "&amp;F150&amp;" FROM "&amp;C150&amp;" WHERE "&amp;Instruções!$D$20&amp;") A ",
"(SELECT "&amp;VLOOKUP(B150,Instruções!$F$13:$J$17,4,0)&amp;" as "&amp;VLOOKUP(B150,Instruções!$F$13:$J$17,4,0)&amp;"_"&amp;$F$2&amp;", "&amp;VLOOKUP(B150,Instruções!$F$13:$J$17,5,0)&amp;" as "&amp;VLOOKUP(B150,Instruções!$F$13:$J$17,5,0)&amp;"_"&amp;$F$2&amp;","&amp;E150&amp;" as "&amp;F150&amp;" FROM "&amp;C150&amp;" WHERE "&amp;Instruções!$D$20&amp;") A ")</f>
        <v xml:space="preserve">(SELECT instrmnt_id as instrmnt_id_as_is, dt_cmplnt_mrtr_stts_prvs_c19 as dt_cmplnt_mrtr_stts_prvs_c19_as_is FROM cd_loan_tapes_bce.lt002_instrument WHERE ref_date='2024-09-30' AND nome_perimetro='Individual Corporativo' AND segmento='ESTR' AND ambito='PM' AND entidade='00100' ) A </v>
      </c>
      <c r="I150" s="17" t="str">
        <f>IF(VLOOKUP(B150,Instruções!$F$13:$J$17,5,0)="",
"(SELECT "&amp;VLOOKUP(B150,Instruções!$F$13:$J$17,4,0)&amp;" as "&amp;VLOOKUP(B150,Instruções!$F$13:$J$17,4,0)&amp;"_"&amp;$G$2&amp;", "&amp;E150&amp;" as "&amp;G150&amp;" FROM "&amp;D150&amp;" WHERE "&amp;Instruções!$D$21&amp;") B ",
"(SELECT "&amp;VLOOKUP(B150,Instruções!$F$13:$J$17,4,0)&amp;" as "&amp;VLOOKUP(B150,Instruções!$F$13:$J$17,4,0)&amp;"_"&amp;$G$2&amp;", "&amp;VLOOKUP(B150,Instruções!$F$13:$J$17,5,0)&amp;" as "&amp;VLOOKUP(B150,Instruções!$F$13:$J$17,5,0)&amp;"_"&amp;$G$2&amp;","&amp;E150&amp;" as "&amp;G150&amp;" FROM "&amp;D150&amp;" WHERE "&amp;Instruções!$D$21&amp;") B ")</f>
        <v xml:space="preserve">(SELECT instrmnt_id as instrmnt_id_to_be, dt_cmplnt_mrtr_stts_prvs_c19 as dt_cmplnt_mrtr_stts_prvs_c19_to_be FROM bu_loantape_work.lt002_instrument WHERE ref_date='2024-09-30' AND nome_perimetro='Individual Corporativo' AND segmento='ESTR' AND ambito='PM' AND entidade='00100' ) B </v>
      </c>
      <c r="J150" s="17" t="str">
        <f>IF(VLOOKUP(B150,Instruções!$F$13:$J$17,5,0)="",
"ON "&amp;VLOOKUP(B150,Instruções!$F$13:$J$17,4,0)&amp;"_"&amp;$F$2&amp;" = "&amp;VLOOKUP(B150,Instruções!$F$13:$J$17,4,0)&amp;"_"&amp;$G$2&amp;" ",
"ON "&amp;VLOOKUP(B150,Instruções!$F$13:$J$17,4,0)&amp;"_"&amp;$F$2&amp;" = "&amp;VLOOKUP(B150,Instruções!$F$13:$J$17,4,0)&amp;"_"&amp;$G$2&amp;" AND "&amp;VLOOKUP(B150,Instruções!$F$13:$J$17,5,0)&amp;"_"&amp;$F$2&amp;" = "&amp;VLOOKUP(B150,Instruções!$F$13:$J$17,5,0)&amp;"_"&amp;$G$2&amp;" ")</f>
        <v xml:space="preserve">ON instrmnt_id_as_is = instrmnt_id_to_be </v>
      </c>
      <c r="K150" s="17" t="str">
        <f t="shared" si="14"/>
        <v xml:space="preserve">WHERE coalesce(cast(dt_cmplnt_mrtr_stts_prvs_c19_as_is as string), '') &lt;&gt; coalesce(cast(dt_cmplnt_mrtr_stts_prvs_c19_to_be as string), '') </v>
      </c>
      <c r="L150" s="17" t="str">
        <f t="shared" si="15"/>
        <v xml:space="preserve">SELECT count(*) AS NUM_REG_DIF FROM (SELECT instrmnt_id as instrmnt_id_as_is,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instrmnt_id_to_be, dt_cmplnt_mrtr_stts_prvs_c19 as dt_cmplnt_mrtr_stts_prvs_c19_to_be FROM bu_loantape_work.lt002_instrument WHERE ref_date='2024-09-30' AND nome_perimetro='Individual Corporativo' AND segmento='ESTR' AND ambito='PM' AND entidade='00100' ) B ON instrmnt_id_as_is = instrmnt_id_to_be WHERE coalesce(cast(dt_cmplnt_mrtr_stts_prvs_c19_as_is as string), '') &lt;&gt; coalesce(cast(dt_cmplnt_mrtr_stts_prvs_c19_to_be as string), '') </v>
      </c>
      <c r="M150" s="17" t="s">
        <v>55</v>
      </c>
      <c r="N150" s="17" t="str">
        <f>"SELECT 'Validação de campos' as tipologia_teste, '"&amp;VLOOKUP(B150,Instruções!$F$13:$J$17,3,0)&amp;"' AS TABELA, '"&amp;E150&amp;"' AS CAMPO, '"&amp;Instruções!$D$15&amp;"' as ref_date, coalesce(NUM_REG_DIF, 0) AS NUM_REG_DIF FROM ("&amp;L150&amp;") A "</f>
        <v xml:space="preserve">SELECT 'Validação de campos' as tipologia_teste, 'lt002_instrument' AS TABELA, 'dt_cmplnt_mrtr_stts_prvs_c19' AS CAMPO, '2024-09-30' as ref_date, coalesce(NUM_REG_DIF, 0) AS NUM_REG_DIF FROM (SELECT count(*) AS NUM_REG_DIF FROM (SELECT instrmnt_id as instrmnt_id_as_is,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instrmnt_id_to_be, dt_cmplnt_mrtr_stts_prvs_c19 as dt_cmplnt_mrtr_stts_prvs_c19_to_be FROM bu_loantape_work.lt002_instrument WHERE ref_date='2024-09-30' AND nome_perimetro='Individual Corporativo' AND segmento='ESTR' AND ambito='PM' AND entidade='00100' ) B ON instrmnt_id_as_is = instrmnt_id_to_be WHERE coalesce(cast(dt_cmplnt_mrtr_stts_prvs_c19_as_is as string), '') &lt;&gt; coalesce(cast(dt_cmplnt_mrtr_stts_prvs_c19_to_be as string), '') ) A </v>
      </c>
      <c r="O150" s="19" t="str">
        <f t="shared" si="16"/>
        <v>SELECT 'Validação de campos' as tipologia_teste, 'lt002_instrument' AS TABELA, 'dt_cmplnt_mrtr_stts_prvs_c19' AS CAMPO, '2024-09-30' as ref_date, coalesce(NUM_REG_DIF, 0) AS NUM_REG_DIF FROM (SELECT count(*) AS NUM_REG_DIF FROM (SELECT instrmnt_id as instrmnt_id_as_is, dt_cmplnt_mrtr_stts_prvs_c19 as dt_cmplnt_mrtr_stts_prvs_c19_as_is FROM cd_loan_tapes_bce.lt002_instrument WHERE ref_date='2024-09-30' AND nome_perimetro='Individual Corporativo' AND segmento='ESTR' AND ambito='PM' AND entidade='00100' ) A  Inner join (SELECT instrmnt_id as instrmnt_id_to_be, dt_cmplnt_mrtr_stts_prvs_c19 as dt_cmplnt_mrtr_stts_prvs_c19_to_be FROM bu_loantape_work.lt002_instrument WHERE ref_date='2024-09-30' AND nome_perimetro='Individual Corporativo' AND segmento='ESTR' AND ambito='PM' AND entidade='00100' ) B ON instrmnt_id_as_is = instrmnt_id_to_be WHERE coalesce(cast(dt_cmplnt_mrtr_stts_prvs_c19_as_is as string), '') &lt;&gt; coalesce(cast(dt_cmplnt_mrtr_stts_prvs_c19_to_be as string), '') ) A UNION ALL</v>
      </c>
      <c r="P150" s="17">
        <f t="shared" si="17"/>
        <v>46</v>
      </c>
    </row>
    <row r="151" spans="2:16" s="15" customFormat="1" ht="11.45">
      <c r="B151" s="17" t="s">
        <v>26</v>
      </c>
      <c r="C151" s="17" t="str">
        <f>_xlfn.CONCAT(Instruções!$D$13,".",VLOOKUP(B151,Instruções!$F$12:$H$17,2,0))</f>
        <v>cd_loan_tapes_bce.lt002_instrument</v>
      </c>
      <c r="D151" s="17" t="str">
        <f>_xlfn.CONCAT(Instruções!$D$14,".",VLOOKUP(B151,Instruções!$F$12:$H$17,3,0))</f>
        <v>bu_loantape_work.lt002_instrument</v>
      </c>
      <c r="E151" s="17" t="s">
        <v>206</v>
      </c>
      <c r="F151" s="17" t="str">
        <f t="shared" si="12"/>
        <v>dt_dflt_stts_instrmnt_as_is</v>
      </c>
      <c r="G151" s="17" t="str">
        <f t="shared" si="13"/>
        <v>dt_dflt_stts_instrmnt_to_be</v>
      </c>
      <c r="H151" s="17" t="str">
        <f>IF(VLOOKUP(B151,Instruções!$F$13:$J$17,5,0)="",
"(SELECT "&amp;VLOOKUP(B151,Instruções!$F$13:$J$17,4,0)&amp;" as "&amp;VLOOKUP(B151,Instruções!$F$13:$J$17,4,0)&amp;"_"&amp;$F$2&amp;", "&amp;E151&amp;" as "&amp;F151&amp;" FROM "&amp;C151&amp;" WHERE "&amp;Instruções!$D$20&amp;") A ",
"(SELECT "&amp;VLOOKUP(B151,Instruções!$F$13:$J$17,4,0)&amp;" as "&amp;VLOOKUP(B151,Instruções!$F$13:$J$17,4,0)&amp;"_"&amp;$F$2&amp;", "&amp;VLOOKUP(B151,Instruções!$F$13:$J$17,5,0)&amp;" as "&amp;VLOOKUP(B151,Instruções!$F$13:$J$17,5,0)&amp;"_"&amp;$F$2&amp;","&amp;E151&amp;" as "&amp;F151&amp;" FROM "&amp;C151&amp;" WHERE "&amp;Instruções!$D$20&amp;") A ")</f>
        <v xml:space="preserve">(SELECT instrmnt_id as instrmnt_id_as_is, dt_dflt_stts_instrmnt as dt_dflt_stts_instrmnt_as_is FROM cd_loan_tapes_bce.lt002_instrument WHERE ref_date='2024-09-30' AND nome_perimetro='Individual Corporativo' AND segmento='ESTR' AND ambito='PM' AND entidade='00100' ) A </v>
      </c>
      <c r="I151" s="17" t="str">
        <f>IF(VLOOKUP(B151,Instruções!$F$13:$J$17,5,0)="",
"(SELECT "&amp;VLOOKUP(B151,Instruções!$F$13:$J$17,4,0)&amp;" as "&amp;VLOOKUP(B151,Instruções!$F$13:$J$17,4,0)&amp;"_"&amp;$G$2&amp;", "&amp;E151&amp;" as "&amp;G151&amp;" FROM "&amp;D151&amp;" WHERE "&amp;Instruções!$D$21&amp;") B ",
"(SELECT "&amp;VLOOKUP(B151,Instruções!$F$13:$J$17,4,0)&amp;" as "&amp;VLOOKUP(B151,Instruções!$F$13:$J$17,4,0)&amp;"_"&amp;$G$2&amp;", "&amp;VLOOKUP(B151,Instruções!$F$13:$J$17,5,0)&amp;" as "&amp;VLOOKUP(B151,Instruções!$F$13:$J$17,5,0)&amp;"_"&amp;$G$2&amp;","&amp;E151&amp;" as "&amp;G151&amp;" FROM "&amp;D151&amp;" WHERE "&amp;Instruções!$D$21&amp;") B ")</f>
        <v xml:space="preserve">(SELECT instrmnt_id as instrmnt_id_to_be, dt_dflt_stts_instrmnt as dt_dflt_stts_instrmnt_to_be FROM bu_loantape_work.lt002_instrument WHERE ref_date='2024-09-30' AND nome_perimetro='Individual Corporativo' AND segmento='ESTR' AND ambito='PM' AND entidade='00100' ) B </v>
      </c>
      <c r="J151" s="17" t="str">
        <f>IF(VLOOKUP(B151,Instruções!$F$13:$J$17,5,0)="",
"ON "&amp;VLOOKUP(B151,Instruções!$F$13:$J$17,4,0)&amp;"_"&amp;$F$2&amp;" = "&amp;VLOOKUP(B151,Instruções!$F$13:$J$17,4,0)&amp;"_"&amp;$G$2&amp;" ",
"ON "&amp;VLOOKUP(B151,Instruções!$F$13:$J$17,4,0)&amp;"_"&amp;$F$2&amp;" = "&amp;VLOOKUP(B151,Instruções!$F$13:$J$17,4,0)&amp;"_"&amp;$G$2&amp;" AND "&amp;VLOOKUP(B151,Instruções!$F$13:$J$17,5,0)&amp;"_"&amp;$F$2&amp;" = "&amp;VLOOKUP(B151,Instruções!$F$13:$J$17,5,0)&amp;"_"&amp;$G$2&amp;" ")</f>
        <v xml:space="preserve">ON instrmnt_id_as_is = instrmnt_id_to_be </v>
      </c>
      <c r="K151" s="17" t="str">
        <f t="shared" si="14"/>
        <v xml:space="preserve">WHERE coalesce(cast(dt_dflt_stts_instrmnt_as_is as string), '') &lt;&gt; coalesce(cast(dt_dflt_stts_instrmnt_to_be as string), '') </v>
      </c>
      <c r="L151" s="17" t="str">
        <f t="shared" si="15"/>
        <v xml:space="preserve">SELECT count(*) AS NUM_REG_DIF FROM (SELECT instrmnt_id as instrmnt_id_as_is, dt_dflt_stts_instrmnt as dt_dflt_stts_instrmnt_as_is FROM cd_loan_tapes_bce.lt002_instrument WHERE ref_date='2024-09-30' AND nome_perimetro='Individual Corporativo' AND segmento='ESTR' AND ambito='PM' AND entidade='00100' ) A  Inner join (SELECT instrmnt_id as instrmnt_id_to_be, dt_dflt_stts_instrmnt as dt_dflt_stts_instrmnt_to_be FROM bu_loantape_work.lt002_instrument WHERE ref_date='2024-09-30' AND nome_perimetro='Individual Corporativo' AND segmento='ESTR' AND ambito='PM' AND entidade='00100' ) B ON instrmnt_id_as_is = instrmnt_id_to_be WHERE coalesce(cast(dt_dflt_stts_instrmnt_as_is as string), '') &lt;&gt; coalesce(cast(dt_dflt_stts_instrmnt_to_be as string), '') </v>
      </c>
      <c r="M151" s="17" t="s">
        <v>55</v>
      </c>
      <c r="N151" s="17" t="str">
        <f>"SELECT 'Validação de campos' as tipologia_teste, '"&amp;VLOOKUP(B151,Instruções!$F$13:$J$17,3,0)&amp;"' AS TABELA, '"&amp;E151&amp;"' AS CAMPO, '"&amp;Instruções!$D$15&amp;"' as ref_date, coalesce(NUM_REG_DIF, 0) AS NUM_REG_DIF FROM ("&amp;L151&amp;") A "</f>
        <v xml:space="preserve">SELECT 'Validação de campos' as tipologia_teste, 'lt002_instrument' AS TABELA, 'dt_dflt_stts_instrmnt' AS CAMPO, '2024-09-30' as ref_date, coalesce(NUM_REG_DIF, 0) AS NUM_REG_DIF FROM (SELECT count(*) AS NUM_REG_DIF FROM (SELECT instrmnt_id as instrmnt_id_as_is, dt_dflt_stts_instrmnt as dt_dflt_stts_instrmnt_as_is FROM cd_loan_tapes_bce.lt002_instrument WHERE ref_date='2024-09-30' AND nome_perimetro='Individual Corporativo' AND segmento='ESTR' AND ambito='PM' AND entidade='00100' ) A  Inner join (SELECT instrmnt_id as instrmnt_id_to_be, dt_dflt_stts_instrmnt as dt_dflt_stts_instrmnt_to_be FROM bu_loantape_work.lt002_instrument WHERE ref_date='2024-09-30' AND nome_perimetro='Individual Corporativo' AND segmento='ESTR' AND ambito='PM' AND entidade='00100' ) B ON instrmnt_id_as_is = instrmnt_id_to_be WHERE coalesce(cast(dt_dflt_stts_instrmnt_as_is as string), '') &lt;&gt; coalesce(cast(dt_dflt_stts_instrmnt_to_be as string), '') ) A </v>
      </c>
      <c r="O151" s="19" t="str">
        <f t="shared" si="16"/>
        <v>SELECT 'Validação de campos' as tipologia_teste, 'lt002_instrument' AS TABELA, 'dt_dflt_stts_instrmnt' AS CAMPO, '2024-09-30' as ref_date, coalesce(NUM_REG_DIF, 0) AS NUM_REG_DIF FROM (SELECT count(*) AS NUM_REG_DIF FROM (SELECT instrmnt_id as instrmnt_id_as_is, dt_dflt_stts_instrmnt as dt_dflt_stts_instrmnt_as_is FROM cd_loan_tapes_bce.lt002_instrument WHERE ref_date='2024-09-30' AND nome_perimetro='Individual Corporativo' AND segmento='ESTR' AND ambito='PM' AND entidade='00100' ) A  Inner join (SELECT instrmnt_id as instrmnt_id_to_be, dt_dflt_stts_instrmnt as dt_dflt_stts_instrmnt_to_be FROM bu_loantape_work.lt002_instrument WHERE ref_date='2024-09-30' AND nome_perimetro='Individual Corporativo' AND segmento='ESTR' AND ambito='PM' AND entidade='00100' ) B ON instrmnt_id_as_is = instrmnt_id_to_be WHERE coalesce(cast(dt_dflt_stts_instrmnt_as_is as string), '') &lt;&gt; coalesce(cast(dt_dflt_stts_instrmnt_to_be as string), '') ) A UNION ALL</v>
      </c>
      <c r="P151" s="17">
        <f t="shared" si="17"/>
        <v>47</v>
      </c>
    </row>
    <row r="152" spans="2:16" s="15" customFormat="1" ht="11.45">
      <c r="B152" s="17" t="s">
        <v>26</v>
      </c>
      <c r="C152" s="17" t="str">
        <f>_xlfn.CONCAT(Instruções!$D$13,".",VLOOKUP(B152,Instruções!$F$12:$H$17,2,0))</f>
        <v>cd_loan_tapes_bce.lt002_instrument</v>
      </c>
      <c r="D152" s="17" t="str">
        <f>_xlfn.CONCAT(Instruções!$D$14,".",VLOOKUP(B152,Instruções!$F$12:$H$17,3,0))</f>
        <v>bu_loantape_work.lt002_instrument</v>
      </c>
      <c r="E152" s="17" t="s">
        <v>207</v>
      </c>
      <c r="F152" s="17" t="str">
        <f t="shared" si="12"/>
        <v>dt_end_gp_ppal_as_is</v>
      </c>
      <c r="G152" s="17" t="str">
        <f t="shared" si="13"/>
        <v>dt_end_gp_ppal_to_be</v>
      </c>
      <c r="H152" s="17" t="str">
        <f>IF(VLOOKUP(B152,Instruções!$F$13:$J$17,5,0)="",
"(SELECT "&amp;VLOOKUP(B152,Instruções!$F$13:$J$17,4,0)&amp;" as "&amp;VLOOKUP(B152,Instruções!$F$13:$J$17,4,0)&amp;"_"&amp;$F$2&amp;", "&amp;E152&amp;" as "&amp;F152&amp;" FROM "&amp;C152&amp;" WHERE "&amp;Instruções!$D$20&amp;") A ",
"(SELECT "&amp;VLOOKUP(B152,Instruções!$F$13:$J$17,4,0)&amp;" as "&amp;VLOOKUP(B152,Instruções!$F$13:$J$17,4,0)&amp;"_"&amp;$F$2&amp;", "&amp;VLOOKUP(B152,Instruções!$F$13:$J$17,5,0)&amp;" as "&amp;VLOOKUP(B152,Instruções!$F$13:$J$17,5,0)&amp;"_"&amp;$F$2&amp;","&amp;E152&amp;" as "&amp;F152&amp;" FROM "&amp;C152&amp;" WHERE "&amp;Instruções!$D$20&amp;") A ")</f>
        <v xml:space="preserve">(SELECT instrmnt_id as instrmnt_id_as_is, dt_end_gp_ppal as dt_end_gp_ppal_as_is FROM cd_loan_tapes_bce.lt002_instrument WHERE ref_date='2024-09-30' AND nome_perimetro='Individual Corporativo' AND segmento='ESTR' AND ambito='PM' AND entidade='00100' ) A </v>
      </c>
      <c r="I152" s="17" t="str">
        <f>IF(VLOOKUP(B152,Instruções!$F$13:$J$17,5,0)="",
"(SELECT "&amp;VLOOKUP(B152,Instruções!$F$13:$J$17,4,0)&amp;" as "&amp;VLOOKUP(B152,Instruções!$F$13:$J$17,4,0)&amp;"_"&amp;$G$2&amp;", "&amp;E152&amp;" as "&amp;G152&amp;" FROM "&amp;D152&amp;" WHERE "&amp;Instruções!$D$21&amp;") B ",
"(SELECT "&amp;VLOOKUP(B152,Instruções!$F$13:$J$17,4,0)&amp;" as "&amp;VLOOKUP(B152,Instruções!$F$13:$J$17,4,0)&amp;"_"&amp;$G$2&amp;", "&amp;VLOOKUP(B152,Instruções!$F$13:$J$17,5,0)&amp;" as "&amp;VLOOKUP(B152,Instruções!$F$13:$J$17,5,0)&amp;"_"&amp;$G$2&amp;","&amp;E152&amp;" as "&amp;G152&amp;" FROM "&amp;D152&amp;" WHERE "&amp;Instruções!$D$21&amp;") B ")</f>
        <v xml:space="preserve">(SELECT instrmnt_id as instrmnt_id_to_be, dt_end_gp_ppal as dt_end_gp_ppal_to_be FROM bu_loantape_work.lt002_instrument WHERE ref_date='2024-09-30' AND nome_perimetro='Individual Corporativo' AND segmento='ESTR' AND ambito='PM' AND entidade='00100' ) B </v>
      </c>
      <c r="J152" s="17" t="str">
        <f>IF(VLOOKUP(B152,Instruções!$F$13:$J$17,5,0)="",
"ON "&amp;VLOOKUP(B152,Instruções!$F$13:$J$17,4,0)&amp;"_"&amp;$F$2&amp;" = "&amp;VLOOKUP(B152,Instruções!$F$13:$J$17,4,0)&amp;"_"&amp;$G$2&amp;" ",
"ON "&amp;VLOOKUP(B152,Instruções!$F$13:$J$17,4,0)&amp;"_"&amp;$F$2&amp;" = "&amp;VLOOKUP(B152,Instruções!$F$13:$J$17,4,0)&amp;"_"&amp;$G$2&amp;" AND "&amp;VLOOKUP(B152,Instruções!$F$13:$J$17,5,0)&amp;"_"&amp;$F$2&amp;" = "&amp;VLOOKUP(B152,Instruções!$F$13:$J$17,5,0)&amp;"_"&amp;$G$2&amp;" ")</f>
        <v xml:space="preserve">ON instrmnt_id_as_is = instrmnt_id_to_be </v>
      </c>
      <c r="K152" s="17" t="str">
        <f t="shared" si="14"/>
        <v xml:space="preserve">WHERE coalesce(cast(dt_end_gp_ppal_as_is as string), '') &lt;&gt; coalesce(cast(dt_end_gp_ppal_to_be as string), '') </v>
      </c>
      <c r="L152" s="17" t="str">
        <f t="shared" si="15"/>
        <v xml:space="preserve">SELECT count(*) AS NUM_REG_DIF FROM (SELECT instrmnt_id as instrmnt_id_as_is, dt_end_gp_ppal as dt_end_gp_ppal_as_is FROM cd_loan_tapes_bce.lt002_instrument WHERE ref_date='2024-09-30' AND nome_perimetro='Individual Corporativo' AND segmento='ESTR' AND ambito='PM' AND entidade='00100' ) A  Inner join (SELECT instrmnt_id as instrmnt_id_to_be, dt_end_gp_ppal as dt_end_gp_ppal_to_be FROM bu_loantape_work.lt002_instrument WHERE ref_date='2024-09-30' AND nome_perimetro='Individual Corporativo' AND segmento='ESTR' AND ambito='PM' AND entidade='00100' ) B ON instrmnt_id_as_is = instrmnt_id_to_be WHERE coalesce(cast(dt_end_gp_ppal_as_is as string), '') &lt;&gt; coalesce(cast(dt_end_gp_ppal_to_be as string), '') </v>
      </c>
      <c r="M152" s="17" t="s">
        <v>55</v>
      </c>
      <c r="N152" s="17" t="str">
        <f>"SELECT 'Validação de campos' as tipologia_teste, '"&amp;VLOOKUP(B152,Instruções!$F$13:$J$17,3,0)&amp;"' AS TABELA, '"&amp;E152&amp;"' AS CAMPO, '"&amp;Instruções!$D$15&amp;"' as ref_date, coalesce(NUM_REG_DIF, 0) AS NUM_REG_DIF FROM ("&amp;L152&amp;") A "</f>
        <v xml:space="preserve">SELECT 'Validação de campos' as tipologia_teste, 'lt002_instrument' AS TABELA, 'dt_end_gp_ppal' AS CAMPO, '2024-09-30' as ref_date, coalesce(NUM_REG_DIF, 0) AS NUM_REG_DIF FROM (SELECT count(*) AS NUM_REG_DIF FROM (SELECT instrmnt_id as instrmnt_id_as_is, dt_end_gp_ppal as dt_end_gp_ppal_as_is FROM cd_loan_tapes_bce.lt002_instrument WHERE ref_date='2024-09-30' AND nome_perimetro='Individual Corporativo' AND segmento='ESTR' AND ambito='PM' AND entidade='00100' ) A  Inner join (SELECT instrmnt_id as instrmnt_id_to_be, dt_end_gp_ppal as dt_end_gp_ppal_to_be FROM bu_loantape_work.lt002_instrument WHERE ref_date='2024-09-30' AND nome_perimetro='Individual Corporativo' AND segmento='ESTR' AND ambito='PM' AND entidade='00100' ) B ON instrmnt_id_as_is = instrmnt_id_to_be WHERE coalesce(cast(dt_end_gp_ppal_as_is as string), '') &lt;&gt; coalesce(cast(dt_end_gp_ppal_to_be as string), '') ) A </v>
      </c>
      <c r="O152" s="19" t="str">
        <f t="shared" si="16"/>
        <v>SELECT 'Validação de campos' as tipologia_teste, 'lt002_instrument' AS TABELA, 'dt_end_gp_ppal' AS CAMPO, '2024-09-30' as ref_date, coalesce(NUM_REG_DIF, 0) AS NUM_REG_DIF FROM (SELECT count(*) AS NUM_REG_DIF FROM (SELECT instrmnt_id as instrmnt_id_as_is, dt_end_gp_ppal as dt_end_gp_ppal_as_is FROM cd_loan_tapes_bce.lt002_instrument WHERE ref_date='2024-09-30' AND nome_perimetro='Individual Corporativo' AND segmento='ESTR' AND ambito='PM' AND entidade='00100' ) A  Inner join (SELECT instrmnt_id as instrmnt_id_to_be, dt_end_gp_ppal as dt_end_gp_ppal_to_be FROM bu_loantape_work.lt002_instrument WHERE ref_date='2024-09-30' AND nome_perimetro='Individual Corporativo' AND segmento='ESTR' AND ambito='PM' AND entidade='00100' ) B ON instrmnt_id_as_is = instrmnt_id_to_be WHERE coalesce(cast(dt_end_gp_ppal_as_is as string), '') &lt;&gt; coalesce(cast(dt_end_gp_ppal_to_be as string), '') ) A UNION ALL</v>
      </c>
      <c r="P152" s="17">
        <f t="shared" si="17"/>
        <v>48</v>
      </c>
    </row>
    <row r="153" spans="2:16" s="15" customFormat="1" ht="11.45">
      <c r="B153" s="17" t="s">
        <v>26</v>
      </c>
      <c r="C153" s="17" t="str">
        <f>_xlfn.CONCAT(Instruções!$D$13,".",VLOOKUP(B153,Instruções!$F$12:$H$17,2,0))</f>
        <v>cd_loan_tapes_bce.lt002_instrument</v>
      </c>
      <c r="D153" s="17" t="str">
        <f>_xlfn.CONCAT(Instruções!$D$14,".",VLOOKUP(B153,Instruções!$F$12:$H$17,3,0))</f>
        <v>bu_loantape_work.lt002_instrument</v>
      </c>
      <c r="E153" s="17" t="s">
        <v>208</v>
      </c>
      <c r="F153" s="17" t="str">
        <f t="shared" si="12"/>
        <v>dt_end_gp_ppal_c19_as_is</v>
      </c>
      <c r="G153" s="17" t="str">
        <f t="shared" si="13"/>
        <v>dt_end_gp_ppal_c19_to_be</v>
      </c>
      <c r="H153" s="17" t="str">
        <f>IF(VLOOKUP(B153,Instruções!$F$13:$J$17,5,0)="",
"(SELECT "&amp;VLOOKUP(B153,Instruções!$F$13:$J$17,4,0)&amp;" as "&amp;VLOOKUP(B153,Instruções!$F$13:$J$17,4,0)&amp;"_"&amp;$F$2&amp;", "&amp;E153&amp;" as "&amp;F153&amp;" FROM "&amp;C153&amp;" WHERE "&amp;Instruções!$D$20&amp;") A ",
"(SELECT "&amp;VLOOKUP(B153,Instruções!$F$13:$J$17,4,0)&amp;" as "&amp;VLOOKUP(B153,Instruções!$F$13:$J$17,4,0)&amp;"_"&amp;$F$2&amp;", "&amp;VLOOKUP(B153,Instruções!$F$13:$J$17,5,0)&amp;" as "&amp;VLOOKUP(B153,Instruções!$F$13:$J$17,5,0)&amp;"_"&amp;$F$2&amp;","&amp;E153&amp;" as "&amp;F153&amp;" FROM "&amp;C153&amp;" WHERE "&amp;Instruções!$D$20&amp;") A ")</f>
        <v xml:space="preserve">(SELECT instrmnt_id as instrmnt_id_as_is, dt_end_gp_ppal_c19 as dt_end_gp_ppal_c19_as_is FROM cd_loan_tapes_bce.lt002_instrument WHERE ref_date='2024-09-30' AND nome_perimetro='Individual Corporativo' AND segmento='ESTR' AND ambito='PM' AND entidade='00100' ) A </v>
      </c>
      <c r="I153" s="17" t="str">
        <f>IF(VLOOKUP(B153,Instruções!$F$13:$J$17,5,0)="",
"(SELECT "&amp;VLOOKUP(B153,Instruções!$F$13:$J$17,4,0)&amp;" as "&amp;VLOOKUP(B153,Instruções!$F$13:$J$17,4,0)&amp;"_"&amp;$G$2&amp;", "&amp;E153&amp;" as "&amp;G153&amp;" FROM "&amp;D153&amp;" WHERE "&amp;Instruções!$D$21&amp;") B ",
"(SELECT "&amp;VLOOKUP(B153,Instruções!$F$13:$J$17,4,0)&amp;" as "&amp;VLOOKUP(B153,Instruções!$F$13:$J$17,4,0)&amp;"_"&amp;$G$2&amp;", "&amp;VLOOKUP(B153,Instruções!$F$13:$J$17,5,0)&amp;" as "&amp;VLOOKUP(B153,Instruções!$F$13:$J$17,5,0)&amp;"_"&amp;$G$2&amp;","&amp;E153&amp;" as "&amp;G153&amp;" FROM "&amp;D153&amp;" WHERE "&amp;Instruções!$D$21&amp;") B ")</f>
        <v xml:space="preserve">(SELECT instrmnt_id as instrmnt_id_to_be, dt_end_gp_ppal_c19 as dt_end_gp_ppal_c19_to_be FROM bu_loantape_work.lt002_instrument WHERE ref_date='2024-09-30' AND nome_perimetro='Individual Corporativo' AND segmento='ESTR' AND ambito='PM' AND entidade='00100' ) B </v>
      </c>
      <c r="J153" s="17" t="str">
        <f>IF(VLOOKUP(B153,Instruções!$F$13:$J$17,5,0)="",
"ON "&amp;VLOOKUP(B153,Instruções!$F$13:$J$17,4,0)&amp;"_"&amp;$F$2&amp;" = "&amp;VLOOKUP(B153,Instruções!$F$13:$J$17,4,0)&amp;"_"&amp;$G$2&amp;" ",
"ON "&amp;VLOOKUP(B153,Instruções!$F$13:$J$17,4,0)&amp;"_"&amp;$F$2&amp;" = "&amp;VLOOKUP(B153,Instruções!$F$13:$J$17,4,0)&amp;"_"&amp;$G$2&amp;" AND "&amp;VLOOKUP(B153,Instruções!$F$13:$J$17,5,0)&amp;"_"&amp;$F$2&amp;" = "&amp;VLOOKUP(B153,Instruções!$F$13:$J$17,5,0)&amp;"_"&amp;$G$2&amp;" ")</f>
        <v xml:space="preserve">ON instrmnt_id_as_is = instrmnt_id_to_be </v>
      </c>
      <c r="K153" s="17" t="str">
        <f t="shared" si="14"/>
        <v xml:space="preserve">WHERE coalesce(cast(dt_end_gp_ppal_c19_as_is as string), '') &lt;&gt; coalesce(cast(dt_end_gp_ppal_c19_to_be as string), '') </v>
      </c>
      <c r="L153" s="17" t="str">
        <f t="shared" si="15"/>
        <v xml:space="preserve">SELECT count(*) AS NUM_REG_DIF FROM (SELECT instrmnt_id as instrmnt_id_as_is, dt_end_gp_ppal_c19 as dt_end_gp_ppal_c19_as_is FROM cd_loan_tapes_bce.lt002_instrument WHERE ref_date='2024-09-30' AND nome_perimetro='Individual Corporativo' AND segmento='ESTR' AND ambito='PM' AND entidade='00100' ) A  Inner join (SELECT instrmnt_id as instrmnt_id_to_be, dt_end_gp_ppal_c19 as dt_end_gp_ppal_c19_to_be FROM bu_loantape_work.lt002_instrument WHERE ref_date='2024-09-30' AND nome_perimetro='Individual Corporativo' AND segmento='ESTR' AND ambito='PM' AND entidade='00100' ) B ON instrmnt_id_as_is = instrmnt_id_to_be WHERE coalesce(cast(dt_end_gp_ppal_c19_as_is as string), '') &lt;&gt; coalesce(cast(dt_end_gp_ppal_c19_to_be as string), '') </v>
      </c>
      <c r="M153" s="17" t="s">
        <v>55</v>
      </c>
      <c r="N153" s="17" t="str">
        <f>"SELECT 'Validação de campos' as tipologia_teste, '"&amp;VLOOKUP(B153,Instruções!$F$13:$J$17,3,0)&amp;"' AS TABELA, '"&amp;E153&amp;"' AS CAMPO, '"&amp;Instruções!$D$15&amp;"' as ref_date, coalesce(NUM_REG_DIF, 0) AS NUM_REG_DIF FROM ("&amp;L153&amp;") A "</f>
        <v xml:space="preserve">SELECT 'Validação de campos' as tipologia_teste, 'lt002_instrument' AS TABELA, 'dt_end_gp_ppal_c19' AS CAMPO, '2024-09-30' as ref_date, coalesce(NUM_REG_DIF, 0) AS NUM_REG_DIF FROM (SELECT count(*) AS NUM_REG_DIF FROM (SELECT instrmnt_id as instrmnt_id_as_is, dt_end_gp_ppal_c19 as dt_end_gp_ppal_c19_as_is FROM cd_loan_tapes_bce.lt002_instrument WHERE ref_date='2024-09-30' AND nome_perimetro='Individual Corporativo' AND segmento='ESTR' AND ambito='PM' AND entidade='00100' ) A  Inner join (SELECT instrmnt_id as instrmnt_id_to_be, dt_end_gp_ppal_c19 as dt_end_gp_ppal_c19_to_be FROM bu_loantape_work.lt002_instrument WHERE ref_date='2024-09-30' AND nome_perimetro='Individual Corporativo' AND segmento='ESTR' AND ambito='PM' AND entidade='00100' ) B ON instrmnt_id_as_is = instrmnt_id_to_be WHERE coalesce(cast(dt_end_gp_ppal_c19_as_is as string), '') &lt;&gt; coalesce(cast(dt_end_gp_ppal_c19_to_be as string), '') ) A </v>
      </c>
      <c r="O153" s="19" t="str">
        <f>IF(O155="",N153,N153&amp;$O$3)</f>
        <v>SELECT 'Validação de campos' as tipologia_teste, 'lt002_instrument' AS TABELA, 'dt_end_gp_ppal_c19' AS CAMPO, '2024-09-30' as ref_date, coalesce(NUM_REG_DIF, 0) AS NUM_REG_DIF FROM (SELECT count(*) AS NUM_REG_DIF FROM (SELECT instrmnt_id as instrmnt_id_as_is, dt_end_gp_ppal_c19 as dt_end_gp_ppal_c19_as_is FROM cd_loan_tapes_bce.lt002_instrument WHERE ref_date='2024-09-30' AND nome_perimetro='Individual Corporativo' AND segmento='ESTR' AND ambito='PM' AND entidade='00100' ) A  Inner join (SELECT instrmnt_id as instrmnt_id_to_be, dt_end_gp_ppal_c19 as dt_end_gp_ppal_c19_to_be FROM bu_loantape_work.lt002_instrument WHERE ref_date='2024-09-30' AND nome_perimetro='Individual Corporativo' AND segmento='ESTR' AND ambito='PM' AND entidade='00100' ) B ON instrmnt_id_as_is = instrmnt_id_to_be WHERE coalesce(cast(dt_end_gp_ppal_c19_as_is as string), '') &lt;&gt; coalesce(cast(dt_end_gp_ppal_c19_to_be as string), '') ) A UNION ALL</v>
      </c>
      <c r="P153" s="17">
        <f t="shared" si="17"/>
        <v>49</v>
      </c>
    </row>
    <row r="154" spans="2:16" s="15" customFormat="1" ht="11.45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9"/>
      <c r="P154" s="18"/>
    </row>
    <row r="155" spans="2:16" s="15" customFormat="1" ht="11.45">
      <c r="B155" s="17" t="s">
        <v>26</v>
      </c>
      <c r="C155" s="17" t="str">
        <f>_xlfn.CONCAT(Instruções!$D$13,".",VLOOKUP(B155,Instruções!$F$12:$H$17,2,0))</f>
        <v>cd_loan_tapes_bce.lt002_instrument</v>
      </c>
      <c r="D155" s="17" t="str">
        <f>_xlfn.CONCAT(Instruções!$D$14,".",VLOOKUP(B155,Instruções!$F$12:$H$17,3,0))</f>
        <v>bu_loantape_work.lt002_instrument</v>
      </c>
      <c r="E155" s="17" t="s">
        <v>209</v>
      </c>
      <c r="F155" s="17" t="str">
        <f t="shared" ref="F155:F204" si="18">E155&amp;"_"&amp;$F$2</f>
        <v>dt_end_intrst_only_as_is</v>
      </c>
      <c r="G155" s="17" t="str">
        <f t="shared" ref="G155:G204" si="19">E155&amp;"_"&amp;$G$2</f>
        <v>dt_end_intrst_only_to_be</v>
      </c>
      <c r="H155" s="17" t="str">
        <f>IF(VLOOKUP(B155,Instruções!$F$13:$J$17,5,0)="",
"(SELECT "&amp;VLOOKUP(B155,Instruções!$F$13:$J$17,4,0)&amp;" as "&amp;VLOOKUP(B155,Instruções!$F$13:$J$17,4,0)&amp;"_"&amp;$F$2&amp;", "&amp;E155&amp;" as "&amp;F155&amp;" FROM "&amp;C155&amp;" WHERE "&amp;Instruções!$D$20&amp;") A ",
"(SELECT "&amp;VLOOKUP(B155,Instruções!$F$13:$J$17,4,0)&amp;" as "&amp;VLOOKUP(B155,Instruções!$F$13:$J$17,4,0)&amp;"_"&amp;$F$2&amp;", "&amp;VLOOKUP(B155,Instruções!$F$13:$J$17,5,0)&amp;" as "&amp;VLOOKUP(B155,Instruções!$F$13:$J$17,5,0)&amp;"_"&amp;$F$2&amp;","&amp;E155&amp;" as "&amp;F155&amp;" FROM "&amp;C155&amp;" WHERE "&amp;Instruções!$D$20&amp;") A ")</f>
        <v xml:space="preserve">(SELECT instrmnt_id as instrmnt_id_as_is, dt_end_intrst_only as dt_end_intrst_only_as_is FROM cd_loan_tapes_bce.lt002_instrument WHERE ref_date='2024-09-30' AND nome_perimetro='Individual Corporativo' AND segmento='ESTR' AND ambito='PM' AND entidade='00100' ) A </v>
      </c>
      <c r="I155" s="17" t="str">
        <f>IF(VLOOKUP(B155,Instruções!$F$13:$J$17,5,0)="",
"(SELECT "&amp;VLOOKUP(B155,Instruções!$F$13:$J$17,4,0)&amp;" as "&amp;VLOOKUP(B155,Instruções!$F$13:$J$17,4,0)&amp;"_"&amp;$G$2&amp;", "&amp;E155&amp;" as "&amp;G155&amp;" FROM "&amp;D155&amp;" WHERE "&amp;Instruções!$D$21&amp;") B ",
"(SELECT "&amp;VLOOKUP(B155,Instruções!$F$13:$J$17,4,0)&amp;" as "&amp;VLOOKUP(B155,Instruções!$F$13:$J$17,4,0)&amp;"_"&amp;$G$2&amp;", "&amp;VLOOKUP(B155,Instruções!$F$13:$J$17,5,0)&amp;" as "&amp;VLOOKUP(B155,Instruções!$F$13:$J$17,5,0)&amp;"_"&amp;$G$2&amp;","&amp;E155&amp;" as "&amp;G155&amp;" FROM "&amp;D155&amp;" WHERE "&amp;Instruções!$D$21&amp;") B ")</f>
        <v xml:space="preserve">(SELECT instrmnt_id as instrmnt_id_to_be, dt_end_intrst_only as dt_end_intrst_only_to_be FROM bu_loantape_work.lt002_instrument WHERE ref_date='2024-09-30' AND nome_perimetro='Individual Corporativo' AND segmento='ESTR' AND ambito='PM' AND entidade='00100' ) B </v>
      </c>
      <c r="J155" s="17" t="str">
        <f>IF(VLOOKUP(B155,Instruções!$F$13:$J$17,5,0)="",
"ON "&amp;VLOOKUP(B155,Instruções!$F$13:$J$17,4,0)&amp;"_"&amp;$F$2&amp;" = "&amp;VLOOKUP(B155,Instruções!$F$13:$J$17,4,0)&amp;"_"&amp;$G$2&amp;" ",
"ON "&amp;VLOOKUP(B155,Instruções!$F$13:$J$17,4,0)&amp;"_"&amp;$F$2&amp;" = "&amp;VLOOKUP(B155,Instruções!$F$13:$J$17,4,0)&amp;"_"&amp;$G$2&amp;" AND "&amp;VLOOKUP(B155,Instruções!$F$13:$J$17,5,0)&amp;"_"&amp;$F$2&amp;" = "&amp;VLOOKUP(B155,Instruções!$F$13:$J$17,5,0)&amp;"_"&amp;$G$2&amp;" ")</f>
        <v xml:space="preserve">ON instrmnt_id_as_is = instrmnt_id_to_be </v>
      </c>
      <c r="K155" s="17" t="str">
        <f t="shared" ref="K155:K204" si="20">"WHERE coalesce(cast("&amp;F155&amp;" as string), '') &lt;&gt; coalesce(cast("&amp;G155&amp;" as string), '') "</f>
        <v xml:space="preserve">WHERE coalesce(cast(dt_end_intrst_only_as_is as string), '') &lt;&gt; coalesce(cast(dt_end_intrst_only_to_be as string), '') </v>
      </c>
      <c r="L155" s="17" t="str">
        <f t="shared" ref="L155:L204" si="21">"SELECT count(*) AS NUM_REG_DIF FROM "&amp;H155&amp;" Inner join "&amp;I155&amp;J155&amp;K155</f>
        <v xml:space="preserve">SELECT count(*) AS NUM_REG_DIF FROM (SELECT instrmnt_id as instrmnt_id_as_is, dt_end_intrst_only as dt_end_intrst_only_as_is FROM cd_loan_tapes_bce.lt002_instrument WHERE ref_date='2024-09-30' AND nome_perimetro='Individual Corporativo' AND segmento='ESTR' AND ambito='PM' AND entidade='00100' ) A  Inner join (SELECT instrmnt_id as instrmnt_id_to_be, dt_end_intrst_only as dt_end_intrst_only_to_be FROM bu_loantape_work.lt002_instrument WHERE ref_date='2024-09-30' AND nome_perimetro='Individual Corporativo' AND segmento='ESTR' AND ambito='PM' AND entidade='00100' ) B ON instrmnt_id_as_is = instrmnt_id_to_be WHERE coalesce(cast(dt_end_intrst_only_as_is as string), '') &lt;&gt; coalesce(cast(dt_end_intrst_only_to_be as string), '') </v>
      </c>
      <c r="M155" s="17" t="s">
        <v>55</v>
      </c>
      <c r="N155" s="17" t="str">
        <f>"SELECT 'Validação de campos' as tipologia_teste, '"&amp;VLOOKUP(B155,Instruções!$F$13:$J$17,3,0)&amp;"' AS TABELA, '"&amp;E155&amp;"' AS CAMPO, '"&amp;Instruções!$D$15&amp;"' as ref_date, coalesce(NUM_REG_DIF, 0) AS NUM_REG_DIF FROM ("&amp;L155&amp;") A "</f>
        <v xml:space="preserve">SELECT 'Validação de campos' as tipologia_teste, 'lt002_instrument' AS TABELA, 'dt_end_intrst_only' AS CAMPO, '2024-09-30' as ref_date, coalesce(NUM_REG_DIF, 0) AS NUM_REG_DIF FROM (SELECT count(*) AS NUM_REG_DIF FROM (SELECT instrmnt_id as instrmnt_id_as_is, dt_end_intrst_only as dt_end_intrst_only_as_is FROM cd_loan_tapes_bce.lt002_instrument WHERE ref_date='2024-09-30' AND nome_perimetro='Individual Corporativo' AND segmento='ESTR' AND ambito='PM' AND entidade='00100' ) A  Inner join (SELECT instrmnt_id as instrmnt_id_to_be, dt_end_intrst_only as dt_end_intrst_only_to_be FROM bu_loantape_work.lt002_instrument WHERE ref_date='2024-09-30' AND nome_perimetro='Individual Corporativo' AND segmento='ESTR' AND ambito='PM' AND entidade='00100' ) B ON instrmnt_id_as_is = instrmnt_id_to_be WHERE coalesce(cast(dt_end_intrst_only_as_is as string), '') &lt;&gt; coalesce(cast(dt_end_intrst_only_to_be as string), '') ) A </v>
      </c>
      <c r="O155" s="19" t="str">
        <f>IF(O156="",N155,N155&amp;$O$3)</f>
        <v>SELECT 'Validação de campos' as tipologia_teste, 'lt002_instrument' AS TABELA, 'dt_end_intrst_only' AS CAMPO, '2024-09-30' as ref_date, coalesce(NUM_REG_DIF, 0) AS NUM_REG_DIF FROM (SELECT count(*) AS NUM_REG_DIF FROM (SELECT instrmnt_id as instrmnt_id_as_is, dt_end_intrst_only as dt_end_intrst_only_as_is FROM cd_loan_tapes_bce.lt002_instrument WHERE ref_date='2024-09-30' AND nome_perimetro='Individual Corporativo' AND segmento='ESTR' AND ambito='PM' AND entidade='00100' ) A  Inner join (SELECT instrmnt_id as instrmnt_id_to_be, dt_end_intrst_only as dt_end_intrst_only_to_be FROM bu_loantape_work.lt002_instrument WHERE ref_date='2024-09-30' AND nome_perimetro='Individual Corporativo' AND segmento='ESTR' AND ambito='PM' AND entidade='00100' ) B ON instrmnt_id_as_is = instrmnt_id_to_be WHERE coalesce(cast(dt_end_intrst_only_as_is as string), '') &lt;&gt; coalesce(cast(dt_end_intrst_only_to_be as string), '') ) A UNION ALL</v>
      </c>
      <c r="P155" s="17">
        <f t="shared" ref="P155:P218" si="22">P154+1</f>
        <v>1</v>
      </c>
    </row>
    <row r="156" spans="2:16" s="15" customFormat="1" ht="11.45">
      <c r="B156" s="17" t="s">
        <v>26</v>
      </c>
      <c r="C156" s="17" t="str">
        <f>_xlfn.CONCAT(Instruções!$D$13,".",VLOOKUP(B156,Instruções!$F$12:$H$17,2,0))</f>
        <v>cd_loan_tapes_bce.lt002_instrument</v>
      </c>
      <c r="D156" s="17" t="str">
        <f>_xlfn.CONCAT(Instruções!$D$14,".",VLOOKUP(B156,Instruções!$F$12:$H$17,3,0))</f>
        <v>bu_loantape_work.lt002_instrument</v>
      </c>
      <c r="E156" s="17" t="s">
        <v>210</v>
      </c>
      <c r="F156" s="17" t="str">
        <f t="shared" si="18"/>
        <v>dt_end_intrst_only_c19_as_is</v>
      </c>
      <c r="G156" s="17" t="str">
        <f t="shared" si="19"/>
        <v>dt_end_intrst_only_c19_to_be</v>
      </c>
      <c r="H156" s="17" t="str">
        <f>IF(VLOOKUP(B156,Instruções!$F$13:$J$17,5,0)="",
"(SELECT "&amp;VLOOKUP(B156,Instruções!$F$13:$J$17,4,0)&amp;" as "&amp;VLOOKUP(B156,Instruções!$F$13:$J$17,4,0)&amp;"_"&amp;$F$2&amp;", "&amp;E156&amp;" as "&amp;F156&amp;" FROM "&amp;C156&amp;" WHERE "&amp;Instruções!$D$20&amp;") A ",
"(SELECT "&amp;VLOOKUP(B156,Instruções!$F$13:$J$17,4,0)&amp;" as "&amp;VLOOKUP(B156,Instruções!$F$13:$J$17,4,0)&amp;"_"&amp;$F$2&amp;", "&amp;VLOOKUP(B156,Instruções!$F$13:$J$17,5,0)&amp;" as "&amp;VLOOKUP(B156,Instruções!$F$13:$J$17,5,0)&amp;"_"&amp;$F$2&amp;","&amp;E156&amp;" as "&amp;F156&amp;" FROM "&amp;C156&amp;" WHERE "&amp;Instruções!$D$20&amp;") A ")</f>
        <v xml:space="preserve">(SELECT instrmnt_id as instrmnt_id_as_is, dt_end_intrst_only_c19 as dt_end_intrst_only_c19_as_is FROM cd_loan_tapes_bce.lt002_instrument WHERE ref_date='2024-09-30' AND nome_perimetro='Individual Corporativo' AND segmento='ESTR' AND ambito='PM' AND entidade='00100' ) A </v>
      </c>
      <c r="I156" s="17" t="str">
        <f>IF(VLOOKUP(B156,Instruções!$F$13:$J$17,5,0)="",
"(SELECT "&amp;VLOOKUP(B156,Instruções!$F$13:$J$17,4,0)&amp;" as "&amp;VLOOKUP(B156,Instruções!$F$13:$J$17,4,0)&amp;"_"&amp;$G$2&amp;", "&amp;E156&amp;" as "&amp;G156&amp;" FROM "&amp;D156&amp;" WHERE "&amp;Instruções!$D$21&amp;") B ",
"(SELECT "&amp;VLOOKUP(B156,Instruções!$F$13:$J$17,4,0)&amp;" as "&amp;VLOOKUP(B156,Instruções!$F$13:$J$17,4,0)&amp;"_"&amp;$G$2&amp;", "&amp;VLOOKUP(B156,Instruções!$F$13:$J$17,5,0)&amp;" as "&amp;VLOOKUP(B156,Instruções!$F$13:$J$17,5,0)&amp;"_"&amp;$G$2&amp;","&amp;E156&amp;" as "&amp;G156&amp;" FROM "&amp;D156&amp;" WHERE "&amp;Instruções!$D$21&amp;") B ")</f>
        <v xml:space="preserve">(SELECT instrmnt_id as instrmnt_id_to_be, dt_end_intrst_only_c19 as dt_end_intrst_only_c19_to_be FROM bu_loantape_work.lt002_instrument WHERE ref_date='2024-09-30' AND nome_perimetro='Individual Corporativo' AND segmento='ESTR' AND ambito='PM' AND entidade='00100' ) B </v>
      </c>
      <c r="J156" s="17" t="str">
        <f>IF(VLOOKUP(B156,Instruções!$F$13:$J$17,5,0)="",
"ON "&amp;VLOOKUP(B156,Instruções!$F$13:$J$17,4,0)&amp;"_"&amp;$F$2&amp;" = "&amp;VLOOKUP(B156,Instruções!$F$13:$J$17,4,0)&amp;"_"&amp;$G$2&amp;" ",
"ON "&amp;VLOOKUP(B156,Instruções!$F$13:$J$17,4,0)&amp;"_"&amp;$F$2&amp;" = "&amp;VLOOKUP(B156,Instruções!$F$13:$J$17,4,0)&amp;"_"&amp;$G$2&amp;" AND "&amp;VLOOKUP(B156,Instruções!$F$13:$J$17,5,0)&amp;"_"&amp;$F$2&amp;" = "&amp;VLOOKUP(B156,Instruções!$F$13:$J$17,5,0)&amp;"_"&amp;$G$2&amp;" ")</f>
        <v xml:space="preserve">ON instrmnt_id_as_is = instrmnt_id_to_be </v>
      </c>
      <c r="K156" s="17" t="str">
        <f t="shared" si="20"/>
        <v xml:space="preserve">WHERE coalesce(cast(dt_end_intrst_only_c19_as_is as string), '') &lt;&gt; coalesce(cast(dt_end_intrst_only_c19_to_be as string), '') </v>
      </c>
      <c r="L156" s="17" t="str">
        <f t="shared" si="21"/>
        <v xml:space="preserve">SELECT count(*) AS NUM_REG_DIF FROM (SELECT instrmnt_id as instrmnt_id_as_is, dt_end_intrst_only_c19 as dt_end_intrst_only_c19_as_is FROM cd_loan_tapes_bce.lt002_instrument WHERE ref_date='2024-09-30' AND nome_perimetro='Individual Corporativo' AND segmento='ESTR' AND ambito='PM' AND entidade='00100' ) A  Inner join (SELECT instrmnt_id as instrmnt_id_to_be, dt_end_intrst_only_c19 as dt_end_intrst_only_c19_to_be FROM bu_loantape_work.lt002_instrument WHERE ref_date='2024-09-30' AND nome_perimetro='Individual Corporativo' AND segmento='ESTR' AND ambito='PM' AND entidade='00100' ) B ON instrmnt_id_as_is = instrmnt_id_to_be WHERE coalesce(cast(dt_end_intrst_only_c19_as_is as string), '') &lt;&gt; coalesce(cast(dt_end_intrst_only_c19_to_be as string), '') </v>
      </c>
      <c r="M156" s="17" t="s">
        <v>55</v>
      </c>
      <c r="N156" s="17" t="str">
        <f>"SELECT 'Validação de campos' as tipologia_teste, '"&amp;VLOOKUP(B156,Instruções!$F$13:$J$17,3,0)&amp;"' AS TABELA, '"&amp;E156&amp;"' AS CAMPO, '"&amp;Instruções!$D$15&amp;"' as ref_date, coalesce(NUM_REG_DIF, 0) AS NUM_REG_DIF FROM ("&amp;L156&amp;") A "</f>
        <v xml:space="preserve">SELECT 'Validação de campos' as tipologia_teste, 'lt002_instrument' AS TABELA, 'dt_end_intrst_only_c19' AS CAMPO, '2024-09-30' as ref_date, coalesce(NUM_REG_DIF, 0) AS NUM_REG_DIF FROM (SELECT count(*) AS NUM_REG_DIF FROM (SELECT instrmnt_id as instrmnt_id_as_is, dt_end_intrst_only_c19 as dt_end_intrst_only_c19_as_is FROM cd_loan_tapes_bce.lt002_instrument WHERE ref_date='2024-09-30' AND nome_perimetro='Individual Corporativo' AND segmento='ESTR' AND ambito='PM' AND entidade='00100' ) A  Inner join (SELECT instrmnt_id as instrmnt_id_to_be, dt_end_intrst_only_c19 as dt_end_intrst_only_c19_to_be FROM bu_loantape_work.lt002_instrument WHERE ref_date='2024-09-30' AND nome_perimetro='Individual Corporativo' AND segmento='ESTR' AND ambito='PM' AND entidade='00100' ) B ON instrmnt_id_as_is = instrmnt_id_to_be WHERE coalesce(cast(dt_end_intrst_only_c19_as_is as string), '') &lt;&gt; coalesce(cast(dt_end_intrst_only_c19_to_be as string), '') ) A </v>
      </c>
      <c r="O156" s="19" t="str">
        <f t="shared" ref="O156:O204" si="23">IF(O157="",N156,N156&amp;$O$3)</f>
        <v>SELECT 'Validação de campos' as tipologia_teste, 'lt002_instrument' AS TABELA, 'dt_end_intrst_only_c19' AS CAMPO, '2024-09-30' as ref_date, coalesce(NUM_REG_DIF, 0) AS NUM_REG_DIF FROM (SELECT count(*) AS NUM_REG_DIF FROM (SELECT instrmnt_id as instrmnt_id_as_is, dt_end_intrst_only_c19 as dt_end_intrst_only_c19_as_is FROM cd_loan_tapes_bce.lt002_instrument WHERE ref_date='2024-09-30' AND nome_perimetro='Individual Corporativo' AND segmento='ESTR' AND ambito='PM' AND entidade='00100' ) A  Inner join (SELECT instrmnt_id as instrmnt_id_to_be, dt_end_intrst_only_c19 as dt_end_intrst_only_c19_to_be FROM bu_loantape_work.lt002_instrument WHERE ref_date='2024-09-30' AND nome_perimetro='Individual Corporativo' AND segmento='ESTR' AND ambito='PM' AND entidade='00100' ) B ON instrmnt_id_as_is = instrmnt_id_to_be WHERE coalesce(cast(dt_end_intrst_only_c19_as_is as string), '') &lt;&gt; coalesce(cast(dt_end_intrst_only_c19_to_be as string), '') ) A UNION ALL</v>
      </c>
      <c r="P156" s="17">
        <f t="shared" si="22"/>
        <v>2</v>
      </c>
    </row>
    <row r="157" spans="2:16" s="15" customFormat="1" ht="11.45">
      <c r="B157" s="17" t="s">
        <v>26</v>
      </c>
      <c r="C157" s="17" t="str">
        <f>_xlfn.CONCAT(Instruções!$D$13,".",VLOOKUP(B157,Instruções!$F$12:$H$17,2,0))</f>
        <v>cd_loan_tapes_bce.lt002_instrument</v>
      </c>
      <c r="D157" s="17" t="str">
        <f>_xlfn.CONCAT(Instruções!$D$14,".",VLOOKUP(B157,Instruções!$F$12:$H$17,3,0))</f>
        <v>bu_loantape_work.lt002_instrument</v>
      </c>
      <c r="E157" s="17" t="s">
        <v>245</v>
      </c>
      <c r="F157" s="17" t="str">
        <f t="shared" si="18"/>
        <v>ifrs9_bhvrl_mtrty_as_is</v>
      </c>
      <c r="G157" s="17" t="str">
        <f t="shared" si="19"/>
        <v>ifrs9_bhvrl_mtrty_to_be</v>
      </c>
      <c r="H157" s="17" t="str">
        <f>IF(VLOOKUP(B157,Instruções!$F$13:$J$17,5,0)="",
"(SELECT "&amp;VLOOKUP(B157,Instruções!$F$13:$J$17,4,0)&amp;" as "&amp;VLOOKUP(B157,Instruções!$F$13:$J$17,4,0)&amp;"_"&amp;$F$2&amp;", "&amp;E157&amp;" as "&amp;F157&amp;" FROM "&amp;C157&amp;" WHERE "&amp;Instruções!$D$20&amp;") A ",
"(SELECT "&amp;VLOOKUP(B157,Instruções!$F$13:$J$17,4,0)&amp;" as "&amp;VLOOKUP(B157,Instruções!$F$13:$J$17,4,0)&amp;"_"&amp;$F$2&amp;", "&amp;VLOOKUP(B157,Instruções!$F$13:$J$17,5,0)&amp;" as "&amp;VLOOKUP(B157,Instruções!$F$13:$J$17,5,0)&amp;"_"&amp;$F$2&amp;","&amp;E157&amp;" as "&amp;F157&amp;" FROM "&amp;C157&amp;" WHERE "&amp;Instruções!$D$20&amp;") A ")</f>
        <v xml:space="preserve">(SELECT instrmnt_id as instrmnt_id_as_is, ifrs9_bhvrl_mtrty as ifrs9_bhvrl_mtrty_as_is FROM cd_loan_tapes_bce.lt002_instrument WHERE ref_date='2024-09-30' AND nome_perimetro='Individual Corporativo' AND segmento='ESTR' AND ambito='PM' AND entidade='00100' ) A </v>
      </c>
      <c r="I157" s="17" t="str">
        <f>IF(VLOOKUP(B157,Instruções!$F$13:$J$17,5,0)="",
"(SELECT "&amp;VLOOKUP(B157,Instruções!$F$13:$J$17,4,0)&amp;" as "&amp;VLOOKUP(B157,Instruções!$F$13:$J$17,4,0)&amp;"_"&amp;$G$2&amp;", "&amp;E157&amp;" as "&amp;G157&amp;" FROM "&amp;D157&amp;" WHERE "&amp;Instruções!$D$21&amp;") B ",
"(SELECT "&amp;VLOOKUP(B157,Instruções!$F$13:$J$17,4,0)&amp;" as "&amp;VLOOKUP(B157,Instruções!$F$13:$J$17,4,0)&amp;"_"&amp;$G$2&amp;", "&amp;VLOOKUP(B157,Instruções!$F$13:$J$17,5,0)&amp;" as "&amp;VLOOKUP(B157,Instruções!$F$13:$J$17,5,0)&amp;"_"&amp;$G$2&amp;","&amp;E157&amp;" as "&amp;G157&amp;" FROM "&amp;D157&amp;" WHERE "&amp;Instruções!$D$21&amp;") B ")</f>
        <v xml:space="preserve">(SELECT instrmnt_id as instrmnt_id_to_be, ifrs9_bhvrl_mtrty as ifrs9_bhvrl_mtrty_to_be FROM bu_loantape_work.lt002_instrument WHERE ref_date='2024-09-30' AND nome_perimetro='Individual Corporativo' AND segmento='ESTR' AND ambito='PM' AND entidade='00100' ) B </v>
      </c>
      <c r="J157" s="17" t="str">
        <f>IF(VLOOKUP(B157,Instruções!$F$13:$J$17,5,0)="",
"ON "&amp;VLOOKUP(B157,Instruções!$F$13:$J$17,4,0)&amp;"_"&amp;$F$2&amp;" = "&amp;VLOOKUP(B157,Instruções!$F$13:$J$17,4,0)&amp;"_"&amp;$G$2&amp;" ",
"ON "&amp;VLOOKUP(B157,Instruções!$F$13:$J$17,4,0)&amp;"_"&amp;$F$2&amp;" = "&amp;VLOOKUP(B157,Instruções!$F$13:$J$17,4,0)&amp;"_"&amp;$G$2&amp;" AND "&amp;VLOOKUP(B157,Instruções!$F$13:$J$17,5,0)&amp;"_"&amp;$F$2&amp;" = "&amp;VLOOKUP(B157,Instruções!$F$13:$J$17,5,0)&amp;"_"&amp;$G$2&amp;" ")</f>
        <v xml:space="preserve">ON instrmnt_id_as_is = instrmnt_id_to_be </v>
      </c>
      <c r="K157" s="17" t="str">
        <f t="shared" si="20"/>
        <v xml:space="preserve">WHERE coalesce(cast(ifrs9_bhvrl_mtrty_as_is as string), '') &lt;&gt; coalesce(cast(ifrs9_bhvrl_mtrty_to_be as string), '') </v>
      </c>
      <c r="L157" s="17" t="str">
        <f t="shared" si="21"/>
        <v xml:space="preserve">SELECT count(*) AS NUM_REG_DIF FROM (SELECT instrmnt_id as instrmnt_id_as_is, ifrs9_bhvrl_mtrty as ifrs9_bhvrl_mtrty_as_is FROM cd_loan_tapes_bce.lt002_instrument WHERE ref_date='2024-09-30' AND nome_perimetro='Individual Corporativo' AND segmento='ESTR' AND ambito='PM' AND entidade='00100' ) A  Inner join (SELECT instrmnt_id as instrmnt_id_to_be, ifrs9_bhvrl_mtrty as ifrs9_bhvrl_mtrty_to_be FROM bu_loantape_work.lt002_instrument WHERE ref_date='2024-09-30' AND nome_perimetro='Individual Corporativo' AND segmento='ESTR' AND ambito='PM' AND entidade='00100' ) B ON instrmnt_id_as_is = instrmnt_id_to_be WHERE coalesce(cast(ifrs9_bhvrl_mtrty_as_is as string), '') &lt;&gt; coalesce(cast(ifrs9_bhvrl_mtrty_to_be as string), '') </v>
      </c>
      <c r="M157" s="17" t="s">
        <v>55</v>
      </c>
      <c r="N157" s="17" t="str">
        <f>"SELECT 'Validação de campos' as tipologia_teste, '"&amp;VLOOKUP(B157,Instruções!$F$13:$J$17,3,0)&amp;"' AS TABELA, '"&amp;E157&amp;"' AS CAMPO, '"&amp;Instruções!$D$15&amp;"' as ref_date, coalesce(NUM_REG_DIF, 0) AS NUM_REG_DIF FROM ("&amp;L157&amp;") A "</f>
        <v xml:space="preserve">SELECT 'Validação de campos' as tipologia_teste, 'lt002_instrument' AS TABELA, 'ifrs9_bhvrl_mtrty' AS CAMPO, '2024-09-30' as ref_date, coalesce(NUM_REG_DIF, 0) AS NUM_REG_DIF FROM (SELECT count(*) AS NUM_REG_DIF FROM (SELECT instrmnt_id as instrmnt_id_as_is, ifrs9_bhvrl_mtrty as ifrs9_bhvrl_mtrty_as_is FROM cd_loan_tapes_bce.lt002_instrument WHERE ref_date='2024-09-30' AND nome_perimetro='Individual Corporativo' AND segmento='ESTR' AND ambito='PM' AND entidade='00100' ) A  Inner join (SELECT instrmnt_id as instrmnt_id_to_be, ifrs9_bhvrl_mtrty as ifrs9_bhvrl_mtrty_to_be FROM bu_loantape_work.lt002_instrument WHERE ref_date='2024-09-30' AND nome_perimetro='Individual Corporativo' AND segmento='ESTR' AND ambito='PM' AND entidade='00100' ) B ON instrmnt_id_as_is = instrmnt_id_to_be WHERE coalesce(cast(ifrs9_bhvrl_mtrty_as_is as string), '') &lt;&gt; coalesce(cast(ifrs9_bhvrl_mtrty_to_be as string), '') ) A </v>
      </c>
      <c r="O157" s="19" t="str">
        <f t="shared" si="23"/>
        <v>SELECT 'Validação de campos' as tipologia_teste, 'lt002_instrument' AS TABELA, 'ifrs9_bhvrl_mtrty' AS CAMPO, '2024-09-30' as ref_date, coalesce(NUM_REG_DIF, 0) AS NUM_REG_DIF FROM (SELECT count(*) AS NUM_REG_DIF FROM (SELECT instrmnt_id as instrmnt_id_as_is, ifrs9_bhvrl_mtrty as ifrs9_bhvrl_mtrty_as_is FROM cd_loan_tapes_bce.lt002_instrument WHERE ref_date='2024-09-30' AND nome_perimetro='Individual Corporativo' AND segmento='ESTR' AND ambito='PM' AND entidade='00100' ) A  Inner join (SELECT instrmnt_id as instrmnt_id_to_be, ifrs9_bhvrl_mtrty as ifrs9_bhvrl_mtrty_to_be FROM bu_loantape_work.lt002_instrument WHERE ref_date='2024-09-30' AND nome_perimetro='Individual Corporativo' AND segmento='ESTR' AND ambito='PM' AND entidade='00100' ) B ON instrmnt_id_as_is = instrmnt_id_to_be WHERE coalesce(cast(ifrs9_bhvrl_mtrty_as_is as string), '') &lt;&gt; coalesce(cast(ifrs9_bhvrl_mtrty_to_be as string), '') ) A UNION ALL</v>
      </c>
      <c r="P157" s="17">
        <f t="shared" si="22"/>
        <v>3</v>
      </c>
    </row>
    <row r="158" spans="2:16" s="15" customFormat="1" ht="11.45">
      <c r="B158" s="17" t="s">
        <v>26</v>
      </c>
      <c r="C158" s="17" t="str">
        <f>_xlfn.CONCAT(Instruções!$D$13,".",VLOOKUP(B158,Instruções!$F$12:$H$17,2,0))</f>
        <v>cd_loan_tapes_bce.lt002_instrument</v>
      </c>
      <c r="D158" s="17" t="str">
        <f>_xlfn.CONCAT(Instruções!$D$14,".",VLOOKUP(B158,Instruções!$F$12:$H$17,3,0))</f>
        <v>bu_loantape_work.lt002_instrument</v>
      </c>
      <c r="E158" s="17" t="s">
        <v>211</v>
      </c>
      <c r="F158" s="17" t="str">
        <f t="shared" si="18"/>
        <v>dt_frbrnc_stts_as_is</v>
      </c>
      <c r="G158" s="17" t="str">
        <f t="shared" si="19"/>
        <v>dt_frbrnc_stts_to_be</v>
      </c>
      <c r="H158" s="17" t="str">
        <f>IF(VLOOKUP(B158,Instruções!$F$13:$J$17,5,0)="",
"(SELECT "&amp;VLOOKUP(B158,Instruções!$F$13:$J$17,4,0)&amp;" as "&amp;VLOOKUP(B158,Instruções!$F$13:$J$17,4,0)&amp;"_"&amp;$F$2&amp;", "&amp;E158&amp;" as "&amp;F158&amp;" FROM "&amp;C158&amp;" WHERE "&amp;Instruções!$D$20&amp;") A ",
"(SELECT "&amp;VLOOKUP(B158,Instruções!$F$13:$J$17,4,0)&amp;" as "&amp;VLOOKUP(B158,Instruções!$F$13:$J$17,4,0)&amp;"_"&amp;$F$2&amp;", "&amp;VLOOKUP(B158,Instruções!$F$13:$J$17,5,0)&amp;" as "&amp;VLOOKUP(B158,Instruções!$F$13:$J$17,5,0)&amp;"_"&amp;$F$2&amp;","&amp;E158&amp;" as "&amp;F158&amp;" FROM "&amp;C158&amp;" WHERE "&amp;Instruções!$D$20&amp;") A ")</f>
        <v xml:space="preserve">(SELECT instrmnt_id as instrmnt_id_as_is, dt_frbrnc_stts as dt_frbrnc_stts_as_is FROM cd_loan_tapes_bce.lt002_instrument WHERE ref_date='2024-09-30' AND nome_perimetro='Individual Corporativo' AND segmento='ESTR' AND ambito='PM' AND entidade='00100' ) A </v>
      </c>
      <c r="I158" s="17" t="str">
        <f>IF(VLOOKUP(B158,Instruções!$F$13:$J$17,5,0)="",
"(SELECT "&amp;VLOOKUP(B158,Instruções!$F$13:$J$17,4,0)&amp;" as "&amp;VLOOKUP(B158,Instruções!$F$13:$J$17,4,0)&amp;"_"&amp;$G$2&amp;", "&amp;E158&amp;" as "&amp;G158&amp;" FROM "&amp;D158&amp;" WHERE "&amp;Instruções!$D$21&amp;") B ",
"(SELECT "&amp;VLOOKUP(B158,Instruções!$F$13:$J$17,4,0)&amp;" as "&amp;VLOOKUP(B158,Instruções!$F$13:$J$17,4,0)&amp;"_"&amp;$G$2&amp;", "&amp;VLOOKUP(B158,Instruções!$F$13:$J$17,5,0)&amp;" as "&amp;VLOOKUP(B158,Instruções!$F$13:$J$17,5,0)&amp;"_"&amp;$G$2&amp;","&amp;E158&amp;" as "&amp;G158&amp;" FROM "&amp;D158&amp;" WHERE "&amp;Instruções!$D$21&amp;") B ")</f>
        <v xml:space="preserve">(SELECT instrmnt_id as instrmnt_id_to_be, dt_frbrnc_stts as dt_frbrnc_stts_to_be FROM bu_loantape_work.lt002_instrument WHERE ref_date='2024-09-30' AND nome_perimetro='Individual Corporativo' AND segmento='ESTR' AND ambito='PM' AND entidade='00100' ) B </v>
      </c>
      <c r="J158" s="17" t="str">
        <f>IF(VLOOKUP(B158,Instruções!$F$13:$J$17,5,0)="",
"ON "&amp;VLOOKUP(B158,Instruções!$F$13:$J$17,4,0)&amp;"_"&amp;$F$2&amp;" = "&amp;VLOOKUP(B158,Instruções!$F$13:$J$17,4,0)&amp;"_"&amp;$G$2&amp;" ",
"ON "&amp;VLOOKUP(B158,Instruções!$F$13:$J$17,4,0)&amp;"_"&amp;$F$2&amp;" = "&amp;VLOOKUP(B158,Instruções!$F$13:$J$17,4,0)&amp;"_"&amp;$G$2&amp;" AND "&amp;VLOOKUP(B158,Instruções!$F$13:$J$17,5,0)&amp;"_"&amp;$F$2&amp;" = "&amp;VLOOKUP(B158,Instruções!$F$13:$J$17,5,0)&amp;"_"&amp;$G$2&amp;" ")</f>
        <v xml:space="preserve">ON instrmnt_id_as_is = instrmnt_id_to_be </v>
      </c>
      <c r="K158" s="17" t="str">
        <f t="shared" si="20"/>
        <v xml:space="preserve">WHERE coalesce(cast(dt_frbrnc_stts_as_is as string), '') &lt;&gt; coalesce(cast(dt_frbrnc_stts_to_be as string), '') </v>
      </c>
      <c r="L158" s="17" t="str">
        <f t="shared" si="21"/>
        <v xml:space="preserve">SELECT count(*) AS NUM_REG_DIF FROM (SELECT instrmnt_id as instrmnt_id_as_is, dt_frbrnc_stts as dt_frbrnc_stts_as_is FROM cd_loan_tapes_bce.lt002_instrument WHERE ref_date='2024-09-30' AND nome_perimetro='Individual Corporativo' AND segmento='ESTR' AND ambito='PM' AND entidade='00100' ) A  Inner join (SELECT instrmnt_id as instrmnt_id_to_be, dt_frbrnc_stts as dt_frbrnc_stts_to_be FROM bu_loantape_work.lt002_instrument WHERE ref_date='2024-09-30' AND nome_perimetro='Individual Corporativo' AND segmento='ESTR' AND ambito='PM' AND entidade='00100' ) B ON instrmnt_id_as_is = instrmnt_id_to_be WHERE coalesce(cast(dt_frbrnc_stts_as_is as string), '') &lt;&gt; coalesce(cast(dt_frbrnc_stts_to_be as string), '') </v>
      </c>
      <c r="M158" s="17" t="s">
        <v>55</v>
      </c>
      <c r="N158" s="17" t="str">
        <f>"SELECT 'Validação de campos' as tipologia_teste, '"&amp;VLOOKUP(B158,Instruções!$F$13:$J$17,3,0)&amp;"' AS TABELA, '"&amp;E158&amp;"' AS CAMPO, '"&amp;Instruções!$D$15&amp;"' as ref_date, coalesce(NUM_REG_DIF, 0) AS NUM_REG_DIF FROM ("&amp;L158&amp;") A "</f>
        <v xml:space="preserve">SELECT 'Validação de campos' as tipologia_teste, 'lt002_instrument' AS TABELA, 'dt_frbrnc_stts' AS CAMPO, '2024-09-30' as ref_date, coalesce(NUM_REG_DIF, 0) AS NUM_REG_DIF FROM (SELECT count(*) AS NUM_REG_DIF FROM (SELECT instrmnt_id as instrmnt_id_as_is, dt_frbrnc_stts as dt_frbrnc_stts_as_is FROM cd_loan_tapes_bce.lt002_instrument WHERE ref_date='2024-09-30' AND nome_perimetro='Individual Corporativo' AND segmento='ESTR' AND ambito='PM' AND entidade='00100' ) A  Inner join (SELECT instrmnt_id as instrmnt_id_to_be, dt_frbrnc_stts as dt_frbrnc_stts_to_be FROM bu_loantape_work.lt002_instrument WHERE ref_date='2024-09-30' AND nome_perimetro='Individual Corporativo' AND segmento='ESTR' AND ambito='PM' AND entidade='00100' ) B ON instrmnt_id_as_is = instrmnt_id_to_be WHERE coalesce(cast(dt_frbrnc_stts_as_is as string), '') &lt;&gt; coalesce(cast(dt_frbrnc_stts_to_be as string), '') ) A </v>
      </c>
      <c r="O158" s="19" t="str">
        <f t="shared" si="23"/>
        <v>SELECT 'Validação de campos' as tipologia_teste, 'lt002_instrument' AS TABELA, 'dt_frbrnc_stts' AS CAMPO, '2024-09-30' as ref_date, coalesce(NUM_REG_DIF, 0) AS NUM_REG_DIF FROM (SELECT count(*) AS NUM_REG_DIF FROM (SELECT instrmnt_id as instrmnt_id_as_is, dt_frbrnc_stts as dt_frbrnc_stts_as_is FROM cd_loan_tapes_bce.lt002_instrument WHERE ref_date='2024-09-30' AND nome_perimetro='Individual Corporativo' AND segmento='ESTR' AND ambito='PM' AND entidade='00100' ) A  Inner join (SELECT instrmnt_id as instrmnt_id_to_be, dt_frbrnc_stts as dt_frbrnc_stts_to_be FROM bu_loantape_work.lt002_instrument WHERE ref_date='2024-09-30' AND nome_perimetro='Individual Corporativo' AND segmento='ESTR' AND ambito='PM' AND entidade='00100' ) B ON instrmnt_id_as_is = instrmnt_id_to_be WHERE coalesce(cast(dt_frbrnc_stts_as_is as string), '') &lt;&gt; coalesce(cast(dt_frbrnc_stts_to_be as string), '') ) A UNION ALL</v>
      </c>
      <c r="P158" s="17">
        <f t="shared" si="22"/>
        <v>4</v>
      </c>
    </row>
    <row r="159" spans="2:16" s="15" customFormat="1" ht="11.45">
      <c r="B159" s="17" t="s">
        <v>26</v>
      </c>
      <c r="C159" s="17" t="str">
        <f>_xlfn.CONCAT(Instruções!$D$13,".",VLOOKUP(B159,Instruções!$F$12:$H$17,2,0))</f>
        <v>cd_loan_tapes_bce.lt002_instrument</v>
      </c>
      <c r="D159" s="17" t="str">
        <f>_xlfn.CONCAT(Instruções!$D$14,".",VLOOKUP(B159,Instruções!$F$12:$H$17,3,0))</f>
        <v>bu_loantape_work.lt002_instrument</v>
      </c>
      <c r="E159" s="17" t="s">
        <v>212</v>
      </c>
      <c r="F159" s="17" t="str">
        <f t="shared" si="18"/>
        <v>dt_frbrnc_stts_c19_as_is</v>
      </c>
      <c r="G159" s="17" t="str">
        <f t="shared" si="19"/>
        <v>dt_frbrnc_stts_c19_to_be</v>
      </c>
      <c r="H159" s="17" t="str">
        <f>IF(VLOOKUP(B159,Instruções!$F$13:$J$17,5,0)="",
"(SELECT "&amp;VLOOKUP(B159,Instruções!$F$13:$J$17,4,0)&amp;" as "&amp;VLOOKUP(B159,Instruções!$F$13:$J$17,4,0)&amp;"_"&amp;$F$2&amp;", "&amp;E159&amp;" as "&amp;F159&amp;" FROM "&amp;C159&amp;" WHERE "&amp;Instruções!$D$20&amp;") A ",
"(SELECT "&amp;VLOOKUP(B159,Instruções!$F$13:$J$17,4,0)&amp;" as "&amp;VLOOKUP(B159,Instruções!$F$13:$J$17,4,0)&amp;"_"&amp;$F$2&amp;", "&amp;VLOOKUP(B159,Instruções!$F$13:$J$17,5,0)&amp;" as "&amp;VLOOKUP(B159,Instruções!$F$13:$J$17,5,0)&amp;"_"&amp;$F$2&amp;","&amp;E159&amp;" as "&amp;F159&amp;" FROM "&amp;C159&amp;" WHERE "&amp;Instruções!$D$20&amp;") A ")</f>
        <v xml:space="preserve">(SELECT instrmnt_id as instrmnt_id_as_is, dt_frbrnc_stts_c19 as dt_frbrnc_stts_c19_as_is FROM cd_loan_tapes_bce.lt002_instrument WHERE ref_date='2024-09-30' AND nome_perimetro='Individual Corporativo' AND segmento='ESTR' AND ambito='PM' AND entidade='00100' ) A </v>
      </c>
      <c r="I159" s="17" t="str">
        <f>IF(VLOOKUP(B159,Instruções!$F$13:$J$17,5,0)="",
"(SELECT "&amp;VLOOKUP(B159,Instruções!$F$13:$J$17,4,0)&amp;" as "&amp;VLOOKUP(B159,Instruções!$F$13:$J$17,4,0)&amp;"_"&amp;$G$2&amp;", "&amp;E159&amp;" as "&amp;G159&amp;" FROM "&amp;D159&amp;" WHERE "&amp;Instruções!$D$21&amp;") B ",
"(SELECT "&amp;VLOOKUP(B159,Instruções!$F$13:$J$17,4,0)&amp;" as "&amp;VLOOKUP(B159,Instruções!$F$13:$J$17,4,0)&amp;"_"&amp;$G$2&amp;", "&amp;VLOOKUP(B159,Instruções!$F$13:$J$17,5,0)&amp;" as "&amp;VLOOKUP(B159,Instruções!$F$13:$J$17,5,0)&amp;"_"&amp;$G$2&amp;","&amp;E159&amp;" as "&amp;G159&amp;" FROM "&amp;D159&amp;" WHERE "&amp;Instruções!$D$21&amp;") B ")</f>
        <v xml:space="preserve">(SELECT instrmnt_id as instrmnt_id_to_be, dt_frbrnc_stts_c19 as dt_frbrnc_stts_c19_to_be FROM bu_loantape_work.lt002_instrument WHERE ref_date='2024-09-30' AND nome_perimetro='Individual Corporativo' AND segmento='ESTR' AND ambito='PM' AND entidade='00100' ) B </v>
      </c>
      <c r="J159" s="17" t="str">
        <f>IF(VLOOKUP(B159,Instruções!$F$13:$J$17,5,0)="",
"ON "&amp;VLOOKUP(B159,Instruções!$F$13:$J$17,4,0)&amp;"_"&amp;$F$2&amp;" = "&amp;VLOOKUP(B159,Instruções!$F$13:$J$17,4,0)&amp;"_"&amp;$G$2&amp;" ",
"ON "&amp;VLOOKUP(B159,Instruções!$F$13:$J$17,4,0)&amp;"_"&amp;$F$2&amp;" = "&amp;VLOOKUP(B159,Instruções!$F$13:$J$17,4,0)&amp;"_"&amp;$G$2&amp;" AND "&amp;VLOOKUP(B159,Instruções!$F$13:$J$17,5,0)&amp;"_"&amp;$F$2&amp;" = "&amp;VLOOKUP(B159,Instruções!$F$13:$J$17,5,0)&amp;"_"&amp;$G$2&amp;" ")</f>
        <v xml:space="preserve">ON instrmnt_id_as_is = instrmnt_id_to_be </v>
      </c>
      <c r="K159" s="17" t="str">
        <f t="shared" si="20"/>
        <v xml:space="preserve">WHERE coalesce(cast(dt_frbrnc_stts_c19_as_is as string), '') &lt;&gt; coalesce(cast(dt_frbrnc_stts_c19_to_be as string), '') </v>
      </c>
      <c r="L159" s="17" t="str">
        <f t="shared" si="21"/>
        <v xml:space="preserve">SELECT count(*) AS NUM_REG_DIF FROM (SELECT instrmnt_id as instrmnt_id_as_is, dt_frbrnc_stts_c19 as dt_frbrnc_stts_c19_as_is FROM cd_loan_tapes_bce.lt002_instrument WHERE ref_date='2024-09-30' AND nome_perimetro='Individual Corporativo' AND segmento='ESTR' AND ambito='PM' AND entidade='00100' ) A  Inner join (SELECT instrmnt_id as instrmnt_id_to_be, dt_frbrnc_stts_c19 as dt_frbrnc_stts_c19_to_be FROM bu_loantape_work.lt002_instrument WHERE ref_date='2024-09-30' AND nome_perimetro='Individual Corporativo' AND segmento='ESTR' AND ambito='PM' AND entidade='00100' ) B ON instrmnt_id_as_is = instrmnt_id_to_be WHERE coalesce(cast(dt_frbrnc_stts_c19_as_is as string), '') &lt;&gt; coalesce(cast(dt_frbrnc_stts_c19_to_be as string), '') </v>
      </c>
      <c r="M159" s="17" t="s">
        <v>55</v>
      </c>
      <c r="N159" s="17" t="str">
        <f>"SELECT 'Validação de campos' as tipologia_teste, '"&amp;VLOOKUP(B159,Instruções!$F$13:$J$17,3,0)&amp;"' AS TABELA, '"&amp;E159&amp;"' AS CAMPO, '"&amp;Instruções!$D$15&amp;"' as ref_date, coalesce(NUM_REG_DIF, 0) AS NUM_REG_DIF FROM ("&amp;L159&amp;") A "</f>
        <v xml:space="preserve">SELECT 'Validação de campos' as tipologia_teste, 'lt002_instrument' AS TABELA, 'dt_frbrnc_stts_c19' AS CAMPO, '2024-09-30' as ref_date, coalesce(NUM_REG_DIF, 0) AS NUM_REG_DIF FROM (SELECT count(*) AS NUM_REG_DIF FROM (SELECT instrmnt_id as instrmnt_id_as_is, dt_frbrnc_stts_c19 as dt_frbrnc_stts_c19_as_is FROM cd_loan_tapes_bce.lt002_instrument WHERE ref_date='2024-09-30' AND nome_perimetro='Individual Corporativo' AND segmento='ESTR' AND ambito='PM' AND entidade='00100' ) A  Inner join (SELECT instrmnt_id as instrmnt_id_to_be, dt_frbrnc_stts_c19 as dt_frbrnc_stts_c19_to_be FROM bu_loantape_work.lt002_instrument WHERE ref_date='2024-09-30' AND nome_perimetro='Individual Corporativo' AND segmento='ESTR' AND ambito='PM' AND entidade='00100' ) B ON instrmnt_id_as_is = instrmnt_id_to_be WHERE coalesce(cast(dt_frbrnc_stts_c19_as_is as string), '') &lt;&gt; coalesce(cast(dt_frbrnc_stts_c19_to_be as string), '') ) A </v>
      </c>
      <c r="O159" s="19" t="str">
        <f t="shared" si="23"/>
        <v>SELECT 'Validação de campos' as tipologia_teste, 'lt002_instrument' AS TABELA, 'dt_frbrnc_stts_c19' AS CAMPO, '2024-09-30' as ref_date, coalesce(NUM_REG_DIF, 0) AS NUM_REG_DIF FROM (SELECT count(*) AS NUM_REG_DIF FROM (SELECT instrmnt_id as instrmnt_id_as_is, dt_frbrnc_stts_c19 as dt_frbrnc_stts_c19_as_is FROM cd_loan_tapes_bce.lt002_instrument WHERE ref_date='2024-09-30' AND nome_perimetro='Individual Corporativo' AND segmento='ESTR' AND ambito='PM' AND entidade='00100' ) A  Inner join (SELECT instrmnt_id as instrmnt_id_to_be, dt_frbrnc_stts_c19 as dt_frbrnc_stts_c19_to_be FROM bu_loantape_work.lt002_instrument WHERE ref_date='2024-09-30' AND nome_perimetro='Individual Corporativo' AND segmento='ESTR' AND ambito='PM' AND entidade='00100' ) B ON instrmnt_id_as_is = instrmnt_id_to_be WHERE coalesce(cast(dt_frbrnc_stts_c19_as_is as string), '') &lt;&gt; coalesce(cast(dt_frbrnc_stts_c19_to_be as string), '') ) A UNION ALL</v>
      </c>
      <c r="P159" s="17">
        <f t="shared" si="22"/>
        <v>5</v>
      </c>
    </row>
    <row r="160" spans="2:16" s="15" customFormat="1" ht="11.45">
      <c r="B160" s="17" t="s">
        <v>26</v>
      </c>
      <c r="C160" s="17" t="str">
        <f>_xlfn.CONCAT(Instruções!$D$13,".",VLOOKUP(B160,Instruções!$F$12:$H$17,2,0))</f>
        <v>cd_loan_tapes_bce.lt002_instrument</v>
      </c>
      <c r="D160" s="17" t="str">
        <f>_xlfn.CONCAT(Instruções!$D$14,".",VLOOKUP(B160,Instruções!$F$12:$H$17,3,0))</f>
        <v>bu_loantape_work.lt002_instrument</v>
      </c>
      <c r="E160" s="17" t="s">
        <v>213</v>
      </c>
      <c r="F160" s="17" t="str">
        <f t="shared" si="18"/>
        <v>dt_frbrnc_stts_prvs_as_is</v>
      </c>
      <c r="G160" s="17" t="str">
        <f t="shared" si="19"/>
        <v>dt_frbrnc_stts_prvs_to_be</v>
      </c>
      <c r="H160" s="17" t="str">
        <f>IF(VLOOKUP(B160,Instruções!$F$13:$J$17,5,0)="",
"(SELECT "&amp;VLOOKUP(B160,Instruções!$F$13:$J$17,4,0)&amp;" as "&amp;VLOOKUP(B160,Instruções!$F$13:$J$17,4,0)&amp;"_"&amp;$F$2&amp;", "&amp;E160&amp;" as "&amp;F160&amp;" FROM "&amp;C160&amp;" WHERE "&amp;Instruções!$D$20&amp;") A ",
"(SELECT "&amp;VLOOKUP(B160,Instruções!$F$13:$J$17,4,0)&amp;" as "&amp;VLOOKUP(B160,Instruções!$F$13:$J$17,4,0)&amp;"_"&amp;$F$2&amp;", "&amp;VLOOKUP(B160,Instruções!$F$13:$J$17,5,0)&amp;" as "&amp;VLOOKUP(B160,Instruções!$F$13:$J$17,5,0)&amp;"_"&amp;$F$2&amp;","&amp;E160&amp;" as "&amp;F160&amp;" FROM "&amp;C160&amp;" WHERE "&amp;Instruções!$D$20&amp;") A ")</f>
        <v xml:space="preserve">(SELECT instrmnt_id as instrmnt_id_as_is, dt_frbrnc_stts_prvs as dt_frbrnc_stts_prvs_as_is FROM cd_loan_tapes_bce.lt002_instrument WHERE ref_date='2024-09-30' AND nome_perimetro='Individual Corporativo' AND segmento='ESTR' AND ambito='PM' AND entidade='00100' ) A </v>
      </c>
      <c r="I160" s="17" t="str">
        <f>IF(VLOOKUP(B160,Instruções!$F$13:$J$17,5,0)="",
"(SELECT "&amp;VLOOKUP(B160,Instruções!$F$13:$J$17,4,0)&amp;" as "&amp;VLOOKUP(B160,Instruções!$F$13:$J$17,4,0)&amp;"_"&amp;$G$2&amp;", "&amp;E160&amp;" as "&amp;G160&amp;" FROM "&amp;D160&amp;" WHERE "&amp;Instruções!$D$21&amp;") B ",
"(SELECT "&amp;VLOOKUP(B160,Instruções!$F$13:$J$17,4,0)&amp;" as "&amp;VLOOKUP(B160,Instruções!$F$13:$J$17,4,0)&amp;"_"&amp;$G$2&amp;", "&amp;VLOOKUP(B160,Instruções!$F$13:$J$17,5,0)&amp;" as "&amp;VLOOKUP(B160,Instruções!$F$13:$J$17,5,0)&amp;"_"&amp;$G$2&amp;","&amp;E160&amp;" as "&amp;G160&amp;" FROM "&amp;D160&amp;" WHERE "&amp;Instruções!$D$21&amp;") B ")</f>
        <v xml:space="preserve">(SELECT instrmnt_id as instrmnt_id_to_be, dt_frbrnc_stts_prvs as dt_frbrnc_stts_prvs_to_be FROM bu_loantape_work.lt002_instrument WHERE ref_date='2024-09-30' AND nome_perimetro='Individual Corporativo' AND segmento='ESTR' AND ambito='PM' AND entidade='00100' ) B </v>
      </c>
      <c r="J160" s="17" t="str">
        <f>IF(VLOOKUP(B160,Instruções!$F$13:$J$17,5,0)="",
"ON "&amp;VLOOKUP(B160,Instruções!$F$13:$J$17,4,0)&amp;"_"&amp;$F$2&amp;" = "&amp;VLOOKUP(B160,Instruções!$F$13:$J$17,4,0)&amp;"_"&amp;$G$2&amp;" ",
"ON "&amp;VLOOKUP(B160,Instruções!$F$13:$J$17,4,0)&amp;"_"&amp;$F$2&amp;" = "&amp;VLOOKUP(B160,Instruções!$F$13:$J$17,4,0)&amp;"_"&amp;$G$2&amp;" AND "&amp;VLOOKUP(B160,Instruções!$F$13:$J$17,5,0)&amp;"_"&amp;$F$2&amp;" = "&amp;VLOOKUP(B160,Instruções!$F$13:$J$17,5,0)&amp;"_"&amp;$G$2&amp;" ")</f>
        <v xml:space="preserve">ON instrmnt_id_as_is = instrmnt_id_to_be </v>
      </c>
      <c r="K160" s="17" t="str">
        <f t="shared" si="20"/>
        <v xml:space="preserve">WHERE coalesce(cast(dt_frbrnc_stts_prvs_as_is as string), '') &lt;&gt; coalesce(cast(dt_frbrnc_stts_prvs_to_be as string), '') </v>
      </c>
      <c r="L160" s="17" t="str">
        <f t="shared" si="21"/>
        <v xml:space="preserve">SELECT count(*) AS NUM_REG_DIF FROM (SELECT instrmnt_id as instrmnt_id_as_is, dt_frbrnc_stts_prvs as dt_frbrnc_stts_prvs_as_is FROM cd_loan_tapes_bce.lt002_instrument WHERE ref_date='2024-09-30' AND nome_perimetro='Individual Corporativo' AND segmento='ESTR' AND ambito='PM' AND entidade='00100' ) A  Inner join (SELECT instrmnt_id as instrmnt_id_to_be, dt_frbrnc_stts_prvs as dt_frbrnc_stts_prvs_to_be FROM bu_loantape_work.lt002_instrument WHERE ref_date='2024-09-30' AND nome_perimetro='Individual Corporativo' AND segmento='ESTR' AND ambito='PM' AND entidade='00100' ) B ON instrmnt_id_as_is = instrmnt_id_to_be WHERE coalesce(cast(dt_frbrnc_stts_prvs_as_is as string), '') &lt;&gt; coalesce(cast(dt_frbrnc_stts_prvs_to_be as string), '') </v>
      </c>
      <c r="M160" s="17" t="s">
        <v>55</v>
      </c>
      <c r="N160" s="17" t="str">
        <f>"SELECT 'Validação de campos' as tipologia_teste, '"&amp;VLOOKUP(B160,Instruções!$F$13:$J$17,3,0)&amp;"' AS TABELA, '"&amp;E160&amp;"' AS CAMPO, '"&amp;Instruções!$D$15&amp;"' as ref_date, coalesce(NUM_REG_DIF, 0) AS NUM_REG_DIF FROM ("&amp;L160&amp;") A "</f>
        <v xml:space="preserve">SELECT 'Validação de campos' as tipologia_teste, 'lt002_instrument' AS TABELA, 'dt_frbrnc_stts_prvs' AS CAMPO, '2024-09-30' as ref_date, coalesce(NUM_REG_DIF, 0) AS NUM_REG_DIF FROM (SELECT count(*) AS NUM_REG_DIF FROM (SELECT instrmnt_id as instrmnt_id_as_is, dt_frbrnc_stts_prvs as dt_frbrnc_stts_prvs_as_is FROM cd_loan_tapes_bce.lt002_instrument WHERE ref_date='2024-09-30' AND nome_perimetro='Individual Corporativo' AND segmento='ESTR' AND ambito='PM' AND entidade='00100' ) A  Inner join (SELECT instrmnt_id as instrmnt_id_to_be, dt_frbrnc_stts_prvs as dt_frbrnc_stts_prvs_to_be FROM bu_loantape_work.lt002_instrument WHERE ref_date='2024-09-30' AND nome_perimetro='Individual Corporativo' AND segmento='ESTR' AND ambito='PM' AND entidade='00100' ) B ON instrmnt_id_as_is = instrmnt_id_to_be WHERE coalesce(cast(dt_frbrnc_stts_prvs_as_is as string), '') &lt;&gt; coalesce(cast(dt_frbrnc_stts_prvs_to_be as string), '') ) A </v>
      </c>
      <c r="O160" s="19" t="str">
        <f t="shared" si="23"/>
        <v>SELECT 'Validação de campos' as tipologia_teste, 'lt002_instrument' AS TABELA, 'dt_frbrnc_stts_prvs' AS CAMPO, '2024-09-30' as ref_date, coalesce(NUM_REG_DIF, 0) AS NUM_REG_DIF FROM (SELECT count(*) AS NUM_REG_DIF FROM (SELECT instrmnt_id as instrmnt_id_as_is, dt_frbrnc_stts_prvs as dt_frbrnc_stts_prvs_as_is FROM cd_loan_tapes_bce.lt002_instrument WHERE ref_date='2024-09-30' AND nome_perimetro='Individual Corporativo' AND segmento='ESTR' AND ambito='PM' AND entidade='00100' ) A  Inner join (SELECT instrmnt_id as instrmnt_id_to_be, dt_frbrnc_stts_prvs as dt_frbrnc_stts_prvs_to_be FROM bu_loantape_work.lt002_instrument WHERE ref_date='2024-09-30' AND nome_perimetro='Individual Corporativo' AND segmento='ESTR' AND ambito='PM' AND entidade='00100' ) B ON instrmnt_id_as_is = instrmnt_id_to_be WHERE coalesce(cast(dt_frbrnc_stts_prvs_as_is as string), '') &lt;&gt; coalesce(cast(dt_frbrnc_stts_prvs_to_be as string), '') ) A UNION ALL</v>
      </c>
      <c r="P160" s="17">
        <f t="shared" si="22"/>
        <v>6</v>
      </c>
    </row>
    <row r="161" spans="2:16" s="15" customFormat="1" ht="11.45">
      <c r="B161" s="17" t="s">
        <v>26</v>
      </c>
      <c r="C161" s="17" t="str">
        <f>_xlfn.CONCAT(Instruções!$D$13,".",VLOOKUP(B161,Instruções!$F$12:$H$17,2,0))</f>
        <v>cd_loan_tapes_bce.lt002_instrument</v>
      </c>
      <c r="D161" s="17" t="str">
        <f>_xlfn.CONCAT(Instruções!$D$14,".",VLOOKUP(B161,Instruções!$F$12:$H$17,3,0))</f>
        <v>bu_loantape_work.lt002_instrument</v>
      </c>
      <c r="E161" s="17" t="s">
        <v>214</v>
      </c>
      <c r="F161" s="17" t="str">
        <f t="shared" si="18"/>
        <v>dt_frbrnc_stts_prvs_c19_as_is</v>
      </c>
      <c r="G161" s="17" t="str">
        <f t="shared" si="19"/>
        <v>dt_frbrnc_stts_prvs_c19_to_be</v>
      </c>
      <c r="H161" s="17" t="str">
        <f>IF(VLOOKUP(B161,Instruções!$F$13:$J$17,5,0)="",
"(SELECT "&amp;VLOOKUP(B161,Instruções!$F$13:$J$17,4,0)&amp;" as "&amp;VLOOKUP(B161,Instruções!$F$13:$J$17,4,0)&amp;"_"&amp;$F$2&amp;", "&amp;E161&amp;" as "&amp;F161&amp;" FROM "&amp;C161&amp;" WHERE "&amp;Instruções!$D$20&amp;") A ",
"(SELECT "&amp;VLOOKUP(B161,Instruções!$F$13:$J$17,4,0)&amp;" as "&amp;VLOOKUP(B161,Instruções!$F$13:$J$17,4,0)&amp;"_"&amp;$F$2&amp;", "&amp;VLOOKUP(B161,Instruções!$F$13:$J$17,5,0)&amp;" as "&amp;VLOOKUP(B161,Instruções!$F$13:$J$17,5,0)&amp;"_"&amp;$F$2&amp;","&amp;E161&amp;" as "&amp;F161&amp;" FROM "&amp;C161&amp;" WHERE "&amp;Instruções!$D$20&amp;") A ")</f>
        <v xml:space="preserve">(SELECT instrmnt_id as instrmnt_id_as_is, dt_frbrnc_stts_prvs_c19 as dt_frbrnc_stts_prvs_c19_as_is FROM cd_loan_tapes_bce.lt002_instrument WHERE ref_date='2024-09-30' AND nome_perimetro='Individual Corporativo' AND segmento='ESTR' AND ambito='PM' AND entidade='00100' ) A </v>
      </c>
      <c r="I161" s="17" t="str">
        <f>IF(VLOOKUP(B161,Instruções!$F$13:$J$17,5,0)="",
"(SELECT "&amp;VLOOKUP(B161,Instruções!$F$13:$J$17,4,0)&amp;" as "&amp;VLOOKUP(B161,Instruções!$F$13:$J$17,4,0)&amp;"_"&amp;$G$2&amp;", "&amp;E161&amp;" as "&amp;G161&amp;" FROM "&amp;D161&amp;" WHERE "&amp;Instruções!$D$21&amp;") B ",
"(SELECT "&amp;VLOOKUP(B161,Instruções!$F$13:$J$17,4,0)&amp;" as "&amp;VLOOKUP(B161,Instruções!$F$13:$J$17,4,0)&amp;"_"&amp;$G$2&amp;", "&amp;VLOOKUP(B161,Instruções!$F$13:$J$17,5,0)&amp;" as "&amp;VLOOKUP(B161,Instruções!$F$13:$J$17,5,0)&amp;"_"&amp;$G$2&amp;","&amp;E161&amp;" as "&amp;G161&amp;" FROM "&amp;D161&amp;" WHERE "&amp;Instruções!$D$21&amp;") B ")</f>
        <v xml:space="preserve">(SELECT instrmnt_id as instrmnt_id_to_be, dt_frbrnc_stts_prvs_c19 as dt_frbrnc_stts_prvs_c19_to_be FROM bu_loantape_work.lt002_instrument WHERE ref_date='2024-09-30' AND nome_perimetro='Individual Corporativo' AND segmento='ESTR' AND ambito='PM' AND entidade='00100' ) B </v>
      </c>
      <c r="J161" s="17" t="str">
        <f>IF(VLOOKUP(B161,Instruções!$F$13:$J$17,5,0)="",
"ON "&amp;VLOOKUP(B161,Instruções!$F$13:$J$17,4,0)&amp;"_"&amp;$F$2&amp;" = "&amp;VLOOKUP(B161,Instruções!$F$13:$J$17,4,0)&amp;"_"&amp;$G$2&amp;" ",
"ON "&amp;VLOOKUP(B161,Instruções!$F$13:$J$17,4,0)&amp;"_"&amp;$F$2&amp;" = "&amp;VLOOKUP(B161,Instruções!$F$13:$J$17,4,0)&amp;"_"&amp;$G$2&amp;" AND "&amp;VLOOKUP(B161,Instruções!$F$13:$J$17,5,0)&amp;"_"&amp;$F$2&amp;" = "&amp;VLOOKUP(B161,Instruções!$F$13:$J$17,5,0)&amp;"_"&amp;$G$2&amp;" ")</f>
        <v xml:space="preserve">ON instrmnt_id_as_is = instrmnt_id_to_be </v>
      </c>
      <c r="K161" s="17" t="str">
        <f t="shared" si="20"/>
        <v xml:space="preserve">WHERE coalesce(cast(dt_frbrnc_stts_prvs_c19_as_is as string), '') &lt;&gt; coalesce(cast(dt_frbrnc_stts_prvs_c19_to_be as string), '') </v>
      </c>
      <c r="L161" s="17" t="str">
        <f t="shared" si="21"/>
        <v xml:space="preserve">SELECT count(*) AS NUM_REG_DIF FROM (SELECT instrmnt_id as instrmnt_id_as_is, dt_frbrnc_stts_prvs_c19 as dt_frbrnc_stts_prvs_c19_as_is FROM cd_loan_tapes_bce.lt002_instrument WHERE ref_date='2024-09-30' AND nome_perimetro='Individual Corporativo' AND segmento='ESTR' AND ambito='PM' AND entidade='00100' ) A  Inner join (SELECT instrmnt_id as instrmnt_id_to_be, dt_frbrnc_stts_prvs_c19 as dt_frbrnc_stts_prvs_c19_to_be FROM bu_loantape_work.lt002_instrument WHERE ref_date='2024-09-30' AND nome_perimetro='Individual Corporativo' AND segmento='ESTR' AND ambito='PM' AND entidade='00100' ) B ON instrmnt_id_as_is = instrmnt_id_to_be WHERE coalesce(cast(dt_frbrnc_stts_prvs_c19_as_is as string), '') &lt;&gt; coalesce(cast(dt_frbrnc_stts_prvs_c19_to_be as string), '') </v>
      </c>
      <c r="M161" s="17" t="s">
        <v>55</v>
      </c>
      <c r="N161" s="17" t="str">
        <f>"SELECT 'Validação de campos' as tipologia_teste, '"&amp;VLOOKUP(B161,Instruções!$F$13:$J$17,3,0)&amp;"' AS TABELA, '"&amp;E161&amp;"' AS CAMPO, '"&amp;Instruções!$D$15&amp;"' as ref_date, coalesce(NUM_REG_DIF, 0) AS NUM_REG_DIF FROM ("&amp;L161&amp;") A "</f>
        <v xml:space="preserve">SELECT 'Validação de campos' as tipologia_teste, 'lt002_instrument' AS TABELA, 'dt_frbrnc_stts_prvs_c19' AS CAMPO, '2024-09-30' as ref_date, coalesce(NUM_REG_DIF, 0) AS NUM_REG_DIF FROM (SELECT count(*) AS NUM_REG_DIF FROM (SELECT instrmnt_id as instrmnt_id_as_is, dt_frbrnc_stts_prvs_c19 as dt_frbrnc_stts_prvs_c19_as_is FROM cd_loan_tapes_bce.lt002_instrument WHERE ref_date='2024-09-30' AND nome_perimetro='Individual Corporativo' AND segmento='ESTR' AND ambito='PM' AND entidade='00100' ) A  Inner join (SELECT instrmnt_id as instrmnt_id_to_be, dt_frbrnc_stts_prvs_c19 as dt_frbrnc_stts_prvs_c19_to_be FROM bu_loantape_work.lt002_instrument WHERE ref_date='2024-09-30' AND nome_perimetro='Individual Corporativo' AND segmento='ESTR' AND ambito='PM' AND entidade='00100' ) B ON instrmnt_id_as_is = instrmnt_id_to_be WHERE coalesce(cast(dt_frbrnc_stts_prvs_c19_as_is as string), '') &lt;&gt; coalesce(cast(dt_frbrnc_stts_prvs_c19_to_be as string), '') ) A </v>
      </c>
      <c r="O161" s="19" t="str">
        <f t="shared" si="23"/>
        <v>SELECT 'Validação de campos' as tipologia_teste, 'lt002_instrument' AS TABELA, 'dt_frbrnc_stts_prvs_c19' AS CAMPO, '2024-09-30' as ref_date, coalesce(NUM_REG_DIF, 0) AS NUM_REG_DIF FROM (SELECT count(*) AS NUM_REG_DIF FROM (SELECT instrmnt_id as instrmnt_id_as_is, dt_frbrnc_stts_prvs_c19 as dt_frbrnc_stts_prvs_c19_as_is FROM cd_loan_tapes_bce.lt002_instrument WHERE ref_date='2024-09-30' AND nome_perimetro='Individual Corporativo' AND segmento='ESTR' AND ambito='PM' AND entidade='00100' ) A  Inner join (SELECT instrmnt_id as instrmnt_id_to_be, dt_frbrnc_stts_prvs_c19 as dt_frbrnc_stts_prvs_c19_to_be FROM bu_loantape_work.lt002_instrument WHERE ref_date='2024-09-30' AND nome_perimetro='Individual Corporativo' AND segmento='ESTR' AND ambito='PM' AND entidade='00100' ) B ON instrmnt_id_as_is = instrmnt_id_to_be WHERE coalesce(cast(dt_frbrnc_stts_prvs_c19_as_is as string), '') &lt;&gt; coalesce(cast(dt_frbrnc_stts_prvs_c19_to_be as string), '') ) A UNION ALL</v>
      </c>
      <c r="P161" s="17">
        <f t="shared" si="22"/>
        <v>7</v>
      </c>
    </row>
    <row r="162" spans="2:16" s="15" customFormat="1" ht="11.45">
      <c r="B162" s="17" t="s">
        <v>26</v>
      </c>
      <c r="C162" s="17" t="str">
        <f>_xlfn.CONCAT(Instruções!$D$13,".",VLOOKUP(B162,Instruções!$F$12:$H$17,2,0))</f>
        <v>cd_loan_tapes_bce.lt002_instrument</v>
      </c>
      <c r="D162" s="17" t="str">
        <f>_xlfn.CONCAT(Instruções!$D$14,".",VLOOKUP(B162,Instruções!$F$12:$H$17,3,0))</f>
        <v>bu_loantape_work.lt002_instrument</v>
      </c>
      <c r="E162" s="17" t="s">
        <v>215</v>
      </c>
      <c r="F162" s="17" t="str">
        <f t="shared" si="18"/>
        <v>dt_imprmnt_stts_as_is</v>
      </c>
      <c r="G162" s="17" t="str">
        <f t="shared" si="19"/>
        <v>dt_imprmnt_stts_to_be</v>
      </c>
      <c r="H162" s="17" t="str">
        <f>IF(VLOOKUP(B162,Instruções!$F$13:$J$17,5,0)="",
"(SELECT "&amp;VLOOKUP(B162,Instruções!$F$13:$J$17,4,0)&amp;" as "&amp;VLOOKUP(B162,Instruções!$F$13:$J$17,4,0)&amp;"_"&amp;$F$2&amp;", "&amp;E162&amp;" as "&amp;F162&amp;" FROM "&amp;C162&amp;" WHERE "&amp;Instruções!$D$20&amp;") A ",
"(SELECT "&amp;VLOOKUP(B162,Instruções!$F$13:$J$17,4,0)&amp;" as "&amp;VLOOKUP(B162,Instruções!$F$13:$J$17,4,0)&amp;"_"&amp;$F$2&amp;", "&amp;VLOOKUP(B162,Instruções!$F$13:$J$17,5,0)&amp;" as "&amp;VLOOKUP(B162,Instruções!$F$13:$J$17,5,0)&amp;"_"&amp;$F$2&amp;","&amp;E162&amp;" as "&amp;F162&amp;" FROM "&amp;C162&amp;" WHERE "&amp;Instruções!$D$20&amp;") A ")</f>
        <v xml:space="preserve">(SELECT instrmnt_id as instrmnt_id_as_is, dt_imprmnt_stts as dt_imprmnt_stts_as_is FROM cd_loan_tapes_bce.lt002_instrument WHERE ref_date='2024-09-30' AND nome_perimetro='Individual Corporativo' AND segmento='ESTR' AND ambito='PM' AND entidade='00100' ) A </v>
      </c>
      <c r="I162" s="17" t="str">
        <f>IF(VLOOKUP(B162,Instruções!$F$13:$J$17,5,0)="",
"(SELECT "&amp;VLOOKUP(B162,Instruções!$F$13:$J$17,4,0)&amp;" as "&amp;VLOOKUP(B162,Instruções!$F$13:$J$17,4,0)&amp;"_"&amp;$G$2&amp;", "&amp;E162&amp;" as "&amp;G162&amp;" FROM "&amp;D162&amp;" WHERE "&amp;Instruções!$D$21&amp;") B ",
"(SELECT "&amp;VLOOKUP(B162,Instruções!$F$13:$J$17,4,0)&amp;" as "&amp;VLOOKUP(B162,Instruções!$F$13:$J$17,4,0)&amp;"_"&amp;$G$2&amp;", "&amp;VLOOKUP(B162,Instruções!$F$13:$J$17,5,0)&amp;" as "&amp;VLOOKUP(B162,Instruções!$F$13:$J$17,5,0)&amp;"_"&amp;$G$2&amp;","&amp;E162&amp;" as "&amp;G162&amp;" FROM "&amp;D162&amp;" WHERE "&amp;Instruções!$D$21&amp;") B ")</f>
        <v xml:space="preserve">(SELECT instrmnt_id as instrmnt_id_to_be, dt_imprmnt_stts as dt_imprmnt_stts_to_be FROM bu_loantape_work.lt002_instrument WHERE ref_date='2024-09-30' AND nome_perimetro='Individual Corporativo' AND segmento='ESTR' AND ambito='PM' AND entidade='00100' ) B </v>
      </c>
      <c r="J162" s="17" t="str">
        <f>IF(VLOOKUP(B162,Instruções!$F$13:$J$17,5,0)="",
"ON "&amp;VLOOKUP(B162,Instruções!$F$13:$J$17,4,0)&amp;"_"&amp;$F$2&amp;" = "&amp;VLOOKUP(B162,Instruções!$F$13:$J$17,4,0)&amp;"_"&amp;$G$2&amp;" ",
"ON "&amp;VLOOKUP(B162,Instruções!$F$13:$J$17,4,0)&amp;"_"&amp;$F$2&amp;" = "&amp;VLOOKUP(B162,Instruções!$F$13:$J$17,4,0)&amp;"_"&amp;$G$2&amp;" AND "&amp;VLOOKUP(B162,Instruções!$F$13:$J$17,5,0)&amp;"_"&amp;$F$2&amp;" = "&amp;VLOOKUP(B162,Instruções!$F$13:$J$17,5,0)&amp;"_"&amp;$G$2&amp;" ")</f>
        <v xml:space="preserve">ON instrmnt_id_as_is = instrmnt_id_to_be </v>
      </c>
      <c r="K162" s="17" t="str">
        <f t="shared" si="20"/>
        <v xml:space="preserve">WHERE coalesce(cast(dt_imprmnt_stts_as_is as string), '') &lt;&gt; coalesce(cast(dt_imprmnt_stts_to_be as string), '') </v>
      </c>
      <c r="L162" s="17" t="str">
        <f t="shared" si="21"/>
        <v xml:space="preserve">SELECT count(*) AS NUM_REG_DIF FROM (SELECT instrmnt_id as instrmnt_id_as_is, dt_imprmnt_stts as dt_imprmnt_stts_as_is FROM cd_loan_tapes_bce.lt002_instrument WHERE ref_date='2024-09-30' AND nome_perimetro='Individual Corporativo' AND segmento='ESTR' AND ambito='PM' AND entidade='00100' ) A  Inner join (SELECT instrmnt_id as instrmnt_id_to_be, dt_imprmnt_stts as dt_imprmnt_stts_to_be FROM bu_loantape_work.lt002_instrument WHERE ref_date='2024-09-30' AND nome_perimetro='Individual Corporativo' AND segmento='ESTR' AND ambito='PM' AND entidade='00100' ) B ON instrmnt_id_as_is = instrmnt_id_to_be WHERE coalesce(cast(dt_imprmnt_stts_as_is as string), '') &lt;&gt; coalesce(cast(dt_imprmnt_stts_to_be as string), '') </v>
      </c>
      <c r="M162" s="17" t="s">
        <v>55</v>
      </c>
      <c r="N162" s="17" t="str">
        <f>"SELECT 'Validação de campos' as tipologia_teste, '"&amp;VLOOKUP(B162,Instruções!$F$13:$J$17,3,0)&amp;"' AS TABELA, '"&amp;E162&amp;"' AS CAMPO, '"&amp;Instruções!$D$15&amp;"' as ref_date, coalesce(NUM_REG_DIF, 0) AS NUM_REG_DIF FROM ("&amp;L162&amp;") A "</f>
        <v xml:space="preserve">SELECT 'Validação de campos' as tipologia_teste, 'lt002_instrument' AS TABELA, 'dt_imprmnt_stts' AS CAMPO, '2024-09-30' as ref_date, coalesce(NUM_REG_DIF, 0) AS NUM_REG_DIF FROM (SELECT count(*) AS NUM_REG_DIF FROM (SELECT instrmnt_id as instrmnt_id_as_is, dt_imprmnt_stts as dt_imprmnt_stts_as_is FROM cd_loan_tapes_bce.lt002_instrument WHERE ref_date='2024-09-30' AND nome_perimetro='Individual Corporativo' AND segmento='ESTR' AND ambito='PM' AND entidade='00100' ) A  Inner join (SELECT instrmnt_id as instrmnt_id_to_be, dt_imprmnt_stts as dt_imprmnt_stts_to_be FROM bu_loantape_work.lt002_instrument WHERE ref_date='2024-09-30' AND nome_perimetro='Individual Corporativo' AND segmento='ESTR' AND ambito='PM' AND entidade='00100' ) B ON instrmnt_id_as_is = instrmnt_id_to_be WHERE coalesce(cast(dt_imprmnt_stts_as_is as string), '') &lt;&gt; coalesce(cast(dt_imprmnt_stts_to_be as string), '') ) A </v>
      </c>
      <c r="O162" s="19" t="str">
        <f t="shared" si="23"/>
        <v>SELECT 'Validação de campos' as tipologia_teste, 'lt002_instrument' AS TABELA, 'dt_imprmnt_stts' AS CAMPO, '2024-09-30' as ref_date, coalesce(NUM_REG_DIF, 0) AS NUM_REG_DIF FROM (SELECT count(*) AS NUM_REG_DIF FROM (SELECT instrmnt_id as instrmnt_id_as_is, dt_imprmnt_stts as dt_imprmnt_stts_as_is FROM cd_loan_tapes_bce.lt002_instrument WHERE ref_date='2024-09-30' AND nome_perimetro='Individual Corporativo' AND segmento='ESTR' AND ambito='PM' AND entidade='00100' ) A  Inner join (SELECT instrmnt_id as instrmnt_id_to_be, dt_imprmnt_stts as dt_imprmnt_stts_to_be FROM bu_loantape_work.lt002_instrument WHERE ref_date='2024-09-30' AND nome_perimetro='Individual Corporativo' AND segmento='ESTR' AND ambito='PM' AND entidade='00100' ) B ON instrmnt_id_as_is = instrmnt_id_to_be WHERE coalesce(cast(dt_imprmnt_stts_as_is as string), '') &lt;&gt; coalesce(cast(dt_imprmnt_stts_to_be as string), '') ) A UNION ALL</v>
      </c>
      <c r="P162" s="17">
        <f t="shared" si="22"/>
        <v>8</v>
      </c>
    </row>
    <row r="163" spans="2:16" s="15" customFormat="1" ht="11.45">
      <c r="B163" s="17" t="s">
        <v>26</v>
      </c>
      <c r="C163" s="17" t="str">
        <f>_xlfn.CONCAT(Instruções!$D$13,".",VLOOKUP(B163,Instruções!$F$12:$H$17,2,0))</f>
        <v>cd_loan_tapes_bce.lt002_instrument</v>
      </c>
      <c r="D163" s="17" t="str">
        <f>_xlfn.CONCAT(Instruções!$D$14,".",VLOOKUP(B163,Instruções!$F$12:$H$17,3,0))</f>
        <v>bu_loantape_work.lt002_instrument</v>
      </c>
      <c r="E163" s="17" t="s">
        <v>216</v>
      </c>
      <c r="F163" s="17" t="str">
        <f t="shared" si="18"/>
        <v>dt_imprmnt_stts_prvs_as_is</v>
      </c>
      <c r="G163" s="17" t="str">
        <f t="shared" si="19"/>
        <v>dt_imprmnt_stts_prvs_to_be</v>
      </c>
      <c r="H163" s="17" t="str">
        <f>IF(VLOOKUP(B163,Instruções!$F$13:$J$17,5,0)="",
"(SELECT "&amp;VLOOKUP(B163,Instruções!$F$13:$J$17,4,0)&amp;" as "&amp;VLOOKUP(B163,Instruções!$F$13:$J$17,4,0)&amp;"_"&amp;$F$2&amp;", "&amp;E163&amp;" as "&amp;F163&amp;" FROM "&amp;C163&amp;" WHERE "&amp;Instruções!$D$20&amp;") A ",
"(SELECT "&amp;VLOOKUP(B163,Instruções!$F$13:$J$17,4,0)&amp;" as "&amp;VLOOKUP(B163,Instruções!$F$13:$J$17,4,0)&amp;"_"&amp;$F$2&amp;", "&amp;VLOOKUP(B163,Instruções!$F$13:$J$17,5,0)&amp;" as "&amp;VLOOKUP(B163,Instruções!$F$13:$J$17,5,0)&amp;"_"&amp;$F$2&amp;","&amp;E163&amp;" as "&amp;F163&amp;" FROM "&amp;C163&amp;" WHERE "&amp;Instruções!$D$20&amp;") A ")</f>
        <v xml:space="preserve">(SELECT instrmnt_id as instrmnt_id_as_is, dt_imprmnt_stts_prvs as dt_imprmnt_stts_prvs_as_is FROM cd_loan_tapes_bce.lt002_instrument WHERE ref_date='2024-09-30' AND nome_perimetro='Individual Corporativo' AND segmento='ESTR' AND ambito='PM' AND entidade='00100' ) A </v>
      </c>
      <c r="I163" s="17" t="str">
        <f>IF(VLOOKUP(B163,Instruções!$F$13:$J$17,5,0)="",
"(SELECT "&amp;VLOOKUP(B163,Instruções!$F$13:$J$17,4,0)&amp;" as "&amp;VLOOKUP(B163,Instruções!$F$13:$J$17,4,0)&amp;"_"&amp;$G$2&amp;", "&amp;E163&amp;" as "&amp;G163&amp;" FROM "&amp;D163&amp;" WHERE "&amp;Instruções!$D$21&amp;") B ",
"(SELECT "&amp;VLOOKUP(B163,Instruções!$F$13:$J$17,4,0)&amp;" as "&amp;VLOOKUP(B163,Instruções!$F$13:$J$17,4,0)&amp;"_"&amp;$G$2&amp;", "&amp;VLOOKUP(B163,Instruções!$F$13:$J$17,5,0)&amp;" as "&amp;VLOOKUP(B163,Instruções!$F$13:$J$17,5,0)&amp;"_"&amp;$G$2&amp;","&amp;E163&amp;" as "&amp;G163&amp;" FROM "&amp;D163&amp;" WHERE "&amp;Instruções!$D$21&amp;") B ")</f>
        <v xml:space="preserve">(SELECT instrmnt_id as instrmnt_id_to_be, dt_imprmnt_stts_prvs as dt_imprmnt_stts_prvs_to_be FROM bu_loantape_work.lt002_instrument WHERE ref_date='2024-09-30' AND nome_perimetro='Individual Corporativo' AND segmento='ESTR' AND ambito='PM' AND entidade='00100' ) B </v>
      </c>
      <c r="J163" s="17" t="str">
        <f>IF(VLOOKUP(B163,Instruções!$F$13:$J$17,5,0)="",
"ON "&amp;VLOOKUP(B163,Instruções!$F$13:$J$17,4,0)&amp;"_"&amp;$F$2&amp;" = "&amp;VLOOKUP(B163,Instruções!$F$13:$J$17,4,0)&amp;"_"&amp;$G$2&amp;" ",
"ON "&amp;VLOOKUP(B163,Instruções!$F$13:$J$17,4,0)&amp;"_"&amp;$F$2&amp;" = "&amp;VLOOKUP(B163,Instruções!$F$13:$J$17,4,0)&amp;"_"&amp;$G$2&amp;" AND "&amp;VLOOKUP(B163,Instruções!$F$13:$J$17,5,0)&amp;"_"&amp;$F$2&amp;" = "&amp;VLOOKUP(B163,Instruções!$F$13:$J$17,5,0)&amp;"_"&amp;$G$2&amp;" ")</f>
        <v xml:space="preserve">ON instrmnt_id_as_is = instrmnt_id_to_be </v>
      </c>
      <c r="K163" s="17" t="str">
        <f t="shared" si="20"/>
        <v xml:space="preserve">WHERE coalesce(cast(dt_imprmnt_stts_prvs_as_is as string), '') &lt;&gt; coalesce(cast(dt_imprmnt_stts_prvs_to_be as string), '') </v>
      </c>
      <c r="L163" s="17" t="str">
        <f t="shared" si="21"/>
        <v xml:space="preserve">SELECT count(*) AS NUM_REG_DIF FROM (SELECT instrmnt_id as instrmnt_id_as_is, dt_imprmnt_stts_prvs as dt_imprmnt_stts_prvs_as_is FROM cd_loan_tapes_bce.lt002_instrument WHERE ref_date='2024-09-30' AND nome_perimetro='Individual Corporativo' AND segmento='ESTR' AND ambito='PM' AND entidade='00100' ) A  Inner join (SELECT instrmnt_id as instrmnt_id_to_be, dt_imprmnt_stts_prvs as dt_imprmnt_stts_prvs_to_be FROM bu_loantape_work.lt002_instrument WHERE ref_date='2024-09-30' AND nome_perimetro='Individual Corporativo' AND segmento='ESTR' AND ambito='PM' AND entidade='00100' ) B ON instrmnt_id_as_is = instrmnt_id_to_be WHERE coalesce(cast(dt_imprmnt_stts_prvs_as_is as string), '') &lt;&gt; coalesce(cast(dt_imprmnt_stts_prvs_to_be as string), '') </v>
      </c>
      <c r="M163" s="17" t="s">
        <v>55</v>
      </c>
      <c r="N163" s="17" t="str">
        <f>"SELECT 'Validação de campos' as tipologia_teste, '"&amp;VLOOKUP(B163,Instruções!$F$13:$J$17,3,0)&amp;"' AS TABELA, '"&amp;E163&amp;"' AS CAMPO, '"&amp;Instruções!$D$15&amp;"' as ref_date, coalesce(NUM_REG_DIF, 0) AS NUM_REG_DIF FROM ("&amp;L163&amp;") A "</f>
        <v xml:space="preserve">SELECT 'Validação de campos' as tipologia_teste, 'lt002_instrument' AS TABELA, 'dt_imprmnt_stts_prvs' AS CAMPO, '2024-09-30' as ref_date, coalesce(NUM_REG_DIF, 0) AS NUM_REG_DIF FROM (SELECT count(*) AS NUM_REG_DIF FROM (SELECT instrmnt_id as instrmnt_id_as_is, dt_imprmnt_stts_prvs as dt_imprmnt_stts_prvs_as_is FROM cd_loan_tapes_bce.lt002_instrument WHERE ref_date='2024-09-30' AND nome_perimetro='Individual Corporativo' AND segmento='ESTR' AND ambito='PM' AND entidade='00100' ) A  Inner join (SELECT instrmnt_id as instrmnt_id_to_be, dt_imprmnt_stts_prvs as dt_imprmnt_stts_prvs_to_be FROM bu_loantape_work.lt002_instrument WHERE ref_date='2024-09-30' AND nome_perimetro='Individual Corporativo' AND segmento='ESTR' AND ambito='PM' AND entidade='00100' ) B ON instrmnt_id_as_is = instrmnt_id_to_be WHERE coalesce(cast(dt_imprmnt_stts_prvs_as_is as string), '') &lt;&gt; coalesce(cast(dt_imprmnt_stts_prvs_to_be as string), '') ) A </v>
      </c>
      <c r="O163" s="19" t="str">
        <f t="shared" si="23"/>
        <v>SELECT 'Validação de campos' as tipologia_teste, 'lt002_instrument' AS TABELA, 'dt_imprmnt_stts_prvs' AS CAMPO, '2024-09-30' as ref_date, coalesce(NUM_REG_DIF, 0) AS NUM_REG_DIF FROM (SELECT count(*) AS NUM_REG_DIF FROM (SELECT instrmnt_id as instrmnt_id_as_is, dt_imprmnt_stts_prvs as dt_imprmnt_stts_prvs_as_is FROM cd_loan_tapes_bce.lt002_instrument WHERE ref_date='2024-09-30' AND nome_perimetro='Individual Corporativo' AND segmento='ESTR' AND ambito='PM' AND entidade='00100' ) A  Inner join (SELECT instrmnt_id as instrmnt_id_to_be, dt_imprmnt_stts_prvs as dt_imprmnt_stts_prvs_to_be FROM bu_loantape_work.lt002_instrument WHERE ref_date='2024-09-30' AND nome_perimetro='Individual Corporativo' AND segmento='ESTR' AND ambito='PM' AND entidade='00100' ) B ON instrmnt_id_as_is = instrmnt_id_to_be WHERE coalesce(cast(dt_imprmnt_stts_prvs_as_is as string), '') &lt;&gt; coalesce(cast(dt_imprmnt_stts_prvs_to_be as string), '') ) A UNION ALL</v>
      </c>
      <c r="P163" s="17">
        <f t="shared" si="22"/>
        <v>9</v>
      </c>
    </row>
    <row r="164" spans="2:16" s="15" customFormat="1" ht="11.45">
      <c r="B164" s="17" t="s">
        <v>26</v>
      </c>
      <c r="C164" s="17" t="str">
        <f>_xlfn.CONCAT(Instruções!$D$13,".",VLOOKUP(B164,Instruções!$F$12:$H$17,2,0))</f>
        <v>cd_loan_tapes_bce.lt002_instrument</v>
      </c>
      <c r="D164" s="17" t="str">
        <f>_xlfn.CONCAT(Instruções!$D$14,".",VLOOKUP(B164,Instruções!$F$12:$H$17,3,0))</f>
        <v>bu_loantape_work.lt002_instrument</v>
      </c>
      <c r="E164" s="17" t="s">
        <v>217</v>
      </c>
      <c r="F164" s="17" t="str">
        <f t="shared" si="18"/>
        <v>dt_incptn_as_is</v>
      </c>
      <c r="G164" s="17" t="str">
        <f t="shared" si="19"/>
        <v>dt_incptn_to_be</v>
      </c>
      <c r="H164" s="17" t="str">
        <f>IF(VLOOKUP(B164,Instruções!$F$13:$J$17,5,0)="",
"(SELECT "&amp;VLOOKUP(B164,Instruções!$F$13:$J$17,4,0)&amp;" as "&amp;VLOOKUP(B164,Instruções!$F$13:$J$17,4,0)&amp;"_"&amp;$F$2&amp;", "&amp;E164&amp;" as "&amp;F164&amp;" FROM "&amp;C164&amp;" WHERE "&amp;Instruções!$D$20&amp;") A ",
"(SELECT "&amp;VLOOKUP(B164,Instruções!$F$13:$J$17,4,0)&amp;" as "&amp;VLOOKUP(B164,Instruções!$F$13:$J$17,4,0)&amp;"_"&amp;$F$2&amp;", "&amp;VLOOKUP(B164,Instruções!$F$13:$J$17,5,0)&amp;" as "&amp;VLOOKUP(B164,Instruções!$F$13:$J$17,5,0)&amp;"_"&amp;$F$2&amp;","&amp;E164&amp;" as "&amp;F164&amp;" FROM "&amp;C164&amp;" WHERE "&amp;Instruções!$D$20&amp;") A ")</f>
        <v xml:space="preserve">(SELECT instrmnt_id as instrmnt_id_as_is, dt_incptn as dt_incptn_as_is FROM cd_loan_tapes_bce.lt002_instrument WHERE ref_date='2024-09-30' AND nome_perimetro='Individual Corporativo' AND segmento='ESTR' AND ambito='PM' AND entidade='00100' ) A </v>
      </c>
      <c r="I164" s="17" t="str">
        <f>IF(VLOOKUP(B164,Instruções!$F$13:$J$17,5,0)="",
"(SELECT "&amp;VLOOKUP(B164,Instruções!$F$13:$J$17,4,0)&amp;" as "&amp;VLOOKUP(B164,Instruções!$F$13:$J$17,4,0)&amp;"_"&amp;$G$2&amp;", "&amp;E164&amp;" as "&amp;G164&amp;" FROM "&amp;D164&amp;" WHERE "&amp;Instruções!$D$21&amp;") B ",
"(SELECT "&amp;VLOOKUP(B164,Instruções!$F$13:$J$17,4,0)&amp;" as "&amp;VLOOKUP(B164,Instruções!$F$13:$J$17,4,0)&amp;"_"&amp;$G$2&amp;", "&amp;VLOOKUP(B164,Instruções!$F$13:$J$17,5,0)&amp;" as "&amp;VLOOKUP(B164,Instruções!$F$13:$J$17,5,0)&amp;"_"&amp;$G$2&amp;","&amp;E164&amp;" as "&amp;G164&amp;" FROM "&amp;D164&amp;" WHERE "&amp;Instruções!$D$21&amp;") B ")</f>
        <v xml:space="preserve">(SELECT instrmnt_id as instrmnt_id_to_be, dt_incptn as dt_incptn_to_be FROM bu_loantape_work.lt002_instrument WHERE ref_date='2024-09-30' AND nome_perimetro='Individual Corporativo' AND segmento='ESTR' AND ambito='PM' AND entidade='00100' ) B </v>
      </c>
      <c r="J164" s="17" t="str">
        <f>IF(VLOOKUP(B164,Instruções!$F$13:$J$17,5,0)="",
"ON "&amp;VLOOKUP(B164,Instruções!$F$13:$J$17,4,0)&amp;"_"&amp;$F$2&amp;" = "&amp;VLOOKUP(B164,Instruções!$F$13:$J$17,4,0)&amp;"_"&amp;$G$2&amp;" ",
"ON "&amp;VLOOKUP(B164,Instruções!$F$13:$J$17,4,0)&amp;"_"&amp;$F$2&amp;" = "&amp;VLOOKUP(B164,Instruções!$F$13:$J$17,4,0)&amp;"_"&amp;$G$2&amp;" AND "&amp;VLOOKUP(B164,Instruções!$F$13:$J$17,5,0)&amp;"_"&amp;$F$2&amp;" = "&amp;VLOOKUP(B164,Instruções!$F$13:$J$17,5,0)&amp;"_"&amp;$G$2&amp;" ")</f>
        <v xml:space="preserve">ON instrmnt_id_as_is = instrmnt_id_to_be </v>
      </c>
      <c r="K164" s="17" t="str">
        <f t="shared" si="20"/>
        <v xml:space="preserve">WHERE coalesce(cast(dt_incptn_as_is as string), '') &lt;&gt; coalesce(cast(dt_incptn_to_be as string), '') </v>
      </c>
      <c r="L164" s="17" t="str">
        <f t="shared" si="21"/>
        <v xml:space="preserve">SELECT count(*) AS NUM_REG_DIF FROM (SELECT instrmnt_id as instrmnt_id_as_is, dt_incptn as dt_incptn_as_is FROM cd_loan_tapes_bce.lt002_instrument WHERE ref_date='2024-09-30' AND nome_perimetro='Individual Corporativo' AND segmento='ESTR' AND ambito='PM' AND entidade='00100' ) A  Inner join (SELECT instrmnt_id as instrmnt_id_to_be, dt_incptn as dt_incptn_to_be FROM bu_loantape_work.lt002_instrument WHERE ref_date='2024-09-30' AND nome_perimetro='Individual Corporativo' AND segmento='ESTR' AND ambito='PM' AND entidade='00100' ) B ON instrmnt_id_as_is = instrmnt_id_to_be WHERE coalesce(cast(dt_incptn_as_is as string), '') &lt;&gt; coalesce(cast(dt_incptn_to_be as string), '') </v>
      </c>
      <c r="M164" s="17" t="s">
        <v>55</v>
      </c>
      <c r="N164" s="17" t="str">
        <f>"SELECT 'Validação de campos' as tipologia_teste, '"&amp;VLOOKUP(B164,Instruções!$F$13:$J$17,3,0)&amp;"' AS TABELA, '"&amp;E164&amp;"' AS CAMPO, '"&amp;Instruções!$D$15&amp;"' as ref_date, coalesce(NUM_REG_DIF, 0) AS NUM_REG_DIF FROM ("&amp;L164&amp;") A "</f>
        <v xml:space="preserve">SELECT 'Validação de campos' as tipologia_teste, 'lt002_instrument' AS TABELA, 'dt_incptn' AS CAMPO, '2024-09-30' as ref_date, coalesce(NUM_REG_DIF, 0) AS NUM_REG_DIF FROM (SELECT count(*) AS NUM_REG_DIF FROM (SELECT instrmnt_id as instrmnt_id_as_is, dt_incptn as dt_incptn_as_is FROM cd_loan_tapes_bce.lt002_instrument WHERE ref_date='2024-09-30' AND nome_perimetro='Individual Corporativo' AND segmento='ESTR' AND ambito='PM' AND entidade='00100' ) A  Inner join (SELECT instrmnt_id as instrmnt_id_to_be, dt_incptn as dt_incptn_to_be FROM bu_loantape_work.lt002_instrument WHERE ref_date='2024-09-30' AND nome_perimetro='Individual Corporativo' AND segmento='ESTR' AND ambito='PM' AND entidade='00100' ) B ON instrmnt_id_as_is = instrmnt_id_to_be WHERE coalesce(cast(dt_incptn_as_is as string), '') &lt;&gt; coalesce(cast(dt_incptn_to_be as string), '') ) A </v>
      </c>
      <c r="O164" s="19" t="str">
        <f t="shared" si="23"/>
        <v>SELECT 'Validação de campos' as tipologia_teste, 'lt002_instrument' AS TABELA, 'dt_incptn' AS CAMPO, '2024-09-30' as ref_date, coalesce(NUM_REG_DIF, 0) AS NUM_REG_DIF FROM (SELECT count(*) AS NUM_REG_DIF FROM (SELECT instrmnt_id as instrmnt_id_as_is, dt_incptn as dt_incptn_as_is FROM cd_loan_tapes_bce.lt002_instrument WHERE ref_date='2024-09-30' AND nome_perimetro='Individual Corporativo' AND segmento='ESTR' AND ambito='PM' AND entidade='00100' ) A  Inner join (SELECT instrmnt_id as instrmnt_id_to_be, dt_incptn as dt_incptn_to_be FROM bu_loantape_work.lt002_instrument WHERE ref_date='2024-09-30' AND nome_perimetro='Individual Corporativo' AND segmento='ESTR' AND ambito='PM' AND entidade='00100' ) B ON instrmnt_id_as_is = instrmnt_id_to_be WHERE coalesce(cast(dt_incptn_as_is as string), '') &lt;&gt; coalesce(cast(dt_incptn_to_be as string), '') ) A UNION ALL</v>
      </c>
      <c r="P164" s="17">
        <f t="shared" si="22"/>
        <v>10</v>
      </c>
    </row>
    <row r="165" spans="2:16" s="15" customFormat="1" ht="11.45">
      <c r="B165" s="17" t="s">
        <v>26</v>
      </c>
      <c r="C165" s="17" t="str">
        <f>_xlfn.CONCAT(Instruções!$D$13,".",VLOOKUP(B165,Instruções!$F$12:$H$17,2,0))</f>
        <v>cd_loan_tapes_bce.lt002_instrument</v>
      </c>
      <c r="D165" s="17" t="str">
        <f>_xlfn.CONCAT(Instruções!$D$14,".",VLOOKUP(B165,Instruções!$F$12:$H$17,3,0))</f>
        <v>bu_loantape_work.lt002_instrument</v>
      </c>
      <c r="E165" s="17" t="s">
        <v>79</v>
      </c>
      <c r="F165" s="17" t="str">
        <f t="shared" si="18"/>
        <v>dt_intrnl_rtng_as_is</v>
      </c>
      <c r="G165" s="17" t="str">
        <f t="shared" si="19"/>
        <v>dt_intrnl_rtng_to_be</v>
      </c>
      <c r="H165" s="17" t="str">
        <f>IF(VLOOKUP(B165,Instruções!$F$13:$J$17,5,0)="",
"(SELECT "&amp;VLOOKUP(B165,Instruções!$F$13:$J$17,4,0)&amp;" as "&amp;VLOOKUP(B165,Instruções!$F$13:$J$17,4,0)&amp;"_"&amp;$F$2&amp;", "&amp;E165&amp;" as "&amp;F165&amp;" FROM "&amp;C165&amp;" WHERE "&amp;Instruções!$D$20&amp;") A ",
"(SELECT "&amp;VLOOKUP(B165,Instruções!$F$13:$J$17,4,0)&amp;" as "&amp;VLOOKUP(B165,Instruções!$F$13:$J$17,4,0)&amp;"_"&amp;$F$2&amp;", "&amp;VLOOKUP(B165,Instruções!$F$13:$J$17,5,0)&amp;" as "&amp;VLOOKUP(B165,Instruções!$F$13:$J$17,5,0)&amp;"_"&amp;$F$2&amp;","&amp;E165&amp;" as "&amp;F165&amp;" FROM "&amp;C165&amp;" WHERE "&amp;Instruções!$D$20&amp;") A ")</f>
        <v xml:space="preserve">(SELECT instrmnt_id as instrmnt_id_as_is, dt_intrnl_rtng as dt_intrnl_rtng_as_is FROM cd_loan_tapes_bce.lt002_instrument WHERE ref_date='2024-09-30' AND nome_perimetro='Individual Corporativo' AND segmento='ESTR' AND ambito='PM' AND entidade='00100' ) A </v>
      </c>
      <c r="I165" s="17" t="str">
        <f>IF(VLOOKUP(B165,Instruções!$F$13:$J$17,5,0)="",
"(SELECT "&amp;VLOOKUP(B165,Instruções!$F$13:$J$17,4,0)&amp;" as "&amp;VLOOKUP(B165,Instruções!$F$13:$J$17,4,0)&amp;"_"&amp;$G$2&amp;", "&amp;E165&amp;" as "&amp;G165&amp;" FROM "&amp;D165&amp;" WHERE "&amp;Instruções!$D$21&amp;") B ",
"(SELECT "&amp;VLOOKUP(B165,Instruções!$F$13:$J$17,4,0)&amp;" as "&amp;VLOOKUP(B165,Instruções!$F$13:$J$17,4,0)&amp;"_"&amp;$G$2&amp;", "&amp;VLOOKUP(B165,Instruções!$F$13:$J$17,5,0)&amp;" as "&amp;VLOOKUP(B165,Instruções!$F$13:$J$17,5,0)&amp;"_"&amp;$G$2&amp;","&amp;E165&amp;" as "&amp;G165&amp;" FROM "&amp;D165&amp;" WHERE "&amp;Instruções!$D$21&amp;") B ")</f>
        <v xml:space="preserve">(SELECT instrmnt_id as instrmnt_id_to_be, dt_intrnl_rtng as dt_intrnl_rtng_to_be FROM bu_loantape_work.lt002_instrument WHERE ref_date='2024-09-30' AND nome_perimetro='Individual Corporativo' AND segmento='ESTR' AND ambito='PM' AND entidade='00100' ) B </v>
      </c>
      <c r="J165" s="17" t="str">
        <f>IF(VLOOKUP(B165,Instruções!$F$13:$J$17,5,0)="",
"ON "&amp;VLOOKUP(B165,Instruções!$F$13:$J$17,4,0)&amp;"_"&amp;$F$2&amp;" = "&amp;VLOOKUP(B165,Instruções!$F$13:$J$17,4,0)&amp;"_"&amp;$G$2&amp;" ",
"ON "&amp;VLOOKUP(B165,Instruções!$F$13:$J$17,4,0)&amp;"_"&amp;$F$2&amp;" = "&amp;VLOOKUP(B165,Instruções!$F$13:$J$17,4,0)&amp;"_"&amp;$G$2&amp;" AND "&amp;VLOOKUP(B165,Instruções!$F$13:$J$17,5,0)&amp;"_"&amp;$F$2&amp;" = "&amp;VLOOKUP(B165,Instruções!$F$13:$J$17,5,0)&amp;"_"&amp;$G$2&amp;" ")</f>
        <v xml:space="preserve">ON instrmnt_id_as_is = instrmnt_id_to_be </v>
      </c>
      <c r="K165" s="17" t="str">
        <f t="shared" si="20"/>
        <v xml:space="preserve">WHERE coalesce(cast(dt_intrnl_rtng_as_is as string), '') &lt;&gt; coalesce(cast(dt_intrnl_rtng_to_be as string), '') </v>
      </c>
      <c r="L165" s="17" t="str">
        <f t="shared" si="21"/>
        <v xml:space="preserve">SELECT count(*) AS NUM_REG_DIF FROM (SELECT instrmnt_id as instrmnt_id_as_is, dt_intrnl_rtng as dt_intrnl_rtng_as_is FROM cd_loan_tapes_bce.lt002_instrument WHERE ref_date='2024-09-30' AND nome_perimetro='Individual Corporativo' AND segmento='ESTR' AND ambito='PM' AND entidade='00100' ) A  Inner join (SELECT instrmnt_id as instrmnt_id_to_be, dt_intrnl_rtng as dt_intrnl_rtng_to_be FROM bu_loantape_work.lt002_instrument WHERE ref_date='2024-09-30' AND nome_perimetro='Individual Corporativo' AND segmento='ESTR' AND ambito='PM' AND entidade='00100' ) B ON instrmnt_id_as_is = instrmnt_id_to_be WHERE coalesce(cast(dt_intrnl_rtng_as_is as string), '') &lt;&gt; coalesce(cast(dt_intrnl_rtng_to_be as string), '') </v>
      </c>
      <c r="M165" s="17" t="s">
        <v>55</v>
      </c>
      <c r="N165" s="17" t="str">
        <f>"SELECT 'Validação de campos' as tipologia_teste, '"&amp;VLOOKUP(B165,Instruções!$F$13:$J$17,3,0)&amp;"' AS TABELA, '"&amp;E165&amp;"' AS CAMPO, '"&amp;Instruções!$D$15&amp;"' as ref_date, coalesce(NUM_REG_DIF, 0) AS NUM_REG_DIF FROM ("&amp;L165&amp;") A "</f>
        <v xml:space="preserve">SELECT 'Validação de campos' as tipologia_teste, 'lt002_instrument' AS TABELA, 'dt_intrnl_rtng' AS CAMPO, '2024-09-30' as ref_date, coalesce(NUM_REG_DIF, 0) AS NUM_REG_DIF FROM (SELECT count(*) AS NUM_REG_DIF FROM (SELECT instrmnt_id as instrmnt_id_as_is, dt_intrnl_rtng as dt_intrnl_rtng_as_is FROM cd_loan_tapes_bce.lt002_instrument WHERE ref_date='2024-09-30' AND nome_perimetro='Individual Corporativo' AND segmento='ESTR' AND ambito='PM' AND entidade='00100' ) A  Inner join (SELECT instrmnt_id as instrmnt_id_to_be, dt_intrnl_rtng as dt_intrnl_rtng_to_be FROM bu_loantape_work.lt002_instrument WHERE ref_date='2024-09-30' AND nome_perimetro='Individual Corporativo' AND segmento='ESTR' AND ambito='PM' AND entidade='00100' ) B ON instrmnt_id_as_is = instrmnt_id_to_be WHERE coalesce(cast(dt_intrnl_rtng_as_is as string), '') &lt;&gt; coalesce(cast(dt_intrnl_rtng_to_be as string), '') ) A </v>
      </c>
      <c r="O165" s="19" t="str">
        <f t="shared" si="23"/>
        <v>SELECT 'Validação de campos' as tipologia_teste, 'lt002_instrument' AS TABELA, 'dt_intrnl_rtng' AS CAMPO, '2024-09-30' as ref_date, coalesce(NUM_REG_DIF, 0) AS NUM_REG_DIF FROM (SELECT count(*) AS NUM_REG_DIF FROM (SELECT instrmnt_id as instrmnt_id_as_is, dt_intrnl_rtng as dt_intrnl_rtng_as_is FROM cd_loan_tapes_bce.lt002_instrument WHERE ref_date='2024-09-30' AND nome_perimetro='Individual Corporativo' AND segmento='ESTR' AND ambito='PM' AND entidade='00100' ) A  Inner join (SELECT instrmnt_id as instrmnt_id_to_be, dt_intrnl_rtng as dt_intrnl_rtng_to_be FROM bu_loantape_work.lt002_instrument WHERE ref_date='2024-09-30' AND nome_perimetro='Individual Corporativo' AND segmento='ESTR' AND ambito='PM' AND entidade='00100' ) B ON instrmnt_id_as_is = instrmnt_id_to_be WHERE coalesce(cast(dt_intrnl_rtng_as_is as string), '') &lt;&gt; coalesce(cast(dt_intrnl_rtng_to_be as string), '') ) A UNION ALL</v>
      </c>
      <c r="P165" s="17">
        <f t="shared" si="22"/>
        <v>11</v>
      </c>
    </row>
    <row r="166" spans="2:16" s="15" customFormat="1" ht="11.45">
      <c r="B166" s="17" t="s">
        <v>26</v>
      </c>
      <c r="C166" s="17" t="str">
        <f>_xlfn.CONCAT(Instruções!$D$13,".",VLOOKUP(B166,Instruções!$F$12:$H$17,2,0))</f>
        <v>cd_loan_tapes_bce.lt002_instrument</v>
      </c>
      <c r="D166" s="17" t="str">
        <f>_xlfn.CONCAT(Instruções!$D$14,".",VLOOKUP(B166,Instruções!$F$12:$H$17,3,0))</f>
        <v>bu_loantape_work.lt002_instrument</v>
      </c>
      <c r="E166" s="17" t="s">
        <v>326</v>
      </c>
      <c r="F166" s="17" t="str">
        <f t="shared" si="18"/>
        <v>sicr_assssmnt_mthd_as_is</v>
      </c>
      <c r="G166" s="17" t="str">
        <f t="shared" si="19"/>
        <v>sicr_assssmnt_mthd_to_be</v>
      </c>
      <c r="H166" s="17" t="str">
        <f>IF(VLOOKUP(B166,Instruções!$F$13:$J$17,5,0)="",
"(SELECT "&amp;VLOOKUP(B166,Instruções!$F$13:$J$17,4,0)&amp;" as "&amp;VLOOKUP(B166,Instruções!$F$13:$J$17,4,0)&amp;"_"&amp;$F$2&amp;", "&amp;E166&amp;" as "&amp;F166&amp;" FROM "&amp;C166&amp;" WHERE "&amp;Instruções!$D$20&amp;") A ",
"(SELECT "&amp;VLOOKUP(B166,Instruções!$F$13:$J$17,4,0)&amp;" as "&amp;VLOOKUP(B166,Instruções!$F$13:$J$17,4,0)&amp;"_"&amp;$F$2&amp;", "&amp;VLOOKUP(B166,Instruções!$F$13:$J$17,5,0)&amp;" as "&amp;VLOOKUP(B166,Instruções!$F$13:$J$17,5,0)&amp;"_"&amp;$F$2&amp;","&amp;E166&amp;" as "&amp;F166&amp;" FROM "&amp;C166&amp;" WHERE "&amp;Instruções!$D$20&amp;") A ")</f>
        <v xml:space="preserve">(SELECT instrmnt_id as instrmnt_id_as_is, sicr_assssmnt_mthd as sicr_assssmnt_mthd_as_is FROM cd_loan_tapes_bce.lt002_instrument WHERE ref_date='2024-09-30' AND nome_perimetro='Individual Corporativo' AND segmento='ESTR' AND ambito='PM' AND entidade='00100' ) A </v>
      </c>
      <c r="I166" s="17" t="str">
        <f>IF(VLOOKUP(B166,Instruções!$F$13:$J$17,5,0)="",
"(SELECT "&amp;VLOOKUP(B166,Instruções!$F$13:$J$17,4,0)&amp;" as "&amp;VLOOKUP(B166,Instruções!$F$13:$J$17,4,0)&amp;"_"&amp;$G$2&amp;", "&amp;E166&amp;" as "&amp;G166&amp;" FROM "&amp;D166&amp;" WHERE "&amp;Instruções!$D$21&amp;") B ",
"(SELECT "&amp;VLOOKUP(B166,Instruções!$F$13:$J$17,4,0)&amp;" as "&amp;VLOOKUP(B166,Instruções!$F$13:$J$17,4,0)&amp;"_"&amp;$G$2&amp;", "&amp;VLOOKUP(B166,Instruções!$F$13:$J$17,5,0)&amp;" as "&amp;VLOOKUP(B166,Instruções!$F$13:$J$17,5,0)&amp;"_"&amp;$G$2&amp;","&amp;E166&amp;" as "&amp;G166&amp;" FROM "&amp;D166&amp;" WHERE "&amp;Instruções!$D$21&amp;") B ")</f>
        <v xml:space="preserve">(SELECT instrmnt_id as instrmnt_id_to_be, sicr_assssmnt_mthd as sicr_assssmnt_mthd_to_be FROM bu_loantape_work.lt002_instrument WHERE ref_date='2024-09-30' AND nome_perimetro='Individual Corporativo' AND segmento='ESTR' AND ambito='PM' AND entidade='00100' ) B </v>
      </c>
      <c r="J166" s="17" t="str">
        <f>IF(VLOOKUP(B166,Instruções!$F$13:$J$17,5,0)="",
"ON "&amp;VLOOKUP(B166,Instruções!$F$13:$J$17,4,0)&amp;"_"&amp;$F$2&amp;" = "&amp;VLOOKUP(B166,Instruções!$F$13:$J$17,4,0)&amp;"_"&amp;$G$2&amp;" ",
"ON "&amp;VLOOKUP(B166,Instruções!$F$13:$J$17,4,0)&amp;"_"&amp;$F$2&amp;" = "&amp;VLOOKUP(B166,Instruções!$F$13:$J$17,4,0)&amp;"_"&amp;$G$2&amp;" AND "&amp;VLOOKUP(B166,Instruções!$F$13:$J$17,5,0)&amp;"_"&amp;$F$2&amp;" = "&amp;VLOOKUP(B166,Instruções!$F$13:$J$17,5,0)&amp;"_"&amp;$G$2&amp;" ")</f>
        <v xml:space="preserve">ON instrmnt_id_as_is = instrmnt_id_to_be </v>
      </c>
      <c r="K166" s="17" t="str">
        <f t="shared" si="20"/>
        <v xml:space="preserve">WHERE coalesce(cast(sicr_assssmnt_mthd_as_is as string), '') &lt;&gt; coalesce(cast(sicr_assssmnt_mthd_to_be as string), '') </v>
      </c>
      <c r="L166" s="17" t="str">
        <f t="shared" si="21"/>
        <v xml:space="preserve">SELECT count(*) AS NUM_REG_DIF FROM (SELECT instrmnt_id as instrmnt_id_as_is, sicr_assssmnt_mthd as sicr_assssmnt_mthd_as_is FROM cd_loan_tapes_bce.lt002_instrument WHERE ref_date='2024-09-30' AND nome_perimetro='Individual Corporativo' AND segmento='ESTR' AND ambito='PM' AND entidade='00100' ) A  Inner join (SELECT instrmnt_id as instrmnt_id_to_be, sicr_assssmnt_mthd as sicr_assssmnt_mthd_to_be FROM bu_loantape_work.lt002_instrument WHERE ref_date='2024-09-30' AND nome_perimetro='Individual Corporativo' AND segmento='ESTR' AND ambito='PM' AND entidade='00100' ) B ON instrmnt_id_as_is = instrmnt_id_to_be WHERE coalesce(cast(sicr_assssmnt_mthd_as_is as string), '') &lt;&gt; coalesce(cast(sicr_assssmnt_mthd_to_be as string), '') </v>
      </c>
      <c r="M166" s="17" t="s">
        <v>55</v>
      </c>
      <c r="N166" s="17" t="str">
        <f>"SELECT 'Validação de campos' as tipologia_teste, '"&amp;VLOOKUP(B166,Instruções!$F$13:$J$17,3,0)&amp;"' AS TABELA, '"&amp;E166&amp;"' AS CAMPO, '"&amp;Instruções!$D$15&amp;"' as ref_date, coalesce(NUM_REG_DIF, 0) AS NUM_REG_DIF FROM ("&amp;L166&amp;") A "</f>
        <v xml:space="preserve">SELECT 'Validação de campos' as tipologia_teste, 'lt002_instrument' AS TABELA, 'sicr_assssmnt_mthd' AS CAMPO, '2024-09-30' as ref_date, coalesce(NUM_REG_DIF, 0) AS NUM_REG_DIF FROM (SELECT count(*) AS NUM_REG_DIF FROM (SELECT instrmnt_id as instrmnt_id_as_is, sicr_assssmnt_mthd as sicr_assssmnt_mthd_as_is FROM cd_loan_tapes_bce.lt002_instrument WHERE ref_date='2024-09-30' AND nome_perimetro='Individual Corporativo' AND segmento='ESTR' AND ambito='PM' AND entidade='00100' ) A  Inner join (SELECT instrmnt_id as instrmnt_id_to_be, sicr_assssmnt_mthd as sicr_assssmnt_mthd_to_be FROM bu_loantape_work.lt002_instrument WHERE ref_date='2024-09-30' AND nome_perimetro='Individual Corporativo' AND segmento='ESTR' AND ambito='PM' AND entidade='00100' ) B ON instrmnt_id_as_is = instrmnt_id_to_be WHERE coalesce(cast(sicr_assssmnt_mthd_as_is as string), '') &lt;&gt; coalesce(cast(sicr_assssmnt_mthd_to_be as string), '') ) A </v>
      </c>
      <c r="O166" s="19" t="str">
        <f t="shared" si="23"/>
        <v>SELECT 'Validação de campos' as tipologia_teste, 'lt002_instrument' AS TABELA, 'sicr_assssmnt_mthd' AS CAMPO, '2024-09-30' as ref_date, coalesce(NUM_REG_DIF, 0) AS NUM_REG_DIF FROM (SELECT count(*) AS NUM_REG_DIF FROM (SELECT instrmnt_id as instrmnt_id_as_is, sicr_assssmnt_mthd as sicr_assssmnt_mthd_as_is FROM cd_loan_tapes_bce.lt002_instrument WHERE ref_date='2024-09-30' AND nome_perimetro='Individual Corporativo' AND segmento='ESTR' AND ambito='PM' AND entidade='00100' ) A  Inner join (SELECT instrmnt_id as instrmnt_id_to_be, sicr_assssmnt_mthd as sicr_assssmnt_mthd_to_be FROM bu_loantape_work.lt002_instrument WHERE ref_date='2024-09-30' AND nome_perimetro='Individual Corporativo' AND segmento='ESTR' AND ambito='PM' AND entidade='00100' ) B ON instrmnt_id_as_is = instrmnt_id_to_be WHERE coalesce(cast(sicr_assssmnt_mthd_as_is as string), '') &lt;&gt; coalesce(cast(sicr_assssmnt_mthd_to_be as string), '') ) A UNION ALL</v>
      </c>
      <c r="P166" s="17">
        <f t="shared" si="22"/>
        <v>12</v>
      </c>
    </row>
    <row r="167" spans="2:16" s="15" customFormat="1" ht="11.45">
      <c r="B167" s="17" t="s">
        <v>26</v>
      </c>
      <c r="C167" s="17" t="str">
        <f>_xlfn.CONCAT(Instruções!$D$13,".",VLOOKUP(B167,Instruções!$F$12:$H$17,2,0))</f>
        <v>cd_loan_tapes_bce.lt002_instrument</v>
      </c>
      <c r="D167" s="17" t="str">
        <f>_xlfn.CONCAT(Instruções!$D$14,".",VLOOKUP(B167,Instruções!$F$12:$H$17,3,0))</f>
        <v>bu_loantape_work.lt002_instrument</v>
      </c>
      <c r="E167" s="17" t="s">
        <v>220</v>
      </c>
      <c r="F167" s="17" t="str">
        <f t="shared" si="18"/>
        <v>dt_orgnl_mtrty_as_is</v>
      </c>
      <c r="G167" s="17" t="str">
        <f t="shared" si="19"/>
        <v>dt_orgnl_mtrty_to_be</v>
      </c>
      <c r="H167" s="17" t="str">
        <f>IF(VLOOKUP(B167,Instruções!$F$13:$J$17,5,0)="",
"(SELECT "&amp;VLOOKUP(B167,Instruções!$F$13:$J$17,4,0)&amp;" as "&amp;VLOOKUP(B167,Instruções!$F$13:$J$17,4,0)&amp;"_"&amp;$F$2&amp;", "&amp;E167&amp;" as "&amp;F167&amp;" FROM "&amp;C167&amp;" WHERE "&amp;Instruções!$D$20&amp;") A ",
"(SELECT "&amp;VLOOKUP(B167,Instruções!$F$13:$J$17,4,0)&amp;" as "&amp;VLOOKUP(B167,Instruções!$F$13:$J$17,4,0)&amp;"_"&amp;$F$2&amp;", "&amp;VLOOKUP(B167,Instruções!$F$13:$J$17,5,0)&amp;" as "&amp;VLOOKUP(B167,Instruções!$F$13:$J$17,5,0)&amp;"_"&amp;$F$2&amp;","&amp;E167&amp;" as "&amp;F167&amp;" FROM "&amp;C167&amp;" WHERE "&amp;Instruções!$D$20&amp;") A ")</f>
        <v xml:space="preserve">(SELECT instrmnt_id as instrmnt_id_as_is, dt_orgnl_mtrty as dt_orgnl_mtrty_as_is FROM cd_loan_tapes_bce.lt002_instrument WHERE ref_date='2024-09-30' AND nome_perimetro='Individual Corporativo' AND segmento='ESTR' AND ambito='PM' AND entidade='00100' ) A </v>
      </c>
      <c r="I167" s="17" t="str">
        <f>IF(VLOOKUP(B167,Instruções!$F$13:$J$17,5,0)="",
"(SELECT "&amp;VLOOKUP(B167,Instruções!$F$13:$J$17,4,0)&amp;" as "&amp;VLOOKUP(B167,Instruções!$F$13:$J$17,4,0)&amp;"_"&amp;$G$2&amp;", "&amp;E167&amp;" as "&amp;G167&amp;" FROM "&amp;D167&amp;" WHERE "&amp;Instruções!$D$21&amp;") B ",
"(SELECT "&amp;VLOOKUP(B167,Instruções!$F$13:$J$17,4,0)&amp;" as "&amp;VLOOKUP(B167,Instruções!$F$13:$J$17,4,0)&amp;"_"&amp;$G$2&amp;", "&amp;VLOOKUP(B167,Instruções!$F$13:$J$17,5,0)&amp;" as "&amp;VLOOKUP(B167,Instruções!$F$13:$J$17,5,0)&amp;"_"&amp;$G$2&amp;","&amp;E167&amp;" as "&amp;G167&amp;" FROM "&amp;D167&amp;" WHERE "&amp;Instruções!$D$21&amp;") B ")</f>
        <v xml:space="preserve">(SELECT instrmnt_id as instrmnt_id_to_be, dt_orgnl_mtrty as dt_orgnl_mtrty_to_be FROM bu_loantape_work.lt002_instrument WHERE ref_date='2024-09-30' AND nome_perimetro='Individual Corporativo' AND segmento='ESTR' AND ambito='PM' AND entidade='00100' ) B </v>
      </c>
      <c r="J167" s="17" t="str">
        <f>IF(VLOOKUP(B167,Instruções!$F$13:$J$17,5,0)="",
"ON "&amp;VLOOKUP(B167,Instruções!$F$13:$J$17,4,0)&amp;"_"&amp;$F$2&amp;" = "&amp;VLOOKUP(B167,Instruções!$F$13:$J$17,4,0)&amp;"_"&amp;$G$2&amp;" ",
"ON "&amp;VLOOKUP(B167,Instruções!$F$13:$J$17,4,0)&amp;"_"&amp;$F$2&amp;" = "&amp;VLOOKUP(B167,Instruções!$F$13:$J$17,4,0)&amp;"_"&amp;$G$2&amp;" AND "&amp;VLOOKUP(B167,Instruções!$F$13:$J$17,5,0)&amp;"_"&amp;$F$2&amp;" = "&amp;VLOOKUP(B167,Instruções!$F$13:$J$17,5,0)&amp;"_"&amp;$G$2&amp;" ")</f>
        <v xml:space="preserve">ON instrmnt_id_as_is = instrmnt_id_to_be </v>
      </c>
      <c r="K167" s="17" t="str">
        <f t="shared" si="20"/>
        <v xml:space="preserve">WHERE coalesce(cast(dt_orgnl_mtrty_as_is as string), '') &lt;&gt; coalesce(cast(dt_orgnl_mtrty_to_be as string), '') </v>
      </c>
      <c r="L167" s="17" t="str">
        <f t="shared" si="21"/>
        <v xml:space="preserve">SELECT count(*) AS NUM_REG_DIF FROM (SELECT instrmnt_id as instrmnt_id_as_is, dt_orgnl_mtrty as dt_orgnl_mtrty_as_is FROM cd_loan_tapes_bce.lt002_instrument WHERE ref_date='2024-09-30' AND nome_perimetro='Individual Corporativo' AND segmento='ESTR' AND ambito='PM' AND entidade='00100' ) A  Inner join (SELECT instrmnt_id as instrmnt_id_to_be, dt_orgnl_mtrty as dt_orgnl_mtrty_to_be FROM bu_loantape_work.lt002_instrument WHERE ref_date='2024-09-30' AND nome_perimetro='Individual Corporativo' AND segmento='ESTR' AND ambito='PM' AND entidade='00100' ) B ON instrmnt_id_as_is = instrmnt_id_to_be WHERE coalesce(cast(dt_orgnl_mtrty_as_is as string), '') &lt;&gt; coalesce(cast(dt_orgnl_mtrty_to_be as string), '') </v>
      </c>
      <c r="M167" s="17" t="s">
        <v>55</v>
      </c>
      <c r="N167" s="17" t="str">
        <f>"SELECT 'Validação de campos' as tipologia_teste, '"&amp;VLOOKUP(B167,Instruções!$F$13:$J$17,3,0)&amp;"' AS TABELA, '"&amp;E167&amp;"' AS CAMPO, '"&amp;Instruções!$D$15&amp;"' as ref_date, coalesce(NUM_REG_DIF, 0) AS NUM_REG_DIF FROM ("&amp;L167&amp;") A "</f>
        <v xml:space="preserve">SELECT 'Validação de campos' as tipologia_teste, 'lt002_instrument' AS TABELA, 'dt_orgnl_mtrty' AS CAMPO, '2024-09-30' as ref_date, coalesce(NUM_REG_DIF, 0) AS NUM_REG_DIF FROM (SELECT count(*) AS NUM_REG_DIF FROM (SELECT instrmnt_id as instrmnt_id_as_is, dt_orgnl_mtrty as dt_orgnl_mtrty_as_is FROM cd_loan_tapes_bce.lt002_instrument WHERE ref_date='2024-09-30' AND nome_perimetro='Individual Corporativo' AND segmento='ESTR' AND ambito='PM' AND entidade='00100' ) A  Inner join (SELECT instrmnt_id as instrmnt_id_to_be, dt_orgnl_mtrty as dt_orgnl_mtrty_to_be FROM bu_loantape_work.lt002_instrument WHERE ref_date='2024-09-30' AND nome_perimetro='Individual Corporativo' AND segmento='ESTR' AND ambito='PM' AND entidade='00100' ) B ON instrmnt_id_as_is = instrmnt_id_to_be WHERE coalesce(cast(dt_orgnl_mtrty_as_is as string), '') &lt;&gt; coalesce(cast(dt_orgnl_mtrty_to_be as string), '') ) A </v>
      </c>
      <c r="O167" s="19" t="str">
        <f t="shared" si="23"/>
        <v>SELECT 'Validação de campos' as tipologia_teste, 'lt002_instrument' AS TABELA, 'dt_orgnl_mtrty' AS CAMPO, '2024-09-30' as ref_date, coalesce(NUM_REG_DIF, 0) AS NUM_REG_DIF FROM (SELECT count(*) AS NUM_REG_DIF FROM (SELECT instrmnt_id as instrmnt_id_as_is, dt_orgnl_mtrty as dt_orgnl_mtrty_as_is FROM cd_loan_tapes_bce.lt002_instrument WHERE ref_date='2024-09-30' AND nome_perimetro='Individual Corporativo' AND segmento='ESTR' AND ambito='PM' AND entidade='00100' ) A  Inner join (SELECT instrmnt_id as instrmnt_id_to_be, dt_orgnl_mtrty as dt_orgnl_mtrty_to_be FROM bu_loantape_work.lt002_instrument WHERE ref_date='2024-09-30' AND nome_perimetro='Individual Corporativo' AND segmento='ESTR' AND ambito='PM' AND entidade='00100' ) B ON instrmnt_id_as_is = instrmnt_id_to_be WHERE coalesce(cast(dt_orgnl_mtrty_as_is as string), '') &lt;&gt; coalesce(cast(dt_orgnl_mtrty_to_be as string), '') ) A UNION ALL</v>
      </c>
      <c r="P167" s="17">
        <f t="shared" si="22"/>
        <v>13</v>
      </c>
    </row>
    <row r="168" spans="2:16" s="15" customFormat="1" ht="11.45">
      <c r="B168" s="17" t="s">
        <v>26</v>
      </c>
      <c r="C168" s="17" t="str">
        <f>_xlfn.CONCAT(Instruções!$D$13,".",VLOOKUP(B168,Instruções!$F$12:$H$17,2,0))</f>
        <v>cd_loan_tapes_bce.lt002_instrument</v>
      </c>
      <c r="D168" s="17" t="str">
        <f>_xlfn.CONCAT(Instruções!$D$14,".",VLOOKUP(B168,Instruções!$F$12:$H$17,3,0))</f>
        <v>bu_loantape_work.lt002_instrument</v>
      </c>
      <c r="E168" s="17" t="s">
        <v>221</v>
      </c>
      <c r="F168" s="17" t="str">
        <f t="shared" si="18"/>
        <v>dt_prfrmng_stts_as_is</v>
      </c>
      <c r="G168" s="17" t="str">
        <f t="shared" si="19"/>
        <v>dt_prfrmng_stts_to_be</v>
      </c>
      <c r="H168" s="17" t="str">
        <f>IF(VLOOKUP(B168,Instruções!$F$13:$J$17,5,0)="",
"(SELECT "&amp;VLOOKUP(B168,Instruções!$F$13:$J$17,4,0)&amp;" as "&amp;VLOOKUP(B168,Instruções!$F$13:$J$17,4,0)&amp;"_"&amp;$F$2&amp;", "&amp;E168&amp;" as "&amp;F168&amp;" FROM "&amp;C168&amp;" WHERE "&amp;Instruções!$D$20&amp;") A ",
"(SELECT "&amp;VLOOKUP(B168,Instruções!$F$13:$J$17,4,0)&amp;" as "&amp;VLOOKUP(B168,Instruções!$F$13:$J$17,4,0)&amp;"_"&amp;$F$2&amp;", "&amp;VLOOKUP(B168,Instruções!$F$13:$J$17,5,0)&amp;" as "&amp;VLOOKUP(B168,Instruções!$F$13:$J$17,5,0)&amp;"_"&amp;$F$2&amp;","&amp;E168&amp;" as "&amp;F168&amp;" FROM "&amp;C168&amp;" WHERE "&amp;Instruções!$D$20&amp;") A ")</f>
        <v xml:space="preserve">(SELECT instrmnt_id as instrmnt_id_as_is, dt_prfrmng_stts as dt_prfrmng_stts_as_is FROM cd_loan_tapes_bce.lt002_instrument WHERE ref_date='2024-09-30' AND nome_perimetro='Individual Corporativo' AND segmento='ESTR' AND ambito='PM' AND entidade='00100' ) A </v>
      </c>
      <c r="I168" s="17" t="str">
        <f>IF(VLOOKUP(B168,Instruções!$F$13:$J$17,5,0)="",
"(SELECT "&amp;VLOOKUP(B168,Instruções!$F$13:$J$17,4,0)&amp;" as "&amp;VLOOKUP(B168,Instruções!$F$13:$J$17,4,0)&amp;"_"&amp;$G$2&amp;", "&amp;E168&amp;" as "&amp;G168&amp;" FROM "&amp;D168&amp;" WHERE "&amp;Instruções!$D$21&amp;") B ",
"(SELECT "&amp;VLOOKUP(B168,Instruções!$F$13:$J$17,4,0)&amp;" as "&amp;VLOOKUP(B168,Instruções!$F$13:$J$17,4,0)&amp;"_"&amp;$G$2&amp;", "&amp;VLOOKUP(B168,Instruções!$F$13:$J$17,5,0)&amp;" as "&amp;VLOOKUP(B168,Instruções!$F$13:$J$17,5,0)&amp;"_"&amp;$G$2&amp;","&amp;E168&amp;" as "&amp;G168&amp;" FROM "&amp;D168&amp;" WHERE "&amp;Instruções!$D$21&amp;") B ")</f>
        <v xml:space="preserve">(SELECT instrmnt_id as instrmnt_id_to_be, dt_prfrmng_stts as dt_prfrmng_stts_to_be FROM bu_loantape_work.lt002_instrument WHERE ref_date='2024-09-30' AND nome_perimetro='Individual Corporativo' AND segmento='ESTR' AND ambito='PM' AND entidade='00100' ) B </v>
      </c>
      <c r="J168" s="17" t="str">
        <f>IF(VLOOKUP(B168,Instruções!$F$13:$J$17,5,0)="",
"ON "&amp;VLOOKUP(B168,Instruções!$F$13:$J$17,4,0)&amp;"_"&amp;$F$2&amp;" = "&amp;VLOOKUP(B168,Instruções!$F$13:$J$17,4,0)&amp;"_"&amp;$G$2&amp;" ",
"ON "&amp;VLOOKUP(B168,Instruções!$F$13:$J$17,4,0)&amp;"_"&amp;$F$2&amp;" = "&amp;VLOOKUP(B168,Instruções!$F$13:$J$17,4,0)&amp;"_"&amp;$G$2&amp;" AND "&amp;VLOOKUP(B168,Instruções!$F$13:$J$17,5,0)&amp;"_"&amp;$F$2&amp;" = "&amp;VLOOKUP(B168,Instruções!$F$13:$J$17,5,0)&amp;"_"&amp;$G$2&amp;" ")</f>
        <v xml:space="preserve">ON instrmnt_id_as_is = instrmnt_id_to_be </v>
      </c>
      <c r="K168" s="17" t="str">
        <f t="shared" si="20"/>
        <v xml:space="preserve">WHERE coalesce(cast(dt_prfrmng_stts_as_is as string), '') &lt;&gt; coalesce(cast(dt_prfrmng_stts_to_be as string), '') </v>
      </c>
      <c r="L168" s="17" t="str">
        <f t="shared" si="21"/>
        <v xml:space="preserve">SELECT count(*) AS NUM_REG_DIF FROM (SELECT instrmnt_id as instrmnt_id_as_is, dt_prfrmng_stts as dt_prfrmng_stts_as_is FROM cd_loan_tapes_bce.lt002_instrument WHERE ref_date='2024-09-30' AND nome_perimetro='Individual Corporativo' AND segmento='ESTR' AND ambito='PM' AND entidade='00100' ) A  Inner join (SELECT instrmnt_id as instrmnt_id_to_be, dt_prfrmng_stts as dt_prfrmng_stts_to_be FROM bu_loantape_work.lt002_instrument WHERE ref_date='2024-09-30' AND nome_perimetro='Individual Corporativo' AND segmento='ESTR' AND ambito='PM' AND entidade='00100' ) B ON instrmnt_id_as_is = instrmnt_id_to_be WHERE coalesce(cast(dt_prfrmng_stts_as_is as string), '') &lt;&gt; coalesce(cast(dt_prfrmng_stts_to_be as string), '') </v>
      </c>
      <c r="M168" s="17" t="s">
        <v>55</v>
      </c>
      <c r="N168" s="17" t="str">
        <f>"SELECT 'Validação de campos' as tipologia_teste, '"&amp;VLOOKUP(B168,Instruções!$F$13:$J$17,3,0)&amp;"' AS TABELA, '"&amp;E168&amp;"' AS CAMPO, '"&amp;Instruções!$D$15&amp;"' as ref_date, coalesce(NUM_REG_DIF, 0) AS NUM_REG_DIF FROM ("&amp;L168&amp;") A "</f>
        <v xml:space="preserve">SELECT 'Validação de campos' as tipologia_teste, 'lt002_instrument' AS TABELA, 'dt_prfrmng_stts' AS CAMPO, '2024-09-30' as ref_date, coalesce(NUM_REG_DIF, 0) AS NUM_REG_DIF FROM (SELECT count(*) AS NUM_REG_DIF FROM (SELECT instrmnt_id as instrmnt_id_as_is, dt_prfrmng_stts as dt_prfrmng_stts_as_is FROM cd_loan_tapes_bce.lt002_instrument WHERE ref_date='2024-09-30' AND nome_perimetro='Individual Corporativo' AND segmento='ESTR' AND ambito='PM' AND entidade='00100' ) A  Inner join (SELECT instrmnt_id as instrmnt_id_to_be, dt_prfrmng_stts as dt_prfrmng_stts_to_be FROM bu_loantape_work.lt002_instrument WHERE ref_date='2024-09-30' AND nome_perimetro='Individual Corporativo' AND segmento='ESTR' AND ambito='PM' AND entidade='00100' ) B ON instrmnt_id_as_is = instrmnt_id_to_be WHERE coalesce(cast(dt_prfrmng_stts_as_is as string), '') &lt;&gt; coalesce(cast(dt_prfrmng_stts_to_be as string), '') ) A </v>
      </c>
      <c r="O168" s="19" t="str">
        <f t="shared" si="23"/>
        <v>SELECT 'Validação de campos' as tipologia_teste, 'lt002_instrument' AS TABELA, 'dt_prfrmng_stts' AS CAMPO, '2024-09-30' as ref_date, coalesce(NUM_REG_DIF, 0) AS NUM_REG_DIF FROM (SELECT count(*) AS NUM_REG_DIF FROM (SELECT instrmnt_id as instrmnt_id_as_is, dt_prfrmng_stts as dt_prfrmng_stts_as_is FROM cd_loan_tapes_bce.lt002_instrument WHERE ref_date='2024-09-30' AND nome_perimetro='Individual Corporativo' AND segmento='ESTR' AND ambito='PM' AND entidade='00100' ) A  Inner join (SELECT instrmnt_id as instrmnt_id_to_be, dt_prfrmng_stts as dt_prfrmng_stts_to_be FROM bu_loantape_work.lt002_instrument WHERE ref_date='2024-09-30' AND nome_perimetro='Individual Corporativo' AND segmento='ESTR' AND ambito='PM' AND entidade='00100' ) B ON instrmnt_id_as_is = instrmnt_id_to_be WHERE coalesce(cast(dt_prfrmng_stts_as_is as string), '') &lt;&gt; coalesce(cast(dt_prfrmng_stts_to_be as string), '') ) A UNION ALL</v>
      </c>
      <c r="P168" s="17">
        <f t="shared" si="22"/>
        <v>14</v>
      </c>
    </row>
    <row r="169" spans="2:16" s="15" customFormat="1" ht="11.45">
      <c r="B169" s="17" t="s">
        <v>26</v>
      </c>
      <c r="C169" s="17" t="str">
        <f>_xlfn.CONCAT(Instruções!$D$13,".",VLOOKUP(B169,Instruções!$F$12:$H$17,2,0))</f>
        <v>cd_loan_tapes_bce.lt002_instrument</v>
      </c>
      <c r="D169" s="17" t="str">
        <f>_xlfn.CONCAT(Instruções!$D$14,".",VLOOKUP(B169,Instruções!$F$12:$H$17,3,0))</f>
        <v>bu_loantape_work.lt002_instrument</v>
      </c>
      <c r="E169" s="17" t="s">
        <v>222</v>
      </c>
      <c r="F169" s="17" t="str">
        <f t="shared" si="18"/>
        <v>dt_prfrmng_stts_prvs_as_is</v>
      </c>
      <c r="G169" s="17" t="str">
        <f t="shared" si="19"/>
        <v>dt_prfrmng_stts_prvs_to_be</v>
      </c>
      <c r="H169" s="17" t="str">
        <f>IF(VLOOKUP(B169,Instruções!$F$13:$J$17,5,0)="",
"(SELECT "&amp;VLOOKUP(B169,Instruções!$F$13:$J$17,4,0)&amp;" as "&amp;VLOOKUP(B169,Instruções!$F$13:$J$17,4,0)&amp;"_"&amp;$F$2&amp;", "&amp;E169&amp;" as "&amp;F169&amp;" FROM "&amp;C169&amp;" WHERE "&amp;Instruções!$D$20&amp;") A ",
"(SELECT "&amp;VLOOKUP(B169,Instruções!$F$13:$J$17,4,0)&amp;" as "&amp;VLOOKUP(B169,Instruções!$F$13:$J$17,4,0)&amp;"_"&amp;$F$2&amp;", "&amp;VLOOKUP(B169,Instruções!$F$13:$J$17,5,0)&amp;" as "&amp;VLOOKUP(B169,Instruções!$F$13:$J$17,5,0)&amp;"_"&amp;$F$2&amp;","&amp;E169&amp;" as "&amp;F169&amp;" FROM "&amp;C169&amp;" WHERE "&amp;Instruções!$D$20&amp;") A ")</f>
        <v xml:space="preserve">(SELECT instrmnt_id as instrmnt_id_as_is, dt_prfrmng_stts_prvs as dt_prfrmng_stts_prvs_as_is FROM cd_loan_tapes_bce.lt002_instrument WHERE ref_date='2024-09-30' AND nome_perimetro='Individual Corporativo' AND segmento='ESTR' AND ambito='PM' AND entidade='00100' ) A </v>
      </c>
      <c r="I169" s="17" t="str">
        <f>IF(VLOOKUP(B169,Instruções!$F$13:$J$17,5,0)="",
"(SELECT "&amp;VLOOKUP(B169,Instruções!$F$13:$J$17,4,0)&amp;" as "&amp;VLOOKUP(B169,Instruções!$F$13:$J$17,4,0)&amp;"_"&amp;$G$2&amp;", "&amp;E169&amp;" as "&amp;G169&amp;" FROM "&amp;D169&amp;" WHERE "&amp;Instruções!$D$21&amp;") B ",
"(SELECT "&amp;VLOOKUP(B169,Instruções!$F$13:$J$17,4,0)&amp;" as "&amp;VLOOKUP(B169,Instruções!$F$13:$J$17,4,0)&amp;"_"&amp;$G$2&amp;", "&amp;VLOOKUP(B169,Instruções!$F$13:$J$17,5,0)&amp;" as "&amp;VLOOKUP(B169,Instruções!$F$13:$J$17,5,0)&amp;"_"&amp;$G$2&amp;","&amp;E169&amp;" as "&amp;G169&amp;" FROM "&amp;D169&amp;" WHERE "&amp;Instruções!$D$21&amp;") B ")</f>
        <v xml:space="preserve">(SELECT instrmnt_id as instrmnt_id_to_be, dt_prfrmng_stts_prvs as dt_prfrmng_stts_prvs_to_be FROM bu_loantape_work.lt002_instrument WHERE ref_date='2024-09-30' AND nome_perimetro='Individual Corporativo' AND segmento='ESTR' AND ambito='PM' AND entidade='00100' ) B </v>
      </c>
      <c r="J169" s="17" t="str">
        <f>IF(VLOOKUP(B169,Instruções!$F$13:$J$17,5,0)="",
"ON "&amp;VLOOKUP(B169,Instruções!$F$13:$J$17,4,0)&amp;"_"&amp;$F$2&amp;" = "&amp;VLOOKUP(B169,Instruções!$F$13:$J$17,4,0)&amp;"_"&amp;$G$2&amp;" ",
"ON "&amp;VLOOKUP(B169,Instruções!$F$13:$J$17,4,0)&amp;"_"&amp;$F$2&amp;" = "&amp;VLOOKUP(B169,Instruções!$F$13:$J$17,4,0)&amp;"_"&amp;$G$2&amp;" AND "&amp;VLOOKUP(B169,Instruções!$F$13:$J$17,5,0)&amp;"_"&amp;$F$2&amp;" = "&amp;VLOOKUP(B169,Instruções!$F$13:$J$17,5,0)&amp;"_"&amp;$G$2&amp;" ")</f>
        <v xml:space="preserve">ON instrmnt_id_as_is = instrmnt_id_to_be </v>
      </c>
      <c r="K169" s="17" t="str">
        <f t="shared" si="20"/>
        <v xml:space="preserve">WHERE coalesce(cast(dt_prfrmng_stts_prvs_as_is as string), '') &lt;&gt; coalesce(cast(dt_prfrmng_stts_prvs_to_be as string), '') </v>
      </c>
      <c r="L169" s="17" t="str">
        <f t="shared" si="21"/>
        <v xml:space="preserve">SELECT count(*) AS NUM_REG_DIF FROM (SELECT instrmnt_id as instrmnt_id_as_is, dt_prfrmng_stts_prvs as dt_prfrmng_stts_prvs_as_is FROM cd_loan_tapes_bce.lt002_instrument WHERE ref_date='2024-09-30' AND nome_perimetro='Individual Corporativo' AND segmento='ESTR' AND ambito='PM' AND entidade='00100' ) A  Inner join (SELECT instrmnt_id as instrmnt_id_to_be, dt_prfrmng_stts_prvs as dt_prfrmng_stts_prvs_to_be FROM bu_loantape_work.lt002_instrument WHERE ref_date='2024-09-30' AND nome_perimetro='Individual Corporativo' AND segmento='ESTR' AND ambito='PM' AND entidade='00100' ) B ON instrmnt_id_as_is = instrmnt_id_to_be WHERE coalesce(cast(dt_prfrmng_stts_prvs_as_is as string), '') &lt;&gt; coalesce(cast(dt_prfrmng_stts_prvs_to_be as string), '') </v>
      </c>
      <c r="M169" s="17" t="s">
        <v>55</v>
      </c>
      <c r="N169" s="17" t="str">
        <f>"SELECT 'Validação de campos' as tipologia_teste, '"&amp;VLOOKUP(B169,Instruções!$F$13:$J$17,3,0)&amp;"' AS TABELA, '"&amp;E169&amp;"' AS CAMPO, '"&amp;Instruções!$D$15&amp;"' as ref_date, coalesce(NUM_REG_DIF, 0) AS NUM_REG_DIF FROM ("&amp;L169&amp;") A "</f>
        <v xml:space="preserve">SELECT 'Validação de campos' as tipologia_teste, 'lt002_instrument' AS TABELA, 'dt_prfrmng_stts_prvs' AS CAMPO, '2024-09-30' as ref_date, coalesce(NUM_REG_DIF, 0) AS NUM_REG_DIF FROM (SELECT count(*) AS NUM_REG_DIF FROM (SELECT instrmnt_id as instrmnt_id_as_is, dt_prfrmng_stts_prvs as dt_prfrmng_stts_prvs_as_is FROM cd_loan_tapes_bce.lt002_instrument WHERE ref_date='2024-09-30' AND nome_perimetro='Individual Corporativo' AND segmento='ESTR' AND ambito='PM' AND entidade='00100' ) A  Inner join (SELECT instrmnt_id as instrmnt_id_to_be, dt_prfrmng_stts_prvs as dt_prfrmng_stts_prvs_to_be FROM bu_loantape_work.lt002_instrument WHERE ref_date='2024-09-30' AND nome_perimetro='Individual Corporativo' AND segmento='ESTR' AND ambito='PM' AND entidade='00100' ) B ON instrmnt_id_as_is = instrmnt_id_to_be WHERE coalesce(cast(dt_prfrmng_stts_prvs_as_is as string), '') &lt;&gt; coalesce(cast(dt_prfrmng_stts_prvs_to_be as string), '') ) A </v>
      </c>
      <c r="O169" s="19" t="str">
        <f t="shared" si="23"/>
        <v>SELECT 'Validação de campos' as tipologia_teste, 'lt002_instrument' AS TABELA, 'dt_prfrmng_stts_prvs' AS CAMPO, '2024-09-30' as ref_date, coalesce(NUM_REG_DIF, 0) AS NUM_REG_DIF FROM (SELECT count(*) AS NUM_REG_DIF FROM (SELECT instrmnt_id as instrmnt_id_as_is, dt_prfrmng_stts_prvs as dt_prfrmng_stts_prvs_as_is FROM cd_loan_tapes_bce.lt002_instrument WHERE ref_date='2024-09-30' AND nome_perimetro='Individual Corporativo' AND segmento='ESTR' AND ambito='PM' AND entidade='00100' ) A  Inner join (SELECT instrmnt_id as instrmnt_id_to_be, dt_prfrmng_stts_prvs as dt_prfrmng_stts_prvs_to_be FROM bu_loantape_work.lt002_instrument WHERE ref_date='2024-09-30' AND nome_perimetro='Individual Corporativo' AND segmento='ESTR' AND ambito='PM' AND entidade='00100' ) B ON instrmnt_id_as_is = instrmnt_id_to_be WHERE coalesce(cast(dt_prfrmng_stts_prvs_as_is as string), '') &lt;&gt; coalesce(cast(dt_prfrmng_stts_prvs_to_be as string), '') ) A UNION ALL</v>
      </c>
      <c r="P169" s="17">
        <f t="shared" si="22"/>
        <v>15</v>
      </c>
    </row>
    <row r="170" spans="2:16" s="15" customFormat="1" ht="11.45">
      <c r="B170" s="17" t="s">
        <v>26</v>
      </c>
      <c r="C170" s="17" t="str">
        <f>_xlfn.CONCAT(Instruções!$D$13,".",VLOOKUP(B170,Instruções!$F$12:$H$17,2,0))</f>
        <v>cd_loan_tapes_bce.lt002_instrument</v>
      </c>
      <c r="D170" s="17" t="str">
        <f>_xlfn.CONCAT(Instruções!$D$14,".",VLOOKUP(B170,Instruções!$F$12:$H$17,3,0))</f>
        <v>bu_loantape_work.lt002_instrument</v>
      </c>
      <c r="E170" s="17" t="s">
        <v>350</v>
      </c>
      <c r="F170" s="17" t="str">
        <f t="shared" si="18"/>
        <v>typ_mrtgg_as_is</v>
      </c>
      <c r="G170" s="17" t="str">
        <f t="shared" si="19"/>
        <v>typ_mrtgg_to_be</v>
      </c>
      <c r="H170" s="17" t="str">
        <f>IF(VLOOKUP(B170,Instruções!$F$13:$J$17,5,0)="",
"(SELECT "&amp;VLOOKUP(B170,Instruções!$F$13:$J$17,4,0)&amp;" as "&amp;VLOOKUP(B170,Instruções!$F$13:$J$17,4,0)&amp;"_"&amp;$F$2&amp;", "&amp;E170&amp;" as "&amp;F170&amp;" FROM "&amp;C170&amp;" WHERE "&amp;Instruções!$D$20&amp;") A ",
"(SELECT "&amp;VLOOKUP(B170,Instruções!$F$13:$J$17,4,0)&amp;" as "&amp;VLOOKUP(B170,Instruções!$F$13:$J$17,4,0)&amp;"_"&amp;$F$2&amp;", "&amp;VLOOKUP(B170,Instruções!$F$13:$J$17,5,0)&amp;" as "&amp;VLOOKUP(B170,Instruções!$F$13:$J$17,5,0)&amp;"_"&amp;$F$2&amp;","&amp;E170&amp;" as "&amp;F170&amp;" FROM "&amp;C170&amp;" WHERE "&amp;Instruções!$D$20&amp;") A ")</f>
        <v xml:space="preserve">(SELECT instrmnt_id as instrmnt_id_as_is, typ_mrtgg as typ_mrtgg_as_is FROM cd_loan_tapes_bce.lt002_instrument WHERE ref_date='2024-09-30' AND nome_perimetro='Individual Corporativo' AND segmento='ESTR' AND ambito='PM' AND entidade='00100' ) A </v>
      </c>
      <c r="I170" s="17" t="str">
        <f>IF(VLOOKUP(B170,Instruções!$F$13:$J$17,5,0)="",
"(SELECT "&amp;VLOOKUP(B170,Instruções!$F$13:$J$17,4,0)&amp;" as "&amp;VLOOKUP(B170,Instruções!$F$13:$J$17,4,0)&amp;"_"&amp;$G$2&amp;", "&amp;E170&amp;" as "&amp;G170&amp;" FROM "&amp;D170&amp;" WHERE "&amp;Instruções!$D$21&amp;") B ",
"(SELECT "&amp;VLOOKUP(B170,Instruções!$F$13:$J$17,4,0)&amp;" as "&amp;VLOOKUP(B170,Instruções!$F$13:$J$17,4,0)&amp;"_"&amp;$G$2&amp;", "&amp;VLOOKUP(B170,Instruções!$F$13:$J$17,5,0)&amp;" as "&amp;VLOOKUP(B170,Instruções!$F$13:$J$17,5,0)&amp;"_"&amp;$G$2&amp;","&amp;E170&amp;" as "&amp;G170&amp;" FROM "&amp;D170&amp;" WHERE "&amp;Instruções!$D$21&amp;") B ")</f>
        <v xml:space="preserve">(SELECT instrmnt_id as instrmnt_id_to_be, typ_mrtgg as typ_mrtgg_to_be FROM bu_loantape_work.lt002_instrument WHERE ref_date='2024-09-30' AND nome_perimetro='Individual Corporativo' AND segmento='ESTR' AND ambito='PM' AND entidade='00100' ) B </v>
      </c>
      <c r="J170" s="17" t="str">
        <f>IF(VLOOKUP(B170,Instruções!$F$13:$J$17,5,0)="",
"ON "&amp;VLOOKUP(B170,Instruções!$F$13:$J$17,4,0)&amp;"_"&amp;$F$2&amp;" = "&amp;VLOOKUP(B170,Instruções!$F$13:$J$17,4,0)&amp;"_"&amp;$G$2&amp;" ",
"ON "&amp;VLOOKUP(B170,Instruções!$F$13:$J$17,4,0)&amp;"_"&amp;$F$2&amp;" = "&amp;VLOOKUP(B170,Instruções!$F$13:$J$17,4,0)&amp;"_"&amp;$G$2&amp;" AND "&amp;VLOOKUP(B170,Instruções!$F$13:$J$17,5,0)&amp;"_"&amp;$F$2&amp;" = "&amp;VLOOKUP(B170,Instruções!$F$13:$J$17,5,0)&amp;"_"&amp;$G$2&amp;" ")</f>
        <v xml:space="preserve">ON instrmnt_id_as_is = instrmnt_id_to_be </v>
      </c>
      <c r="K170" s="17" t="str">
        <f t="shared" si="20"/>
        <v xml:space="preserve">WHERE coalesce(cast(typ_mrtgg_as_is as string), '') &lt;&gt; coalesce(cast(typ_mrtgg_to_be as string), '') </v>
      </c>
      <c r="L170" s="17" t="str">
        <f t="shared" si="21"/>
        <v xml:space="preserve">SELECT count(*) AS NUM_REG_DIF FROM (SELECT instrmnt_id as instrmnt_id_as_is, typ_mrtgg as typ_mrtgg_as_is FROM cd_loan_tapes_bce.lt002_instrument WHERE ref_date='2024-09-30' AND nome_perimetro='Individual Corporativo' AND segmento='ESTR' AND ambito='PM' AND entidade='00100' ) A  Inner join (SELECT instrmnt_id as instrmnt_id_to_be, typ_mrtgg as typ_mrtgg_to_be FROM bu_loantape_work.lt002_instrument WHERE ref_date='2024-09-30' AND nome_perimetro='Individual Corporativo' AND segmento='ESTR' AND ambito='PM' AND entidade='00100' ) B ON instrmnt_id_as_is = instrmnt_id_to_be WHERE coalesce(cast(typ_mrtgg_as_is as string), '') &lt;&gt; coalesce(cast(typ_mrtgg_to_be as string), '') </v>
      </c>
      <c r="M170" s="17" t="s">
        <v>55</v>
      </c>
      <c r="N170" s="17" t="str">
        <f>"SELECT 'Validação de campos' as tipologia_teste, '"&amp;VLOOKUP(B170,Instruções!$F$13:$J$17,3,0)&amp;"' AS TABELA, '"&amp;E170&amp;"' AS CAMPO, '"&amp;Instruções!$D$15&amp;"' as ref_date, coalesce(NUM_REG_DIF, 0) AS NUM_REG_DIF FROM ("&amp;L170&amp;") A "</f>
        <v xml:space="preserve">SELECT 'Validação de campos' as tipologia_teste, 'lt002_instrument' AS TABELA, 'typ_mrtgg' AS CAMPO, '2024-09-30' as ref_date, coalesce(NUM_REG_DIF, 0) AS NUM_REG_DIF FROM (SELECT count(*) AS NUM_REG_DIF FROM (SELECT instrmnt_id as instrmnt_id_as_is, typ_mrtgg as typ_mrtgg_as_is FROM cd_loan_tapes_bce.lt002_instrument WHERE ref_date='2024-09-30' AND nome_perimetro='Individual Corporativo' AND segmento='ESTR' AND ambito='PM' AND entidade='00100' ) A  Inner join (SELECT instrmnt_id as instrmnt_id_to_be, typ_mrtgg as typ_mrtgg_to_be FROM bu_loantape_work.lt002_instrument WHERE ref_date='2024-09-30' AND nome_perimetro='Individual Corporativo' AND segmento='ESTR' AND ambito='PM' AND entidade='00100' ) B ON instrmnt_id_as_is = instrmnt_id_to_be WHERE coalesce(cast(typ_mrtgg_as_is as string), '') &lt;&gt; coalesce(cast(typ_mrtgg_to_be as string), '') ) A </v>
      </c>
      <c r="O170" s="19" t="str">
        <f t="shared" si="23"/>
        <v>SELECT 'Validação de campos' as tipologia_teste, 'lt002_instrument' AS TABELA, 'typ_mrtgg' AS CAMPO, '2024-09-30' as ref_date, coalesce(NUM_REG_DIF, 0) AS NUM_REG_DIF FROM (SELECT count(*) AS NUM_REG_DIF FROM (SELECT instrmnt_id as instrmnt_id_as_is, typ_mrtgg as typ_mrtgg_as_is FROM cd_loan_tapes_bce.lt002_instrument WHERE ref_date='2024-09-30' AND nome_perimetro='Individual Corporativo' AND segmento='ESTR' AND ambito='PM' AND entidade='00100' ) A  Inner join (SELECT instrmnt_id as instrmnt_id_to_be, typ_mrtgg as typ_mrtgg_to_be FROM bu_loantape_work.lt002_instrument WHERE ref_date='2024-09-30' AND nome_perimetro='Individual Corporativo' AND segmento='ESTR' AND ambito='PM' AND entidade='00100' ) B ON instrmnt_id_as_is = instrmnt_id_to_be WHERE coalesce(cast(typ_mrtgg_as_is as string), '') &lt;&gt; coalesce(cast(typ_mrtgg_to_be as string), '') ) A UNION ALL</v>
      </c>
      <c r="P170" s="17">
        <f t="shared" si="22"/>
        <v>16</v>
      </c>
    </row>
    <row r="171" spans="2:16" s="15" customFormat="1" ht="11.45">
      <c r="B171" s="17" t="s">
        <v>26</v>
      </c>
      <c r="C171" s="17" t="str">
        <f>_xlfn.CONCAT(Instruções!$D$13,".",VLOOKUP(B171,Instruções!$F$12:$H$17,2,0))</f>
        <v>cd_loan_tapes_bce.lt002_instrument</v>
      </c>
      <c r="D171" s="17" t="str">
        <f>_xlfn.CONCAT(Instruções!$D$14,".",VLOOKUP(B171,Instruções!$F$12:$H$17,3,0))</f>
        <v>bu_loantape_work.lt002_instrument</v>
      </c>
      <c r="E171" s="17" t="s">
        <v>223</v>
      </c>
      <c r="F171" s="17" t="str">
        <f t="shared" si="18"/>
        <v>dt_pst_d_as_is</v>
      </c>
      <c r="G171" s="17" t="str">
        <f t="shared" si="19"/>
        <v>dt_pst_d_to_be</v>
      </c>
      <c r="H171" s="17" t="str">
        <f>IF(VLOOKUP(B171,Instruções!$F$13:$J$17,5,0)="",
"(SELECT "&amp;VLOOKUP(B171,Instruções!$F$13:$J$17,4,0)&amp;" as "&amp;VLOOKUP(B171,Instruções!$F$13:$J$17,4,0)&amp;"_"&amp;$F$2&amp;", "&amp;E171&amp;" as "&amp;F171&amp;" FROM "&amp;C171&amp;" WHERE "&amp;Instruções!$D$20&amp;") A ",
"(SELECT "&amp;VLOOKUP(B171,Instruções!$F$13:$J$17,4,0)&amp;" as "&amp;VLOOKUP(B171,Instruções!$F$13:$J$17,4,0)&amp;"_"&amp;$F$2&amp;", "&amp;VLOOKUP(B171,Instruções!$F$13:$J$17,5,0)&amp;" as "&amp;VLOOKUP(B171,Instruções!$F$13:$J$17,5,0)&amp;"_"&amp;$F$2&amp;","&amp;E171&amp;" as "&amp;F171&amp;" FROM "&amp;C171&amp;" WHERE "&amp;Instruções!$D$20&amp;") A ")</f>
        <v xml:space="preserve">(SELECT instrmnt_id as instrmnt_id_as_is, dt_pst_d as dt_pst_d_as_is FROM cd_loan_tapes_bce.lt002_instrument WHERE ref_date='2024-09-30' AND nome_perimetro='Individual Corporativo' AND segmento='ESTR' AND ambito='PM' AND entidade='00100' ) A </v>
      </c>
      <c r="I171" s="17" t="str">
        <f>IF(VLOOKUP(B171,Instruções!$F$13:$J$17,5,0)="",
"(SELECT "&amp;VLOOKUP(B171,Instruções!$F$13:$J$17,4,0)&amp;" as "&amp;VLOOKUP(B171,Instruções!$F$13:$J$17,4,0)&amp;"_"&amp;$G$2&amp;", "&amp;E171&amp;" as "&amp;G171&amp;" FROM "&amp;D171&amp;" WHERE "&amp;Instruções!$D$21&amp;") B ",
"(SELECT "&amp;VLOOKUP(B171,Instruções!$F$13:$J$17,4,0)&amp;" as "&amp;VLOOKUP(B171,Instruções!$F$13:$J$17,4,0)&amp;"_"&amp;$G$2&amp;", "&amp;VLOOKUP(B171,Instruções!$F$13:$J$17,5,0)&amp;" as "&amp;VLOOKUP(B171,Instruções!$F$13:$J$17,5,0)&amp;"_"&amp;$G$2&amp;","&amp;E171&amp;" as "&amp;G171&amp;" FROM "&amp;D171&amp;" WHERE "&amp;Instruções!$D$21&amp;") B ")</f>
        <v xml:space="preserve">(SELECT instrmnt_id as instrmnt_id_to_be, dt_pst_d as dt_pst_d_to_be FROM bu_loantape_work.lt002_instrument WHERE ref_date='2024-09-30' AND nome_perimetro='Individual Corporativo' AND segmento='ESTR' AND ambito='PM' AND entidade='00100' ) B </v>
      </c>
      <c r="J171" s="17" t="str">
        <f>IF(VLOOKUP(B171,Instruções!$F$13:$J$17,5,0)="",
"ON "&amp;VLOOKUP(B171,Instruções!$F$13:$J$17,4,0)&amp;"_"&amp;$F$2&amp;" = "&amp;VLOOKUP(B171,Instruções!$F$13:$J$17,4,0)&amp;"_"&amp;$G$2&amp;" ",
"ON "&amp;VLOOKUP(B171,Instruções!$F$13:$J$17,4,0)&amp;"_"&amp;$F$2&amp;" = "&amp;VLOOKUP(B171,Instruções!$F$13:$J$17,4,0)&amp;"_"&amp;$G$2&amp;" AND "&amp;VLOOKUP(B171,Instruções!$F$13:$J$17,5,0)&amp;"_"&amp;$F$2&amp;" = "&amp;VLOOKUP(B171,Instruções!$F$13:$J$17,5,0)&amp;"_"&amp;$G$2&amp;" ")</f>
        <v xml:space="preserve">ON instrmnt_id_as_is = instrmnt_id_to_be </v>
      </c>
      <c r="K171" s="17" t="str">
        <f t="shared" si="20"/>
        <v xml:space="preserve">WHERE coalesce(cast(dt_pst_d_as_is as string), '') &lt;&gt; coalesce(cast(dt_pst_d_to_be as string), '') </v>
      </c>
      <c r="L171" s="17" t="str">
        <f t="shared" si="21"/>
        <v xml:space="preserve">SELECT count(*) AS NUM_REG_DIF FROM (SELECT instrmnt_id as instrmnt_id_as_is, dt_pst_d as dt_pst_d_as_is FROM cd_loan_tapes_bce.lt002_instrument WHERE ref_date='2024-09-30' AND nome_perimetro='Individual Corporativo' AND segmento='ESTR' AND ambito='PM' AND entidade='00100' ) A  Inner join (SELECT instrmnt_id as instrmnt_id_to_be, dt_pst_d as dt_pst_d_to_be FROM bu_loantape_work.lt002_instrument WHERE ref_date='2024-09-30' AND nome_perimetro='Individual Corporativo' AND segmento='ESTR' AND ambito='PM' AND entidade='00100' ) B ON instrmnt_id_as_is = instrmnt_id_to_be WHERE coalesce(cast(dt_pst_d_as_is as string), '') &lt;&gt; coalesce(cast(dt_pst_d_to_be as string), '') </v>
      </c>
      <c r="M171" s="17" t="s">
        <v>55</v>
      </c>
      <c r="N171" s="17" t="str">
        <f>"SELECT 'Validação de campos' as tipologia_teste, '"&amp;VLOOKUP(B171,Instruções!$F$13:$J$17,3,0)&amp;"' AS TABELA, '"&amp;E171&amp;"' AS CAMPO, '"&amp;Instruções!$D$15&amp;"' as ref_date, coalesce(NUM_REG_DIF, 0) AS NUM_REG_DIF FROM ("&amp;L171&amp;") A "</f>
        <v xml:space="preserve">SELECT 'Validação de campos' as tipologia_teste, 'lt002_instrument' AS TABELA, 'dt_pst_d' AS CAMPO, '2024-09-30' as ref_date, coalesce(NUM_REG_DIF, 0) AS NUM_REG_DIF FROM (SELECT count(*) AS NUM_REG_DIF FROM (SELECT instrmnt_id as instrmnt_id_as_is, dt_pst_d as dt_pst_d_as_is FROM cd_loan_tapes_bce.lt002_instrument WHERE ref_date='2024-09-30' AND nome_perimetro='Individual Corporativo' AND segmento='ESTR' AND ambito='PM' AND entidade='00100' ) A  Inner join (SELECT instrmnt_id as instrmnt_id_to_be, dt_pst_d as dt_pst_d_to_be FROM bu_loantape_work.lt002_instrument WHERE ref_date='2024-09-30' AND nome_perimetro='Individual Corporativo' AND segmento='ESTR' AND ambito='PM' AND entidade='00100' ) B ON instrmnt_id_as_is = instrmnt_id_to_be WHERE coalesce(cast(dt_pst_d_as_is as string), '') &lt;&gt; coalesce(cast(dt_pst_d_to_be as string), '') ) A </v>
      </c>
      <c r="O171" s="19" t="str">
        <f t="shared" si="23"/>
        <v>SELECT 'Validação de campos' as tipologia_teste, 'lt002_instrument' AS TABELA, 'dt_pst_d' AS CAMPO, '2024-09-30' as ref_date, coalesce(NUM_REG_DIF, 0) AS NUM_REG_DIF FROM (SELECT count(*) AS NUM_REG_DIF FROM (SELECT instrmnt_id as instrmnt_id_as_is, dt_pst_d as dt_pst_d_as_is FROM cd_loan_tapes_bce.lt002_instrument WHERE ref_date='2024-09-30' AND nome_perimetro='Individual Corporativo' AND segmento='ESTR' AND ambito='PM' AND entidade='00100' ) A  Inner join (SELECT instrmnt_id as instrmnt_id_to_be, dt_pst_d as dt_pst_d_to_be FROM bu_loantape_work.lt002_instrument WHERE ref_date='2024-09-30' AND nome_perimetro='Individual Corporativo' AND segmento='ESTR' AND ambito='PM' AND entidade='00100' ) B ON instrmnt_id_as_is = instrmnt_id_to_be WHERE coalesce(cast(dt_pst_d_as_is as string), '') &lt;&gt; coalesce(cast(dt_pst_d_to_be as string), '') ) A UNION ALL</v>
      </c>
      <c r="P171" s="17">
        <f t="shared" si="22"/>
        <v>17</v>
      </c>
    </row>
    <row r="172" spans="2:16" s="15" customFormat="1" ht="11.45">
      <c r="B172" s="17" t="s">
        <v>26</v>
      </c>
      <c r="C172" s="17" t="str">
        <f>_xlfn.CONCAT(Instruções!$D$13,".",VLOOKUP(B172,Instruções!$F$12:$H$17,2,0))</f>
        <v>cd_loan_tapes_bce.lt002_instrument</v>
      </c>
      <c r="D172" s="17" t="str">
        <f>_xlfn.CONCAT(Instruções!$D$14,".",VLOOKUP(B172,Instruções!$F$12:$H$17,3,0))</f>
        <v>bu_loantape_work.lt002_instrument</v>
      </c>
      <c r="E172" s="17" t="s">
        <v>224</v>
      </c>
      <c r="F172" s="17" t="str">
        <f t="shared" si="18"/>
        <v>dt_strt_gp_ppal_as_is</v>
      </c>
      <c r="G172" s="17" t="str">
        <f t="shared" si="19"/>
        <v>dt_strt_gp_ppal_to_be</v>
      </c>
      <c r="H172" s="17" t="str">
        <f>IF(VLOOKUP(B172,Instruções!$F$13:$J$17,5,0)="",
"(SELECT "&amp;VLOOKUP(B172,Instruções!$F$13:$J$17,4,0)&amp;" as "&amp;VLOOKUP(B172,Instruções!$F$13:$J$17,4,0)&amp;"_"&amp;$F$2&amp;", "&amp;E172&amp;" as "&amp;F172&amp;" FROM "&amp;C172&amp;" WHERE "&amp;Instruções!$D$20&amp;") A ",
"(SELECT "&amp;VLOOKUP(B172,Instruções!$F$13:$J$17,4,0)&amp;" as "&amp;VLOOKUP(B172,Instruções!$F$13:$J$17,4,0)&amp;"_"&amp;$F$2&amp;", "&amp;VLOOKUP(B172,Instruções!$F$13:$J$17,5,0)&amp;" as "&amp;VLOOKUP(B172,Instruções!$F$13:$J$17,5,0)&amp;"_"&amp;$F$2&amp;","&amp;E172&amp;" as "&amp;F172&amp;" FROM "&amp;C172&amp;" WHERE "&amp;Instruções!$D$20&amp;") A ")</f>
        <v xml:space="preserve">(SELECT instrmnt_id as instrmnt_id_as_is, dt_strt_gp_ppal as dt_strt_gp_ppal_as_is FROM cd_loan_tapes_bce.lt002_instrument WHERE ref_date='2024-09-30' AND nome_perimetro='Individual Corporativo' AND segmento='ESTR' AND ambito='PM' AND entidade='00100' ) A </v>
      </c>
      <c r="I172" s="17" t="str">
        <f>IF(VLOOKUP(B172,Instruções!$F$13:$J$17,5,0)="",
"(SELECT "&amp;VLOOKUP(B172,Instruções!$F$13:$J$17,4,0)&amp;" as "&amp;VLOOKUP(B172,Instruções!$F$13:$J$17,4,0)&amp;"_"&amp;$G$2&amp;", "&amp;E172&amp;" as "&amp;G172&amp;" FROM "&amp;D172&amp;" WHERE "&amp;Instruções!$D$21&amp;") B ",
"(SELECT "&amp;VLOOKUP(B172,Instruções!$F$13:$J$17,4,0)&amp;" as "&amp;VLOOKUP(B172,Instruções!$F$13:$J$17,4,0)&amp;"_"&amp;$G$2&amp;", "&amp;VLOOKUP(B172,Instruções!$F$13:$J$17,5,0)&amp;" as "&amp;VLOOKUP(B172,Instruções!$F$13:$J$17,5,0)&amp;"_"&amp;$G$2&amp;","&amp;E172&amp;" as "&amp;G172&amp;" FROM "&amp;D172&amp;" WHERE "&amp;Instruções!$D$21&amp;") B ")</f>
        <v xml:space="preserve">(SELECT instrmnt_id as instrmnt_id_to_be, dt_strt_gp_ppal as dt_strt_gp_ppal_to_be FROM bu_loantape_work.lt002_instrument WHERE ref_date='2024-09-30' AND nome_perimetro='Individual Corporativo' AND segmento='ESTR' AND ambito='PM' AND entidade='00100' ) B </v>
      </c>
      <c r="J172" s="17" t="str">
        <f>IF(VLOOKUP(B172,Instruções!$F$13:$J$17,5,0)="",
"ON "&amp;VLOOKUP(B172,Instruções!$F$13:$J$17,4,0)&amp;"_"&amp;$F$2&amp;" = "&amp;VLOOKUP(B172,Instruções!$F$13:$J$17,4,0)&amp;"_"&amp;$G$2&amp;" ",
"ON "&amp;VLOOKUP(B172,Instruções!$F$13:$J$17,4,0)&amp;"_"&amp;$F$2&amp;" = "&amp;VLOOKUP(B172,Instruções!$F$13:$J$17,4,0)&amp;"_"&amp;$G$2&amp;" AND "&amp;VLOOKUP(B172,Instruções!$F$13:$J$17,5,0)&amp;"_"&amp;$F$2&amp;" = "&amp;VLOOKUP(B172,Instruções!$F$13:$J$17,5,0)&amp;"_"&amp;$G$2&amp;" ")</f>
        <v xml:space="preserve">ON instrmnt_id_as_is = instrmnt_id_to_be </v>
      </c>
      <c r="K172" s="17" t="str">
        <f t="shared" si="20"/>
        <v xml:space="preserve">WHERE coalesce(cast(dt_strt_gp_ppal_as_is as string), '') &lt;&gt; coalesce(cast(dt_strt_gp_ppal_to_be as string), '') </v>
      </c>
      <c r="L172" s="17" t="str">
        <f t="shared" si="21"/>
        <v xml:space="preserve">SELECT count(*) AS NUM_REG_DIF FROM (SELECT instrmnt_id as instrmnt_id_as_is, dt_strt_gp_ppal as dt_strt_gp_ppal_as_is FROM cd_loan_tapes_bce.lt002_instrument WHERE ref_date='2024-09-30' AND nome_perimetro='Individual Corporativo' AND segmento='ESTR' AND ambito='PM' AND entidade='00100' ) A  Inner join (SELECT instrmnt_id as instrmnt_id_to_be, dt_strt_gp_ppal as dt_strt_gp_ppal_to_be FROM bu_loantape_work.lt002_instrument WHERE ref_date='2024-09-30' AND nome_perimetro='Individual Corporativo' AND segmento='ESTR' AND ambito='PM' AND entidade='00100' ) B ON instrmnt_id_as_is = instrmnt_id_to_be WHERE coalesce(cast(dt_strt_gp_ppal_as_is as string), '') &lt;&gt; coalesce(cast(dt_strt_gp_ppal_to_be as string), '') </v>
      </c>
      <c r="M172" s="17" t="s">
        <v>55</v>
      </c>
      <c r="N172" s="17" t="str">
        <f>"SELECT 'Validação de campos' as tipologia_teste, '"&amp;VLOOKUP(B172,Instruções!$F$13:$J$17,3,0)&amp;"' AS TABELA, '"&amp;E172&amp;"' AS CAMPO, '"&amp;Instruções!$D$15&amp;"' as ref_date, coalesce(NUM_REG_DIF, 0) AS NUM_REG_DIF FROM ("&amp;L172&amp;") A "</f>
        <v xml:space="preserve">SELECT 'Validação de campos' as tipologia_teste, 'lt002_instrument' AS TABELA, 'dt_strt_gp_ppal' AS CAMPO, '2024-09-30' as ref_date, coalesce(NUM_REG_DIF, 0) AS NUM_REG_DIF FROM (SELECT count(*) AS NUM_REG_DIF FROM (SELECT instrmnt_id as instrmnt_id_as_is, dt_strt_gp_ppal as dt_strt_gp_ppal_as_is FROM cd_loan_tapes_bce.lt002_instrument WHERE ref_date='2024-09-30' AND nome_perimetro='Individual Corporativo' AND segmento='ESTR' AND ambito='PM' AND entidade='00100' ) A  Inner join (SELECT instrmnt_id as instrmnt_id_to_be, dt_strt_gp_ppal as dt_strt_gp_ppal_to_be FROM bu_loantape_work.lt002_instrument WHERE ref_date='2024-09-30' AND nome_perimetro='Individual Corporativo' AND segmento='ESTR' AND ambito='PM' AND entidade='00100' ) B ON instrmnt_id_as_is = instrmnt_id_to_be WHERE coalesce(cast(dt_strt_gp_ppal_as_is as string), '') &lt;&gt; coalesce(cast(dt_strt_gp_ppal_to_be as string), '') ) A </v>
      </c>
      <c r="O172" s="19" t="str">
        <f t="shared" si="23"/>
        <v>SELECT 'Validação de campos' as tipologia_teste, 'lt002_instrument' AS TABELA, 'dt_strt_gp_ppal' AS CAMPO, '2024-09-30' as ref_date, coalesce(NUM_REG_DIF, 0) AS NUM_REG_DIF FROM (SELECT count(*) AS NUM_REG_DIF FROM (SELECT instrmnt_id as instrmnt_id_as_is, dt_strt_gp_ppal as dt_strt_gp_ppal_as_is FROM cd_loan_tapes_bce.lt002_instrument WHERE ref_date='2024-09-30' AND nome_perimetro='Individual Corporativo' AND segmento='ESTR' AND ambito='PM' AND entidade='00100' ) A  Inner join (SELECT instrmnt_id as instrmnt_id_to_be, dt_strt_gp_ppal as dt_strt_gp_ppal_to_be FROM bu_loantape_work.lt002_instrument WHERE ref_date='2024-09-30' AND nome_perimetro='Individual Corporativo' AND segmento='ESTR' AND ambito='PM' AND entidade='00100' ) B ON instrmnt_id_as_is = instrmnt_id_to_be WHERE coalesce(cast(dt_strt_gp_ppal_as_is as string), '') &lt;&gt; coalesce(cast(dt_strt_gp_ppal_to_be as string), '') ) A UNION ALL</v>
      </c>
      <c r="P172" s="17">
        <f t="shared" si="22"/>
        <v>18</v>
      </c>
    </row>
    <row r="173" spans="2:16" s="15" customFormat="1" ht="11.45">
      <c r="B173" s="17" t="s">
        <v>26</v>
      </c>
      <c r="C173" s="17" t="str">
        <f>_xlfn.CONCAT(Instruções!$D$13,".",VLOOKUP(B173,Instruções!$F$12:$H$17,2,0))</f>
        <v>cd_loan_tapes_bce.lt002_instrument</v>
      </c>
      <c r="D173" s="17" t="str">
        <f>_xlfn.CONCAT(Instruções!$D$14,".",VLOOKUP(B173,Instruções!$F$12:$H$17,3,0))</f>
        <v>bu_loantape_work.lt002_instrument</v>
      </c>
      <c r="E173" s="17" t="s">
        <v>225</v>
      </c>
      <c r="F173" s="17" t="str">
        <f t="shared" si="18"/>
        <v>dt_strt_intrst_only_as_is</v>
      </c>
      <c r="G173" s="17" t="str">
        <f t="shared" si="19"/>
        <v>dt_strt_intrst_only_to_be</v>
      </c>
      <c r="H173" s="17" t="str">
        <f>IF(VLOOKUP(B173,Instruções!$F$13:$J$17,5,0)="",
"(SELECT "&amp;VLOOKUP(B173,Instruções!$F$13:$J$17,4,0)&amp;" as "&amp;VLOOKUP(B173,Instruções!$F$13:$J$17,4,0)&amp;"_"&amp;$F$2&amp;", "&amp;E173&amp;" as "&amp;F173&amp;" FROM "&amp;C173&amp;" WHERE "&amp;Instruções!$D$20&amp;") A ",
"(SELECT "&amp;VLOOKUP(B173,Instruções!$F$13:$J$17,4,0)&amp;" as "&amp;VLOOKUP(B173,Instruções!$F$13:$J$17,4,0)&amp;"_"&amp;$F$2&amp;", "&amp;VLOOKUP(B173,Instruções!$F$13:$J$17,5,0)&amp;" as "&amp;VLOOKUP(B173,Instruções!$F$13:$J$17,5,0)&amp;"_"&amp;$F$2&amp;","&amp;E173&amp;" as "&amp;F173&amp;" FROM "&amp;C173&amp;" WHERE "&amp;Instruções!$D$20&amp;") A ")</f>
        <v xml:space="preserve">(SELECT instrmnt_id as instrmnt_id_as_is, dt_strt_intrst_only as dt_strt_intrst_only_as_is FROM cd_loan_tapes_bce.lt002_instrument WHERE ref_date='2024-09-30' AND nome_perimetro='Individual Corporativo' AND segmento='ESTR' AND ambito='PM' AND entidade='00100' ) A </v>
      </c>
      <c r="I173" s="17" t="str">
        <f>IF(VLOOKUP(B173,Instruções!$F$13:$J$17,5,0)="",
"(SELECT "&amp;VLOOKUP(B173,Instruções!$F$13:$J$17,4,0)&amp;" as "&amp;VLOOKUP(B173,Instruções!$F$13:$J$17,4,0)&amp;"_"&amp;$G$2&amp;", "&amp;E173&amp;" as "&amp;G173&amp;" FROM "&amp;D173&amp;" WHERE "&amp;Instruções!$D$21&amp;") B ",
"(SELECT "&amp;VLOOKUP(B173,Instruções!$F$13:$J$17,4,0)&amp;" as "&amp;VLOOKUP(B173,Instruções!$F$13:$J$17,4,0)&amp;"_"&amp;$G$2&amp;", "&amp;VLOOKUP(B173,Instruções!$F$13:$J$17,5,0)&amp;" as "&amp;VLOOKUP(B173,Instruções!$F$13:$J$17,5,0)&amp;"_"&amp;$G$2&amp;","&amp;E173&amp;" as "&amp;G173&amp;" FROM "&amp;D173&amp;" WHERE "&amp;Instruções!$D$21&amp;") B ")</f>
        <v xml:space="preserve">(SELECT instrmnt_id as instrmnt_id_to_be, dt_strt_intrst_only as dt_strt_intrst_only_to_be FROM bu_loantape_work.lt002_instrument WHERE ref_date='2024-09-30' AND nome_perimetro='Individual Corporativo' AND segmento='ESTR' AND ambito='PM' AND entidade='00100' ) B </v>
      </c>
      <c r="J173" s="17" t="str">
        <f>IF(VLOOKUP(B173,Instruções!$F$13:$J$17,5,0)="",
"ON "&amp;VLOOKUP(B173,Instruções!$F$13:$J$17,4,0)&amp;"_"&amp;$F$2&amp;" = "&amp;VLOOKUP(B173,Instruções!$F$13:$J$17,4,0)&amp;"_"&amp;$G$2&amp;" ",
"ON "&amp;VLOOKUP(B173,Instruções!$F$13:$J$17,4,0)&amp;"_"&amp;$F$2&amp;" = "&amp;VLOOKUP(B173,Instruções!$F$13:$J$17,4,0)&amp;"_"&amp;$G$2&amp;" AND "&amp;VLOOKUP(B173,Instruções!$F$13:$J$17,5,0)&amp;"_"&amp;$F$2&amp;" = "&amp;VLOOKUP(B173,Instruções!$F$13:$J$17,5,0)&amp;"_"&amp;$G$2&amp;" ")</f>
        <v xml:space="preserve">ON instrmnt_id_as_is = instrmnt_id_to_be </v>
      </c>
      <c r="K173" s="17" t="str">
        <f t="shared" si="20"/>
        <v xml:space="preserve">WHERE coalesce(cast(dt_strt_intrst_only_as_is as string), '') &lt;&gt; coalesce(cast(dt_strt_intrst_only_to_be as string), '') </v>
      </c>
      <c r="L173" s="17" t="str">
        <f t="shared" si="21"/>
        <v xml:space="preserve">SELECT count(*) AS NUM_REG_DIF FROM (SELECT instrmnt_id as instrmnt_id_as_is, dt_strt_intrst_only as dt_strt_intrst_only_as_is FROM cd_loan_tapes_bce.lt002_instrument WHERE ref_date='2024-09-30' AND nome_perimetro='Individual Corporativo' AND segmento='ESTR' AND ambito='PM' AND entidade='00100' ) A  Inner join (SELECT instrmnt_id as instrmnt_id_to_be, dt_strt_intrst_only as dt_strt_intrst_only_to_be FROM bu_loantape_work.lt002_instrument WHERE ref_date='2024-09-30' AND nome_perimetro='Individual Corporativo' AND segmento='ESTR' AND ambito='PM' AND entidade='00100' ) B ON instrmnt_id_as_is = instrmnt_id_to_be WHERE coalesce(cast(dt_strt_intrst_only_as_is as string), '') &lt;&gt; coalesce(cast(dt_strt_intrst_only_to_be as string), '') </v>
      </c>
      <c r="M173" s="17" t="s">
        <v>55</v>
      </c>
      <c r="N173" s="17" t="str">
        <f>"SELECT 'Validação de campos' as tipologia_teste, '"&amp;VLOOKUP(B173,Instruções!$F$13:$J$17,3,0)&amp;"' AS TABELA, '"&amp;E173&amp;"' AS CAMPO, '"&amp;Instruções!$D$15&amp;"' as ref_date, coalesce(NUM_REG_DIF, 0) AS NUM_REG_DIF FROM ("&amp;L173&amp;") A "</f>
        <v xml:space="preserve">SELECT 'Validação de campos' as tipologia_teste, 'lt002_instrument' AS TABELA, 'dt_strt_intrst_only' AS CAMPO, '2024-09-30' as ref_date, coalesce(NUM_REG_DIF, 0) AS NUM_REG_DIF FROM (SELECT count(*) AS NUM_REG_DIF FROM (SELECT instrmnt_id as instrmnt_id_as_is, dt_strt_intrst_only as dt_strt_intrst_only_as_is FROM cd_loan_tapes_bce.lt002_instrument WHERE ref_date='2024-09-30' AND nome_perimetro='Individual Corporativo' AND segmento='ESTR' AND ambito='PM' AND entidade='00100' ) A  Inner join (SELECT instrmnt_id as instrmnt_id_to_be, dt_strt_intrst_only as dt_strt_intrst_only_to_be FROM bu_loantape_work.lt002_instrument WHERE ref_date='2024-09-30' AND nome_perimetro='Individual Corporativo' AND segmento='ESTR' AND ambito='PM' AND entidade='00100' ) B ON instrmnt_id_as_is = instrmnt_id_to_be WHERE coalesce(cast(dt_strt_intrst_only_as_is as string), '') &lt;&gt; coalesce(cast(dt_strt_intrst_only_to_be as string), '') ) A </v>
      </c>
      <c r="O173" s="19" t="str">
        <f t="shared" si="23"/>
        <v>SELECT 'Validação de campos' as tipologia_teste, 'lt002_instrument' AS TABELA, 'dt_strt_intrst_only' AS CAMPO, '2024-09-30' as ref_date, coalesce(NUM_REG_DIF, 0) AS NUM_REG_DIF FROM (SELECT count(*) AS NUM_REG_DIF FROM (SELECT instrmnt_id as instrmnt_id_as_is, dt_strt_intrst_only as dt_strt_intrst_only_as_is FROM cd_loan_tapes_bce.lt002_instrument WHERE ref_date='2024-09-30' AND nome_perimetro='Individual Corporativo' AND segmento='ESTR' AND ambito='PM' AND entidade='00100' ) A  Inner join (SELECT instrmnt_id as instrmnt_id_to_be, dt_strt_intrst_only as dt_strt_intrst_only_to_be FROM bu_loantape_work.lt002_instrument WHERE ref_date='2024-09-30' AND nome_perimetro='Individual Corporativo' AND segmento='ESTR' AND ambito='PM' AND entidade='00100' ) B ON instrmnt_id_as_is = instrmnt_id_to_be WHERE coalesce(cast(dt_strt_intrst_only_as_is as string), '') &lt;&gt; coalesce(cast(dt_strt_intrst_only_to_be as string), '') ) A UNION ALL</v>
      </c>
      <c r="P173" s="17">
        <f t="shared" si="22"/>
        <v>19</v>
      </c>
    </row>
    <row r="174" spans="2:16" s="15" customFormat="1" ht="11.45">
      <c r="B174" s="17" t="s">
        <v>26</v>
      </c>
      <c r="C174" s="17" t="str">
        <f>_xlfn.CONCAT(Instruções!$D$13,".",VLOOKUP(B174,Instruções!$F$12:$H$17,2,0))</f>
        <v>cd_loan_tapes_bce.lt002_instrument</v>
      </c>
      <c r="D174" s="17" t="str">
        <f>_xlfn.CONCAT(Instruções!$D$14,".",VLOOKUP(B174,Instruções!$F$12:$H$17,3,0))</f>
        <v>bu_loantape_work.lt002_instrument</v>
      </c>
      <c r="E174" s="17" t="s">
        <v>226</v>
      </c>
      <c r="F174" s="17" t="str">
        <f t="shared" si="18"/>
        <v>dt_vltn_as_is</v>
      </c>
      <c r="G174" s="17" t="str">
        <f t="shared" si="19"/>
        <v>dt_vltn_to_be</v>
      </c>
      <c r="H174" s="17" t="str">
        <f>IF(VLOOKUP(B174,Instruções!$F$13:$J$17,5,0)="",
"(SELECT "&amp;VLOOKUP(B174,Instruções!$F$13:$J$17,4,0)&amp;" as "&amp;VLOOKUP(B174,Instruções!$F$13:$J$17,4,0)&amp;"_"&amp;$F$2&amp;", "&amp;E174&amp;" as "&amp;F174&amp;" FROM "&amp;C174&amp;" WHERE "&amp;Instruções!$D$20&amp;") A ",
"(SELECT "&amp;VLOOKUP(B174,Instruções!$F$13:$J$17,4,0)&amp;" as "&amp;VLOOKUP(B174,Instruções!$F$13:$J$17,4,0)&amp;"_"&amp;$F$2&amp;", "&amp;VLOOKUP(B174,Instruções!$F$13:$J$17,5,0)&amp;" as "&amp;VLOOKUP(B174,Instruções!$F$13:$J$17,5,0)&amp;"_"&amp;$F$2&amp;","&amp;E174&amp;" as "&amp;F174&amp;" FROM "&amp;C174&amp;" WHERE "&amp;Instruções!$D$20&amp;") A ")</f>
        <v xml:space="preserve">(SELECT instrmnt_id as instrmnt_id_as_is, dt_vltn as dt_vltn_as_is FROM cd_loan_tapes_bce.lt002_instrument WHERE ref_date='2024-09-30' AND nome_perimetro='Individual Corporativo' AND segmento='ESTR' AND ambito='PM' AND entidade='00100' ) A </v>
      </c>
      <c r="I174" s="17" t="str">
        <f>IF(VLOOKUP(B174,Instruções!$F$13:$J$17,5,0)="",
"(SELECT "&amp;VLOOKUP(B174,Instruções!$F$13:$J$17,4,0)&amp;" as "&amp;VLOOKUP(B174,Instruções!$F$13:$J$17,4,0)&amp;"_"&amp;$G$2&amp;", "&amp;E174&amp;" as "&amp;G174&amp;" FROM "&amp;D174&amp;" WHERE "&amp;Instruções!$D$21&amp;") B ",
"(SELECT "&amp;VLOOKUP(B174,Instruções!$F$13:$J$17,4,0)&amp;" as "&amp;VLOOKUP(B174,Instruções!$F$13:$J$17,4,0)&amp;"_"&amp;$G$2&amp;", "&amp;VLOOKUP(B174,Instruções!$F$13:$J$17,5,0)&amp;" as "&amp;VLOOKUP(B174,Instruções!$F$13:$J$17,5,0)&amp;"_"&amp;$G$2&amp;","&amp;E174&amp;" as "&amp;G174&amp;" FROM "&amp;D174&amp;" WHERE "&amp;Instruções!$D$21&amp;") B ")</f>
        <v xml:space="preserve">(SELECT instrmnt_id as instrmnt_id_to_be, dt_vltn as dt_vltn_to_be FROM bu_loantape_work.lt002_instrument WHERE ref_date='2024-09-30' AND nome_perimetro='Individual Corporativo' AND segmento='ESTR' AND ambito='PM' AND entidade='00100' ) B </v>
      </c>
      <c r="J174" s="17" t="str">
        <f>IF(VLOOKUP(B174,Instruções!$F$13:$J$17,5,0)="",
"ON "&amp;VLOOKUP(B174,Instruções!$F$13:$J$17,4,0)&amp;"_"&amp;$F$2&amp;" = "&amp;VLOOKUP(B174,Instruções!$F$13:$J$17,4,0)&amp;"_"&amp;$G$2&amp;" ",
"ON "&amp;VLOOKUP(B174,Instruções!$F$13:$J$17,4,0)&amp;"_"&amp;$F$2&amp;" = "&amp;VLOOKUP(B174,Instruções!$F$13:$J$17,4,0)&amp;"_"&amp;$G$2&amp;" AND "&amp;VLOOKUP(B174,Instruções!$F$13:$J$17,5,0)&amp;"_"&amp;$F$2&amp;" = "&amp;VLOOKUP(B174,Instruções!$F$13:$J$17,5,0)&amp;"_"&amp;$G$2&amp;" ")</f>
        <v xml:space="preserve">ON instrmnt_id_as_is = instrmnt_id_to_be </v>
      </c>
      <c r="K174" s="17" t="str">
        <f t="shared" si="20"/>
        <v xml:space="preserve">WHERE coalesce(cast(dt_vltn_as_is as string), '') &lt;&gt; coalesce(cast(dt_vltn_to_be as string), '') </v>
      </c>
      <c r="L174" s="17" t="str">
        <f t="shared" si="21"/>
        <v xml:space="preserve">SELECT count(*) AS NUM_REG_DIF FROM (SELECT instrmnt_id as instrmnt_id_as_is, dt_vltn as dt_vltn_as_is FROM cd_loan_tapes_bce.lt002_instrument WHERE ref_date='2024-09-30' AND nome_perimetro='Individual Corporativo' AND segmento='ESTR' AND ambito='PM' AND entidade='00100' ) A  Inner join (SELECT instrmnt_id as instrmnt_id_to_be, dt_vltn as dt_vltn_to_be FROM bu_loantape_work.lt002_instrument WHERE ref_date='2024-09-30' AND nome_perimetro='Individual Corporativo' AND segmento='ESTR' AND ambito='PM' AND entidade='00100' ) B ON instrmnt_id_as_is = instrmnt_id_to_be WHERE coalesce(cast(dt_vltn_as_is as string), '') &lt;&gt; coalesce(cast(dt_vltn_to_be as string), '') </v>
      </c>
      <c r="M174" s="17" t="s">
        <v>55</v>
      </c>
      <c r="N174" s="17" t="str">
        <f>"SELECT 'Validação de campos' as tipologia_teste, '"&amp;VLOOKUP(B174,Instruções!$F$13:$J$17,3,0)&amp;"' AS TABELA, '"&amp;E174&amp;"' AS CAMPO, '"&amp;Instruções!$D$15&amp;"' as ref_date, coalesce(NUM_REG_DIF, 0) AS NUM_REG_DIF FROM ("&amp;L174&amp;") A "</f>
        <v xml:space="preserve">SELECT 'Validação de campos' as tipologia_teste, 'lt002_instrument' AS TABELA, 'dt_vltn' AS CAMPO, '2024-09-30' as ref_date, coalesce(NUM_REG_DIF, 0) AS NUM_REG_DIF FROM (SELECT count(*) AS NUM_REG_DIF FROM (SELECT instrmnt_id as instrmnt_id_as_is, dt_vltn as dt_vltn_as_is FROM cd_loan_tapes_bce.lt002_instrument WHERE ref_date='2024-09-30' AND nome_perimetro='Individual Corporativo' AND segmento='ESTR' AND ambito='PM' AND entidade='00100' ) A  Inner join (SELECT instrmnt_id as instrmnt_id_to_be, dt_vltn as dt_vltn_to_be FROM bu_loantape_work.lt002_instrument WHERE ref_date='2024-09-30' AND nome_perimetro='Individual Corporativo' AND segmento='ESTR' AND ambito='PM' AND entidade='00100' ) B ON instrmnt_id_as_is = instrmnt_id_to_be WHERE coalesce(cast(dt_vltn_as_is as string), '') &lt;&gt; coalesce(cast(dt_vltn_to_be as string), '') ) A </v>
      </c>
      <c r="O174" s="19" t="str">
        <f t="shared" si="23"/>
        <v>SELECT 'Validação de campos' as tipologia_teste, 'lt002_instrument' AS TABELA, 'dt_vltn' AS CAMPO, '2024-09-30' as ref_date, coalesce(NUM_REG_DIF, 0) AS NUM_REG_DIF FROM (SELECT count(*) AS NUM_REG_DIF FROM (SELECT instrmnt_id as instrmnt_id_as_is, dt_vltn as dt_vltn_as_is FROM cd_loan_tapes_bce.lt002_instrument WHERE ref_date='2024-09-30' AND nome_perimetro='Individual Corporativo' AND segmento='ESTR' AND ambito='PM' AND entidade='00100' ) A  Inner join (SELECT instrmnt_id as instrmnt_id_to_be, dt_vltn as dt_vltn_to_be FROM bu_loantape_work.lt002_instrument WHERE ref_date='2024-09-30' AND nome_perimetro='Individual Corporativo' AND segmento='ESTR' AND ambito='PM' AND entidade='00100' ) B ON instrmnt_id_as_is = instrmnt_id_to_be WHERE coalesce(cast(dt_vltn_as_is as string), '') &lt;&gt; coalesce(cast(dt_vltn_to_be as string), '') ) A UNION ALL</v>
      </c>
      <c r="P174" s="17">
        <f t="shared" si="22"/>
        <v>20</v>
      </c>
    </row>
    <row r="175" spans="2:16" s="15" customFormat="1" ht="11.45">
      <c r="B175" s="17" t="s">
        <v>26</v>
      </c>
      <c r="C175" s="17" t="str">
        <f>_xlfn.CONCAT(Instruções!$D$13,".",VLOOKUP(B175,Instruções!$F$12:$H$17,2,0))</f>
        <v>cd_loan_tapes_bce.lt002_instrument</v>
      </c>
      <c r="D175" s="17" t="str">
        <f>_xlfn.CONCAT(Instruções!$D$14,".",VLOOKUP(B175,Instruções!$F$12:$H$17,3,0))</f>
        <v>bu_loantape_work.lt002_instrument</v>
      </c>
      <c r="E175" s="17" t="s">
        <v>227</v>
      </c>
      <c r="F175" s="17" t="str">
        <f t="shared" si="18"/>
        <v>ead_as_is</v>
      </c>
      <c r="G175" s="17" t="str">
        <f t="shared" si="19"/>
        <v>ead_to_be</v>
      </c>
      <c r="H175" s="17" t="str">
        <f>IF(VLOOKUP(B175,Instruções!$F$13:$J$17,5,0)="",
"(SELECT "&amp;VLOOKUP(B175,Instruções!$F$13:$J$17,4,0)&amp;" as "&amp;VLOOKUP(B175,Instruções!$F$13:$J$17,4,0)&amp;"_"&amp;$F$2&amp;", "&amp;E175&amp;" as "&amp;F175&amp;" FROM "&amp;C175&amp;" WHERE "&amp;Instruções!$D$20&amp;") A ",
"(SELECT "&amp;VLOOKUP(B175,Instruções!$F$13:$J$17,4,0)&amp;" as "&amp;VLOOKUP(B175,Instruções!$F$13:$J$17,4,0)&amp;"_"&amp;$F$2&amp;", "&amp;VLOOKUP(B175,Instruções!$F$13:$J$17,5,0)&amp;" as "&amp;VLOOKUP(B175,Instruções!$F$13:$J$17,5,0)&amp;"_"&amp;$F$2&amp;","&amp;E175&amp;" as "&amp;F175&amp;" FROM "&amp;C175&amp;" WHERE "&amp;Instruções!$D$20&amp;") A ")</f>
        <v xml:space="preserve">(SELECT instrmnt_id as instrmnt_id_as_is, ead as ead_as_is FROM cd_loan_tapes_bce.lt002_instrument WHERE ref_date='2024-09-30' AND nome_perimetro='Individual Corporativo' AND segmento='ESTR' AND ambito='PM' AND entidade='00100' ) A </v>
      </c>
      <c r="I175" s="17" t="str">
        <f>IF(VLOOKUP(B175,Instruções!$F$13:$J$17,5,0)="",
"(SELECT "&amp;VLOOKUP(B175,Instruções!$F$13:$J$17,4,0)&amp;" as "&amp;VLOOKUP(B175,Instruções!$F$13:$J$17,4,0)&amp;"_"&amp;$G$2&amp;", "&amp;E175&amp;" as "&amp;G175&amp;" FROM "&amp;D175&amp;" WHERE "&amp;Instruções!$D$21&amp;") B ",
"(SELECT "&amp;VLOOKUP(B175,Instruções!$F$13:$J$17,4,0)&amp;" as "&amp;VLOOKUP(B175,Instruções!$F$13:$J$17,4,0)&amp;"_"&amp;$G$2&amp;", "&amp;VLOOKUP(B175,Instruções!$F$13:$J$17,5,0)&amp;" as "&amp;VLOOKUP(B175,Instruções!$F$13:$J$17,5,0)&amp;"_"&amp;$G$2&amp;","&amp;E175&amp;" as "&amp;G175&amp;" FROM "&amp;D175&amp;" WHERE "&amp;Instruções!$D$21&amp;") B ")</f>
        <v xml:space="preserve">(SELECT instrmnt_id as instrmnt_id_to_be, ead as ead_to_be FROM bu_loantape_work.lt002_instrument WHERE ref_date='2024-09-30' AND nome_perimetro='Individual Corporativo' AND segmento='ESTR' AND ambito='PM' AND entidade='00100' ) B </v>
      </c>
      <c r="J175" s="17" t="str">
        <f>IF(VLOOKUP(B175,Instruções!$F$13:$J$17,5,0)="",
"ON "&amp;VLOOKUP(B175,Instruções!$F$13:$J$17,4,0)&amp;"_"&amp;$F$2&amp;" = "&amp;VLOOKUP(B175,Instruções!$F$13:$J$17,4,0)&amp;"_"&amp;$G$2&amp;" ",
"ON "&amp;VLOOKUP(B175,Instruções!$F$13:$J$17,4,0)&amp;"_"&amp;$F$2&amp;" = "&amp;VLOOKUP(B175,Instruções!$F$13:$J$17,4,0)&amp;"_"&amp;$G$2&amp;" AND "&amp;VLOOKUP(B175,Instruções!$F$13:$J$17,5,0)&amp;"_"&amp;$F$2&amp;" = "&amp;VLOOKUP(B175,Instruções!$F$13:$J$17,5,0)&amp;"_"&amp;$G$2&amp;" ")</f>
        <v xml:space="preserve">ON instrmnt_id_as_is = instrmnt_id_to_be </v>
      </c>
      <c r="K175" s="17" t="str">
        <f t="shared" si="20"/>
        <v xml:space="preserve">WHERE coalesce(cast(ead_as_is as string), '') &lt;&gt; coalesce(cast(ead_to_be as string), '') </v>
      </c>
      <c r="L175" s="17" t="str">
        <f t="shared" si="21"/>
        <v xml:space="preserve">SELECT count(*) AS NUM_REG_DIF FROM (SELECT instrmnt_id as instrmnt_id_as_is, ead as ead_as_is FROM cd_loan_tapes_bce.lt002_instrument WHERE ref_date='2024-09-30' AND nome_perimetro='Individual Corporativo' AND segmento='ESTR' AND ambito='PM' AND entidade='00100' ) A  Inner join (SELECT instrmnt_id as instrmnt_id_to_be, ead as ead_to_be FROM bu_loantape_work.lt002_instrument WHERE ref_date='2024-09-30' AND nome_perimetro='Individual Corporativo' AND segmento='ESTR' AND ambito='PM' AND entidade='00100' ) B ON instrmnt_id_as_is = instrmnt_id_to_be WHERE coalesce(cast(ead_as_is as string), '') &lt;&gt; coalesce(cast(ead_to_be as string), '') </v>
      </c>
      <c r="M175" s="17" t="s">
        <v>55</v>
      </c>
      <c r="N175" s="17" t="str">
        <f>"SELECT 'Validação de campos' as tipologia_teste, '"&amp;VLOOKUP(B175,Instruções!$F$13:$J$17,3,0)&amp;"' AS TABELA, '"&amp;E175&amp;"' AS CAMPO, '"&amp;Instruções!$D$15&amp;"' as ref_date, coalesce(NUM_REG_DIF, 0) AS NUM_REG_DIF FROM ("&amp;L175&amp;") A "</f>
        <v xml:space="preserve">SELECT 'Validação de campos' as tipologia_teste, 'lt002_instrument' AS TABELA, 'ead' AS CAMPO, '2024-09-30' as ref_date, coalesce(NUM_REG_DIF, 0) AS NUM_REG_DIF FROM (SELECT count(*) AS NUM_REG_DIF FROM (SELECT instrmnt_id as instrmnt_id_as_is, ead as ead_as_is FROM cd_loan_tapes_bce.lt002_instrument WHERE ref_date='2024-09-30' AND nome_perimetro='Individual Corporativo' AND segmento='ESTR' AND ambito='PM' AND entidade='00100' ) A  Inner join (SELECT instrmnt_id as instrmnt_id_to_be, ead as ead_to_be FROM bu_loantape_work.lt002_instrument WHERE ref_date='2024-09-30' AND nome_perimetro='Individual Corporativo' AND segmento='ESTR' AND ambito='PM' AND entidade='00100' ) B ON instrmnt_id_as_is = instrmnt_id_to_be WHERE coalesce(cast(ead_as_is as string), '') &lt;&gt; coalesce(cast(ead_to_be as string), '') ) A </v>
      </c>
      <c r="O175" s="19" t="str">
        <f t="shared" si="23"/>
        <v>SELECT 'Validação de campos' as tipologia_teste, 'lt002_instrument' AS TABELA, 'ead' AS CAMPO, '2024-09-30' as ref_date, coalesce(NUM_REG_DIF, 0) AS NUM_REG_DIF FROM (SELECT count(*) AS NUM_REG_DIF FROM (SELECT instrmnt_id as instrmnt_id_as_is, ead as ead_as_is FROM cd_loan_tapes_bce.lt002_instrument WHERE ref_date='2024-09-30' AND nome_perimetro='Individual Corporativo' AND segmento='ESTR' AND ambito='PM' AND entidade='00100' ) A  Inner join (SELECT instrmnt_id as instrmnt_id_to_be, ead as ead_to_be FROM bu_loantape_work.lt002_instrument WHERE ref_date='2024-09-30' AND nome_perimetro='Individual Corporativo' AND segmento='ESTR' AND ambito='PM' AND entidade='00100' ) B ON instrmnt_id_as_is = instrmnt_id_to_be WHERE coalesce(cast(ead_as_is as string), '') &lt;&gt; coalesce(cast(ead_to_be as string), '') ) A UNION ALL</v>
      </c>
      <c r="P175" s="17">
        <f t="shared" si="22"/>
        <v>21</v>
      </c>
    </row>
    <row r="176" spans="2:16" s="15" customFormat="1" ht="11.45">
      <c r="B176" s="17" t="s">
        <v>26</v>
      </c>
      <c r="C176" s="17" t="str">
        <f>_xlfn.CONCAT(Instruções!$D$13,".",VLOOKUP(B176,Instruções!$F$12:$H$17,2,0))</f>
        <v>cd_loan_tapes_bce.lt002_instrument</v>
      </c>
      <c r="D176" s="17" t="str">
        <f>_xlfn.CONCAT(Instruções!$D$14,".",VLOOKUP(B176,Instruções!$F$12:$H$17,3,0))</f>
        <v>bu_loantape_work.lt002_instrument</v>
      </c>
      <c r="E176" s="17" t="s">
        <v>228</v>
      </c>
      <c r="F176" s="17" t="str">
        <f t="shared" si="18"/>
        <v>eba_cmplnt_mrtr_st_c19_as_is</v>
      </c>
      <c r="G176" s="17" t="str">
        <f t="shared" si="19"/>
        <v>eba_cmplnt_mrtr_st_c19_to_be</v>
      </c>
      <c r="H176" s="17" t="str">
        <f>IF(VLOOKUP(B176,Instruções!$F$13:$J$17,5,0)="",
"(SELECT "&amp;VLOOKUP(B176,Instruções!$F$13:$J$17,4,0)&amp;" as "&amp;VLOOKUP(B176,Instruções!$F$13:$J$17,4,0)&amp;"_"&amp;$F$2&amp;", "&amp;E176&amp;" as "&amp;F176&amp;" FROM "&amp;C176&amp;" WHERE "&amp;Instruções!$D$20&amp;") A ",
"(SELECT "&amp;VLOOKUP(B176,Instruções!$F$13:$J$17,4,0)&amp;" as "&amp;VLOOKUP(B176,Instruções!$F$13:$J$17,4,0)&amp;"_"&amp;$F$2&amp;", "&amp;VLOOKUP(B176,Instruções!$F$13:$J$17,5,0)&amp;" as "&amp;VLOOKUP(B176,Instruções!$F$13:$J$17,5,0)&amp;"_"&amp;$F$2&amp;","&amp;E176&amp;" as "&amp;F176&amp;" FROM "&amp;C176&amp;" WHERE "&amp;Instruções!$D$20&amp;") A ")</f>
        <v xml:space="preserve">(SELECT instrmnt_id as instrmnt_id_as_is, eba_cmplnt_mrtr_st_c19 as eba_cmplnt_mrtr_st_c19_as_is FROM cd_loan_tapes_bce.lt002_instrument WHERE ref_date='2024-09-30' AND nome_perimetro='Individual Corporativo' AND segmento='ESTR' AND ambito='PM' AND entidade='00100' ) A </v>
      </c>
      <c r="I176" s="17" t="str">
        <f>IF(VLOOKUP(B176,Instruções!$F$13:$J$17,5,0)="",
"(SELECT "&amp;VLOOKUP(B176,Instruções!$F$13:$J$17,4,0)&amp;" as "&amp;VLOOKUP(B176,Instruções!$F$13:$J$17,4,0)&amp;"_"&amp;$G$2&amp;", "&amp;E176&amp;" as "&amp;G176&amp;" FROM "&amp;D176&amp;" WHERE "&amp;Instruções!$D$21&amp;") B ",
"(SELECT "&amp;VLOOKUP(B176,Instruções!$F$13:$J$17,4,0)&amp;" as "&amp;VLOOKUP(B176,Instruções!$F$13:$J$17,4,0)&amp;"_"&amp;$G$2&amp;", "&amp;VLOOKUP(B176,Instruções!$F$13:$J$17,5,0)&amp;" as "&amp;VLOOKUP(B176,Instruções!$F$13:$J$17,5,0)&amp;"_"&amp;$G$2&amp;","&amp;E176&amp;" as "&amp;G176&amp;" FROM "&amp;D176&amp;" WHERE "&amp;Instruções!$D$21&amp;") B ")</f>
        <v xml:space="preserve">(SELECT instrmnt_id as instrmnt_id_to_be, eba_cmplnt_mrtr_st_c19 as eba_cmplnt_mrtr_st_c19_to_be FROM bu_loantape_work.lt002_instrument WHERE ref_date='2024-09-30' AND nome_perimetro='Individual Corporativo' AND segmento='ESTR' AND ambito='PM' AND entidade='00100' ) B </v>
      </c>
      <c r="J176" s="17" t="str">
        <f>IF(VLOOKUP(B176,Instruções!$F$13:$J$17,5,0)="",
"ON "&amp;VLOOKUP(B176,Instruções!$F$13:$J$17,4,0)&amp;"_"&amp;$F$2&amp;" = "&amp;VLOOKUP(B176,Instruções!$F$13:$J$17,4,0)&amp;"_"&amp;$G$2&amp;" ",
"ON "&amp;VLOOKUP(B176,Instruções!$F$13:$J$17,4,0)&amp;"_"&amp;$F$2&amp;" = "&amp;VLOOKUP(B176,Instruções!$F$13:$J$17,4,0)&amp;"_"&amp;$G$2&amp;" AND "&amp;VLOOKUP(B176,Instruções!$F$13:$J$17,5,0)&amp;"_"&amp;$F$2&amp;" = "&amp;VLOOKUP(B176,Instruções!$F$13:$J$17,5,0)&amp;"_"&amp;$G$2&amp;" ")</f>
        <v xml:space="preserve">ON instrmnt_id_as_is = instrmnt_id_to_be </v>
      </c>
      <c r="K176" s="17" t="str">
        <f t="shared" si="20"/>
        <v xml:space="preserve">WHERE coalesce(cast(eba_cmplnt_mrtr_st_c19_as_is as string), '') &lt;&gt; coalesce(cast(eba_cmplnt_mrtr_st_c19_to_be as string), '') </v>
      </c>
      <c r="L176" s="17" t="str">
        <f t="shared" si="21"/>
        <v xml:space="preserve">SELECT count(*) AS NUM_REG_DIF FROM (SELECT instrmnt_id as instrmnt_id_as_is, eba_cmplnt_mrtr_st_c19 as eba_cmplnt_mrtr_st_c19_as_is FROM cd_loan_tapes_bce.lt002_instrument WHERE ref_date='2024-09-30' AND nome_perimetro='Individual Corporativo' AND segmento='ESTR' AND ambito='PM' AND entidade='00100' ) A  Inner join (SELECT instrmnt_id as instrmnt_id_to_be, eba_cmplnt_mrtr_st_c19 as eba_cmplnt_mrtr_st_c19_to_be FROM bu_loantape_work.lt002_instrument WHERE ref_date='2024-09-30' AND nome_perimetro='Individual Corporativo' AND segmento='ESTR' AND ambito='PM' AND entidade='00100' ) B ON instrmnt_id_as_is = instrmnt_id_to_be WHERE coalesce(cast(eba_cmplnt_mrtr_st_c19_as_is as string), '') &lt;&gt; coalesce(cast(eba_cmplnt_mrtr_st_c19_to_be as string), '') </v>
      </c>
      <c r="M176" s="17" t="s">
        <v>55</v>
      </c>
      <c r="N176" s="17" t="str">
        <f>"SELECT 'Validação de campos' as tipologia_teste, '"&amp;VLOOKUP(B176,Instruções!$F$13:$J$17,3,0)&amp;"' AS TABELA, '"&amp;E176&amp;"' AS CAMPO, '"&amp;Instruções!$D$15&amp;"' as ref_date, coalesce(NUM_REG_DIF, 0) AS NUM_REG_DIF FROM ("&amp;L176&amp;") A "</f>
        <v xml:space="preserve">SELECT 'Validação de campos' as tipologia_teste, 'lt002_instrument' AS TABELA, 'eba_cmplnt_mrtr_st_c19' AS CAMPO, '2024-09-30' as ref_date, coalesce(NUM_REG_DIF, 0) AS NUM_REG_DIF FROM (SELECT count(*) AS NUM_REG_DIF FROM (SELECT instrmnt_id as instrmnt_id_as_is, eba_cmplnt_mrtr_st_c19 as eba_cmplnt_mrtr_st_c19_as_is FROM cd_loan_tapes_bce.lt002_instrument WHERE ref_date='2024-09-30' AND nome_perimetro='Individual Corporativo' AND segmento='ESTR' AND ambito='PM' AND entidade='00100' ) A  Inner join (SELECT instrmnt_id as instrmnt_id_to_be, eba_cmplnt_mrtr_st_c19 as eba_cmplnt_mrtr_st_c19_to_be FROM bu_loantape_work.lt002_instrument WHERE ref_date='2024-09-30' AND nome_perimetro='Individual Corporativo' AND segmento='ESTR' AND ambito='PM' AND entidade='00100' ) B ON instrmnt_id_as_is = instrmnt_id_to_be WHERE coalesce(cast(eba_cmplnt_mrtr_st_c19_as_is as string), '') &lt;&gt; coalesce(cast(eba_cmplnt_mrtr_st_c19_to_be as string), '') ) A </v>
      </c>
      <c r="O176" s="19" t="str">
        <f t="shared" si="23"/>
        <v>SELECT 'Validação de campos' as tipologia_teste, 'lt002_instrument' AS TABELA, 'eba_cmplnt_mrtr_st_c19' AS CAMPO, '2024-09-30' as ref_date, coalesce(NUM_REG_DIF, 0) AS NUM_REG_DIF FROM (SELECT count(*) AS NUM_REG_DIF FROM (SELECT instrmnt_id as instrmnt_id_as_is, eba_cmplnt_mrtr_st_c19 as eba_cmplnt_mrtr_st_c19_as_is FROM cd_loan_tapes_bce.lt002_instrument WHERE ref_date='2024-09-30' AND nome_perimetro='Individual Corporativo' AND segmento='ESTR' AND ambito='PM' AND entidade='00100' ) A  Inner join (SELECT instrmnt_id as instrmnt_id_to_be, eba_cmplnt_mrtr_st_c19 as eba_cmplnt_mrtr_st_c19_to_be FROM bu_loantape_work.lt002_instrument WHERE ref_date='2024-09-30' AND nome_perimetro='Individual Corporativo' AND segmento='ESTR' AND ambito='PM' AND entidade='00100' ) B ON instrmnt_id_as_is = instrmnt_id_to_be WHERE coalesce(cast(eba_cmplnt_mrtr_st_c19_as_is as string), '') &lt;&gt; coalesce(cast(eba_cmplnt_mrtr_st_c19_to_be as string), '') ) A UNION ALL</v>
      </c>
      <c r="P176" s="17">
        <f t="shared" si="22"/>
        <v>22</v>
      </c>
    </row>
    <row r="177" spans="2:16" s="15" customFormat="1" ht="11.45">
      <c r="B177" s="17" t="s">
        <v>26</v>
      </c>
      <c r="C177" s="17" t="str">
        <f>_xlfn.CONCAT(Instruções!$D$13,".",VLOOKUP(B177,Instruções!$F$12:$H$17,2,0))</f>
        <v>cd_loan_tapes_bce.lt002_instrument</v>
      </c>
      <c r="D177" s="17" t="str">
        <f>_xlfn.CONCAT(Instruções!$D$14,".",VLOOKUP(B177,Instruções!$F$12:$H$17,3,0))</f>
        <v>bu_loantape_work.lt002_instrument</v>
      </c>
      <c r="E177" s="17" t="s">
        <v>229</v>
      </c>
      <c r="F177" s="17" t="str">
        <f t="shared" si="18"/>
        <v>eir_as_is</v>
      </c>
      <c r="G177" s="17" t="str">
        <f t="shared" si="19"/>
        <v>eir_to_be</v>
      </c>
      <c r="H177" s="17" t="str">
        <f>IF(VLOOKUP(B177,Instruções!$F$13:$J$17,5,0)="",
"(SELECT "&amp;VLOOKUP(B177,Instruções!$F$13:$J$17,4,0)&amp;" as "&amp;VLOOKUP(B177,Instruções!$F$13:$J$17,4,0)&amp;"_"&amp;$F$2&amp;", "&amp;E177&amp;" as "&amp;F177&amp;" FROM "&amp;C177&amp;" WHERE "&amp;Instruções!$D$20&amp;") A ",
"(SELECT "&amp;VLOOKUP(B177,Instruções!$F$13:$J$17,4,0)&amp;" as "&amp;VLOOKUP(B177,Instruções!$F$13:$J$17,4,0)&amp;"_"&amp;$F$2&amp;", "&amp;VLOOKUP(B177,Instruções!$F$13:$J$17,5,0)&amp;" as "&amp;VLOOKUP(B177,Instruções!$F$13:$J$17,5,0)&amp;"_"&amp;$F$2&amp;","&amp;E177&amp;" as "&amp;F177&amp;" FROM "&amp;C177&amp;" WHERE "&amp;Instruções!$D$20&amp;") A ")</f>
        <v xml:space="preserve">(SELECT instrmnt_id as instrmnt_id_as_is, eir as eir_as_is FROM cd_loan_tapes_bce.lt002_instrument WHERE ref_date='2024-09-30' AND nome_perimetro='Individual Corporativo' AND segmento='ESTR' AND ambito='PM' AND entidade='00100' ) A </v>
      </c>
      <c r="I177" s="17" t="str">
        <f>IF(VLOOKUP(B177,Instruções!$F$13:$J$17,5,0)="",
"(SELECT "&amp;VLOOKUP(B177,Instruções!$F$13:$J$17,4,0)&amp;" as "&amp;VLOOKUP(B177,Instruções!$F$13:$J$17,4,0)&amp;"_"&amp;$G$2&amp;", "&amp;E177&amp;" as "&amp;G177&amp;" FROM "&amp;D177&amp;" WHERE "&amp;Instruções!$D$21&amp;") B ",
"(SELECT "&amp;VLOOKUP(B177,Instruções!$F$13:$J$17,4,0)&amp;" as "&amp;VLOOKUP(B177,Instruções!$F$13:$J$17,4,0)&amp;"_"&amp;$G$2&amp;", "&amp;VLOOKUP(B177,Instruções!$F$13:$J$17,5,0)&amp;" as "&amp;VLOOKUP(B177,Instruções!$F$13:$J$17,5,0)&amp;"_"&amp;$G$2&amp;","&amp;E177&amp;" as "&amp;G177&amp;" FROM "&amp;D177&amp;" WHERE "&amp;Instruções!$D$21&amp;") B ")</f>
        <v xml:space="preserve">(SELECT instrmnt_id as instrmnt_id_to_be, eir as eir_to_be FROM bu_loantape_work.lt002_instrument WHERE ref_date='2024-09-30' AND nome_perimetro='Individual Corporativo' AND segmento='ESTR' AND ambito='PM' AND entidade='00100' ) B </v>
      </c>
      <c r="J177" s="17" t="str">
        <f>IF(VLOOKUP(B177,Instruções!$F$13:$J$17,5,0)="",
"ON "&amp;VLOOKUP(B177,Instruções!$F$13:$J$17,4,0)&amp;"_"&amp;$F$2&amp;" = "&amp;VLOOKUP(B177,Instruções!$F$13:$J$17,4,0)&amp;"_"&amp;$G$2&amp;" ",
"ON "&amp;VLOOKUP(B177,Instruções!$F$13:$J$17,4,0)&amp;"_"&amp;$F$2&amp;" = "&amp;VLOOKUP(B177,Instruções!$F$13:$J$17,4,0)&amp;"_"&amp;$G$2&amp;" AND "&amp;VLOOKUP(B177,Instruções!$F$13:$J$17,5,0)&amp;"_"&amp;$F$2&amp;" = "&amp;VLOOKUP(B177,Instruções!$F$13:$J$17,5,0)&amp;"_"&amp;$G$2&amp;" ")</f>
        <v xml:space="preserve">ON instrmnt_id_as_is = instrmnt_id_to_be </v>
      </c>
      <c r="K177" s="17" t="str">
        <f t="shared" si="20"/>
        <v xml:space="preserve">WHERE coalesce(cast(eir_as_is as string), '') &lt;&gt; coalesce(cast(eir_to_be as string), '') </v>
      </c>
      <c r="L177" s="17" t="str">
        <f t="shared" si="21"/>
        <v xml:space="preserve">SELECT count(*) AS NUM_REG_DIF FROM (SELECT instrmnt_id as instrmnt_id_as_is, eir as eir_as_is FROM cd_loan_tapes_bce.lt002_instrument WHERE ref_date='2024-09-30' AND nome_perimetro='Individual Corporativo' AND segmento='ESTR' AND ambito='PM' AND entidade='00100' ) A  Inner join (SELECT instrmnt_id as instrmnt_id_to_be, eir as eir_to_be FROM bu_loantape_work.lt002_instrument WHERE ref_date='2024-09-30' AND nome_perimetro='Individual Corporativo' AND segmento='ESTR' AND ambito='PM' AND entidade='00100' ) B ON instrmnt_id_as_is = instrmnt_id_to_be WHERE coalesce(cast(eir_as_is as string), '') &lt;&gt; coalesce(cast(eir_to_be as string), '') </v>
      </c>
      <c r="M177" s="17" t="s">
        <v>55</v>
      </c>
      <c r="N177" s="17" t="str">
        <f>"SELECT 'Validação de campos' as tipologia_teste, '"&amp;VLOOKUP(B177,Instruções!$F$13:$J$17,3,0)&amp;"' AS TABELA, '"&amp;E177&amp;"' AS CAMPO, '"&amp;Instruções!$D$15&amp;"' as ref_date, coalesce(NUM_REG_DIF, 0) AS NUM_REG_DIF FROM ("&amp;L177&amp;") A "</f>
        <v xml:space="preserve">SELECT 'Validação de campos' as tipologia_teste, 'lt002_instrument' AS TABELA, 'eir' AS CAMPO, '2024-09-30' as ref_date, coalesce(NUM_REG_DIF, 0) AS NUM_REG_DIF FROM (SELECT count(*) AS NUM_REG_DIF FROM (SELECT instrmnt_id as instrmnt_id_as_is, eir as eir_as_is FROM cd_loan_tapes_bce.lt002_instrument WHERE ref_date='2024-09-30' AND nome_perimetro='Individual Corporativo' AND segmento='ESTR' AND ambito='PM' AND entidade='00100' ) A  Inner join (SELECT instrmnt_id as instrmnt_id_to_be, eir as eir_to_be FROM bu_loantape_work.lt002_instrument WHERE ref_date='2024-09-30' AND nome_perimetro='Individual Corporativo' AND segmento='ESTR' AND ambito='PM' AND entidade='00100' ) B ON instrmnt_id_as_is = instrmnt_id_to_be WHERE coalesce(cast(eir_as_is as string), '') &lt;&gt; coalesce(cast(eir_to_be as string), '') ) A </v>
      </c>
      <c r="O177" s="19" t="str">
        <f t="shared" si="23"/>
        <v>SELECT 'Validação de campos' as tipologia_teste, 'lt002_instrument' AS TABELA, 'eir' AS CAMPO, '2024-09-30' as ref_date, coalesce(NUM_REG_DIF, 0) AS NUM_REG_DIF FROM (SELECT count(*) AS NUM_REG_DIF FROM (SELECT instrmnt_id as instrmnt_id_as_is, eir as eir_as_is FROM cd_loan_tapes_bce.lt002_instrument WHERE ref_date='2024-09-30' AND nome_perimetro='Individual Corporativo' AND segmento='ESTR' AND ambito='PM' AND entidade='00100' ) A  Inner join (SELECT instrmnt_id as instrmnt_id_to_be, eir as eir_to_be FROM bu_loantape_work.lt002_instrument WHERE ref_date='2024-09-30' AND nome_perimetro='Individual Corporativo' AND segmento='ESTR' AND ambito='PM' AND entidade='00100' ) B ON instrmnt_id_as_is = instrmnt_id_to_be WHERE coalesce(cast(eir_as_is as string), '') &lt;&gt; coalesce(cast(eir_to_be as string), '') ) A UNION ALL</v>
      </c>
      <c r="P177" s="17">
        <f t="shared" si="22"/>
        <v>23</v>
      </c>
    </row>
    <row r="178" spans="2:16" s="15" customFormat="1" ht="11.45">
      <c r="B178" s="17" t="s">
        <v>26</v>
      </c>
      <c r="C178" s="17" t="str">
        <f>_xlfn.CONCAT(Instruções!$D$13,".",VLOOKUP(B178,Instruções!$F$12:$H$17,2,0))</f>
        <v>cd_loan_tapes_bce.lt002_instrument</v>
      </c>
      <c r="D178" s="17" t="str">
        <f>_xlfn.CONCAT(Instruções!$D$14,".",VLOOKUP(B178,Instruções!$F$12:$H$17,3,0))</f>
        <v>bu_loantape_work.lt002_instrument</v>
      </c>
      <c r="E178" s="17" t="s">
        <v>230</v>
      </c>
      <c r="F178" s="17" t="str">
        <f t="shared" si="18"/>
        <v>eir_incptn_as_is</v>
      </c>
      <c r="G178" s="17" t="str">
        <f t="shared" si="19"/>
        <v>eir_incptn_to_be</v>
      </c>
      <c r="H178" s="17" t="str">
        <f>IF(VLOOKUP(B178,Instruções!$F$13:$J$17,5,0)="",
"(SELECT "&amp;VLOOKUP(B178,Instruções!$F$13:$J$17,4,0)&amp;" as "&amp;VLOOKUP(B178,Instruções!$F$13:$J$17,4,0)&amp;"_"&amp;$F$2&amp;", "&amp;E178&amp;" as "&amp;F178&amp;" FROM "&amp;C178&amp;" WHERE "&amp;Instruções!$D$20&amp;") A ",
"(SELECT "&amp;VLOOKUP(B178,Instruções!$F$13:$J$17,4,0)&amp;" as "&amp;VLOOKUP(B178,Instruções!$F$13:$J$17,4,0)&amp;"_"&amp;$F$2&amp;", "&amp;VLOOKUP(B178,Instruções!$F$13:$J$17,5,0)&amp;" as "&amp;VLOOKUP(B178,Instruções!$F$13:$J$17,5,0)&amp;"_"&amp;$F$2&amp;","&amp;E178&amp;" as "&amp;F178&amp;" FROM "&amp;C178&amp;" WHERE "&amp;Instruções!$D$20&amp;") A ")</f>
        <v xml:space="preserve">(SELECT instrmnt_id as instrmnt_id_as_is, eir_incptn as eir_incptn_as_is FROM cd_loan_tapes_bce.lt002_instrument WHERE ref_date='2024-09-30' AND nome_perimetro='Individual Corporativo' AND segmento='ESTR' AND ambito='PM' AND entidade='00100' ) A </v>
      </c>
      <c r="I178" s="17" t="str">
        <f>IF(VLOOKUP(B178,Instruções!$F$13:$J$17,5,0)="",
"(SELECT "&amp;VLOOKUP(B178,Instruções!$F$13:$J$17,4,0)&amp;" as "&amp;VLOOKUP(B178,Instruções!$F$13:$J$17,4,0)&amp;"_"&amp;$G$2&amp;", "&amp;E178&amp;" as "&amp;G178&amp;" FROM "&amp;D178&amp;" WHERE "&amp;Instruções!$D$21&amp;") B ",
"(SELECT "&amp;VLOOKUP(B178,Instruções!$F$13:$J$17,4,0)&amp;" as "&amp;VLOOKUP(B178,Instruções!$F$13:$J$17,4,0)&amp;"_"&amp;$G$2&amp;", "&amp;VLOOKUP(B178,Instruções!$F$13:$J$17,5,0)&amp;" as "&amp;VLOOKUP(B178,Instruções!$F$13:$J$17,5,0)&amp;"_"&amp;$G$2&amp;","&amp;E178&amp;" as "&amp;G178&amp;" FROM "&amp;D178&amp;" WHERE "&amp;Instruções!$D$21&amp;") B ")</f>
        <v xml:space="preserve">(SELECT instrmnt_id as instrmnt_id_to_be, eir_incptn as eir_incptn_to_be FROM bu_loantape_work.lt002_instrument WHERE ref_date='2024-09-30' AND nome_perimetro='Individual Corporativo' AND segmento='ESTR' AND ambito='PM' AND entidade='00100' ) B </v>
      </c>
      <c r="J178" s="17" t="str">
        <f>IF(VLOOKUP(B178,Instruções!$F$13:$J$17,5,0)="",
"ON "&amp;VLOOKUP(B178,Instruções!$F$13:$J$17,4,0)&amp;"_"&amp;$F$2&amp;" = "&amp;VLOOKUP(B178,Instruções!$F$13:$J$17,4,0)&amp;"_"&amp;$G$2&amp;" ",
"ON "&amp;VLOOKUP(B178,Instruções!$F$13:$J$17,4,0)&amp;"_"&amp;$F$2&amp;" = "&amp;VLOOKUP(B178,Instruções!$F$13:$J$17,4,0)&amp;"_"&amp;$G$2&amp;" AND "&amp;VLOOKUP(B178,Instruções!$F$13:$J$17,5,0)&amp;"_"&amp;$F$2&amp;" = "&amp;VLOOKUP(B178,Instruções!$F$13:$J$17,5,0)&amp;"_"&amp;$G$2&amp;" ")</f>
        <v xml:space="preserve">ON instrmnt_id_as_is = instrmnt_id_to_be </v>
      </c>
      <c r="K178" s="17" t="str">
        <f t="shared" si="20"/>
        <v xml:space="preserve">WHERE coalesce(cast(eir_incptn_as_is as string), '') &lt;&gt; coalesce(cast(eir_incptn_to_be as string), '') </v>
      </c>
      <c r="L178" s="17" t="str">
        <f t="shared" si="21"/>
        <v xml:space="preserve">SELECT count(*) AS NUM_REG_DIF FROM (SELECT instrmnt_id as instrmnt_id_as_is, eir_incptn as eir_incptn_as_is FROM cd_loan_tapes_bce.lt002_instrument WHERE ref_date='2024-09-30' AND nome_perimetro='Individual Corporativo' AND segmento='ESTR' AND ambito='PM' AND entidade='00100' ) A  Inner join (SELECT instrmnt_id as instrmnt_id_to_be, eir_incptn as eir_incptn_to_be FROM bu_loantape_work.lt002_instrument WHERE ref_date='2024-09-30' AND nome_perimetro='Individual Corporativo' AND segmento='ESTR' AND ambito='PM' AND entidade='00100' ) B ON instrmnt_id_as_is = instrmnt_id_to_be WHERE coalesce(cast(eir_incptn_as_is as string), '') &lt;&gt; coalesce(cast(eir_incptn_to_be as string), '') </v>
      </c>
      <c r="M178" s="17" t="s">
        <v>55</v>
      </c>
      <c r="N178" s="17" t="str">
        <f>"SELECT 'Validação de campos' as tipologia_teste, '"&amp;VLOOKUP(B178,Instruções!$F$13:$J$17,3,0)&amp;"' AS TABELA, '"&amp;E178&amp;"' AS CAMPO, '"&amp;Instruções!$D$15&amp;"' as ref_date, coalesce(NUM_REG_DIF, 0) AS NUM_REG_DIF FROM ("&amp;L178&amp;") A "</f>
        <v xml:space="preserve">SELECT 'Validação de campos' as tipologia_teste, 'lt002_instrument' AS TABELA, 'eir_incptn' AS CAMPO, '2024-09-30' as ref_date, coalesce(NUM_REG_DIF, 0) AS NUM_REG_DIF FROM (SELECT count(*) AS NUM_REG_DIF FROM (SELECT instrmnt_id as instrmnt_id_as_is, eir_incptn as eir_incptn_as_is FROM cd_loan_tapes_bce.lt002_instrument WHERE ref_date='2024-09-30' AND nome_perimetro='Individual Corporativo' AND segmento='ESTR' AND ambito='PM' AND entidade='00100' ) A  Inner join (SELECT instrmnt_id as instrmnt_id_to_be, eir_incptn as eir_incptn_to_be FROM bu_loantape_work.lt002_instrument WHERE ref_date='2024-09-30' AND nome_perimetro='Individual Corporativo' AND segmento='ESTR' AND ambito='PM' AND entidade='00100' ) B ON instrmnt_id_as_is = instrmnt_id_to_be WHERE coalesce(cast(eir_incptn_as_is as string), '') &lt;&gt; coalesce(cast(eir_incptn_to_be as string), '') ) A </v>
      </c>
      <c r="O178" s="19" t="str">
        <f t="shared" si="23"/>
        <v>SELECT 'Validação de campos' as tipologia_teste, 'lt002_instrument' AS TABELA, 'eir_incptn' AS CAMPO, '2024-09-30' as ref_date, coalesce(NUM_REG_DIF, 0) AS NUM_REG_DIF FROM (SELECT count(*) AS NUM_REG_DIF FROM (SELECT instrmnt_id as instrmnt_id_as_is, eir_incptn as eir_incptn_as_is FROM cd_loan_tapes_bce.lt002_instrument WHERE ref_date='2024-09-30' AND nome_perimetro='Individual Corporativo' AND segmento='ESTR' AND ambito='PM' AND entidade='00100' ) A  Inner join (SELECT instrmnt_id as instrmnt_id_to_be, eir_incptn as eir_incptn_to_be FROM bu_loantape_work.lt002_instrument WHERE ref_date='2024-09-30' AND nome_perimetro='Individual Corporativo' AND segmento='ESTR' AND ambito='PM' AND entidade='00100' ) B ON instrmnt_id_as_is = instrmnt_id_to_be WHERE coalesce(cast(eir_incptn_as_is as string), '') &lt;&gt; coalesce(cast(eir_incptn_to_be as string), '') ) A UNION ALL</v>
      </c>
      <c r="P178" s="17">
        <f t="shared" si="22"/>
        <v>24</v>
      </c>
    </row>
    <row r="179" spans="2:16" s="15" customFormat="1" ht="11.45">
      <c r="B179" s="17" t="s">
        <v>26</v>
      </c>
      <c r="C179" s="17" t="str">
        <f>_xlfn.CONCAT(Instruções!$D$13,".",VLOOKUP(B179,Instruções!$F$12:$H$17,2,0))</f>
        <v>cd_loan_tapes_bce.lt002_instrument</v>
      </c>
      <c r="D179" s="17" t="str">
        <f>_xlfn.CONCAT(Instruções!$D$14,".",VLOOKUP(B179,Instruções!$F$12:$H$17,3,0))</f>
        <v>bu_loantape_work.lt002_instrument</v>
      </c>
      <c r="E179" s="17" t="s">
        <v>231</v>
      </c>
      <c r="F179" s="17" t="str">
        <f t="shared" si="18"/>
        <v>elgblty_ecb_as_is</v>
      </c>
      <c r="G179" s="17" t="str">
        <f t="shared" si="19"/>
        <v>elgblty_ecb_to_be</v>
      </c>
      <c r="H179" s="17" t="str">
        <f>IF(VLOOKUP(B179,Instruções!$F$13:$J$17,5,0)="",
"(SELECT "&amp;VLOOKUP(B179,Instruções!$F$13:$J$17,4,0)&amp;" as "&amp;VLOOKUP(B179,Instruções!$F$13:$J$17,4,0)&amp;"_"&amp;$F$2&amp;", "&amp;E179&amp;" as "&amp;F179&amp;" FROM "&amp;C179&amp;" WHERE "&amp;Instruções!$D$20&amp;") A ",
"(SELECT "&amp;VLOOKUP(B179,Instruções!$F$13:$J$17,4,0)&amp;" as "&amp;VLOOKUP(B179,Instruções!$F$13:$J$17,4,0)&amp;"_"&amp;$F$2&amp;", "&amp;VLOOKUP(B179,Instruções!$F$13:$J$17,5,0)&amp;" as "&amp;VLOOKUP(B179,Instruções!$F$13:$J$17,5,0)&amp;"_"&amp;$F$2&amp;","&amp;E179&amp;" as "&amp;F179&amp;" FROM "&amp;C179&amp;" WHERE "&amp;Instruções!$D$20&amp;") A ")</f>
        <v xml:space="preserve">(SELECT instrmnt_id as instrmnt_id_as_is, elgblty_ecb as elgblty_ecb_as_is FROM cd_loan_tapes_bce.lt002_instrument WHERE ref_date='2024-09-30' AND nome_perimetro='Individual Corporativo' AND segmento='ESTR' AND ambito='PM' AND entidade='00100' ) A </v>
      </c>
      <c r="I179" s="17" t="str">
        <f>IF(VLOOKUP(B179,Instruções!$F$13:$J$17,5,0)="",
"(SELECT "&amp;VLOOKUP(B179,Instruções!$F$13:$J$17,4,0)&amp;" as "&amp;VLOOKUP(B179,Instruções!$F$13:$J$17,4,0)&amp;"_"&amp;$G$2&amp;", "&amp;E179&amp;" as "&amp;G179&amp;" FROM "&amp;D179&amp;" WHERE "&amp;Instruções!$D$21&amp;") B ",
"(SELECT "&amp;VLOOKUP(B179,Instruções!$F$13:$J$17,4,0)&amp;" as "&amp;VLOOKUP(B179,Instruções!$F$13:$J$17,4,0)&amp;"_"&amp;$G$2&amp;", "&amp;VLOOKUP(B179,Instruções!$F$13:$J$17,5,0)&amp;" as "&amp;VLOOKUP(B179,Instruções!$F$13:$J$17,5,0)&amp;"_"&amp;$G$2&amp;","&amp;E179&amp;" as "&amp;G179&amp;" FROM "&amp;D179&amp;" WHERE "&amp;Instruções!$D$21&amp;") B ")</f>
        <v xml:space="preserve">(SELECT instrmnt_id as instrmnt_id_to_be, elgblty_ecb as elgblty_ecb_to_be FROM bu_loantape_work.lt002_instrument WHERE ref_date='2024-09-30' AND nome_perimetro='Individual Corporativo' AND segmento='ESTR' AND ambito='PM' AND entidade='00100' ) B </v>
      </c>
      <c r="J179" s="17" t="str">
        <f>IF(VLOOKUP(B179,Instruções!$F$13:$J$17,5,0)="",
"ON "&amp;VLOOKUP(B179,Instruções!$F$13:$J$17,4,0)&amp;"_"&amp;$F$2&amp;" = "&amp;VLOOKUP(B179,Instruções!$F$13:$J$17,4,0)&amp;"_"&amp;$G$2&amp;" ",
"ON "&amp;VLOOKUP(B179,Instruções!$F$13:$J$17,4,0)&amp;"_"&amp;$F$2&amp;" = "&amp;VLOOKUP(B179,Instruções!$F$13:$J$17,4,0)&amp;"_"&amp;$G$2&amp;" AND "&amp;VLOOKUP(B179,Instruções!$F$13:$J$17,5,0)&amp;"_"&amp;$F$2&amp;" = "&amp;VLOOKUP(B179,Instruções!$F$13:$J$17,5,0)&amp;"_"&amp;$G$2&amp;" ")</f>
        <v xml:space="preserve">ON instrmnt_id_as_is = instrmnt_id_to_be </v>
      </c>
      <c r="K179" s="17" t="str">
        <f t="shared" si="20"/>
        <v xml:space="preserve">WHERE coalesce(cast(elgblty_ecb_as_is as string), '') &lt;&gt; coalesce(cast(elgblty_ecb_to_be as string), '') </v>
      </c>
      <c r="L179" s="17" t="str">
        <f t="shared" si="21"/>
        <v xml:space="preserve">SELECT count(*) AS NUM_REG_DIF FROM (SELECT instrmnt_id as instrmnt_id_as_is, elgblty_ecb as elgblty_ecb_as_is FROM cd_loan_tapes_bce.lt002_instrument WHERE ref_date='2024-09-30' AND nome_perimetro='Individual Corporativo' AND segmento='ESTR' AND ambito='PM' AND entidade='00100' ) A  Inner join (SELECT instrmnt_id as instrmnt_id_to_be, elgblty_ecb as elgblty_ecb_to_be FROM bu_loantape_work.lt002_instrument WHERE ref_date='2024-09-30' AND nome_perimetro='Individual Corporativo' AND segmento='ESTR' AND ambito='PM' AND entidade='00100' ) B ON instrmnt_id_as_is = instrmnt_id_to_be WHERE coalesce(cast(elgblty_ecb_as_is as string), '') &lt;&gt; coalesce(cast(elgblty_ecb_to_be as string), '') </v>
      </c>
      <c r="M179" s="17" t="s">
        <v>55</v>
      </c>
      <c r="N179" s="17" t="str">
        <f>"SELECT 'Validação de campos' as tipologia_teste, '"&amp;VLOOKUP(B179,Instruções!$F$13:$J$17,3,0)&amp;"' AS TABELA, '"&amp;E179&amp;"' AS CAMPO, '"&amp;Instruções!$D$15&amp;"' as ref_date, coalesce(NUM_REG_DIF, 0) AS NUM_REG_DIF FROM ("&amp;L179&amp;") A "</f>
        <v xml:space="preserve">SELECT 'Validação de campos' as tipologia_teste, 'lt002_instrument' AS TABELA, 'elgblty_ecb' AS CAMPO, '2024-09-30' as ref_date, coalesce(NUM_REG_DIF, 0) AS NUM_REG_DIF FROM (SELECT count(*) AS NUM_REG_DIF FROM (SELECT instrmnt_id as instrmnt_id_as_is, elgblty_ecb as elgblty_ecb_as_is FROM cd_loan_tapes_bce.lt002_instrument WHERE ref_date='2024-09-30' AND nome_perimetro='Individual Corporativo' AND segmento='ESTR' AND ambito='PM' AND entidade='00100' ) A  Inner join (SELECT instrmnt_id as instrmnt_id_to_be, elgblty_ecb as elgblty_ecb_to_be FROM bu_loantape_work.lt002_instrument WHERE ref_date='2024-09-30' AND nome_perimetro='Individual Corporativo' AND segmento='ESTR' AND ambito='PM' AND entidade='00100' ) B ON instrmnt_id_as_is = instrmnt_id_to_be WHERE coalesce(cast(elgblty_ecb_as_is as string), '') &lt;&gt; coalesce(cast(elgblty_ecb_to_be as string), '') ) A </v>
      </c>
      <c r="O179" s="19" t="str">
        <f t="shared" si="23"/>
        <v>SELECT 'Validação de campos' as tipologia_teste, 'lt002_instrument' AS TABELA, 'elgblty_ecb' AS CAMPO, '2024-09-30' as ref_date, coalesce(NUM_REG_DIF, 0) AS NUM_REG_DIF FROM (SELECT count(*) AS NUM_REG_DIF FROM (SELECT instrmnt_id as instrmnt_id_as_is, elgblty_ecb as elgblty_ecb_as_is FROM cd_loan_tapes_bce.lt002_instrument WHERE ref_date='2024-09-30' AND nome_perimetro='Individual Corporativo' AND segmento='ESTR' AND ambito='PM' AND entidade='00100' ) A  Inner join (SELECT instrmnt_id as instrmnt_id_to_be, elgblty_ecb as elgblty_ecb_to_be FROM bu_loantape_work.lt002_instrument WHERE ref_date='2024-09-30' AND nome_perimetro='Individual Corporativo' AND segmento='ESTR' AND ambito='PM' AND entidade='00100' ) B ON instrmnt_id_as_is = instrmnt_id_to_be WHERE coalesce(cast(elgblty_ecb_as_is as string), '') &lt;&gt; coalesce(cast(elgblty_ecb_to_be as string), '') ) A UNION ALL</v>
      </c>
      <c r="P179" s="17">
        <f t="shared" si="22"/>
        <v>25</v>
      </c>
    </row>
    <row r="180" spans="2:16" s="15" customFormat="1" ht="11.45">
      <c r="B180" s="17" t="s">
        <v>26</v>
      </c>
      <c r="C180" s="17" t="str">
        <f>_xlfn.CONCAT(Instruções!$D$13,".",VLOOKUP(B180,Instruções!$F$12:$H$17,2,0))</f>
        <v>cd_loan_tapes_bce.lt002_instrument</v>
      </c>
      <c r="D180" s="17" t="str">
        <f>_xlfn.CONCAT(Instruções!$D$14,".",VLOOKUP(B180,Instruções!$F$12:$H$17,3,0))</f>
        <v>bu_loantape_work.lt002_instrument</v>
      </c>
      <c r="E180" s="17" t="s">
        <v>233</v>
      </c>
      <c r="F180" s="17" t="str">
        <f t="shared" si="18"/>
        <v>expctd_lss_crr_as_is</v>
      </c>
      <c r="G180" s="17" t="str">
        <f t="shared" si="19"/>
        <v>expctd_lss_crr_to_be</v>
      </c>
      <c r="H180" s="17" t="str">
        <f>IF(VLOOKUP(B180,Instruções!$F$13:$J$17,5,0)="",
"(SELECT "&amp;VLOOKUP(B180,Instruções!$F$13:$J$17,4,0)&amp;" as "&amp;VLOOKUP(B180,Instruções!$F$13:$J$17,4,0)&amp;"_"&amp;$F$2&amp;", "&amp;E180&amp;" as "&amp;F180&amp;" FROM "&amp;C180&amp;" WHERE "&amp;Instruções!$D$20&amp;") A ",
"(SELECT "&amp;VLOOKUP(B180,Instruções!$F$13:$J$17,4,0)&amp;" as "&amp;VLOOKUP(B180,Instruções!$F$13:$J$17,4,0)&amp;"_"&amp;$F$2&amp;", "&amp;VLOOKUP(B180,Instruções!$F$13:$J$17,5,0)&amp;" as "&amp;VLOOKUP(B180,Instruções!$F$13:$J$17,5,0)&amp;"_"&amp;$F$2&amp;","&amp;E180&amp;" as "&amp;F180&amp;" FROM "&amp;C180&amp;" WHERE "&amp;Instruções!$D$20&amp;") A ")</f>
        <v xml:space="preserve">(SELECT instrmnt_id as instrmnt_id_as_is, expctd_lss_crr as expctd_lss_crr_as_is FROM cd_loan_tapes_bce.lt002_instrument WHERE ref_date='2024-09-30' AND nome_perimetro='Individual Corporativo' AND segmento='ESTR' AND ambito='PM' AND entidade='00100' ) A </v>
      </c>
      <c r="I180" s="17" t="str">
        <f>IF(VLOOKUP(B180,Instruções!$F$13:$J$17,5,0)="",
"(SELECT "&amp;VLOOKUP(B180,Instruções!$F$13:$J$17,4,0)&amp;" as "&amp;VLOOKUP(B180,Instruções!$F$13:$J$17,4,0)&amp;"_"&amp;$G$2&amp;", "&amp;E180&amp;" as "&amp;G180&amp;" FROM "&amp;D180&amp;" WHERE "&amp;Instruções!$D$21&amp;") B ",
"(SELECT "&amp;VLOOKUP(B180,Instruções!$F$13:$J$17,4,0)&amp;" as "&amp;VLOOKUP(B180,Instruções!$F$13:$J$17,4,0)&amp;"_"&amp;$G$2&amp;", "&amp;VLOOKUP(B180,Instruções!$F$13:$J$17,5,0)&amp;" as "&amp;VLOOKUP(B180,Instruções!$F$13:$J$17,5,0)&amp;"_"&amp;$G$2&amp;","&amp;E180&amp;" as "&amp;G180&amp;" FROM "&amp;D180&amp;" WHERE "&amp;Instruções!$D$21&amp;") B ")</f>
        <v xml:space="preserve">(SELECT instrmnt_id as instrmnt_id_to_be, expctd_lss_crr as expctd_lss_crr_to_be FROM bu_loantape_work.lt002_instrument WHERE ref_date='2024-09-30' AND nome_perimetro='Individual Corporativo' AND segmento='ESTR' AND ambito='PM' AND entidade='00100' ) B </v>
      </c>
      <c r="J180" s="17" t="str">
        <f>IF(VLOOKUP(B180,Instruções!$F$13:$J$17,5,0)="",
"ON "&amp;VLOOKUP(B180,Instruções!$F$13:$J$17,4,0)&amp;"_"&amp;$F$2&amp;" = "&amp;VLOOKUP(B180,Instruções!$F$13:$J$17,4,0)&amp;"_"&amp;$G$2&amp;" ",
"ON "&amp;VLOOKUP(B180,Instruções!$F$13:$J$17,4,0)&amp;"_"&amp;$F$2&amp;" = "&amp;VLOOKUP(B180,Instruções!$F$13:$J$17,4,0)&amp;"_"&amp;$G$2&amp;" AND "&amp;VLOOKUP(B180,Instruções!$F$13:$J$17,5,0)&amp;"_"&amp;$F$2&amp;" = "&amp;VLOOKUP(B180,Instruções!$F$13:$J$17,5,0)&amp;"_"&amp;$G$2&amp;" ")</f>
        <v xml:space="preserve">ON instrmnt_id_as_is = instrmnt_id_to_be </v>
      </c>
      <c r="K180" s="17" t="str">
        <f t="shared" si="20"/>
        <v xml:space="preserve">WHERE coalesce(cast(expctd_lss_crr_as_is as string), '') &lt;&gt; coalesce(cast(expctd_lss_crr_to_be as string), '') </v>
      </c>
      <c r="L180" s="17" t="str">
        <f t="shared" si="21"/>
        <v xml:space="preserve">SELECT count(*) AS NUM_REG_DIF FROM (SELECT instrmnt_id as instrmnt_id_as_is, expctd_lss_crr as expctd_lss_crr_as_is FROM cd_loan_tapes_bce.lt002_instrument WHERE ref_date='2024-09-30' AND nome_perimetro='Individual Corporativo' AND segmento='ESTR' AND ambito='PM' AND entidade='00100' ) A  Inner join (SELECT instrmnt_id as instrmnt_id_to_be, expctd_lss_crr as expctd_lss_crr_to_be FROM bu_loantape_work.lt002_instrument WHERE ref_date='2024-09-30' AND nome_perimetro='Individual Corporativo' AND segmento='ESTR' AND ambito='PM' AND entidade='00100' ) B ON instrmnt_id_as_is = instrmnt_id_to_be WHERE coalesce(cast(expctd_lss_crr_as_is as string), '') &lt;&gt; coalesce(cast(expctd_lss_crr_to_be as string), '') </v>
      </c>
      <c r="M180" s="17" t="s">
        <v>55</v>
      </c>
      <c r="N180" s="17" t="str">
        <f>"SELECT 'Validação de campos' as tipologia_teste, '"&amp;VLOOKUP(B180,Instruções!$F$13:$J$17,3,0)&amp;"' AS TABELA, '"&amp;E180&amp;"' AS CAMPO, '"&amp;Instruções!$D$15&amp;"' as ref_date, coalesce(NUM_REG_DIF, 0) AS NUM_REG_DIF FROM ("&amp;L180&amp;") A "</f>
        <v xml:space="preserve">SELECT 'Validação de campos' as tipologia_teste, 'lt002_instrument' AS TABELA, 'expctd_lss_crr' AS CAMPO, '2024-09-30' as ref_date, coalesce(NUM_REG_DIF, 0) AS NUM_REG_DIF FROM (SELECT count(*) AS NUM_REG_DIF FROM (SELECT instrmnt_id as instrmnt_id_as_is, expctd_lss_crr as expctd_lss_crr_as_is FROM cd_loan_tapes_bce.lt002_instrument WHERE ref_date='2024-09-30' AND nome_perimetro='Individual Corporativo' AND segmento='ESTR' AND ambito='PM' AND entidade='00100' ) A  Inner join (SELECT instrmnt_id as instrmnt_id_to_be, expctd_lss_crr as expctd_lss_crr_to_be FROM bu_loantape_work.lt002_instrument WHERE ref_date='2024-09-30' AND nome_perimetro='Individual Corporativo' AND segmento='ESTR' AND ambito='PM' AND entidade='00100' ) B ON instrmnt_id_as_is = instrmnt_id_to_be WHERE coalesce(cast(expctd_lss_crr_as_is as string), '') &lt;&gt; coalesce(cast(expctd_lss_crr_to_be as string), '') ) A </v>
      </c>
      <c r="O180" s="19" t="str">
        <f t="shared" si="23"/>
        <v>SELECT 'Validação de campos' as tipologia_teste, 'lt002_instrument' AS TABELA, 'expctd_lss_crr' AS CAMPO, '2024-09-30' as ref_date, coalesce(NUM_REG_DIF, 0) AS NUM_REG_DIF FROM (SELECT count(*) AS NUM_REG_DIF FROM (SELECT instrmnt_id as instrmnt_id_as_is, expctd_lss_crr as expctd_lss_crr_as_is FROM cd_loan_tapes_bce.lt002_instrument WHERE ref_date='2024-09-30' AND nome_perimetro='Individual Corporativo' AND segmento='ESTR' AND ambito='PM' AND entidade='00100' ) A  Inner join (SELECT instrmnt_id as instrmnt_id_to_be, expctd_lss_crr as expctd_lss_crr_to_be FROM bu_loantape_work.lt002_instrument WHERE ref_date='2024-09-30' AND nome_perimetro='Individual Corporativo' AND segmento='ESTR' AND ambito='PM' AND entidade='00100' ) B ON instrmnt_id_as_is = instrmnt_id_to_be WHERE coalesce(cast(expctd_lss_crr_as_is as string), '') &lt;&gt; coalesce(cast(expctd_lss_crr_to_be as string), '') ) A UNION ALL</v>
      </c>
      <c r="P180" s="17">
        <f t="shared" si="22"/>
        <v>26</v>
      </c>
    </row>
    <row r="181" spans="2:16" s="15" customFormat="1" ht="11.45">
      <c r="B181" s="17" t="s">
        <v>26</v>
      </c>
      <c r="C181" s="17" t="str">
        <f>_xlfn.CONCAT(Instruções!$D$13,".",VLOOKUP(B181,Instruções!$F$12:$H$17,2,0))</f>
        <v>cd_loan_tapes_bce.lt002_instrument</v>
      </c>
      <c r="D181" s="17" t="str">
        <f>_xlfn.CONCAT(Instruções!$D$14,".",VLOOKUP(B181,Instruções!$F$12:$H$17,3,0))</f>
        <v>bu_loantape_work.lt002_instrument</v>
      </c>
      <c r="E181" s="17" t="s">
        <v>234</v>
      </c>
      <c r="F181" s="17" t="str">
        <f t="shared" si="18"/>
        <v>expsr_in_scp_as_is</v>
      </c>
      <c r="G181" s="17" t="str">
        <f t="shared" si="19"/>
        <v>expsr_in_scp_to_be</v>
      </c>
      <c r="H181" s="17" t="str">
        <f>IF(VLOOKUP(B181,Instruções!$F$13:$J$17,5,0)="",
"(SELECT "&amp;VLOOKUP(B181,Instruções!$F$13:$J$17,4,0)&amp;" as "&amp;VLOOKUP(B181,Instruções!$F$13:$J$17,4,0)&amp;"_"&amp;$F$2&amp;", "&amp;E181&amp;" as "&amp;F181&amp;" FROM "&amp;C181&amp;" WHERE "&amp;Instruções!$D$20&amp;") A ",
"(SELECT "&amp;VLOOKUP(B181,Instruções!$F$13:$J$17,4,0)&amp;" as "&amp;VLOOKUP(B181,Instruções!$F$13:$J$17,4,0)&amp;"_"&amp;$F$2&amp;", "&amp;VLOOKUP(B181,Instruções!$F$13:$J$17,5,0)&amp;" as "&amp;VLOOKUP(B181,Instruções!$F$13:$J$17,5,0)&amp;"_"&amp;$F$2&amp;","&amp;E181&amp;" as "&amp;F181&amp;" FROM "&amp;C181&amp;" WHERE "&amp;Instruções!$D$20&amp;") A ")</f>
        <v xml:space="preserve">(SELECT instrmnt_id as instrmnt_id_as_is, expsr_in_scp as expsr_in_scp_as_is FROM cd_loan_tapes_bce.lt002_instrument WHERE ref_date='2024-09-30' AND nome_perimetro='Individual Corporativo' AND segmento='ESTR' AND ambito='PM' AND entidade='00100' ) A </v>
      </c>
      <c r="I181" s="17" t="str">
        <f>IF(VLOOKUP(B181,Instruções!$F$13:$J$17,5,0)="",
"(SELECT "&amp;VLOOKUP(B181,Instruções!$F$13:$J$17,4,0)&amp;" as "&amp;VLOOKUP(B181,Instruções!$F$13:$J$17,4,0)&amp;"_"&amp;$G$2&amp;", "&amp;E181&amp;" as "&amp;G181&amp;" FROM "&amp;D181&amp;" WHERE "&amp;Instruções!$D$21&amp;") B ",
"(SELECT "&amp;VLOOKUP(B181,Instruções!$F$13:$J$17,4,0)&amp;" as "&amp;VLOOKUP(B181,Instruções!$F$13:$J$17,4,0)&amp;"_"&amp;$G$2&amp;", "&amp;VLOOKUP(B181,Instruções!$F$13:$J$17,5,0)&amp;" as "&amp;VLOOKUP(B181,Instruções!$F$13:$J$17,5,0)&amp;"_"&amp;$G$2&amp;","&amp;E181&amp;" as "&amp;G181&amp;" FROM "&amp;D181&amp;" WHERE "&amp;Instruções!$D$21&amp;") B ")</f>
        <v xml:space="preserve">(SELECT instrmnt_id as instrmnt_id_to_be, expsr_in_scp as expsr_in_scp_to_be FROM bu_loantape_work.lt002_instrument WHERE ref_date='2024-09-30' AND nome_perimetro='Individual Corporativo' AND segmento='ESTR' AND ambito='PM' AND entidade='00100' ) B </v>
      </c>
      <c r="J181" s="17" t="str">
        <f>IF(VLOOKUP(B181,Instruções!$F$13:$J$17,5,0)="",
"ON "&amp;VLOOKUP(B181,Instruções!$F$13:$J$17,4,0)&amp;"_"&amp;$F$2&amp;" = "&amp;VLOOKUP(B181,Instruções!$F$13:$J$17,4,0)&amp;"_"&amp;$G$2&amp;" ",
"ON "&amp;VLOOKUP(B181,Instruções!$F$13:$J$17,4,0)&amp;"_"&amp;$F$2&amp;" = "&amp;VLOOKUP(B181,Instruções!$F$13:$J$17,4,0)&amp;"_"&amp;$G$2&amp;" AND "&amp;VLOOKUP(B181,Instruções!$F$13:$J$17,5,0)&amp;"_"&amp;$F$2&amp;" = "&amp;VLOOKUP(B181,Instruções!$F$13:$J$17,5,0)&amp;"_"&amp;$G$2&amp;" ")</f>
        <v xml:space="preserve">ON instrmnt_id_as_is = instrmnt_id_to_be </v>
      </c>
      <c r="K181" s="17" t="str">
        <f t="shared" si="20"/>
        <v xml:space="preserve">WHERE coalesce(cast(expsr_in_scp_as_is as string), '') &lt;&gt; coalesce(cast(expsr_in_scp_to_be as string), '') </v>
      </c>
      <c r="L181" s="17" t="str">
        <f t="shared" si="21"/>
        <v xml:space="preserve">SELECT count(*) AS NUM_REG_DIF FROM (SELECT instrmnt_id as instrmnt_id_as_is, expsr_in_scp as expsr_in_scp_as_is FROM cd_loan_tapes_bce.lt002_instrument WHERE ref_date='2024-09-30' AND nome_perimetro='Individual Corporativo' AND segmento='ESTR' AND ambito='PM' AND entidade='00100' ) A  Inner join (SELECT instrmnt_id as instrmnt_id_to_be, expsr_in_scp as expsr_in_scp_to_be FROM bu_loantape_work.lt002_instrument WHERE ref_date='2024-09-30' AND nome_perimetro='Individual Corporativo' AND segmento='ESTR' AND ambito='PM' AND entidade='00100' ) B ON instrmnt_id_as_is = instrmnt_id_to_be WHERE coalesce(cast(expsr_in_scp_as_is as string), '') &lt;&gt; coalesce(cast(expsr_in_scp_to_be as string), '') </v>
      </c>
      <c r="M181" s="17" t="s">
        <v>55</v>
      </c>
      <c r="N181" s="17" t="str">
        <f>"SELECT 'Validação de campos' as tipologia_teste, '"&amp;VLOOKUP(B181,Instruções!$F$13:$J$17,3,0)&amp;"' AS TABELA, '"&amp;E181&amp;"' AS CAMPO, '"&amp;Instruções!$D$15&amp;"' as ref_date, coalesce(NUM_REG_DIF, 0) AS NUM_REG_DIF FROM ("&amp;L181&amp;") A "</f>
        <v xml:space="preserve">SELECT 'Validação de campos' as tipologia_teste, 'lt002_instrument' AS TABELA, 'expsr_in_scp' AS CAMPO, '2024-09-30' as ref_date, coalesce(NUM_REG_DIF, 0) AS NUM_REG_DIF FROM (SELECT count(*) AS NUM_REG_DIF FROM (SELECT instrmnt_id as instrmnt_id_as_is, expsr_in_scp as expsr_in_scp_as_is FROM cd_loan_tapes_bce.lt002_instrument WHERE ref_date='2024-09-30' AND nome_perimetro='Individual Corporativo' AND segmento='ESTR' AND ambito='PM' AND entidade='00100' ) A  Inner join (SELECT instrmnt_id as instrmnt_id_to_be, expsr_in_scp as expsr_in_scp_to_be FROM bu_loantape_work.lt002_instrument WHERE ref_date='2024-09-30' AND nome_perimetro='Individual Corporativo' AND segmento='ESTR' AND ambito='PM' AND entidade='00100' ) B ON instrmnt_id_as_is = instrmnt_id_to_be WHERE coalesce(cast(expsr_in_scp_as_is as string), '') &lt;&gt; coalesce(cast(expsr_in_scp_to_be as string), '') ) A </v>
      </c>
      <c r="O181" s="19" t="str">
        <f t="shared" si="23"/>
        <v>SELECT 'Validação de campos' as tipologia_teste, 'lt002_instrument' AS TABELA, 'expsr_in_scp' AS CAMPO, '2024-09-30' as ref_date, coalesce(NUM_REG_DIF, 0) AS NUM_REG_DIF FROM (SELECT count(*) AS NUM_REG_DIF FROM (SELECT instrmnt_id as instrmnt_id_as_is, expsr_in_scp as expsr_in_scp_as_is FROM cd_loan_tapes_bce.lt002_instrument WHERE ref_date='2024-09-30' AND nome_perimetro='Individual Corporativo' AND segmento='ESTR' AND ambito='PM' AND entidade='00100' ) A  Inner join (SELECT instrmnt_id as instrmnt_id_to_be, expsr_in_scp as expsr_in_scp_to_be FROM bu_loantape_work.lt002_instrument WHERE ref_date='2024-09-30' AND nome_perimetro='Individual Corporativo' AND segmento='ESTR' AND ambito='PM' AND entidade='00100' ) B ON instrmnt_id_as_is = instrmnt_id_to_be WHERE coalesce(cast(expsr_in_scp_as_is as string), '') &lt;&gt; coalesce(cast(expsr_in_scp_to_be as string), '') ) A UNION ALL</v>
      </c>
      <c r="P181" s="17">
        <f t="shared" si="22"/>
        <v>27</v>
      </c>
    </row>
    <row r="182" spans="2:16" s="15" customFormat="1" ht="11.45">
      <c r="B182" s="17" t="s">
        <v>26</v>
      </c>
      <c r="C182" s="17" t="str">
        <f>_xlfn.CONCAT(Instruções!$D$13,".",VLOOKUP(B182,Instruções!$F$12:$H$17,2,0))</f>
        <v>cd_loan_tapes_bce.lt002_instrument</v>
      </c>
      <c r="D182" s="17" t="str">
        <f>_xlfn.CONCAT(Instruções!$D$14,".",VLOOKUP(B182,Instruções!$F$12:$H$17,3,0))</f>
        <v>bu_loantape_work.lt002_instrument</v>
      </c>
      <c r="E182" s="17" t="s">
        <v>235</v>
      </c>
      <c r="F182" s="17" t="str">
        <f t="shared" si="18"/>
        <v>fld_syndctn_as_is</v>
      </c>
      <c r="G182" s="17" t="str">
        <f t="shared" si="19"/>
        <v>fld_syndctn_to_be</v>
      </c>
      <c r="H182" s="17" t="str">
        <f>IF(VLOOKUP(B182,Instruções!$F$13:$J$17,5,0)="",
"(SELECT "&amp;VLOOKUP(B182,Instruções!$F$13:$J$17,4,0)&amp;" as "&amp;VLOOKUP(B182,Instruções!$F$13:$J$17,4,0)&amp;"_"&amp;$F$2&amp;", "&amp;E182&amp;" as "&amp;F182&amp;" FROM "&amp;C182&amp;" WHERE "&amp;Instruções!$D$20&amp;") A ",
"(SELECT "&amp;VLOOKUP(B182,Instruções!$F$13:$J$17,4,0)&amp;" as "&amp;VLOOKUP(B182,Instruções!$F$13:$J$17,4,0)&amp;"_"&amp;$F$2&amp;", "&amp;VLOOKUP(B182,Instruções!$F$13:$J$17,5,0)&amp;" as "&amp;VLOOKUP(B182,Instruções!$F$13:$J$17,5,0)&amp;"_"&amp;$F$2&amp;","&amp;E182&amp;" as "&amp;F182&amp;" FROM "&amp;C182&amp;" WHERE "&amp;Instruções!$D$20&amp;") A ")</f>
        <v xml:space="preserve">(SELECT instrmnt_id as instrmnt_id_as_is, fld_syndctn as fld_syndctn_as_is FROM cd_loan_tapes_bce.lt002_instrument WHERE ref_date='2024-09-30' AND nome_perimetro='Individual Corporativo' AND segmento='ESTR' AND ambito='PM' AND entidade='00100' ) A </v>
      </c>
      <c r="I182" s="17" t="str">
        <f>IF(VLOOKUP(B182,Instruções!$F$13:$J$17,5,0)="",
"(SELECT "&amp;VLOOKUP(B182,Instruções!$F$13:$J$17,4,0)&amp;" as "&amp;VLOOKUP(B182,Instruções!$F$13:$J$17,4,0)&amp;"_"&amp;$G$2&amp;", "&amp;E182&amp;" as "&amp;G182&amp;" FROM "&amp;D182&amp;" WHERE "&amp;Instruções!$D$21&amp;") B ",
"(SELECT "&amp;VLOOKUP(B182,Instruções!$F$13:$J$17,4,0)&amp;" as "&amp;VLOOKUP(B182,Instruções!$F$13:$J$17,4,0)&amp;"_"&amp;$G$2&amp;", "&amp;VLOOKUP(B182,Instruções!$F$13:$J$17,5,0)&amp;" as "&amp;VLOOKUP(B182,Instruções!$F$13:$J$17,5,0)&amp;"_"&amp;$G$2&amp;","&amp;E182&amp;" as "&amp;G182&amp;" FROM "&amp;D182&amp;" WHERE "&amp;Instruções!$D$21&amp;") B ")</f>
        <v xml:space="preserve">(SELECT instrmnt_id as instrmnt_id_to_be, fld_syndctn as fld_syndctn_to_be FROM bu_loantape_work.lt002_instrument WHERE ref_date='2024-09-30' AND nome_perimetro='Individual Corporativo' AND segmento='ESTR' AND ambito='PM' AND entidade='00100' ) B </v>
      </c>
      <c r="J182" s="17" t="str">
        <f>IF(VLOOKUP(B182,Instruções!$F$13:$J$17,5,0)="",
"ON "&amp;VLOOKUP(B182,Instruções!$F$13:$J$17,4,0)&amp;"_"&amp;$F$2&amp;" = "&amp;VLOOKUP(B182,Instruções!$F$13:$J$17,4,0)&amp;"_"&amp;$G$2&amp;" ",
"ON "&amp;VLOOKUP(B182,Instruções!$F$13:$J$17,4,0)&amp;"_"&amp;$F$2&amp;" = "&amp;VLOOKUP(B182,Instruções!$F$13:$J$17,4,0)&amp;"_"&amp;$G$2&amp;" AND "&amp;VLOOKUP(B182,Instruções!$F$13:$J$17,5,0)&amp;"_"&amp;$F$2&amp;" = "&amp;VLOOKUP(B182,Instruções!$F$13:$J$17,5,0)&amp;"_"&amp;$G$2&amp;" ")</f>
        <v xml:space="preserve">ON instrmnt_id_as_is = instrmnt_id_to_be </v>
      </c>
      <c r="K182" s="17" t="str">
        <f t="shared" si="20"/>
        <v xml:space="preserve">WHERE coalesce(cast(fld_syndctn_as_is as string), '') &lt;&gt; coalesce(cast(fld_syndctn_to_be as string), '') </v>
      </c>
      <c r="L182" s="17" t="str">
        <f t="shared" si="21"/>
        <v xml:space="preserve">SELECT count(*) AS NUM_REG_DIF FROM (SELECT instrmnt_id as instrmnt_id_as_is, fld_syndctn as fld_syndctn_as_is FROM cd_loan_tapes_bce.lt002_instrument WHERE ref_date='2024-09-30' AND nome_perimetro='Individual Corporativo' AND segmento='ESTR' AND ambito='PM' AND entidade='00100' ) A  Inner join (SELECT instrmnt_id as instrmnt_id_to_be, fld_syndctn as fld_syndctn_to_be FROM bu_loantape_work.lt002_instrument WHERE ref_date='2024-09-30' AND nome_perimetro='Individual Corporativo' AND segmento='ESTR' AND ambito='PM' AND entidade='00100' ) B ON instrmnt_id_as_is = instrmnt_id_to_be WHERE coalesce(cast(fld_syndctn_as_is as string), '') &lt;&gt; coalesce(cast(fld_syndctn_to_be as string), '') </v>
      </c>
      <c r="M182" s="17" t="s">
        <v>55</v>
      </c>
      <c r="N182" s="17" t="str">
        <f>"SELECT 'Validação de campos' as tipologia_teste, '"&amp;VLOOKUP(B182,Instruções!$F$13:$J$17,3,0)&amp;"' AS TABELA, '"&amp;E182&amp;"' AS CAMPO, '"&amp;Instruções!$D$15&amp;"' as ref_date, coalesce(NUM_REG_DIF, 0) AS NUM_REG_DIF FROM ("&amp;L182&amp;") A "</f>
        <v xml:space="preserve">SELECT 'Validação de campos' as tipologia_teste, 'lt002_instrument' AS TABELA, 'fld_syndctn' AS CAMPO, '2024-09-30' as ref_date, coalesce(NUM_REG_DIF, 0) AS NUM_REG_DIF FROM (SELECT count(*) AS NUM_REG_DIF FROM (SELECT instrmnt_id as instrmnt_id_as_is, fld_syndctn as fld_syndctn_as_is FROM cd_loan_tapes_bce.lt002_instrument WHERE ref_date='2024-09-30' AND nome_perimetro='Individual Corporativo' AND segmento='ESTR' AND ambito='PM' AND entidade='00100' ) A  Inner join (SELECT instrmnt_id as instrmnt_id_to_be, fld_syndctn as fld_syndctn_to_be FROM bu_loantape_work.lt002_instrument WHERE ref_date='2024-09-30' AND nome_perimetro='Individual Corporativo' AND segmento='ESTR' AND ambito='PM' AND entidade='00100' ) B ON instrmnt_id_as_is = instrmnt_id_to_be WHERE coalesce(cast(fld_syndctn_as_is as string), '') &lt;&gt; coalesce(cast(fld_syndctn_to_be as string), '') ) A </v>
      </c>
      <c r="O182" s="19" t="str">
        <f t="shared" si="23"/>
        <v>SELECT 'Validação de campos' as tipologia_teste, 'lt002_instrument' AS TABELA, 'fld_syndctn' AS CAMPO, '2024-09-30' as ref_date, coalesce(NUM_REG_DIF, 0) AS NUM_REG_DIF FROM (SELECT count(*) AS NUM_REG_DIF FROM (SELECT instrmnt_id as instrmnt_id_as_is, fld_syndctn as fld_syndctn_as_is FROM cd_loan_tapes_bce.lt002_instrument WHERE ref_date='2024-09-30' AND nome_perimetro='Individual Corporativo' AND segmento='ESTR' AND ambito='PM' AND entidade='00100' ) A  Inner join (SELECT instrmnt_id as instrmnt_id_to_be, fld_syndctn as fld_syndctn_to_be FROM bu_loantape_work.lt002_instrument WHERE ref_date='2024-09-30' AND nome_perimetro='Individual Corporativo' AND segmento='ESTR' AND ambito='PM' AND entidade='00100' ) B ON instrmnt_id_as_is = instrmnt_id_to_be WHERE coalesce(cast(fld_syndctn_as_is as string), '') &lt;&gt; coalesce(cast(fld_syndctn_to_be as string), '') ) A UNION ALL</v>
      </c>
      <c r="P182" s="17">
        <f t="shared" si="22"/>
        <v>28</v>
      </c>
    </row>
    <row r="183" spans="2:16" s="15" customFormat="1" ht="11.45">
      <c r="B183" s="17" t="s">
        <v>26</v>
      </c>
      <c r="C183" s="17" t="str">
        <f>_xlfn.CONCAT(Instruções!$D$13,".",VLOOKUP(B183,Instruções!$F$12:$H$17,2,0))</f>
        <v>cd_loan_tapes_bce.lt002_instrument</v>
      </c>
      <c r="D183" s="17" t="str">
        <f>_xlfn.CONCAT(Instruções!$D$14,".",VLOOKUP(B183,Instruções!$F$12:$H$17,3,0))</f>
        <v>bu_loantape_work.lt002_instrument</v>
      </c>
      <c r="E183" s="17" t="s">
        <v>236</v>
      </c>
      <c r="F183" s="17" t="str">
        <f t="shared" si="18"/>
        <v>flg_lbo_as_is</v>
      </c>
      <c r="G183" s="17" t="str">
        <f t="shared" si="19"/>
        <v>flg_lbo_to_be</v>
      </c>
      <c r="H183" s="17" t="str">
        <f>IF(VLOOKUP(B183,Instruções!$F$13:$J$17,5,0)="",
"(SELECT "&amp;VLOOKUP(B183,Instruções!$F$13:$J$17,4,0)&amp;" as "&amp;VLOOKUP(B183,Instruções!$F$13:$J$17,4,0)&amp;"_"&amp;$F$2&amp;", "&amp;E183&amp;" as "&amp;F183&amp;" FROM "&amp;C183&amp;" WHERE "&amp;Instruções!$D$20&amp;") A ",
"(SELECT "&amp;VLOOKUP(B183,Instruções!$F$13:$J$17,4,0)&amp;" as "&amp;VLOOKUP(B183,Instruções!$F$13:$J$17,4,0)&amp;"_"&amp;$F$2&amp;", "&amp;VLOOKUP(B183,Instruções!$F$13:$J$17,5,0)&amp;" as "&amp;VLOOKUP(B183,Instruções!$F$13:$J$17,5,0)&amp;"_"&amp;$F$2&amp;","&amp;E183&amp;" as "&amp;F183&amp;" FROM "&amp;C183&amp;" WHERE "&amp;Instruções!$D$20&amp;") A ")</f>
        <v xml:space="preserve">(SELECT instrmnt_id as instrmnt_id_as_is, flg_lbo as flg_lbo_as_is FROM cd_loan_tapes_bce.lt002_instrument WHERE ref_date='2024-09-30' AND nome_perimetro='Individual Corporativo' AND segmento='ESTR' AND ambito='PM' AND entidade='00100' ) A </v>
      </c>
      <c r="I183" s="17" t="str">
        <f>IF(VLOOKUP(B183,Instruções!$F$13:$J$17,5,0)="",
"(SELECT "&amp;VLOOKUP(B183,Instruções!$F$13:$J$17,4,0)&amp;" as "&amp;VLOOKUP(B183,Instruções!$F$13:$J$17,4,0)&amp;"_"&amp;$G$2&amp;", "&amp;E183&amp;" as "&amp;G183&amp;" FROM "&amp;D183&amp;" WHERE "&amp;Instruções!$D$21&amp;") B ",
"(SELECT "&amp;VLOOKUP(B183,Instruções!$F$13:$J$17,4,0)&amp;" as "&amp;VLOOKUP(B183,Instruções!$F$13:$J$17,4,0)&amp;"_"&amp;$G$2&amp;", "&amp;VLOOKUP(B183,Instruções!$F$13:$J$17,5,0)&amp;" as "&amp;VLOOKUP(B183,Instruções!$F$13:$J$17,5,0)&amp;"_"&amp;$G$2&amp;","&amp;E183&amp;" as "&amp;G183&amp;" FROM "&amp;D183&amp;" WHERE "&amp;Instruções!$D$21&amp;") B ")</f>
        <v xml:space="preserve">(SELECT instrmnt_id as instrmnt_id_to_be, flg_lbo as flg_lbo_to_be FROM bu_loantape_work.lt002_instrument WHERE ref_date='2024-09-30' AND nome_perimetro='Individual Corporativo' AND segmento='ESTR' AND ambito='PM' AND entidade='00100' ) B </v>
      </c>
      <c r="J183" s="17" t="str">
        <f>IF(VLOOKUP(B183,Instruções!$F$13:$J$17,5,0)="",
"ON "&amp;VLOOKUP(B183,Instruções!$F$13:$J$17,4,0)&amp;"_"&amp;$F$2&amp;" = "&amp;VLOOKUP(B183,Instruções!$F$13:$J$17,4,0)&amp;"_"&amp;$G$2&amp;" ",
"ON "&amp;VLOOKUP(B183,Instruções!$F$13:$J$17,4,0)&amp;"_"&amp;$F$2&amp;" = "&amp;VLOOKUP(B183,Instruções!$F$13:$J$17,4,0)&amp;"_"&amp;$G$2&amp;" AND "&amp;VLOOKUP(B183,Instruções!$F$13:$J$17,5,0)&amp;"_"&amp;$F$2&amp;" = "&amp;VLOOKUP(B183,Instruções!$F$13:$J$17,5,0)&amp;"_"&amp;$G$2&amp;" ")</f>
        <v xml:space="preserve">ON instrmnt_id_as_is = instrmnt_id_to_be </v>
      </c>
      <c r="K183" s="17" t="str">
        <f t="shared" si="20"/>
        <v xml:space="preserve">WHERE coalesce(cast(flg_lbo_as_is as string), '') &lt;&gt; coalesce(cast(flg_lbo_to_be as string), '') </v>
      </c>
      <c r="L183" s="17" t="str">
        <f t="shared" si="21"/>
        <v xml:space="preserve">SELECT count(*) AS NUM_REG_DIF FROM (SELECT instrmnt_id as instrmnt_id_as_is, flg_lbo as flg_lbo_as_is FROM cd_loan_tapes_bce.lt002_instrument WHERE ref_date='2024-09-30' AND nome_perimetro='Individual Corporativo' AND segmento='ESTR' AND ambito='PM' AND entidade='00100' ) A  Inner join (SELECT instrmnt_id as instrmnt_id_to_be, flg_lbo as flg_lbo_to_be FROM bu_loantape_work.lt002_instrument WHERE ref_date='2024-09-30' AND nome_perimetro='Individual Corporativo' AND segmento='ESTR' AND ambito='PM' AND entidade='00100' ) B ON instrmnt_id_as_is = instrmnt_id_to_be WHERE coalesce(cast(flg_lbo_as_is as string), '') &lt;&gt; coalesce(cast(flg_lbo_to_be as string), '') </v>
      </c>
      <c r="M183" s="17" t="s">
        <v>55</v>
      </c>
      <c r="N183" s="17" t="str">
        <f>"SELECT 'Validação de campos' as tipologia_teste, '"&amp;VLOOKUP(B183,Instruções!$F$13:$J$17,3,0)&amp;"' AS TABELA, '"&amp;E183&amp;"' AS CAMPO, '"&amp;Instruções!$D$15&amp;"' as ref_date, coalesce(NUM_REG_DIF, 0) AS NUM_REG_DIF FROM ("&amp;L183&amp;") A "</f>
        <v xml:space="preserve">SELECT 'Validação de campos' as tipologia_teste, 'lt002_instrument' AS TABELA, 'flg_lbo' AS CAMPO, '2024-09-30' as ref_date, coalesce(NUM_REG_DIF, 0) AS NUM_REG_DIF FROM (SELECT count(*) AS NUM_REG_DIF FROM (SELECT instrmnt_id as instrmnt_id_as_is, flg_lbo as flg_lbo_as_is FROM cd_loan_tapes_bce.lt002_instrument WHERE ref_date='2024-09-30' AND nome_perimetro='Individual Corporativo' AND segmento='ESTR' AND ambito='PM' AND entidade='00100' ) A  Inner join (SELECT instrmnt_id as instrmnt_id_to_be, flg_lbo as flg_lbo_to_be FROM bu_loantape_work.lt002_instrument WHERE ref_date='2024-09-30' AND nome_perimetro='Individual Corporativo' AND segmento='ESTR' AND ambito='PM' AND entidade='00100' ) B ON instrmnt_id_as_is = instrmnt_id_to_be WHERE coalesce(cast(flg_lbo_as_is as string), '') &lt;&gt; coalesce(cast(flg_lbo_to_be as string), '') ) A </v>
      </c>
      <c r="O183" s="19" t="str">
        <f t="shared" si="23"/>
        <v>SELECT 'Validação de campos' as tipologia_teste, 'lt002_instrument' AS TABELA, 'flg_lbo' AS CAMPO, '2024-09-30' as ref_date, coalesce(NUM_REG_DIF, 0) AS NUM_REG_DIF FROM (SELECT count(*) AS NUM_REG_DIF FROM (SELECT instrmnt_id as instrmnt_id_as_is, flg_lbo as flg_lbo_as_is FROM cd_loan_tapes_bce.lt002_instrument WHERE ref_date='2024-09-30' AND nome_perimetro='Individual Corporativo' AND segmento='ESTR' AND ambito='PM' AND entidade='00100' ) A  Inner join (SELECT instrmnt_id as instrmnt_id_to_be, flg_lbo as flg_lbo_to_be FROM bu_loantape_work.lt002_instrument WHERE ref_date='2024-09-30' AND nome_perimetro='Individual Corporativo' AND segmento='ESTR' AND ambito='PM' AND entidade='00100' ) B ON instrmnt_id_as_is = instrmnt_id_to_be WHERE coalesce(cast(flg_lbo_as_is as string), '') &lt;&gt; coalesce(cast(flg_lbo_to_be as string), '') ) A UNION ALL</v>
      </c>
      <c r="P183" s="17">
        <f t="shared" si="22"/>
        <v>29</v>
      </c>
    </row>
    <row r="184" spans="2:16" s="15" customFormat="1" ht="11.45">
      <c r="B184" s="17" t="s">
        <v>26</v>
      </c>
      <c r="C184" s="17" t="str">
        <f>_xlfn.CONCAT(Instruções!$D$13,".",VLOOKUP(B184,Instruções!$F$12:$H$17,2,0))</f>
        <v>cd_loan_tapes_bce.lt002_instrument</v>
      </c>
      <c r="D184" s="17" t="str">
        <f>_xlfn.CONCAT(Instruções!$D$14,".",VLOOKUP(B184,Instruções!$F$12:$H$17,3,0))</f>
        <v>bu_loantape_work.lt002_instrument</v>
      </c>
      <c r="E184" s="17" t="s">
        <v>237</v>
      </c>
      <c r="F184" s="17" t="str">
        <f t="shared" si="18"/>
        <v>frbrnc_stts_c19_as_is</v>
      </c>
      <c r="G184" s="17" t="str">
        <f t="shared" si="19"/>
        <v>frbrnc_stts_c19_to_be</v>
      </c>
      <c r="H184" s="17" t="str">
        <f>IF(VLOOKUP(B184,Instruções!$F$13:$J$17,5,0)="",
"(SELECT "&amp;VLOOKUP(B184,Instruções!$F$13:$J$17,4,0)&amp;" as "&amp;VLOOKUP(B184,Instruções!$F$13:$J$17,4,0)&amp;"_"&amp;$F$2&amp;", "&amp;E184&amp;" as "&amp;F184&amp;" FROM "&amp;C184&amp;" WHERE "&amp;Instruções!$D$20&amp;") A ",
"(SELECT "&amp;VLOOKUP(B184,Instruções!$F$13:$J$17,4,0)&amp;" as "&amp;VLOOKUP(B184,Instruções!$F$13:$J$17,4,0)&amp;"_"&amp;$F$2&amp;", "&amp;VLOOKUP(B184,Instruções!$F$13:$J$17,5,0)&amp;" as "&amp;VLOOKUP(B184,Instruções!$F$13:$J$17,5,0)&amp;"_"&amp;$F$2&amp;","&amp;E184&amp;" as "&amp;F184&amp;" FROM "&amp;C184&amp;" WHERE "&amp;Instruções!$D$20&amp;") A ")</f>
        <v xml:space="preserve">(SELECT instrmnt_id as instrmnt_id_as_is, frbrnc_stts_c19 as frbrnc_stts_c19_as_is FROM cd_loan_tapes_bce.lt002_instrument WHERE ref_date='2024-09-30' AND nome_perimetro='Individual Corporativo' AND segmento='ESTR' AND ambito='PM' AND entidade='00100' ) A </v>
      </c>
      <c r="I184" s="17" t="str">
        <f>IF(VLOOKUP(B184,Instruções!$F$13:$J$17,5,0)="",
"(SELECT "&amp;VLOOKUP(B184,Instruções!$F$13:$J$17,4,0)&amp;" as "&amp;VLOOKUP(B184,Instruções!$F$13:$J$17,4,0)&amp;"_"&amp;$G$2&amp;", "&amp;E184&amp;" as "&amp;G184&amp;" FROM "&amp;D184&amp;" WHERE "&amp;Instruções!$D$21&amp;") B ",
"(SELECT "&amp;VLOOKUP(B184,Instruções!$F$13:$J$17,4,0)&amp;" as "&amp;VLOOKUP(B184,Instruções!$F$13:$J$17,4,0)&amp;"_"&amp;$G$2&amp;", "&amp;VLOOKUP(B184,Instruções!$F$13:$J$17,5,0)&amp;" as "&amp;VLOOKUP(B184,Instruções!$F$13:$J$17,5,0)&amp;"_"&amp;$G$2&amp;","&amp;E184&amp;" as "&amp;G184&amp;" FROM "&amp;D184&amp;" WHERE "&amp;Instruções!$D$21&amp;") B ")</f>
        <v xml:space="preserve">(SELECT instrmnt_id as instrmnt_id_to_be, frbrnc_stts_c19 as frbrnc_stts_c19_to_be FROM bu_loantape_work.lt002_instrument WHERE ref_date='2024-09-30' AND nome_perimetro='Individual Corporativo' AND segmento='ESTR' AND ambito='PM' AND entidade='00100' ) B </v>
      </c>
      <c r="J184" s="17" t="str">
        <f>IF(VLOOKUP(B184,Instruções!$F$13:$J$17,5,0)="",
"ON "&amp;VLOOKUP(B184,Instruções!$F$13:$J$17,4,0)&amp;"_"&amp;$F$2&amp;" = "&amp;VLOOKUP(B184,Instruções!$F$13:$J$17,4,0)&amp;"_"&amp;$G$2&amp;" ",
"ON "&amp;VLOOKUP(B184,Instruções!$F$13:$J$17,4,0)&amp;"_"&amp;$F$2&amp;" = "&amp;VLOOKUP(B184,Instruções!$F$13:$J$17,4,0)&amp;"_"&amp;$G$2&amp;" AND "&amp;VLOOKUP(B184,Instruções!$F$13:$J$17,5,0)&amp;"_"&amp;$F$2&amp;" = "&amp;VLOOKUP(B184,Instruções!$F$13:$J$17,5,0)&amp;"_"&amp;$G$2&amp;" ")</f>
        <v xml:space="preserve">ON instrmnt_id_as_is = instrmnt_id_to_be </v>
      </c>
      <c r="K184" s="17" t="str">
        <f t="shared" si="20"/>
        <v xml:space="preserve">WHERE coalesce(cast(frbrnc_stts_c19_as_is as string), '') &lt;&gt; coalesce(cast(frbrnc_stts_c19_to_be as string), '') </v>
      </c>
      <c r="L184" s="17" t="str">
        <f t="shared" si="21"/>
        <v xml:space="preserve">SELECT count(*) AS NUM_REG_DIF FROM (SELECT instrmnt_id as instrmnt_id_as_is, frbrnc_stts_c19 as frbrnc_stts_c19_as_is FROM cd_loan_tapes_bce.lt002_instrument WHERE ref_date='2024-09-30' AND nome_perimetro='Individual Corporativo' AND segmento='ESTR' AND ambito='PM' AND entidade='00100' ) A  Inner join (SELECT instrmnt_id as instrmnt_id_to_be, frbrnc_stts_c19 as frbrnc_stts_c19_to_be FROM bu_loantape_work.lt002_instrument WHERE ref_date='2024-09-30' AND nome_perimetro='Individual Corporativo' AND segmento='ESTR' AND ambito='PM' AND entidade='00100' ) B ON instrmnt_id_as_is = instrmnt_id_to_be WHERE coalesce(cast(frbrnc_stts_c19_as_is as string), '') &lt;&gt; coalesce(cast(frbrnc_stts_c19_to_be as string), '') </v>
      </c>
      <c r="M184" s="17" t="s">
        <v>55</v>
      </c>
      <c r="N184" s="17" t="str">
        <f>"SELECT 'Validação de campos' as tipologia_teste, '"&amp;VLOOKUP(B184,Instruções!$F$13:$J$17,3,0)&amp;"' AS TABELA, '"&amp;E184&amp;"' AS CAMPO, '"&amp;Instruções!$D$15&amp;"' as ref_date, coalesce(NUM_REG_DIF, 0) AS NUM_REG_DIF FROM ("&amp;L184&amp;") A "</f>
        <v xml:space="preserve">SELECT 'Validação de campos' as tipologia_teste, 'lt002_instrument' AS TABELA, 'frbrnc_stts_c19' AS CAMPO, '2024-09-30' as ref_date, coalesce(NUM_REG_DIF, 0) AS NUM_REG_DIF FROM (SELECT count(*) AS NUM_REG_DIF FROM (SELECT instrmnt_id as instrmnt_id_as_is, frbrnc_stts_c19 as frbrnc_stts_c19_as_is FROM cd_loan_tapes_bce.lt002_instrument WHERE ref_date='2024-09-30' AND nome_perimetro='Individual Corporativo' AND segmento='ESTR' AND ambito='PM' AND entidade='00100' ) A  Inner join (SELECT instrmnt_id as instrmnt_id_to_be, frbrnc_stts_c19 as frbrnc_stts_c19_to_be FROM bu_loantape_work.lt002_instrument WHERE ref_date='2024-09-30' AND nome_perimetro='Individual Corporativo' AND segmento='ESTR' AND ambito='PM' AND entidade='00100' ) B ON instrmnt_id_as_is = instrmnt_id_to_be WHERE coalesce(cast(frbrnc_stts_c19_as_is as string), '') &lt;&gt; coalesce(cast(frbrnc_stts_c19_to_be as string), '') ) A </v>
      </c>
      <c r="O184" s="19" t="str">
        <f t="shared" si="23"/>
        <v>SELECT 'Validação de campos' as tipologia_teste, 'lt002_instrument' AS TABELA, 'frbrnc_stts_c19' AS CAMPO, '2024-09-30' as ref_date, coalesce(NUM_REG_DIF, 0) AS NUM_REG_DIF FROM (SELECT count(*) AS NUM_REG_DIF FROM (SELECT instrmnt_id as instrmnt_id_as_is, frbrnc_stts_c19 as frbrnc_stts_c19_as_is FROM cd_loan_tapes_bce.lt002_instrument WHERE ref_date='2024-09-30' AND nome_perimetro='Individual Corporativo' AND segmento='ESTR' AND ambito='PM' AND entidade='00100' ) A  Inner join (SELECT instrmnt_id as instrmnt_id_to_be, frbrnc_stts_c19 as frbrnc_stts_c19_to_be FROM bu_loantape_work.lt002_instrument WHERE ref_date='2024-09-30' AND nome_perimetro='Individual Corporativo' AND segmento='ESTR' AND ambito='PM' AND entidade='00100' ) B ON instrmnt_id_as_is = instrmnt_id_to_be WHERE coalesce(cast(frbrnc_stts_c19_as_is as string), '') &lt;&gt; coalesce(cast(frbrnc_stts_c19_to_be as string), '') ) A UNION ALL</v>
      </c>
      <c r="P184" s="17">
        <f t="shared" si="22"/>
        <v>30</v>
      </c>
    </row>
    <row r="185" spans="2:16" s="15" customFormat="1" ht="11.45">
      <c r="B185" s="17" t="s">
        <v>26</v>
      </c>
      <c r="C185" s="17" t="str">
        <f>_xlfn.CONCAT(Instruções!$D$13,".",VLOOKUP(B185,Instruções!$F$12:$H$17,2,0))</f>
        <v>cd_loan_tapes_bce.lt002_instrument</v>
      </c>
      <c r="D185" s="17" t="str">
        <f>_xlfn.CONCAT(Instruções!$D$14,".",VLOOKUP(B185,Instruções!$F$12:$H$17,3,0))</f>
        <v>bu_loantape_work.lt002_instrument</v>
      </c>
      <c r="E185" s="17" t="s">
        <v>238</v>
      </c>
      <c r="F185" s="17" t="str">
        <f t="shared" si="18"/>
        <v>frbrnc_stts_instrmnt_as_is</v>
      </c>
      <c r="G185" s="17" t="str">
        <f t="shared" si="19"/>
        <v>frbrnc_stts_instrmnt_to_be</v>
      </c>
      <c r="H185" s="17" t="str">
        <f>IF(VLOOKUP(B185,Instruções!$F$13:$J$17,5,0)="",
"(SELECT "&amp;VLOOKUP(B185,Instruções!$F$13:$J$17,4,0)&amp;" as "&amp;VLOOKUP(B185,Instruções!$F$13:$J$17,4,0)&amp;"_"&amp;$F$2&amp;", "&amp;E185&amp;" as "&amp;F185&amp;" FROM "&amp;C185&amp;" WHERE "&amp;Instruções!$D$20&amp;") A ",
"(SELECT "&amp;VLOOKUP(B185,Instruções!$F$13:$J$17,4,0)&amp;" as "&amp;VLOOKUP(B185,Instruções!$F$13:$J$17,4,0)&amp;"_"&amp;$F$2&amp;", "&amp;VLOOKUP(B185,Instruções!$F$13:$J$17,5,0)&amp;" as "&amp;VLOOKUP(B185,Instruções!$F$13:$J$17,5,0)&amp;"_"&amp;$F$2&amp;","&amp;E185&amp;" as "&amp;F185&amp;" FROM "&amp;C185&amp;" WHERE "&amp;Instruções!$D$20&amp;") A ")</f>
        <v xml:space="preserve">(SELECT instrmnt_id as instrmnt_id_as_is, frbrnc_stts_instrmnt as frbrnc_stts_instrmnt_as_is FROM cd_loan_tapes_bce.lt002_instrument WHERE ref_date='2024-09-30' AND nome_perimetro='Individual Corporativo' AND segmento='ESTR' AND ambito='PM' AND entidade='00100' ) A </v>
      </c>
      <c r="I185" s="17" t="str">
        <f>IF(VLOOKUP(B185,Instruções!$F$13:$J$17,5,0)="",
"(SELECT "&amp;VLOOKUP(B185,Instruções!$F$13:$J$17,4,0)&amp;" as "&amp;VLOOKUP(B185,Instruções!$F$13:$J$17,4,0)&amp;"_"&amp;$G$2&amp;", "&amp;E185&amp;" as "&amp;G185&amp;" FROM "&amp;D185&amp;" WHERE "&amp;Instruções!$D$21&amp;") B ",
"(SELECT "&amp;VLOOKUP(B185,Instruções!$F$13:$J$17,4,0)&amp;" as "&amp;VLOOKUP(B185,Instruções!$F$13:$J$17,4,0)&amp;"_"&amp;$G$2&amp;", "&amp;VLOOKUP(B185,Instruções!$F$13:$J$17,5,0)&amp;" as "&amp;VLOOKUP(B185,Instruções!$F$13:$J$17,5,0)&amp;"_"&amp;$G$2&amp;","&amp;E185&amp;" as "&amp;G185&amp;" FROM "&amp;D185&amp;" WHERE "&amp;Instruções!$D$21&amp;") B ")</f>
        <v xml:space="preserve">(SELECT instrmnt_id as instrmnt_id_to_be, frbrnc_stts_instrmnt as frbrnc_stts_instrmnt_to_be FROM bu_loantape_work.lt002_instrument WHERE ref_date='2024-09-30' AND nome_perimetro='Individual Corporativo' AND segmento='ESTR' AND ambito='PM' AND entidade='00100' ) B </v>
      </c>
      <c r="J185" s="17" t="str">
        <f>IF(VLOOKUP(B185,Instruções!$F$13:$J$17,5,0)="",
"ON "&amp;VLOOKUP(B185,Instruções!$F$13:$J$17,4,0)&amp;"_"&amp;$F$2&amp;" = "&amp;VLOOKUP(B185,Instruções!$F$13:$J$17,4,0)&amp;"_"&amp;$G$2&amp;" ",
"ON "&amp;VLOOKUP(B185,Instruções!$F$13:$J$17,4,0)&amp;"_"&amp;$F$2&amp;" = "&amp;VLOOKUP(B185,Instruções!$F$13:$J$17,4,0)&amp;"_"&amp;$G$2&amp;" AND "&amp;VLOOKUP(B185,Instruções!$F$13:$J$17,5,0)&amp;"_"&amp;$F$2&amp;" = "&amp;VLOOKUP(B185,Instruções!$F$13:$J$17,5,0)&amp;"_"&amp;$G$2&amp;" ")</f>
        <v xml:space="preserve">ON instrmnt_id_as_is = instrmnt_id_to_be </v>
      </c>
      <c r="K185" s="17" t="str">
        <f t="shared" si="20"/>
        <v xml:space="preserve">WHERE coalesce(cast(frbrnc_stts_instrmnt_as_is as string), '') &lt;&gt; coalesce(cast(frbrnc_stts_instrmnt_to_be as string), '') </v>
      </c>
      <c r="L185" s="17" t="str">
        <f t="shared" si="21"/>
        <v xml:space="preserve">SELECT count(*) AS NUM_REG_DIF FROM (SELECT instrmnt_id as instrmnt_id_as_is, frbrnc_stts_instrmnt as frbrnc_stts_instrmnt_as_is FROM cd_loan_tapes_bce.lt002_instrument WHERE ref_date='2024-09-30' AND nome_perimetro='Individual Corporativo' AND segmento='ESTR' AND ambito='PM' AND entidade='00100' ) A  Inner join (SELECT instrmnt_id as instrmnt_id_to_be, frbrnc_stts_instrmnt as frbrnc_stts_instrmnt_to_be FROM bu_loantape_work.lt002_instrument WHERE ref_date='2024-09-30' AND nome_perimetro='Individual Corporativo' AND segmento='ESTR' AND ambito='PM' AND entidade='00100' ) B ON instrmnt_id_as_is = instrmnt_id_to_be WHERE coalesce(cast(frbrnc_stts_instrmnt_as_is as string), '') &lt;&gt; coalesce(cast(frbrnc_stts_instrmnt_to_be as string), '') </v>
      </c>
      <c r="M185" s="17" t="s">
        <v>55</v>
      </c>
      <c r="N185" s="17" t="str">
        <f>"SELECT 'Validação de campos' as tipologia_teste, '"&amp;VLOOKUP(B185,Instruções!$F$13:$J$17,3,0)&amp;"' AS TABELA, '"&amp;E185&amp;"' AS CAMPO, '"&amp;Instruções!$D$15&amp;"' as ref_date, coalesce(NUM_REG_DIF, 0) AS NUM_REG_DIF FROM ("&amp;L185&amp;") A "</f>
        <v xml:space="preserve">SELECT 'Validação de campos' as tipologia_teste, 'lt002_instrument' AS TABELA, 'frbrnc_stts_instrmnt' AS CAMPO, '2024-09-30' as ref_date, coalesce(NUM_REG_DIF, 0) AS NUM_REG_DIF FROM (SELECT count(*) AS NUM_REG_DIF FROM (SELECT instrmnt_id as instrmnt_id_as_is, frbrnc_stts_instrmnt as frbrnc_stts_instrmnt_as_is FROM cd_loan_tapes_bce.lt002_instrument WHERE ref_date='2024-09-30' AND nome_perimetro='Individual Corporativo' AND segmento='ESTR' AND ambito='PM' AND entidade='00100' ) A  Inner join (SELECT instrmnt_id as instrmnt_id_to_be, frbrnc_stts_instrmnt as frbrnc_stts_instrmnt_to_be FROM bu_loantape_work.lt002_instrument WHERE ref_date='2024-09-30' AND nome_perimetro='Individual Corporativo' AND segmento='ESTR' AND ambito='PM' AND entidade='00100' ) B ON instrmnt_id_as_is = instrmnt_id_to_be WHERE coalesce(cast(frbrnc_stts_instrmnt_as_is as string), '') &lt;&gt; coalesce(cast(frbrnc_stts_instrmnt_to_be as string), '') ) A </v>
      </c>
      <c r="O185" s="19" t="str">
        <f t="shared" si="23"/>
        <v>SELECT 'Validação de campos' as tipologia_teste, 'lt002_instrument' AS TABELA, 'frbrnc_stts_instrmnt' AS CAMPO, '2024-09-30' as ref_date, coalesce(NUM_REG_DIF, 0) AS NUM_REG_DIF FROM (SELECT count(*) AS NUM_REG_DIF FROM (SELECT instrmnt_id as instrmnt_id_as_is, frbrnc_stts_instrmnt as frbrnc_stts_instrmnt_as_is FROM cd_loan_tapes_bce.lt002_instrument WHERE ref_date='2024-09-30' AND nome_perimetro='Individual Corporativo' AND segmento='ESTR' AND ambito='PM' AND entidade='00100' ) A  Inner join (SELECT instrmnt_id as instrmnt_id_to_be, frbrnc_stts_instrmnt as frbrnc_stts_instrmnt_to_be FROM bu_loantape_work.lt002_instrument WHERE ref_date='2024-09-30' AND nome_perimetro='Individual Corporativo' AND segmento='ESTR' AND ambito='PM' AND entidade='00100' ) B ON instrmnt_id_as_is = instrmnt_id_to_be WHERE coalesce(cast(frbrnc_stts_instrmnt_as_is as string), '') &lt;&gt; coalesce(cast(frbrnc_stts_instrmnt_to_be as string), '') ) A UNION ALL</v>
      </c>
      <c r="P185" s="17">
        <f t="shared" si="22"/>
        <v>31</v>
      </c>
    </row>
    <row r="186" spans="2:16" s="15" customFormat="1" ht="11.45">
      <c r="B186" s="17" t="s">
        <v>26</v>
      </c>
      <c r="C186" s="17" t="str">
        <f>_xlfn.CONCAT(Instruções!$D$13,".",VLOOKUP(B186,Instruções!$F$12:$H$17,2,0))</f>
        <v>cd_loan_tapes_bce.lt002_instrument</v>
      </c>
      <c r="D186" s="17" t="str">
        <f>_xlfn.CONCAT(Instruções!$D$14,".",VLOOKUP(B186,Instruções!$F$12:$H$17,3,0))</f>
        <v>bu_loantape_work.lt002_instrument</v>
      </c>
      <c r="E186" s="17" t="s">
        <v>239</v>
      </c>
      <c r="F186" s="17" t="str">
        <f t="shared" si="18"/>
        <v>grc_prd_cptl_intrst_c19_as_is</v>
      </c>
      <c r="G186" s="17" t="str">
        <f t="shared" si="19"/>
        <v>grc_prd_cptl_intrst_c19_to_be</v>
      </c>
      <c r="H186" s="17" t="str">
        <f>IF(VLOOKUP(B186,Instruções!$F$13:$J$17,5,0)="",
"(SELECT "&amp;VLOOKUP(B186,Instruções!$F$13:$J$17,4,0)&amp;" as "&amp;VLOOKUP(B186,Instruções!$F$13:$J$17,4,0)&amp;"_"&amp;$F$2&amp;", "&amp;E186&amp;" as "&amp;F186&amp;" FROM "&amp;C186&amp;" WHERE "&amp;Instruções!$D$20&amp;") A ",
"(SELECT "&amp;VLOOKUP(B186,Instruções!$F$13:$J$17,4,0)&amp;" as "&amp;VLOOKUP(B186,Instruções!$F$13:$J$17,4,0)&amp;"_"&amp;$F$2&amp;", "&amp;VLOOKUP(B186,Instruções!$F$13:$J$17,5,0)&amp;" as "&amp;VLOOKUP(B186,Instruções!$F$13:$J$17,5,0)&amp;"_"&amp;$F$2&amp;","&amp;E186&amp;" as "&amp;F186&amp;" FROM "&amp;C186&amp;" WHERE "&amp;Instruções!$D$20&amp;") A ")</f>
        <v xml:space="preserve">(SELECT instrmnt_id as instrmnt_id_as_is, grc_prd_cptl_intrst_c19 as grc_prd_cptl_intrst_c19_as_is FROM cd_loan_tapes_bce.lt002_instrument WHERE ref_date='2024-09-30' AND nome_perimetro='Individual Corporativo' AND segmento='ESTR' AND ambito='PM' AND entidade='00100' ) A </v>
      </c>
      <c r="I186" s="17" t="str">
        <f>IF(VLOOKUP(B186,Instruções!$F$13:$J$17,5,0)="",
"(SELECT "&amp;VLOOKUP(B186,Instruções!$F$13:$J$17,4,0)&amp;" as "&amp;VLOOKUP(B186,Instruções!$F$13:$J$17,4,0)&amp;"_"&amp;$G$2&amp;", "&amp;E186&amp;" as "&amp;G186&amp;" FROM "&amp;D186&amp;" WHERE "&amp;Instruções!$D$21&amp;") B ",
"(SELECT "&amp;VLOOKUP(B186,Instruções!$F$13:$J$17,4,0)&amp;" as "&amp;VLOOKUP(B186,Instruções!$F$13:$J$17,4,0)&amp;"_"&amp;$G$2&amp;", "&amp;VLOOKUP(B186,Instruções!$F$13:$J$17,5,0)&amp;" as "&amp;VLOOKUP(B186,Instruções!$F$13:$J$17,5,0)&amp;"_"&amp;$G$2&amp;","&amp;E186&amp;" as "&amp;G186&amp;" FROM "&amp;D186&amp;" WHERE "&amp;Instruções!$D$21&amp;") B ")</f>
        <v xml:space="preserve">(SELECT instrmnt_id as instrmnt_id_to_be, grc_prd_cptl_intrst_c19 as grc_prd_cptl_intrst_c19_to_be FROM bu_loantape_work.lt002_instrument WHERE ref_date='2024-09-30' AND nome_perimetro='Individual Corporativo' AND segmento='ESTR' AND ambito='PM' AND entidade='00100' ) B </v>
      </c>
      <c r="J186" s="17" t="str">
        <f>IF(VLOOKUP(B186,Instruções!$F$13:$J$17,5,0)="",
"ON "&amp;VLOOKUP(B186,Instruções!$F$13:$J$17,4,0)&amp;"_"&amp;$F$2&amp;" = "&amp;VLOOKUP(B186,Instruções!$F$13:$J$17,4,0)&amp;"_"&amp;$G$2&amp;" ",
"ON "&amp;VLOOKUP(B186,Instruções!$F$13:$J$17,4,0)&amp;"_"&amp;$F$2&amp;" = "&amp;VLOOKUP(B186,Instruções!$F$13:$J$17,4,0)&amp;"_"&amp;$G$2&amp;" AND "&amp;VLOOKUP(B186,Instruções!$F$13:$J$17,5,0)&amp;"_"&amp;$F$2&amp;" = "&amp;VLOOKUP(B186,Instruções!$F$13:$J$17,5,0)&amp;"_"&amp;$G$2&amp;" ")</f>
        <v xml:space="preserve">ON instrmnt_id_as_is = instrmnt_id_to_be </v>
      </c>
      <c r="K186" s="17" t="str">
        <f t="shared" si="20"/>
        <v xml:space="preserve">WHERE coalesce(cast(grc_prd_cptl_intrst_c19_as_is as string), '') &lt;&gt; coalesce(cast(grc_prd_cptl_intrst_c19_to_be as string), '') </v>
      </c>
      <c r="L186" s="17" t="str">
        <f t="shared" si="21"/>
        <v xml:space="preserve">SELECT count(*) AS NUM_REG_DIF FROM (SELECT instrmnt_id as instrmnt_id_as_is, grc_prd_cptl_intrst_c19 as grc_prd_cptl_intrst_c19_as_is FROM cd_loan_tapes_bce.lt002_instrument WHERE ref_date='2024-09-30' AND nome_perimetro='Individual Corporativo' AND segmento='ESTR' AND ambito='PM' AND entidade='00100' ) A  Inner join (SELECT instrmnt_id as instrmnt_id_to_be, grc_prd_cptl_intrst_c19 as grc_prd_cptl_intrst_c19_to_be FROM bu_loantape_work.lt002_instrument WHERE ref_date='2024-09-30' AND nome_perimetro='Individual Corporativo' AND segmento='ESTR' AND ambito='PM' AND entidade='00100' ) B ON instrmnt_id_as_is = instrmnt_id_to_be WHERE coalesce(cast(grc_prd_cptl_intrst_c19_as_is as string), '') &lt;&gt; coalesce(cast(grc_prd_cptl_intrst_c19_to_be as string), '') </v>
      </c>
      <c r="M186" s="17" t="s">
        <v>55</v>
      </c>
      <c r="N186" s="17" t="str">
        <f>"SELECT 'Validação de campos' as tipologia_teste, '"&amp;VLOOKUP(B186,Instruções!$F$13:$J$17,3,0)&amp;"' AS TABELA, '"&amp;E186&amp;"' AS CAMPO, '"&amp;Instruções!$D$15&amp;"' as ref_date, coalesce(NUM_REG_DIF, 0) AS NUM_REG_DIF FROM ("&amp;L186&amp;") A "</f>
        <v xml:space="preserve">SELECT 'Validação de campos' as tipologia_teste, 'lt002_instrument' AS TABELA, 'grc_prd_cptl_intrst_c19' AS CAMPO, '2024-09-30' as ref_date, coalesce(NUM_REG_DIF, 0) AS NUM_REG_DIF FROM (SELECT count(*) AS NUM_REG_DIF FROM (SELECT instrmnt_id as instrmnt_id_as_is, grc_prd_cptl_intrst_c19 as grc_prd_cptl_intrst_c19_as_is FROM cd_loan_tapes_bce.lt002_instrument WHERE ref_date='2024-09-30' AND nome_perimetro='Individual Corporativo' AND segmento='ESTR' AND ambito='PM' AND entidade='00100' ) A  Inner join (SELECT instrmnt_id as instrmnt_id_to_be, grc_prd_cptl_intrst_c19 as grc_prd_cptl_intrst_c19_to_be FROM bu_loantape_work.lt002_instrument WHERE ref_date='2024-09-30' AND nome_perimetro='Individual Corporativo' AND segmento='ESTR' AND ambito='PM' AND entidade='00100' ) B ON instrmnt_id_as_is = instrmnt_id_to_be WHERE coalesce(cast(grc_prd_cptl_intrst_c19_as_is as string), '') &lt;&gt; coalesce(cast(grc_prd_cptl_intrst_c19_to_be as string), '') ) A </v>
      </c>
      <c r="O186" s="19" t="str">
        <f t="shared" si="23"/>
        <v>SELECT 'Validação de campos' as tipologia_teste, 'lt002_instrument' AS TABELA, 'grc_prd_cptl_intrst_c19' AS CAMPO, '2024-09-30' as ref_date, coalesce(NUM_REG_DIF, 0) AS NUM_REG_DIF FROM (SELECT count(*) AS NUM_REG_DIF FROM (SELECT instrmnt_id as instrmnt_id_as_is, grc_prd_cptl_intrst_c19 as grc_prd_cptl_intrst_c19_as_is FROM cd_loan_tapes_bce.lt002_instrument WHERE ref_date='2024-09-30' AND nome_perimetro='Individual Corporativo' AND segmento='ESTR' AND ambito='PM' AND entidade='00100' ) A  Inner join (SELECT instrmnt_id as instrmnt_id_to_be, grc_prd_cptl_intrst_c19 as grc_prd_cptl_intrst_c19_to_be FROM bu_loantape_work.lt002_instrument WHERE ref_date='2024-09-30' AND nome_perimetro='Individual Corporativo' AND segmento='ESTR' AND ambito='PM' AND entidade='00100' ) B ON instrmnt_id_as_is = instrmnt_id_to_be WHERE coalesce(cast(grc_prd_cptl_intrst_c19_as_is as string), '') &lt;&gt; coalesce(cast(grc_prd_cptl_intrst_c19_to_be as string), '') ) A UNION ALL</v>
      </c>
      <c r="P186" s="17">
        <f t="shared" si="22"/>
        <v>32</v>
      </c>
    </row>
    <row r="187" spans="2:16" s="15" customFormat="1" ht="11.45">
      <c r="B187" s="17" t="s">
        <v>26</v>
      </c>
      <c r="C187" s="17" t="str">
        <f>_xlfn.CONCAT(Instruções!$D$13,".",VLOOKUP(B187,Instruções!$F$12:$H$17,2,0))</f>
        <v>cd_loan_tapes_bce.lt002_instrument</v>
      </c>
      <c r="D187" s="17" t="str">
        <f>_xlfn.CONCAT(Instruções!$D$14,".",VLOOKUP(B187,Instruções!$F$12:$H$17,3,0))</f>
        <v>bu_loantape_work.lt002_instrument</v>
      </c>
      <c r="E187" s="17" t="s">
        <v>240</v>
      </c>
      <c r="F187" s="17" t="str">
        <f t="shared" si="18"/>
        <v>grntr_id_as_is</v>
      </c>
      <c r="G187" s="17" t="str">
        <f t="shared" si="19"/>
        <v>grntr_id_to_be</v>
      </c>
      <c r="H187" s="17" t="str">
        <f>IF(VLOOKUP(B187,Instruções!$F$13:$J$17,5,0)="",
"(SELECT "&amp;VLOOKUP(B187,Instruções!$F$13:$J$17,4,0)&amp;" as "&amp;VLOOKUP(B187,Instruções!$F$13:$J$17,4,0)&amp;"_"&amp;$F$2&amp;", "&amp;E187&amp;" as "&amp;F187&amp;" FROM "&amp;C187&amp;" WHERE "&amp;Instruções!$D$20&amp;") A ",
"(SELECT "&amp;VLOOKUP(B187,Instruções!$F$13:$J$17,4,0)&amp;" as "&amp;VLOOKUP(B187,Instruções!$F$13:$J$17,4,0)&amp;"_"&amp;$F$2&amp;", "&amp;VLOOKUP(B187,Instruções!$F$13:$J$17,5,0)&amp;" as "&amp;VLOOKUP(B187,Instruções!$F$13:$J$17,5,0)&amp;"_"&amp;$F$2&amp;","&amp;E187&amp;" as "&amp;F187&amp;" FROM "&amp;C187&amp;" WHERE "&amp;Instruções!$D$20&amp;") A ")</f>
        <v xml:space="preserve">(SELECT instrmnt_id as instrmnt_id_as_is, grntr_id as grntr_id_as_is FROM cd_loan_tapes_bce.lt002_instrument WHERE ref_date='2024-09-30' AND nome_perimetro='Individual Corporativo' AND segmento='ESTR' AND ambito='PM' AND entidade='00100' ) A </v>
      </c>
      <c r="I187" s="17" t="str">
        <f>IF(VLOOKUP(B187,Instruções!$F$13:$J$17,5,0)="",
"(SELECT "&amp;VLOOKUP(B187,Instruções!$F$13:$J$17,4,0)&amp;" as "&amp;VLOOKUP(B187,Instruções!$F$13:$J$17,4,0)&amp;"_"&amp;$G$2&amp;", "&amp;E187&amp;" as "&amp;G187&amp;" FROM "&amp;D187&amp;" WHERE "&amp;Instruções!$D$21&amp;") B ",
"(SELECT "&amp;VLOOKUP(B187,Instruções!$F$13:$J$17,4,0)&amp;" as "&amp;VLOOKUP(B187,Instruções!$F$13:$J$17,4,0)&amp;"_"&amp;$G$2&amp;", "&amp;VLOOKUP(B187,Instruções!$F$13:$J$17,5,0)&amp;" as "&amp;VLOOKUP(B187,Instruções!$F$13:$J$17,5,0)&amp;"_"&amp;$G$2&amp;","&amp;E187&amp;" as "&amp;G187&amp;" FROM "&amp;D187&amp;" WHERE "&amp;Instruções!$D$21&amp;") B ")</f>
        <v xml:space="preserve">(SELECT instrmnt_id as instrmnt_id_to_be, grntr_id as grntr_id_to_be FROM bu_loantape_work.lt002_instrument WHERE ref_date='2024-09-30' AND nome_perimetro='Individual Corporativo' AND segmento='ESTR' AND ambito='PM' AND entidade='00100' ) B </v>
      </c>
      <c r="J187" s="17" t="str">
        <f>IF(VLOOKUP(B187,Instruções!$F$13:$J$17,5,0)="",
"ON "&amp;VLOOKUP(B187,Instruções!$F$13:$J$17,4,0)&amp;"_"&amp;$F$2&amp;" = "&amp;VLOOKUP(B187,Instruções!$F$13:$J$17,4,0)&amp;"_"&amp;$G$2&amp;" ",
"ON "&amp;VLOOKUP(B187,Instruções!$F$13:$J$17,4,0)&amp;"_"&amp;$F$2&amp;" = "&amp;VLOOKUP(B187,Instruções!$F$13:$J$17,4,0)&amp;"_"&amp;$G$2&amp;" AND "&amp;VLOOKUP(B187,Instruções!$F$13:$J$17,5,0)&amp;"_"&amp;$F$2&amp;" = "&amp;VLOOKUP(B187,Instruções!$F$13:$J$17,5,0)&amp;"_"&amp;$G$2&amp;" ")</f>
        <v xml:space="preserve">ON instrmnt_id_as_is = instrmnt_id_to_be </v>
      </c>
      <c r="K187" s="17" t="str">
        <f t="shared" si="20"/>
        <v xml:space="preserve">WHERE coalesce(cast(grntr_id_as_is as string), '') &lt;&gt; coalesce(cast(grntr_id_to_be as string), '') </v>
      </c>
      <c r="L187" s="17" t="str">
        <f t="shared" si="21"/>
        <v xml:space="preserve">SELECT count(*) AS NUM_REG_DIF FROM (SELECT instrmnt_id as instrmnt_id_as_is, grntr_id as grntr_id_as_is FROM cd_loan_tapes_bce.lt002_instrument WHERE ref_date='2024-09-30' AND nome_perimetro='Individual Corporativo' AND segmento='ESTR' AND ambito='PM' AND entidade='00100' ) A  Inner join (SELECT instrmnt_id as instrmnt_id_to_be, grntr_id as grntr_id_to_be FROM bu_loantape_work.lt002_instrument WHERE ref_date='2024-09-30' AND nome_perimetro='Individual Corporativo' AND segmento='ESTR' AND ambito='PM' AND entidade='00100' ) B ON instrmnt_id_as_is = instrmnt_id_to_be WHERE coalesce(cast(grntr_id_as_is as string), '') &lt;&gt; coalesce(cast(grntr_id_to_be as string), '') </v>
      </c>
      <c r="M187" s="17" t="s">
        <v>55</v>
      </c>
      <c r="N187" s="17" t="str">
        <f>"SELECT 'Validação de campos' as tipologia_teste, '"&amp;VLOOKUP(B187,Instruções!$F$13:$J$17,3,0)&amp;"' AS TABELA, '"&amp;E187&amp;"' AS CAMPO, '"&amp;Instruções!$D$15&amp;"' as ref_date, coalesce(NUM_REG_DIF, 0) AS NUM_REG_DIF FROM ("&amp;L187&amp;") A "</f>
        <v xml:space="preserve">SELECT 'Validação de campos' as tipologia_teste, 'lt002_instrument' AS TABELA, 'grntr_id' AS CAMPO, '2024-09-30' as ref_date, coalesce(NUM_REG_DIF, 0) AS NUM_REG_DIF FROM (SELECT count(*) AS NUM_REG_DIF FROM (SELECT instrmnt_id as instrmnt_id_as_is, grntr_id as grntr_id_as_is FROM cd_loan_tapes_bce.lt002_instrument WHERE ref_date='2024-09-30' AND nome_perimetro='Individual Corporativo' AND segmento='ESTR' AND ambito='PM' AND entidade='00100' ) A  Inner join (SELECT instrmnt_id as instrmnt_id_to_be, grntr_id as grntr_id_to_be FROM bu_loantape_work.lt002_instrument WHERE ref_date='2024-09-30' AND nome_perimetro='Individual Corporativo' AND segmento='ESTR' AND ambito='PM' AND entidade='00100' ) B ON instrmnt_id_as_is = instrmnt_id_to_be WHERE coalesce(cast(grntr_id_as_is as string), '') &lt;&gt; coalesce(cast(grntr_id_to_be as string), '') ) A </v>
      </c>
      <c r="O187" s="19" t="str">
        <f t="shared" si="23"/>
        <v>SELECT 'Validação de campos' as tipologia_teste, 'lt002_instrument' AS TABELA, 'grntr_id' AS CAMPO, '2024-09-30' as ref_date, coalesce(NUM_REG_DIF, 0) AS NUM_REG_DIF FROM (SELECT count(*) AS NUM_REG_DIF FROM (SELECT instrmnt_id as instrmnt_id_as_is, grntr_id as grntr_id_as_is FROM cd_loan_tapes_bce.lt002_instrument WHERE ref_date='2024-09-30' AND nome_perimetro='Individual Corporativo' AND segmento='ESTR' AND ambito='PM' AND entidade='00100' ) A  Inner join (SELECT instrmnt_id as instrmnt_id_to_be, grntr_id as grntr_id_to_be FROM bu_loantape_work.lt002_instrument WHERE ref_date='2024-09-30' AND nome_perimetro='Individual Corporativo' AND segmento='ESTR' AND ambito='PM' AND entidade='00100' ) B ON instrmnt_id_as_is = instrmnt_id_to_be WHERE coalesce(cast(grntr_id_as_is as string), '') &lt;&gt; coalesce(cast(grntr_id_to_be as string), '') ) A UNION ALL</v>
      </c>
      <c r="P187" s="17">
        <f t="shared" si="22"/>
        <v>33</v>
      </c>
    </row>
    <row r="188" spans="2:16" s="15" customFormat="1" ht="11.45">
      <c r="B188" s="17" t="s">
        <v>26</v>
      </c>
      <c r="C188" s="17" t="str">
        <f>_xlfn.CONCAT(Instruções!$D$13,".",VLOOKUP(B188,Instruções!$F$12:$H$17,2,0))</f>
        <v>cd_loan_tapes_bce.lt002_instrument</v>
      </c>
      <c r="D188" s="17" t="str">
        <f>_xlfn.CONCAT(Instruções!$D$14,".",VLOOKUP(B188,Instruções!$F$12:$H$17,3,0))</f>
        <v>bu_loantape_work.lt002_instrument</v>
      </c>
      <c r="E188" s="17" t="s">
        <v>241</v>
      </c>
      <c r="F188" s="17" t="str">
        <f t="shared" si="18"/>
        <v>grntr_id_typ_as_is</v>
      </c>
      <c r="G188" s="17" t="str">
        <f t="shared" si="19"/>
        <v>grntr_id_typ_to_be</v>
      </c>
      <c r="H188" s="17" t="str">
        <f>IF(VLOOKUP(B188,Instruções!$F$13:$J$17,5,0)="",
"(SELECT "&amp;VLOOKUP(B188,Instruções!$F$13:$J$17,4,0)&amp;" as "&amp;VLOOKUP(B188,Instruções!$F$13:$J$17,4,0)&amp;"_"&amp;$F$2&amp;", "&amp;E188&amp;" as "&amp;F188&amp;" FROM "&amp;C188&amp;" WHERE "&amp;Instruções!$D$20&amp;") A ",
"(SELECT "&amp;VLOOKUP(B188,Instruções!$F$13:$J$17,4,0)&amp;" as "&amp;VLOOKUP(B188,Instruções!$F$13:$J$17,4,0)&amp;"_"&amp;$F$2&amp;", "&amp;VLOOKUP(B188,Instruções!$F$13:$J$17,5,0)&amp;" as "&amp;VLOOKUP(B188,Instruções!$F$13:$J$17,5,0)&amp;"_"&amp;$F$2&amp;","&amp;E188&amp;" as "&amp;F188&amp;" FROM "&amp;C188&amp;" WHERE "&amp;Instruções!$D$20&amp;") A ")</f>
        <v xml:space="preserve">(SELECT instrmnt_id as instrmnt_id_as_is, grntr_id_typ as grntr_id_typ_as_is FROM cd_loan_tapes_bce.lt002_instrument WHERE ref_date='2024-09-30' AND nome_perimetro='Individual Corporativo' AND segmento='ESTR' AND ambito='PM' AND entidade='00100' ) A </v>
      </c>
      <c r="I188" s="17" t="str">
        <f>IF(VLOOKUP(B188,Instruções!$F$13:$J$17,5,0)="",
"(SELECT "&amp;VLOOKUP(B188,Instruções!$F$13:$J$17,4,0)&amp;" as "&amp;VLOOKUP(B188,Instruções!$F$13:$J$17,4,0)&amp;"_"&amp;$G$2&amp;", "&amp;E188&amp;" as "&amp;G188&amp;" FROM "&amp;D188&amp;" WHERE "&amp;Instruções!$D$21&amp;") B ",
"(SELECT "&amp;VLOOKUP(B188,Instruções!$F$13:$J$17,4,0)&amp;" as "&amp;VLOOKUP(B188,Instruções!$F$13:$J$17,4,0)&amp;"_"&amp;$G$2&amp;", "&amp;VLOOKUP(B188,Instruções!$F$13:$J$17,5,0)&amp;" as "&amp;VLOOKUP(B188,Instruções!$F$13:$J$17,5,0)&amp;"_"&amp;$G$2&amp;","&amp;E188&amp;" as "&amp;G188&amp;" FROM "&amp;D188&amp;" WHERE "&amp;Instruções!$D$21&amp;") B ")</f>
        <v xml:space="preserve">(SELECT instrmnt_id as instrmnt_id_to_be, grntr_id_typ as grntr_id_typ_to_be FROM bu_loantape_work.lt002_instrument WHERE ref_date='2024-09-30' AND nome_perimetro='Individual Corporativo' AND segmento='ESTR' AND ambito='PM' AND entidade='00100' ) B </v>
      </c>
      <c r="J188" s="17" t="str">
        <f>IF(VLOOKUP(B188,Instruções!$F$13:$J$17,5,0)="",
"ON "&amp;VLOOKUP(B188,Instruções!$F$13:$J$17,4,0)&amp;"_"&amp;$F$2&amp;" = "&amp;VLOOKUP(B188,Instruções!$F$13:$J$17,4,0)&amp;"_"&amp;$G$2&amp;" ",
"ON "&amp;VLOOKUP(B188,Instruções!$F$13:$J$17,4,0)&amp;"_"&amp;$F$2&amp;" = "&amp;VLOOKUP(B188,Instruções!$F$13:$J$17,4,0)&amp;"_"&amp;$G$2&amp;" AND "&amp;VLOOKUP(B188,Instruções!$F$13:$J$17,5,0)&amp;"_"&amp;$F$2&amp;" = "&amp;VLOOKUP(B188,Instruções!$F$13:$J$17,5,0)&amp;"_"&amp;$G$2&amp;" ")</f>
        <v xml:space="preserve">ON instrmnt_id_as_is = instrmnt_id_to_be </v>
      </c>
      <c r="K188" s="17" t="str">
        <f t="shared" si="20"/>
        <v xml:space="preserve">WHERE coalesce(cast(grntr_id_typ_as_is as string), '') &lt;&gt; coalesce(cast(grntr_id_typ_to_be as string), '') </v>
      </c>
      <c r="L188" s="17" t="str">
        <f t="shared" si="21"/>
        <v xml:space="preserve">SELECT count(*) AS NUM_REG_DIF FROM (SELECT instrmnt_id as instrmnt_id_as_is, grntr_id_typ as grntr_id_typ_as_is FROM cd_loan_tapes_bce.lt002_instrument WHERE ref_date='2024-09-30' AND nome_perimetro='Individual Corporativo' AND segmento='ESTR' AND ambito='PM' AND entidade='00100' ) A  Inner join (SELECT instrmnt_id as instrmnt_id_to_be, grntr_id_typ as grntr_id_typ_to_be FROM bu_loantape_work.lt002_instrument WHERE ref_date='2024-09-30' AND nome_perimetro='Individual Corporativo' AND segmento='ESTR' AND ambito='PM' AND entidade='00100' ) B ON instrmnt_id_as_is = instrmnt_id_to_be WHERE coalesce(cast(grntr_id_typ_as_is as string), '') &lt;&gt; coalesce(cast(grntr_id_typ_to_be as string), '') </v>
      </c>
      <c r="M188" s="17" t="s">
        <v>55</v>
      </c>
      <c r="N188" s="17" t="str">
        <f>"SELECT 'Validação de campos' as tipologia_teste, '"&amp;VLOOKUP(B188,Instruções!$F$13:$J$17,3,0)&amp;"' AS TABELA, '"&amp;E188&amp;"' AS CAMPO, '"&amp;Instruções!$D$15&amp;"' as ref_date, coalesce(NUM_REG_DIF, 0) AS NUM_REG_DIF FROM ("&amp;L188&amp;") A "</f>
        <v xml:space="preserve">SELECT 'Validação de campos' as tipologia_teste, 'lt002_instrument' AS TABELA, 'grntr_id_typ' AS CAMPO, '2024-09-30' as ref_date, coalesce(NUM_REG_DIF, 0) AS NUM_REG_DIF FROM (SELECT count(*) AS NUM_REG_DIF FROM (SELECT instrmnt_id as instrmnt_id_as_is, grntr_id_typ as grntr_id_typ_as_is FROM cd_loan_tapes_bce.lt002_instrument WHERE ref_date='2024-09-30' AND nome_perimetro='Individual Corporativo' AND segmento='ESTR' AND ambito='PM' AND entidade='00100' ) A  Inner join (SELECT instrmnt_id as instrmnt_id_to_be, grntr_id_typ as grntr_id_typ_to_be FROM bu_loantape_work.lt002_instrument WHERE ref_date='2024-09-30' AND nome_perimetro='Individual Corporativo' AND segmento='ESTR' AND ambito='PM' AND entidade='00100' ) B ON instrmnt_id_as_is = instrmnt_id_to_be WHERE coalesce(cast(grntr_id_typ_as_is as string), '') &lt;&gt; coalesce(cast(grntr_id_typ_to_be as string), '') ) A </v>
      </c>
      <c r="O188" s="19" t="str">
        <f t="shared" si="23"/>
        <v>SELECT 'Validação de campos' as tipologia_teste, 'lt002_instrument' AS TABELA, 'grntr_id_typ' AS CAMPO, '2024-09-30' as ref_date, coalesce(NUM_REG_DIF, 0) AS NUM_REG_DIF FROM (SELECT count(*) AS NUM_REG_DIF FROM (SELECT instrmnt_id as instrmnt_id_as_is, grntr_id_typ as grntr_id_typ_as_is FROM cd_loan_tapes_bce.lt002_instrument WHERE ref_date='2024-09-30' AND nome_perimetro='Individual Corporativo' AND segmento='ESTR' AND ambito='PM' AND entidade='00100' ) A  Inner join (SELECT instrmnt_id as instrmnt_id_to_be, grntr_id_typ as grntr_id_typ_to_be FROM bu_loantape_work.lt002_instrument WHERE ref_date='2024-09-30' AND nome_perimetro='Individual Corporativo' AND segmento='ESTR' AND ambito='PM' AND entidade='00100' ) B ON instrmnt_id_as_is = instrmnt_id_to_be WHERE coalesce(cast(grntr_id_typ_as_is as string), '') &lt;&gt; coalesce(cast(grntr_id_typ_to_be as string), '') ) A UNION ALL</v>
      </c>
      <c r="P188" s="17">
        <f t="shared" si="22"/>
        <v>34</v>
      </c>
    </row>
    <row r="189" spans="2:16" s="15" customFormat="1" ht="11.45">
      <c r="B189" s="17" t="s">
        <v>26</v>
      </c>
      <c r="C189" s="17" t="str">
        <f>_xlfn.CONCAT(Instruções!$D$13,".",VLOOKUP(B189,Instruções!$F$12:$H$17,2,0))</f>
        <v>cd_loan_tapes_bce.lt002_instrument</v>
      </c>
      <c r="D189" s="17" t="str">
        <f>_xlfn.CONCAT(Instruções!$D$14,".",VLOOKUP(B189,Instruções!$F$12:$H$17,3,0))</f>
        <v>bu_loantape_work.lt002_instrument</v>
      </c>
      <c r="E189" s="17" t="s">
        <v>242</v>
      </c>
      <c r="F189" s="17" t="str">
        <f t="shared" si="18"/>
        <v>grss_crryng_amnt_instrmnt_as_is</v>
      </c>
      <c r="G189" s="17" t="str">
        <f t="shared" si="19"/>
        <v>grss_crryng_amnt_instrmnt_to_be</v>
      </c>
      <c r="H189" s="17" t="str">
        <f>IF(VLOOKUP(B189,Instruções!$F$13:$J$17,5,0)="",
"(SELECT "&amp;VLOOKUP(B189,Instruções!$F$13:$J$17,4,0)&amp;" as "&amp;VLOOKUP(B189,Instruções!$F$13:$J$17,4,0)&amp;"_"&amp;$F$2&amp;", "&amp;E189&amp;" as "&amp;F189&amp;" FROM "&amp;C189&amp;" WHERE "&amp;Instruções!$D$20&amp;") A ",
"(SELECT "&amp;VLOOKUP(B189,Instruções!$F$13:$J$17,4,0)&amp;" as "&amp;VLOOKUP(B189,Instruções!$F$13:$J$17,4,0)&amp;"_"&amp;$F$2&amp;", "&amp;VLOOKUP(B189,Instruções!$F$13:$J$17,5,0)&amp;" as "&amp;VLOOKUP(B189,Instruções!$F$13:$J$17,5,0)&amp;"_"&amp;$F$2&amp;","&amp;E189&amp;" as "&amp;F189&amp;" FROM "&amp;C189&amp;" WHERE "&amp;Instruções!$D$20&amp;") A ")</f>
        <v xml:space="preserve">(SELECT instrmnt_id as instrmnt_id_as_is, grss_crryng_amnt_instrmnt as grss_crryng_amnt_instrmnt_as_is FROM cd_loan_tapes_bce.lt002_instrument WHERE ref_date='2024-09-30' AND nome_perimetro='Individual Corporativo' AND segmento='ESTR' AND ambito='PM' AND entidade='00100' ) A </v>
      </c>
      <c r="I189" s="17" t="str">
        <f>IF(VLOOKUP(B189,Instruções!$F$13:$J$17,5,0)="",
"(SELECT "&amp;VLOOKUP(B189,Instruções!$F$13:$J$17,4,0)&amp;" as "&amp;VLOOKUP(B189,Instruções!$F$13:$J$17,4,0)&amp;"_"&amp;$G$2&amp;", "&amp;E189&amp;" as "&amp;G189&amp;" FROM "&amp;D189&amp;" WHERE "&amp;Instruções!$D$21&amp;") B ",
"(SELECT "&amp;VLOOKUP(B189,Instruções!$F$13:$J$17,4,0)&amp;" as "&amp;VLOOKUP(B189,Instruções!$F$13:$J$17,4,0)&amp;"_"&amp;$G$2&amp;", "&amp;VLOOKUP(B189,Instruções!$F$13:$J$17,5,0)&amp;" as "&amp;VLOOKUP(B189,Instruções!$F$13:$J$17,5,0)&amp;"_"&amp;$G$2&amp;","&amp;E189&amp;" as "&amp;G189&amp;" FROM "&amp;D189&amp;" WHERE "&amp;Instruções!$D$21&amp;") B ")</f>
        <v xml:space="preserve">(SELECT instrmnt_id as instrmnt_id_to_be, grss_crryng_amnt_instrmnt as grss_crryng_amnt_instrmnt_to_be FROM bu_loantape_work.lt002_instrument WHERE ref_date='2024-09-30' AND nome_perimetro='Individual Corporativo' AND segmento='ESTR' AND ambito='PM' AND entidade='00100' ) B </v>
      </c>
      <c r="J189" s="17" t="str">
        <f>IF(VLOOKUP(B189,Instruções!$F$13:$J$17,5,0)="",
"ON "&amp;VLOOKUP(B189,Instruções!$F$13:$J$17,4,0)&amp;"_"&amp;$F$2&amp;" = "&amp;VLOOKUP(B189,Instruções!$F$13:$J$17,4,0)&amp;"_"&amp;$G$2&amp;" ",
"ON "&amp;VLOOKUP(B189,Instruções!$F$13:$J$17,4,0)&amp;"_"&amp;$F$2&amp;" = "&amp;VLOOKUP(B189,Instruções!$F$13:$J$17,4,0)&amp;"_"&amp;$G$2&amp;" AND "&amp;VLOOKUP(B189,Instruções!$F$13:$J$17,5,0)&amp;"_"&amp;$F$2&amp;" = "&amp;VLOOKUP(B189,Instruções!$F$13:$J$17,5,0)&amp;"_"&amp;$G$2&amp;" ")</f>
        <v xml:space="preserve">ON instrmnt_id_as_is = instrmnt_id_to_be </v>
      </c>
      <c r="K189" s="17" t="str">
        <f t="shared" si="20"/>
        <v xml:space="preserve">WHERE coalesce(cast(grss_crryng_amnt_instrmnt_as_is as string), '') &lt;&gt; coalesce(cast(grss_crryng_amnt_instrmnt_to_be as string), '') </v>
      </c>
      <c r="L189" s="17" t="str">
        <f t="shared" si="21"/>
        <v xml:space="preserve">SELECT count(*) AS NUM_REG_DIF FROM (SELECT instrmnt_id as instrmnt_id_as_is,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instrmnt_id_to_be, grss_crryng_amnt_instrmnt as grss_crryng_amnt_instrmnt_to_be FROM bu_loantape_work.lt002_instrument WHERE ref_date='2024-09-30' AND nome_perimetro='Individual Corporativo' AND segmento='ESTR' AND ambito='PM' AND entidade='00100' ) B ON instrmnt_id_as_is = instrmnt_id_to_be WHERE coalesce(cast(grss_crryng_amnt_instrmnt_as_is as string), '') &lt;&gt; coalesce(cast(grss_crryng_amnt_instrmnt_to_be as string), '') </v>
      </c>
      <c r="M189" s="17" t="s">
        <v>55</v>
      </c>
      <c r="N189" s="17" t="str">
        <f>"SELECT 'Validação de campos' as tipologia_teste, '"&amp;VLOOKUP(B189,Instruções!$F$13:$J$17,3,0)&amp;"' AS TABELA, '"&amp;E189&amp;"' AS CAMPO, '"&amp;Instruções!$D$15&amp;"' as ref_date, coalesce(NUM_REG_DIF, 0) AS NUM_REG_DIF FROM ("&amp;L189&amp;") A "</f>
        <v xml:space="preserve">SELECT 'Validação de campos' as tipologia_teste, 'lt002_instrument' AS TABELA, 'grss_crryng_amnt_instrmnt' AS CAMPO, '2024-09-30' as ref_date, coalesce(NUM_REG_DIF, 0) AS NUM_REG_DIF FROM (SELECT count(*) AS NUM_REG_DIF FROM (SELECT instrmnt_id as instrmnt_id_as_is,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instrmnt_id_to_be, grss_crryng_amnt_instrmnt as grss_crryng_amnt_instrmnt_to_be FROM bu_loantape_work.lt002_instrument WHERE ref_date='2024-09-30' AND nome_perimetro='Individual Corporativo' AND segmento='ESTR' AND ambito='PM' AND entidade='00100' ) B ON instrmnt_id_as_is = instrmnt_id_to_be WHERE coalesce(cast(grss_crryng_amnt_instrmnt_as_is as string), '') &lt;&gt; coalesce(cast(grss_crryng_amnt_instrmnt_to_be as string), '') ) A </v>
      </c>
      <c r="O189" s="19" t="str">
        <f t="shared" si="23"/>
        <v>SELECT 'Validação de campos' as tipologia_teste, 'lt002_instrument' AS TABELA, 'grss_crryng_amnt_instrmnt' AS CAMPO, '2024-09-30' as ref_date, coalesce(NUM_REG_DIF, 0) AS NUM_REG_DIF FROM (SELECT count(*) AS NUM_REG_DIF FROM (SELECT instrmnt_id as instrmnt_id_as_is, grss_crryng_amnt_instrmnt as grss_crryng_amnt_instrmnt_as_is FROM cd_loan_tapes_bce.lt002_instrument WHERE ref_date='2024-09-30' AND nome_perimetro='Individual Corporativo' AND segmento='ESTR' AND ambito='PM' AND entidade='00100' ) A  Inner join (SELECT instrmnt_id as instrmnt_id_to_be, grss_crryng_amnt_instrmnt as grss_crryng_amnt_instrmnt_to_be FROM bu_loantape_work.lt002_instrument WHERE ref_date='2024-09-30' AND nome_perimetro='Individual Corporativo' AND segmento='ESTR' AND ambito='PM' AND entidade='00100' ) B ON instrmnt_id_as_is = instrmnt_id_to_be WHERE coalesce(cast(grss_crryng_amnt_instrmnt_as_is as string), '') &lt;&gt; coalesce(cast(grss_crryng_amnt_instrmnt_to_be as string), '') ) A UNION ALL</v>
      </c>
      <c r="P189" s="17">
        <f t="shared" si="22"/>
        <v>35</v>
      </c>
    </row>
    <row r="190" spans="2:16" s="15" customFormat="1" ht="11.45">
      <c r="B190" s="17" t="s">
        <v>26</v>
      </c>
      <c r="C190" s="17" t="str">
        <f>_xlfn.CONCAT(Instruções!$D$13,".",VLOOKUP(B190,Instruções!$F$12:$H$17,2,0))</f>
        <v>cd_loan_tapes_bce.lt002_instrument</v>
      </c>
      <c r="D190" s="17" t="str">
        <f>_xlfn.CONCAT(Instruções!$D$14,".",VLOOKUP(B190,Instruções!$F$12:$H$17,3,0))</f>
        <v>bu_loantape_work.lt002_instrument</v>
      </c>
      <c r="E190" s="17" t="s">
        <v>243</v>
      </c>
      <c r="F190" s="17" t="str">
        <f t="shared" si="18"/>
        <v>hedge_id_as_is</v>
      </c>
      <c r="G190" s="17" t="str">
        <f t="shared" si="19"/>
        <v>hedge_id_to_be</v>
      </c>
      <c r="H190" s="17" t="str">
        <f>IF(VLOOKUP(B190,Instruções!$F$13:$J$17,5,0)="",
"(SELECT "&amp;VLOOKUP(B190,Instruções!$F$13:$J$17,4,0)&amp;" as "&amp;VLOOKUP(B190,Instruções!$F$13:$J$17,4,0)&amp;"_"&amp;$F$2&amp;", "&amp;E190&amp;" as "&amp;F190&amp;" FROM "&amp;C190&amp;" WHERE "&amp;Instruções!$D$20&amp;") A ",
"(SELECT "&amp;VLOOKUP(B190,Instruções!$F$13:$J$17,4,0)&amp;" as "&amp;VLOOKUP(B190,Instruções!$F$13:$J$17,4,0)&amp;"_"&amp;$F$2&amp;", "&amp;VLOOKUP(B190,Instruções!$F$13:$J$17,5,0)&amp;" as "&amp;VLOOKUP(B190,Instruções!$F$13:$J$17,5,0)&amp;"_"&amp;$F$2&amp;","&amp;E190&amp;" as "&amp;F190&amp;" FROM "&amp;C190&amp;" WHERE "&amp;Instruções!$D$20&amp;") A ")</f>
        <v xml:space="preserve">(SELECT instrmnt_id as instrmnt_id_as_is, hedge_id as hedge_id_as_is FROM cd_loan_tapes_bce.lt002_instrument WHERE ref_date='2024-09-30' AND nome_perimetro='Individual Corporativo' AND segmento='ESTR' AND ambito='PM' AND entidade='00100' ) A </v>
      </c>
      <c r="I190" s="17" t="str">
        <f>IF(VLOOKUP(B190,Instruções!$F$13:$J$17,5,0)="",
"(SELECT "&amp;VLOOKUP(B190,Instruções!$F$13:$J$17,4,0)&amp;" as "&amp;VLOOKUP(B190,Instruções!$F$13:$J$17,4,0)&amp;"_"&amp;$G$2&amp;", "&amp;E190&amp;" as "&amp;G190&amp;" FROM "&amp;D190&amp;" WHERE "&amp;Instruções!$D$21&amp;") B ",
"(SELECT "&amp;VLOOKUP(B190,Instruções!$F$13:$J$17,4,0)&amp;" as "&amp;VLOOKUP(B190,Instruções!$F$13:$J$17,4,0)&amp;"_"&amp;$G$2&amp;", "&amp;VLOOKUP(B190,Instruções!$F$13:$J$17,5,0)&amp;" as "&amp;VLOOKUP(B190,Instruções!$F$13:$J$17,5,0)&amp;"_"&amp;$G$2&amp;","&amp;E190&amp;" as "&amp;G190&amp;" FROM "&amp;D190&amp;" WHERE "&amp;Instruções!$D$21&amp;") B ")</f>
        <v xml:space="preserve">(SELECT instrmnt_id as instrmnt_id_to_be, hedge_id as hedge_id_to_be FROM bu_loantape_work.lt002_instrument WHERE ref_date='2024-09-30' AND nome_perimetro='Individual Corporativo' AND segmento='ESTR' AND ambito='PM' AND entidade='00100' ) B </v>
      </c>
      <c r="J190" s="17" t="str">
        <f>IF(VLOOKUP(B190,Instruções!$F$13:$J$17,5,0)="",
"ON "&amp;VLOOKUP(B190,Instruções!$F$13:$J$17,4,0)&amp;"_"&amp;$F$2&amp;" = "&amp;VLOOKUP(B190,Instruções!$F$13:$J$17,4,0)&amp;"_"&amp;$G$2&amp;" ",
"ON "&amp;VLOOKUP(B190,Instruções!$F$13:$J$17,4,0)&amp;"_"&amp;$F$2&amp;" = "&amp;VLOOKUP(B190,Instruções!$F$13:$J$17,4,0)&amp;"_"&amp;$G$2&amp;" AND "&amp;VLOOKUP(B190,Instruções!$F$13:$J$17,5,0)&amp;"_"&amp;$F$2&amp;" = "&amp;VLOOKUP(B190,Instruções!$F$13:$J$17,5,0)&amp;"_"&amp;$G$2&amp;" ")</f>
        <v xml:space="preserve">ON instrmnt_id_as_is = instrmnt_id_to_be </v>
      </c>
      <c r="K190" s="17" t="str">
        <f t="shared" si="20"/>
        <v xml:space="preserve">WHERE coalesce(cast(hedge_id_as_is as string), '') &lt;&gt; coalesce(cast(hedge_id_to_be as string), '') </v>
      </c>
      <c r="L190" s="17" t="str">
        <f t="shared" si="21"/>
        <v xml:space="preserve">SELECT count(*) AS NUM_REG_DIF FROM (SELECT instrmnt_id as instrmnt_id_as_is, hedge_id as hedge_id_as_is FROM cd_loan_tapes_bce.lt002_instrument WHERE ref_date='2024-09-30' AND nome_perimetro='Individual Corporativo' AND segmento='ESTR' AND ambito='PM' AND entidade='00100' ) A  Inner join (SELECT instrmnt_id as instrmnt_id_to_be, hedge_id as hedge_id_to_be FROM bu_loantape_work.lt002_instrument WHERE ref_date='2024-09-30' AND nome_perimetro='Individual Corporativo' AND segmento='ESTR' AND ambito='PM' AND entidade='00100' ) B ON instrmnt_id_as_is = instrmnt_id_to_be WHERE coalesce(cast(hedge_id_as_is as string), '') &lt;&gt; coalesce(cast(hedge_id_to_be as string), '') </v>
      </c>
      <c r="M190" s="17" t="s">
        <v>55</v>
      </c>
      <c r="N190" s="17" t="str">
        <f>"SELECT 'Validação de campos' as tipologia_teste, '"&amp;VLOOKUP(B190,Instruções!$F$13:$J$17,3,0)&amp;"' AS TABELA, '"&amp;E190&amp;"' AS CAMPO, '"&amp;Instruções!$D$15&amp;"' as ref_date, coalesce(NUM_REG_DIF, 0) AS NUM_REG_DIF FROM ("&amp;L190&amp;") A "</f>
        <v xml:space="preserve">SELECT 'Validação de campos' as tipologia_teste, 'lt002_instrument' AS TABELA, 'hedge_id' AS CAMPO, '2024-09-30' as ref_date, coalesce(NUM_REG_DIF, 0) AS NUM_REG_DIF FROM (SELECT count(*) AS NUM_REG_DIF FROM (SELECT instrmnt_id as instrmnt_id_as_is, hedge_id as hedge_id_as_is FROM cd_loan_tapes_bce.lt002_instrument WHERE ref_date='2024-09-30' AND nome_perimetro='Individual Corporativo' AND segmento='ESTR' AND ambito='PM' AND entidade='00100' ) A  Inner join (SELECT instrmnt_id as instrmnt_id_to_be, hedge_id as hedge_id_to_be FROM bu_loantape_work.lt002_instrument WHERE ref_date='2024-09-30' AND nome_perimetro='Individual Corporativo' AND segmento='ESTR' AND ambito='PM' AND entidade='00100' ) B ON instrmnt_id_as_is = instrmnt_id_to_be WHERE coalesce(cast(hedge_id_as_is as string), '') &lt;&gt; coalesce(cast(hedge_id_to_be as string), '') ) A </v>
      </c>
      <c r="O190" s="19" t="str">
        <f t="shared" si="23"/>
        <v>SELECT 'Validação de campos' as tipologia_teste, 'lt002_instrument' AS TABELA, 'hedge_id' AS CAMPO, '2024-09-30' as ref_date, coalesce(NUM_REG_DIF, 0) AS NUM_REG_DIF FROM (SELECT count(*) AS NUM_REG_DIF FROM (SELECT instrmnt_id as instrmnt_id_as_is, hedge_id as hedge_id_as_is FROM cd_loan_tapes_bce.lt002_instrument WHERE ref_date='2024-09-30' AND nome_perimetro='Individual Corporativo' AND segmento='ESTR' AND ambito='PM' AND entidade='00100' ) A  Inner join (SELECT instrmnt_id as instrmnt_id_to_be, hedge_id as hedge_id_to_be FROM bu_loantape_work.lt002_instrument WHERE ref_date='2024-09-30' AND nome_perimetro='Individual Corporativo' AND segmento='ESTR' AND ambito='PM' AND entidade='00100' ) B ON instrmnt_id_as_is = instrmnt_id_to_be WHERE coalesce(cast(hedge_id_as_is as string), '') &lt;&gt; coalesce(cast(hedge_id_to_be as string), '') ) A UNION ALL</v>
      </c>
      <c r="P190" s="17">
        <f t="shared" si="22"/>
        <v>36</v>
      </c>
    </row>
    <row r="191" spans="2:16" s="15" customFormat="1" ht="11.45">
      <c r="B191" s="17" t="s">
        <v>26</v>
      </c>
      <c r="C191" s="17" t="str">
        <f>_xlfn.CONCAT(Instruções!$D$13,".",VLOOKUP(B191,Instruções!$F$12:$H$17,2,0))</f>
        <v>cd_loan_tapes_bce.lt002_instrument</v>
      </c>
      <c r="D191" s="17" t="str">
        <f>_xlfn.CONCAT(Instruções!$D$14,".",VLOOKUP(B191,Instruções!$F$12:$H$17,3,0))</f>
        <v>bu_loantape_work.lt002_instrument</v>
      </c>
      <c r="E191" s="17" t="s">
        <v>244</v>
      </c>
      <c r="F191" s="17" t="str">
        <f t="shared" si="18"/>
        <v>idcmb_as_is</v>
      </c>
      <c r="G191" s="17" t="str">
        <f t="shared" si="19"/>
        <v>idcmb_to_be</v>
      </c>
      <c r="H191" s="17" t="str">
        <f>IF(VLOOKUP(B191,Instruções!$F$13:$J$17,5,0)="",
"(SELECT "&amp;VLOOKUP(B191,Instruções!$F$13:$J$17,4,0)&amp;" as "&amp;VLOOKUP(B191,Instruções!$F$13:$J$17,4,0)&amp;"_"&amp;$F$2&amp;", "&amp;E191&amp;" as "&amp;F191&amp;" FROM "&amp;C191&amp;" WHERE "&amp;Instruções!$D$20&amp;") A ",
"(SELECT "&amp;VLOOKUP(B191,Instruções!$F$13:$J$17,4,0)&amp;" as "&amp;VLOOKUP(B191,Instruções!$F$13:$J$17,4,0)&amp;"_"&amp;$F$2&amp;", "&amp;VLOOKUP(B191,Instruções!$F$13:$J$17,5,0)&amp;" as "&amp;VLOOKUP(B191,Instruções!$F$13:$J$17,5,0)&amp;"_"&amp;$F$2&amp;","&amp;E191&amp;" as "&amp;F191&amp;" FROM "&amp;C191&amp;" WHERE "&amp;Instruções!$D$20&amp;") A ")</f>
        <v xml:space="preserve">(SELECT instrmnt_id as instrmnt_id_as_is, idcmb as idcmb_as_is FROM cd_loan_tapes_bce.lt002_instrument WHERE ref_date='2024-09-30' AND nome_perimetro='Individual Corporativo' AND segmento='ESTR' AND ambito='PM' AND entidade='00100' ) A </v>
      </c>
      <c r="I191" s="17" t="str">
        <f>IF(VLOOKUP(B191,Instruções!$F$13:$J$17,5,0)="",
"(SELECT "&amp;VLOOKUP(B191,Instruções!$F$13:$J$17,4,0)&amp;" as "&amp;VLOOKUP(B191,Instruções!$F$13:$J$17,4,0)&amp;"_"&amp;$G$2&amp;", "&amp;E191&amp;" as "&amp;G191&amp;" FROM "&amp;D191&amp;" WHERE "&amp;Instruções!$D$21&amp;") B ",
"(SELECT "&amp;VLOOKUP(B191,Instruções!$F$13:$J$17,4,0)&amp;" as "&amp;VLOOKUP(B191,Instruções!$F$13:$J$17,4,0)&amp;"_"&amp;$G$2&amp;", "&amp;VLOOKUP(B191,Instruções!$F$13:$J$17,5,0)&amp;" as "&amp;VLOOKUP(B191,Instruções!$F$13:$J$17,5,0)&amp;"_"&amp;$G$2&amp;","&amp;E191&amp;" as "&amp;G191&amp;" FROM "&amp;D191&amp;" WHERE "&amp;Instruções!$D$21&amp;") B ")</f>
        <v xml:space="preserve">(SELECT instrmnt_id as instrmnt_id_to_be, idcmb as idcmb_to_be FROM bu_loantape_work.lt002_instrument WHERE ref_date='2024-09-30' AND nome_perimetro='Individual Corporativo' AND segmento='ESTR' AND ambito='PM' AND entidade='00100' ) B </v>
      </c>
      <c r="J191" s="17" t="str">
        <f>IF(VLOOKUP(B191,Instruções!$F$13:$J$17,5,0)="",
"ON "&amp;VLOOKUP(B191,Instruções!$F$13:$J$17,4,0)&amp;"_"&amp;$F$2&amp;" = "&amp;VLOOKUP(B191,Instruções!$F$13:$J$17,4,0)&amp;"_"&amp;$G$2&amp;" ",
"ON "&amp;VLOOKUP(B191,Instruções!$F$13:$J$17,4,0)&amp;"_"&amp;$F$2&amp;" = "&amp;VLOOKUP(B191,Instruções!$F$13:$J$17,4,0)&amp;"_"&amp;$G$2&amp;" AND "&amp;VLOOKUP(B191,Instruções!$F$13:$J$17,5,0)&amp;"_"&amp;$F$2&amp;" = "&amp;VLOOKUP(B191,Instruções!$F$13:$J$17,5,0)&amp;"_"&amp;$G$2&amp;" ")</f>
        <v xml:space="preserve">ON instrmnt_id_as_is = instrmnt_id_to_be </v>
      </c>
      <c r="K191" s="17" t="str">
        <f t="shared" si="20"/>
        <v xml:space="preserve">WHERE coalesce(cast(idcmb_as_is as string), '') &lt;&gt; coalesce(cast(idcmb_to_be as string), '') </v>
      </c>
      <c r="L191" s="17" t="str">
        <f t="shared" si="21"/>
        <v xml:space="preserve">SELECT count(*) AS NUM_REG_DIF FROM (SELECT instrmnt_id as instrmnt_id_as_is, idcmb as idcmb_as_is FROM cd_loan_tapes_bce.lt002_instrument WHERE ref_date='2024-09-30' AND nome_perimetro='Individual Corporativo' AND segmento='ESTR' AND ambito='PM' AND entidade='00100' ) A  Inner join (SELECT instrmnt_id as instrmnt_id_to_be, idcmb as idcmb_to_be FROM bu_loantape_work.lt002_instrument WHERE ref_date='2024-09-30' AND nome_perimetro='Individual Corporativo' AND segmento='ESTR' AND ambito='PM' AND entidade='00100' ) B ON instrmnt_id_as_is = instrmnt_id_to_be WHERE coalesce(cast(idcmb_as_is as string), '') &lt;&gt; coalesce(cast(idcmb_to_be as string), '') </v>
      </c>
      <c r="M191" s="17" t="s">
        <v>55</v>
      </c>
      <c r="N191" s="17" t="str">
        <f>"SELECT 'Validação de campos' as tipologia_teste, '"&amp;VLOOKUP(B191,Instruções!$F$13:$J$17,3,0)&amp;"' AS TABELA, '"&amp;E191&amp;"' AS CAMPO, '"&amp;Instruções!$D$15&amp;"' as ref_date, coalesce(NUM_REG_DIF, 0) AS NUM_REG_DIF FROM ("&amp;L191&amp;") A "</f>
        <v xml:space="preserve">SELECT 'Validação de campos' as tipologia_teste, 'lt002_instrument' AS TABELA, 'idcmb' AS CAMPO, '2024-09-30' as ref_date, coalesce(NUM_REG_DIF, 0) AS NUM_REG_DIF FROM (SELECT count(*) AS NUM_REG_DIF FROM (SELECT instrmnt_id as instrmnt_id_as_is, idcmb as idcmb_as_is FROM cd_loan_tapes_bce.lt002_instrument WHERE ref_date='2024-09-30' AND nome_perimetro='Individual Corporativo' AND segmento='ESTR' AND ambito='PM' AND entidade='00100' ) A  Inner join (SELECT instrmnt_id as instrmnt_id_to_be, idcmb as idcmb_to_be FROM bu_loantape_work.lt002_instrument WHERE ref_date='2024-09-30' AND nome_perimetro='Individual Corporativo' AND segmento='ESTR' AND ambito='PM' AND entidade='00100' ) B ON instrmnt_id_as_is = instrmnt_id_to_be WHERE coalesce(cast(idcmb_as_is as string), '') &lt;&gt; coalesce(cast(idcmb_to_be as string), '') ) A </v>
      </c>
      <c r="O191" s="19" t="str">
        <f t="shared" si="23"/>
        <v>SELECT 'Validação de campos' as tipologia_teste, 'lt002_instrument' AS TABELA, 'idcmb' AS CAMPO, '2024-09-30' as ref_date, coalesce(NUM_REG_DIF, 0) AS NUM_REG_DIF FROM (SELECT count(*) AS NUM_REG_DIF FROM (SELECT instrmnt_id as instrmnt_id_as_is, idcmb as idcmb_as_is FROM cd_loan_tapes_bce.lt002_instrument WHERE ref_date='2024-09-30' AND nome_perimetro='Individual Corporativo' AND segmento='ESTR' AND ambito='PM' AND entidade='00100' ) A  Inner join (SELECT instrmnt_id as instrmnt_id_to_be, idcmb as idcmb_to_be FROM bu_loantape_work.lt002_instrument WHERE ref_date='2024-09-30' AND nome_perimetro='Individual Corporativo' AND segmento='ESTR' AND ambito='PM' AND entidade='00100' ) B ON instrmnt_id_as_is = instrmnt_id_to_be WHERE coalesce(cast(idcmb_as_is as string), '') &lt;&gt; coalesce(cast(idcmb_to_be as string), '') ) A UNION ALL</v>
      </c>
      <c r="P191" s="17">
        <f t="shared" si="22"/>
        <v>37</v>
      </c>
    </row>
    <row r="192" spans="2:16" s="15" customFormat="1" ht="11.45">
      <c r="B192" s="17" t="s">
        <v>26</v>
      </c>
      <c r="C192" s="17" t="str">
        <f>_xlfn.CONCAT(Instruções!$D$13,".",VLOOKUP(B192,Instruções!$F$12:$H$17,2,0))</f>
        <v>cd_loan_tapes_bce.lt002_instrument</v>
      </c>
      <c r="D192" s="17" t="str">
        <f>_xlfn.CONCAT(Instruções!$D$14,".",VLOOKUP(B192,Instruções!$F$12:$H$17,3,0))</f>
        <v>bu_loantape_work.lt002_instrument</v>
      </c>
      <c r="E192" s="17" t="s">
        <v>246</v>
      </c>
      <c r="F192" s="17" t="str">
        <f t="shared" si="18"/>
        <v>ifrs9_ccf_as_is</v>
      </c>
      <c r="G192" s="17" t="str">
        <f t="shared" si="19"/>
        <v>ifrs9_ccf_to_be</v>
      </c>
      <c r="H192" s="17" t="str">
        <f>IF(VLOOKUP(B192,Instruções!$F$13:$J$17,5,0)="",
"(SELECT "&amp;VLOOKUP(B192,Instruções!$F$13:$J$17,4,0)&amp;" as "&amp;VLOOKUP(B192,Instruções!$F$13:$J$17,4,0)&amp;"_"&amp;$F$2&amp;", "&amp;E192&amp;" as "&amp;F192&amp;" FROM "&amp;C192&amp;" WHERE "&amp;Instruções!$D$20&amp;") A ",
"(SELECT "&amp;VLOOKUP(B192,Instruções!$F$13:$J$17,4,0)&amp;" as "&amp;VLOOKUP(B192,Instruções!$F$13:$J$17,4,0)&amp;"_"&amp;$F$2&amp;", "&amp;VLOOKUP(B192,Instruções!$F$13:$J$17,5,0)&amp;" as "&amp;VLOOKUP(B192,Instruções!$F$13:$J$17,5,0)&amp;"_"&amp;$F$2&amp;","&amp;E192&amp;" as "&amp;F192&amp;" FROM "&amp;C192&amp;" WHERE "&amp;Instruções!$D$20&amp;") A ")</f>
        <v xml:space="preserve">(SELECT instrmnt_id as instrmnt_id_as_is, ifrs9_ccf as ifrs9_ccf_as_is FROM cd_loan_tapes_bce.lt002_instrument WHERE ref_date='2024-09-30' AND nome_perimetro='Individual Corporativo' AND segmento='ESTR' AND ambito='PM' AND entidade='00100' ) A </v>
      </c>
      <c r="I192" s="17" t="str">
        <f>IF(VLOOKUP(B192,Instruções!$F$13:$J$17,5,0)="",
"(SELECT "&amp;VLOOKUP(B192,Instruções!$F$13:$J$17,4,0)&amp;" as "&amp;VLOOKUP(B192,Instruções!$F$13:$J$17,4,0)&amp;"_"&amp;$G$2&amp;", "&amp;E192&amp;" as "&amp;G192&amp;" FROM "&amp;D192&amp;" WHERE "&amp;Instruções!$D$21&amp;") B ",
"(SELECT "&amp;VLOOKUP(B192,Instruções!$F$13:$J$17,4,0)&amp;" as "&amp;VLOOKUP(B192,Instruções!$F$13:$J$17,4,0)&amp;"_"&amp;$G$2&amp;", "&amp;VLOOKUP(B192,Instruções!$F$13:$J$17,5,0)&amp;" as "&amp;VLOOKUP(B192,Instruções!$F$13:$J$17,5,0)&amp;"_"&amp;$G$2&amp;","&amp;E192&amp;" as "&amp;G192&amp;" FROM "&amp;D192&amp;" WHERE "&amp;Instruções!$D$21&amp;") B ")</f>
        <v xml:space="preserve">(SELECT instrmnt_id as instrmnt_id_to_be, ifrs9_ccf as ifrs9_ccf_to_be FROM bu_loantape_work.lt002_instrument WHERE ref_date='2024-09-30' AND nome_perimetro='Individual Corporativo' AND segmento='ESTR' AND ambito='PM' AND entidade='00100' ) B </v>
      </c>
      <c r="J192" s="17" t="str">
        <f>IF(VLOOKUP(B192,Instruções!$F$13:$J$17,5,0)="",
"ON "&amp;VLOOKUP(B192,Instruções!$F$13:$J$17,4,0)&amp;"_"&amp;$F$2&amp;" = "&amp;VLOOKUP(B192,Instruções!$F$13:$J$17,4,0)&amp;"_"&amp;$G$2&amp;" ",
"ON "&amp;VLOOKUP(B192,Instruções!$F$13:$J$17,4,0)&amp;"_"&amp;$F$2&amp;" = "&amp;VLOOKUP(B192,Instruções!$F$13:$J$17,4,0)&amp;"_"&amp;$G$2&amp;" AND "&amp;VLOOKUP(B192,Instruções!$F$13:$J$17,5,0)&amp;"_"&amp;$F$2&amp;" = "&amp;VLOOKUP(B192,Instruções!$F$13:$J$17,5,0)&amp;"_"&amp;$G$2&amp;" ")</f>
        <v xml:space="preserve">ON instrmnt_id_as_is = instrmnt_id_to_be </v>
      </c>
      <c r="K192" s="17" t="str">
        <f t="shared" si="20"/>
        <v xml:space="preserve">WHERE coalesce(cast(ifrs9_ccf_as_is as string), '') &lt;&gt; coalesce(cast(ifrs9_ccf_to_be as string), '') </v>
      </c>
      <c r="L192" s="17" t="str">
        <f t="shared" si="21"/>
        <v xml:space="preserve">SELECT count(*) AS NUM_REG_DIF FROM (SELECT instrmnt_id as instrmnt_id_as_is, ifrs9_ccf as ifrs9_ccf_as_is FROM cd_loan_tapes_bce.lt002_instrument WHERE ref_date='2024-09-30' AND nome_perimetro='Individual Corporativo' AND segmento='ESTR' AND ambito='PM' AND entidade='00100' ) A  Inner join (SELECT instrmnt_id as instrmnt_id_to_be, ifrs9_ccf as ifrs9_ccf_to_be FROM bu_loantape_work.lt002_instrument WHERE ref_date='2024-09-30' AND nome_perimetro='Individual Corporativo' AND segmento='ESTR' AND ambito='PM' AND entidade='00100' ) B ON instrmnt_id_as_is = instrmnt_id_to_be WHERE coalesce(cast(ifrs9_ccf_as_is as string), '') &lt;&gt; coalesce(cast(ifrs9_ccf_to_be as string), '') </v>
      </c>
      <c r="M192" s="17" t="s">
        <v>55</v>
      </c>
      <c r="N192" s="17" t="str">
        <f>"SELECT 'Validação de campos' as tipologia_teste, '"&amp;VLOOKUP(B192,Instruções!$F$13:$J$17,3,0)&amp;"' AS TABELA, '"&amp;E192&amp;"' AS CAMPO, '"&amp;Instruções!$D$15&amp;"' as ref_date, coalesce(NUM_REG_DIF, 0) AS NUM_REG_DIF FROM ("&amp;L192&amp;") A "</f>
        <v xml:space="preserve">SELECT 'Validação de campos' as tipologia_teste, 'lt002_instrument' AS TABELA, 'ifrs9_ccf' AS CAMPO, '2024-09-30' as ref_date, coalesce(NUM_REG_DIF, 0) AS NUM_REG_DIF FROM (SELECT count(*) AS NUM_REG_DIF FROM (SELECT instrmnt_id as instrmnt_id_as_is, ifrs9_ccf as ifrs9_ccf_as_is FROM cd_loan_tapes_bce.lt002_instrument WHERE ref_date='2024-09-30' AND nome_perimetro='Individual Corporativo' AND segmento='ESTR' AND ambito='PM' AND entidade='00100' ) A  Inner join (SELECT instrmnt_id as instrmnt_id_to_be, ifrs9_ccf as ifrs9_ccf_to_be FROM bu_loantape_work.lt002_instrument WHERE ref_date='2024-09-30' AND nome_perimetro='Individual Corporativo' AND segmento='ESTR' AND ambito='PM' AND entidade='00100' ) B ON instrmnt_id_as_is = instrmnt_id_to_be WHERE coalesce(cast(ifrs9_ccf_as_is as string), '') &lt;&gt; coalesce(cast(ifrs9_ccf_to_be as string), '') ) A </v>
      </c>
      <c r="O192" s="19" t="str">
        <f t="shared" si="23"/>
        <v>SELECT 'Validação de campos' as tipologia_teste, 'lt002_instrument' AS TABELA, 'ifrs9_ccf' AS CAMPO, '2024-09-30' as ref_date, coalesce(NUM_REG_DIF, 0) AS NUM_REG_DIF FROM (SELECT count(*) AS NUM_REG_DIF FROM (SELECT instrmnt_id as instrmnt_id_as_is, ifrs9_ccf as ifrs9_ccf_as_is FROM cd_loan_tapes_bce.lt002_instrument WHERE ref_date='2024-09-30' AND nome_perimetro='Individual Corporativo' AND segmento='ESTR' AND ambito='PM' AND entidade='00100' ) A  Inner join (SELECT instrmnt_id as instrmnt_id_to_be, ifrs9_ccf as ifrs9_ccf_to_be FROM bu_loantape_work.lt002_instrument WHERE ref_date='2024-09-30' AND nome_perimetro='Individual Corporativo' AND segmento='ESTR' AND ambito='PM' AND entidade='00100' ) B ON instrmnt_id_as_is = instrmnt_id_to_be WHERE coalesce(cast(ifrs9_ccf_as_is as string), '') &lt;&gt; coalesce(cast(ifrs9_ccf_to_be as string), '') ) A UNION ALL</v>
      </c>
      <c r="P192" s="17">
        <f t="shared" si="22"/>
        <v>38</v>
      </c>
    </row>
    <row r="193" spans="2:16" s="15" customFormat="1" ht="11.45">
      <c r="B193" s="17" t="s">
        <v>26</v>
      </c>
      <c r="C193" s="17" t="str">
        <f>_xlfn.CONCAT(Instruções!$D$13,".",VLOOKUP(B193,Instruções!$F$12:$H$17,2,0))</f>
        <v>cd_loan_tapes_bce.lt002_instrument</v>
      </c>
      <c r="D193" s="17" t="str">
        <f>_xlfn.CONCAT(Instruções!$D$14,".",VLOOKUP(B193,Instruções!$F$12:$H$17,3,0))</f>
        <v>bu_loantape_work.lt002_instrument</v>
      </c>
      <c r="E193" s="17" t="s">
        <v>247</v>
      </c>
      <c r="F193" s="17" t="str">
        <f t="shared" si="18"/>
        <v>ifrs9_ead_as_is</v>
      </c>
      <c r="G193" s="17" t="str">
        <f t="shared" si="19"/>
        <v>ifrs9_ead_to_be</v>
      </c>
      <c r="H193" s="17" t="str">
        <f>IF(VLOOKUP(B193,Instruções!$F$13:$J$17,5,0)="",
"(SELECT "&amp;VLOOKUP(B193,Instruções!$F$13:$J$17,4,0)&amp;" as "&amp;VLOOKUP(B193,Instruções!$F$13:$J$17,4,0)&amp;"_"&amp;$F$2&amp;", "&amp;E193&amp;" as "&amp;F193&amp;" FROM "&amp;C193&amp;" WHERE "&amp;Instruções!$D$20&amp;") A ",
"(SELECT "&amp;VLOOKUP(B193,Instruções!$F$13:$J$17,4,0)&amp;" as "&amp;VLOOKUP(B193,Instruções!$F$13:$J$17,4,0)&amp;"_"&amp;$F$2&amp;", "&amp;VLOOKUP(B193,Instruções!$F$13:$J$17,5,0)&amp;" as "&amp;VLOOKUP(B193,Instruções!$F$13:$J$17,5,0)&amp;"_"&amp;$F$2&amp;","&amp;E193&amp;" as "&amp;F193&amp;" FROM "&amp;C193&amp;" WHERE "&amp;Instruções!$D$20&amp;") A ")</f>
        <v xml:space="preserve">(SELECT instrmnt_id as instrmnt_id_as_is, ifrs9_ead as ifrs9_ead_as_is FROM cd_loan_tapes_bce.lt002_instrument WHERE ref_date='2024-09-30' AND nome_perimetro='Individual Corporativo' AND segmento='ESTR' AND ambito='PM' AND entidade='00100' ) A </v>
      </c>
      <c r="I193" s="17" t="str">
        <f>IF(VLOOKUP(B193,Instruções!$F$13:$J$17,5,0)="",
"(SELECT "&amp;VLOOKUP(B193,Instruções!$F$13:$J$17,4,0)&amp;" as "&amp;VLOOKUP(B193,Instruções!$F$13:$J$17,4,0)&amp;"_"&amp;$G$2&amp;", "&amp;E193&amp;" as "&amp;G193&amp;" FROM "&amp;D193&amp;" WHERE "&amp;Instruções!$D$21&amp;") B ",
"(SELECT "&amp;VLOOKUP(B193,Instruções!$F$13:$J$17,4,0)&amp;" as "&amp;VLOOKUP(B193,Instruções!$F$13:$J$17,4,0)&amp;"_"&amp;$G$2&amp;", "&amp;VLOOKUP(B193,Instruções!$F$13:$J$17,5,0)&amp;" as "&amp;VLOOKUP(B193,Instruções!$F$13:$J$17,5,0)&amp;"_"&amp;$G$2&amp;","&amp;E193&amp;" as "&amp;G193&amp;" FROM "&amp;D193&amp;" WHERE "&amp;Instruções!$D$21&amp;") B ")</f>
        <v xml:space="preserve">(SELECT instrmnt_id as instrmnt_id_to_be, ifrs9_ead as ifrs9_ead_to_be FROM bu_loantape_work.lt002_instrument WHERE ref_date='2024-09-30' AND nome_perimetro='Individual Corporativo' AND segmento='ESTR' AND ambito='PM' AND entidade='00100' ) B </v>
      </c>
      <c r="J193" s="17" t="str">
        <f>IF(VLOOKUP(B193,Instruções!$F$13:$J$17,5,0)="",
"ON "&amp;VLOOKUP(B193,Instruções!$F$13:$J$17,4,0)&amp;"_"&amp;$F$2&amp;" = "&amp;VLOOKUP(B193,Instruções!$F$13:$J$17,4,0)&amp;"_"&amp;$G$2&amp;" ",
"ON "&amp;VLOOKUP(B193,Instruções!$F$13:$J$17,4,0)&amp;"_"&amp;$F$2&amp;" = "&amp;VLOOKUP(B193,Instruções!$F$13:$J$17,4,0)&amp;"_"&amp;$G$2&amp;" AND "&amp;VLOOKUP(B193,Instruções!$F$13:$J$17,5,0)&amp;"_"&amp;$F$2&amp;" = "&amp;VLOOKUP(B193,Instruções!$F$13:$J$17,5,0)&amp;"_"&amp;$G$2&amp;" ")</f>
        <v xml:space="preserve">ON instrmnt_id_as_is = instrmnt_id_to_be </v>
      </c>
      <c r="K193" s="17" t="str">
        <f t="shared" si="20"/>
        <v xml:space="preserve">WHERE coalesce(cast(ifrs9_ead_as_is as string), '') &lt;&gt; coalesce(cast(ifrs9_ead_to_be as string), '') </v>
      </c>
      <c r="L193" s="17" t="str">
        <f t="shared" si="21"/>
        <v xml:space="preserve">SELECT count(*) AS NUM_REG_DIF FROM (SELECT instrmnt_id as instrmnt_id_as_is, ifrs9_ead as ifrs9_ead_as_is FROM cd_loan_tapes_bce.lt002_instrument WHERE ref_date='2024-09-30' AND nome_perimetro='Individual Corporativo' AND segmento='ESTR' AND ambito='PM' AND entidade='00100' ) A  Inner join (SELECT instrmnt_id as instrmnt_id_to_be, ifrs9_ead as ifrs9_ead_to_be FROM bu_loantape_work.lt002_instrument WHERE ref_date='2024-09-30' AND nome_perimetro='Individual Corporativo' AND segmento='ESTR' AND ambito='PM' AND entidade='00100' ) B ON instrmnt_id_as_is = instrmnt_id_to_be WHERE coalesce(cast(ifrs9_ead_as_is as string), '') &lt;&gt; coalesce(cast(ifrs9_ead_to_be as string), '') </v>
      </c>
      <c r="M193" s="17" t="s">
        <v>55</v>
      </c>
      <c r="N193" s="17" t="str">
        <f>"SELECT 'Validação de campos' as tipologia_teste, '"&amp;VLOOKUP(B193,Instruções!$F$13:$J$17,3,0)&amp;"' AS TABELA, '"&amp;E193&amp;"' AS CAMPO, '"&amp;Instruções!$D$15&amp;"' as ref_date, coalesce(NUM_REG_DIF, 0) AS NUM_REG_DIF FROM ("&amp;L193&amp;") A "</f>
        <v xml:space="preserve">SELECT 'Validação de campos' as tipologia_teste, 'lt002_instrument' AS TABELA, 'ifrs9_ead' AS CAMPO, '2024-09-30' as ref_date, coalesce(NUM_REG_DIF, 0) AS NUM_REG_DIF FROM (SELECT count(*) AS NUM_REG_DIF FROM (SELECT instrmnt_id as instrmnt_id_as_is, ifrs9_ead as ifrs9_ead_as_is FROM cd_loan_tapes_bce.lt002_instrument WHERE ref_date='2024-09-30' AND nome_perimetro='Individual Corporativo' AND segmento='ESTR' AND ambito='PM' AND entidade='00100' ) A  Inner join (SELECT instrmnt_id as instrmnt_id_to_be, ifrs9_ead as ifrs9_ead_to_be FROM bu_loantape_work.lt002_instrument WHERE ref_date='2024-09-30' AND nome_perimetro='Individual Corporativo' AND segmento='ESTR' AND ambito='PM' AND entidade='00100' ) B ON instrmnt_id_as_is = instrmnt_id_to_be WHERE coalesce(cast(ifrs9_ead_as_is as string), '') &lt;&gt; coalesce(cast(ifrs9_ead_to_be as string), '') ) A </v>
      </c>
      <c r="O193" s="19" t="str">
        <f t="shared" si="23"/>
        <v>SELECT 'Validação de campos' as tipologia_teste, 'lt002_instrument' AS TABELA, 'ifrs9_ead' AS CAMPO, '2024-09-30' as ref_date, coalesce(NUM_REG_DIF, 0) AS NUM_REG_DIF FROM (SELECT count(*) AS NUM_REG_DIF FROM (SELECT instrmnt_id as instrmnt_id_as_is, ifrs9_ead as ifrs9_ead_as_is FROM cd_loan_tapes_bce.lt002_instrument WHERE ref_date='2024-09-30' AND nome_perimetro='Individual Corporativo' AND segmento='ESTR' AND ambito='PM' AND entidade='00100' ) A  Inner join (SELECT instrmnt_id as instrmnt_id_to_be, ifrs9_ead as ifrs9_ead_to_be FROM bu_loantape_work.lt002_instrument WHERE ref_date='2024-09-30' AND nome_perimetro='Individual Corporativo' AND segmento='ESTR' AND ambito='PM' AND entidade='00100' ) B ON instrmnt_id_as_is = instrmnt_id_to_be WHERE coalesce(cast(ifrs9_ead_as_is as string), '') &lt;&gt; coalesce(cast(ifrs9_ead_to_be as string), '') ) A UNION ALL</v>
      </c>
      <c r="P193" s="17">
        <f t="shared" si="22"/>
        <v>39</v>
      </c>
    </row>
    <row r="194" spans="2:16" s="15" customFormat="1" ht="11.45">
      <c r="B194" s="17" t="s">
        <v>26</v>
      </c>
      <c r="C194" s="17" t="str">
        <f>_xlfn.CONCAT(Instruções!$D$13,".",VLOOKUP(B194,Instruções!$F$12:$H$17,2,0))</f>
        <v>cd_loan_tapes_bce.lt002_instrument</v>
      </c>
      <c r="D194" s="17" t="str">
        <f>_xlfn.CONCAT(Instruções!$D$14,".",VLOOKUP(B194,Instruções!$F$12:$H$17,3,0))</f>
        <v>bu_loantape_work.lt002_instrument</v>
      </c>
      <c r="E194" s="17" t="s">
        <v>248</v>
      </c>
      <c r="F194" s="17" t="str">
        <f t="shared" si="18"/>
        <v>ifrs9_lgd_as_is</v>
      </c>
      <c r="G194" s="17" t="str">
        <f t="shared" si="19"/>
        <v>ifrs9_lgd_to_be</v>
      </c>
      <c r="H194" s="17" t="str">
        <f>IF(VLOOKUP(B194,Instruções!$F$13:$J$17,5,0)="",
"(SELECT "&amp;VLOOKUP(B194,Instruções!$F$13:$J$17,4,0)&amp;" as "&amp;VLOOKUP(B194,Instruções!$F$13:$J$17,4,0)&amp;"_"&amp;$F$2&amp;", "&amp;E194&amp;" as "&amp;F194&amp;" FROM "&amp;C194&amp;" WHERE "&amp;Instruções!$D$20&amp;") A ",
"(SELECT "&amp;VLOOKUP(B194,Instruções!$F$13:$J$17,4,0)&amp;" as "&amp;VLOOKUP(B194,Instruções!$F$13:$J$17,4,0)&amp;"_"&amp;$F$2&amp;", "&amp;VLOOKUP(B194,Instruções!$F$13:$J$17,5,0)&amp;" as "&amp;VLOOKUP(B194,Instruções!$F$13:$J$17,5,0)&amp;"_"&amp;$F$2&amp;","&amp;E194&amp;" as "&amp;F194&amp;" FROM "&amp;C194&amp;" WHERE "&amp;Instruções!$D$20&amp;") A ")</f>
        <v xml:space="preserve">(SELECT instrmnt_id as instrmnt_id_as_is, ifrs9_lgd as ifrs9_lgd_as_is FROM cd_loan_tapes_bce.lt002_instrument WHERE ref_date='2024-09-30' AND nome_perimetro='Individual Corporativo' AND segmento='ESTR' AND ambito='PM' AND entidade='00100' ) A </v>
      </c>
      <c r="I194" s="17" t="str">
        <f>IF(VLOOKUP(B194,Instruções!$F$13:$J$17,5,0)="",
"(SELECT "&amp;VLOOKUP(B194,Instruções!$F$13:$J$17,4,0)&amp;" as "&amp;VLOOKUP(B194,Instruções!$F$13:$J$17,4,0)&amp;"_"&amp;$G$2&amp;", "&amp;E194&amp;" as "&amp;G194&amp;" FROM "&amp;D194&amp;" WHERE "&amp;Instruções!$D$21&amp;") B ",
"(SELECT "&amp;VLOOKUP(B194,Instruções!$F$13:$J$17,4,0)&amp;" as "&amp;VLOOKUP(B194,Instruções!$F$13:$J$17,4,0)&amp;"_"&amp;$G$2&amp;", "&amp;VLOOKUP(B194,Instruções!$F$13:$J$17,5,0)&amp;" as "&amp;VLOOKUP(B194,Instruções!$F$13:$J$17,5,0)&amp;"_"&amp;$G$2&amp;","&amp;E194&amp;" as "&amp;G194&amp;" FROM "&amp;D194&amp;" WHERE "&amp;Instruções!$D$21&amp;") B ")</f>
        <v xml:space="preserve">(SELECT instrmnt_id as instrmnt_id_to_be, ifrs9_lgd as ifrs9_lgd_to_be FROM bu_loantape_work.lt002_instrument WHERE ref_date='2024-09-30' AND nome_perimetro='Individual Corporativo' AND segmento='ESTR' AND ambito='PM' AND entidade='00100' ) B </v>
      </c>
      <c r="J194" s="17" t="str">
        <f>IF(VLOOKUP(B194,Instruções!$F$13:$J$17,5,0)="",
"ON "&amp;VLOOKUP(B194,Instruções!$F$13:$J$17,4,0)&amp;"_"&amp;$F$2&amp;" = "&amp;VLOOKUP(B194,Instruções!$F$13:$J$17,4,0)&amp;"_"&amp;$G$2&amp;" ",
"ON "&amp;VLOOKUP(B194,Instruções!$F$13:$J$17,4,0)&amp;"_"&amp;$F$2&amp;" = "&amp;VLOOKUP(B194,Instruções!$F$13:$J$17,4,0)&amp;"_"&amp;$G$2&amp;" AND "&amp;VLOOKUP(B194,Instruções!$F$13:$J$17,5,0)&amp;"_"&amp;$F$2&amp;" = "&amp;VLOOKUP(B194,Instruções!$F$13:$J$17,5,0)&amp;"_"&amp;$G$2&amp;" ")</f>
        <v xml:space="preserve">ON instrmnt_id_as_is = instrmnt_id_to_be </v>
      </c>
      <c r="K194" s="17" t="str">
        <f t="shared" si="20"/>
        <v xml:space="preserve">WHERE coalesce(cast(ifrs9_lgd_as_is as string), '') &lt;&gt; coalesce(cast(ifrs9_lgd_to_be as string), '') </v>
      </c>
      <c r="L194" s="17" t="str">
        <f t="shared" si="21"/>
        <v xml:space="preserve">SELECT count(*) AS NUM_REG_DIF FROM (SELECT instrmnt_id as instrmnt_id_as_is, ifrs9_lgd as ifrs9_lgd_as_is FROM cd_loan_tapes_bce.lt002_instrument WHERE ref_date='2024-09-30' AND nome_perimetro='Individual Corporativo' AND segmento='ESTR' AND ambito='PM' AND entidade='00100' ) A  Inner join (SELECT instrmnt_id as instrmnt_id_to_be, ifrs9_lgd as ifrs9_lgd_to_be FROM bu_loantape_work.lt002_instrument WHERE ref_date='2024-09-30' AND nome_perimetro='Individual Corporativo' AND segmento='ESTR' AND ambito='PM' AND entidade='00100' ) B ON instrmnt_id_as_is = instrmnt_id_to_be WHERE coalesce(cast(ifrs9_lgd_as_is as string), '') &lt;&gt; coalesce(cast(ifrs9_lgd_to_be as string), '') </v>
      </c>
      <c r="M194" s="17" t="s">
        <v>55</v>
      </c>
      <c r="N194" s="17" t="str">
        <f>"SELECT 'Validação de campos' as tipologia_teste, '"&amp;VLOOKUP(B194,Instruções!$F$13:$J$17,3,0)&amp;"' AS TABELA, '"&amp;E194&amp;"' AS CAMPO, '"&amp;Instruções!$D$15&amp;"' as ref_date, coalesce(NUM_REG_DIF, 0) AS NUM_REG_DIF FROM ("&amp;L194&amp;") A "</f>
        <v xml:space="preserve">SELECT 'Validação de campos' as tipologia_teste, 'lt002_instrument' AS TABELA, 'ifrs9_lgd' AS CAMPO, '2024-09-30' as ref_date, coalesce(NUM_REG_DIF, 0) AS NUM_REG_DIF FROM (SELECT count(*) AS NUM_REG_DIF FROM (SELECT instrmnt_id as instrmnt_id_as_is, ifrs9_lgd as ifrs9_lgd_as_is FROM cd_loan_tapes_bce.lt002_instrument WHERE ref_date='2024-09-30' AND nome_perimetro='Individual Corporativo' AND segmento='ESTR' AND ambito='PM' AND entidade='00100' ) A  Inner join (SELECT instrmnt_id as instrmnt_id_to_be, ifrs9_lgd as ifrs9_lgd_to_be FROM bu_loantape_work.lt002_instrument WHERE ref_date='2024-09-30' AND nome_perimetro='Individual Corporativo' AND segmento='ESTR' AND ambito='PM' AND entidade='00100' ) B ON instrmnt_id_as_is = instrmnt_id_to_be WHERE coalesce(cast(ifrs9_lgd_as_is as string), '') &lt;&gt; coalesce(cast(ifrs9_lgd_to_be as string), '') ) A </v>
      </c>
      <c r="O194" s="19" t="str">
        <f t="shared" si="23"/>
        <v>SELECT 'Validação de campos' as tipologia_teste, 'lt002_instrument' AS TABELA, 'ifrs9_lgd' AS CAMPO, '2024-09-30' as ref_date, coalesce(NUM_REG_DIF, 0) AS NUM_REG_DIF FROM (SELECT count(*) AS NUM_REG_DIF FROM (SELECT instrmnt_id as instrmnt_id_as_is, ifrs9_lgd as ifrs9_lgd_as_is FROM cd_loan_tapes_bce.lt002_instrument WHERE ref_date='2024-09-30' AND nome_perimetro='Individual Corporativo' AND segmento='ESTR' AND ambito='PM' AND entidade='00100' ) A  Inner join (SELECT instrmnt_id as instrmnt_id_to_be, ifrs9_lgd as ifrs9_lgd_to_be FROM bu_loantape_work.lt002_instrument WHERE ref_date='2024-09-30' AND nome_perimetro='Individual Corporativo' AND segmento='ESTR' AND ambito='PM' AND entidade='00100' ) B ON instrmnt_id_as_is = instrmnt_id_to_be WHERE coalesce(cast(ifrs9_lgd_as_is as string), '') &lt;&gt; coalesce(cast(ifrs9_lgd_to_be as string), '') ) A UNION ALL</v>
      </c>
      <c r="P194" s="17">
        <f t="shared" si="22"/>
        <v>40</v>
      </c>
    </row>
    <row r="195" spans="2:16" s="15" customFormat="1" ht="11.45">
      <c r="B195" s="17" t="s">
        <v>26</v>
      </c>
      <c r="C195" s="17" t="str">
        <f>_xlfn.CONCAT(Instruções!$D$13,".",VLOOKUP(B195,Instruções!$F$12:$H$17,2,0))</f>
        <v>cd_loan_tapes_bce.lt002_instrument</v>
      </c>
      <c r="D195" s="17" t="str">
        <f>_xlfn.CONCAT(Instruções!$D$14,".",VLOOKUP(B195,Instruções!$F$12:$H$17,3,0))</f>
        <v>bu_loantape_work.lt002_instrument</v>
      </c>
      <c r="E195" s="17" t="s">
        <v>249</v>
      </c>
      <c r="F195" s="17" t="str">
        <f t="shared" si="18"/>
        <v>imprmnt_assssmnt_mthd_as_is</v>
      </c>
      <c r="G195" s="17" t="str">
        <f t="shared" si="19"/>
        <v>imprmnt_assssmnt_mthd_to_be</v>
      </c>
      <c r="H195" s="17" t="str">
        <f>IF(VLOOKUP(B195,Instruções!$F$13:$J$17,5,0)="",
"(SELECT "&amp;VLOOKUP(B195,Instruções!$F$13:$J$17,4,0)&amp;" as "&amp;VLOOKUP(B195,Instruções!$F$13:$J$17,4,0)&amp;"_"&amp;$F$2&amp;", "&amp;E195&amp;" as "&amp;F195&amp;" FROM "&amp;C195&amp;" WHERE "&amp;Instruções!$D$20&amp;") A ",
"(SELECT "&amp;VLOOKUP(B195,Instruções!$F$13:$J$17,4,0)&amp;" as "&amp;VLOOKUP(B195,Instruções!$F$13:$J$17,4,0)&amp;"_"&amp;$F$2&amp;", "&amp;VLOOKUP(B195,Instruções!$F$13:$J$17,5,0)&amp;" as "&amp;VLOOKUP(B195,Instruções!$F$13:$J$17,5,0)&amp;"_"&amp;$F$2&amp;","&amp;E195&amp;" as "&amp;F195&amp;" FROM "&amp;C195&amp;" WHERE "&amp;Instruções!$D$20&amp;") A ")</f>
        <v xml:space="preserve">(SELECT instrmnt_id as instrmnt_id_as_is, imprmnt_assssmnt_mthd as imprmnt_assssmnt_mthd_as_is FROM cd_loan_tapes_bce.lt002_instrument WHERE ref_date='2024-09-30' AND nome_perimetro='Individual Corporativo' AND segmento='ESTR' AND ambito='PM' AND entidade='00100' ) A </v>
      </c>
      <c r="I195" s="17" t="str">
        <f>IF(VLOOKUP(B195,Instruções!$F$13:$J$17,5,0)="",
"(SELECT "&amp;VLOOKUP(B195,Instruções!$F$13:$J$17,4,0)&amp;" as "&amp;VLOOKUP(B195,Instruções!$F$13:$J$17,4,0)&amp;"_"&amp;$G$2&amp;", "&amp;E195&amp;" as "&amp;G195&amp;" FROM "&amp;D195&amp;" WHERE "&amp;Instruções!$D$21&amp;") B ",
"(SELECT "&amp;VLOOKUP(B195,Instruções!$F$13:$J$17,4,0)&amp;" as "&amp;VLOOKUP(B195,Instruções!$F$13:$J$17,4,0)&amp;"_"&amp;$G$2&amp;", "&amp;VLOOKUP(B195,Instruções!$F$13:$J$17,5,0)&amp;" as "&amp;VLOOKUP(B195,Instruções!$F$13:$J$17,5,0)&amp;"_"&amp;$G$2&amp;","&amp;E195&amp;" as "&amp;G195&amp;" FROM "&amp;D195&amp;" WHERE "&amp;Instruções!$D$21&amp;") B ")</f>
        <v xml:space="preserve">(SELECT instrmnt_id as instrmnt_id_to_be, imprmnt_assssmnt_mthd as imprmnt_assssmnt_mthd_to_be FROM bu_loantape_work.lt002_instrument WHERE ref_date='2024-09-30' AND nome_perimetro='Individual Corporativo' AND segmento='ESTR' AND ambito='PM' AND entidade='00100' ) B </v>
      </c>
      <c r="J195" s="17" t="str">
        <f>IF(VLOOKUP(B195,Instruções!$F$13:$J$17,5,0)="",
"ON "&amp;VLOOKUP(B195,Instruções!$F$13:$J$17,4,0)&amp;"_"&amp;$F$2&amp;" = "&amp;VLOOKUP(B195,Instruções!$F$13:$J$17,4,0)&amp;"_"&amp;$G$2&amp;" ",
"ON "&amp;VLOOKUP(B195,Instruções!$F$13:$J$17,4,0)&amp;"_"&amp;$F$2&amp;" = "&amp;VLOOKUP(B195,Instruções!$F$13:$J$17,4,0)&amp;"_"&amp;$G$2&amp;" AND "&amp;VLOOKUP(B195,Instruções!$F$13:$J$17,5,0)&amp;"_"&amp;$F$2&amp;" = "&amp;VLOOKUP(B195,Instruções!$F$13:$J$17,5,0)&amp;"_"&amp;$G$2&amp;" ")</f>
        <v xml:space="preserve">ON instrmnt_id_as_is = instrmnt_id_to_be </v>
      </c>
      <c r="K195" s="17" t="str">
        <f t="shared" si="20"/>
        <v xml:space="preserve">WHERE coalesce(cast(imprmnt_assssmnt_mthd_as_is as string), '') &lt;&gt; coalesce(cast(imprmnt_assssmnt_mthd_to_be as string), '') </v>
      </c>
      <c r="L195" s="17" t="str">
        <f t="shared" si="21"/>
        <v xml:space="preserve">SELECT count(*) AS NUM_REG_DIF FROM (SELECT instrmnt_id as instrmnt_id_as_is, imprmnt_assssmnt_mthd as imprmnt_assssmnt_mthd_as_is FROM cd_loan_tapes_bce.lt002_instrument WHERE ref_date='2024-09-30' AND nome_perimetro='Individual Corporativo' AND segmento='ESTR' AND ambito='PM' AND entidade='00100' ) A  Inner join (SELECT instrmnt_id as instrmnt_id_to_be, imprmnt_assssmnt_mthd as imprmnt_assssmnt_mthd_to_be FROM bu_loantape_work.lt002_instrument WHERE ref_date='2024-09-30' AND nome_perimetro='Individual Corporativo' AND segmento='ESTR' AND ambito='PM' AND entidade='00100' ) B ON instrmnt_id_as_is = instrmnt_id_to_be WHERE coalesce(cast(imprmnt_assssmnt_mthd_as_is as string), '') &lt;&gt; coalesce(cast(imprmnt_assssmnt_mthd_to_be as string), '') </v>
      </c>
      <c r="M195" s="17" t="s">
        <v>55</v>
      </c>
      <c r="N195" s="17" t="str">
        <f>"SELECT 'Validação de campos' as tipologia_teste, '"&amp;VLOOKUP(B195,Instruções!$F$13:$J$17,3,0)&amp;"' AS TABELA, '"&amp;E195&amp;"' AS CAMPO, '"&amp;Instruções!$D$15&amp;"' as ref_date, coalesce(NUM_REG_DIF, 0) AS NUM_REG_DIF FROM ("&amp;L195&amp;") A "</f>
        <v xml:space="preserve">SELECT 'Validação de campos' as tipologia_teste, 'lt002_instrument' AS TABELA, 'imprmnt_assssmnt_mthd' AS CAMPO, '2024-09-30' as ref_date, coalesce(NUM_REG_DIF, 0) AS NUM_REG_DIF FROM (SELECT count(*) AS NUM_REG_DIF FROM (SELECT instrmnt_id as instrmnt_id_as_is, imprmnt_assssmnt_mthd as imprmnt_assssmnt_mthd_as_is FROM cd_loan_tapes_bce.lt002_instrument WHERE ref_date='2024-09-30' AND nome_perimetro='Individual Corporativo' AND segmento='ESTR' AND ambito='PM' AND entidade='00100' ) A  Inner join (SELECT instrmnt_id as instrmnt_id_to_be, imprmnt_assssmnt_mthd as imprmnt_assssmnt_mthd_to_be FROM bu_loantape_work.lt002_instrument WHERE ref_date='2024-09-30' AND nome_perimetro='Individual Corporativo' AND segmento='ESTR' AND ambito='PM' AND entidade='00100' ) B ON instrmnt_id_as_is = instrmnt_id_to_be WHERE coalesce(cast(imprmnt_assssmnt_mthd_as_is as string), '') &lt;&gt; coalesce(cast(imprmnt_assssmnt_mthd_to_be as string), '') ) A </v>
      </c>
      <c r="O195" s="19" t="str">
        <f t="shared" si="23"/>
        <v>SELECT 'Validação de campos' as tipologia_teste, 'lt002_instrument' AS TABELA, 'imprmnt_assssmnt_mthd' AS CAMPO, '2024-09-30' as ref_date, coalesce(NUM_REG_DIF, 0) AS NUM_REG_DIF FROM (SELECT count(*) AS NUM_REG_DIF FROM (SELECT instrmnt_id as instrmnt_id_as_is, imprmnt_assssmnt_mthd as imprmnt_assssmnt_mthd_as_is FROM cd_loan_tapes_bce.lt002_instrument WHERE ref_date='2024-09-30' AND nome_perimetro='Individual Corporativo' AND segmento='ESTR' AND ambito='PM' AND entidade='00100' ) A  Inner join (SELECT instrmnt_id as instrmnt_id_to_be, imprmnt_assssmnt_mthd as imprmnt_assssmnt_mthd_to_be FROM bu_loantape_work.lt002_instrument WHERE ref_date='2024-09-30' AND nome_perimetro='Individual Corporativo' AND segmento='ESTR' AND ambito='PM' AND entidade='00100' ) B ON instrmnt_id_as_is = instrmnt_id_to_be WHERE coalesce(cast(imprmnt_assssmnt_mthd_as_is as string), '') &lt;&gt; coalesce(cast(imprmnt_assssmnt_mthd_to_be as string), '') ) A UNION ALL</v>
      </c>
      <c r="P195" s="17">
        <f t="shared" si="22"/>
        <v>41</v>
      </c>
    </row>
    <row r="196" spans="2:16" s="15" customFormat="1" ht="11.45">
      <c r="B196" s="17" t="s">
        <v>26</v>
      </c>
      <c r="C196" s="17" t="str">
        <f>_xlfn.CONCAT(Instruções!$D$13,".",VLOOKUP(B196,Instruções!$F$12:$H$17,2,0))</f>
        <v>cd_loan_tapes_bce.lt002_instrument</v>
      </c>
      <c r="D196" s="17" t="str">
        <f>_xlfn.CONCAT(Instruções!$D$14,".",VLOOKUP(B196,Instruções!$F$12:$H$17,3,0))</f>
        <v>bu_loantape_work.lt002_instrument</v>
      </c>
      <c r="E196" s="17" t="s">
        <v>250</v>
      </c>
      <c r="F196" s="17" t="str">
        <f t="shared" si="18"/>
        <v>imprmnt_clcltn_mthd_as_is</v>
      </c>
      <c r="G196" s="17" t="str">
        <f t="shared" si="19"/>
        <v>imprmnt_clcltn_mthd_to_be</v>
      </c>
      <c r="H196" s="17" t="str">
        <f>IF(VLOOKUP(B196,Instruções!$F$13:$J$17,5,0)="",
"(SELECT "&amp;VLOOKUP(B196,Instruções!$F$13:$J$17,4,0)&amp;" as "&amp;VLOOKUP(B196,Instruções!$F$13:$J$17,4,0)&amp;"_"&amp;$F$2&amp;", "&amp;E196&amp;" as "&amp;F196&amp;" FROM "&amp;C196&amp;" WHERE "&amp;Instruções!$D$20&amp;") A ",
"(SELECT "&amp;VLOOKUP(B196,Instruções!$F$13:$J$17,4,0)&amp;" as "&amp;VLOOKUP(B196,Instruções!$F$13:$J$17,4,0)&amp;"_"&amp;$F$2&amp;", "&amp;VLOOKUP(B196,Instruções!$F$13:$J$17,5,0)&amp;" as "&amp;VLOOKUP(B196,Instruções!$F$13:$J$17,5,0)&amp;"_"&amp;$F$2&amp;","&amp;E196&amp;" as "&amp;F196&amp;" FROM "&amp;C196&amp;" WHERE "&amp;Instruções!$D$20&amp;") A ")</f>
        <v xml:space="preserve">(SELECT instrmnt_id as instrmnt_id_as_is, imprmnt_clcltn_mthd as imprmnt_clcltn_mthd_as_is FROM cd_loan_tapes_bce.lt002_instrument WHERE ref_date='2024-09-30' AND nome_perimetro='Individual Corporativo' AND segmento='ESTR' AND ambito='PM' AND entidade='00100' ) A </v>
      </c>
      <c r="I196" s="17" t="str">
        <f>IF(VLOOKUP(B196,Instruções!$F$13:$J$17,5,0)="",
"(SELECT "&amp;VLOOKUP(B196,Instruções!$F$13:$J$17,4,0)&amp;" as "&amp;VLOOKUP(B196,Instruções!$F$13:$J$17,4,0)&amp;"_"&amp;$G$2&amp;", "&amp;E196&amp;" as "&amp;G196&amp;" FROM "&amp;D196&amp;" WHERE "&amp;Instruções!$D$21&amp;") B ",
"(SELECT "&amp;VLOOKUP(B196,Instruções!$F$13:$J$17,4,0)&amp;" as "&amp;VLOOKUP(B196,Instruções!$F$13:$J$17,4,0)&amp;"_"&amp;$G$2&amp;", "&amp;VLOOKUP(B196,Instruções!$F$13:$J$17,5,0)&amp;" as "&amp;VLOOKUP(B196,Instruções!$F$13:$J$17,5,0)&amp;"_"&amp;$G$2&amp;","&amp;E196&amp;" as "&amp;G196&amp;" FROM "&amp;D196&amp;" WHERE "&amp;Instruções!$D$21&amp;") B ")</f>
        <v xml:space="preserve">(SELECT instrmnt_id as instrmnt_id_to_be, imprmnt_clcltn_mthd as imprmnt_clcltn_mthd_to_be FROM bu_loantape_work.lt002_instrument WHERE ref_date='2024-09-30' AND nome_perimetro='Individual Corporativo' AND segmento='ESTR' AND ambito='PM' AND entidade='00100' ) B </v>
      </c>
      <c r="J196" s="17" t="str">
        <f>IF(VLOOKUP(B196,Instruções!$F$13:$J$17,5,0)="",
"ON "&amp;VLOOKUP(B196,Instruções!$F$13:$J$17,4,0)&amp;"_"&amp;$F$2&amp;" = "&amp;VLOOKUP(B196,Instruções!$F$13:$J$17,4,0)&amp;"_"&amp;$G$2&amp;" ",
"ON "&amp;VLOOKUP(B196,Instruções!$F$13:$J$17,4,0)&amp;"_"&amp;$F$2&amp;" = "&amp;VLOOKUP(B196,Instruções!$F$13:$J$17,4,0)&amp;"_"&amp;$G$2&amp;" AND "&amp;VLOOKUP(B196,Instruções!$F$13:$J$17,5,0)&amp;"_"&amp;$F$2&amp;" = "&amp;VLOOKUP(B196,Instruções!$F$13:$J$17,5,0)&amp;"_"&amp;$G$2&amp;" ")</f>
        <v xml:space="preserve">ON instrmnt_id_as_is = instrmnt_id_to_be </v>
      </c>
      <c r="K196" s="17" t="str">
        <f t="shared" si="20"/>
        <v xml:space="preserve">WHERE coalesce(cast(imprmnt_clcltn_mthd_as_is as string), '') &lt;&gt; coalesce(cast(imprmnt_clcltn_mthd_to_be as string), '') </v>
      </c>
      <c r="L196" s="17" t="str">
        <f t="shared" si="21"/>
        <v xml:space="preserve">SELECT count(*) AS NUM_REG_DIF FROM (SELECT instrmnt_id as instrmnt_id_as_is, imprmnt_clcltn_mthd as imprmnt_clcltn_mthd_as_is FROM cd_loan_tapes_bce.lt002_instrument WHERE ref_date='2024-09-30' AND nome_perimetro='Individual Corporativo' AND segmento='ESTR' AND ambito='PM' AND entidade='00100' ) A  Inner join (SELECT instrmnt_id as instrmnt_id_to_be, imprmnt_clcltn_mthd as imprmnt_clcltn_mthd_to_be FROM bu_loantape_work.lt002_instrument WHERE ref_date='2024-09-30' AND nome_perimetro='Individual Corporativo' AND segmento='ESTR' AND ambito='PM' AND entidade='00100' ) B ON instrmnt_id_as_is = instrmnt_id_to_be WHERE coalesce(cast(imprmnt_clcltn_mthd_as_is as string), '') &lt;&gt; coalesce(cast(imprmnt_clcltn_mthd_to_be as string), '') </v>
      </c>
      <c r="M196" s="17" t="s">
        <v>55</v>
      </c>
      <c r="N196" s="17" t="str">
        <f>"SELECT 'Validação de campos' as tipologia_teste, '"&amp;VLOOKUP(B196,Instruções!$F$13:$J$17,3,0)&amp;"' AS TABELA, '"&amp;E196&amp;"' AS CAMPO, '"&amp;Instruções!$D$15&amp;"' as ref_date, coalesce(NUM_REG_DIF, 0) AS NUM_REG_DIF FROM ("&amp;L196&amp;") A "</f>
        <v xml:space="preserve">SELECT 'Validação de campos' as tipologia_teste, 'lt002_instrument' AS TABELA, 'imprmnt_clcltn_mthd' AS CAMPO, '2024-09-30' as ref_date, coalesce(NUM_REG_DIF, 0) AS NUM_REG_DIF FROM (SELECT count(*) AS NUM_REG_DIF FROM (SELECT instrmnt_id as instrmnt_id_as_is, imprmnt_clcltn_mthd as imprmnt_clcltn_mthd_as_is FROM cd_loan_tapes_bce.lt002_instrument WHERE ref_date='2024-09-30' AND nome_perimetro='Individual Corporativo' AND segmento='ESTR' AND ambito='PM' AND entidade='00100' ) A  Inner join (SELECT instrmnt_id as instrmnt_id_to_be, imprmnt_clcltn_mthd as imprmnt_clcltn_mthd_to_be FROM bu_loantape_work.lt002_instrument WHERE ref_date='2024-09-30' AND nome_perimetro='Individual Corporativo' AND segmento='ESTR' AND ambito='PM' AND entidade='00100' ) B ON instrmnt_id_as_is = instrmnt_id_to_be WHERE coalesce(cast(imprmnt_clcltn_mthd_as_is as string), '') &lt;&gt; coalesce(cast(imprmnt_clcltn_mthd_to_be as string), '') ) A </v>
      </c>
      <c r="O196" s="19" t="str">
        <f t="shared" si="23"/>
        <v>SELECT 'Validação de campos' as tipologia_teste, 'lt002_instrument' AS TABELA, 'imprmnt_clcltn_mthd' AS CAMPO, '2024-09-30' as ref_date, coalesce(NUM_REG_DIF, 0) AS NUM_REG_DIF FROM (SELECT count(*) AS NUM_REG_DIF FROM (SELECT instrmnt_id as instrmnt_id_as_is, imprmnt_clcltn_mthd as imprmnt_clcltn_mthd_as_is FROM cd_loan_tapes_bce.lt002_instrument WHERE ref_date='2024-09-30' AND nome_perimetro='Individual Corporativo' AND segmento='ESTR' AND ambito='PM' AND entidade='00100' ) A  Inner join (SELECT instrmnt_id as instrmnt_id_to_be, imprmnt_clcltn_mthd as imprmnt_clcltn_mthd_to_be FROM bu_loantape_work.lt002_instrument WHERE ref_date='2024-09-30' AND nome_perimetro='Individual Corporativo' AND segmento='ESTR' AND ambito='PM' AND entidade='00100' ) B ON instrmnt_id_as_is = instrmnt_id_to_be WHERE coalesce(cast(imprmnt_clcltn_mthd_as_is as string), '') &lt;&gt; coalesce(cast(imprmnt_clcltn_mthd_to_be as string), '') ) A UNION ALL</v>
      </c>
      <c r="P196" s="17">
        <f t="shared" si="22"/>
        <v>42</v>
      </c>
    </row>
    <row r="197" spans="2:16" s="15" customFormat="1" ht="11.45">
      <c r="B197" s="17" t="s">
        <v>26</v>
      </c>
      <c r="C197" s="17" t="str">
        <f>_xlfn.CONCAT(Instruções!$D$13,".",VLOOKUP(B197,Instruções!$F$12:$H$17,2,0))</f>
        <v>cd_loan_tapes_bce.lt002_instrument</v>
      </c>
      <c r="D197" s="17" t="str">
        <f>_xlfn.CONCAT(Instruções!$D$14,".",VLOOKUP(B197,Instruções!$F$12:$H$17,3,0))</f>
        <v>bu_loantape_work.lt002_instrument</v>
      </c>
      <c r="E197" s="17" t="s">
        <v>251</v>
      </c>
      <c r="F197" s="17" t="str">
        <f t="shared" si="18"/>
        <v>imprmnt_stts_as_is</v>
      </c>
      <c r="G197" s="17" t="str">
        <f t="shared" si="19"/>
        <v>imprmnt_stts_to_be</v>
      </c>
      <c r="H197" s="17" t="str">
        <f>IF(VLOOKUP(B197,Instruções!$F$13:$J$17,5,0)="",
"(SELECT "&amp;VLOOKUP(B197,Instruções!$F$13:$J$17,4,0)&amp;" as "&amp;VLOOKUP(B197,Instruções!$F$13:$J$17,4,0)&amp;"_"&amp;$F$2&amp;", "&amp;E197&amp;" as "&amp;F197&amp;" FROM "&amp;C197&amp;" WHERE "&amp;Instruções!$D$20&amp;") A ",
"(SELECT "&amp;VLOOKUP(B197,Instruções!$F$13:$J$17,4,0)&amp;" as "&amp;VLOOKUP(B197,Instruções!$F$13:$J$17,4,0)&amp;"_"&amp;$F$2&amp;", "&amp;VLOOKUP(B197,Instruções!$F$13:$J$17,5,0)&amp;" as "&amp;VLOOKUP(B197,Instruções!$F$13:$J$17,5,0)&amp;"_"&amp;$F$2&amp;","&amp;E197&amp;" as "&amp;F197&amp;" FROM "&amp;C197&amp;" WHERE "&amp;Instruções!$D$20&amp;") A ")</f>
        <v xml:space="preserve">(SELECT instrmnt_id as instrmnt_id_as_is, imprmnt_stts as imprmnt_stts_as_is FROM cd_loan_tapes_bce.lt002_instrument WHERE ref_date='2024-09-30' AND nome_perimetro='Individual Corporativo' AND segmento='ESTR' AND ambito='PM' AND entidade='00100' ) A </v>
      </c>
      <c r="I197" s="17" t="str">
        <f>IF(VLOOKUP(B197,Instruções!$F$13:$J$17,5,0)="",
"(SELECT "&amp;VLOOKUP(B197,Instruções!$F$13:$J$17,4,0)&amp;" as "&amp;VLOOKUP(B197,Instruções!$F$13:$J$17,4,0)&amp;"_"&amp;$G$2&amp;", "&amp;E197&amp;" as "&amp;G197&amp;" FROM "&amp;D197&amp;" WHERE "&amp;Instruções!$D$21&amp;") B ",
"(SELECT "&amp;VLOOKUP(B197,Instruções!$F$13:$J$17,4,0)&amp;" as "&amp;VLOOKUP(B197,Instruções!$F$13:$J$17,4,0)&amp;"_"&amp;$G$2&amp;", "&amp;VLOOKUP(B197,Instruções!$F$13:$J$17,5,0)&amp;" as "&amp;VLOOKUP(B197,Instruções!$F$13:$J$17,5,0)&amp;"_"&amp;$G$2&amp;","&amp;E197&amp;" as "&amp;G197&amp;" FROM "&amp;D197&amp;" WHERE "&amp;Instruções!$D$21&amp;") B ")</f>
        <v xml:space="preserve">(SELECT instrmnt_id as instrmnt_id_to_be, imprmnt_stts as imprmnt_stts_to_be FROM bu_loantape_work.lt002_instrument WHERE ref_date='2024-09-30' AND nome_perimetro='Individual Corporativo' AND segmento='ESTR' AND ambito='PM' AND entidade='00100' ) B </v>
      </c>
      <c r="J197" s="17" t="str">
        <f>IF(VLOOKUP(B197,Instruções!$F$13:$J$17,5,0)="",
"ON "&amp;VLOOKUP(B197,Instruções!$F$13:$J$17,4,0)&amp;"_"&amp;$F$2&amp;" = "&amp;VLOOKUP(B197,Instruções!$F$13:$J$17,4,0)&amp;"_"&amp;$G$2&amp;" ",
"ON "&amp;VLOOKUP(B197,Instruções!$F$13:$J$17,4,0)&amp;"_"&amp;$F$2&amp;" = "&amp;VLOOKUP(B197,Instruções!$F$13:$J$17,4,0)&amp;"_"&amp;$G$2&amp;" AND "&amp;VLOOKUP(B197,Instruções!$F$13:$J$17,5,0)&amp;"_"&amp;$F$2&amp;" = "&amp;VLOOKUP(B197,Instruções!$F$13:$J$17,5,0)&amp;"_"&amp;$G$2&amp;" ")</f>
        <v xml:space="preserve">ON instrmnt_id_as_is = instrmnt_id_to_be </v>
      </c>
      <c r="K197" s="17" t="str">
        <f t="shared" si="20"/>
        <v xml:space="preserve">WHERE coalesce(cast(imprmnt_stts_as_is as string), '') &lt;&gt; coalesce(cast(imprmnt_stts_to_be as string), '') </v>
      </c>
      <c r="L197" s="17" t="str">
        <f t="shared" si="21"/>
        <v xml:space="preserve">SELECT count(*) AS NUM_REG_DIF FROM (SELECT instrmnt_id as instrmnt_id_as_is, imprmnt_stts as imprmnt_stts_as_is FROM cd_loan_tapes_bce.lt002_instrument WHERE ref_date='2024-09-30' AND nome_perimetro='Individual Corporativo' AND segmento='ESTR' AND ambito='PM' AND entidade='00100' ) A  Inner join (SELECT instrmnt_id as instrmnt_id_to_be, imprmnt_stts as imprmnt_stts_to_be FROM bu_loantape_work.lt002_instrument WHERE ref_date='2024-09-30' AND nome_perimetro='Individual Corporativo' AND segmento='ESTR' AND ambito='PM' AND entidade='00100' ) B ON instrmnt_id_as_is = instrmnt_id_to_be WHERE coalesce(cast(imprmnt_stts_as_is as string), '') &lt;&gt; coalesce(cast(imprmnt_stts_to_be as string), '') </v>
      </c>
      <c r="M197" s="17" t="s">
        <v>55</v>
      </c>
      <c r="N197" s="17" t="str">
        <f>"SELECT 'Validação de campos' as tipologia_teste, '"&amp;VLOOKUP(B197,Instruções!$F$13:$J$17,3,0)&amp;"' AS TABELA, '"&amp;E197&amp;"' AS CAMPO, '"&amp;Instruções!$D$15&amp;"' as ref_date, coalesce(NUM_REG_DIF, 0) AS NUM_REG_DIF FROM ("&amp;L197&amp;") A "</f>
        <v xml:space="preserve">SELECT 'Validação de campos' as tipologia_teste, 'lt002_instrument' AS TABELA, 'imprmnt_stts' AS CAMPO, '2024-09-30' as ref_date, coalesce(NUM_REG_DIF, 0) AS NUM_REG_DIF FROM (SELECT count(*) AS NUM_REG_DIF FROM (SELECT instrmnt_id as instrmnt_id_as_is, imprmnt_stts as imprmnt_stts_as_is FROM cd_loan_tapes_bce.lt002_instrument WHERE ref_date='2024-09-30' AND nome_perimetro='Individual Corporativo' AND segmento='ESTR' AND ambito='PM' AND entidade='00100' ) A  Inner join (SELECT instrmnt_id as instrmnt_id_to_be, imprmnt_stts as imprmnt_stts_to_be FROM bu_loantape_work.lt002_instrument WHERE ref_date='2024-09-30' AND nome_perimetro='Individual Corporativo' AND segmento='ESTR' AND ambito='PM' AND entidade='00100' ) B ON instrmnt_id_as_is = instrmnt_id_to_be WHERE coalesce(cast(imprmnt_stts_as_is as string), '') &lt;&gt; coalesce(cast(imprmnt_stts_to_be as string), '') ) A </v>
      </c>
      <c r="O197" s="19" t="str">
        <f t="shared" si="23"/>
        <v>SELECT 'Validação de campos' as tipologia_teste, 'lt002_instrument' AS TABELA, 'imprmnt_stts' AS CAMPO, '2024-09-30' as ref_date, coalesce(NUM_REG_DIF, 0) AS NUM_REG_DIF FROM (SELECT count(*) AS NUM_REG_DIF FROM (SELECT instrmnt_id as instrmnt_id_as_is, imprmnt_stts as imprmnt_stts_as_is FROM cd_loan_tapes_bce.lt002_instrument WHERE ref_date='2024-09-30' AND nome_perimetro='Individual Corporativo' AND segmento='ESTR' AND ambito='PM' AND entidade='00100' ) A  Inner join (SELECT instrmnt_id as instrmnt_id_to_be, imprmnt_stts as imprmnt_stts_to_be FROM bu_loantape_work.lt002_instrument WHERE ref_date='2024-09-30' AND nome_perimetro='Individual Corporativo' AND segmento='ESTR' AND ambito='PM' AND entidade='00100' ) B ON instrmnt_id_as_is = instrmnt_id_to_be WHERE coalesce(cast(imprmnt_stts_as_is as string), '') &lt;&gt; coalesce(cast(imprmnt_stts_to_be as string), '') ) A UNION ALL</v>
      </c>
      <c r="P197" s="17">
        <f t="shared" si="22"/>
        <v>43</v>
      </c>
    </row>
    <row r="198" spans="2:16" s="15" customFormat="1" ht="11.45">
      <c r="B198" s="17" t="s">
        <v>26</v>
      </c>
      <c r="C198" s="17" t="str">
        <f>_xlfn.CONCAT(Instruções!$D$13,".",VLOOKUP(B198,Instruções!$F$12:$H$17,2,0))</f>
        <v>cd_loan_tapes_bce.lt002_instrument</v>
      </c>
      <c r="D198" s="17" t="str">
        <f>_xlfn.CONCAT(Instruções!$D$14,".",VLOOKUP(B198,Instruções!$F$12:$H$17,3,0))</f>
        <v>bu_loantape_work.lt002_instrument</v>
      </c>
      <c r="E198" s="17" t="s">
        <v>252</v>
      </c>
      <c r="F198" s="17" t="str">
        <f t="shared" si="18"/>
        <v>imprmnt_stts_prvs_as_is</v>
      </c>
      <c r="G198" s="17" t="str">
        <f t="shared" si="19"/>
        <v>imprmnt_stts_prvs_to_be</v>
      </c>
      <c r="H198" s="17" t="str">
        <f>IF(VLOOKUP(B198,Instruções!$F$13:$J$17,5,0)="",
"(SELECT "&amp;VLOOKUP(B198,Instruções!$F$13:$J$17,4,0)&amp;" as "&amp;VLOOKUP(B198,Instruções!$F$13:$J$17,4,0)&amp;"_"&amp;$F$2&amp;", "&amp;E198&amp;" as "&amp;F198&amp;" FROM "&amp;C198&amp;" WHERE "&amp;Instruções!$D$20&amp;") A ",
"(SELECT "&amp;VLOOKUP(B198,Instruções!$F$13:$J$17,4,0)&amp;" as "&amp;VLOOKUP(B198,Instruções!$F$13:$J$17,4,0)&amp;"_"&amp;$F$2&amp;", "&amp;VLOOKUP(B198,Instruções!$F$13:$J$17,5,0)&amp;" as "&amp;VLOOKUP(B198,Instruções!$F$13:$J$17,5,0)&amp;"_"&amp;$F$2&amp;","&amp;E198&amp;" as "&amp;F198&amp;" FROM "&amp;C198&amp;" WHERE "&amp;Instruções!$D$20&amp;") A ")</f>
        <v xml:space="preserve">(SELECT instrmnt_id as instrmnt_id_as_is, imprmnt_stts_prvs as imprmnt_stts_prvs_as_is FROM cd_loan_tapes_bce.lt002_instrument WHERE ref_date='2024-09-30' AND nome_perimetro='Individual Corporativo' AND segmento='ESTR' AND ambito='PM' AND entidade='00100' ) A </v>
      </c>
      <c r="I198" s="17" t="str">
        <f>IF(VLOOKUP(B198,Instruções!$F$13:$J$17,5,0)="",
"(SELECT "&amp;VLOOKUP(B198,Instruções!$F$13:$J$17,4,0)&amp;" as "&amp;VLOOKUP(B198,Instruções!$F$13:$J$17,4,0)&amp;"_"&amp;$G$2&amp;", "&amp;E198&amp;" as "&amp;G198&amp;" FROM "&amp;D198&amp;" WHERE "&amp;Instruções!$D$21&amp;") B ",
"(SELECT "&amp;VLOOKUP(B198,Instruções!$F$13:$J$17,4,0)&amp;" as "&amp;VLOOKUP(B198,Instruções!$F$13:$J$17,4,0)&amp;"_"&amp;$G$2&amp;", "&amp;VLOOKUP(B198,Instruções!$F$13:$J$17,5,0)&amp;" as "&amp;VLOOKUP(B198,Instruções!$F$13:$J$17,5,0)&amp;"_"&amp;$G$2&amp;","&amp;E198&amp;" as "&amp;G198&amp;" FROM "&amp;D198&amp;" WHERE "&amp;Instruções!$D$21&amp;") B ")</f>
        <v xml:space="preserve">(SELECT instrmnt_id as instrmnt_id_to_be, imprmnt_stts_prvs as imprmnt_stts_prvs_to_be FROM bu_loantape_work.lt002_instrument WHERE ref_date='2024-09-30' AND nome_perimetro='Individual Corporativo' AND segmento='ESTR' AND ambito='PM' AND entidade='00100' ) B </v>
      </c>
      <c r="J198" s="17" t="str">
        <f>IF(VLOOKUP(B198,Instruções!$F$13:$J$17,5,0)="",
"ON "&amp;VLOOKUP(B198,Instruções!$F$13:$J$17,4,0)&amp;"_"&amp;$F$2&amp;" = "&amp;VLOOKUP(B198,Instruções!$F$13:$J$17,4,0)&amp;"_"&amp;$G$2&amp;" ",
"ON "&amp;VLOOKUP(B198,Instruções!$F$13:$J$17,4,0)&amp;"_"&amp;$F$2&amp;" = "&amp;VLOOKUP(B198,Instruções!$F$13:$J$17,4,0)&amp;"_"&amp;$G$2&amp;" AND "&amp;VLOOKUP(B198,Instruções!$F$13:$J$17,5,0)&amp;"_"&amp;$F$2&amp;" = "&amp;VLOOKUP(B198,Instruções!$F$13:$J$17,5,0)&amp;"_"&amp;$G$2&amp;" ")</f>
        <v xml:space="preserve">ON instrmnt_id_as_is = instrmnt_id_to_be </v>
      </c>
      <c r="K198" s="17" t="str">
        <f t="shared" si="20"/>
        <v xml:space="preserve">WHERE coalesce(cast(imprmnt_stts_prvs_as_is as string), '') &lt;&gt; coalesce(cast(imprmnt_stts_prvs_to_be as string), '') </v>
      </c>
      <c r="L198" s="17" t="str">
        <f t="shared" si="21"/>
        <v xml:space="preserve">SELECT count(*) AS NUM_REG_DIF FROM (SELECT instrmnt_id as instrmnt_id_as_is, imprmnt_stts_prvs as imprmnt_stts_prvs_as_is FROM cd_loan_tapes_bce.lt002_instrument WHERE ref_date='2024-09-30' AND nome_perimetro='Individual Corporativo' AND segmento='ESTR' AND ambito='PM' AND entidade='00100' ) A  Inner join (SELECT instrmnt_id as instrmnt_id_to_be, imprmnt_stts_prvs as imprmnt_stts_prvs_to_be FROM bu_loantape_work.lt002_instrument WHERE ref_date='2024-09-30' AND nome_perimetro='Individual Corporativo' AND segmento='ESTR' AND ambito='PM' AND entidade='00100' ) B ON instrmnt_id_as_is = instrmnt_id_to_be WHERE coalesce(cast(imprmnt_stts_prvs_as_is as string), '') &lt;&gt; coalesce(cast(imprmnt_stts_prvs_to_be as string), '') </v>
      </c>
      <c r="M198" s="17" t="s">
        <v>55</v>
      </c>
      <c r="N198" s="17" t="str">
        <f>"SELECT 'Validação de campos' as tipologia_teste, '"&amp;VLOOKUP(B198,Instruções!$F$13:$J$17,3,0)&amp;"' AS TABELA, '"&amp;E198&amp;"' AS CAMPO, '"&amp;Instruções!$D$15&amp;"' as ref_date, coalesce(NUM_REG_DIF, 0) AS NUM_REG_DIF FROM ("&amp;L198&amp;") A "</f>
        <v xml:space="preserve">SELECT 'Validação de campos' as tipologia_teste, 'lt002_instrument' AS TABELA, 'imprmnt_stts_prvs' AS CAMPO, '2024-09-30' as ref_date, coalesce(NUM_REG_DIF, 0) AS NUM_REG_DIF FROM (SELECT count(*) AS NUM_REG_DIF FROM (SELECT instrmnt_id as instrmnt_id_as_is, imprmnt_stts_prvs as imprmnt_stts_prvs_as_is FROM cd_loan_tapes_bce.lt002_instrument WHERE ref_date='2024-09-30' AND nome_perimetro='Individual Corporativo' AND segmento='ESTR' AND ambito='PM' AND entidade='00100' ) A  Inner join (SELECT instrmnt_id as instrmnt_id_to_be, imprmnt_stts_prvs as imprmnt_stts_prvs_to_be FROM bu_loantape_work.lt002_instrument WHERE ref_date='2024-09-30' AND nome_perimetro='Individual Corporativo' AND segmento='ESTR' AND ambito='PM' AND entidade='00100' ) B ON instrmnt_id_as_is = instrmnt_id_to_be WHERE coalesce(cast(imprmnt_stts_prvs_as_is as string), '') &lt;&gt; coalesce(cast(imprmnt_stts_prvs_to_be as string), '') ) A </v>
      </c>
      <c r="O198" s="19" t="str">
        <f t="shared" si="23"/>
        <v>SELECT 'Validação de campos' as tipologia_teste, 'lt002_instrument' AS TABELA, 'imprmnt_stts_prvs' AS CAMPO, '2024-09-30' as ref_date, coalesce(NUM_REG_DIF, 0) AS NUM_REG_DIF FROM (SELECT count(*) AS NUM_REG_DIF FROM (SELECT instrmnt_id as instrmnt_id_as_is, imprmnt_stts_prvs as imprmnt_stts_prvs_as_is FROM cd_loan_tapes_bce.lt002_instrument WHERE ref_date='2024-09-30' AND nome_perimetro='Individual Corporativo' AND segmento='ESTR' AND ambito='PM' AND entidade='00100' ) A  Inner join (SELECT instrmnt_id as instrmnt_id_to_be, imprmnt_stts_prvs as imprmnt_stts_prvs_to_be FROM bu_loantape_work.lt002_instrument WHERE ref_date='2024-09-30' AND nome_perimetro='Individual Corporativo' AND segmento='ESTR' AND ambito='PM' AND entidade='00100' ) B ON instrmnt_id_as_is = instrmnt_id_to_be WHERE coalesce(cast(imprmnt_stts_prvs_as_is as string), '') &lt;&gt; coalesce(cast(imprmnt_stts_prvs_to_be as string), '') ) A UNION ALL</v>
      </c>
      <c r="P198" s="17">
        <f t="shared" si="22"/>
        <v>44</v>
      </c>
    </row>
    <row r="199" spans="2:16" s="15" customFormat="1" ht="11.45">
      <c r="B199" s="17" t="s">
        <v>26</v>
      </c>
      <c r="C199" s="17" t="str">
        <f>_xlfn.CONCAT(Instruções!$D$13,".",VLOOKUP(B199,Instruções!$F$12:$H$17,2,0))</f>
        <v>cd_loan_tapes_bce.lt002_instrument</v>
      </c>
      <c r="D199" s="17" t="str">
        <f>_xlfn.CONCAT(Instruções!$D$14,".",VLOOKUP(B199,Instruções!$F$12:$H$17,3,0))</f>
        <v>bu_loantape_work.lt002_instrument</v>
      </c>
      <c r="E199" s="17" t="s">
        <v>253</v>
      </c>
      <c r="F199" s="17" t="str">
        <f t="shared" si="18"/>
        <v>instlmnt_pay_as_is</v>
      </c>
      <c r="G199" s="17" t="str">
        <f t="shared" si="19"/>
        <v>instlmnt_pay_to_be</v>
      </c>
      <c r="H199" s="17" t="str">
        <f>IF(VLOOKUP(B199,Instruções!$F$13:$J$17,5,0)="",
"(SELECT "&amp;VLOOKUP(B199,Instruções!$F$13:$J$17,4,0)&amp;" as "&amp;VLOOKUP(B199,Instruções!$F$13:$J$17,4,0)&amp;"_"&amp;$F$2&amp;", "&amp;E199&amp;" as "&amp;F199&amp;" FROM "&amp;C199&amp;" WHERE "&amp;Instruções!$D$20&amp;") A ",
"(SELECT "&amp;VLOOKUP(B199,Instruções!$F$13:$J$17,4,0)&amp;" as "&amp;VLOOKUP(B199,Instruções!$F$13:$J$17,4,0)&amp;"_"&amp;$F$2&amp;", "&amp;VLOOKUP(B199,Instruções!$F$13:$J$17,5,0)&amp;" as "&amp;VLOOKUP(B199,Instruções!$F$13:$J$17,5,0)&amp;"_"&amp;$F$2&amp;","&amp;E199&amp;" as "&amp;F199&amp;" FROM "&amp;C199&amp;" WHERE "&amp;Instruções!$D$20&amp;") A ")</f>
        <v xml:space="preserve">(SELECT instrmnt_id as instrmnt_id_as_is, instlmnt_pay as instlmnt_pay_as_is FROM cd_loan_tapes_bce.lt002_instrument WHERE ref_date='2024-09-30' AND nome_perimetro='Individual Corporativo' AND segmento='ESTR' AND ambito='PM' AND entidade='00100' ) A </v>
      </c>
      <c r="I199" s="17" t="str">
        <f>IF(VLOOKUP(B199,Instruções!$F$13:$J$17,5,0)="",
"(SELECT "&amp;VLOOKUP(B199,Instruções!$F$13:$J$17,4,0)&amp;" as "&amp;VLOOKUP(B199,Instruções!$F$13:$J$17,4,0)&amp;"_"&amp;$G$2&amp;", "&amp;E199&amp;" as "&amp;G199&amp;" FROM "&amp;D199&amp;" WHERE "&amp;Instruções!$D$21&amp;") B ",
"(SELECT "&amp;VLOOKUP(B199,Instruções!$F$13:$J$17,4,0)&amp;" as "&amp;VLOOKUP(B199,Instruções!$F$13:$J$17,4,0)&amp;"_"&amp;$G$2&amp;", "&amp;VLOOKUP(B199,Instruções!$F$13:$J$17,5,0)&amp;" as "&amp;VLOOKUP(B199,Instruções!$F$13:$J$17,5,0)&amp;"_"&amp;$G$2&amp;","&amp;E199&amp;" as "&amp;G199&amp;" FROM "&amp;D199&amp;" WHERE "&amp;Instruções!$D$21&amp;") B ")</f>
        <v xml:space="preserve">(SELECT instrmnt_id as instrmnt_id_to_be, instlmnt_pay as instlmnt_pay_to_be FROM bu_loantape_work.lt002_instrument WHERE ref_date='2024-09-30' AND nome_perimetro='Individual Corporativo' AND segmento='ESTR' AND ambito='PM' AND entidade='00100' ) B </v>
      </c>
      <c r="J199" s="17" t="str">
        <f>IF(VLOOKUP(B199,Instruções!$F$13:$J$17,5,0)="",
"ON "&amp;VLOOKUP(B199,Instruções!$F$13:$J$17,4,0)&amp;"_"&amp;$F$2&amp;" = "&amp;VLOOKUP(B199,Instruções!$F$13:$J$17,4,0)&amp;"_"&amp;$G$2&amp;" ",
"ON "&amp;VLOOKUP(B199,Instruções!$F$13:$J$17,4,0)&amp;"_"&amp;$F$2&amp;" = "&amp;VLOOKUP(B199,Instruções!$F$13:$J$17,4,0)&amp;"_"&amp;$G$2&amp;" AND "&amp;VLOOKUP(B199,Instruções!$F$13:$J$17,5,0)&amp;"_"&amp;$F$2&amp;" = "&amp;VLOOKUP(B199,Instruções!$F$13:$J$17,5,0)&amp;"_"&amp;$G$2&amp;" ")</f>
        <v xml:space="preserve">ON instrmnt_id_as_is = instrmnt_id_to_be </v>
      </c>
      <c r="K199" s="17" t="str">
        <f t="shared" si="20"/>
        <v xml:space="preserve">WHERE coalesce(cast(instlmnt_pay_as_is as string), '') &lt;&gt; coalesce(cast(instlmnt_pay_to_be as string), '') </v>
      </c>
      <c r="L199" s="17" t="str">
        <f t="shared" si="21"/>
        <v xml:space="preserve">SELECT count(*) AS NUM_REG_DIF FROM (SELECT instrmnt_id as instrmnt_id_as_is, instlmnt_pay as instlmnt_pay_as_is FROM cd_loan_tapes_bce.lt002_instrument WHERE ref_date='2024-09-30' AND nome_perimetro='Individual Corporativo' AND segmento='ESTR' AND ambito='PM' AND entidade='00100' ) A  Inner join (SELECT instrmnt_id as instrmnt_id_to_be, instlmnt_pay as instlmnt_pay_to_be FROM bu_loantape_work.lt002_instrument WHERE ref_date='2024-09-30' AND nome_perimetro='Individual Corporativo' AND segmento='ESTR' AND ambito='PM' AND entidade='00100' ) B ON instrmnt_id_as_is = instrmnt_id_to_be WHERE coalesce(cast(instlmnt_pay_as_is as string), '') &lt;&gt; coalesce(cast(instlmnt_pay_to_be as string), '') </v>
      </c>
      <c r="M199" s="17" t="s">
        <v>55</v>
      </c>
      <c r="N199" s="17" t="str">
        <f>"SELECT 'Validação de campos' as tipologia_teste, '"&amp;VLOOKUP(B199,Instruções!$F$13:$J$17,3,0)&amp;"' AS TABELA, '"&amp;E199&amp;"' AS CAMPO, '"&amp;Instruções!$D$15&amp;"' as ref_date, coalesce(NUM_REG_DIF, 0) AS NUM_REG_DIF FROM ("&amp;L199&amp;") A "</f>
        <v xml:space="preserve">SELECT 'Validação de campos' as tipologia_teste, 'lt002_instrument' AS TABELA, 'instlmnt_pay' AS CAMPO, '2024-09-30' as ref_date, coalesce(NUM_REG_DIF, 0) AS NUM_REG_DIF FROM (SELECT count(*) AS NUM_REG_DIF FROM (SELECT instrmnt_id as instrmnt_id_as_is, instlmnt_pay as instlmnt_pay_as_is FROM cd_loan_tapes_bce.lt002_instrument WHERE ref_date='2024-09-30' AND nome_perimetro='Individual Corporativo' AND segmento='ESTR' AND ambito='PM' AND entidade='00100' ) A  Inner join (SELECT instrmnt_id as instrmnt_id_to_be, instlmnt_pay as instlmnt_pay_to_be FROM bu_loantape_work.lt002_instrument WHERE ref_date='2024-09-30' AND nome_perimetro='Individual Corporativo' AND segmento='ESTR' AND ambito='PM' AND entidade='00100' ) B ON instrmnt_id_as_is = instrmnt_id_to_be WHERE coalesce(cast(instlmnt_pay_as_is as string), '') &lt;&gt; coalesce(cast(instlmnt_pay_to_be as string), '') ) A </v>
      </c>
      <c r="O199" s="19" t="str">
        <f t="shared" si="23"/>
        <v>SELECT 'Validação de campos' as tipologia_teste, 'lt002_instrument' AS TABELA, 'instlmnt_pay' AS CAMPO, '2024-09-30' as ref_date, coalesce(NUM_REG_DIF, 0) AS NUM_REG_DIF FROM (SELECT count(*) AS NUM_REG_DIF FROM (SELECT instrmnt_id as instrmnt_id_as_is, instlmnt_pay as instlmnt_pay_as_is FROM cd_loan_tapes_bce.lt002_instrument WHERE ref_date='2024-09-30' AND nome_perimetro='Individual Corporativo' AND segmento='ESTR' AND ambito='PM' AND entidade='00100' ) A  Inner join (SELECT instrmnt_id as instrmnt_id_to_be, instlmnt_pay as instlmnt_pay_to_be FROM bu_loantape_work.lt002_instrument WHERE ref_date='2024-09-30' AND nome_perimetro='Individual Corporativo' AND segmento='ESTR' AND ambito='PM' AND entidade='00100' ) B ON instrmnt_id_as_is = instrmnt_id_to_be WHERE coalesce(cast(instlmnt_pay_as_is as string), '') &lt;&gt; coalesce(cast(instlmnt_pay_to_be as string), '') ) A UNION ALL</v>
      </c>
      <c r="P199" s="17">
        <f t="shared" si="22"/>
        <v>45</v>
      </c>
    </row>
    <row r="200" spans="2:16" s="15" customFormat="1" ht="11.45">
      <c r="B200" s="17" t="s">
        <v>26</v>
      </c>
      <c r="C200" s="17" t="str">
        <f>_xlfn.CONCAT(Instruções!$D$13,".",VLOOKUP(B200,Instruções!$F$12:$H$17,2,0))</f>
        <v>cd_loan_tapes_bce.lt002_instrument</v>
      </c>
      <c r="D200" s="17" t="str">
        <f>_xlfn.CONCAT(Instruções!$D$14,".",VLOOKUP(B200,Instruções!$F$12:$H$17,3,0))</f>
        <v>bu_loantape_work.lt002_instrument</v>
      </c>
      <c r="E200" s="17" t="s">
        <v>254</v>
      </c>
      <c r="F200" s="17" t="str">
        <f t="shared" si="18"/>
        <v>instr_snrty_clss_as_is</v>
      </c>
      <c r="G200" s="17" t="str">
        <f t="shared" si="19"/>
        <v>instr_snrty_clss_to_be</v>
      </c>
      <c r="H200" s="17" t="str">
        <f>IF(VLOOKUP(B200,Instruções!$F$13:$J$17,5,0)="",
"(SELECT "&amp;VLOOKUP(B200,Instruções!$F$13:$J$17,4,0)&amp;" as "&amp;VLOOKUP(B200,Instruções!$F$13:$J$17,4,0)&amp;"_"&amp;$F$2&amp;", "&amp;E200&amp;" as "&amp;F200&amp;" FROM "&amp;C200&amp;" WHERE "&amp;Instruções!$D$20&amp;") A ",
"(SELECT "&amp;VLOOKUP(B200,Instruções!$F$13:$J$17,4,0)&amp;" as "&amp;VLOOKUP(B200,Instruções!$F$13:$J$17,4,0)&amp;"_"&amp;$F$2&amp;", "&amp;VLOOKUP(B200,Instruções!$F$13:$J$17,5,0)&amp;" as "&amp;VLOOKUP(B200,Instruções!$F$13:$J$17,5,0)&amp;"_"&amp;$F$2&amp;","&amp;E200&amp;" as "&amp;F200&amp;" FROM "&amp;C200&amp;" WHERE "&amp;Instruções!$D$20&amp;") A ")</f>
        <v xml:space="preserve">(SELECT instrmnt_id as instrmnt_id_as_is, instr_snrty_clss as instr_snrty_clss_as_is FROM cd_loan_tapes_bce.lt002_instrument WHERE ref_date='2024-09-30' AND nome_perimetro='Individual Corporativo' AND segmento='ESTR' AND ambito='PM' AND entidade='00100' ) A </v>
      </c>
      <c r="I200" s="17" t="str">
        <f>IF(VLOOKUP(B200,Instruções!$F$13:$J$17,5,0)="",
"(SELECT "&amp;VLOOKUP(B200,Instruções!$F$13:$J$17,4,0)&amp;" as "&amp;VLOOKUP(B200,Instruções!$F$13:$J$17,4,0)&amp;"_"&amp;$G$2&amp;", "&amp;E200&amp;" as "&amp;G200&amp;" FROM "&amp;D200&amp;" WHERE "&amp;Instruções!$D$21&amp;") B ",
"(SELECT "&amp;VLOOKUP(B200,Instruções!$F$13:$J$17,4,0)&amp;" as "&amp;VLOOKUP(B200,Instruções!$F$13:$J$17,4,0)&amp;"_"&amp;$G$2&amp;", "&amp;VLOOKUP(B200,Instruções!$F$13:$J$17,5,0)&amp;" as "&amp;VLOOKUP(B200,Instruções!$F$13:$J$17,5,0)&amp;"_"&amp;$G$2&amp;","&amp;E200&amp;" as "&amp;G200&amp;" FROM "&amp;D200&amp;" WHERE "&amp;Instruções!$D$21&amp;") B ")</f>
        <v xml:space="preserve">(SELECT instrmnt_id as instrmnt_id_to_be, instr_snrty_clss as instr_snrty_clss_to_be FROM bu_loantape_work.lt002_instrument WHERE ref_date='2024-09-30' AND nome_perimetro='Individual Corporativo' AND segmento='ESTR' AND ambito='PM' AND entidade='00100' ) B </v>
      </c>
      <c r="J200" s="17" t="str">
        <f>IF(VLOOKUP(B200,Instruções!$F$13:$J$17,5,0)="",
"ON "&amp;VLOOKUP(B200,Instruções!$F$13:$J$17,4,0)&amp;"_"&amp;$F$2&amp;" = "&amp;VLOOKUP(B200,Instruções!$F$13:$J$17,4,0)&amp;"_"&amp;$G$2&amp;" ",
"ON "&amp;VLOOKUP(B200,Instruções!$F$13:$J$17,4,0)&amp;"_"&amp;$F$2&amp;" = "&amp;VLOOKUP(B200,Instruções!$F$13:$J$17,4,0)&amp;"_"&amp;$G$2&amp;" AND "&amp;VLOOKUP(B200,Instruções!$F$13:$J$17,5,0)&amp;"_"&amp;$F$2&amp;" = "&amp;VLOOKUP(B200,Instruções!$F$13:$J$17,5,0)&amp;"_"&amp;$G$2&amp;" ")</f>
        <v xml:space="preserve">ON instrmnt_id_as_is = instrmnt_id_to_be </v>
      </c>
      <c r="K200" s="17" t="str">
        <f t="shared" si="20"/>
        <v xml:space="preserve">WHERE coalesce(cast(instr_snrty_clss_as_is as string), '') &lt;&gt; coalesce(cast(instr_snrty_clss_to_be as string), '') </v>
      </c>
      <c r="L200" s="17" t="str">
        <f t="shared" si="21"/>
        <v xml:space="preserve">SELECT count(*) AS NUM_REG_DIF FROM (SELECT instrmnt_id as instrmnt_id_as_is, instr_snrty_clss as instr_snrty_clss_as_is FROM cd_loan_tapes_bce.lt002_instrument WHERE ref_date='2024-09-30' AND nome_perimetro='Individual Corporativo' AND segmento='ESTR' AND ambito='PM' AND entidade='00100' ) A  Inner join (SELECT instrmnt_id as instrmnt_id_to_be, instr_snrty_clss as instr_snrty_clss_to_be FROM bu_loantape_work.lt002_instrument WHERE ref_date='2024-09-30' AND nome_perimetro='Individual Corporativo' AND segmento='ESTR' AND ambito='PM' AND entidade='00100' ) B ON instrmnt_id_as_is = instrmnt_id_to_be WHERE coalesce(cast(instr_snrty_clss_as_is as string), '') &lt;&gt; coalesce(cast(instr_snrty_clss_to_be as string), '') </v>
      </c>
      <c r="M200" s="17" t="s">
        <v>55</v>
      </c>
      <c r="N200" s="17" t="str">
        <f>"SELECT 'Validação de campos' as tipologia_teste, '"&amp;VLOOKUP(B200,Instruções!$F$13:$J$17,3,0)&amp;"' AS TABELA, '"&amp;E200&amp;"' AS CAMPO, '"&amp;Instruções!$D$15&amp;"' as ref_date, coalesce(NUM_REG_DIF, 0) AS NUM_REG_DIF FROM ("&amp;L200&amp;") A "</f>
        <v xml:space="preserve">SELECT 'Validação de campos' as tipologia_teste, 'lt002_instrument' AS TABELA, 'instr_snrty_clss' AS CAMPO, '2024-09-30' as ref_date, coalesce(NUM_REG_DIF, 0) AS NUM_REG_DIF FROM (SELECT count(*) AS NUM_REG_DIF FROM (SELECT instrmnt_id as instrmnt_id_as_is, instr_snrty_clss as instr_snrty_clss_as_is FROM cd_loan_tapes_bce.lt002_instrument WHERE ref_date='2024-09-30' AND nome_perimetro='Individual Corporativo' AND segmento='ESTR' AND ambito='PM' AND entidade='00100' ) A  Inner join (SELECT instrmnt_id as instrmnt_id_to_be, instr_snrty_clss as instr_snrty_clss_to_be FROM bu_loantape_work.lt002_instrument WHERE ref_date='2024-09-30' AND nome_perimetro='Individual Corporativo' AND segmento='ESTR' AND ambito='PM' AND entidade='00100' ) B ON instrmnt_id_as_is = instrmnt_id_to_be WHERE coalesce(cast(instr_snrty_clss_as_is as string), '') &lt;&gt; coalesce(cast(instr_snrty_clss_to_be as string), '') ) A </v>
      </c>
      <c r="O200" s="19" t="str">
        <f t="shared" si="23"/>
        <v>SELECT 'Validação de campos' as tipologia_teste, 'lt002_instrument' AS TABELA, 'instr_snrty_clss' AS CAMPO, '2024-09-30' as ref_date, coalesce(NUM_REG_DIF, 0) AS NUM_REG_DIF FROM (SELECT count(*) AS NUM_REG_DIF FROM (SELECT instrmnt_id as instrmnt_id_as_is, instr_snrty_clss as instr_snrty_clss_as_is FROM cd_loan_tapes_bce.lt002_instrument WHERE ref_date='2024-09-30' AND nome_perimetro='Individual Corporativo' AND segmento='ESTR' AND ambito='PM' AND entidade='00100' ) A  Inner join (SELECT instrmnt_id as instrmnt_id_to_be, instr_snrty_clss as instr_snrty_clss_to_be FROM bu_loantape_work.lt002_instrument WHERE ref_date='2024-09-30' AND nome_perimetro='Individual Corporativo' AND segmento='ESTR' AND ambito='PM' AND entidade='00100' ) B ON instrmnt_id_as_is = instrmnt_id_to_be WHERE coalesce(cast(instr_snrty_clss_as_is as string), '') &lt;&gt; coalesce(cast(instr_snrty_clss_to_be as string), '') ) A UNION ALL</v>
      </c>
      <c r="P200" s="17">
        <f t="shared" si="22"/>
        <v>46</v>
      </c>
    </row>
    <row r="201" spans="2:16" s="15" customFormat="1" ht="11.45">
      <c r="B201" s="17" t="s">
        <v>26</v>
      </c>
      <c r="C201" s="17" t="str">
        <f>_xlfn.CONCAT(Instruções!$D$13,".",VLOOKUP(B201,Instruções!$F$12:$H$17,2,0))</f>
        <v>cd_loan_tapes_bce.lt002_instrument</v>
      </c>
      <c r="D201" s="17" t="str">
        <f>_xlfn.CONCAT(Instruções!$D$14,".",VLOOKUP(B201,Instruções!$F$12:$H$17,3,0))</f>
        <v>bu_loantape_work.lt002_instrument</v>
      </c>
      <c r="E201" s="17" t="s">
        <v>255</v>
      </c>
      <c r="F201" s="17" t="str">
        <f t="shared" si="18"/>
        <v>instrmnt_clss_as_is</v>
      </c>
      <c r="G201" s="17" t="str">
        <f t="shared" si="19"/>
        <v>instrmnt_clss_to_be</v>
      </c>
      <c r="H201" s="17" t="str">
        <f>IF(VLOOKUP(B201,Instruções!$F$13:$J$17,5,0)="",
"(SELECT "&amp;VLOOKUP(B201,Instruções!$F$13:$J$17,4,0)&amp;" as "&amp;VLOOKUP(B201,Instruções!$F$13:$J$17,4,0)&amp;"_"&amp;$F$2&amp;", "&amp;E201&amp;" as "&amp;F201&amp;" FROM "&amp;C201&amp;" WHERE "&amp;Instruções!$D$20&amp;") A ",
"(SELECT "&amp;VLOOKUP(B201,Instruções!$F$13:$J$17,4,0)&amp;" as "&amp;VLOOKUP(B201,Instruções!$F$13:$J$17,4,0)&amp;"_"&amp;$F$2&amp;", "&amp;VLOOKUP(B201,Instruções!$F$13:$J$17,5,0)&amp;" as "&amp;VLOOKUP(B201,Instruções!$F$13:$J$17,5,0)&amp;"_"&amp;$F$2&amp;","&amp;E201&amp;" as "&amp;F201&amp;" FROM "&amp;C201&amp;" WHERE "&amp;Instruções!$D$20&amp;") A ")</f>
        <v xml:space="preserve">(SELECT instrmnt_id as instrmnt_id_as_is, instrmnt_clss as instrmnt_clss_as_is FROM cd_loan_tapes_bce.lt002_instrument WHERE ref_date='2024-09-30' AND nome_perimetro='Individual Corporativo' AND segmento='ESTR' AND ambito='PM' AND entidade='00100' ) A </v>
      </c>
      <c r="I201" s="17" t="str">
        <f>IF(VLOOKUP(B201,Instruções!$F$13:$J$17,5,0)="",
"(SELECT "&amp;VLOOKUP(B201,Instruções!$F$13:$J$17,4,0)&amp;" as "&amp;VLOOKUP(B201,Instruções!$F$13:$J$17,4,0)&amp;"_"&amp;$G$2&amp;", "&amp;E201&amp;" as "&amp;G201&amp;" FROM "&amp;D201&amp;" WHERE "&amp;Instruções!$D$21&amp;") B ",
"(SELECT "&amp;VLOOKUP(B201,Instruções!$F$13:$J$17,4,0)&amp;" as "&amp;VLOOKUP(B201,Instruções!$F$13:$J$17,4,0)&amp;"_"&amp;$G$2&amp;", "&amp;VLOOKUP(B201,Instruções!$F$13:$J$17,5,0)&amp;" as "&amp;VLOOKUP(B201,Instruções!$F$13:$J$17,5,0)&amp;"_"&amp;$G$2&amp;","&amp;E201&amp;" as "&amp;G201&amp;" FROM "&amp;D201&amp;" WHERE "&amp;Instruções!$D$21&amp;") B ")</f>
        <v xml:space="preserve">(SELECT instrmnt_id as instrmnt_id_to_be, instrmnt_clss as instrmnt_clss_to_be FROM bu_loantape_work.lt002_instrument WHERE ref_date='2024-09-30' AND nome_perimetro='Individual Corporativo' AND segmento='ESTR' AND ambito='PM' AND entidade='00100' ) B </v>
      </c>
      <c r="J201" s="17" t="str">
        <f>IF(VLOOKUP(B201,Instruções!$F$13:$J$17,5,0)="",
"ON "&amp;VLOOKUP(B201,Instruções!$F$13:$J$17,4,0)&amp;"_"&amp;$F$2&amp;" = "&amp;VLOOKUP(B201,Instruções!$F$13:$J$17,4,0)&amp;"_"&amp;$G$2&amp;" ",
"ON "&amp;VLOOKUP(B201,Instruções!$F$13:$J$17,4,0)&amp;"_"&amp;$F$2&amp;" = "&amp;VLOOKUP(B201,Instruções!$F$13:$J$17,4,0)&amp;"_"&amp;$G$2&amp;" AND "&amp;VLOOKUP(B201,Instruções!$F$13:$J$17,5,0)&amp;"_"&amp;$F$2&amp;" = "&amp;VLOOKUP(B201,Instruções!$F$13:$J$17,5,0)&amp;"_"&amp;$G$2&amp;" ")</f>
        <v xml:space="preserve">ON instrmnt_id_as_is = instrmnt_id_to_be </v>
      </c>
      <c r="K201" s="17" t="str">
        <f t="shared" si="20"/>
        <v xml:space="preserve">WHERE coalesce(cast(instrmnt_clss_as_is as string), '') &lt;&gt; coalesce(cast(instrmnt_clss_to_be as string), '') </v>
      </c>
      <c r="L201" s="17" t="str">
        <f t="shared" si="21"/>
        <v xml:space="preserve">SELECT count(*) AS NUM_REG_DIF FROM (SELECT instrmnt_id as instrmnt_id_as_is, instrmnt_clss as instrmnt_clss_as_is FROM cd_loan_tapes_bce.lt002_instrument WHERE ref_date='2024-09-30' AND nome_perimetro='Individual Corporativo' AND segmento='ESTR' AND ambito='PM' AND entidade='00100' ) A  Inner join (SELECT instrmnt_id as instrmnt_id_to_be, instrmnt_clss as instrmnt_clss_to_be FROM bu_loantape_work.lt002_instrument WHERE ref_date='2024-09-30' AND nome_perimetro='Individual Corporativo' AND segmento='ESTR' AND ambito='PM' AND entidade='00100' ) B ON instrmnt_id_as_is = instrmnt_id_to_be WHERE coalesce(cast(instrmnt_clss_as_is as string), '') &lt;&gt; coalesce(cast(instrmnt_clss_to_be as string), '') </v>
      </c>
      <c r="M201" s="17" t="s">
        <v>55</v>
      </c>
      <c r="N201" s="17" t="str">
        <f>"SELECT 'Validação de campos' as tipologia_teste, '"&amp;VLOOKUP(B201,Instruções!$F$13:$J$17,3,0)&amp;"' AS TABELA, '"&amp;E201&amp;"' AS CAMPO, '"&amp;Instruções!$D$15&amp;"' as ref_date, coalesce(NUM_REG_DIF, 0) AS NUM_REG_DIF FROM ("&amp;L201&amp;") A "</f>
        <v xml:space="preserve">SELECT 'Validação de campos' as tipologia_teste, 'lt002_instrument' AS TABELA, 'instrmnt_clss' AS CAMPO, '2024-09-30' as ref_date, coalesce(NUM_REG_DIF, 0) AS NUM_REG_DIF FROM (SELECT count(*) AS NUM_REG_DIF FROM (SELECT instrmnt_id as instrmnt_id_as_is, instrmnt_clss as instrmnt_clss_as_is FROM cd_loan_tapes_bce.lt002_instrument WHERE ref_date='2024-09-30' AND nome_perimetro='Individual Corporativo' AND segmento='ESTR' AND ambito='PM' AND entidade='00100' ) A  Inner join (SELECT instrmnt_id as instrmnt_id_to_be, instrmnt_clss as instrmnt_clss_to_be FROM bu_loantape_work.lt002_instrument WHERE ref_date='2024-09-30' AND nome_perimetro='Individual Corporativo' AND segmento='ESTR' AND ambito='PM' AND entidade='00100' ) B ON instrmnt_id_as_is = instrmnt_id_to_be WHERE coalesce(cast(instrmnt_clss_as_is as string), '') &lt;&gt; coalesce(cast(instrmnt_clss_to_be as string), '') ) A </v>
      </c>
      <c r="O201" s="19" t="str">
        <f t="shared" si="23"/>
        <v>SELECT 'Validação de campos' as tipologia_teste, 'lt002_instrument' AS TABELA, 'instrmnt_clss' AS CAMPO, '2024-09-30' as ref_date, coalesce(NUM_REG_DIF, 0) AS NUM_REG_DIF FROM (SELECT count(*) AS NUM_REG_DIF FROM (SELECT instrmnt_id as instrmnt_id_as_is, instrmnt_clss as instrmnt_clss_as_is FROM cd_loan_tapes_bce.lt002_instrument WHERE ref_date='2024-09-30' AND nome_perimetro='Individual Corporativo' AND segmento='ESTR' AND ambito='PM' AND entidade='00100' ) A  Inner join (SELECT instrmnt_id as instrmnt_id_to_be, instrmnt_clss as instrmnt_clss_to_be FROM bu_loantape_work.lt002_instrument WHERE ref_date='2024-09-30' AND nome_perimetro='Individual Corporativo' AND segmento='ESTR' AND ambito='PM' AND entidade='00100' ) B ON instrmnt_id_as_is = instrmnt_id_to_be WHERE coalesce(cast(instrmnt_clss_as_is as string), '') &lt;&gt; coalesce(cast(instrmnt_clss_to_be as string), '') ) A UNION ALL</v>
      </c>
      <c r="P201" s="17">
        <f t="shared" si="22"/>
        <v>47</v>
      </c>
    </row>
    <row r="202" spans="2:16" s="15" customFormat="1" ht="11.45">
      <c r="B202" s="17" t="s">
        <v>26</v>
      </c>
      <c r="C202" s="17" t="str">
        <f>_xlfn.CONCAT(Instruções!$D$13,".",VLOOKUP(B202,Instruções!$F$12:$H$17,2,0))</f>
        <v>cd_loan_tapes_bce.lt002_instrument</v>
      </c>
      <c r="D202" s="17" t="str">
        <f>_xlfn.CONCAT(Instruções!$D$14,".",VLOOKUP(B202,Instruções!$F$12:$H$17,3,0))</f>
        <v>bu_loantape_work.lt002_instrument</v>
      </c>
      <c r="E202" s="17" t="s">
        <v>121</v>
      </c>
      <c r="F202" s="17" t="str">
        <f t="shared" si="18"/>
        <v>intrnl_rtng_as_is</v>
      </c>
      <c r="G202" s="17" t="str">
        <f t="shared" si="19"/>
        <v>intrnl_rtng_to_be</v>
      </c>
      <c r="H202" s="17" t="str">
        <f>IF(VLOOKUP(B202,Instruções!$F$13:$J$17,5,0)="",
"(SELECT "&amp;VLOOKUP(B202,Instruções!$F$13:$J$17,4,0)&amp;" as "&amp;VLOOKUP(B202,Instruções!$F$13:$J$17,4,0)&amp;"_"&amp;$F$2&amp;", "&amp;E202&amp;" as "&amp;F202&amp;" FROM "&amp;C202&amp;" WHERE "&amp;Instruções!$D$20&amp;") A ",
"(SELECT "&amp;VLOOKUP(B202,Instruções!$F$13:$J$17,4,0)&amp;" as "&amp;VLOOKUP(B202,Instruções!$F$13:$J$17,4,0)&amp;"_"&amp;$F$2&amp;", "&amp;VLOOKUP(B202,Instruções!$F$13:$J$17,5,0)&amp;" as "&amp;VLOOKUP(B202,Instruções!$F$13:$J$17,5,0)&amp;"_"&amp;$F$2&amp;","&amp;E202&amp;" as "&amp;F202&amp;" FROM "&amp;C202&amp;" WHERE "&amp;Instruções!$D$20&amp;") A ")</f>
        <v xml:space="preserve">(SELECT instrmnt_id as instrmnt_id_as_is, intrnl_rtng as intrnl_rtng_as_is FROM cd_loan_tapes_bce.lt002_instrument WHERE ref_date='2024-09-30' AND nome_perimetro='Individual Corporativo' AND segmento='ESTR' AND ambito='PM' AND entidade='00100' ) A </v>
      </c>
      <c r="I202" s="17" t="str">
        <f>IF(VLOOKUP(B202,Instruções!$F$13:$J$17,5,0)="",
"(SELECT "&amp;VLOOKUP(B202,Instruções!$F$13:$J$17,4,0)&amp;" as "&amp;VLOOKUP(B202,Instruções!$F$13:$J$17,4,0)&amp;"_"&amp;$G$2&amp;", "&amp;E202&amp;" as "&amp;G202&amp;" FROM "&amp;D202&amp;" WHERE "&amp;Instruções!$D$21&amp;") B ",
"(SELECT "&amp;VLOOKUP(B202,Instruções!$F$13:$J$17,4,0)&amp;" as "&amp;VLOOKUP(B202,Instruções!$F$13:$J$17,4,0)&amp;"_"&amp;$G$2&amp;", "&amp;VLOOKUP(B202,Instruções!$F$13:$J$17,5,0)&amp;" as "&amp;VLOOKUP(B202,Instruções!$F$13:$J$17,5,0)&amp;"_"&amp;$G$2&amp;","&amp;E202&amp;" as "&amp;G202&amp;" FROM "&amp;D202&amp;" WHERE "&amp;Instruções!$D$21&amp;") B ")</f>
        <v xml:space="preserve">(SELECT instrmnt_id as instrmnt_id_to_be, intrnl_rtng as intrnl_rtng_to_be FROM bu_loantape_work.lt002_instrument WHERE ref_date='2024-09-30' AND nome_perimetro='Individual Corporativo' AND segmento='ESTR' AND ambito='PM' AND entidade='00100' ) B </v>
      </c>
      <c r="J202" s="17" t="str">
        <f>IF(VLOOKUP(B202,Instruções!$F$13:$J$17,5,0)="",
"ON "&amp;VLOOKUP(B202,Instruções!$F$13:$J$17,4,0)&amp;"_"&amp;$F$2&amp;" = "&amp;VLOOKUP(B202,Instruções!$F$13:$J$17,4,0)&amp;"_"&amp;$G$2&amp;" ",
"ON "&amp;VLOOKUP(B202,Instruções!$F$13:$J$17,4,0)&amp;"_"&amp;$F$2&amp;" = "&amp;VLOOKUP(B202,Instruções!$F$13:$J$17,4,0)&amp;"_"&amp;$G$2&amp;" AND "&amp;VLOOKUP(B202,Instruções!$F$13:$J$17,5,0)&amp;"_"&amp;$F$2&amp;" = "&amp;VLOOKUP(B202,Instruções!$F$13:$J$17,5,0)&amp;"_"&amp;$G$2&amp;" ")</f>
        <v xml:space="preserve">ON instrmnt_id_as_is = instrmnt_id_to_be </v>
      </c>
      <c r="K202" s="17" t="str">
        <f t="shared" si="20"/>
        <v xml:space="preserve">WHERE coalesce(cast(intrnl_rtng_as_is as string), '') &lt;&gt; coalesce(cast(intrnl_rtng_to_be as string), '') </v>
      </c>
      <c r="L202" s="17" t="str">
        <f t="shared" si="21"/>
        <v xml:space="preserve">SELECT count(*) AS NUM_REG_DIF FROM (SELECT instrmnt_id as instrmnt_id_as_is, intrnl_rtng as intrnl_rtng_as_is FROM cd_loan_tapes_bce.lt002_instrument WHERE ref_date='2024-09-30' AND nome_perimetro='Individual Corporativo' AND segmento='ESTR' AND ambito='PM' AND entidade='00100' ) A  Inner join (SELECT instrmnt_id as instrmnt_id_to_be, intrnl_rtng as intrnl_rtng_to_be FROM bu_loantape_work.lt002_instrument WHERE ref_date='2024-09-30' AND nome_perimetro='Individual Corporativo' AND segmento='ESTR' AND ambito='PM' AND entidade='00100' ) B ON instrmnt_id_as_is = instrmnt_id_to_be WHERE coalesce(cast(intrnl_rtng_as_is as string), '') &lt;&gt; coalesce(cast(intrnl_rtng_to_be as string), '') </v>
      </c>
      <c r="M202" s="17" t="s">
        <v>55</v>
      </c>
      <c r="N202" s="17" t="str">
        <f>"SELECT 'Validação de campos' as tipologia_teste, '"&amp;VLOOKUP(B202,Instruções!$F$13:$J$17,3,0)&amp;"' AS TABELA, '"&amp;E202&amp;"' AS CAMPO, '"&amp;Instruções!$D$15&amp;"' as ref_date, coalesce(NUM_REG_DIF, 0) AS NUM_REG_DIF FROM ("&amp;L202&amp;") A "</f>
        <v xml:space="preserve">SELECT 'Validação de campos' as tipologia_teste, 'lt002_instrument' AS TABELA, 'intrnl_rtng' AS CAMPO, '2024-09-30' as ref_date, coalesce(NUM_REG_DIF, 0) AS NUM_REG_DIF FROM (SELECT count(*) AS NUM_REG_DIF FROM (SELECT instrmnt_id as instrmnt_id_as_is, intrnl_rtng as intrnl_rtng_as_is FROM cd_loan_tapes_bce.lt002_instrument WHERE ref_date='2024-09-30' AND nome_perimetro='Individual Corporativo' AND segmento='ESTR' AND ambito='PM' AND entidade='00100' ) A  Inner join (SELECT instrmnt_id as instrmnt_id_to_be, intrnl_rtng as intrnl_rtng_to_be FROM bu_loantape_work.lt002_instrument WHERE ref_date='2024-09-30' AND nome_perimetro='Individual Corporativo' AND segmento='ESTR' AND ambito='PM' AND entidade='00100' ) B ON instrmnt_id_as_is = instrmnt_id_to_be WHERE coalesce(cast(intrnl_rtng_as_is as string), '') &lt;&gt; coalesce(cast(intrnl_rtng_to_be as string), '') ) A </v>
      </c>
      <c r="O202" s="19" t="str">
        <f t="shared" si="23"/>
        <v>SELECT 'Validação de campos' as tipologia_teste, 'lt002_instrument' AS TABELA, 'intrnl_rtng' AS CAMPO, '2024-09-30' as ref_date, coalesce(NUM_REG_DIF, 0) AS NUM_REG_DIF FROM (SELECT count(*) AS NUM_REG_DIF FROM (SELECT instrmnt_id as instrmnt_id_as_is, intrnl_rtng as intrnl_rtng_as_is FROM cd_loan_tapes_bce.lt002_instrument WHERE ref_date='2024-09-30' AND nome_perimetro='Individual Corporativo' AND segmento='ESTR' AND ambito='PM' AND entidade='00100' ) A  Inner join (SELECT instrmnt_id as instrmnt_id_to_be, intrnl_rtng as intrnl_rtng_to_be FROM bu_loantape_work.lt002_instrument WHERE ref_date='2024-09-30' AND nome_perimetro='Individual Corporativo' AND segmento='ESTR' AND ambito='PM' AND entidade='00100' ) B ON instrmnt_id_as_is = instrmnt_id_to_be WHERE coalesce(cast(intrnl_rtng_as_is as string), '') &lt;&gt; coalesce(cast(intrnl_rtng_to_be as string), '') ) A UNION ALL</v>
      </c>
      <c r="P202" s="17">
        <f t="shared" si="22"/>
        <v>48</v>
      </c>
    </row>
    <row r="203" spans="2:16" s="15" customFormat="1" ht="11.45">
      <c r="B203" s="17" t="s">
        <v>26</v>
      </c>
      <c r="C203" s="17" t="str">
        <f>_xlfn.CONCAT(Instruções!$D$13,".",VLOOKUP(B203,Instruções!$F$12:$H$17,2,0))</f>
        <v>cd_loan_tapes_bce.lt002_instrument</v>
      </c>
      <c r="D203" s="17" t="str">
        <f>_xlfn.CONCAT(Instruções!$D$14,".",VLOOKUP(B203,Instruções!$F$12:$H$17,3,0))</f>
        <v>bu_loantape_work.lt002_instrument</v>
      </c>
      <c r="E203" s="17" t="s">
        <v>256</v>
      </c>
      <c r="F203" s="17" t="str">
        <f t="shared" si="18"/>
        <v>intrnl_rtng_incptn_as_is</v>
      </c>
      <c r="G203" s="17" t="str">
        <f t="shared" si="19"/>
        <v>intrnl_rtng_incptn_to_be</v>
      </c>
      <c r="H203" s="17" t="str">
        <f>IF(VLOOKUP(B203,Instruções!$F$13:$J$17,5,0)="",
"(SELECT "&amp;VLOOKUP(B203,Instruções!$F$13:$J$17,4,0)&amp;" as "&amp;VLOOKUP(B203,Instruções!$F$13:$J$17,4,0)&amp;"_"&amp;$F$2&amp;", "&amp;E203&amp;" as "&amp;F203&amp;" FROM "&amp;C203&amp;" WHERE "&amp;Instruções!$D$20&amp;") A ",
"(SELECT "&amp;VLOOKUP(B203,Instruções!$F$13:$J$17,4,0)&amp;" as "&amp;VLOOKUP(B203,Instruções!$F$13:$J$17,4,0)&amp;"_"&amp;$F$2&amp;", "&amp;VLOOKUP(B203,Instruções!$F$13:$J$17,5,0)&amp;" as "&amp;VLOOKUP(B203,Instruções!$F$13:$J$17,5,0)&amp;"_"&amp;$F$2&amp;","&amp;E203&amp;" as "&amp;F203&amp;" FROM "&amp;C203&amp;" WHERE "&amp;Instruções!$D$20&amp;") A ")</f>
        <v xml:space="preserve">(SELECT instrmnt_id as instrmnt_id_as_is, intrnl_rtng_incptn as intrnl_rtng_incptn_as_is FROM cd_loan_tapes_bce.lt002_instrument WHERE ref_date='2024-09-30' AND nome_perimetro='Individual Corporativo' AND segmento='ESTR' AND ambito='PM' AND entidade='00100' ) A </v>
      </c>
      <c r="I203" s="17" t="str">
        <f>IF(VLOOKUP(B203,Instruções!$F$13:$J$17,5,0)="",
"(SELECT "&amp;VLOOKUP(B203,Instruções!$F$13:$J$17,4,0)&amp;" as "&amp;VLOOKUP(B203,Instruções!$F$13:$J$17,4,0)&amp;"_"&amp;$G$2&amp;", "&amp;E203&amp;" as "&amp;G203&amp;" FROM "&amp;D203&amp;" WHERE "&amp;Instruções!$D$21&amp;") B ",
"(SELECT "&amp;VLOOKUP(B203,Instruções!$F$13:$J$17,4,0)&amp;" as "&amp;VLOOKUP(B203,Instruções!$F$13:$J$17,4,0)&amp;"_"&amp;$G$2&amp;", "&amp;VLOOKUP(B203,Instruções!$F$13:$J$17,5,0)&amp;" as "&amp;VLOOKUP(B203,Instruções!$F$13:$J$17,5,0)&amp;"_"&amp;$G$2&amp;","&amp;E203&amp;" as "&amp;G203&amp;" FROM "&amp;D203&amp;" WHERE "&amp;Instruções!$D$21&amp;") B ")</f>
        <v xml:space="preserve">(SELECT instrmnt_id as instrmnt_id_to_be, intrnl_rtng_incptn as intrnl_rtng_incptn_to_be FROM bu_loantape_work.lt002_instrument WHERE ref_date='2024-09-30' AND nome_perimetro='Individual Corporativo' AND segmento='ESTR' AND ambito='PM' AND entidade='00100' ) B </v>
      </c>
      <c r="J203" s="17" t="str">
        <f>IF(VLOOKUP(B203,Instruções!$F$13:$J$17,5,0)="",
"ON "&amp;VLOOKUP(B203,Instruções!$F$13:$J$17,4,0)&amp;"_"&amp;$F$2&amp;" = "&amp;VLOOKUP(B203,Instruções!$F$13:$J$17,4,0)&amp;"_"&amp;$G$2&amp;" ",
"ON "&amp;VLOOKUP(B203,Instruções!$F$13:$J$17,4,0)&amp;"_"&amp;$F$2&amp;" = "&amp;VLOOKUP(B203,Instruções!$F$13:$J$17,4,0)&amp;"_"&amp;$G$2&amp;" AND "&amp;VLOOKUP(B203,Instruções!$F$13:$J$17,5,0)&amp;"_"&amp;$F$2&amp;" = "&amp;VLOOKUP(B203,Instruções!$F$13:$J$17,5,0)&amp;"_"&amp;$G$2&amp;" ")</f>
        <v xml:space="preserve">ON instrmnt_id_as_is = instrmnt_id_to_be </v>
      </c>
      <c r="K203" s="17" t="str">
        <f t="shared" si="20"/>
        <v xml:space="preserve">WHERE coalesce(cast(intrnl_rtng_incptn_as_is as string), '') &lt;&gt; coalesce(cast(intrnl_rtng_incptn_to_be as string), '') </v>
      </c>
      <c r="L203" s="17" t="str">
        <f t="shared" si="21"/>
        <v xml:space="preserve">SELECT count(*) AS NUM_REG_DIF FROM (SELECT instrmnt_id as instrmnt_id_as_is, intrnl_rtng_incptn as intrnl_rtng_incptn_as_is FROM cd_loan_tapes_bce.lt002_instrument WHERE ref_date='2024-09-30' AND nome_perimetro='Individual Corporativo' AND segmento='ESTR' AND ambito='PM' AND entidade='00100' ) A  Inner join (SELECT instrmnt_id as instrmnt_id_to_be, intrnl_rtng_incptn as intrnl_rtng_incptn_to_be FROM bu_loantape_work.lt002_instrument WHERE ref_date='2024-09-30' AND nome_perimetro='Individual Corporativo' AND segmento='ESTR' AND ambito='PM' AND entidade='00100' ) B ON instrmnt_id_as_is = instrmnt_id_to_be WHERE coalesce(cast(intrnl_rtng_incptn_as_is as string), '') &lt;&gt; coalesce(cast(intrnl_rtng_incptn_to_be as string), '') </v>
      </c>
      <c r="M203" s="17" t="s">
        <v>55</v>
      </c>
      <c r="N203" s="17" t="str">
        <f>"SELECT 'Validação de campos' as tipologia_teste, '"&amp;VLOOKUP(B203,Instruções!$F$13:$J$17,3,0)&amp;"' AS TABELA, '"&amp;E203&amp;"' AS CAMPO, '"&amp;Instruções!$D$15&amp;"' as ref_date, coalesce(NUM_REG_DIF, 0) AS NUM_REG_DIF FROM ("&amp;L203&amp;") A "</f>
        <v xml:space="preserve">SELECT 'Validação de campos' as tipologia_teste, 'lt002_instrument' AS TABELA, 'intrnl_rtng_incptn' AS CAMPO, '2024-09-30' as ref_date, coalesce(NUM_REG_DIF, 0) AS NUM_REG_DIF FROM (SELECT count(*) AS NUM_REG_DIF FROM (SELECT instrmnt_id as instrmnt_id_as_is, intrnl_rtng_incptn as intrnl_rtng_incptn_as_is FROM cd_loan_tapes_bce.lt002_instrument WHERE ref_date='2024-09-30' AND nome_perimetro='Individual Corporativo' AND segmento='ESTR' AND ambito='PM' AND entidade='00100' ) A  Inner join (SELECT instrmnt_id as instrmnt_id_to_be, intrnl_rtng_incptn as intrnl_rtng_incptn_to_be FROM bu_loantape_work.lt002_instrument WHERE ref_date='2024-09-30' AND nome_perimetro='Individual Corporativo' AND segmento='ESTR' AND ambito='PM' AND entidade='00100' ) B ON instrmnt_id_as_is = instrmnt_id_to_be WHERE coalesce(cast(intrnl_rtng_incptn_as_is as string), '') &lt;&gt; coalesce(cast(intrnl_rtng_incptn_to_be as string), '') ) A </v>
      </c>
      <c r="O203" s="19" t="str">
        <f t="shared" si="23"/>
        <v>SELECT 'Validação de campos' as tipologia_teste, 'lt002_instrument' AS TABELA, 'intrnl_rtng_incptn' AS CAMPO, '2024-09-30' as ref_date, coalesce(NUM_REG_DIF, 0) AS NUM_REG_DIF FROM (SELECT count(*) AS NUM_REG_DIF FROM (SELECT instrmnt_id as instrmnt_id_as_is, intrnl_rtng_incptn as intrnl_rtng_incptn_as_is FROM cd_loan_tapes_bce.lt002_instrument WHERE ref_date='2024-09-30' AND nome_perimetro='Individual Corporativo' AND segmento='ESTR' AND ambito='PM' AND entidade='00100' ) A  Inner join (SELECT instrmnt_id as instrmnt_id_to_be, intrnl_rtng_incptn as intrnl_rtng_incptn_to_be FROM bu_loantape_work.lt002_instrument WHERE ref_date='2024-09-30' AND nome_perimetro='Individual Corporativo' AND segmento='ESTR' AND ambito='PM' AND entidade='00100' ) B ON instrmnt_id_as_is = instrmnt_id_to_be WHERE coalesce(cast(intrnl_rtng_incptn_as_is as string), '') &lt;&gt; coalesce(cast(intrnl_rtng_incptn_to_be as string), '') ) A UNION ALL</v>
      </c>
      <c r="P203" s="17">
        <f t="shared" si="22"/>
        <v>49</v>
      </c>
    </row>
    <row r="204" spans="2:16" s="15" customFormat="1" ht="11.45">
      <c r="B204" s="17" t="s">
        <v>26</v>
      </c>
      <c r="C204" s="17" t="str">
        <f>_xlfn.CONCAT(Instruções!$D$13,".",VLOOKUP(B204,Instruções!$F$12:$H$17,2,0))</f>
        <v>cd_loan_tapes_bce.lt002_instrument</v>
      </c>
      <c r="D204" s="17" t="str">
        <f>_xlfn.CONCAT(Instruções!$D$14,".",VLOOKUP(B204,Instruções!$F$12:$H$17,3,0))</f>
        <v>bu_loantape_work.lt002_instrument</v>
      </c>
      <c r="E204" s="17" t="s">
        <v>123</v>
      </c>
      <c r="F204" s="17" t="str">
        <f t="shared" si="18"/>
        <v>intrnl_sgmnt_as_is</v>
      </c>
      <c r="G204" s="17" t="str">
        <f t="shared" si="19"/>
        <v>intrnl_sgmnt_to_be</v>
      </c>
      <c r="H204" s="17" t="str">
        <f>IF(VLOOKUP(B204,Instruções!$F$13:$J$17,5,0)="",
"(SELECT "&amp;VLOOKUP(B204,Instruções!$F$13:$J$17,4,0)&amp;" as "&amp;VLOOKUP(B204,Instruções!$F$13:$J$17,4,0)&amp;"_"&amp;$F$2&amp;", "&amp;E204&amp;" as "&amp;F204&amp;" FROM "&amp;C204&amp;" WHERE "&amp;Instruções!$D$20&amp;") A ",
"(SELECT "&amp;VLOOKUP(B204,Instruções!$F$13:$J$17,4,0)&amp;" as "&amp;VLOOKUP(B204,Instruções!$F$13:$J$17,4,0)&amp;"_"&amp;$F$2&amp;", "&amp;VLOOKUP(B204,Instruções!$F$13:$J$17,5,0)&amp;" as "&amp;VLOOKUP(B204,Instruções!$F$13:$J$17,5,0)&amp;"_"&amp;$F$2&amp;","&amp;E204&amp;" as "&amp;F204&amp;" FROM "&amp;C204&amp;" WHERE "&amp;Instruções!$D$20&amp;") A ")</f>
        <v xml:space="preserve">(SELECT instrmnt_id as instrmnt_id_as_is, intrnl_sgmnt as intrnl_sgmnt_as_is FROM cd_loan_tapes_bce.lt002_instrument WHERE ref_date='2024-09-30' AND nome_perimetro='Individual Corporativo' AND segmento='ESTR' AND ambito='PM' AND entidade='00100' ) A </v>
      </c>
      <c r="I204" s="17" t="str">
        <f>IF(VLOOKUP(B204,Instruções!$F$13:$J$17,5,0)="",
"(SELECT "&amp;VLOOKUP(B204,Instruções!$F$13:$J$17,4,0)&amp;" as "&amp;VLOOKUP(B204,Instruções!$F$13:$J$17,4,0)&amp;"_"&amp;$G$2&amp;", "&amp;E204&amp;" as "&amp;G204&amp;" FROM "&amp;D204&amp;" WHERE "&amp;Instruções!$D$21&amp;") B ",
"(SELECT "&amp;VLOOKUP(B204,Instruções!$F$13:$J$17,4,0)&amp;" as "&amp;VLOOKUP(B204,Instruções!$F$13:$J$17,4,0)&amp;"_"&amp;$G$2&amp;", "&amp;VLOOKUP(B204,Instruções!$F$13:$J$17,5,0)&amp;" as "&amp;VLOOKUP(B204,Instruções!$F$13:$J$17,5,0)&amp;"_"&amp;$G$2&amp;","&amp;E204&amp;" as "&amp;G204&amp;" FROM "&amp;D204&amp;" WHERE "&amp;Instruções!$D$21&amp;") B ")</f>
        <v xml:space="preserve">(SELECT instrmnt_id as instrmnt_id_to_be, intrnl_sgmnt as intrnl_sgmnt_to_be FROM bu_loantape_work.lt002_instrument WHERE ref_date='2024-09-30' AND nome_perimetro='Individual Corporativo' AND segmento='ESTR' AND ambito='PM' AND entidade='00100' ) B </v>
      </c>
      <c r="J204" s="17" t="str">
        <f>IF(VLOOKUP(B204,Instruções!$F$13:$J$17,5,0)="",
"ON "&amp;VLOOKUP(B204,Instruções!$F$13:$J$17,4,0)&amp;"_"&amp;$F$2&amp;" = "&amp;VLOOKUP(B204,Instruções!$F$13:$J$17,4,0)&amp;"_"&amp;$G$2&amp;" ",
"ON "&amp;VLOOKUP(B204,Instruções!$F$13:$J$17,4,0)&amp;"_"&amp;$F$2&amp;" = "&amp;VLOOKUP(B204,Instruções!$F$13:$J$17,4,0)&amp;"_"&amp;$G$2&amp;" AND "&amp;VLOOKUP(B204,Instruções!$F$13:$J$17,5,0)&amp;"_"&amp;$F$2&amp;" = "&amp;VLOOKUP(B204,Instruções!$F$13:$J$17,5,0)&amp;"_"&amp;$G$2&amp;" ")</f>
        <v xml:space="preserve">ON instrmnt_id_as_is = instrmnt_id_to_be </v>
      </c>
      <c r="K204" s="17" t="str">
        <f t="shared" si="20"/>
        <v xml:space="preserve">WHERE coalesce(cast(intrnl_sgmnt_as_is as string), '') &lt;&gt; coalesce(cast(intrnl_sgmnt_to_be as string), '') </v>
      </c>
      <c r="L204" s="17" t="str">
        <f t="shared" si="21"/>
        <v xml:space="preserve">SELECT count(*) AS NUM_REG_DIF FROM (SELECT instrmnt_id as instrmnt_id_as_is, intrnl_sgmnt as intrnl_sgmnt_as_is FROM cd_loan_tapes_bce.lt002_instrument WHERE ref_date='2024-09-30' AND nome_perimetro='Individual Corporativo' AND segmento='ESTR' AND ambito='PM' AND entidade='00100' ) A  Inner join (SELECT instrmnt_id as instrmnt_id_to_be, intrnl_sgmnt as intrnl_sgmnt_to_be FROM bu_loantape_work.lt002_instrument WHERE ref_date='2024-09-30' AND nome_perimetro='Individual Corporativo' AND segmento='ESTR' AND ambito='PM' AND entidade='00100' ) B ON instrmnt_id_as_is = instrmnt_id_to_be WHERE coalesce(cast(intrnl_sgmnt_as_is as string), '') &lt;&gt; coalesce(cast(intrnl_sgmnt_to_be as string), '') </v>
      </c>
      <c r="M204" s="17" t="s">
        <v>55</v>
      </c>
      <c r="N204" s="17" t="str">
        <f>"SELECT 'Validação de campos' as tipologia_teste, '"&amp;VLOOKUP(B204,Instruções!$F$13:$J$17,3,0)&amp;"' AS TABELA, '"&amp;E204&amp;"' AS CAMPO, '"&amp;Instruções!$D$15&amp;"' as ref_date, coalesce(NUM_REG_DIF, 0) AS NUM_REG_DIF FROM ("&amp;L204&amp;") A "</f>
        <v xml:space="preserve">SELECT 'Validação de campos' as tipologia_teste, 'lt002_instrument' AS TABELA, 'intrnl_sgmnt' AS CAMPO, '2024-09-30' as ref_date, coalesce(NUM_REG_DIF, 0) AS NUM_REG_DIF FROM (SELECT count(*) AS NUM_REG_DIF FROM (SELECT instrmnt_id as instrmnt_id_as_is, intrnl_sgmnt as intrnl_sgmnt_as_is FROM cd_loan_tapes_bce.lt002_instrument WHERE ref_date='2024-09-30' AND nome_perimetro='Individual Corporativo' AND segmento='ESTR' AND ambito='PM' AND entidade='00100' ) A  Inner join (SELECT instrmnt_id as instrmnt_id_to_be, intrnl_sgmnt as intrnl_sgmnt_to_be FROM bu_loantape_work.lt002_instrument WHERE ref_date='2024-09-30' AND nome_perimetro='Individual Corporativo' AND segmento='ESTR' AND ambito='PM' AND entidade='00100' ) B ON instrmnt_id_as_is = instrmnt_id_to_be WHERE coalesce(cast(intrnl_sgmnt_as_is as string), '') &lt;&gt; coalesce(cast(intrnl_sgmnt_to_be as string), '') ) A </v>
      </c>
      <c r="O204" s="19" t="str">
        <f t="shared" si="23"/>
        <v xml:space="preserve">SELECT 'Validação de campos' as tipologia_teste, 'lt002_instrument' AS TABELA, 'intrnl_sgmnt' AS CAMPO, '2024-09-30' as ref_date, coalesce(NUM_REG_DIF, 0) AS NUM_REG_DIF FROM (SELECT count(*) AS NUM_REG_DIF FROM (SELECT instrmnt_id as instrmnt_id_as_is, intrnl_sgmnt as intrnl_sgmnt_as_is FROM cd_loan_tapes_bce.lt002_instrument WHERE ref_date='2024-09-30' AND nome_perimetro='Individual Corporativo' AND segmento='ESTR' AND ambito='PM' AND entidade='00100' ) A  Inner join (SELECT instrmnt_id as instrmnt_id_to_be, intrnl_sgmnt as intrnl_sgmnt_to_be FROM bu_loantape_work.lt002_instrument WHERE ref_date='2024-09-30' AND nome_perimetro='Individual Corporativo' AND segmento='ESTR' AND ambito='PM' AND entidade='00100' ) B ON instrmnt_id_as_is = instrmnt_id_to_be WHERE coalesce(cast(intrnl_sgmnt_as_is as string), '') &lt;&gt; coalesce(cast(intrnl_sgmnt_to_be as string), '') ) A </v>
      </c>
      <c r="P204" s="17">
        <f t="shared" si="22"/>
        <v>50</v>
      </c>
    </row>
    <row r="205" spans="2:16" s="15" customFormat="1" ht="11.4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9"/>
      <c r="P205" s="18"/>
    </row>
    <row r="206" spans="2:16" s="15" customFormat="1" ht="11.45">
      <c r="B206" s="17" t="s">
        <v>26</v>
      </c>
      <c r="C206" s="17" t="str">
        <f>_xlfn.CONCAT(Instruções!$D$13,".",VLOOKUP(B206,Instruções!$F$12:$H$17,2,0))</f>
        <v>cd_loan_tapes_bce.lt002_instrument</v>
      </c>
      <c r="D206" s="17" t="str">
        <f>_xlfn.CONCAT(Instruções!$D$14,".",VLOOKUP(B206,Instruções!$F$12:$H$17,3,0))</f>
        <v>bu_loantape_work.lt002_instrument</v>
      </c>
      <c r="E206" s="17" t="s">
        <v>257</v>
      </c>
      <c r="F206" s="17" t="str">
        <f t="shared" ref="F206:F255" si="24">E206&amp;"_"&amp;$F$2</f>
        <v>intrnl_sgmnt_cat_msta_as_is</v>
      </c>
      <c r="G206" s="17" t="str">
        <f t="shared" ref="G206:G255" si="25">E206&amp;"_"&amp;$G$2</f>
        <v>intrnl_sgmnt_cat_msta_to_be</v>
      </c>
      <c r="H206" s="17" t="str">
        <f>IF(VLOOKUP(B206,Instruções!$F$13:$J$17,5,0)="",
"(SELECT "&amp;VLOOKUP(B206,Instruções!$F$13:$J$17,4,0)&amp;" as "&amp;VLOOKUP(B206,Instruções!$F$13:$J$17,4,0)&amp;"_"&amp;$F$2&amp;", "&amp;E206&amp;" as "&amp;F206&amp;" FROM "&amp;C206&amp;" WHERE "&amp;Instruções!$D$20&amp;") A ",
"(SELECT "&amp;VLOOKUP(B206,Instruções!$F$13:$J$17,4,0)&amp;" as "&amp;VLOOKUP(B206,Instruções!$F$13:$J$17,4,0)&amp;"_"&amp;$F$2&amp;", "&amp;VLOOKUP(B206,Instruções!$F$13:$J$17,5,0)&amp;" as "&amp;VLOOKUP(B206,Instruções!$F$13:$J$17,5,0)&amp;"_"&amp;$F$2&amp;","&amp;E206&amp;" as "&amp;F206&amp;" FROM "&amp;C206&amp;" WHERE "&amp;Instruções!$D$20&amp;") A ")</f>
        <v xml:space="preserve">(SELECT instrmnt_id as instrmnt_id_as_is, intrnl_sgmnt_cat_msta as intrnl_sgmnt_cat_msta_as_is FROM cd_loan_tapes_bce.lt002_instrument WHERE ref_date='2024-09-30' AND nome_perimetro='Individual Corporativo' AND segmento='ESTR' AND ambito='PM' AND entidade='00100' ) A </v>
      </c>
      <c r="I206" s="17" t="str">
        <f>IF(VLOOKUP(B206,Instruções!$F$13:$J$17,5,0)="",
"(SELECT "&amp;VLOOKUP(B206,Instruções!$F$13:$J$17,4,0)&amp;" as "&amp;VLOOKUP(B206,Instruções!$F$13:$J$17,4,0)&amp;"_"&amp;$G$2&amp;", "&amp;E206&amp;" as "&amp;G206&amp;" FROM "&amp;D206&amp;" WHERE "&amp;Instruções!$D$21&amp;") B ",
"(SELECT "&amp;VLOOKUP(B206,Instruções!$F$13:$J$17,4,0)&amp;" as "&amp;VLOOKUP(B206,Instruções!$F$13:$J$17,4,0)&amp;"_"&amp;$G$2&amp;", "&amp;VLOOKUP(B206,Instruções!$F$13:$J$17,5,0)&amp;" as "&amp;VLOOKUP(B206,Instruções!$F$13:$J$17,5,0)&amp;"_"&amp;$G$2&amp;","&amp;E206&amp;" as "&amp;G206&amp;" FROM "&amp;D206&amp;" WHERE "&amp;Instruções!$D$21&amp;") B ")</f>
        <v xml:space="preserve">(SELECT instrmnt_id as instrmnt_id_to_be, intrnl_sgmnt_cat_msta as intrnl_sgmnt_cat_msta_to_be FROM bu_loantape_work.lt002_instrument WHERE ref_date='2024-09-30' AND nome_perimetro='Individual Corporativo' AND segmento='ESTR' AND ambito='PM' AND entidade='00100' ) B </v>
      </c>
      <c r="J206" s="17" t="str">
        <f>IF(VLOOKUP(B206,Instruções!$F$13:$J$17,5,0)="",
"ON "&amp;VLOOKUP(B206,Instruções!$F$13:$J$17,4,0)&amp;"_"&amp;$F$2&amp;" = "&amp;VLOOKUP(B206,Instruções!$F$13:$J$17,4,0)&amp;"_"&amp;$G$2&amp;" ",
"ON "&amp;VLOOKUP(B206,Instruções!$F$13:$J$17,4,0)&amp;"_"&amp;$F$2&amp;" = "&amp;VLOOKUP(B206,Instruções!$F$13:$J$17,4,0)&amp;"_"&amp;$G$2&amp;" AND "&amp;VLOOKUP(B206,Instruções!$F$13:$J$17,5,0)&amp;"_"&amp;$F$2&amp;" = "&amp;VLOOKUP(B206,Instruções!$F$13:$J$17,5,0)&amp;"_"&amp;$G$2&amp;" ")</f>
        <v xml:space="preserve">ON instrmnt_id_as_is = instrmnt_id_to_be </v>
      </c>
      <c r="K206" s="17" t="str">
        <f t="shared" ref="K206:K255" si="26">"WHERE coalesce(cast("&amp;F206&amp;" as string), '') &lt;&gt; coalesce(cast("&amp;G206&amp;" as string), '') "</f>
        <v xml:space="preserve">WHERE coalesce(cast(intrnl_sgmnt_cat_msta_as_is as string), '') &lt;&gt; coalesce(cast(intrnl_sgmnt_cat_msta_to_be as string), '') </v>
      </c>
      <c r="L206" s="17" t="str">
        <f t="shared" ref="L206:L255" si="27">"SELECT count(*) AS NUM_REG_DIF FROM "&amp;H206&amp;" Inner join "&amp;I206&amp;J206&amp;K206</f>
        <v xml:space="preserve">SELECT count(*) AS NUM_REG_DIF FROM (SELECT instrmnt_id as instrmnt_id_as_is, intrnl_sgmnt_cat_msta as intrnl_sgmnt_cat_msta_as_is FROM cd_loan_tapes_bce.lt002_instrument WHERE ref_date='2024-09-30' AND nome_perimetro='Individual Corporativo' AND segmento='ESTR' AND ambito='PM' AND entidade='00100' ) A  Inner join (SELECT instrmnt_id as instrmnt_id_to_be, intrnl_sgmnt_cat_msta as intrnl_sgmnt_cat_msta_to_be FROM bu_loantape_work.lt002_instrument WHERE ref_date='2024-09-30' AND nome_perimetro='Individual Corporativo' AND segmento='ESTR' AND ambito='PM' AND entidade='00100' ) B ON instrmnt_id_as_is = instrmnt_id_to_be WHERE coalesce(cast(intrnl_sgmnt_cat_msta_as_is as string), '') &lt;&gt; coalesce(cast(intrnl_sgmnt_cat_msta_to_be as string), '') </v>
      </c>
      <c r="M206" s="17" t="s">
        <v>55</v>
      </c>
      <c r="N206" s="17" t="str">
        <f>"SELECT 'Validação de campos' as tipologia_teste, '"&amp;VLOOKUP(B206,Instruções!$F$13:$J$17,3,0)&amp;"' AS TABELA, '"&amp;E206&amp;"' AS CAMPO, '"&amp;Instruções!$D$15&amp;"' as ref_date, coalesce(NUM_REG_DIF, 0) AS NUM_REG_DIF FROM ("&amp;L206&amp;") A "</f>
        <v xml:space="preserve">SELECT 'Validação de campos' as tipologia_teste, 'lt002_instrument' AS TABELA, 'intrnl_sgmnt_cat_msta' AS CAMPO, '2024-09-30' as ref_date, coalesce(NUM_REG_DIF, 0) AS NUM_REG_DIF FROM (SELECT count(*) AS NUM_REG_DIF FROM (SELECT instrmnt_id as instrmnt_id_as_is, intrnl_sgmnt_cat_msta as intrnl_sgmnt_cat_msta_as_is FROM cd_loan_tapes_bce.lt002_instrument WHERE ref_date='2024-09-30' AND nome_perimetro='Individual Corporativo' AND segmento='ESTR' AND ambito='PM' AND entidade='00100' ) A  Inner join (SELECT instrmnt_id as instrmnt_id_to_be, intrnl_sgmnt_cat_msta as intrnl_sgmnt_cat_msta_to_be FROM bu_loantape_work.lt002_instrument WHERE ref_date='2024-09-30' AND nome_perimetro='Individual Corporativo' AND segmento='ESTR' AND ambito='PM' AND entidade='00100' ) B ON instrmnt_id_as_is = instrmnt_id_to_be WHERE coalesce(cast(intrnl_sgmnt_cat_msta_as_is as string), '') &lt;&gt; coalesce(cast(intrnl_sgmnt_cat_msta_to_be as string), '') ) A </v>
      </c>
      <c r="O206" s="19" t="str">
        <f>IF(O207="",N206,N206&amp;$O$3)</f>
        <v>SELECT 'Validação de campos' as tipologia_teste, 'lt002_instrument' AS TABELA, 'intrnl_sgmnt_cat_msta' AS CAMPO, '2024-09-30' as ref_date, coalesce(NUM_REG_DIF, 0) AS NUM_REG_DIF FROM (SELECT count(*) AS NUM_REG_DIF FROM (SELECT instrmnt_id as instrmnt_id_as_is, intrnl_sgmnt_cat_msta as intrnl_sgmnt_cat_msta_as_is FROM cd_loan_tapes_bce.lt002_instrument WHERE ref_date='2024-09-30' AND nome_perimetro='Individual Corporativo' AND segmento='ESTR' AND ambito='PM' AND entidade='00100' ) A  Inner join (SELECT instrmnt_id as instrmnt_id_to_be, intrnl_sgmnt_cat_msta as intrnl_sgmnt_cat_msta_to_be FROM bu_loantape_work.lt002_instrument WHERE ref_date='2024-09-30' AND nome_perimetro='Individual Corporativo' AND segmento='ESTR' AND ambito='PM' AND entidade='00100' ) B ON instrmnt_id_as_is = instrmnt_id_to_be WHERE coalesce(cast(intrnl_sgmnt_cat_msta_as_is as string), '') &lt;&gt; coalesce(cast(intrnl_sgmnt_cat_msta_to_be as string), '') ) A UNION ALL</v>
      </c>
      <c r="P206" s="17">
        <f t="shared" ref="P206" si="28">P205+1</f>
        <v>1</v>
      </c>
    </row>
    <row r="207" spans="2:16" s="15" customFormat="1" ht="11.45">
      <c r="B207" s="17" t="s">
        <v>26</v>
      </c>
      <c r="C207" s="17" t="str">
        <f>_xlfn.CONCAT(Instruções!$D$13,".",VLOOKUP(B207,Instruções!$F$12:$H$17,2,0))</f>
        <v>cd_loan_tapes_bce.lt002_instrument</v>
      </c>
      <c r="D207" s="17" t="str">
        <f>_xlfn.CONCAT(Instruções!$D$14,".",VLOOKUP(B207,Instruções!$F$12:$H$17,3,0))</f>
        <v>bu_loantape_work.lt002_instrument</v>
      </c>
      <c r="E207" s="17" t="s">
        <v>258</v>
      </c>
      <c r="F207" s="17" t="str">
        <f t="shared" si="24"/>
        <v>intrnl_sgmnt_catgsub_as_is</v>
      </c>
      <c r="G207" s="17" t="str">
        <f t="shared" si="25"/>
        <v>intrnl_sgmnt_catgsub_to_be</v>
      </c>
      <c r="H207" s="17" t="str">
        <f>IF(VLOOKUP(B207,Instruções!$F$13:$J$17,5,0)="",
"(SELECT "&amp;VLOOKUP(B207,Instruções!$F$13:$J$17,4,0)&amp;" as "&amp;VLOOKUP(B207,Instruções!$F$13:$J$17,4,0)&amp;"_"&amp;$F$2&amp;", "&amp;E207&amp;" as "&amp;F207&amp;" FROM "&amp;C207&amp;" WHERE "&amp;Instruções!$D$20&amp;") A ",
"(SELECT "&amp;VLOOKUP(B207,Instruções!$F$13:$J$17,4,0)&amp;" as "&amp;VLOOKUP(B207,Instruções!$F$13:$J$17,4,0)&amp;"_"&amp;$F$2&amp;", "&amp;VLOOKUP(B207,Instruções!$F$13:$J$17,5,0)&amp;" as "&amp;VLOOKUP(B207,Instruções!$F$13:$J$17,5,0)&amp;"_"&amp;$F$2&amp;","&amp;E207&amp;" as "&amp;F207&amp;" FROM "&amp;C207&amp;" WHERE "&amp;Instruções!$D$20&amp;") A ")</f>
        <v xml:space="preserve">(SELECT instrmnt_id as instrmnt_id_as_is, intrnl_sgmnt_catgsub as intrnl_sgmnt_catgsub_as_is FROM cd_loan_tapes_bce.lt002_instrument WHERE ref_date='2024-09-30' AND nome_perimetro='Individual Corporativo' AND segmento='ESTR' AND ambito='PM' AND entidade='00100' ) A </v>
      </c>
      <c r="I207" s="17" t="str">
        <f>IF(VLOOKUP(B207,Instruções!$F$13:$J$17,5,0)="",
"(SELECT "&amp;VLOOKUP(B207,Instruções!$F$13:$J$17,4,0)&amp;" as "&amp;VLOOKUP(B207,Instruções!$F$13:$J$17,4,0)&amp;"_"&amp;$G$2&amp;", "&amp;E207&amp;" as "&amp;G207&amp;" FROM "&amp;D207&amp;" WHERE "&amp;Instruções!$D$21&amp;") B ",
"(SELECT "&amp;VLOOKUP(B207,Instruções!$F$13:$J$17,4,0)&amp;" as "&amp;VLOOKUP(B207,Instruções!$F$13:$J$17,4,0)&amp;"_"&amp;$G$2&amp;", "&amp;VLOOKUP(B207,Instruções!$F$13:$J$17,5,0)&amp;" as "&amp;VLOOKUP(B207,Instruções!$F$13:$J$17,5,0)&amp;"_"&amp;$G$2&amp;","&amp;E207&amp;" as "&amp;G207&amp;" FROM "&amp;D207&amp;" WHERE "&amp;Instruções!$D$21&amp;") B ")</f>
        <v xml:space="preserve">(SELECT instrmnt_id as instrmnt_id_to_be, intrnl_sgmnt_catgsub as intrnl_sgmnt_catgsub_to_be FROM bu_loantape_work.lt002_instrument WHERE ref_date='2024-09-30' AND nome_perimetro='Individual Corporativo' AND segmento='ESTR' AND ambito='PM' AND entidade='00100' ) B </v>
      </c>
      <c r="J207" s="17" t="str">
        <f>IF(VLOOKUP(B207,Instruções!$F$13:$J$17,5,0)="",
"ON "&amp;VLOOKUP(B207,Instruções!$F$13:$J$17,4,0)&amp;"_"&amp;$F$2&amp;" = "&amp;VLOOKUP(B207,Instruções!$F$13:$J$17,4,0)&amp;"_"&amp;$G$2&amp;" ",
"ON "&amp;VLOOKUP(B207,Instruções!$F$13:$J$17,4,0)&amp;"_"&amp;$F$2&amp;" = "&amp;VLOOKUP(B207,Instruções!$F$13:$J$17,4,0)&amp;"_"&amp;$G$2&amp;" AND "&amp;VLOOKUP(B207,Instruções!$F$13:$J$17,5,0)&amp;"_"&amp;$F$2&amp;" = "&amp;VLOOKUP(B207,Instruções!$F$13:$J$17,5,0)&amp;"_"&amp;$G$2&amp;" ")</f>
        <v xml:space="preserve">ON instrmnt_id_as_is = instrmnt_id_to_be </v>
      </c>
      <c r="K207" s="17" t="str">
        <f t="shared" si="26"/>
        <v xml:space="preserve">WHERE coalesce(cast(intrnl_sgmnt_catgsub_as_is as string), '') &lt;&gt; coalesce(cast(intrnl_sgmnt_catgsub_to_be as string), '') </v>
      </c>
      <c r="L207" s="17" t="str">
        <f t="shared" si="27"/>
        <v xml:space="preserve">SELECT count(*) AS NUM_REG_DIF FROM (SELECT instrmnt_id as instrmnt_id_as_is, intrnl_sgmnt_catgsub as intrnl_sgmnt_catgsub_as_is FROM cd_loan_tapes_bce.lt002_instrument WHERE ref_date='2024-09-30' AND nome_perimetro='Individual Corporativo' AND segmento='ESTR' AND ambito='PM' AND entidade='00100' ) A  Inner join (SELECT instrmnt_id as instrmnt_id_to_be, intrnl_sgmnt_catgsub as intrnl_sgmnt_catgsub_to_be FROM bu_loantape_work.lt002_instrument WHERE ref_date='2024-09-30' AND nome_perimetro='Individual Corporativo' AND segmento='ESTR' AND ambito='PM' AND entidade='00100' ) B ON instrmnt_id_as_is = instrmnt_id_to_be WHERE coalesce(cast(intrnl_sgmnt_catgsub_as_is as string), '') &lt;&gt; coalesce(cast(intrnl_sgmnt_catgsub_to_be as string), '') </v>
      </c>
      <c r="M207" s="17" t="s">
        <v>55</v>
      </c>
      <c r="N207" s="17" t="str">
        <f>"SELECT 'Validação de campos' as tipologia_teste, '"&amp;VLOOKUP(B207,Instruções!$F$13:$J$17,3,0)&amp;"' AS TABELA, '"&amp;E207&amp;"' AS CAMPO, '"&amp;Instruções!$D$15&amp;"' as ref_date, coalesce(NUM_REG_DIF, 0) AS NUM_REG_DIF FROM ("&amp;L207&amp;") A "</f>
        <v xml:space="preserve">SELECT 'Validação de campos' as tipologia_teste, 'lt002_instrument' AS TABELA, 'intrnl_sgmnt_catgsub' AS CAMPO, '2024-09-30' as ref_date, coalesce(NUM_REG_DIF, 0) AS NUM_REG_DIF FROM (SELECT count(*) AS NUM_REG_DIF FROM (SELECT instrmnt_id as instrmnt_id_as_is, intrnl_sgmnt_catgsub as intrnl_sgmnt_catgsub_as_is FROM cd_loan_tapes_bce.lt002_instrument WHERE ref_date='2024-09-30' AND nome_perimetro='Individual Corporativo' AND segmento='ESTR' AND ambito='PM' AND entidade='00100' ) A  Inner join (SELECT instrmnt_id as instrmnt_id_to_be, intrnl_sgmnt_catgsub as intrnl_sgmnt_catgsub_to_be FROM bu_loantape_work.lt002_instrument WHERE ref_date='2024-09-30' AND nome_perimetro='Individual Corporativo' AND segmento='ESTR' AND ambito='PM' AND entidade='00100' ) B ON instrmnt_id_as_is = instrmnt_id_to_be WHERE coalesce(cast(intrnl_sgmnt_catgsub_as_is as string), '') &lt;&gt; coalesce(cast(intrnl_sgmnt_catgsub_to_be as string), '') ) A </v>
      </c>
      <c r="O207" s="19" t="str">
        <f t="shared" ref="O207:O255" si="29">IF(O208="",N207,N207&amp;$O$3)</f>
        <v>SELECT 'Validação de campos' as tipologia_teste, 'lt002_instrument' AS TABELA, 'intrnl_sgmnt_catgsub' AS CAMPO, '2024-09-30' as ref_date, coalesce(NUM_REG_DIF, 0) AS NUM_REG_DIF FROM (SELECT count(*) AS NUM_REG_DIF FROM (SELECT instrmnt_id as instrmnt_id_as_is, intrnl_sgmnt_catgsub as intrnl_sgmnt_catgsub_as_is FROM cd_loan_tapes_bce.lt002_instrument WHERE ref_date='2024-09-30' AND nome_perimetro='Individual Corporativo' AND segmento='ESTR' AND ambito='PM' AND entidade='00100' ) A  Inner join (SELECT instrmnt_id as instrmnt_id_to_be, intrnl_sgmnt_catgsub as intrnl_sgmnt_catgsub_to_be FROM bu_loantape_work.lt002_instrument WHERE ref_date='2024-09-30' AND nome_perimetro='Individual Corporativo' AND segmento='ESTR' AND ambito='PM' AND entidade='00100' ) B ON instrmnt_id_as_is = instrmnt_id_to_be WHERE coalesce(cast(intrnl_sgmnt_catgsub_as_is as string), '') &lt;&gt; coalesce(cast(intrnl_sgmnt_catgsub_to_be as string), '') ) A UNION ALL</v>
      </c>
      <c r="P207" s="17">
        <f t="shared" si="22"/>
        <v>2</v>
      </c>
    </row>
    <row r="208" spans="2:16" s="15" customFormat="1" ht="11.45">
      <c r="B208" s="17" t="s">
        <v>26</v>
      </c>
      <c r="C208" s="17" t="str">
        <f>_xlfn.CONCAT(Instruções!$D$13,".",VLOOKUP(B208,Instruções!$F$12:$H$17,2,0))</f>
        <v>cd_loan_tapes_bce.lt002_instrument</v>
      </c>
      <c r="D208" s="17" t="str">
        <f>_xlfn.CONCAT(Instruções!$D$14,".",VLOOKUP(B208,Instruções!$F$12:$H$17,3,0))</f>
        <v>bu_loantape_work.lt002_instrument</v>
      </c>
      <c r="E208" s="17" t="s">
        <v>259</v>
      </c>
      <c r="F208" s="17" t="str">
        <f t="shared" si="24"/>
        <v>intrnl_sgmnt_ifrs9_as_is</v>
      </c>
      <c r="G208" s="17" t="str">
        <f t="shared" si="25"/>
        <v>intrnl_sgmnt_ifrs9_to_be</v>
      </c>
      <c r="H208" s="17" t="str">
        <f>IF(VLOOKUP(B208,Instruções!$F$13:$J$17,5,0)="",
"(SELECT "&amp;VLOOKUP(B208,Instruções!$F$13:$J$17,4,0)&amp;" as "&amp;VLOOKUP(B208,Instruções!$F$13:$J$17,4,0)&amp;"_"&amp;$F$2&amp;", "&amp;E208&amp;" as "&amp;F208&amp;" FROM "&amp;C208&amp;" WHERE "&amp;Instruções!$D$20&amp;") A ",
"(SELECT "&amp;VLOOKUP(B208,Instruções!$F$13:$J$17,4,0)&amp;" as "&amp;VLOOKUP(B208,Instruções!$F$13:$J$17,4,0)&amp;"_"&amp;$F$2&amp;", "&amp;VLOOKUP(B208,Instruções!$F$13:$J$17,5,0)&amp;" as "&amp;VLOOKUP(B208,Instruções!$F$13:$J$17,5,0)&amp;"_"&amp;$F$2&amp;","&amp;E208&amp;" as "&amp;F208&amp;" FROM "&amp;C208&amp;" WHERE "&amp;Instruções!$D$20&amp;") A ")</f>
        <v xml:space="preserve">(SELECT instrmnt_id as instrmnt_id_as_is, intrnl_sgmnt_ifrs9 as intrnl_sgmnt_ifrs9_as_is FROM cd_loan_tapes_bce.lt002_instrument WHERE ref_date='2024-09-30' AND nome_perimetro='Individual Corporativo' AND segmento='ESTR' AND ambito='PM' AND entidade='00100' ) A </v>
      </c>
      <c r="I208" s="17" t="str">
        <f>IF(VLOOKUP(B208,Instruções!$F$13:$J$17,5,0)="",
"(SELECT "&amp;VLOOKUP(B208,Instruções!$F$13:$J$17,4,0)&amp;" as "&amp;VLOOKUP(B208,Instruções!$F$13:$J$17,4,0)&amp;"_"&amp;$G$2&amp;", "&amp;E208&amp;" as "&amp;G208&amp;" FROM "&amp;D208&amp;" WHERE "&amp;Instruções!$D$21&amp;") B ",
"(SELECT "&amp;VLOOKUP(B208,Instruções!$F$13:$J$17,4,0)&amp;" as "&amp;VLOOKUP(B208,Instruções!$F$13:$J$17,4,0)&amp;"_"&amp;$G$2&amp;", "&amp;VLOOKUP(B208,Instruções!$F$13:$J$17,5,0)&amp;" as "&amp;VLOOKUP(B208,Instruções!$F$13:$J$17,5,0)&amp;"_"&amp;$G$2&amp;","&amp;E208&amp;" as "&amp;G208&amp;" FROM "&amp;D208&amp;" WHERE "&amp;Instruções!$D$21&amp;") B ")</f>
        <v xml:space="preserve">(SELECT instrmnt_id as instrmnt_id_to_be, intrnl_sgmnt_ifrs9 as intrnl_sgmnt_ifrs9_to_be FROM bu_loantape_work.lt002_instrument WHERE ref_date='2024-09-30' AND nome_perimetro='Individual Corporativo' AND segmento='ESTR' AND ambito='PM' AND entidade='00100' ) B </v>
      </c>
      <c r="J208" s="17" t="str">
        <f>IF(VLOOKUP(B208,Instruções!$F$13:$J$17,5,0)="",
"ON "&amp;VLOOKUP(B208,Instruções!$F$13:$J$17,4,0)&amp;"_"&amp;$F$2&amp;" = "&amp;VLOOKUP(B208,Instruções!$F$13:$J$17,4,0)&amp;"_"&amp;$G$2&amp;" ",
"ON "&amp;VLOOKUP(B208,Instruções!$F$13:$J$17,4,0)&amp;"_"&amp;$F$2&amp;" = "&amp;VLOOKUP(B208,Instruções!$F$13:$J$17,4,0)&amp;"_"&amp;$G$2&amp;" AND "&amp;VLOOKUP(B208,Instruções!$F$13:$J$17,5,0)&amp;"_"&amp;$F$2&amp;" = "&amp;VLOOKUP(B208,Instruções!$F$13:$J$17,5,0)&amp;"_"&amp;$G$2&amp;" ")</f>
        <v xml:space="preserve">ON instrmnt_id_as_is = instrmnt_id_to_be </v>
      </c>
      <c r="K208" s="17" t="str">
        <f t="shared" si="26"/>
        <v xml:space="preserve">WHERE coalesce(cast(intrnl_sgmnt_ifrs9_as_is as string), '') &lt;&gt; coalesce(cast(intrnl_sgmnt_ifrs9_to_be as string), '') </v>
      </c>
      <c r="L208" s="17" t="str">
        <f t="shared" si="27"/>
        <v xml:space="preserve">SELECT count(*) AS NUM_REG_DIF FROM (SELECT instrmnt_id as instrmnt_id_as_is, intrnl_sgmnt_ifrs9 as intrnl_sgmnt_ifrs9_as_is FROM cd_loan_tapes_bce.lt002_instrument WHERE ref_date='2024-09-30' AND nome_perimetro='Individual Corporativo' AND segmento='ESTR' AND ambito='PM' AND entidade='00100' ) A  Inner join (SELECT instrmnt_id as instrmnt_id_to_be, intrnl_sgmnt_ifrs9 as intrnl_sgmnt_ifrs9_to_be FROM bu_loantape_work.lt002_instrument WHERE ref_date='2024-09-30' AND nome_perimetro='Individual Corporativo' AND segmento='ESTR' AND ambito='PM' AND entidade='00100' ) B ON instrmnt_id_as_is = instrmnt_id_to_be WHERE coalesce(cast(intrnl_sgmnt_ifrs9_as_is as string), '') &lt;&gt; coalesce(cast(intrnl_sgmnt_ifrs9_to_be as string), '') </v>
      </c>
      <c r="M208" s="17" t="s">
        <v>55</v>
      </c>
      <c r="N208" s="17" t="str">
        <f>"SELECT 'Validação de campos' as tipologia_teste, '"&amp;VLOOKUP(B208,Instruções!$F$13:$J$17,3,0)&amp;"' AS TABELA, '"&amp;E208&amp;"' AS CAMPO, '"&amp;Instruções!$D$15&amp;"' as ref_date, coalesce(NUM_REG_DIF, 0) AS NUM_REG_DIF FROM ("&amp;L208&amp;") A "</f>
        <v xml:space="preserve">SELECT 'Validação de campos' as tipologia_teste, 'lt002_instrument' AS TABELA, 'intrnl_sgmnt_ifrs9' AS CAMPO, '2024-09-30' as ref_date, coalesce(NUM_REG_DIF, 0) AS NUM_REG_DIF FROM (SELECT count(*) AS NUM_REG_DIF FROM (SELECT instrmnt_id as instrmnt_id_as_is, intrnl_sgmnt_ifrs9 as intrnl_sgmnt_ifrs9_as_is FROM cd_loan_tapes_bce.lt002_instrument WHERE ref_date='2024-09-30' AND nome_perimetro='Individual Corporativo' AND segmento='ESTR' AND ambito='PM' AND entidade='00100' ) A  Inner join (SELECT instrmnt_id as instrmnt_id_to_be, intrnl_sgmnt_ifrs9 as intrnl_sgmnt_ifrs9_to_be FROM bu_loantape_work.lt002_instrument WHERE ref_date='2024-09-30' AND nome_perimetro='Individual Corporativo' AND segmento='ESTR' AND ambito='PM' AND entidade='00100' ) B ON instrmnt_id_as_is = instrmnt_id_to_be WHERE coalesce(cast(intrnl_sgmnt_ifrs9_as_is as string), '') &lt;&gt; coalesce(cast(intrnl_sgmnt_ifrs9_to_be as string), '') ) A </v>
      </c>
      <c r="O208" s="19" t="str">
        <f t="shared" si="29"/>
        <v>SELECT 'Validação de campos' as tipologia_teste, 'lt002_instrument' AS TABELA, 'intrnl_sgmnt_ifrs9' AS CAMPO, '2024-09-30' as ref_date, coalesce(NUM_REG_DIF, 0) AS NUM_REG_DIF FROM (SELECT count(*) AS NUM_REG_DIF FROM (SELECT instrmnt_id as instrmnt_id_as_is, intrnl_sgmnt_ifrs9 as intrnl_sgmnt_ifrs9_as_is FROM cd_loan_tapes_bce.lt002_instrument WHERE ref_date='2024-09-30' AND nome_perimetro='Individual Corporativo' AND segmento='ESTR' AND ambito='PM' AND entidade='00100' ) A  Inner join (SELECT instrmnt_id as instrmnt_id_to_be, intrnl_sgmnt_ifrs9 as intrnl_sgmnt_ifrs9_to_be FROM bu_loantape_work.lt002_instrument WHERE ref_date='2024-09-30' AND nome_perimetro='Individual Corporativo' AND segmento='ESTR' AND ambito='PM' AND entidade='00100' ) B ON instrmnt_id_as_is = instrmnt_id_to_be WHERE coalesce(cast(intrnl_sgmnt_ifrs9_as_is as string), '') &lt;&gt; coalesce(cast(intrnl_sgmnt_ifrs9_to_be as string), '') ) A UNION ALL</v>
      </c>
      <c r="P208" s="17">
        <f t="shared" si="22"/>
        <v>3</v>
      </c>
    </row>
    <row r="209" spans="2:16" s="15" customFormat="1" ht="11.45">
      <c r="B209" s="17" t="s">
        <v>26</v>
      </c>
      <c r="C209" s="17" t="str">
        <f>_xlfn.CONCAT(Instruções!$D$13,".",VLOOKUP(B209,Instruções!$F$12:$H$17,2,0))</f>
        <v>cd_loan_tapes_bce.lt002_instrument</v>
      </c>
      <c r="D209" s="17" t="str">
        <f>_xlfn.CONCAT(Instruções!$D$14,".",VLOOKUP(B209,Instruções!$F$12:$H$17,3,0))</f>
        <v>bu_loantape_work.lt002_instrument</v>
      </c>
      <c r="E209" s="17" t="s">
        <v>124</v>
      </c>
      <c r="F209" s="17" t="str">
        <f t="shared" si="24"/>
        <v>intrnl_unt_as_is</v>
      </c>
      <c r="G209" s="17" t="str">
        <f t="shared" si="25"/>
        <v>intrnl_unt_to_be</v>
      </c>
      <c r="H209" s="17" t="str">
        <f>IF(VLOOKUP(B209,Instruções!$F$13:$J$17,5,0)="",
"(SELECT "&amp;VLOOKUP(B209,Instruções!$F$13:$J$17,4,0)&amp;" as "&amp;VLOOKUP(B209,Instruções!$F$13:$J$17,4,0)&amp;"_"&amp;$F$2&amp;", "&amp;E209&amp;" as "&amp;F209&amp;" FROM "&amp;C209&amp;" WHERE "&amp;Instruções!$D$20&amp;") A ",
"(SELECT "&amp;VLOOKUP(B209,Instruções!$F$13:$J$17,4,0)&amp;" as "&amp;VLOOKUP(B209,Instruções!$F$13:$J$17,4,0)&amp;"_"&amp;$F$2&amp;", "&amp;VLOOKUP(B209,Instruções!$F$13:$J$17,5,0)&amp;" as "&amp;VLOOKUP(B209,Instruções!$F$13:$J$17,5,0)&amp;"_"&amp;$F$2&amp;","&amp;E209&amp;" as "&amp;F209&amp;" FROM "&amp;C209&amp;" WHERE "&amp;Instruções!$D$20&amp;") A ")</f>
        <v xml:space="preserve">(SELECT instrmnt_id as instrmnt_id_as_is, intrnl_unt as intrnl_unt_as_is FROM cd_loan_tapes_bce.lt002_instrument WHERE ref_date='2024-09-30' AND nome_perimetro='Individual Corporativo' AND segmento='ESTR' AND ambito='PM' AND entidade='00100' ) A </v>
      </c>
      <c r="I209" s="17" t="str">
        <f>IF(VLOOKUP(B209,Instruções!$F$13:$J$17,5,0)="",
"(SELECT "&amp;VLOOKUP(B209,Instruções!$F$13:$J$17,4,0)&amp;" as "&amp;VLOOKUP(B209,Instruções!$F$13:$J$17,4,0)&amp;"_"&amp;$G$2&amp;", "&amp;E209&amp;" as "&amp;G209&amp;" FROM "&amp;D209&amp;" WHERE "&amp;Instruções!$D$21&amp;") B ",
"(SELECT "&amp;VLOOKUP(B209,Instruções!$F$13:$J$17,4,0)&amp;" as "&amp;VLOOKUP(B209,Instruções!$F$13:$J$17,4,0)&amp;"_"&amp;$G$2&amp;", "&amp;VLOOKUP(B209,Instruções!$F$13:$J$17,5,0)&amp;" as "&amp;VLOOKUP(B209,Instruções!$F$13:$J$17,5,0)&amp;"_"&amp;$G$2&amp;","&amp;E209&amp;" as "&amp;G209&amp;" FROM "&amp;D209&amp;" WHERE "&amp;Instruções!$D$21&amp;") B ")</f>
        <v xml:space="preserve">(SELECT instrmnt_id as instrmnt_id_to_be, intrnl_unt as intrnl_unt_to_be FROM bu_loantape_work.lt002_instrument WHERE ref_date='2024-09-30' AND nome_perimetro='Individual Corporativo' AND segmento='ESTR' AND ambito='PM' AND entidade='00100' ) B </v>
      </c>
      <c r="J209" s="17" t="str">
        <f>IF(VLOOKUP(B209,Instruções!$F$13:$J$17,5,0)="",
"ON "&amp;VLOOKUP(B209,Instruções!$F$13:$J$17,4,0)&amp;"_"&amp;$F$2&amp;" = "&amp;VLOOKUP(B209,Instruções!$F$13:$J$17,4,0)&amp;"_"&amp;$G$2&amp;" ",
"ON "&amp;VLOOKUP(B209,Instruções!$F$13:$J$17,4,0)&amp;"_"&amp;$F$2&amp;" = "&amp;VLOOKUP(B209,Instruções!$F$13:$J$17,4,0)&amp;"_"&amp;$G$2&amp;" AND "&amp;VLOOKUP(B209,Instruções!$F$13:$J$17,5,0)&amp;"_"&amp;$F$2&amp;" = "&amp;VLOOKUP(B209,Instruções!$F$13:$J$17,5,0)&amp;"_"&amp;$G$2&amp;" ")</f>
        <v xml:space="preserve">ON instrmnt_id_as_is = instrmnt_id_to_be </v>
      </c>
      <c r="K209" s="17" t="str">
        <f t="shared" si="26"/>
        <v xml:space="preserve">WHERE coalesce(cast(intrnl_unt_as_is as string), '') &lt;&gt; coalesce(cast(intrnl_unt_to_be as string), '') </v>
      </c>
      <c r="L209" s="17" t="str">
        <f t="shared" si="27"/>
        <v xml:space="preserve">SELECT count(*) AS NUM_REG_DIF FROM (SELECT instrmnt_id as instrmnt_id_as_is, intrnl_unt as intrnl_unt_as_is FROM cd_loan_tapes_bce.lt002_instrument WHERE ref_date='2024-09-30' AND nome_perimetro='Individual Corporativo' AND segmento='ESTR' AND ambito='PM' AND entidade='00100' ) A  Inner join (SELECT instrmnt_id as instrmnt_id_to_be, intrnl_unt as intrnl_unt_to_be FROM bu_loantape_work.lt002_instrument WHERE ref_date='2024-09-30' AND nome_perimetro='Individual Corporativo' AND segmento='ESTR' AND ambito='PM' AND entidade='00100' ) B ON instrmnt_id_as_is = instrmnt_id_to_be WHERE coalesce(cast(intrnl_unt_as_is as string), '') &lt;&gt; coalesce(cast(intrnl_unt_to_be as string), '') </v>
      </c>
      <c r="M209" s="17" t="s">
        <v>55</v>
      </c>
      <c r="N209" s="17" t="str">
        <f>"SELECT 'Validação de campos' as tipologia_teste, '"&amp;VLOOKUP(B209,Instruções!$F$13:$J$17,3,0)&amp;"' AS TABELA, '"&amp;E209&amp;"' AS CAMPO, '"&amp;Instruções!$D$15&amp;"' as ref_date, coalesce(NUM_REG_DIF, 0) AS NUM_REG_DIF FROM ("&amp;L209&amp;") A "</f>
        <v xml:space="preserve">SELECT 'Validação de campos' as tipologia_teste, 'lt002_instrument' AS TABELA, 'intrnl_unt' AS CAMPO, '2024-09-30' as ref_date, coalesce(NUM_REG_DIF, 0) AS NUM_REG_DIF FROM (SELECT count(*) AS NUM_REG_DIF FROM (SELECT instrmnt_id as instrmnt_id_as_is, intrnl_unt as intrnl_unt_as_is FROM cd_loan_tapes_bce.lt002_instrument WHERE ref_date='2024-09-30' AND nome_perimetro='Individual Corporativo' AND segmento='ESTR' AND ambito='PM' AND entidade='00100' ) A  Inner join (SELECT instrmnt_id as instrmnt_id_to_be, intrnl_unt as intrnl_unt_to_be FROM bu_loantape_work.lt002_instrument WHERE ref_date='2024-09-30' AND nome_perimetro='Individual Corporativo' AND segmento='ESTR' AND ambito='PM' AND entidade='00100' ) B ON instrmnt_id_as_is = instrmnt_id_to_be WHERE coalesce(cast(intrnl_unt_as_is as string), '') &lt;&gt; coalesce(cast(intrnl_unt_to_be as string), '') ) A </v>
      </c>
      <c r="O209" s="19" t="str">
        <f t="shared" si="29"/>
        <v>SELECT 'Validação de campos' as tipologia_teste, 'lt002_instrument' AS TABELA, 'intrnl_unt' AS CAMPO, '2024-09-30' as ref_date, coalesce(NUM_REG_DIF, 0) AS NUM_REG_DIF FROM (SELECT count(*) AS NUM_REG_DIF FROM (SELECT instrmnt_id as instrmnt_id_as_is, intrnl_unt as intrnl_unt_as_is FROM cd_loan_tapes_bce.lt002_instrument WHERE ref_date='2024-09-30' AND nome_perimetro='Individual Corporativo' AND segmento='ESTR' AND ambito='PM' AND entidade='00100' ) A  Inner join (SELECT instrmnt_id as instrmnt_id_to_be, intrnl_unt as intrnl_unt_to_be FROM bu_loantape_work.lt002_instrument WHERE ref_date='2024-09-30' AND nome_perimetro='Individual Corporativo' AND segmento='ESTR' AND ambito='PM' AND entidade='00100' ) B ON instrmnt_id_as_is = instrmnt_id_to_be WHERE coalesce(cast(intrnl_unt_as_is as string), '') &lt;&gt; coalesce(cast(intrnl_unt_to_be as string), '') ) A UNION ALL</v>
      </c>
      <c r="P209" s="17">
        <f t="shared" si="22"/>
        <v>4</v>
      </c>
    </row>
    <row r="210" spans="2:16" s="15" customFormat="1" ht="11.45">
      <c r="B210" s="17" t="s">
        <v>26</v>
      </c>
      <c r="C210" s="17" t="str">
        <f>_xlfn.CONCAT(Instruções!$D$13,".",VLOOKUP(B210,Instruções!$F$12:$H$17,2,0))</f>
        <v>cd_loan_tapes_bce.lt002_instrument</v>
      </c>
      <c r="D210" s="17" t="str">
        <f>_xlfn.CONCAT(Instruções!$D$14,".",VLOOKUP(B210,Instruções!$F$12:$H$17,3,0))</f>
        <v>bu_loantape_work.lt002_instrument</v>
      </c>
      <c r="E210" s="17" t="s">
        <v>260</v>
      </c>
      <c r="F210" s="17" t="str">
        <f t="shared" si="24"/>
        <v>intrst_rt_rst_frqncy_as_is</v>
      </c>
      <c r="G210" s="17" t="str">
        <f t="shared" si="25"/>
        <v>intrst_rt_rst_frqncy_to_be</v>
      </c>
      <c r="H210" s="17" t="str">
        <f>IF(VLOOKUP(B210,Instruções!$F$13:$J$17,5,0)="",
"(SELECT "&amp;VLOOKUP(B210,Instruções!$F$13:$J$17,4,0)&amp;" as "&amp;VLOOKUP(B210,Instruções!$F$13:$J$17,4,0)&amp;"_"&amp;$F$2&amp;", "&amp;E210&amp;" as "&amp;F210&amp;" FROM "&amp;C210&amp;" WHERE "&amp;Instruções!$D$20&amp;") A ",
"(SELECT "&amp;VLOOKUP(B210,Instruções!$F$13:$J$17,4,0)&amp;" as "&amp;VLOOKUP(B210,Instruções!$F$13:$J$17,4,0)&amp;"_"&amp;$F$2&amp;", "&amp;VLOOKUP(B210,Instruções!$F$13:$J$17,5,0)&amp;" as "&amp;VLOOKUP(B210,Instruções!$F$13:$J$17,5,0)&amp;"_"&amp;$F$2&amp;","&amp;E210&amp;" as "&amp;F210&amp;" FROM "&amp;C210&amp;" WHERE "&amp;Instruções!$D$20&amp;") A ")</f>
        <v xml:space="preserve">(SELECT instrmnt_id as instrmnt_id_as_is, intrst_rt_rst_frqncy as intrst_rt_rst_frqncy_as_is FROM cd_loan_tapes_bce.lt002_instrument WHERE ref_date='2024-09-30' AND nome_perimetro='Individual Corporativo' AND segmento='ESTR' AND ambito='PM' AND entidade='00100' ) A </v>
      </c>
      <c r="I210" s="17" t="str">
        <f>IF(VLOOKUP(B210,Instruções!$F$13:$J$17,5,0)="",
"(SELECT "&amp;VLOOKUP(B210,Instruções!$F$13:$J$17,4,0)&amp;" as "&amp;VLOOKUP(B210,Instruções!$F$13:$J$17,4,0)&amp;"_"&amp;$G$2&amp;", "&amp;E210&amp;" as "&amp;G210&amp;" FROM "&amp;D210&amp;" WHERE "&amp;Instruções!$D$21&amp;") B ",
"(SELECT "&amp;VLOOKUP(B210,Instruções!$F$13:$J$17,4,0)&amp;" as "&amp;VLOOKUP(B210,Instruções!$F$13:$J$17,4,0)&amp;"_"&amp;$G$2&amp;", "&amp;VLOOKUP(B210,Instruções!$F$13:$J$17,5,0)&amp;" as "&amp;VLOOKUP(B210,Instruções!$F$13:$J$17,5,0)&amp;"_"&amp;$G$2&amp;","&amp;E210&amp;" as "&amp;G210&amp;" FROM "&amp;D210&amp;" WHERE "&amp;Instruções!$D$21&amp;") B ")</f>
        <v xml:space="preserve">(SELECT instrmnt_id as instrmnt_id_to_be, intrst_rt_rst_frqncy as intrst_rt_rst_frqncy_to_be FROM bu_loantape_work.lt002_instrument WHERE ref_date='2024-09-30' AND nome_perimetro='Individual Corporativo' AND segmento='ESTR' AND ambito='PM' AND entidade='00100' ) B </v>
      </c>
      <c r="J210" s="17" t="str">
        <f>IF(VLOOKUP(B210,Instruções!$F$13:$J$17,5,0)="",
"ON "&amp;VLOOKUP(B210,Instruções!$F$13:$J$17,4,0)&amp;"_"&amp;$F$2&amp;" = "&amp;VLOOKUP(B210,Instruções!$F$13:$J$17,4,0)&amp;"_"&amp;$G$2&amp;" ",
"ON "&amp;VLOOKUP(B210,Instruções!$F$13:$J$17,4,0)&amp;"_"&amp;$F$2&amp;" = "&amp;VLOOKUP(B210,Instruções!$F$13:$J$17,4,0)&amp;"_"&amp;$G$2&amp;" AND "&amp;VLOOKUP(B210,Instruções!$F$13:$J$17,5,0)&amp;"_"&amp;$F$2&amp;" = "&amp;VLOOKUP(B210,Instruções!$F$13:$J$17,5,0)&amp;"_"&amp;$G$2&amp;" ")</f>
        <v xml:space="preserve">ON instrmnt_id_as_is = instrmnt_id_to_be </v>
      </c>
      <c r="K210" s="17" t="str">
        <f t="shared" si="26"/>
        <v xml:space="preserve">WHERE coalesce(cast(intrst_rt_rst_frqncy_as_is as string), '') &lt;&gt; coalesce(cast(intrst_rt_rst_frqncy_to_be as string), '') </v>
      </c>
      <c r="L210" s="17" t="str">
        <f t="shared" si="27"/>
        <v xml:space="preserve">SELECT count(*) AS NUM_REG_DIF FROM (SELECT instrmnt_id as instrmnt_id_as_is, intrst_rt_rst_frqncy as intrst_rt_rst_frqncy_as_is FROM cd_loan_tapes_bce.lt002_instrument WHERE ref_date='2024-09-30' AND nome_perimetro='Individual Corporativo' AND segmento='ESTR' AND ambito='PM' AND entidade='00100' ) A  Inner join (SELECT instrmnt_id as instrmnt_id_to_be, intrst_rt_rst_frqncy as intrst_rt_rst_frqncy_to_be FROM bu_loantape_work.lt002_instrument WHERE ref_date='2024-09-30' AND nome_perimetro='Individual Corporativo' AND segmento='ESTR' AND ambito='PM' AND entidade='00100' ) B ON instrmnt_id_as_is = instrmnt_id_to_be WHERE coalesce(cast(intrst_rt_rst_frqncy_as_is as string), '') &lt;&gt; coalesce(cast(intrst_rt_rst_frqncy_to_be as string), '') </v>
      </c>
      <c r="M210" s="17" t="s">
        <v>55</v>
      </c>
      <c r="N210" s="17" t="str">
        <f>"SELECT 'Validação de campos' as tipologia_teste, '"&amp;VLOOKUP(B210,Instruções!$F$13:$J$17,3,0)&amp;"' AS TABELA, '"&amp;E210&amp;"' AS CAMPO, '"&amp;Instruções!$D$15&amp;"' as ref_date, coalesce(NUM_REG_DIF, 0) AS NUM_REG_DIF FROM ("&amp;L210&amp;") A "</f>
        <v xml:space="preserve">SELECT 'Validação de campos' as tipologia_teste, 'lt002_instrument' AS TABELA, 'intrst_rt_rst_frqncy' AS CAMPO, '2024-09-30' as ref_date, coalesce(NUM_REG_DIF, 0) AS NUM_REG_DIF FROM (SELECT count(*) AS NUM_REG_DIF FROM (SELECT instrmnt_id as instrmnt_id_as_is, intrst_rt_rst_frqncy as intrst_rt_rst_frqncy_as_is FROM cd_loan_tapes_bce.lt002_instrument WHERE ref_date='2024-09-30' AND nome_perimetro='Individual Corporativo' AND segmento='ESTR' AND ambito='PM' AND entidade='00100' ) A  Inner join (SELECT instrmnt_id as instrmnt_id_to_be, intrst_rt_rst_frqncy as intrst_rt_rst_frqncy_to_be FROM bu_loantape_work.lt002_instrument WHERE ref_date='2024-09-30' AND nome_perimetro='Individual Corporativo' AND segmento='ESTR' AND ambito='PM' AND entidade='00100' ) B ON instrmnt_id_as_is = instrmnt_id_to_be WHERE coalesce(cast(intrst_rt_rst_frqncy_as_is as string), '') &lt;&gt; coalesce(cast(intrst_rt_rst_frqncy_to_be as string), '') ) A </v>
      </c>
      <c r="O210" s="19" t="str">
        <f t="shared" si="29"/>
        <v>SELECT 'Validação de campos' as tipologia_teste, 'lt002_instrument' AS TABELA, 'intrst_rt_rst_frqncy' AS CAMPO, '2024-09-30' as ref_date, coalesce(NUM_REG_DIF, 0) AS NUM_REG_DIF FROM (SELECT count(*) AS NUM_REG_DIF FROM (SELECT instrmnt_id as instrmnt_id_as_is, intrst_rt_rst_frqncy as intrst_rt_rst_frqncy_as_is FROM cd_loan_tapes_bce.lt002_instrument WHERE ref_date='2024-09-30' AND nome_perimetro='Individual Corporativo' AND segmento='ESTR' AND ambito='PM' AND entidade='00100' ) A  Inner join (SELECT instrmnt_id as instrmnt_id_to_be, intrst_rt_rst_frqncy as intrst_rt_rst_frqncy_to_be FROM bu_loantape_work.lt002_instrument WHERE ref_date='2024-09-30' AND nome_perimetro='Individual Corporativo' AND segmento='ESTR' AND ambito='PM' AND entidade='00100' ) B ON instrmnt_id_as_is = instrmnt_id_to_be WHERE coalesce(cast(intrst_rt_rst_frqncy_as_is as string), '') &lt;&gt; coalesce(cast(intrst_rt_rst_frqncy_to_be as string), '') ) A UNION ALL</v>
      </c>
      <c r="P210" s="17">
        <f t="shared" si="22"/>
        <v>5</v>
      </c>
    </row>
    <row r="211" spans="2:16" s="15" customFormat="1" ht="11.45">
      <c r="B211" s="17" t="s">
        <v>26</v>
      </c>
      <c r="C211" s="17" t="str">
        <f>_xlfn.CONCAT(Instruções!$D$13,".",VLOOKUP(B211,Instruções!$F$12:$H$17,2,0))</f>
        <v>cd_loan_tapes_bce.lt002_instrument</v>
      </c>
      <c r="D211" s="17" t="str">
        <f>_xlfn.CONCAT(Instruções!$D$14,".",VLOOKUP(B211,Instruções!$F$12:$H$17,3,0))</f>
        <v>bu_loantape_work.lt002_instrument</v>
      </c>
      <c r="E211" s="17" t="s">
        <v>261</v>
      </c>
      <c r="F211" s="17" t="str">
        <f t="shared" si="24"/>
        <v>isin_as_is</v>
      </c>
      <c r="G211" s="17" t="str">
        <f t="shared" si="25"/>
        <v>isin_to_be</v>
      </c>
      <c r="H211" s="17" t="str">
        <f>IF(VLOOKUP(B211,Instruções!$F$13:$J$17,5,0)="",
"(SELECT "&amp;VLOOKUP(B211,Instruções!$F$13:$J$17,4,0)&amp;" as "&amp;VLOOKUP(B211,Instruções!$F$13:$J$17,4,0)&amp;"_"&amp;$F$2&amp;", "&amp;E211&amp;" as "&amp;F211&amp;" FROM "&amp;C211&amp;" WHERE "&amp;Instruções!$D$20&amp;") A ",
"(SELECT "&amp;VLOOKUP(B211,Instruções!$F$13:$J$17,4,0)&amp;" as "&amp;VLOOKUP(B211,Instruções!$F$13:$J$17,4,0)&amp;"_"&amp;$F$2&amp;", "&amp;VLOOKUP(B211,Instruções!$F$13:$J$17,5,0)&amp;" as "&amp;VLOOKUP(B211,Instruções!$F$13:$J$17,5,0)&amp;"_"&amp;$F$2&amp;","&amp;E211&amp;" as "&amp;F211&amp;" FROM "&amp;C211&amp;" WHERE "&amp;Instruções!$D$20&amp;") A ")</f>
        <v xml:space="preserve">(SELECT instrmnt_id as instrmnt_id_as_is, isin as isin_as_is FROM cd_loan_tapes_bce.lt002_instrument WHERE ref_date='2024-09-30' AND nome_perimetro='Individual Corporativo' AND segmento='ESTR' AND ambito='PM' AND entidade='00100' ) A </v>
      </c>
      <c r="I211" s="17" t="str">
        <f>IF(VLOOKUP(B211,Instruções!$F$13:$J$17,5,0)="",
"(SELECT "&amp;VLOOKUP(B211,Instruções!$F$13:$J$17,4,0)&amp;" as "&amp;VLOOKUP(B211,Instruções!$F$13:$J$17,4,0)&amp;"_"&amp;$G$2&amp;", "&amp;E211&amp;" as "&amp;G211&amp;" FROM "&amp;D211&amp;" WHERE "&amp;Instruções!$D$21&amp;") B ",
"(SELECT "&amp;VLOOKUP(B211,Instruções!$F$13:$J$17,4,0)&amp;" as "&amp;VLOOKUP(B211,Instruções!$F$13:$J$17,4,0)&amp;"_"&amp;$G$2&amp;", "&amp;VLOOKUP(B211,Instruções!$F$13:$J$17,5,0)&amp;" as "&amp;VLOOKUP(B211,Instruções!$F$13:$J$17,5,0)&amp;"_"&amp;$G$2&amp;","&amp;E211&amp;" as "&amp;G211&amp;" FROM "&amp;D211&amp;" WHERE "&amp;Instruções!$D$21&amp;") B ")</f>
        <v xml:space="preserve">(SELECT instrmnt_id as instrmnt_id_to_be, isin as isin_to_be FROM bu_loantape_work.lt002_instrument WHERE ref_date='2024-09-30' AND nome_perimetro='Individual Corporativo' AND segmento='ESTR' AND ambito='PM' AND entidade='00100' ) B </v>
      </c>
      <c r="J211" s="17" t="str">
        <f>IF(VLOOKUP(B211,Instruções!$F$13:$J$17,5,0)="",
"ON "&amp;VLOOKUP(B211,Instruções!$F$13:$J$17,4,0)&amp;"_"&amp;$F$2&amp;" = "&amp;VLOOKUP(B211,Instruções!$F$13:$J$17,4,0)&amp;"_"&amp;$G$2&amp;" ",
"ON "&amp;VLOOKUP(B211,Instruções!$F$13:$J$17,4,0)&amp;"_"&amp;$F$2&amp;" = "&amp;VLOOKUP(B211,Instruções!$F$13:$J$17,4,0)&amp;"_"&amp;$G$2&amp;" AND "&amp;VLOOKUP(B211,Instruções!$F$13:$J$17,5,0)&amp;"_"&amp;$F$2&amp;" = "&amp;VLOOKUP(B211,Instruções!$F$13:$J$17,5,0)&amp;"_"&amp;$G$2&amp;" ")</f>
        <v xml:space="preserve">ON instrmnt_id_as_is = instrmnt_id_to_be </v>
      </c>
      <c r="K211" s="17" t="str">
        <f t="shared" si="26"/>
        <v xml:space="preserve">WHERE coalesce(cast(isin_as_is as string), '') &lt;&gt; coalesce(cast(isin_to_be as string), '') </v>
      </c>
      <c r="L211" s="17" t="str">
        <f t="shared" si="27"/>
        <v xml:space="preserve">SELECT count(*) AS NUM_REG_DIF FROM (SELECT instrmnt_id as instrmnt_id_as_is, isin as isin_as_is FROM cd_loan_tapes_bce.lt002_instrument WHERE ref_date='2024-09-30' AND nome_perimetro='Individual Corporativo' AND segmento='ESTR' AND ambito='PM' AND entidade='00100' ) A  Inner join (SELECT instrmnt_id as instrmnt_id_to_be, isin as isin_to_be FROM bu_loantape_work.lt002_instrument WHERE ref_date='2024-09-30' AND nome_perimetro='Individual Corporativo' AND segmento='ESTR' AND ambito='PM' AND entidade='00100' ) B ON instrmnt_id_as_is = instrmnt_id_to_be WHERE coalesce(cast(isin_as_is as string), '') &lt;&gt; coalesce(cast(isin_to_be as string), '') </v>
      </c>
      <c r="M211" s="17" t="s">
        <v>55</v>
      </c>
      <c r="N211" s="17" t="str">
        <f>"SELECT 'Validação de campos' as tipologia_teste, '"&amp;VLOOKUP(B211,Instruções!$F$13:$J$17,3,0)&amp;"' AS TABELA, '"&amp;E211&amp;"' AS CAMPO, '"&amp;Instruções!$D$15&amp;"' as ref_date, coalesce(NUM_REG_DIF, 0) AS NUM_REG_DIF FROM ("&amp;L211&amp;") A "</f>
        <v xml:space="preserve">SELECT 'Validação de campos' as tipologia_teste, 'lt002_instrument' AS TABELA, 'isin' AS CAMPO, '2024-09-30' as ref_date, coalesce(NUM_REG_DIF, 0) AS NUM_REG_DIF FROM (SELECT count(*) AS NUM_REG_DIF FROM (SELECT instrmnt_id as instrmnt_id_as_is, isin as isin_as_is FROM cd_loan_tapes_bce.lt002_instrument WHERE ref_date='2024-09-30' AND nome_perimetro='Individual Corporativo' AND segmento='ESTR' AND ambito='PM' AND entidade='00100' ) A  Inner join (SELECT instrmnt_id as instrmnt_id_to_be, isin as isin_to_be FROM bu_loantape_work.lt002_instrument WHERE ref_date='2024-09-30' AND nome_perimetro='Individual Corporativo' AND segmento='ESTR' AND ambito='PM' AND entidade='00100' ) B ON instrmnt_id_as_is = instrmnt_id_to_be WHERE coalesce(cast(isin_as_is as string), '') &lt;&gt; coalesce(cast(isin_to_be as string), '') ) A </v>
      </c>
      <c r="O211" s="19" t="str">
        <f t="shared" si="29"/>
        <v>SELECT 'Validação de campos' as tipologia_teste, 'lt002_instrument' AS TABELA, 'isin' AS CAMPO, '2024-09-30' as ref_date, coalesce(NUM_REG_DIF, 0) AS NUM_REG_DIF FROM (SELECT count(*) AS NUM_REG_DIF FROM (SELECT instrmnt_id as instrmnt_id_as_is, isin as isin_as_is FROM cd_loan_tapes_bce.lt002_instrument WHERE ref_date='2024-09-30' AND nome_perimetro='Individual Corporativo' AND segmento='ESTR' AND ambito='PM' AND entidade='00100' ) A  Inner join (SELECT instrmnt_id as instrmnt_id_to_be, isin as isin_to_be FROM bu_loantape_work.lt002_instrument WHERE ref_date='2024-09-30' AND nome_perimetro='Individual Corporativo' AND segmento='ESTR' AND ambito='PM' AND entidade='00100' ) B ON instrmnt_id_as_is = instrmnt_id_to_be WHERE coalesce(cast(isin_as_is as string), '') &lt;&gt; coalesce(cast(isin_to_be as string), '') ) A UNION ALL</v>
      </c>
      <c r="P211" s="17">
        <f t="shared" si="22"/>
        <v>6</v>
      </c>
    </row>
    <row r="212" spans="2:16" s="15" customFormat="1" ht="11.45">
      <c r="B212" s="17" t="s">
        <v>26</v>
      </c>
      <c r="C212" s="17" t="str">
        <f>_xlfn.CONCAT(Instruções!$D$13,".",VLOOKUP(B212,Instruções!$F$12:$H$17,2,0))</f>
        <v>cd_loan_tapes_bce.lt002_instrument</v>
      </c>
      <c r="D212" s="17" t="str">
        <f>_xlfn.CONCAT(Instruções!$D$14,".",VLOOKUP(B212,Instruções!$F$12:$H$17,3,0))</f>
        <v>bu_loantape_work.lt002_instrument</v>
      </c>
      <c r="E212" s="17" t="s">
        <v>262</v>
      </c>
      <c r="F212" s="17" t="str">
        <f t="shared" si="24"/>
        <v>isin_scrtstn_as_is</v>
      </c>
      <c r="G212" s="17" t="str">
        <f t="shared" si="25"/>
        <v>isin_scrtstn_to_be</v>
      </c>
      <c r="H212" s="17" t="str">
        <f>IF(VLOOKUP(B212,Instruções!$F$13:$J$17,5,0)="",
"(SELECT "&amp;VLOOKUP(B212,Instruções!$F$13:$J$17,4,0)&amp;" as "&amp;VLOOKUP(B212,Instruções!$F$13:$J$17,4,0)&amp;"_"&amp;$F$2&amp;", "&amp;E212&amp;" as "&amp;F212&amp;" FROM "&amp;C212&amp;" WHERE "&amp;Instruções!$D$20&amp;") A ",
"(SELECT "&amp;VLOOKUP(B212,Instruções!$F$13:$J$17,4,0)&amp;" as "&amp;VLOOKUP(B212,Instruções!$F$13:$J$17,4,0)&amp;"_"&amp;$F$2&amp;", "&amp;VLOOKUP(B212,Instruções!$F$13:$J$17,5,0)&amp;" as "&amp;VLOOKUP(B212,Instruções!$F$13:$J$17,5,0)&amp;"_"&amp;$F$2&amp;","&amp;E212&amp;" as "&amp;F212&amp;" FROM "&amp;C212&amp;" WHERE "&amp;Instruções!$D$20&amp;") A ")</f>
        <v xml:space="preserve">(SELECT instrmnt_id as instrmnt_id_as_is, isin_scrtstn as isin_scrtstn_as_is FROM cd_loan_tapes_bce.lt002_instrument WHERE ref_date='2024-09-30' AND nome_perimetro='Individual Corporativo' AND segmento='ESTR' AND ambito='PM' AND entidade='00100' ) A </v>
      </c>
      <c r="I212" s="17" t="str">
        <f>IF(VLOOKUP(B212,Instruções!$F$13:$J$17,5,0)="",
"(SELECT "&amp;VLOOKUP(B212,Instruções!$F$13:$J$17,4,0)&amp;" as "&amp;VLOOKUP(B212,Instruções!$F$13:$J$17,4,0)&amp;"_"&amp;$G$2&amp;", "&amp;E212&amp;" as "&amp;G212&amp;" FROM "&amp;D212&amp;" WHERE "&amp;Instruções!$D$21&amp;") B ",
"(SELECT "&amp;VLOOKUP(B212,Instruções!$F$13:$J$17,4,0)&amp;" as "&amp;VLOOKUP(B212,Instruções!$F$13:$J$17,4,0)&amp;"_"&amp;$G$2&amp;", "&amp;VLOOKUP(B212,Instruções!$F$13:$J$17,5,0)&amp;" as "&amp;VLOOKUP(B212,Instruções!$F$13:$J$17,5,0)&amp;"_"&amp;$G$2&amp;","&amp;E212&amp;" as "&amp;G212&amp;" FROM "&amp;D212&amp;" WHERE "&amp;Instruções!$D$21&amp;") B ")</f>
        <v xml:space="preserve">(SELECT instrmnt_id as instrmnt_id_to_be, isin_scrtstn as isin_scrtstn_to_be FROM bu_loantape_work.lt002_instrument WHERE ref_date='2024-09-30' AND nome_perimetro='Individual Corporativo' AND segmento='ESTR' AND ambito='PM' AND entidade='00100' ) B </v>
      </c>
      <c r="J212" s="17" t="str">
        <f>IF(VLOOKUP(B212,Instruções!$F$13:$J$17,5,0)="",
"ON "&amp;VLOOKUP(B212,Instruções!$F$13:$J$17,4,0)&amp;"_"&amp;$F$2&amp;" = "&amp;VLOOKUP(B212,Instruções!$F$13:$J$17,4,0)&amp;"_"&amp;$G$2&amp;" ",
"ON "&amp;VLOOKUP(B212,Instruções!$F$13:$J$17,4,0)&amp;"_"&amp;$F$2&amp;" = "&amp;VLOOKUP(B212,Instruções!$F$13:$J$17,4,0)&amp;"_"&amp;$G$2&amp;" AND "&amp;VLOOKUP(B212,Instruções!$F$13:$J$17,5,0)&amp;"_"&amp;$F$2&amp;" = "&amp;VLOOKUP(B212,Instruções!$F$13:$J$17,5,0)&amp;"_"&amp;$G$2&amp;" ")</f>
        <v xml:space="preserve">ON instrmnt_id_as_is = instrmnt_id_to_be </v>
      </c>
      <c r="K212" s="17" t="str">
        <f t="shared" si="26"/>
        <v xml:space="preserve">WHERE coalesce(cast(isin_scrtstn_as_is as string), '') &lt;&gt; coalesce(cast(isin_scrtstn_to_be as string), '') </v>
      </c>
      <c r="L212" s="17" t="str">
        <f t="shared" si="27"/>
        <v xml:space="preserve">SELECT count(*) AS NUM_REG_DIF FROM (SELECT instrmnt_id as instrmnt_id_as_is, isin_scrtstn as isin_scrtstn_as_is FROM cd_loan_tapes_bce.lt002_instrument WHERE ref_date='2024-09-30' AND nome_perimetro='Individual Corporativo' AND segmento='ESTR' AND ambito='PM' AND entidade='00100' ) A  Inner join (SELECT instrmnt_id as instrmnt_id_to_be, isin_scrtstn as isin_scrtstn_to_be FROM bu_loantape_work.lt002_instrument WHERE ref_date='2024-09-30' AND nome_perimetro='Individual Corporativo' AND segmento='ESTR' AND ambito='PM' AND entidade='00100' ) B ON instrmnt_id_as_is = instrmnt_id_to_be WHERE coalesce(cast(isin_scrtstn_as_is as string), '') &lt;&gt; coalesce(cast(isin_scrtstn_to_be as string), '') </v>
      </c>
      <c r="M212" s="17" t="s">
        <v>55</v>
      </c>
      <c r="N212" s="17" t="str">
        <f>"SELECT 'Validação de campos' as tipologia_teste, '"&amp;VLOOKUP(B212,Instruções!$F$13:$J$17,3,0)&amp;"' AS TABELA, '"&amp;E212&amp;"' AS CAMPO, '"&amp;Instruções!$D$15&amp;"' as ref_date, coalesce(NUM_REG_DIF, 0) AS NUM_REG_DIF FROM ("&amp;L212&amp;") A "</f>
        <v xml:space="preserve">SELECT 'Validação de campos' as tipologia_teste, 'lt002_instrument' AS TABELA, 'isin_scrtstn' AS CAMPO, '2024-09-30' as ref_date, coalesce(NUM_REG_DIF, 0) AS NUM_REG_DIF FROM (SELECT count(*) AS NUM_REG_DIF FROM (SELECT instrmnt_id as instrmnt_id_as_is, isin_scrtstn as isin_scrtstn_as_is FROM cd_loan_tapes_bce.lt002_instrument WHERE ref_date='2024-09-30' AND nome_perimetro='Individual Corporativo' AND segmento='ESTR' AND ambito='PM' AND entidade='00100' ) A  Inner join (SELECT instrmnt_id as instrmnt_id_to_be, isin_scrtstn as isin_scrtstn_to_be FROM bu_loantape_work.lt002_instrument WHERE ref_date='2024-09-30' AND nome_perimetro='Individual Corporativo' AND segmento='ESTR' AND ambito='PM' AND entidade='00100' ) B ON instrmnt_id_as_is = instrmnt_id_to_be WHERE coalesce(cast(isin_scrtstn_as_is as string), '') &lt;&gt; coalesce(cast(isin_scrtstn_to_be as string), '') ) A </v>
      </c>
      <c r="O212" s="19" t="str">
        <f t="shared" si="29"/>
        <v>SELECT 'Validação de campos' as tipologia_teste, 'lt002_instrument' AS TABELA, 'isin_scrtstn' AS CAMPO, '2024-09-30' as ref_date, coalesce(NUM_REG_DIF, 0) AS NUM_REG_DIF FROM (SELECT count(*) AS NUM_REG_DIF FROM (SELECT instrmnt_id as instrmnt_id_as_is, isin_scrtstn as isin_scrtstn_as_is FROM cd_loan_tapes_bce.lt002_instrument WHERE ref_date='2024-09-30' AND nome_perimetro='Individual Corporativo' AND segmento='ESTR' AND ambito='PM' AND entidade='00100' ) A  Inner join (SELECT instrmnt_id as instrmnt_id_to_be, isin_scrtstn as isin_scrtstn_to_be FROM bu_loantape_work.lt002_instrument WHERE ref_date='2024-09-30' AND nome_perimetro='Individual Corporativo' AND segmento='ESTR' AND ambito='PM' AND entidade='00100' ) B ON instrmnt_id_as_is = instrmnt_id_to_be WHERE coalesce(cast(isin_scrtstn_as_is as string), '') &lt;&gt; coalesce(cast(isin_scrtstn_to_be as string), '') ) A UNION ALL</v>
      </c>
      <c r="P212" s="17">
        <f t="shared" si="22"/>
        <v>7</v>
      </c>
    </row>
    <row r="213" spans="2:16" s="15" customFormat="1" ht="11.45">
      <c r="B213" s="17" t="s">
        <v>26</v>
      </c>
      <c r="C213" s="17" t="str">
        <f>_xlfn.CONCAT(Instruções!$D$13,".",VLOOKUP(B213,Instruções!$F$12:$H$17,2,0))</f>
        <v>cd_loan_tapes_bce.lt002_instrument</v>
      </c>
      <c r="D213" s="17" t="str">
        <f>_xlfn.CONCAT(Instruções!$D$14,".",VLOOKUP(B213,Instruções!$F$12:$H$17,3,0))</f>
        <v>bu_loantape_work.lt002_instrument</v>
      </c>
      <c r="E213" s="17" t="s">
        <v>263</v>
      </c>
      <c r="F213" s="17" t="str">
        <f t="shared" si="24"/>
        <v>issr_cntry_as_is</v>
      </c>
      <c r="G213" s="17" t="str">
        <f t="shared" si="25"/>
        <v>issr_cntry_to_be</v>
      </c>
      <c r="H213" s="17" t="str">
        <f>IF(VLOOKUP(B213,Instruções!$F$13:$J$17,5,0)="",
"(SELECT "&amp;VLOOKUP(B213,Instruções!$F$13:$J$17,4,0)&amp;" as "&amp;VLOOKUP(B213,Instruções!$F$13:$J$17,4,0)&amp;"_"&amp;$F$2&amp;", "&amp;E213&amp;" as "&amp;F213&amp;" FROM "&amp;C213&amp;" WHERE "&amp;Instruções!$D$20&amp;") A ",
"(SELECT "&amp;VLOOKUP(B213,Instruções!$F$13:$J$17,4,0)&amp;" as "&amp;VLOOKUP(B213,Instruções!$F$13:$J$17,4,0)&amp;"_"&amp;$F$2&amp;", "&amp;VLOOKUP(B213,Instruções!$F$13:$J$17,5,0)&amp;" as "&amp;VLOOKUP(B213,Instruções!$F$13:$J$17,5,0)&amp;"_"&amp;$F$2&amp;","&amp;E213&amp;" as "&amp;F213&amp;" FROM "&amp;C213&amp;" WHERE "&amp;Instruções!$D$20&amp;") A ")</f>
        <v xml:space="preserve">(SELECT instrmnt_id as instrmnt_id_as_is, issr_cntry as issr_cntry_as_is FROM cd_loan_tapes_bce.lt002_instrument WHERE ref_date='2024-09-30' AND nome_perimetro='Individual Corporativo' AND segmento='ESTR' AND ambito='PM' AND entidade='00100' ) A </v>
      </c>
      <c r="I213" s="17" t="str">
        <f>IF(VLOOKUP(B213,Instruções!$F$13:$J$17,5,0)="",
"(SELECT "&amp;VLOOKUP(B213,Instruções!$F$13:$J$17,4,0)&amp;" as "&amp;VLOOKUP(B213,Instruções!$F$13:$J$17,4,0)&amp;"_"&amp;$G$2&amp;", "&amp;E213&amp;" as "&amp;G213&amp;" FROM "&amp;D213&amp;" WHERE "&amp;Instruções!$D$21&amp;") B ",
"(SELECT "&amp;VLOOKUP(B213,Instruções!$F$13:$J$17,4,0)&amp;" as "&amp;VLOOKUP(B213,Instruções!$F$13:$J$17,4,0)&amp;"_"&amp;$G$2&amp;", "&amp;VLOOKUP(B213,Instruções!$F$13:$J$17,5,0)&amp;" as "&amp;VLOOKUP(B213,Instruções!$F$13:$J$17,5,0)&amp;"_"&amp;$G$2&amp;","&amp;E213&amp;" as "&amp;G213&amp;" FROM "&amp;D213&amp;" WHERE "&amp;Instruções!$D$21&amp;") B ")</f>
        <v xml:space="preserve">(SELECT instrmnt_id as instrmnt_id_to_be, issr_cntry as issr_cntry_to_be FROM bu_loantape_work.lt002_instrument WHERE ref_date='2024-09-30' AND nome_perimetro='Individual Corporativo' AND segmento='ESTR' AND ambito='PM' AND entidade='00100' ) B </v>
      </c>
      <c r="J213" s="17" t="str">
        <f>IF(VLOOKUP(B213,Instruções!$F$13:$J$17,5,0)="",
"ON "&amp;VLOOKUP(B213,Instruções!$F$13:$J$17,4,0)&amp;"_"&amp;$F$2&amp;" = "&amp;VLOOKUP(B213,Instruções!$F$13:$J$17,4,0)&amp;"_"&amp;$G$2&amp;" ",
"ON "&amp;VLOOKUP(B213,Instruções!$F$13:$J$17,4,0)&amp;"_"&amp;$F$2&amp;" = "&amp;VLOOKUP(B213,Instruções!$F$13:$J$17,4,0)&amp;"_"&amp;$G$2&amp;" AND "&amp;VLOOKUP(B213,Instruções!$F$13:$J$17,5,0)&amp;"_"&amp;$F$2&amp;" = "&amp;VLOOKUP(B213,Instruções!$F$13:$J$17,5,0)&amp;"_"&amp;$G$2&amp;" ")</f>
        <v xml:space="preserve">ON instrmnt_id_as_is = instrmnt_id_to_be </v>
      </c>
      <c r="K213" s="17" t="str">
        <f t="shared" si="26"/>
        <v xml:space="preserve">WHERE coalesce(cast(issr_cntry_as_is as string), '') &lt;&gt; coalesce(cast(issr_cntry_to_be as string), '') </v>
      </c>
      <c r="L213" s="17" t="str">
        <f t="shared" si="27"/>
        <v xml:space="preserve">SELECT count(*) AS NUM_REG_DIF FROM (SELECT instrmnt_id as instrmnt_id_as_is, issr_cntry as issr_cntry_as_is FROM cd_loan_tapes_bce.lt002_instrument WHERE ref_date='2024-09-30' AND nome_perimetro='Individual Corporativo' AND segmento='ESTR' AND ambito='PM' AND entidade='00100' ) A  Inner join (SELECT instrmnt_id as instrmnt_id_to_be, issr_cntry as issr_cntry_to_be FROM bu_loantape_work.lt002_instrument WHERE ref_date='2024-09-30' AND nome_perimetro='Individual Corporativo' AND segmento='ESTR' AND ambito='PM' AND entidade='00100' ) B ON instrmnt_id_as_is = instrmnt_id_to_be WHERE coalesce(cast(issr_cntry_as_is as string), '') &lt;&gt; coalesce(cast(issr_cntry_to_be as string), '') </v>
      </c>
      <c r="M213" s="17" t="s">
        <v>55</v>
      </c>
      <c r="N213" s="17" t="str">
        <f>"SELECT 'Validação de campos' as tipologia_teste, '"&amp;VLOOKUP(B213,Instruções!$F$13:$J$17,3,0)&amp;"' AS TABELA, '"&amp;E213&amp;"' AS CAMPO, '"&amp;Instruções!$D$15&amp;"' as ref_date, coalesce(NUM_REG_DIF, 0) AS NUM_REG_DIF FROM ("&amp;L213&amp;") A "</f>
        <v xml:space="preserve">SELECT 'Validação de campos' as tipologia_teste, 'lt002_instrument' AS TABELA, 'issr_cntry' AS CAMPO, '2024-09-30' as ref_date, coalesce(NUM_REG_DIF, 0) AS NUM_REG_DIF FROM (SELECT count(*) AS NUM_REG_DIF FROM (SELECT instrmnt_id as instrmnt_id_as_is, issr_cntry as issr_cntry_as_is FROM cd_loan_tapes_bce.lt002_instrument WHERE ref_date='2024-09-30' AND nome_perimetro='Individual Corporativo' AND segmento='ESTR' AND ambito='PM' AND entidade='00100' ) A  Inner join (SELECT instrmnt_id as instrmnt_id_to_be, issr_cntry as issr_cntry_to_be FROM bu_loantape_work.lt002_instrument WHERE ref_date='2024-09-30' AND nome_perimetro='Individual Corporativo' AND segmento='ESTR' AND ambito='PM' AND entidade='00100' ) B ON instrmnt_id_as_is = instrmnt_id_to_be WHERE coalesce(cast(issr_cntry_as_is as string), '') &lt;&gt; coalesce(cast(issr_cntry_to_be as string), '') ) A </v>
      </c>
      <c r="O213" s="19" t="str">
        <f t="shared" si="29"/>
        <v>SELECT 'Validação de campos' as tipologia_teste, 'lt002_instrument' AS TABELA, 'issr_cntry' AS CAMPO, '2024-09-30' as ref_date, coalesce(NUM_REG_DIF, 0) AS NUM_REG_DIF FROM (SELECT count(*) AS NUM_REG_DIF FROM (SELECT instrmnt_id as instrmnt_id_as_is, issr_cntry as issr_cntry_as_is FROM cd_loan_tapes_bce.lt002_instrument WHERE ref_date='2024-09-30' AND nome_perimetro='Individual Corporativo' AND segmento='ESTR' AND ambito='PM' AND entidade='00100' ) A  Inner join (SELECT instrmnt_id as instrmnt_id_to_be, issr_cntry as issr_cntry_to_be FROM bu_loantape_work.lt002_instrument WHERE ref_date='2024-09-30' AND nome_perimetro='Individual Corporativo' AND segmento='ESTR' AND ambito='PM' AND entidade='00100' ) B ON instrmnt_id_as_is = instrmnt_id_to_be WHERE coalesce(cast(issr_cntry_as_is as string), '') &lt;&gt; coalesce(cast(issr_cntry_to_be as string), '') ) A UNION ALL</v>
      </c>
      <c r="P213" s="17">
        <f t="shared" si="22"/>
        <v>8</v>
      </c>
    </row>
    <row r="214" spans="2:16" s="15" customFormat="1" ht="11.45">
      <c r="B214" s="17" t="s">
        <v>26</v>
      </c>
      <c r="C214" s="17" t="str">
        <f>_xlfn.CONCAT(Instruções!$D$13,".",VLOOKUP(B214,Instruções!$F$12:$H$17,2,0))</f>
        <v>cd_loan_tapes_bce.lt002_instrument</v>
      </c>
      <c r="D214" s="17" t="str">
        <f>_xlfn.CONCAT(Instruções!$D$14,".",VLOOKUP(B214,Instruções!$F$12:$H$17,3,0))</f>
        <v>bu_loantape_work.lt002_instrument</v>
      </c>
      <c r="E214" s="17" t="s">
        <v>264</v>
      </c>
      <c r="F214" s="17" t="str">
        <f t="shared" si="24"/>
        <v>issr_esa_2010_as_is</v>
      </c>
      <c r="G214" s="17" t="str">
        <f t="shared" si="25"/>
        <v>issr_esa_2010_to_be</v>
      </c>
      <c r="H214" s="17" t="str">
        <f>IF(VLOOKUP(B214,Instruções!$F$13:$J$17,5,0)="",
"(SELECT "&amp;VLOOKUP(B214,Instruções!$F$13:$J$17,4,0)&amp;" as "&amp;VLOOKUP(B214,Instruções!$F$13:$J$17,4,0)&amp;"_"&amp;$F$2&amp;", "&amp;E214&amp;" as "&amp;F214&amp;" FROM "&amp;C214&amp;" WHERE "&amp;Instruções!$D$20&amp;") A ",
"(SELECT "&amp;VLOOKUP(B214,Instruções!$F$13:$J$17,4,0)&amp;" as "&amp;VLOOKUP(B214,Instruções!$F$13:$J$17,4,0)&amp;"_"&amp;$F$2&amp;", "&amp;VLOOKUP(B214,Instruções!$F$13:$J$17,5,0)&amp;" as "&amp;VLOOKUP(B214,Instruções!$F$13:$J$17,5,0)&amp;"_"&amp;$F$2&amp;","&amp;E214&amp;" as "&amp;F214&amp;" FROM "&amp;C214&amp;" WHERE "&amp;Instruções!$D$20&amp;") A ")</f>
        <v xml:space="preserve">(SELECT instrmnt_id as instrmnt_id_as_is, issr_esa_2010 as issr_esa_2010_as_is FROM cd_loan_tapes_bce.lt002_instrument WHERE ref_date='2024-09-30' AND nome_perimetro='Individual Corporativo' AND segmento='ESTR' AND ambito='PM' AND entidade='00100' ) A </v>
      </c>
      <c r="I214" s="17" t="str">
        <f>IF(VLOOKUP(B214,Instruções!$F$13:$J$17,5,0)="",
"(SELECT "&amp;VLOOKUP(B214,Instruções!$F$13:$J$17,4,0)&amp;" as "&amp;VLOOKUP(B214,Instruções!$F$13:$J$17,4,0)&amp;"_"&amp;$G$2&amp;", "&amp;E214&amp;" as "&amp;G214&amp;" FROM "&amp;D214&amp;" WHERE "&amp;Instruções!$D$21&amp;") B ",
"(SELECT "&amp;VLOOKUP(B214,Instruções!$F$13:$J$17,4,0)&amp;" as "&amp;VLOOKUP(B214,Instruções!$F$13:$J$17,4,0)&amp;"_"&amp;$G$2&amp;", "&amp;VLOOKUP(B214,Instruções!$F$13:$J$17,5,0)&amp;" as "&amp;VLOOKUP(B214,Instruções!$F$13:$J$17,5,0)&amp;"_"&amp;$G$2&amp;","&amp;E214&amp;" as "&amp;G214&amp;" FROM "&amp;D214&amp;" WHERE "&amp;Instruções!$D$21&amp;") B ")</f>
        <v xml:space="preserve">(SELECT instrmnt_id as instrmnt_id_to_be, issr_esa_2010 as issr_esa_2010_to_be FROM bu_loantape_work.lt002_instrument WHERE ref_date='2024-09-30' AND nome_perimetro='Individual Corporativo' AND segmento='ESTR' AND ambito='PM' AND entidade='00100' ) B </v>
      </c>
      <c r="J214" s="17" t="str">
        <f>IF(VLOOKUP(B214,Instruções!$F$13:$J$17,5,0)="",
"ON "&amp;VLOOKUP(B214,Instruções!$F$13:$J$17,4,0)&amp;"_"&amp;$F$2&amp;" = "&amp;VLOOKUP(B214,Instruções!$F$13:$J$17,4,0)&amp;"_"&amp;$G$2&amp;" ",
"ON "&amp;VLOOKUP(B214,Instruções!$F$13:$J$17,4,0)&amp;"_"&amp;$F$2&amp;" = "&amp;VLOOKUP(B214,Instruções!$F$13:$J$17,4,0)&amp;"_"&amp;$G$2&amp;" AND "&amp;VLOOKUP(B214,Instruções!$F$13:$J$17,5,0)&amp;"_"&amp;$F$2&amp;" = "&amp;VLOOKUP(B214,Instruções!$F$13:$J$17,5,0)&amp;"_"&amp;$G$2&amp;" ")</f>
        <v xml:space="preserve">ON instrmnt_id_as_is = instrmnt_id_to_be </v>
      </c>
      <c r="K214" s="17" t="str">
        <f t="shared" si="26"/>
        <v xml:space="preserve">WHERE coalesce(cast(issr_esa_2010_as_is as string), '') &lt;&gt; coalesce(cast(issr_esa_2010_to_be as string), '') </v>
      </c>
      <c r="L214" s="17" t="str">
        <f t="shared" si="27"/>
        <v xml:space="preserve">SELECT count(*) AS NUM_REG_DIF FROM (SELECT instrmnt_id as instrmnt_id_as_is, issr_esa_2010 as issr_esa_2010_as_is FROM cd_loan_tapes_bce.lt002_instrument WHERE ref_date='2024-09-30' AND nome_perimetro='Individual Corporativo' AND segmento='ESTR' AND ambito='PM' AND entidade='00100' ) A  Inner join (SELECT instrmnt_id as instrmnt_id_to_be, issr_esa_2010 as issr_esa_2010_to_be FROM bu_loantape_work.lt002_instrument WHERE ref_date='2024-09-30' AND nome_perimetro='Individual Corporativo' AND segmento='ESTR' AND ambito='PM' AND entidade='00100' ) B ON instrmnt_id_as_is = instrmnt_id_to_be WHERE coalesce(cast(issr_esa_2010_as_is as string), '') &lt;&gt; coalesce(cast(issr_esa_2010_to_be as string), '') </v>
      </c>
      <c r="M214" s="17" t="s">
        <v>55</v>
      </c>
      <c r="N214" s="17" t="str">
        <f>"SELECT 'Validação de campos' as tipologia_teste, '"&amp;VLOOKUP(B214,Instruções!$F$13:$J$17,3,0)&amp;"' AS TABELA, '"&amp;E214&amp;"' AS CAMPO, '"&amp;Instruções!$D$15&amp;"' as ref_date, coalesce(NUM_REG_DIF, 0) AS NUM_REG_DIF FROM ("&amp;L214&amp;") A "</f>
        <v xml:space="preserve">SELECT 'Validação de campos' as tipologia_teste, 'lt002_instrument' AS TABELA, 'issr_esa_2010' AS CAMPO, '2024-09-30' as ref_date, coalesce(NUM_REG_DIF, 0) AS NUM_REG_DIF FROM (SELECT count(*) AS NUM_REG_DIF FROM (SELECT instrmnt_id as instrmnt_id_as_is, issr_esa_2010 as issr_esa_2010_as_is FROM cd_loan_tapes_bce.lt002_instrument WHERE ref_date='2024-09-30' AND nome_perimetro='Individual Corporativo' AND segmento='ESTR' AND ambito='PM' AND entidade='00100' ) A  Inner join (SELECT instrmnt_id as instrmnt_id_to_be, issr_esa_2010 as issr_esa_2010_to_be FROM bu_loantape_work.lt002_instrument WHERE ref_date='2024-09-30' AND nome_perimetro='Individual Corporativo' AND segmento='ESTR' AND ambito='PM' AND entidade='00100' ) B ON instrmnt_id_as_is = instrmnt_id_to_be WHERE coalesce(cast(issr_esa_2010_as_is as string), '') &lt;&gt; coalesce(cast(issr_esa_2010_to_be as string), '') ) A </v>
      </c>
      <c r="O214" s="19" t="str">
        <f t="shared" si="29"/>
        <v>SELECT 'Validação de campos' as tipologia_teste, 'lt002_instrument' AS TABELA, 'issr_esa_2010' AS CAMPO, '2024-09-30' as ref_date, coalesce(NUM_REG_DIF, 0) AS NUM_REG_DIF FROM (SELECT count(*) AS NUM_REG_DIF FROM (SELECT instrmnt_id as instrmnt_id_as_is, issr_esa_2010 as issr_esa_2010_as_is FROM cd_loan_tapes_bce.lt002_instrument WHERE ref_date='2024-09-30' AND nome_perimetro='Individual Corporativo' AND segmento='ESTR' AND ambito='PM' AND entidade='00100' ) A  Inner join (SELECT instrmnt_id as instrmnt_id_to_be, issr_esa_2010 as issr_esa_2010_to_be FROM bu_loantape_work.lt002_instrument WHERE ref_date='2024-09-30' AND nome_perimetro='Individual Corporativo' AND segmento='ESTR' AND ambito='PM' AND entidade='00100' ) B ON instrmnt_id_as_is = instrmnt_id_to_be WHERE coalesce(cast(issr_esa_2010_as_is as string), '') &lt;&gt; coalesce(cast(issr_esa_2010_to_be as string), '') ) A UNION ALL</v>
      </c>
      <c r="P214" s="17">
        <f t="shared" si="22"/>
        <v>9</v>
      </c>
    </row>
    <row r="215" spans="2:16" s="15" customFormat="1" ht="11.45">
      <c r="B215" s="17" t="s">
        <v>26</v>
      </c>
      <c r="C215" s="17" t="str">
        <f>_xlfn.CONCAT(Instruções!$D$13,".",VLOOKUP(B215,Instruções!$F$12:$H$17,2,0))</f>
        <v>cd_loan_tapes_bce.lt002_instrument</v>
      </c>
      <c r="D215" s="17" t="str">
        <f>_xlfn.CONCAT(Instruções!$D$14,".",VLOOKUP(B215,Instruções!$F$12:$H$17,3,0))</f>
        <v>bu_loantape_work.lt002_instrument</v>
      </c>
      <c r="E215" s="17" t="s">
        <v>265</v>
      </c>
      <c r="F215" s="17" t="str">
        <f t="shared" si="24"/>
        <v>issr_id_as_is</v>
      </c>
      <c r="G215" s="17" t="str">
        <f t="shared" si="25"/>
        <v>issr_id_to_be</v>
      </c>
      <c r="H215" s="17" t="str">
        <f>IF(VLOOKUP(B215,Instruções!$F$13:$J$17,5,0)="",
"(SELECT "&amp;VLOOKUP(B215,Instruções!$F$13:$J$17,4,0)&amp;" as "&amp;VLOOKUP(B215,Instruções!$F$13:$J$17,4,0)&amp;"_"&amp;$F$2&amp;", "&amp;E215&amp;" as "&amp;F215&amp;" FROM "&amp;C215&amp;" WHERE "&amp;Instruções!$D$20&amp;") A ",
"(SELECT "&amp;VLOOKUP(B215,Instruções!$F$13:$J$17,4,0)&amp;" as "&amp;VLOOKUP(B215,Instruções!$F$13:$J$17,4,0)&amp;"_"&amp;$F$2&amp;", "&amp;VLOOKUP(B215,Instruções!$F$13:$J$17,5,0)&amp;" as "&amp;VLOOKUP(B215,Instruções!$F$13:$J$17,5,0)&amp;"_"&amp;$F$2&amp;","&amp;E215&amp;" as "&amp;F215&amp;" FROM "&amp;C215&amp;" WHERE "&amp;Instruções!$D$20&amp;") A ")</f>
        <v xml:space="preserve">(SELECT instrmnt_id as instrmnt_id_as_is, issr_id as issr_id_as_is FROM cd_loan_tapes_bce.lt002_instrument WHERE ref_date='2024-09-30' AND nome_perimetro='Individual Corporativo' AND segmento='ESTR' AND ambito='PM' AND entidade='00100' ) A </v>
      </c>
      <c r="I215" s="17" t="str">
        <f>IF(VLOOKUP(B215,Instruções!$F$13:$J$17,5,0)="",
"(SELECT "&amp;VLOOKUP(B215,Instruções!$F$13:$J$17,4,0)&amp;" as "&amp;VLOOKUP(B215,Instruções!$F$13:$J$17,4,0)&amp;"_"&amp;$G$2&amp;", "&amp;E215&amp;" as "&amp;G215&amp;" FROM "&amp;D215&amp;" WHERE "&amp;Instruções!$D$21&amp;") B ",
"(SELECT "&amp;VLOOKUP(B215,Instruções!$F$13:$J$17,4,0)&amp;" as "&amp;VLOOKUP(B215,Instruções!$F$13:$J$17,4,0)&amp;"_"&amp;$G$2&amp;", "&amp;VLOOKUP(B215,Instruções!$F$13:$J$17,5,0)&amp;" as "&amp;VLOOKUP(B215,Instruções!$F$13:$J$17,5,0)&amp;"_"&amp;$G$2&amp;","&amp;E215&amp;" as "&amp;G215&amp;" FROM "&amp;D215&amp;" WHERE "&amp;Instruções!$D$21&amp;") B ")</f>
        <v xml:space="preserve">(SELECT instrmnt_id as instrmnt_id_to_be, issr_id as issr_id_to_be FROM bu_loantape_work.lt002_instrument WHERE ref_date='2024-09-30' AND nome_perimetro='Individual Corporativo' AND segmento='ESTR' AND ambito='PM' AND entidade='00100' ) B </v>
      </c>
      <c r="J215" s="17" t="str">
        <f>IF(VLOOKUP(B215,Instruções!$F$13:$J$17,5,0)="",
"ON "&amp;VLOOKUP(B215,Instruções!$F$13:$J$17,4,0)&amp;"_"&amp;$F$2&amp;" = "&amp;VLOOKUP(B215,Instruções!$F$13:$J$17,4,0)&amp;"_"&amp;$G$2&amp;" ",
"ON "&amp;VLOOKUP(B215,Instruções!$F$13:$J$17,4,0)&amp;"_"&amp;$F$2&amp;" = "&amp;VLOOKUP(B215,Instruções!$F$13:$J$17,4,0)&amp;"_"&amp;$G$2&amp;" AND "&amp;VLOOKUP(B215,Instruções!$F$13:$J$17,5,0)&amp;"_"&amp;$F$2&amp;" = "&amp;VLOOKUP(B215,Instruções!$F$13:$J$17,5,0)&amp;"_"&amp;$G$2&amp;" ")</f>
        <v xml:space="preserve">ON instrmnt_id_as_is = instrmnt_id_to_be </v>
      </c>
      <c r="K215" s="17" t="str">
        <f t="shared" si="26"/>
        <v xml:space="preserve">WHERE coalesce(cast(issr_id_as_is as string), '') &lt;&gt; coalesce(cast(issr_id_to_be as string), '') </v>
      </c>
      <c r="L215" s="17" t="str">
        <f t="shared" si="27"/>
        <v xml:space="preserve">SELECT count(*) AS NUM_REG_DIF FROM (SELECT instrmnt_id as instrmnt_id_as_is, issr_id as issr_id_as_is FROM cd_loan_tapes_bce.lt002_instrument WHERE ref_date='2024-09-30' AND nome_perimetro='Individual Corporativo' AND segmento='ESTR' AND ambito='PM' AND entidade='00100' ) A  Inner join (SELECT instrmnt_id as instrmnt_id_to_be, issr_id as issr_id_to_be FROM bu_loantape_work.lt002_instrument WHERE ref_date='2024-09-30' AND nome_perimetro='Individual Corporativo' AND segmento='ESTR' AND ambito='PM' AND entidade='00100' ) B ON instrmnt_id_as_is = instrmnt_id_to_be WHERE coalesce(cast(issr_id_as_is as string), '') &lt;&gt; coalesce(cast(issr_id_to_be as string), '') </v>
      </c>
      <c r="M215" s="17" t="s">
        <v>55</v>
      </c>
      <c r="N215" s="17" t="str">
        <f>"SELECT 'Validação de campos' as tipologia_teste, '"&amp;VLOOKUP(B215,Instruções!$F$13:$J$17,3,0)&amp;"' AS TABELA, '"&amp;E215&amp;"' AS CAMPO, '"&amp;Instruções!$D$15&amp;"' as ref_date, coalesce(NUM_REG_DIF, 0) AS NUM_REG_DIF FROM ("&amp;L215&amp;") A "</f>
        <v xml:space="preserve">SELECT 'Validação de campos' as tipologia_teste, 'lt002_instrument' AS TABELA, 'issr_id' AS CAMPO, '2024-09-30' as ref_date, coalesce(NUM_REG_DIF, 0) AS NUM_REG_DIF FROM (SELECT count(*) AS NUM_REG_DIF FROM (SELECT instrmnt_id as instrmnt_id_as_is, issr_id as issr_id_as_is FROM cd_loan_tapes_bce.lt002_instrument WHERE ref_date='2024-09-30' AND nome_perimetro='Individual Corporativo' AND segmento='ESTR' AND ambito='PM' AND entidade='00100' ) A  Inner join (SELECT instrmnt_id as instrmnt_id_to_be, issr_id as issr_id_to_be FROM bu_loantape_work.lt002_instrument WHERE ref_date='2024-09-30' AND nome_perimetro='Individual Corporativo' AND segmento='ESTR' AND ambito='PM' AND entidade='00100' ) B ON instrmnt_id_as_is = instrmnt_id_to_be WHERE coalesce(cast(issr_id_as_is as string), '') &lt;&gt; coalesce(cast(issr_id_to_be as string), '') ) A </v>
      </c>
      <c r="O215" s="19" t="str">
        <f t="shared" si="29"/>
        <v>SELECT 'Validação de campos' as tipologia_teste, 'lt002_instrument' AS TABELA, 'issr_id' AS CAMPO, '2024-09-30' as ref_date, coalesce(NUM_REG_DIF, 0) AS NUM_REG_DIF FROM (SELECT count(*) AS NUM_REG_DIF FROM (SELECT instrmnt_id as instrmnt_id_as_is, issr_id as issr_id_as_is FROM cd_loan_tapes_bce.lt002_instrument WHERE ref_date='2024-09-30' AND nome_perimetro='Individual Corporativo' AND segmento='ESTR' AND ambito='PM' AND entidade='00100' ) A  Inner join (SELECT instrmnt_id as instrmnt_id_to_be, issr_id as issr_id_to_be FROM bu_loantape_work.lt002_instrument WHERE ref_date='2024-09-30' AND nome_perimetro='Individual Corporativo' AND segmento='ESTR' AND ambito='PM' AND entidade='00100' ) B ON instrmnt_id_as_is = instrmnt_id_to_be WHERE coalesce(cast(issr_id_as_is as string), '') &lt;&gt; coalesce(cast(issr_id_to_be as string), '') ) A UNION ALL</v>
      </c>
      <c r="P215" s="17">
        <f t="shared" si="22"/>
        <v>10</v>
      </c>
    </row>
    <row r="216" spans="2:16" s="15" customFormat="1" ht="11.45">
      <c r="B216" s="17" t="s">
        <v>26</v>
      </c>
      <c r="C216" s="17" t="str">
        <f>_xlfn.CONCAT(Instruções!$D$13,".",VLOOKUP(B216,Instruções!$F$12:$H$17,2,0))</f>
        <v>cd_loan_tapes_bce.lt002_instrument</v>
      </c>
      <c r="D216" s="17" t="str">
        <f>_xlfn.CONCAT(Instruções!$D$14,".",VLOOKUP(B216,Instruções!$F$12:$H$17,3,0))</f>
        <v>bu_loantape_work.lt002_instrument</v>
      </c>
      <c r="E216" s="17" t="s">
        <v>266</v>
      </c>
      <c r="F216" s="17" t="str">
        <f t="shared" si="24"/>
        <v>issr_id_typ_as_is</v>
      </c>
      <c r="G216" s="17" t="str">
        <f t="shared" si="25"/>
        <v>issr_id_typ_to_be</v>
      </c>
      <c r="H216" s="17" t="str">
        <f>IF(VLOOKUP(B216,Instruções!$F$13:$J$17,5,0)="",
"(SELECT "&amp;VLOOKUP(B216,Instruções!$F$13:$J$17,4,0)&amp;" as "&amp;VLOOKUP(B216,Instruções!$F$13:$J$17,4,0)&amp;"_"&amp;$F$2&amp;", "&amp;E216&amp;" as "&amp;F216&amp;" FROM "&amp;C216&amp;" WHERE "&amp;Instruções!$D$20&amp;") A ",
"(SELECT "&amp;VLOOKUP(B216,Instruções!$F$13:$J$17,4,0)&amp;" as "&amp;VLOOKUP(B216,Instruções!$F$13:$J$17,4,0)&amp;"_"&amp;$F$2&amp;", "&amp;VLOOKUP(B216,Instruções!$F$13:$J$17,5,0)&amp;" as "&amp;VLOOKUP(B216,Instruções!$F$13:$J$17,5,0)&amp;"_"&amp;$F$2&amp;","&amp;E216&amp;" as "&amp;F216&amp;" FROM "&amp;C216&amp;" WHERE "&amp;Instruções!$D$20&amp;") A ")</f>
        <v xml:space="preserve">(SELECT instrmnt_id as instrmnt_id_as_is, issr_id_typ as issr_id_typ_as_is FROM cd_loan_tapes_bce.lt002_instrument WHERE ref_date='2024-09-30' AND nome_perimetro='Individual Corporativo' AND segmento='ESTR' AND ambito='PM' AND entidade='00100' ) A </v>
      </c>
      <c r="I216" s="17" t="str">
        <f>IF(VLOOKUP(B216,Instruções!$F$13:$J$17,5,0)="",
"(SELECT "&amp;VLOOKUP(B216,Instruções!$F$13:$J$17,4,0)&amp;" as "&amp;VLOOKUP(B216,Instruções!$F$13:$J$17,4,0)&amp;"_"&amp;$G$2&amp;", "&amp;E216&amp;" as "&amp;G216&amp;" FROM "&amp;D216&amp;" WHERE "&amp;Instruções!$D$21&amp;") B ",
"(SELECT "&amp;VLOOKUP(B216,Instruções!$F$13:$J$17,4,0)&amp;" as "&amp;VLOOKUP(B216,Instruções!$F$13:$J$17,4,0)&amp;"_"&amp;$G$2&amp;", "&amp;VLOOKUP(B216,Instruções!$F$13:$J$17,5,0)&amp;" as "&amp;VLOOKUP(B216,Instruções!$F$13:$J$17,5,0)&amp;"_"&amp;$G$2&amp;","&amp;E216&amp;" as "&amp;G216&amp;" FROM "&amp;D216&amp;" WHERE "&amp;Instruções!$D$21&amp;") B ")</f>
        <v xml:space="preserve">(SELECT instrmnt_id as instrmnt_id_to_be, issr_id_typ as issr_id_typ_to_be FROM bu_loantape_work.lt002_instrument WHERE ref_date='2024-09-30' AND nome_perimetro='Individual Corporativo' AND segmento='ESTR' AND ambito='PM' AND entidade='00100' ) B </v>
      </c>
      <c r="J216" s="17" t="str">
        <f>IF(VLOOKUP(B216,Instruções!$F$13:$J$17,5,0)="",
"ON "&amp;VLOOKUP(B216,Instruções!$F$13:$J$17,4,0)&amp;"_"&amp;$F$2&amp;" = "&amp;VLOOKUP(B216,Instruções!$F$13:$J$17,4,0)&amp;"_"&amp;$G$2&amp;" ",
"ON "&amp;VLOOKUP(B216,Instruções!$F$13:$J$17,4,0)&amp;"_"&amp;$F$2&amp;" = "&amp;VLOOKUP(B216,Instruções!$F$13:$J$17,4,0)&amp;"_"&amp;$G$2&amp;" AND "&amp;VLOOKUP(B216,Instruções!$F$13:$J$17,5,0)&amp;"_"&amp;$F$2&amp;" = "&amp;VLOOKUP(B216,Instruções!$F$13:$J$17,5,0)&amp;"_"&amp;$G$2&amp;" ")</f>
        <v xml:space="preserve">ON instrmnt_id_as_is = instrmnt_id_to_be </v>
      </c>
      <c r="K216" s="17" t="str">
        <f t="shared" si="26"/>
        <v xml:space="preserve">WHERE coalesce(cast(issr_id_typ_as_is as string), '') &lt;&gt; coalesce(cast(issr_id_typ_to_be as string), '') </v>
      </c>
      <c r="L216" s="17" t="str">
        <f t="shared" si="27"/>
        <v xml:space="preserve">SELECT count(*) AS NUM_REG_DIF FROM (SELECT instrmnt_id as instrmnt_id_as_is, issr_id_typ as issr_id_typ_as_is FROM cd_loan_tapes_bce.lt002_instrument WHERE ref_date='2024-09-30' AND nome_perimetro='Individual Corporativo' AND segmento='ESTR' AND ambito='PM' AND entidade='00100' ) A  Inner join (SELECT instrmnt_id as instrmnt_id_to_be, issr_id_typ as issr_id_typ_to_be FROM bu_loantape_work.lt002_instrument WHERE ref_date='2024-09-30' AND nome_perimetro='Individual Corporativo' AND segmento='ESTR' AND ambito='PM' AND entidade='00100' ) B ON instrmnt_id_as_is = instrmnt_id_to_be WHERE coalesce(cast(issr_id_typ_as_is as string), '') &lt;&gt; coalesce(cast(issr_id_typ_to_be as string), '') </v>
      </c>
      <c r="M216" s="17" t="s">
        <v>55</v>
      </c>
      <c r="N216" s="17" t="str">
        <f>"SELECT 'Validação de campos' as tipologia_teste, '"&amp;VLOOKUP(B216,Instruções!$F$13:$J$17,3,0)&amp;"' AS TABELA, '"&amp;E216&amp;"' AS CAMPO, '"&amp;Instruções!$D$15&amp;"' as ref_date, coalesce(NUM_REG_DIF, 0) AS NUM_REG_DIF FROM ("&amp;L216&amp;") A "</f>
        <v xml:space="preserve">SELECT 'Validação de campos' as tipologia_teste, 'lt002_instrument' AS TABELA, 'issr_id_typ' AS CAMPO, '2024-09-30' as ref_date, coalesce(NUM_REG_DIF, 0) AS NUM_REG_DIF FROM (SELECT count(*) AS NUM_REG_DIF FROM (SELECT instrmnt_id as instrmnt_id_as_is, issr_id_typ as issr_id_typ_as_is FROM cd_loan_tapes_bce.lt002_instrument WHERE ref_date='2024-09-30' AND nome_perimetro='Individual Corporativo' AND segmento='ESTR' AND ambito='PM' AND entidade='00100' ) A  Inner join (SELECT instrmnt_id as instrmnt_id_to_be, issr_id_typ as issr_id_typ_to_be FROM bu_loantape_work.lt002_instrument WHERE ref_date='2024-09-30' AND nome_perimetro='Individual Corporativo' AND segmento='ESTR' AND ambito='PM' AND entidade='00100' ) B ON instrmnt_id_as_is = instrmnt_id_to_be WHERE coalesce(cast(issr_id_typ_as_is as string), '') &lt;&gt; coalesce(cast(issr_id_typ_to_be as string), '') ) A </v>
      </c>
      <c r="O216" s="19" t="str">
        <f t="shared" si="29"/>
        <v>SELECT 'Validação de campos' as tipologia_teste, 'lt002_instrument' AS TABELA, 'issr_id_typ' AS CAMPO, '2024-09-30' as ref_date, coalesce(NUM_REG_DIF, 0) AS NUM_REG_DIF FROM (SELECT count(*) AS NUM_REG_DIF FROM (SELECT instrmnt_id as instrmnt_id_as_is, issr_id_typ as issr_id_typ_as_is FROM cd_loan_tapes_bce.lt002_instrument WHERE ref_date='2024-09-30' AND nome_perimetro='Individual Corporativo' AND segmento='ESTR' AND ambito='PM' AND entidade='00100' ) A  Inner join (SELECT instrmnt_id as instrmnt_id_to_be, issr_id_typ as issr_id_typ_to_be FROM bu_loantape_work.lt002_instrument WHERE ref_date='2024-09-30' AND nome_perimetro='Individual Corporativo' AND segmento='ESTR' AND ambito='PM' AND entidade='00100' ) B ON instrmnt_id_as_is = instrmnt_id_to_be WHERE coalesce(cast(issr_id_typ_as_is as string), '') &lt;&gt; coalesce(cast(issr_id_typ_to_be as string), '') ) A UNION ALL</v>
      </c>
      <c r="P216" s="17">
        <f t="shared" si="22"/>
        <v>11</v>
      </c>
    </row>
    <row r="217" spans="2:16" s="15" customFormat="1" ht="11.45">
      <c r="B217" s="17" t="s">
        <v>26</v>
      </c>
      <c r="C217" s="17" t="str">
        <f>_xlfn.CONCAT(Instruções!$D$13,".",VLOOKUP(B217,Instruções!$F$12:$H$17,2,0))</f>
        <v>cd_loan_tapes_bce.lt002_instrument</v>
      </c>
      <c r="D217" s="17" t="str">
        <f>_xlfn.CONCAT(Instruções!$D$14,".",VLOOKUP(B217,Instruções!$F$12:$H$17,3,0))</f>
        <v>bu_loantape_work.lt002_instrument</v>
      </c>
      <c r="E217" s="17" t="s">
        <v>267</v>
      </c>
      <c r="F217" s="17" t="str">
        <f t="shared" si="24"/>
        <v>issr_nace_sctr_as_is</v>
      </c>
      <c r="G217" s="17" t="str">
        <f t="shared" si="25"/>
        <v>issr_nace_sctr_to_be</v>
      </c>
      <c r="H217" s="17" t="str">
        <f>IF(VLOOKUP(B217,Instruções!$F$13:$J$17,5,0)="",
"(SELECT "&amp;VLOOKUP(B217,Instruções!$F$13:$J$17,4,0)&amp;" as "&amp;VLOOKUP(B217,Instruções!$F$13:$J$17,4,0)&amp;"_"&amp;$F$2&amp;", "&amp;E217&amp;" as "&amp;F217&amp;" FROM "&amp;C217&amp;" WHERE "&amp;Instruções!$D$20&amp;") A ",
"(SELECT "&amp;VLOOKUP(B217,Instruções!$F$13:$J$17,4,0)&amp;" as "&amp;VLOOKUP(B217,Instruções!$F$13:$J$17,4,0)&amp;"_"&amp;$F$2&amp;", "&amp;VLOOKUP(B217,Instruções!$F$13:$J$17,5,0)&amp;" as "&amp;VLOOKUP(B217,Instruções!$F$13:$J$17,5,0)&amp;"_"&amp;$F$2&amp;","&amp;E217&amp;" as "&amp;F217&amp;" FROM "&amp;C217&amp;" WHERE "&amp;Instruções!$D$20&amp;") A ")</f>
        <v xml:space="preserve">(SELECT instrmnt_id as instrmnt_id_as_is, issr_nace_sctr as issr_nace_sctr_as_is FROM cd_loan_tapes_bce.lt002_instrument WHERE ref_date='2024-09-30' AND nome_perimetro='Individual Corporativo' AND segmento='ESTR' AND ambito='PM' AND entidade='00100' ) A </v>
      </c>
      <c r="I217" s="17" t="str">
        <f>IF(VLOOKUP(B217,Instruções!$F$13:$J$17,5,0)="",
"(SELECT "&amp;VLOOKUP(B217,Instruções!$F$13:$J$17,4,0)&amp;" as "&amp;VLOOKUP(B217,Instruções!$F$13:$J$17,4,0)&amp;"_"&amp;$G$2&amp;", "&amp;E217&amp;" as "&amp;G217&amp;" FROM "&amp;D217&amp;" WHERE "&amp;Instruções!$D$21&amp;") B ",
"(SELECT "&amp;VLOOKUP(B217,Instruções!$F$13:$J$17,4,0)&amp;" as "&amp;VLOOKUP(B217,Instruções!$F$13:$J$17,4,0)&amp;"_"&amp;$G$2&amp;", "&amp;VLOOKUP(B217,Instruções!$F$13:$J$17,5,0)&amp;" as "&amp;VLOOKUP(B217,Instruções!$F$13:$J$17,5,0)&amp;"_"&amp;$G$2&amp;","&amp;E217&amp;" as "&amp;G217&amp;" FROM "&amp;D217&amp;" WHERE "&amp;Instruções!$D$21&amp;") B ")</f>
        <v xml:space="preserve">(SELECT instrmnt_id as instrmnt_id_to_be, issr_nace_sctr as issr_nace_sctr_to_be FROM bu_loantape_work.lt002_instrument WHERE ref_date='2024-09-30' AND nome_perimetro='Individual Corporativo' AND segmento='ESTR' AND ambito='PM' AND entidade='00100' ) B </v>
      </c>
      <c r="J217" s="17" t="str">
        <f>IF(VLOOKUP(B217,Instruções!$F$13:$J$17,5,0)="",
"ON "&amp;VLOOKUP(B217,Instruções!$F$13:$J$17,4,0)&amp;"_"&amp;$F$2&amp;" = "&amp;VLOOKUP(B217,Instruções!$F$13:$J$17,4,0)&amp;"_"&amp;$G$2&amp;" ",
"ON "&amp;VLOOKUP(B217,Instruções!$F$13:$J$17,4,0)&amp;"_"&amp;$F$2&amp;" = "&amp;VLOOKUP(B217,Instruções!$F$13:$J$17,4,0)&amp;"_"&amp;$G$2&amp;" AND "&amp;VLOOKUP(B217,Instruções!$F$13:$J$17,5,0)&amp;"_"&amp;$F$2&amp;" = "&amp;VLOOKUP(B217,Instruções!$F$13:$J$17,5,0)&amp;"_"&amp;$G$2&amp;" ")</f>
        <v xml:space="preserve">ON instrmnt_id_as_is = instrmnt_id_to_be </v>
      </c>
      <c r="K217" s="17" t="str">
        <f t="shared" si="26"/>
        <v xml:space="preserve">WHERE coalesce(cast(issr_nace_sctr_as_is as string), '') &lt;&gt; coalesce(cast(issr_nace_sctr_to_be as string), '') </v>
      </c>
      <c r="L217" s="17" t="str">
        <f t="shared" si="27"/>
        <v xml:space="preserve">SELECT count(*) AS NUM_REG_DIF FROM (SELECT instrmnt_id as instrmnt_id_as_is, issr_nace_sctr as issr_nace_sctr_as_is FROM cd_loan_tapes_bce.lt002_instrument WHERE ref_date='2024-09-30' AND nome_perimetro='Individual Corporativo' AND segmento='ESTR' AND ambito='PM' AND entidade='00100' ) A  Inner join (SELECT instrmnt_id as instrmnt_id_to_be, issr_nace_sctr as issr_nace_sctr_to_be FROM bu_loantape_work.lt002_instrument WHERE ref_date='2024-09-30' AND nome_perimetro='Individual Corporativo' AND segmento='ESTR' AND ambito='PM' AND entidade='00100' ) B ON instrmnt_id_as_is = instrmnt_id_to_be WHERE coalesce(cast(issr_nace_sctr_as_is as string), '') &lt;&gt; coalesce(cast(issr_nace_sctr_to_be as string), '') </v>
      </c>
      <c r="M217" s="17" t="s">
        <v>55</v>
      </c>
      <c r="N217" s="17" t="str">
        <f>"SELECT 'Validação de campos' as tipologia_teste, '"&amp;VLOOKUP(B217,Instruções!$F$13:$J$17,3,0)&amp;"' AS TABELA, '"&amp;E217&amp;"' AS CAMPO, '"&amp;Instruções!$D$15&amp;"' as ref_date, coalesce(NUM_REG_DIF, 0) AS NUM_REG_DIF FROM ("&amp;L217&amp;") A "</f>
        <v xml:space="preserve">SELECT 'Validação de campos' as tipologia_teste, 'lt002_instrument' AS TABELA, 'issr_nace_sctr' AS CAMPO, '2024-09-30' as ref_date, coalesce(NUM_REG_DIF, 0) AS NUM_REG_DIF FROM (SELECT count(*) AS NUM_REG_DIF FROM (SELECT instrmnt_id as instrmnt_id_as_is, issr_nace_sctr as issr_nace_sctr_as_is FROM cd_loan_tapes_bce.lt002_instrument WHERE ref_date='2024-09-30' AND nome_perimetro='Individual Corporativo' AND segmento='ESTR' AND ambito='PM' AND entidade='00100' ) A  Inner join (SELECT instrmnt_id as instrmnt_id_to_be, issr_nace_sctr as issr_nace_sctr_to_be FROM bu_loantape_work.lt002_instrument WHERE ref_date='2024-09-30' AND nome_perimetro='Individual Corporativo' AND segmento='ESTR' AND ambito='PM' AND entidade='00100' ) B ON instrmnt_id_as_is = instrmnt_id_to_be WHERE coalesce(cast(issr_nace_sctr_as_is as string), '') &lt;&gt; coalesce(cast(issr_nace_sctr_to_be as string), '') ) A </v>
      </c>
      <c r="O217" s="19" t="str">
        <f t="shared" si="29"/>
        <v>SELECT 'Validação de campos' as tipologia_teste, 'lt002_instrument' AS TABELA, 'issr_nace_sctr' AS CAMPO, '2024-09-30' as ref_date, coalesce(NUM_REG_DIF, 0) AS NUM_REG_DIF FROM (SELECT count(*) AS NUM_REG_DIF FROM (SELECT instrmnt_id as instrmnt_id_as_is, issr_nace_sctr as issr_nace_sctr_as_is FROM cd_loan_tapes_bce.lt002_instrument WHERE ref_date='2024-09-30' AND nome_perimetro='Individual Corporativo' AND segmento='ESTR' AND ambito='PM' AND entidade='00100' ) A  Inner join (SELECT instrmnt_id as instrmnt_id_to_be, issr_nace_sctr as issr_nace_sctr_to_be FROM bu_loantape_work.lt002_instrument WHERE ref_date='2024-09-30' AND nome_perimetro='Individual Corporativo' AND segmento='ESTR' AND ambito='PM' AND entidade='00100' ) B ON instrmnt_id_as_is = instrmnt_id_to_be WHERE coalesce(cast(issr_nace_sctr_as_is as string), '') &lt;&gt; coalesce(cast(issr_nace_sctr_to_be as string), '') ) A UNION ALL</v>
      </c>
      <c r="P217" s="17">
        <f t="shared" si="22"/>
        <v>12</v>
      </c>
    </row>
    <row r="218" spans="2:16" s="15" customFormat="1" ht="11.45">
      <c r="B218" s="17" t="s">
        <v>26</v>
      </c>
      <c r="C218" s="17" t="str">
        <f>_xlfn.CONCAT(Instruções!$D$13,".",VLOOKUP(B218,Instruções!$F$12:$H$17,2,0))</f>
        <v>cd_loan_tapes_bce.lt002_instrument</v>
      </c>
      <c r="D218" s="17" t="str">
        <f>_xlfn.CONCAT(Instruções!$D$14,".",VLOOKUP(B218,Instruções!$F$12:$H$17,3,0))</f>
        <v>bu_loantape_work.lt002_instrument</v>
      </c>
      <c r="E218" s="17" t="s">
        <v>268</v>
      </c>
      <c r="F218" s="17" t="str">
        <f t="shared" si="24"/>
        <v>issr_rtng_as_is</v>
      </c>
      <c r="G218" s="17" t="str">
        <f t="shared" si="25"/>
        <v>issr_rtng_to_be</v>
      </c>
      <c r="H218" s="17" t="str">
        <f>IF(VLOOKUP(B218,Instruções!$F$13:$J$17,5,0)="",
"(SELECT "&amp;VLOOKUP(B218,Instruções!$F$13:$J$17,4,0)&amp;" as "&amp;VLOOKUP(B218,Instruções!$F$13:$J$17,4,0)&amp;"_"&amp;$F$2&amp;", "&amp;E218&amp;" as "&amp;F218&amp;" FROM "&amp;C218&amp;" WHERE "&amp;Instruções!$D$20&amp;") A ",
"(SELECT "&amp;VLOOKUP(B218,Instruções!$F$13:$J$17,4,0)&amp;" as "&amp;VLOOKUP(B218,Instruções!$F$13:$J$17,4,0)&amp;"_"&amp;$F$2&amp;", "&amp;VLOOKUP(B218,Instruções!$F$13:$J$17,5,0)&amp;" as "&amp;VLOOKUP(B218,Instruções!$F$13:$J$17,5,0)&amp;"_"&amp;$F$2&amp;","&amp;E218&amp;" as "&amp;F218&amp;" FROM "&amp;C218&amp;" WHERE "&amp;Instruções!$D$20&amp;") A ")</f>
        <v xml:space="preserve">(SELECT instrmnt_id as instrmnt_id_as_is, issr_rtng as issr_rtng_as_is FROM cd_loan_tapes_bce.lt002_instrument WHERE ref_date='2024-09-30' AND nome_perimetro='Individual Corporativo' AND segmento='ESTR' AND ambito='PM' AND entidade='00100' ) A </v>
      </c>
      <c r="I218" s="17" t="str">
        <f>IF(VLOOKUP(B218,Instruções!$F$13:$J$17,5,0)="",
"(SELECT "&amp;VLOOKUP(B218,Instruções!$F$13:$J$17,4,0)&amp;" as "&amp;VLOOKUP(B218,Instruções!$F$13:$J$17,4,0)&amp;"_"&amp;$G$2&amp;", "&amp;E218&amp;" as "&amp;G218&amp;" FROM "&amp;D218&amp;" WHERE "&amp;Instruções!$D$21&amp;") B ",
"(SELECT "&amp;VLOOKUP(B218,Instruções!$F$13:$J$17,4,0)&amp;" as "&amp;VLOOKUP(B218,Instruções!$F$13:$J$17,4,0)&amp;"_"&amp;$G$2&amp;", "&amp;VLOOKUP(B218,Instruções!$F$13:$J$17,5,0)&amp;" as "&amp;VLOOKUP(B218,Instruções!$F$13:$J$17,5,0)&amp;"_"&amp;$G$2&amp;","&amp;E218&amp;" as "&amp;G218&amp;" FROM "&amp;D218&amp;" WHERE "&amp;Instruções!$D$21&amp;") B ")</f>
        <v xml:space="preserve">(SELECT instrmnt_id as instrmnt_id_to_be, issr_rtng as issr_rtng_to_be FROM bu_loantape_work.lt002_instrument WHERE ref_date='2024-09-30' AND nome_perimetro='Individual Corporativo' AND segmento='ESTR' AND ambito='PM' AND entidade='00100' ) B </v>
      </c>
      <c r="J218" s="17" t="str">
        <f>IF(VLOOKUP(B218,Instruções!$F$13:$J$17,5,0)="",
"ON "&amp;VLOOKUP(B218,Instruções!$F$13:$J$17,4,0)&amp;"_"&amp;$F$2&amp;" = "&amp;VLOOKUP(B218,Instruções!$F$13:$J$17,4,0)&amp;"_"&amp;$G$2&amp;" ",
"ON "&amp;VLOOKUP(B218,Instruções!$F$13:$J$17,4,0)&amp;"_"&amp;$F$2&amp;" = "&amp;VLOOKUP(B218,Instruções!$F$13:$J$17,4,0)&amp;"_"&amp;$G$2&amp;" AND "&amp;VLOOKUP(B218,Instruções!$F$13:$J$17,5,0)&amp;"_"&amp;$F$2&amp;" = "&amp;VLOOKUP(B218,Instruções!$F$13:$J$17,5,0)&amp;"_"&amp;$G$2&amp;" ")</f>
        <v xml:space="preserve">ON instrmnt_id_as_is = instrmnt_id_to_be </v>
      </c>
      <c r="K218" s="17" t="str">
        <f t="shared" si="26"/>
        <v xml:space="preserve">WHERE coalesce(cast(issr_rtng_as_is as string), '') &lt;&gt; coalesce(cast(issr_rtng_to_be as string), '') </v>
      </c>
      <c r="L218" s="17" t="str">
        <f t="shared" si="27"/>
        <v xml:space="preserve">SELECT count(*) AS NUM_REG_DIF FROM (SELECT instrmnt_id as instrmnt_id_as_is, issr_rtng as issr_rtng_as_is FROM cd_loan_tapes_bce.lt002_instrument WHERE ref_date='2024-09-30' AND nome_perimetro='Individual Corporativo' AND segmento='ESTR' AND ambito='PM' AND entidade='00100' ) A  Inner join (SELECT instrmnt_id as instrmnt_id_to_be, issr_rtng as issr_rtng_to_be FROM bu_loantape_work.lt002_instrument WHERE ref_date='2024-09-30' AND nome_perimetro='Individual Corporativo' AND segmento='ESTR' AND ambito='PM' AND entidade='00100' ) B ON instrmnt_id_as_is = instrmnt_id_to_be WHERE coalesce(cast(issr_rtng_as_is as string), '') &lt;&gt; coalesce(cast(issr_rtng_to_be as string), '') </v>
      </c>
      <c r="M218" s="17" t="s">
        <v>55</v>
      </c>
      <c r="N218" s="17" t="str">
        <f>"SELECT 'Validação de campos' as tipologia_teste, '"&amp;VLOOKUP(B218,Instruções!$F$13:$J$17,3,0)&amp;"' AS TABELA, '"&amp;E218&amp;"' AS CAMPO, '"&amp;Instruções!$D$15&amp;"' as ref_date, coalesce(NUM_REG_DIF, 0) AS NUM_REG_DIF FROM ("&amp;L218&amp;") A "</f>
        <v xml:space="preserve">SELECT 'Validação de campos' as tipologia_teste, 'lt002_instrument' AS TABELA, 'issr_rtng' AS CAMPO, '2024-09-30' as ref_date, coalesce(NUM_REG_DIF, 0) AS NUM_REG_DIF FROM (SELECT count(*) AS NUM_REG_DIF FROM (SELECT instrmnt_id as instrmnt_id_as_is, issr_rtng as issr_rtng_as_is FROM cd_loan_tapes_bce.lt002_instrument WHERE ref_date='2024-09-30' AND nome_perimetro='Individual Corporativo' AND segmento='ESTR' AND ambito='PM' AND entidade='00100' ) A  Inner join (SELECT instrmnt_id as instrmnt_id_to_be, issr_rtng as issr_rtng_to_be FROM bu_loantape_work.lt002_instrument WHERE ref_date='2024-09-30' AND nome_perimetro='Individual Corporativo' AND segmento='ESTR' AND ambito='PM' AND entidade='00100' ) B ON instrmnt_id_as_is = instrmnt_id_to_be WHERE coalesce(cast(issr_rtng_as_is as string), '') &lt;&gt; coalesce(cast(issr_rtng_to_be as string), '') ) A </v>
      </c>
      <c r="O218" s="19" t="str">
        <f t="shared" si="29"/>
        <v>SELECT 'Validação de campos' as tipologia_teste, 'lt002_instrument' AS TABELA, 'issr_rtng' AS CAMPO, '2024-09-30' as ref_date, coalesce(NUM_REG_DIF, 0) AS NUM_REG_DIF FROM (SELECT count(*) AS NUM_REG_DIF FROM (SELECT instrmnt_id as instrmnt_id_as_is, issr_rtng as issr_rtng_as_is FROM cd_loan_tapes_bce.lt002_instrument WHERE ref_date='2024-09-30' AND nome_perimetro='Individual Corporativo' AND segmento='ESTR' AND ambito='PM' AND entidade='00100' ) A  Inner join (SELECT instrmnt_id as instrmnt_id_to_be, issr_rtng as issr_rtng_to_be FROM bu_loantape_work.lt002_instrument WHERE ref_date='2024-09-30' AND nome_perimetro='Individual Corporativo' AND segmento='ESTR' AND ambito='PM' AND entidade='00100' ) B ON instrmnt_id_as_is = instrmnt_id_to_be WHERE coalesce(cast(issr_rtng_as_is as string), '') &lt;&gt; coalesce(cast(issr_rtng_to_be as string), '') ) A UNION ALL</v>
      </c>
      <c r="P218" s="17">
        <f t="shared" si="22"/>
        <v>13</v>
      </c>
    </row>
    <row r="219" spans="2:16" s="15" customFormat="1" ht="11.45">
      <c r="B219" s="17" t="s">
        <v>26</v>
      </c>
      <c r="C219" s="17" t="str">
        <f>_xlfn.CONCAT(Instruções!$D$13,".",VLOOKUP(B219,Instruções!$F$12:$H$17,2,0))</f>
        <v>cd_loan_tapes_bce.lt002_instrument</v>
      </c>
      <c r="D219" s="17" t="str">
        <f>_xlfn.CONCAT(Instruções!$D$14,".",VLOOKUP(B219,Instruções!$F$12:$H$17,3,0))</f>
        <v>bu_loantape_work.lt002_instrument</v>
      </c>
      <c r="E219" s="17" t="s">
        <v>269</v>
      </c>
      <c r="F219" s="17" t="str">
        <f t="shared" si="24"/>
        <v>issr_rtng_src_as_is</v>
      </c>
      <c r="G219" s="17" t="str">
        <f t="shared" si="25"/>
        <v>issr_rtng_src_to_be</v>
      </c>
      <c r="H219" s="17" t="str">
        <f>IF(VLOOKUP(B219,Instruções!$F$13:$J$17,5,0)="",
"(SELECT "&amp;VLOOKUP(B219,Instruções!$F$13:$J$17,4,0)&amp;" as "&amp;VLOOKUP(B219,Instruções!$F$13:$J$17,4,0)&amp;"_"&amp;$F$2&amp;", "&amp;E219&amp;" as "&amp;F219&amp;" FROM "&amp;C219&amp;" WHERE "&amp;Instruções!$D$20&amp;") A ",
"(SELECT "&amp;VLOOKUP(B219,Instruções!$F$13:$J$17,4,0)&amp;" as "&amp;VLOOKUP(B219,Instruções!$F$13:$J$17,4,0)&amp;"_"&amp;$F$2&amp;", "&amp;VLOOKUP(B219,Instruções!$F$13:$J$17,5,0)&amp;" as "&amp;VLOOKUP(B219,Instruções!$F$13:$J$17,5,0)&amp;"_"&amp;$F$2&amp;","&amp;E219&amp;" as "&amp;F219&amp;" FROM "&amp;C219&amp;" WHERE "&amp;Instruções!$D$20&amp;") A ")</f>
        <v xml:space="preserve">(SELECT instrmnt_id as instrmnt_id_as_is, issr_rtng_src as issr_rtng_src_as_is FROM cd_loan_tapes_bce.lt002_instrument WHERE ref_date='2024-09-30' AND nome_perimetro='Individual Corporativo' AND segmento='ESTR' AND ambito='PM' AND entidade='00100' ) A </v>
      </c>
      <c r="I219" s="17" t="str">
        <f>IF(VLOOKUP(B219,Instruções!$F$13:$J$17,5,0)="",
"(SELECT "&amp;VLOOKUP(B219,Instruções!$F$13:$J$17,4,0)&amp;" as "&amp;VLOOKUP(B219,Instruções!$F$13:$J$17,4,0)&amp;"_"&amp;$G$2&amp;", "&amp;E219&amp;" as "&amp;G219&amp;" FROM "&amp;D219&amp;" WHERE "&amp;Instruções!$D$21&amp;") B ",
"(SELECT "&amp;VLOOKUP(B219,Instruções!$F$13:$J$17,4,0)&amp;" as "&amp;VLOOKUP(B219,Instruções!$F$13:$J$17,4,0)&amp;"_"&amp;$G$2&amp;", "&amp;VLOOKUP(B219,Instruções!$F$13:$J$17,5,0)&amp;" as "&amp;VLOOKUP(B219,Instruções!$F$13:$J$17,5,0)&amp;"_"&amp;$G$2&amp;","&amp;E219&amp;" as "&amp;G219&amp;" FROM "&amp;D219&amp;" WHERE "&amp;Instruções!$D$21&amp;") B ")</f>
        <v xml:space="preserve">(SELECT instrmnt_id as instrmnt_id_to_be, issr_rtng_src as issr_rtng_src_to_be FROM bu_loantape_work.lt002_instrument WHERE ref_date='2024-09-30' AND nome_perimetro='Individual Corporativo' AND segmento='ESTR' AND ambito='PM' AND entidade='00100' ) B </v>
      </c>
      <c r="J219" s="17" t="str">
        <f>IF(VLOOKUP(B219,Instruções!$F$13:$J$17,5,0)="",
"ON "&amp;VLOOKUP(B219,Instruções!$F$13:$J$17,4,0)&amp;"_"&amp;$F$2&amp;" = "&amp;VLOOKUP(B219,Instruções!$F$13:$J$17,4,0)&amp;"_"&amp;$G$2&amp;" ",
"ON "&amp;VLOOKUP(B219,Instruções!$F$13:$J$17,4,0)&amp;"_"&amp;$F$2&amp;" = "&amp;VLOOKUP(B219,Instruções!$F$13:$J$17,4,0)&amp;"_"&amp;$G$2&amp;" AND "&amp;VLOOKUP(B219,Instruções!$F$13:$J$17,5,0)&amp;"_"&amp;$F$2&amp;" = "&amp;VLOOKUP(B219,Instruções!$F$13:$J$17,5,0)&amp;"_"&amp;$G$2&amp;" ")</f>
        <v xml:space="preserve">ON instrmnt_id_as_is = instrmnt_id_to_be </v>
      </c>
      <c r="K219" s="17" t="str">
        <f t="shared" si="26"/>
        <v xml:space="preserve">WHERE coalesce(cast(issr_rtng_src_as_is as string), '') &lt;&gt; coalesce(cast(issr_rtng_src_to_be as string), '') </v>
      </c>
      <c r="L219" s="17" t="str">
        <f t="shared" si="27"/>
        <v xml:space="preserve">SELECT count(*) AS NUM_REG_DIF FROM (SELECT instrmnt_id as instrmnt_id_as_is, issr_rtng_src as issr_rtng_src_as_is FROM cd_loan_tapes_bce.lt002_instrument WHERE ref_date='2024-09-30' AND nome_perimetro='Individual Corporativo' AND segmento='ESTR' AND ambito='PM' AND entidade='00100' ) A  Inner join (SELECT instrmnt_id as instrmnt_id_to_be, issr_rtng_src as issr_rtng_src_to_be FROM bu_loantape_work.lt002_instrument WHERE ref_date='2024-09-30' AND nome_perimetro='Individual Corporativo' AND segmento='ESTR' AND ambito='PM' AND entidade='00100' ) B ON instrmnt_id_as_is = instrmnt_id_to_be WHERE coalesce(cast(issr_rtng_src_as_is as string), '') &lt;&gt; coalesce(cast(issr_rtng_src_to_be as string), '') </v>
      </c>
      <c r="M219" s="17" t="s">
        <v>55</v>
      </c>
      <c r="N219" s="17" t="str">
        <f>"SELECT 'Validação de campos' as tipologia_teste, '"&amp;VLOOKUP(B219,Instruções!$F$13:$J$17,3,0)&amp;"' AS TABELA, '"&amp;E219&amp;"' AS CAMPO, '"&amp;Instruções!$D$15&amp;"' as ref_date, coalesce(NUM_REG_DIF, 0) AS NUM_REG_DIF FROM ("&amp;L219&amp;") A "</f>
        <v xml:space="preserve">SELECT 'Validação de campos' as tipologia_teste, 'lt002_instrument' AS TABELA, 'issr_rtng_src' AS CAMPO, '2024-09-30' as ref_date, coalesce(NUM_REG_DIF, 0) AS NUM_REG_DIF FROM (SELECT count(*) AS NUM_REG_DIF FROM (SELECT instrmnt_id as instrmnt_id_as_is, issr_rtng_src as issr_rtng_src_as_is FROM cd_loan_tapes_bce.lt002_instrument WHERE ref_date='2024-09-30' AND nome_perimetro='Individual Corporativo' AND segmento='ESTR' AND ambito='PM' AND entidade='00100' ) A  Inner join (SELECT instrmnt_id as instrmnt_id_to_be, issr_rtng_src as issr_rtng_src_to_be FROM bu_loantape_work.lt002_instrument WHERE ref_date='2024-09-30' AND nome_perimetro='Individual Corporativo' AND segmento='ESTR' AND ambito='PM' AND entidade='00100' ) B ON instrmnt_id_as_is = instrmnt_id_to_be WHERE coalesce(cast(issr_rtng_src_as_is as string), '') &lt;&gt; coalesce(cast(issr_rtng_src_to_be as string), '') ) A </v>
      </c>
      <c r="O219" s="19" t="str">
        <f t="shared" si="29"/>
        <v>SELECT 'Validação de campos' as tipologia_teste, 'lt002_instrument' AS TABELA, 'issr_rtng_src' AS CAMPO, '2024-09-30' as ref_date, coalesce(NUM_REG_DIF, 0) AS NUM_REG_DIF FROM (SELECT count(*) AS NUM_REG_DIF FROM (SELECT instrmnt_id as instrmnt_id_as_is, issr_rtng_src as issr_rtng_src_as_is FROM cd_loan_tapes_bce.lt002_instrument WHERE ref_date='2024-09-30' AND nome_perimetro='Individual Corporativo' AND segmento='ESTR' AND ambito='PM' AND entidade='00100' ) A  Inner join (SELECT instrmnt_id as instrmnt_id_to_be, issr_rtng_src as issr_rtng_src_to_be FROM bu_loantape_work.lt002_instrument WHERE ref_date='2024-09-30' AND nome_perimetro='Individual Corporativo' AND segmento='ESTR' AND ambito='PM' AND entidade='00100' ) B ON instrmnt_id_as_is = instrmnt_id_to_be WHERE coalesce(cast(issr_rtng_src_as_is as string), '') &lt;&gt; coalesce(cast(issr_rtng_src_to_be as string), '') ) A UNION ALL</v>
      </c>
      <c r="P219" s="17">
        <f t="shared" ref="P219:P282" si="30">P218+1</f>
        <v>14</v>
      </c>
    </row>
    <row r="220" spans="2:16" s="15" customFormat="1" ht="11.45">
      <c r="B220" s="17" t="s">
        <v>26</v>
      </c>
      <c r="C220" s="17" t="str">
        <f>_xlfn.CONCAT(Instruções!$D$13,".",VLOOKUP(B220,Instruções!$F$12:$H$17,2,0))</f>
        <v>cd_loan_tapes_bce.lt002_instrument</v>
      </c>
      <c r="D220" s="17" t="str">
        <f>_xlfn.CONCAT(Instruções!$D$14,".",VLOOKUP(B220,Instruções!$F$12:$H$17,3,0))</f>
        <v>bu_loantape_work.lt002_instrument</v>
      </c>
      <c r="E220" s="17" t="s">
        <v>270</v>
      </c>
      <c r="F220" s="17" t="str">
        <f t="shared" si="24"/>
        <v>issr_typ_as_is</v>
      </c>
      <c r="G220" s="17" t="str">
        <f t="shared" si="25"/>
        <v>issr_typ_to_be</v>
      </c>
      <c r="H220" s="17" t="str">
        <f>IF(VLOOKUP(B220,Instruções!$F$13:$J$17,5,0)="",
"(SELECT "&amp;VLOOKUP(B220,Instruções!$F$13:$J$17,4,0)&amp;" as "&amp;VLOOKUP(B220,Instruções!$F$13:$J$17,4,0)&amp;"_"&amp;$F$2&amp;", "&amp;E220&amp;" as "&amp;F220&amp;" FROM "&amp;C220&amp;" WHERE "&amp;Instruções!$D$20&amp;") A ",
"(SELECT "&amp;VLOOKUP(B220,Instruções!$F$13:$J$17,4,0)&amp;" as "&amp;VLOOKUP(B220,Instruções!$F$13:$J$17,4,0)&amp;"_"&amp;$F$2&amp;", "&amp;VLOOKUP(B220,Instruções!$F$13:$J$17,5,0)&amp;" as "&amp;VLOOKUP(B220,Instruções!$F$13:$J$17,5,0)&amp;"_"&amp;$F$2&amp;","&amp;E220&amp;" as "&amp;F220&amp;" FROM "&amp;C220&amp;" WHERE "&amp;Instruções!$D$20&amp;") A ")</f>
        <v xml:space="preserve">(SELECT instrmnt_id as instrmnt_id_as_is, issr_typ as issr_typ_as_is FROM cd_loan_tapes_bce.lt002_instrument WHERE ref_date='2024-09-30' AND nome_perimetro='Individual Corporativo' AND segmento='ESTR' AND ambito='PM' AND entidade='00100' ) A </v>
      </c>
      <c r="I220" s="17" t="str">
        <f>IF(VLOOKUP(B220,Instruções!$F$13:$J$17,5,0)="",
"(SELECT "&amp;VLOOKUP(B220,Instruções!$F$13:$J$17,4,0)&amp;" as "&amp;VLOOKUP(B220,Instruções!$F$13:$J$17,4,0)&amp;"_"&amp;$G$2&amp;", "&amp;E220&amp;" as "&amp;G220&amp;" FROM "&amp;D220&amp;" WHERE "&amp;Instruções!$D$21&amp;") B ",
"(SELECT "&amp;VLOOKUP(B220,Instruções!$F$13:$J$17,4,0)&amp;" as "&amp;VLOOKUP(B220,Instruções!$F$13:$J$17,4,0)&amp;"_"&amp;$G$2&amp;", "&amp;VLOOKUP(B220,Instruções!$F$13:$J$17,5,0)&amp;" as "&amp;VLOOKUP(B220,Instruções!$F$13:$J$17,5,0)&amp;"_"&amp;$G$2&amp;","&amp;E220&amp;" as "&amp;G220&amp;" FROM "&amp;D220&amp;" WHERE "&amp;Instruções!$D$21&amp;") B ")</f>
        <v xml:space="preserve">(SELECT instrmnt_id as instrmnt_id_to_be, issr_typ as issr_typ_to_be FROM bu_loantape_work.lt002_instrument WHERE ref_date='2024-09-30' AND nome_perimetro='Individual Corporativo' AND segmento='ESTR' AND ambito='PM' AND entidade='00100' ) B </v>
      </c>
      <c r="J220" s="17" t="str">
        <f>IF(VLOOKUP(B220,Instruções!$F$13:$J$17,5,0)="",
"ON "&amp;VLOOKUP(B220,Instruções!$F$13:$J$17,4,0)&amp;"_"&amp;$F$2&amp;" = "&amp;VLOOKUP(B220,Instruções!$F$13:$J$17,4,0)&amp;"_"&amp;$G$2&amp;" ",
"ON "&amp;VLOOKUP(B220,Instruções!$F$13:$J$17,4,0)&amp;"_"&amp;$F$2&amp;" = "&amp;VLOOKUP(B220,Instruções!$F$13:$J$17,4,0)&amp;"_"&amp;$G$2&amp;" AND "&amp;VLOOKUP(B220,Instruções!$F$13:$J$17,5,0)&amp;"_"&amp;$F$2&amp;" = "&amp;VLOOKUP(B220,Instruções!$F$13:$J$17,5,0)&amp;"_"&amp;$G$2&amp;" ")</f>
        <v xml:space="preserve">ON instrmnt_id_as_is = instrmnt_id_to_be </v>
      </c>
      <c r="K220" s="17" t="str">
        <f t="shared" si="26"/>
        <v xml:space="preserve">WHERE coalesce(cast(issr_typ_as_is as string), '') &lt;&gt; coalesce(cast(issr_typ_to_be as string), '') </v>
      </c>
      <c r="L220" s="17" t="str">
        <f t="shared" si="27"/>
        <v xml:space="preserve">SELECT count(*) AS NUM_REG_DIF FROM (SELECT instrmnt_id as instrmnt_id_as_is, issr_typ as issr_typ_as_is FROM cd_loan_tapes_bce.lt002_instrument WHERE ref_date='2024-09-30' AND nome_perimetro='Individual Corporativo' AND segmento='ESTR' AND ambito='PM' AND entidade='00100' ) A  Inner join (SELECT instrmnt_id as instrmnt_id_to_be, issr_typ as issr_typ_to_be FROM bu_loantape_work.lt002_instrument WHERE ref_date='2024-09-30' AND nome_perimetro='Individual Corporativo' AND segmento='ESTR' AND ambito='PM' AND entidade='00100' ) B ON instrmnt_id_as_is = instrmnt_id_to_be WHERE coalesce(cast(issr_typ_as_is as string), '') &lt;&gt; coalesce(cast(issr_typ_to_be as string), '') </v>
      </c>
      <c r="M220" s="17" t="s">
        <v>55</v>
      </c>
      <c r="N220" s="17" t="str">
        <f>"SELECT 'Validação de campos' as tipologia_teste, '"&amp;VLOOKUP(B220,Instruções!$F$13:$J$17,3,0)&amp;"' AS TABELA, '"&amp;E220&amp;"' AS CAMPO, '"&amp;Instruções!$D$15&amp;"' as ref_date, coalesce(NUM_REG_DIF, 0) AS NUM_REG_DIF FROM ("&amp;L220&amp;") A "</f>
        <v xml:space="preserve">SELECT 'Validação de campos' as tipologia_teste, 'lt002_instrument' AS TABELA, 'issr_typ' AS CAMPO, '2024-09-30' as ref_date, coalesce(NUM_REG_DIF, 0) AS NUM_REG_DIF FROM (SELECT count(*) AS NUM_REG_DIF FROM (SELECT instrmnt_id as instrmnt_id_as_is, issr_typ as issr_typ_as_is FROM cd_loan_tapes_bce.lt002_instrument WHERE ref_date='2024-09-30' AND nome_perimetro='Individual Corporativo' AND segmento='ESTR' AND ambito='PM' AND entidade='00100' ) A  Inner join (SELECT instrmnt_id as instrmnt_id_to_be, issr_typ as issr_typ_to_be FROM bu_loantape_work.lt002_instrument WHERE ref_date='2024-09-30' AND nome_perimetro='Individual Corporativo' AND segmento='ESTR' AND ambito='PM' AND entidade='00100' ) B ON instrmnt_id_as_is = instrmnt_id_to_be WHERE coalesce(cast(issr_typ_as_is as string), '') &lt;&gt; coalesce(cast(issr_typ_to_be as string), '') ) A </v>
      </c>
      <c r="O220" s="19" t="str">
        <f t="shared" si="29"/>
        <v>SELECT 'Validação de campos' as tipologia_teste, 'lt002_instrument' AS TABELA, 'issr_typ' AS CAMPO, '2024-09-30' as ref_date, coalesce(NUM_REG_DIF, 0) AS NUM_REG_DIF FROM (SELECT count(*) AS NUM_REG_DIF FROM (SELECT instrmnt_id as instrmnt_id_as_is, issr_typ as issr_typ_as_is FROM cd_loan_tapes_bce.lt002_instrument WHERE ref_date='2024-09-30' AND nome_perimetro='Individual Corporativo' AND segmento='ESTR' AND ambito='PM' AND entidade='00100' ) A  Inner join (SELECT instrmnt_id as instrmnt_id_to_be, issr_typ as issr_typ_to_be FROM bu_loantape_work.lt002_instrument WHERE ref_date='2024-09-30' AND nome_perimetro='Individual Corporativo' AND segmento='ESTR' AND ambito='PM' AND entidade='00100' ) B ON instrmnt_id_as_is = instrmnt_id_to_be WHERE coalesce(cast(issr_typ_as_is as string), '') &lt;&gt; coalesce(cast(issr_typ_to_be as string), '') ) A UNION ALL</v>
      </c>
      <c r="P220" s="17">
        <f t="shared" si="30"/>
        <v>15</v>
      </c>
    </row>
    <row r="221" spans="2:16" s="15" customFormat="1" ht="11.45">
      <c r="B221" s="17" t="s">
        <v>26</v>
      </c>
      <c r="C221" s="17" t="str">
        <f>_xlfn.CONCAT(Instruções!$D$13,".",VLOOKUP(B221,Instruções!$F$12:$H$17,2,0))</f>
        <v>cd_loan_tapes_bce.lt002_instrument</v>
      </c>
      <c r="D221" s="17" t="str">
        <f>_xlfn.CONCAT(Instruções!$D$14,".",VLOOKUP(B221,Instruções!$F$12:$H$17,3,0))</f>
        <v>bu_loantape_work.lt002_instrument</v>
      </c>
      <c r="E221" s="17" t="s">
        <v>271</v>
      </c>
      <c r="F221" s="17" t="str">
        <f t="shared" si="24"/>
        <v>lcl_instmrnt_id_as_is</v>
      </c>
      <c r="G221" s="17" t="str">
        <f t="shared" si="25"/>
        <v>lcl_instmrnt_id_to_be</v>
      </c>
      <c r="H221" s="17" t="str">
        <f>IF(VLOOKUP(B221,Instruções!$F$13:$J$17,5,0)="",
"(SELECT "&amp;VLOOKUP(B221,Instruções!$F$13:$J$17,4,0)&amp;" as "&amp;VLOOKUP(B221,Instruções!$F$13:$J$17,4,0)&amp;"_"&amp;$F$2&amp;", "&amp;E221&amp;" as "&amp;F221&amp;" FROM "&amp;C221&amp;" WHERE "&amp;Instruções!$D$20&amp;") A ",
"(SELECT "&amp;VLOOKUP(B221,Instruções!$F$13:$J$17,4,0)&amp;" as "&amp;VLOOKUP(B221,Instruções!$F$13:$J$17,4,0)&amp;"_"&amp;$F$2&amp;", "&amp;VLOOKUP(B221,Instruções!$F$13:$J$17,5,0)&amp;" as "&amp;VLOOKUP(B221,Instruções!$F$13:$J$17,5,0)&amp;"_"&amp;$F$2&amp;","&amp;E221&amp;" as "&amp;F221&amp;" FROM "&amp;C221&amp;" WHERE "&amp;Instruções!$D$20&amp;") A ")</f>
        <v xml:space="preserve">(SELECT instrmnt_id as instrmnt_id_as_is, lcl_instmrnt_id as lcl_instmrnt_id_as_is FROM cd_loan_tapes_bce.lt002_instrument WHERE ref_date='2024-09-30' AND nome_perimetro='Individual Corporativo' AND segmento='ESTR' AND ambito='PM' AND entidade='00100' ) A </v>
      </c>
      <c r="I221" s="17" t="str">
        <f>IF(VLOOKUP(B221,Instruções!$F$13:$J$17,5,0)="",
"(SELECT "&amp;VLOOKUP(B221,Instruções!$F$13:$J$17,4,0)&amp;" as "&amp;VLOOKUP(B221,Instruções!$F$13:$J$17,4,0)&amp;"_"&amp;$G$2&amp;", "&amp;E221&amp;" as "&amp;G221&amp;" FROM "&amp;D221&amp;" WHERE "&amp;Instruções!$D$21&amp;") B ",
"(SELECT "&amp;VLOOKUP(B221,Instruções!$F$13:$J$17,4,0)&amp;" as "&amp;VLOOKUP(B221,Instruções!$F$13:$J$17,4,0)&amp;"_"&amp;$G$2&amp;", "&amp;VLOOKUP(B221,Instruções!$F$13:$J$17,5,0)&amp;" as "&amp;VLOOKUP(B221,Instruções!$F$13:$J$17,5,0)&amp;"_"&amp;$G$2&amp;","&amp;E221&amp;" as "&amp;G221&amp;" FROM "&amp;D221&amp;" WHERE "&amp;Instruções!$D$21&amp;") B ")</f>
        <v xml:space="preserve">(SELECT instrmnt_id as instrmnt_id_to_be, lcl_instmrnt_id as lcl_instmrnt_id_to_be FROM bu_loantape_work.lt002_instrument WHERE ref_date='2024-09-30' AND nome_perimetro='Individual Corporativo' AND segmento='ESTR' AND ambito='PM' AND entidade='00100' ) B </v>
      </c>
      <c r="J221" s="17" t="str">
        <f>IF(VLOOKUP(B221,Instruções!$F$13:$J$17,5,0)="",
"ON "&amp;VLOOKUP(B221,Instruções!$F$13:$J$17,4,0)&amp;"_"&amp;$F$2&amp;" = "&amp;VLOOKUP(B221,Instruções!$F$13:$J$17,4,0)&amp;"_"&amp;$G$2&amp;" ",
"ON "&amp;VLOOKUP(B221,Instruções!$F$13:$J$17,4,0)&amp;"_"&amp;$F$2&amp;" = "&amp;VLOOKUP(B221,Instruções!$F$13:$J$17,4,0)&amp;"_"&amp;$G$2&amp;" AND "&amp;VLOOKUP(B221,Instruções!$F$13:$J$17,5,0)&amp;"_"&amp;$F$2&amp;" = "&amp;VLOOKUP(B221,Instruções!$F$13:$J$17,5,0)&amp;"_"&amp;$G$2&amp;" ")</f>
        <v xml:space="preserve">ON instrmnt_id_as_is = instrmnt_id_to_be </v>
      </c>
      <c r="K221" s="17" t="str">
        <f t="shared" si="26"/>
        <v xml:space="preserve">WHERE coalesce(cast(lcl_instmrnt_id_as_is as string), '') &lt;&gt; coalesce(cast(lcl_instmrnt_id_to_be as string), '') </v>
      </c>
      <c r="L221" s="17" t="str">
        <f t="shared" si="27"/>
        <v xml:space="preserve">SELECT count(*) AS NUM_REG_DIF FROM (SELECT instrmnt_id as instrmnt_id_as_is, lcl_instmrnt_id as lcl_instmrnt_id_as_is FROM cd_loan_tapes_bce.lt002_instrument WHERE ref_date='2024-09-30' AND nome_perimetro='Individual Corporativo' AND segmento='ESTR' AND ambito='PM' AND entidade='00100' ) A  Inner join (SELECT instrmnt_id as instrmnt_id_to_be, lcl_instmrnt_id as lcl_instmrnt_id_to_be FROM bu_loantape_work.lt002_instrument WHERE ref_date='2024-09-30' AND nome_perimetro='Individual Corporativo' AND segmento='ESTR' AND ambito='PM' AND entidade='00100' ) B ON instrmnt_id_as_is = instrmnt_id_to_be WHERE coalesce(cast(lcl_instmrnt_id_as_is as string), '') &lt;&gt; coalesce(cast(lcl_instmrnt_id_to_be as string), '') </v>
      </c>
      <c r="M221" s="17" t="s">
        <v>55</v>
      </c>
      <c r="N221" s="17" t="str">
        <f>"SELECT 'Validação de campos' as tipologia_teste, '"&amp;VLOOKUP(B221,Instruções!$F$13:$J$17,3,0)&amp;"' AS TABELA, '"&amp;E221&amp;"' AS CAMPO, '"&amp;Instruções!$D$15&amp;"' as ref_date, coalesce(NUM_REG_DIF, 0) AS NUM_REG_DIF FROM ("&amp;L221&amp;") A "</f>
        <v xml:space="preserve">SELECT 'Validação de campos' as tipologia_teste, 'lt002_instrument' AS TABELA, 'lcl_instmrnt_id' AS CAMPO, '2024-09-30' as ref_date, coalesce(NUM_REG_DIF, 0) AS NUM_REG_DIF FROM (SELECT count(*) AS NUM_REG_DIF FROM (SELECT instrmnt_id as instrmnt_id_as_is, lcl_instmrnt_id as lcl_instmrnt_id_as_is FROM cd_loan_tapes_bce.lt002_instrument WHERE ref_date='2024-09-30' AND nome_perimetro='Individual Corporativo' AND segmento='ESTR' AND ambito='PM' AND entidade='00100' ) A  Inner join (SELECT instrmnt_id as instrmnt_id_to_be, lcl_instmrnt_id as lcl_instmrnt_id_to_be FROM bu_loantape_work.lt002_instrument WHERE ref_date='2024-09-30' AND nome_perimetro='Individual Corporativo' AND segmento='ESTR' AND ambito='PM' AND entidade='00100' ) B ON instrmnt_id_as_is = instrmnt_id_to_be WHERE coalesce(cast(lcl_instmrnt_id_as_is as string), '') &lt;&gt; coalesce(cast(lcl_instmrnt_id_to_be as string), '') ) A </v>
      </c>
      <c r="O221" s="19" t="str">
        <f t="shared" si="29"/>
        <v>SELECT 'Validação de campos' as tipologia_teste, 'lt002_instrument' AS TABELA, 'lcl_instmrnt_id' AS CAMPO, '2024-09-30' as ref_date, coalesce(NUM_REG_DIF, 0) AS NUM_REG_DIF FROM (SELECT count(*) AS NUM_REG_DIF FROM (SELECT instrmnt_id as instrmnt_id_as_is, lcl_instmrnt_id as lcl_instmrnt_id_as_is FROM cd_loan_tapes_bce.lt002_instrument WHERE ref_date='2024-09-30' AND nome_perimetro='Individual Corporativo' AND segmento='ESTR' AND ambito='PM' AND entidade='00100' ) A  Inner join (SELECT instrmnt_id as instrmnt_id_to_be, lcl_instmrnt_id as lcl_instmrnt_id_to_be FROM bu_loantape_work.lt002_instrument WHERE ref_date='2024-09-30' AND nome_perimetro='Individual Corporativo' AND segmento='ESTR' AND ambito='PM' AND entidade='00100' ) B ON instrmnt_id_as_is = instrmnt_id_to_be WHERE coalesce(cast(lcl_instmrnt_id_as_is as string), '') &lt;&gt; coalesce(cast(lcl_instmrnt_id_to_be as string), '') ) A UNION ALL</v>
      </c>
      <c r="P221" s="17">
        <f t="shared" si="30"/>
        <v>16</v>
      </c>
    </row>
    <row r="222" spans="2:16" s="15" customFormat="1" ht="11.45">
      <c r="B222" s="17" t="s">
        <v>26</v>
      </c>
      <c r="C222" s="17" t="str">
        <f>_xlfn.CONCAT(Instruções!$D$13,".",VLOOKUP(B222,Instruções!$F$12:$H$17,2,0))</f>
        <v>cd_loan_tapes_bce.lt002_instrument</v>
      </c>
      <c r="D222" s="17" t="str">
        <f>_xlfn.CONCAT(Instruções!$D$14,".",VLOOKUP(B222,Instruções!$F$12:$H$17,3,0))</f>
        <v>bu_loantape_work.lt002_instrument</v>
      </c>
      <c r="E222" s="17" t="s">
        <v>272</v>
      </c>
      <c r="F222" s="17" t="str">
        <f t="shared" si="24"/>
        <v>lcr_bffr_ctgry_as_is</v>
      </c>
      <c r="G222" s="17" t="str">
        <f t="shared" si="25"/>
        <v>lcr_bffr_ctgry_to_be</v>
      </c>
      <c r="H222" s="17" t="str">
        <f>IF(VLOOKUP(B222,Instruções!$F$13:$J$17,5,0)="",
"(SELECT "&amp;VLOOKUP(B222,Instruções!$F$13:$J$17,4,0)&amp;" as "&amp;VLOOKUP(B222,Instruções!$F$13:$J$17,4,0)&amp;"_"&amp;$F$2&amp;", "&amp;E222&amp;" as "&amp;F222&amp;" FROM "&amp;C222&amp;" WHERE "&amp;Instruções!$D$20&amp;") A ",
"(SELECT "&amp;VLOOKUP(B222,Instruções!$F$13:$J$17,4,0)&amp;" as "&amp;VLOOKUP(B222,Instruções!$F$13:$J$17,4,0)&amp;"_"&amp;$F$2&amp;", "&amp;VLOOKUP(B222,Instruções!$F$13:$J$17,5,0)&amp;" as "&amp;VLOOKUP(B222,Instruções!$F$13:$J$17,5,0)&amp;"_"&amp;$F$2&amp;","&amp;E222&amp;" as "&amp;F222&amp;" FROM "&amp;C222&amp;" WHERE "&amp;Instruções!$D$20&amp;") A ")</f>
        <v xml:space="preserve">(SELECT instrmnt_id as instrmnt_id_as_is, lcr_bffr_ctgry as lcr_bffr_ctgry_as_is FROM cd_loan_tapes_bce.lt002_instrument WHERE ref_date='2024-09-30' AND nome_perimetro='Individual Corporativo' AND segmento='ESTR' AND ambito='PM' AND entidade='00100' ) A </v>
      </c>
      <c r="I222" s="17" t="str">
        <f>IF(VLOOKUP(B222,Instruções!$F$13:$J$17,5,0)="",
"(SELECT "&amp;VLOOKUP(B222,Instruções!$F$13:$J$17,4,0)&amp;" as "&amp;VLOOKUP(B222,Instruções!$F$13:$J$17,4,0)&amp;"_"&amp;$G$2&amp;", "&amp;E222&amp;" as "&amp;G222&amp;" FROM "&amp;D222&amp;" WHERE "&amp;Instruções!$D$21&amp;") B ",
"(SELECT "&amp;VLOOKUP(B222,Instruções!$F$13:$J$17,4,0)&amp;" as "&amp;VLOOKUP(B222,Instruções!$F$13:$J$17,4,0)&amp;"_"&amp;$G$2&amp;", "&amp;VLOOKUP(B222,Instruções!$F$13:$J$17,5,0)&amp;" as "&amp;VLOOKUP(B222,Instruções!$F$13:$J$17,5,0)&amp;"_"&amp;$G$2&amp;","&amp;E222&amp;" as "&amp;G222&amp;" FROM "&amp;D222&amp;" WHERE "&amp;Instruções!$D$21&amp;") B ")</f>
        <v xml:space="preserve">(SELECT instrmnt_id as instrmnt_id_to_be, lcr_bffr_ctgry as lcr_bffr_ctgry_to_be FROM bu_loantape_work.lt002_instrument WHERE ref_date='2024-09-30' AND nome_perimetro='Individual Corporativo' AND segmento='ESTR' AND ambito='PM' AND entidade='00100' ) B </v>
      </c>
      <c r="J222" s="17" t="str">
        <f>IF(VLOOKUP(B222,Instruções!$F$13:$J$17,5,0)="",
"ON "&amp;VLOOKUP(B222,Instruções!$F$13:$J$17,4,0)&amp;"_"&amp;$F$2&amp;" = "&amp;VLOOKUP(B222,Instruções!$F$13:$J$17,4,0)&amp;"_"&amp;$G$2&amp;" ",
"ON "&amp;VLOOKUP(B222,Instruções!$F$13:$J$17,4,0)&amp;"_"&amp;$F$2&amp;" = "&amp;VLOOKUP(B222,Instruções!$F$13:$J$17,4,0)&amp;"_"&amp;$G$2&amp;" AND "&amp;VLOOKUP(B222,Instruções!$F$13:$J$17,5,0)&amp;"_"&amp;$F$2&amp;" = "&amp;VLOOKUP(B222,Instruções!$F$13:$J$17,5,0)&amp;"_"&amp;$G$2&amp;" ")</f>
        <v xml:space="preserve">ON instrmnt_id_as_is = instrmnt_id_to_be </v>
      </c>
      <c r="K222" s="17" t="str">
        <f t="shared" si="26"/>
        <v xml:space="preserve">WHERE coalesce(cast(lcr_bffr_ctgry_as_is as string), '') &lt;&gt; coalesce(cast(lcr_bffr_ctgry_to_be as string), '') </v>
      </c>
      <c r="L222" s="17" t="str">
        <f t="shared" si="27"/>
        <v xml:space="preserve">SELECT count(*) AS NUM_REG_DIF FROM (SELECT instrmnt_id as instrmnt_id_as_is, lcr_bffr_ctgry as lcr_bffr_ctgry_as_is FROM cd_loan_tapes_bce.lt002_instrument WHERE ref_date='2024-09-30' AND nome_perimetro='Individual Corporativo' AND segmento='ESTR' AND ambito='PM' AND entidade='00100' ) A  Inner join (SELECT instrmnt_id as instrmnt_id_to_be, lcr_bffr_ctgry as lcr_bffr_ctgry_to_be FROM bu_loantape_work.lt002_instrument WHERE ref_date='2024-09-30' AND nome_perimetro='Individual Corporativo' AND segmento='ESTR' AND ambito='PM' AND entidade='00100' ) B ON instrmnt_id_as_is = instrmnt_id_to_be WHERE coalesce(cast(lcr_bffr_ctgry_as_is as string), '') &lt;&gt; coalesce(cast(lcr_bffr_ctgry_to_be as string), '') </v>
      </c>
      <c r="M222" s="17" t="s">
        <v>55</v>
      </c>
      <c r="N222" s="17" t="str">
        <f>"SELECT 'Validação de campos' as tipologia_teste, '"&amp;VLOOKUP(B222,Instruções!$F$13:$J$17,3,0)&amp;"' AS TABELA, '"&amp;E222&amp;"' AS CAMPO, '"&amp;Instruções!$D$15&amp;"' as ref_date, coalesce(NUM_REG_DIF, 0) AS NUM_REG_DIF FROM ("&amp;L222&amp;") A "</f>
        <v xml:space="preserve">SELECT 'Validação de campos' as tipologia_teste, 'lt002_instrument' AS TABELA, 'lcr_bffr_ctgry' AS CAMPO, '2024-09-30' as ref_date, coalesce(NUM_REG_DIF, 0) AS NUM_REG_DIF FROM (SELECT count(*) AS NUM_REG_DIF FROM (SELECT instrmnt_id as instrmnt_id_as_is, lcr_bffr_ctgry as lcr_bffr_ctgry_as_is FROM cd_loan_tapes_bce.lt002_instrument WHERE ref_date='2024-09-30' AND nome_perimetro='Individual Corporativo' AND segmento='ESTR' AND ambito='PM' AND entidade='00100' ) A  Inner join (SELECT instrmnt_id as instrmnt_id_to_be, lcr_bffr_ctgry as lcr_bffr_ctgry_to_be FROM bu_loantape_work.lt002_instrument WHERE ref_date='2024-09-30' AND nome_perimetro='Individual Corporativo' AND segmento='ESTR' AND ambito='PM' AND entidade='00100' ) B ON instrmnt_id_as_is = instrmnt_id_to_be WHERE coalesce(cast(lcr_bffr_ctgry_as_is as string), '') &lt;&gt; coalesce(cast(lcr_bffr_ctgry_to_be as string), '') ) A </v>
      </c>
      <c r="O222" s="19" t="str">
        <f t="shared" si="29"/>
        <v>SELECT 'Validação de campos' as tipologia_teste, 'lt002_instrument' AS TABELA, 'lcr_bffr_ctgry' AS CAMPO, '2024-09-30' as ref_date, coalesce(NUM_REG_DIF, 0) AS NUM_REG_DIF FROM (SELECT count(*) AS NUM_REG_DIF FROM (SELECT instrmnt_id as instrmnt_id_as_is, lcr_bffr_ctgry as lcr_bffr_ctgry_as_is FROM cd_loan_tapes_bce.lt002_instrument WHERE ref_date='2024-09-30' AND nome_perimetro='Individual Corporativo' AND segmento='ESTR' AND ambito='PM' AND entidade='00100' ) A  Inner join (SELECT instrmnt_id as instrmnt_id_to_be, lcr_bffr_ctgry as lcr_bffr_ctgry_to_be FROM bu_loantape_work.lt002_instrument WHERE ref_date='2024-09-30' AND nome_perimetro='Individual Corporativo' AND segmento='ESTR' AND ambito='PM' AND entidade='00100' ) B ON instrmnt_id_as_is = instrmnt_id_to_be WHERE coalesce(cast(lcr_bffr_ctgry_as_is as string), '') &lt;&gt; coalesce(cast(lcr_bffr_ctgry_to_be as string), '') ) A UNION ALL</v>
      </c>
      <c r="P222" s="17">
        <f t="shared" si="30"/>
        <v>17</v>
      </c>
    </row>
    <row r="223" spans="2:16" s="15" customFormat="1" ht="11.45">
      <c r="B223" s="17" t="s">
        <v>26</v>
      </c>
      <c r="C223" s="17" t="str">
        <f>_xlfn.CONCAT(Instruções!$D$13,".",VLOOKUP(B223,Instruções!$F$12:$H$17,2,0))</f>
        <v>cd_loan_tapes_bce.lt002_instrument</v>
      </c>
      <c r="D223" s="17" t="str">
        <f>_xlfn.CONCAT(Instruções!$D$14,".",VLOOKUP(B223,Instruções!$F$12:$H$17,3,0))</f>
        <v>bu_loantape_work.lt002_instrument</v>
      </c>
      <c r="E223" s="17" t="s">
        <v>273</v>
      </c>
      <c r="F223" s="17" t="str">
        <f t="shared" si="24"/>
        <v>lcre_as_is</v>
      </c>
      <c r="G223" s="17" t="str">
        <f t="shared" si="25"/>
        <v>lcre_to_be</v>
      </c>
      <c r="H223" s="17" t="str">
        <f>IF(VLOOKUP(B223,Instruções!$F$13:$J$17,5,0)="",
"(SELECT "&amp;VLOOKUP(B223,Instruções!$F$13:$J$17,4,0)&amp;" as "&amp;VLOOKUP(B223,Instruções!$F$13:$J$17,4,0)&amp;"_"&amp;$F$2&amp;", "&amp;E223&amp;" as "&amp;F223&amp;" FROM "&amp;C223&amp;" WHERE "&amp;Instruções!$D$20&amp;") A ",
"(SELECT "&amp;VLOOKUP(B223,Instruções!$F$13:$J$17,4,0)&amp;" as "&amp;VLOOKUP(B223,Instruções!$F$13:$J$17,4,0)&amp;"_"&amp;$F$2&amp;", "&amp;VLOOKUP(B223,Instruções!$F$13:$J$17,5,0)&amp;" as "&amp;VLOOKUP(B223,Instruções!$F$13:$J$17,5,0)&amp;"_"&amp;$F$2&amp;","&amp;E223&amp;" as "&amp;F223&amp;" FROM "&amp;C223&amp;" WHERE "&amp;Instruções!$D$20&amp;") A ")</f>
        <v xml:space="preserve">(SELECT instrmnt_id as instrmnt_id_as_is, lcre as lcre_as_is FROM cd_loan_tapes_bce.lt002_instrument WHERE ref_date='2024-09-30' AND nome_perimetro='Individual Corporativo' AND segmento='ESTR' AND ambito='PM' AND entidade='00100' ) A </v>
      </c>
      <c r="I223" s="17" t="str">
        <f>IF(VLOOKUP(B223,Instruções!$F$13:$J$17,5,0)="",
"(SELECT "&amp;VLOOKUP(B223,Instruções!$F$13:$J$17,4,0)&amp;" as "&amp;VLOOKUP(B223,Instruções!$F$13:$J$17,4,0)&amp;"_"&amp;$G$2&amp;", "&amp;E223&amp;" as "&amp;G223&amp;" FROM "&amp;D223&amp;" WHERE "&amp;Instruções!$D$21&amp;") B ",
"(SELECT "&amp;VLOOKUP(B223,Instruções!$F$13:$J$17,4,0)&amp;" as "&amp;VLOOKUP(B223,Instruções!$F$13:$J$17,4,0)&amp;"_"&amp;$G$2&amp;", "&amp;VLOOKUP(B223,Instruções!$F$13:$J$17,5,0)&amp;" as "&amp;VLOOKUP(B223,Instruções!$F$13:$J$17,5,0)&amp;"_"&amp;$G$2&amp;","&amp;E223&amp;" as "&amp;G223&amp;" FROM "&amp;D223&amp;" WHERE "&amp;Instruções!$D$21&amp;") B ")</f>
        <v xml:space="preserve">(SELECT instrmnt_id as instrmnt_id_to_be, lcre as lcre_to_be FROM bu_loantape_work.lt002_instrument WHERE ref_date='2024-09-30' AND nome_perimetro='Individual Corporativo' AND segmento='ESTR' AND ambito='PM' AND entidade='00100' ) B </v>
      </c>
      <c r="J223" s="17" t="str">
        <f>IF(VLOOKUP(B223,Instruções!$F$13:$J$17,5,0)="",
"ON "&amp;VLOOKUP(B223,Instruções!$F$13:$J$17,4,0)&amp;"_"&amp;$F$2&amp;" = "&amp;VLOOKUP(B223,Instruções!$F$13:$J$17,4,0)&amp;"_"&amp;$G$2&amp;" ",
"ON "&amp;VLOOKUP(B223,Instruções!$F$13:$J$17,4,0)&amp;"_"&amp;$F$2&amp;" = "&amp;VLOOKUP(B223,Instruções!$F$13:$J$17,4,0)&amp;"_"&amp;$G$2&amp;" AND "&amp;VLOOKUP(B223,Instruções!$F$13:$J$17,5,0)&amp;"_"&amp;$F$2&amp;" = "&amp;VLOOKUP(B223,Instruções!$F$13:$J$17,5,0)&amp;"_"&amp;$G$2&amp;" ")</f>
        <v xml:space="preserve">ON instrmnt_id_as_is = instrmnt_id_to_be </v>
      </c>
      <c r="K223" s="17" t="str">
        <f t="shared" si="26"/>
        <v xml:space="preserve">WHERE coalesce(cast(lcre_as_is as string), '') &lt;&gt; coalesce(cast(lcre_to_be as string), '') </v>
      </c>
      <c r="L223" s="17" t="str">
        <f t="shared" si="27"/>
        <v xml:space="preserve">SELECT count(*) AS NUM_REG_DIF FROM (SELECT instrmnt_id as instrmnt_id_as_is, lcre as lcre_as_is FROM cd_loan_tapes_bce.lt002_instrument WHERE ref_date='2024-09-30' AND nome_perimetro='Individual Corporativo' AND segmento='ESTR' AND ambito='PM' AND entidade='00100' ) A  Inner join (SELECT instrmnt_id as instrmnt_id_to_be, lcre as lcre_to_be FROM bu_loantape_work.lt002_instrument WHERE ref_date='2024-09-30' AND nome_perimetro='Individual Corporativo' AND segmento='ESTR' AND ambito='PM' AND entidade='00100' ) B ON instrmnt_id_as_is = instrmnt_id_to_be WHERE coalesce(cast(lcre_as_is as string), '') &lt;&gt; coalesce(cast(lcre_to_be as string), '') </v>
      </c>
      <c r="M223" s="17" t="s">
        <v>55</v>
      </c>
      <c r="N223" s="17" t="str">
        <f>"SELECT 'Validação de campos' as tipologia_teste, '"&amp;VLOOKUP(B223,Instruções!$F$13:$J$17,3,0)&amp;"' AS TABELA, '"&amp;E223&amp;"' AS CAMPO, '"&amp;Instruções!$D$15&amp;"' as ref_date, coalesce(NUM_REG_DIF, 0) AS NUM_REG_DIF FROM ("&amp;L223&amp;") A "</f>
        <v xml:space="preserve">SELECT 'Validação de campos' as tipologia_teste, 'lt002_instrument' AS TABELA, 'lcre' AS CAMPO, '2024-09-30' as ref_date, coalesce(NUM_REG_DIF, 0) AS NUM_REG_DIF FROM (SELECT count(*) AS NUM_REG_DIF FROM (SELECT instrmnt_id as instrmnt_id_as_is, lcre as lcre_as_is FROM cd_loan_tapes_bce.lt002_instrument WHERE ref_date='2024-09-30' AND nome_perimetro='Individual Corporativo' AND segmento='ESTR' AND ambito='PM' AND entidade='00100' ) A  Inner join (SELECT instrmnt_id as instrmnt_id_to_be, lcre as lcre_to_be FROM bu_loantape_work.lt002_instrument WHERE ref_date='2024-09-30' AND nome_perimetro='Individual Corporativo' AND segmento='ESTR' AND ambito='PM' AND entidade='00100' ) B ON instrmnt_id_as_is = instrmnt_id_to_be WHERE coalesce(cast(lcre_as_is as string), '') &lt;&gt; coalesce(cast(lcre_to_be as string), '') ) A </v>
      </c>
      <c r="O223" s="19" t="str">
        <f t="shared" si="29"/>
        <v>SELECT 'Validação de campos' as tipologia_teste, 'lt002_instrument' AS TABELA, 'lcre' AS CAMPO, '2024-09-30' as ref_date, coalesce(NUM_REG_DIF, 0) AS NUM_REG_DIF FROM (SELECT count(*) AS NUM_REG_DIF FROM (SELECT instrmnt_id as instrmnt_id_as_is, lcre as lcre_as_is FROM cd_loan_tapes_bce.lt002_instrument WHERE ref_date='2024-09-30' AND nome_perimetro='Individual Corporativo' AND segmento='ESTR' AND ambito='PM' AND entidade='00100' ) A  Inner join (SELECT instrmnt_id as instrmnt_id_to_be, lcre as lcre_to_be FROM bu_loantape_work.lt002_instrument WHERE ref_date='2024-09-30' AND nome_perimetro='Individual Corporativo' AND segmento='ESTR' AND ambito='PM' AND entidade='00100' ) B ON instrmnt_id_as_is = instrmnt_id_to_be WHERE coalesce(cast(lcre_as_is as string), '') &lt;&gt; coalesce(cast(lcre_to_be as string), '') ) A UNION ALL</v>
      </c>
      <c r="P223" s="17">
        <f t="shared" si="30"/>
        <v>18</v>
      </c>
    </row>
    <row r="224" spans="2:16" s="15" customFormat="1" ht="11.45">
      <c r="B224" s="17" t="s">
        <v>26</v>
      </c>
      <c r="C224" s="17" t="str">
        <f>_xlfn.CONCAT(Instruções!$D$13,".",VLOOKUP(B224,Instruções!$F$12:$H$17,2,0))</f>
        <v>cd_loan_tapes_bce.lt002_instrument</v>
      </c>
      <c r="D224" s="17" t="str">
        <f>_xlfn.CONCAT(Instruções!$D$14,".",VLOOKUP(B224,Instruções!$F$12:$H$17,3,0))</f>
        <v>bu_loantape_work.lt002_instrument</v>
      </c>
      <c r="E224" s="17" t="s">
        <v>274</v>
      </c>
      <c r="F224" s="17" t="str">
        <f t="shared" si="24"/>
        <v>lgd_as_is</v>
      </c>
      <c r="G224" s="17" t="str">
        <f t="shared" si="25"/>
        <v>lgd_to_be</v>
      </c>
      <c r="H224" s="17" t="str">
        <f>IF(VLOOKUP(B224,Instruções!$F$13:$J$17,5,0)="",
"(SELECT "&amp;VLOOKUP(B224,Instruções!$F$13:$J$17,4,0)&amp;" as "&amp;VLOOKUP(B224,Instruções!$F$13:$J$17,4,0)&amp;"_"&amp;$F$2&amp;", "&amp;E224&amp;" as "&amp;F224&amp;" FROM "&amp;C224&amp;" WHERE "&amp;Instruções!$D$20&amp;") A ",
"(SELECT "&amp;VLOOKUP(B224,Instruções!$F$13:$J$17,4,0)&amp;" as "&amp;VLOOKUP(B224,Instruções!$F$13:$J$17,4,0)&amp;"_"&amp;$F$2&amp;", "&amp;VLOOKUP(B224,Instruções!$F$13:$J$17,5,0)&amp;" as "&amp;VLOOKUP(B224,Instruções!$F$13:$J$17,5,0)&amp;"_"&amp;$F$2&amp;","&amp;E224&amp;" as "&amp;F224&amp;" FROM "&amp;C224&amp;" WHERE "&amp;Instruções!$D$20&amp;") A ")</f>
        <v xml:space="preserve">(SELECT instrmnt_id as instrmnt_id_as_is, lgd as lgd_as_is FROM cd_loan_tapes_bce.lt002_instrument WHERE ref_date='2024-09-30' AND nome_perimetro='Individual Corporativo' AND segmento='ESTR' AND ambito='PM' AND entidade='00100' ) A </v>
      </c>
      <c r="I224" s="17" t="str">
        <f>IF(VLOOKUP(B224,Instruções!$F$13:$J$17,5,0)="",
"(SELECT "&amp;VLOOKUP(B224,Instruções!$F$13:$J$17,4,0)&amp;" as "&amp;VLOOKUP(B224,Instruções!$F$13:$J$17,4,0)&amp;"_"&amp;$G$2&amp;", "&amp;E224&amp;" as "&amp;G224&amp;" FROM "&amp;D224&amp;" WHERE "&amp;Instruções!$D$21&amp;") B ",
"(SELECT "&amp;VLOOKUP(B224,Instruções!$F$13:$J$17,4,0)&amp;" as "&amp;VLOOKUP(B224,Instruções!$F$13:$J$17,4,0)&amp;"_"&amp;$G$2&amp;", "&amp;VLOOKUP(B224,Instruções!$F$13:$J$17,5,0)&amp;" as "&amp;VLOOKUP(B224,Instruções!$F$13:$J$17,5,0)&amp;"_"&amp;$G$2&amp;","&amp;E224&amp;" as "&amp;G224&amp;" FROM "&amp;D224&amp;" WHERE "&amp;Instruções!$D$21&amp;") B ")</f>
        <v xml:space="preserve">(SELECT instrmnt_id as instrmnt_id_to_be, lgd as lgd_to_be FROM bu_loantape_work.lt002_instrument WHERE ref_date='2024-09-30' AND nome_perimetro='Individual Corporativo' AND segmento='ESTR' AND ambito='PM' AND entidade='00100' ) B </v>
      </c>
      <c r="J224" s="17" t="str">
        <f>IF(VLOOKUP(B224,Instruções!$F$13:$J$17,5,0)="",
"ON "&amp;VLOOKUP(B224,Instruções!$F$13:$J$17,4,0)&amp;"_"&amp;$F$2&amp;" = "&amp;VLOOKUP(B224,Instruções!$F$13:$J$17,4,0)&amp;"_"&amp;$G$2&amp;" ",
"ON "&amp;VLOOKUP(B224,Instruções!$F$13:$J$17,4,0)&amp;"_"&amp;$F$2&amp;" = "&amp;VLOOKUP(B224,Instruções!$F$13:$J$17,4,0)&amp;"_"&amp;$G$2&amp;" AND "&amp;VLOOKUP(B224,Instruções!$F$13:$J$17,5,0)&amp;"_"&amp;$F$2&amp;" = "&amp;VLOOKUP(B224,Instruções!$F$13:$J$17,5,0)&amp;"_"&amp;$G$2&amp;" ")</f>
        <v xml:space="preserve">ON instrmnt_id_as_is = instrmnt_id_to_be </v>
      </c>
      <c r="K224" s="17" t="str">
        <f t="shared" si="26"/>
        <v xml:space="preserve">WHERE coalesce(cast(lgd_as_is as string), '') &lt;&gt; coalesce(cast(lgd_to_be as string), '') </v>
      </c>
      <c r="L224" s="17" t="str">
        <f t="shared" si="27"/>
        <v xml:space="preserve">SELECT count(*) AS NUM_REG_DIF FROM (SELECT instrmnt_id as instrmnt_id_as_is, lgd as lgd_as_is FROM cd_loan_tapes_bce.lt002_instrument WHERE ref_date='2024-09-30' AND nome_perimetro='Individual Corporativo' AND segmento='ESTR' AND ambito='PM' AND entidade='00100' ) A  Inner join (SELECT instrmnt_id as instrmnt_id_to_be, lgd as lgd_to_be FROM bu_loantape_work.lt002_instrument WHERE ref_date='2024-09-30' AND nome_perimetro='Individual Corporativo' AND segmento='ESTR' AND ambito='PM' AND entidade='00100' ) B ON instrmnt_id_as_is = instrmnt_id_to_be WHERE coalesce(cast(lgd_as_is as string), '') &lt;&gt; coalesce(cast(lgd_to_be as string), '') </v>
      </c>
      <c r="M224" s="17" t="s">
        <v>55</v>
      </c>
      <c r="N224" s="17" t="str">
        <f>"SELECT 'Validação de campos' as tipologia_teste, '"&amp;VLOOKUP(B224,Instruções!$F$13:$J$17,3,0)&amp;"' AS TABELA, '"&amp;E224&amp;"' AS CAMPO, '"&amp;Instruções!$D$15&amp;"' as ref_date, coalesce(NUM_REG_DIF, 0) AS NUM_REG_DIF FROM ("&amp;L224&amp;") A "</f>
        <v xml:space="preserve">SELECT 'Validação de campos' as tipologia_teste, 'lt002_instrument' AS TABELA, 'lgd' AS CAMPO, '2024-09-30' as ref_date, coalesce(NUM_REG_DIF, 0) AS NUM_REG_DIF FROM (SELECT count(*) AS NUM_REG_DIF FROM (SELECT instrmnt_id as instrmnt_id_as_is, lgd as lgd_as_is FROM cd_loan_tapes_bce.lt002_instrument WHERE ref_date='2024-09-30' AND nome_perimetro='Individual Corporativo' AND segmento='ESTR' AND ambito='PM' AND entidade='00100' ) A  Inner join (SELECT instrmnt_id as instrmnt_id_to_be, lgd as lgd_to_be FROM bu_loantape_work.lt002_instrument WHERE ref_date='2024-09-30' AND nome_perimetro='Individual Corporativo' AND segmento='ESTR' AND ambito='PM' AND entidade='00100' ) B ON instrmnt_id_as_is = instrmnt_id_to_be WHERE coalesce(cast(lgd_as_is as string), '') &lt;&gt; coalesce(cast(lgd_to_be as string), '') ) A </v>
      </c>
      <c r="O224" s="19" t="str">
        <f t="shared" si="29"/>
        <v>SELECT 'Validação de campos' as tipologia_teste, 'lt002_instrument' AS TABELA, 'lgd' AS CAMPO, '2024-09-30' as ref_date, coalesce(NUM_REG_DIF, 0) AS NUM_REG_DIF FROM (SELECT count(*) AS NUM_REG_DIF FROM (SELECT instrmnt_id as instrmnt_id_as_is, lgd as lgd_as_is FROM cd_loan_tapes_bce.lt002_instrument WHERE ref_date='2024-09-30' AND nome_perimetro='Individual Corporativo' AND segmento='ESTR' AND ambito='PM' AND entidade='00100' ) A  Inner join (SELECT instrmnt_id as instrmnt_id_to_be, lgd as lgd_to_be FROM bu_loantape_work.lt002_instrument WHERE ref_date='2024-09-30' AND nome_perimetro='Individual Corporativo' AND segmento='ESTR' AND ambito='PM' AND entidade='00100' ) B ON instrmnt_id_as_is = instrmnt_id_to_be WHERE coalesce(cast(lgd_as_is as string), '') &lt;&gt; coalesce(cast(lgd_to_be as string), '') ) A UNION ALL</v>
      </c>
      <c r="P224" s="17">
        <f t="shared" si="30"/>
        <v>19</v>
      </c>
    </row>
    <row r="225" spans="2:16" s="15" customFormat="1" ht="11.45">
      <c r="B225" s="17" t="s">
        <v>26</v>
      </c>
      <c r="C225" s="17" t="str">
        <f>_xlfn.CONCAT(Instruções!$D$13,".",VLOOKUP(B225,Instruções!$F$12:$H$17,2,0))</f>
        <v>cd_loan_tapes_bce.lt002_instrument</v>
      </c>
      <c r="D225" s="17" t="str">
        <f>_xlfn.CONCAT(Instruções!$D$14,".",VLOOKUP(B225,Instruções!$F$12:$H$17,3,0))</f>
        <v>bu_loantape_work.lt002_instrument</v>
      </c>
      <c r="E225" s="17" t="s">
        <v>275</v>
      </c>
      <c r="F225" s="17" t="str">
        <f t="shared" si="24"/>
        <v>lgl_prcdng_stts_as_is</v>
      </c>
      <c r="G225" s="17" t="str">
        <f t="shared" si="25"/>
        <v>lgl_prcdng_stts_to_be</v>
      </c>
      <c r="H225" s="17" t="str">
        <f>IF(VLOOKUP(B225,Instruções!$F$13:$J$17,5,0)="",
"(SELECT "&amp;VLOOKUP(B225,Instruções!$F$13:$J$17,4,0)&amp;" as "&amp;VLOOKUP(B225,Instruções!$F$13:$J$17,4,0)&amp;"_"&amp;$F$2&amp;", "&amp;E225&amp;" as "&amp;F225&amp;" FROM "&amp;C225&amp;" WHERE "&amp;Instruções!$D$20&amp;") A ",
"(SELECT "&amp;VLOOKUP(B225,Instruções!$F$13:$J$17,4,0)&amp;" as "&amp;VLOOKUP(B225,Instruções!$F$13:$J$17,4,0)&amp;"_"&amp;$F$2&amp;", "&amp;VLOOKUP(B225,Instruções!$F$13:$J$17,5,0)&amp;" as "&amp;VLOOKUP(B225,Instruções!$F$13:$J$17,5,0)&amp;"_"&amp;$F$2&amp;","&amp;E225&amp;" as "&amp;F225&amp;" FROM "&amp;C225&amp;" WHERE "&amp;Instruções!$D$20&amp;") A ")</f>
        <v xml:space="preserve">(SELECT instrmnt_id as instrmnt_id_as_is, lgl_prcdng_stts as lgl_prcdng_stts_as_is FROM cd_loan_tapes_bce.lt002_instrument WHERE ref_date='2024-09-30' AND nome_perimetro='Individual Corporativo' AND segmento='ESTR' AND ambito='PM' AND entidade='00100' ) A </v>
      </c>
      <c r="I225" s="17" t="str">
        <f>IF(VLOOKUP(B225,Instruções!$F$13:$J$17,5,0)="",
"(SELECT "&amp;VLOOKUP(B225,Instruções!$F$13:$J$17,4,0)&amp;" as "&amp;VLOOKUP(B225,Instruções!$F$13:$J$17,4,0)&amp;"_"&amp;$G$2&amp;", "&amp;E225&amp;" as "&amp;G225&amp;" FROM "&amp;D225&amp;" WHERE "&amp;Instruções!$D$21&amp;") B ",
"(SELECT "&amp;VLOOKUP(B225,Instruções!$F$13:$J$17,4,0)&amp;" as "&amp;VLOOKUP(B225,Instruções!$F$13:$J$17,4,0)&amp;"_"&amp;$G$2&amp;", "&amp;VLOOKUP(B225,Instruções!$F$13:$J$17,5,0)&amp;" as "&amp;VLOOKUP(B225,Instruções!$F$13:$J$17,5,0)&amp;"_"&amp;$G$2&amp;","&amp;E225&amp;" as "&amp;G225&amp;" FROM "&amp;D225&amp;" WHERE "&amp;Instruções!$D$21&amp;") B ")</f>
        <v xml:space="preserve">(SELECT instrmnt_id as instrmnt_id_to_be, lgl_prcdng_stts as lgl_prcdng_stts_to_be FROM bu_loantape_work.lt002_instrument WHERE ref_date='2024-09-30' AND nome_perimetro='Individual Corporativo' AND segmento='ESTR' AND ambito='PM' AND entidade='00100' ) B </v>
      </c>
      <c r="J225" s="17" t="str">
        <f>IF(VLOOKUP(B225,Instruções!$F$13:$J$17,5,0)="",
"ON "&amp;VLOOKUP(B225,Instruções!$F$13:$J$17,4,0)&amp;"_"&amp;$F$2&amp;" = "&amp;VLOOKUP(B225,Instruções!$F$13:$J$17,4,0)&amp;"_"&amp;$G$2&amp;" ",
"ON "&amp;VLOOKUP(B225,Instruções!$F$13:$J$17,4,0)&amp;"_"&amp;$F$2&amp;" = "&amp;VLOOKUP(B225,Instruções!$F$13:$J$17,4,0)&amp;"_"&amp;$G$2&amp;" AND "&amp;VLOOKUP(B225,Instruções!$F$13:$J$17,5,0)&amp;"_"&amp;$F$2&amp;" = "&amp;VLOOKUP(B225,Instruções!$F$13:$J$17,5,0)&amp;"_"&amp;$G$2&amp;" ")</f>
        <v xml:space="preserve">ON instrmnt_id_as_is = instrmnt_id_to_be </v>
      </c>
      <c r="K225" s="17" t="str">
        <f t="shared" si="26"/>
        <v xml:space="preserve">WHERE coalesce(cast(lgl_prcdng_stts_as_is as string), '') &lt;&gt; coalesce(cast(lgl_prcdng_stts_to_be as string), '') </v>
      </c>
      <c r="L225" s="17" t="str">
        <f t="shared" si="27"/>
        <v xml:space="preserve">SELECT count(*) AS NUM_REG_DIF FROM (SELECT instrmnt_id as instrmnt_id_as_is, lgl_prcdng_stts as lgl_prcdng_stts_as_is FROM cd_loan_tapes_bce.lt002_instrument WHERE ref_date='2024-09-30' AND nome_perimetro='Individual Corporativo' AND segmento='ESTR' AND ambito='PM' AND entidade='00100' ) A  Inner join (SELECT instrmnt_id as instrmnt_id_to_be, lgl_prcdng_stts as lgl_prcdng_stts_to_be FROM bu_loantape_work.lt002_instrument WHERE ref_date='2024-09-30' AND nome_perimetro='Individual Corporativo' AND segmento='ESTR' AND ambito='PM' AND entidade='00100' ) B ON instrmnt_id_as_is = instrmnt_id_to_be WHERE coalesce(cast(lgl_prcdng_stts_as_is as string), '') &lt;&gt; coalesce(cast(lgl_prcdng_stts_to_be as string), '') </v>
      </c>
      <c r="M225" s="17" t="s">
        <v>55</v>
      </c>
      <c r="N225" s="17" t="str">
        <f>"SELECT 'Validação de campos' as tipologia_teste, '"&amp;VLOOKUP(B225,Instruções!$F$13:$J$17,3,0)&amp;"' AS TABELA, '"&amp;E225&amp;"' AS CAMPO, '"&amp;Instruções!$D$15&amp;"' as ref_date, coalesce(NUM_REG_DIF, 0) AS NUM_REG_DIF FROM ("&amp;L225&amp;") A "</f>
        <v xml:space="preserve">SELECT 'Validação de campos' as tipologia_teste, 'lt002_instrument' AS TABELA, 'lgl_prcdng_stts' AS CAMPO, '2024-09-30' as ref_date, coalesce(NUM_REG_DIF, 0) AS NUM_REG_DIF FROM (SELECT count(*) AS NUM_REG_DIF FROM (SELECT instrmnt_id as instrmnt_id_as_is, lgl_prcdng_stts as lgl_prcdng_stts_as_is FROM cd_loan_tapes_bce.lt002_instrument WHERE ref_date='2024-09-30' AND nome_perimetro='Individual Corporativo' AND segmento='ESTR' AND ambito='PM' AND entidade='00100' ) A  Inner join (SELECT instrmnt_id as instrmnt_id_to_be, lgl_prcdng_stts as lgl_prcdng_stts_to_be FROM bu_loantape_work.lt002_instrument WHERE ref_date='2024-09-30' AND nome_perimetro='Individual Corporativo' AND segmento='ESTR' AND ambito='PM' AND entidade='00100' ) B ON instrmnt_id_as_is = instrmnt_id_to_be WHERE coalesce(cast(lgl_prcdng_stts_as_is as string), '') &lt;&gt; coalesce(cast(lgl_prcdng_stts_to_be as string), '') ) A </v>
      </c>
      <c r="O225" s="19" t="str">
        <f t="shared" si="29"/>
        <v>SELECT 'Validação de campos' as tipologia_teste, 'lt002_instrument' AS TABELA, 'lgl_prcdng_stts' AS CAMPO, '2024-09-30' as ref_date, coalesce(NUM_REG_DIF, 0) AS NUM_REG_DIF FROM (SELECT count(*) AS NUM_REG_DIF FROM (SELECT instrmnt_id as instrmnt_id_as_is, lgl_prcdng_stts as lgl_prcdng_stts_as_is FROM cd_loan_tapes_bce.lt002_instrument WHERE ref_date='2024-09-30' AND nome_perimetro='Individual Corporativo' AND segmento='ESTR' AND ambito='PM' AND entidade='00100' ) A  Inner join (SELECT instrmnt_id as instrmnt_id_to_be, lgl_prcdng_stts as lgl_prcdng_stts_to_be FROM bu_loantape_work.lt002_instrument WHERE ref_date='2024-09-30' AND nome_perimetro='Individual Corporativo' AND segmento='ESTR' AND ambito='PM' AND entidade='00100' ) B ON instrmnt_id_as_is = instrmnt_id_to_be WHERE coalesce(cast(lgl_prcdng_stts_as_is as string), '') &lt;&gt; coalesce(cast(lgl_prcdng_stts_to_be as string), '') ) A UNION ALL</v>
      </c>
      <c r="P225" s="17">
        <f t="shared" si="30"/>
        <v>20</v>
      </c>
    </row>
    <row r="226" spans="2:16" s="15" customFormat="1" ht="11.45">
      <c r="B226" s="17" t="s">
        <v>26</v>
      </c>
      <c r="C226" s="17" t="str">
        <f>_xlfn.CONCAT(Instruções!$D$13,".",VLOOKUP(B226,Instruções!$F$12:$H$17,2,0))</f>
        <v>cd_loan_tapes_bce.lt002_instrument</v>
      </c>
      <c r="D226" s="17" t="str">
        <f>_xlfn.CONCAT(Instruções!$D$14,".",VLOOKUP(B226,Instruções!$F$12:$H$17,3,0))</f>
        <v>bu_loantape_work.lt002_instrument</v>
      </c>
      <c r="E226" s="17" t="s">
        <v>276</v>
      </c>
      <c r="F226" s="17" t="str">
        <f t="shared" si="24"/>
        <v>lnd_drgtn_as_is</v>
      </c>
      <c r="G226" s="17" t="str">
        <f t="shared" si="25"/>
        <v>lnd_drgtn_to_be</v>
      </c>
      <c r="H226" s="17" t="str">
        <f>IF(VLOOKUP(B226,Instruções!$F$13:$J$17,5,0)="",
"(SELECT "&amp;VLOOKUP(B226,Instruções!$F$13:$J$17,4,0)&amp;" as "&amp;VLOOKUP(B226,Instruções!$F$13:$J$17,4,0)&amp;"_"&amp;$F$2&amp;", "&amp;E226&amp;" as "&amp;F226&amp;" FROM "&amp;C226&amp;" WHERE "&amp;Instruções!$D$20&amp;") A ",
"(SELECT "&amp;VLOOKUP(B226,Instruções!$F$13:$J$17,4,0)&amp;" as "&amp;VLOOKUP(B226,Instruções!$F$13:$J$17,4,0)&amp;"_"&amp;$F$2&amp;", "&amp;VLOOKUP(B226,Instruções!$F$13:$J$17,5,0)&amp;" as "&amp;VLOOKUP(B226,Instruções!$F$13:$J$17,5,0)&amp;"_"&amp;$F$2&amp;","&amp;E226&amp;" as "&amp;F226&amp;" FROM "&amp;C226&amp;" WHERE "&amp;Instruções!$D$20&amp;") A ")</f>
        <v xml:space="preserve">(SELECT instrmnt_id as instrmnt_id_as_is, lnd_drgtn as lnd_drgtn_as_is FROM cd_loan_tapes_bce.lt002_instrument WHERE ref_date='2024-09-30' AND nome_perimetro='Individual Corporativo' AND segmento='ESTR' AND ambito='PM' AND entidade='00100' ) A </v>
      </c>
      <c r="I226" s="17" t="str">
        <f>IF(VLOOKUP(B226,Instruções!$F$13:$J$17,5,0)="",
"(SELECT "&amp;VLOOKUP(B226,Instruções!$F$13:$J$17,4,0)&amp;" as "&amp;VLOOKUP(B226,Instruções!$F$13:$J$17,4,0)&amp;"_"&amp;$G$2&amp;", "&amp;E226&amp;" as "&amp;G226&amp;" FROM "&amp;D226&amp;" WHERE "&amp;Instruções!$D$21&amp;") B ",
"(SELECT "&amp;VLOOKUP(B226,Instruções!$F$13:$J$17,4,0)&amp;" as "&amp;VLOOKUP(B226,Instruções!$F$13:$J$17,4,0)&amp;"_"&amp;$G$2&amp;", "&amp;VLOOKUP(B226,Instruções!$F$13:$J$17,5,0)&amp;" as "&amp;VLOOKUP(B226,Instruções!$F$13:$J$17,5,0)&amp;"_"&amp;$G$2&amp;","&amp;E226&amp;" as "&amp;G226&amp;" FROM "&amp;D226&amp;" WHERE "&amp;Instruções!$D$21&amp;") B ")</f>
        <v xml:space="preserve">(SELECT instrmnt_id as instrmnt_id_to_be, lnd_drgtn as lnd_drgtn_to_be FROM bu_loantape_work.lt002_instrument WHERE ref_date='2024-09-30' AND nome_perimetro='Individual Corporativo' AND segmento='ESTR' AND ambito='PM' AND entidade='00100' ) B </v>
      </c>
      <c r="J226" s="17" t="str">
        <f>IF(VLOOKUP(B226,Instruções!$F$13:$J$17,5,0)="",
"ON "&amp;VLOOKUP(B226,Instruções!$F$13:$J$17,4,0)&amp;"_"&amp;$F$2&amp;" = "&amp;VLOOKUP(B226,Instruções!$F$13:$J$17,4,0)&amp;"_"&amp;$G$2&amp;" ",
"ON "&amp;VLOOKUP(B226,Instruções!$F$13:$J$17,4,0)&amp;"_"&amp;$F$2&amp;" = "&amp;VLOOKUP(B226,Instruções!$F$13:$J$17,4,0)&amp;"_"&amp;$G$2&amp;" AND "&amp;VLOOKUP(B226,Instruções!$F$13:$J$17,5,0)&amp;"_"&amp;$F$2&amp;" = "&amp;VLOOKUP(B226,Instruções!$F$13:$J$17,5,0)&amp;"_"&amp;$G$2&amp;" ")</f>
        <v xml:space="preserve">ON instrmnt_id_as_is = instrmnt_id_to_be </v>
      </c>
      <c r="K226" s="17" t="str">
        <f t="shared" si="26"/>
        <v xml:space="preserve">WHERE coalesce(cast(lnd_drgtn_as_is as string), '') &lt;&gt; coalesce(cast(lnd_drgtn_to_be as string), '') </v>
      </c>
      <c r="L226" s="17" t="str">
        <f t="shared" si="27"/>
        <v xml:space="preserve">SELECT count(*) AS NUM_REG_DIF FROM (SELECT instrmnt_id as instrmnt_id_as_is, lnd_drgtn as lnd_drgtn_as_is FROM cd_loan_tapes_bce.lt002_instrument WHERE ref_date='2024-09-30' AND nome_perimetro='Individual Corporativo' AND segmento='ESTR' AND ambito='PM' AND entidade='00100' ) A  Inner join (SELECT instrmnt_id as instrmnt_id_to_be, lnd_drgtn as lnd_drgtn_to_be FROM bu_loantape_work.lt002_instrument WHERE ref_date='2024-09-30' AND nome_perimetro='Individual Corporativo' AND segmento='ESTR' AND ambito='PM' AND entidade='00100' ) B ON instrmnt_id_as_is = instrmnt_id_to_be WHERE coalesce(cast(lnd_drgtn_as_is as string), '') &lt;&gt; coalesce(cast(lnd_drgtn_to_be as string), '') </v>
      </c>
      <c r="M226" s="17" t="s">
        <v>55</v>
      </c>
      <c r="N226" s="17" t="str">
        <f>"SELECT 'Validação de campos' as tipologia_teste, '"&amp;VLOOKUP(B226,Instruções!$F$13:$J$17,3,0)&amp;"' AS TABELA, '"&amp;E226&amp;"' AS CAMPO, '"&amp;Instruções!$D$15&amp;"' as ref_date, coalesce(NUM_REG_DIF, 0) AS NUM_REG_DIF FROM ("&amp;L226&amp;") A "</f>
        <v xml:space="preserve">SELECT 'Validação de campos' as tipologia_teste, 'lt002_instrument' AS TABELA, 'lnd_drgtn' AS CAMPO, '2024-09-30' as ref_date, coalesce(NUM_REG_DIF, 0) AS NUM_REG_DIF FROM (SELECT count(*) AS NUM_REG_DIF FROM (SELECT instrmnt_id as instrmnt_id_as_is, lnd_drgtn as lnd_drgtn_as_is FROM cd_loan_tapes_bce.lt002_instrument WHERE ref_date='2024-09-30' AND nome_perimetro='Individual Corporativo' AND segmento='ESTR' AND ambito='PM' AND entidade='00100' ) A  Inner join (SELECT instrmnt_id as instrmnt_id_to_be, lnd_drgtn as lnd_drgtn_to_be FROM bu_loantape_work.lt002_instrument WHERE ref_date='2024-09-30' AND nome_perimetro='Individual Corporativo' AND segmento='ESTR' AND ambito='PM' AND entidade='00100' ) B ON instrmnt_id_as_is = instrmnt_id_to_be WHERE coalesce(cast(lnd_drgtn_as_is as string), '') &lt;&gt; coalesce(cast(lnd_drgtn_to_be as string), '') ) A </v>
      </c>
      <c r="O226" s="19" t="str">
        <f t="shared" si="29"/>
        <v>SELECT 'Validação de campos' as tipologia_teste, 'lt002_instrument' AS TABELA, 'lnd_drgtn' AS CAMPO, '2024-09-30' as ref_date, coalesce(NUM_REG_DIF, 0) AS NUM_REG_DIF FROM (SELECT count(*) AS NUM_REG_DIF FROM (SELECT instrmnt_id as instrmnt_id_as_is, lnd_drgtn as lnd_drgtn_as_is FROM cd_loan_tapes_bce.lt002_instrument WHERE ref_date='2024-09-30' AND nome_perimetro='Individual Corporativo' AND segmento='ESTR' AND ambito='PM' AND entidade='00100' ) A  Inner join (SELECT instrmnt_id as instrmnt_id_to_be, lnd_drgtn as lnd_drgtn_to_be FROM bu_loantape_work.lt002_instrument WHERE ref_date='2024-09-30' AND nome_perimetro='Individual Corporativo' AND segmento='ESTR' AND ambito='PM' AND entidade='00100' ) B ON instrmnt_id_as_is = instrmnt_id_to_be WHERE coalesce(cast(lnd_drgtn_as_is as string), '') &lt;&gt; coalesce(cast(lnd_drgtn_to_be as string), '') ) A UNION ALL</v>
      </c>
      <c r="P226" s="17">
        <f t="shared" si="30"/>
        <v>21</v>
      </c>
    </row>
    <row r="227" spans="2:16" s="15" customFormat="1" ht="11.45">
      <c r="B227" s="17" t="s">
        <v>26</v>
      </c>
      <c r="C227" s="17" t="str">
        <f>_xlfn.CONCAT(Instruções!$D$13,".",VLOOKUP(B227,Instruções!$F$12:$H$17,2,0))</f>
        <v>cd_loan_tapes_bce.lt002_instrument</v>
      </c>
      <c r="D227" s="17" t="str">
        <f>_xlfn.CONCAT(Instruções!$D$14,".",VLOOKUP(B227,Instruções!$F$12:$H$17,3,0))</f>
        <v>bu_loantape_work.lt002_instrument</v>
      </c>
      <c r="E227" s="17" t="s">
        <v>277</v>
      </c>
      <c r="F227" s="17" t="str">
        <f t="shared" si="24"/>
        <v>lsti_as_is</v>
      </c>
      <c r="G227" s="17" t="str">
        <f t="shared" si="25"/>
        <v>lsti_to_be</v>
      </c>
      <c r="H227" s="17" t="str">
        <f>IF(VLOOKUP(B227,Instruções!$F$13:$J$17,5,0)="",
"(SELECT "&amp;VLOOKUP(B227,Instruções!$F$13:$J$17,4,0)&amp;" as "&amp;VLOOKUP(B227,Instruções!$F$13:$J$17,4,0)&amp;"_"&amp;$F$2&amp;", "&amp;E227&amp;" as "&amp;F227&amp;" FROM "&amp;C227&amp;" WHERE "&amp;Instruções!$D$20&amp;") A ",
"(SELECT "&amp;VLOOKUP(B227,Instruções!$F$13:$J$17,4,0)&amp;" as "&amp;VLOOKUP(B227,Instruções!$F$13:$J$17,4,0)&amp;"_"&amp;$F$2&amp;", "&amp;VLOOKUP(B227,Instruções!$F$13:$J$17,5,0)&amp;" as "&amp;VLOOKUP(B227,Instruções!$F$13:$J$17,5,0)&amp;"_"&amp;$F$2&amp;","&amp;E227&amp;" as "&amp;F227&amp;" FROM "&amp;C227&amp;" WHERE "&amp;Instruções!$D$20&amp;") A ")</f>
        <v xml:space="preserve">(SELECT instrmnt_id as instrmnt_id_as_is, lsti as lsti_as_is FROM cd_loan_tapes_bce.lt002_instrument WHERE ref_date='2024-09-30' AND nome_perimetro='Individual Corporativo' AND segmento='ESTR' AND ambito='PM' AND entidade='00100' ) A </v>
      </c>
      <c r="I227" s="17" t="str">
        <f>IF(VLOOKUP(B227,Instruções!$F$13:$J$17,5,0)="",
"(SELECT "&amp;VLOOKUP(B227,Instruções!$F$13:$J$17,4,0)&amp;" as "&amp;VLOOKUP(B227,Instruções!$F$13:$J$17,4,0)&amp;"_"&amp;$G$2&amp;", "&amp;E227&amp;" as "&amp;G227&amp;" FROM "&amp;D227&amp;" WHERE "&amp;Instruções!$D$21&amp;") B ",
"(SELECT "&amp;VLOOKUP(B227,Instruções!$F$13:$J$17,4,0)&amp;" as "&amp;VLOOKUP(B227,Instruções!$F$13:$J$17,4,0)&amp;"_"&amp;$G$2&amp;", "&amp;VLOOKUP(B227,Instruções!$F$13:$J$17,5,0)&amp;" as "&amp;VLOOKUP(B227,Instruções!$F$13:$J$17,5,0)&amp;"_"&amp;$G$2&amp;","&amp;E227&amp;" as "&amp;G227&amp;" FROM "&amp;D227&amp;" WHERE "&amp;Instruções!$D$21&amp;") B ")</f>
        <v xml:space="preserve">(SELECT instrmnt_id as instrmnt_id_to_be, lsti as lsti_to_be FROM bu_loantape_work.lt002_instrument WHERE ref_date='2024-09-30' AND nome_perimetro='Individual Corporativo' AND segmento='ESTR' AND ambito='PM' AND entidade='00100' ) B </v>
      </c>
      <c r="J227" s="17" t="str">
        <f>IF(VLOOKUP(B227,Instruções!$F$13:$J$17,5,0)="",
"ON "&amp;VLOOKUP(B227,Instruções!$F$13:$J$17,4,0)&amp;"_"&amp;$F$2&amp;" = "&amp;VLOOKUP(B227,Instruções!$F$13:$J$17,4,0)&amp;"_"&amp;$G$2&amp;" ",
"ON "&amp;VLOOKUP(B227,Instruções!$F$13:$J$17,4,0)&amp;"_"&amp;$F$2&amp;" = "&amp;VLOOKUP(B227,Instruções!$F$13:$J$17,4,0)&amp;"_"&amp;$G$2&amp;" AND "&amp;VLOOKUP(B227,Instruções!$F$13:$J$17,5,0)&amp;"_"&amp;$F$2&amp;" = "&amp;VLOOKUP(B227,Instruções!$F$13:$J$17,5,0)&amp;"_"&amp;$G$2&amp;" ")</f>
        <v xml:space="preserve">ON instrmnt_id_as_is = instrmnt_id_to_be </v>
      </c>
      <c r="K227" s="17" t="str">
        <f t="shared" si="26"/>
        <v xml:space="preserve">WHERE coalesce(cast(lsti_as_is as string), '') &lt;&gt; coalesce(cast(lsti_to_be as string), '') </v>
      </c>
      <c r="L227" s="17" t="str">
        <f t="shared" si="27"/>
        <v xml:space="preserve">SELECT count(*) AS NUM_REG_DIF FROM (SELECT instrmnt_id as instrmnt_id_as_is, lsti as lsti_as_is FROM cd_loan_tapes_bce.lt002_instrument WHERE ref_date='2024-09-30' AND nome_perimetro='Individual Corporativo' AND segmento='ESTR' AND ambito='PM' AND entidade='00100' ) A  Inner join (SELECT instrmnt_id as instrmnt_id_to_be, lsti as lsti_to_be FROM bu_loantape_work.lt002_instrument WHERE ref_date='2024-09-30' AND nome_perimetro='Individual Corporativo' AND segmento='ESTR' AND ambito='PM' AND entidade='00100' ) B ON instrmnt_id_as_is = instrmnt_id_to_be WHERE coalesce(cast(lsti_as_is as string), '') &lt;&gt; coalesce(cast(lsti_to_be as string), '') </v>
      </c>
      <c r="M227" s="17" t="s">
        <v>55</v>
      </c>
      <c r="N227" s="17" t="str">
        <f>"SELECT 'Validação de campos' as tipologia_teste, '"&amp;VLOOKUP(B227,Instruções!$F$13:$J$17,3,0)&amp;"' AS TABELA, '"&amp;E227&amp;"' AS CAMPO, '"&amp;Instruções!$D$15&amp;"' as ref_date, coalesce(NUM_REG_DIF, 0) AS NUM_REG_DIF FROM ("&amp;L227&amp;") A "</f>
        <v xml:space="preserve">SELECT 'Validação de campos' as tipologia_teste, 'lt002_instrument' AS TABELA, 'lsti' AS CAMPO, '2024-09-30' as ref_date, coalesce(NUM_REG_DIF, 0) AS NUM_REG_DIF FROM (SELECT count(*) AS NUM_REG_DIF FROM (SELECT instrmnt_id as instrmnt_id_as_is, lsti as lsti_as_is FROM cd_loan_tapes_bce.lt002_instrument WHERE ref_date='2024-09-30' AND nome_perimetro='Individual Corporativo' AND segmento='ESTR' AND ambito='PM' AND entidade='00100' ) A  Inner join (SELECT instrmnt_id as instrmnt_id_to_be, lsti as lsti_to_be FROM bu_loantape_work.lt002_instrument WHERE ref_date='2024-09-30' AND nome_perimetro='Individual Corporativo' AND segmento='ESTR' AND ambito='PM' AND entidade='00100' ) B ON instrmnt_id_as_is = instrmnt_id_to_be WHERE coalesce(cast(lsti_as_is as string), '') &lt;&gt; coalesce(cast(lsti_to_be as string), '') ) A </v>
      </c>
      <c r="O227" s="19" t="str">
        <f t="shared" si="29"/>
        <v>SELECT 'Validação de campos' as tipologia_teste, 'lt002_instrument' AS TABELA, 'lsti' AS CAMPO, '2024-09-30' as ref_date, coalesce(NUM_REG_DIF, 0) AS NUM_REG_DIF FROM (SELECT count(*) AS NUM_REG_DIF FROM (SELECT instrmnt_id as instrmnt_id_as_is, lsti as lsti_as_is FROM cd_loan_tapes_bce.lt002_instrument WHERE ref_date='2024-09-30' AND nome_perimetro='Individual Corporativo' AND segmento='ESTR' AND ambito='PM' AND entidade='00100' ) A  Inner join (SELECT instrmnt_id as instrmnt_id_to_be, lsti as lsti_to_be FROM bu_loantape_work.lt002_instrument WHERE ref_date='2024-09-30' AND nome_perimetro='Individual Corporativo' AND segmento='ESTR' AND ambito='PM' AND entidade='00100' ) B ON instrmnt_id_as_is = instrmnt_id_to_be WHERE coalesce(cast(lsti_as_is as string), '') &lt;&gt; coalesce(cast(lsti_to_be as string), '') ) A UNION ALL</v>
      </c>
      <c r="P227" s="17">
        <f t="shared" si="30"/>
        <v>22</v>
      </c>
    </row>
    <row r="228" spans="2:16" s="15" customFormat="1" ht="11.45">
      <c r="B228" s="17" t="s">
        <v>26</v>
      </c>
      <c r="C228" s="17" t="str">
        <f>_xlfn.CONCAT(Instruções!$D$13,".",VLOOKUP(B228,Instruções!$F$12:$H$17,2,0))</f>
        <v>cd_loan_tapes_bce.lt002_instrument</v>
      </c>
      <c r="D228" s="17" t="str">
        <f>_xlfn.CONCAT(Instruções!$D$14,".",VLOOKUP(B228,Instruções!$F$12:$H$17,3,0))</f>
        <v>bu_loantape_work.lt002_instrument</v>
      </c>
      <c r="E228" s="17" t="s">
        <v>278</v>
      </c>
      <c r="F228" s="17" t="str">
        <f t="shared" si="24"/>
        <v>lti_instrmnt_as_is</v>
      </c>
      <c r="G228" s="17" t="str">
        <f t="shared" si="25"/>
        <v>lti_instrmnt_to_be</v>
      </c>
      <c r="H228" s="17" t="str">
        <f>IF(VLOOKUP(B228,Instruções!$F$13:$J$17,5,0)="",
"(SELECT "&amp;VLOOKUP(B228,Instruções!$F$13:$J$17,4,0)&amp;" as "&amp;VLOOKUP(B228,Instruções!$F$13:$J$17,4,0)&amp;"_"&amp;$F$2&amp;", "&amp;E228&amp;" as "&amp;F228&amp;" FROM "&amp;C228&amp;" WHERE "&amp;Instruções!$D$20&amp;") A ",
"(SELECT "&amp;VLOOKUP(B228,Instruções!$F$13:$J$17,4,0)&amp;" as "&amp;VLOOKUP(B228,Instruções!$F$13:$J$17,4,0)&amp;"_"&amp;$F$2&amp;", "&amp;VLOOKUP(B228,Instruções!$F$13:$J$17,5,0)&amp;" as "&amp;VLOOKUP(B228,Instruções!$F$13:$J$17,5,0)&amp;"_"&amp;$F$2&amp;","&amp;E228&amp;" as "&amp;F228&amp;" FROM "&amp;C228&amp;" WHERE "&amp;Instruções!$D$20&amp;") A ")</f>
        <v xml:space="preserve">(SELECT instrmnt_id as instrmnt_id_as_is, lti_instrmnt as lti_instrmnt_as_is FROM cd_loan_tapes_bce.lt002_instrument WHERE ref_date='2024-09-30' AND nome_perimetro='Individual Corporativo' AND segmento='ESTR' AND ambito='PM' AND entidade='00100' ) A </v>
      </c>
      <c r="I228" s="17" t="str">
        <f>IF(VLOOKUP(B228,Instruções!$F$13:$J$17,5,0)="",
"(SELECT "&amp;VLOOKUP(B228,Instruções!$F$13:$J$17,4,0)&amp;" as "&amp;VLOOKUP(B228,Instruções!$F$13:$J$17,4,0)&amp;"_"&amp;$G$2&amp;", "&amp;E228&amp;" as "&amp;G228&amp;" FROM "&amp;D228&amp;" WHERE "&amp;Instruções!$D$21&amp;") B ",
"(SELECT "&amp;VLOOKUP(B228,Instruções!$F$13:$J$17,4,0)&amp;" as "&amp;VLOOKUP(B228,Instruções!$F$13:$J$17,4,0)&amp;"_"&amp;$G$2&amp;", "&amp;VLOOKUP(B228,Instruções!$F$13:$J$17,5,0)&amp;" as "&amp;VLOOKUP(B228,Instruções!$F$13:$J$17,5,0)&amp;"_"&amp;$G$2&amp;","&amp;E228&amp;" as "&amp;G228&amp;" FROM "&amp;D228&amp;" WHERE "&amp;Instruções!$D$21&amp;") B ")</f>
        <v xml:space="preserve">(SELECT instrmnt_id as instrmnt_id_to_be, lti_instrmnt as lti_instrmnt_to_be FROM bu_loantape_work.lt002_instrument WHERE ref_date='2024-09-30' AND nome_perimetro='Individual Corporativo' AND segmento='ESTR' AND ambito='PM' AND entidade='00100' ) B </v>
      </c>
      <c r="J228" s="17" t="str">
        <f>IF(VLOOKUP(B228,Instruções!$F$13:$J$17,5,0)="",
"ON "&amp;VLOOKUP(B228,Instruções!$F$13:$J$17,4,0)&amp;"_"&amp;$F$2&amp;" = "&amp;VLOOKUP(B228,Instruções!$F$13:$J$17,4,0)&amp;"_"&amp;$G$2&amp;" ",
"ON "&amp;VLOOKUP(B228,Instruções!$F$13:$J$17,4,0)&amp;"_"&amp;$F$2&amp;" = "&amp;VLOOKUP(B228,Instruções!$F$13:$J$17,4,0)&amp;"_"&amp;$G$2&amp;" AND "&amp;VLOOKUP(B228,Instruções!$F$13:$J$17,5,0)&amp;"_"&amp;$F$2&amp;" = "&amp;VLOOKUP(B228,Instruções!$F$13:$J$17,5,0)&amp;"_"&amp;$G$2&amp;" ")</f>
        <v xml:space="preserve">ON instrmnt_id_as_is = instrmnt_id_to_be </v>
      </c>
      <c r="K228" s="17" t="str">
        <f t="shared" si="26"/>
        <v xml:space="preserve">WHERE coalesce(cast(lti_instrmnt_as_is as string), '') &lt;&gt; coalesce(cast(lti_instrmnt_to_be as string), '') </v>
      </c>
      <c r="L228" s="17" t="str">
        <f t="shared" si="27"/>
        <v xml:space="preserve">SELECT count(*) AS NUM_REG_DIF FROM (SELECT instrmnt_id as instrmnt_id_as_is, lti_instrmnt as lti_instrmnt_as_is FROM cd_loan_tapes_bce.lt002_instrument WHERE ref_date='2024-09-30' AND nome_perimetro='Individual Corporativo' AND segmento='ESTR' AND ambito='PM' AND entidade='00100' ) A  Inner join (SELECT instrmnt_id as instrmnt_id_to_be, lti_instrmnt as lti_instrmnt_to_be FROM bu_loantape_work.lt002_instrument WHERE ref_date='2024-09-30' AND nome_perimetro='Individual Corporativo' AND segmento='ESTR' AND ambito='PM' AND entidade='00100' ) B ON instrmnt_id_as_is = instrmnt_id_to_be WHERE coalesce(cast(lti_instrmnt_as_is as string), '') &lt;&gt; coalesce(cast(lti_instrmnt_to_be as string), '') </v>
      </c>
      <c r="M228" s="17" t="s">
        <v>55</v>
      </c>
      <c r="N228" s="17" t="str">
        <f>"SELECT 'Validação de campos' as tipologia_teste, '"&amp;VLOOKUP(B228,Instruções!$F$13:$J$17,3,0)&amp;"' AS TABELA, '"&amp;E228&amp;"' AS CAMPO, '"&amp;Instruções!$D$15&amp;"' as ref_date, coalesce(NUM_REG_DIF, 0) AS NUM_REG_DIF FROM ("&amp;L228&amp;") A "</f>
        <v xml:space="preserve">SELECT 'Validação de campos' as tipologia_teste, 'lt002_instrument' AS TABELA, 'lti_instrmnt' AS CAMPO, '2024-09-30' as ref_date, coalesce(NUM_REG_DIF, 0) AS NUM_REG_DIF FROM (SELECT count(*) AS NUM_REG_DIF FROM (SELECT instrmnt_id as instrmnt_id_as_is, lti_instrmnt as lti_instrmnt_as_is FROM cd_loan_tapes_bce.lt002_instrument WHERE ref_date='2024-09-30' AND nome_perimetro='Individual Corporativo' AND segmento='ESTR' AND ambito='PM' AND entidade='00100' ) A  Inner join (SELECT instrmnt_id as instrmnt_id_to_be, lti_instrmnt as lti_instrmnt_to_be FROM bu_loantape_work.lt002_instrument WHERE ref_date='2024-09-30' AND nome_perimetro='Individual Corporativo' AND segmento='ESTR' AND ambito='PM' AND entidade='00100' ) B ON instrmnt_id_as_is = instrmnt_id_to_be WHERE coalesce(cast(lti_instrmnt_as_is as string), '') &lt;&gt; coalesce(cast(lti_instrmnt_to_be as string), '') ) A </v>
      </c>
      <c r="O228" s="19" t="str">
        <f t="shared" si="29"/>
        <v>SELECT 'Validação de campos' as tipologia_teste, 'lt002_instrument' AS TABELA, 'lti_instrmnt' AS CAMPO, '2024-09-30' as ref_date, coalesce(NUM_REG_DIF, 0) AS NUM_REG_DIF FROM (SELECT count(*) AS NUM_REG_DIF FROM (SELECT instrmnt_id as instrmnt_id_as_is, lti_instrmnt as lti_instrmnt_as_is FROM cd_loan_tapes_bce.lt002_instrument WHERE ref_date='2024-09-30' AND nome_perimetro='Individual Corporativo' AND segmento='ESTR' AND ambito='PM' AND entidade='00100' ) A  Inner join (SELECT instrmnt_id as instrmnt_id_to_be, lti_instrmnt as lti_instrmnt_to_be FROM bu_loantape_work.lt002_instrument WHERE ref_date='2024-09-30' AND nome_perimetro='Individual Corporativo' AND segmento='ESTR' AND ambito='PM' AND entidade='00100' ) B ON instrmnt_id_as_is = instrmnt_id_to_be WHERE coalesce(cast(lti_instrmnt_as_is as string), '') &lt;&gt; coalesce(cast(lti_instrmnt_to_be as string), '') ) A UNION ALL</v>
      </c>
      <c r="P228" s="17">
        <f t="shared" si="30"/>
        <v>23</v>
      </c>
    </row>
    <row r="229" spans="2:16" s="15" customFormat="1" ht="11.45">
      <c r="B229" s="17" t="s">
        <v>26</v>
      </c>
      <c r="C229" s="17" t="str">
        <f>_xlfn.CONCAT(Instruções!$D$13,".",VLOOKUP(B229,Instruções!$F$12:$H$17,2,0))</f>
        <v>cd_loan_tapes_bce.lt002_instrument</v>
      </c>
      <c r="D229" s="17" t="str">
        <f>_xlfn.CONCAT(Instruções!$D$14,".",VLOOKUP(B229,Instruções!$F$12:$H$17,3,0))</f>
        <v>bu_loantape_work.lt002_instrument</v>
      </c>
      <c r="E229" s="17" t="s">
        <v>279</v>
      </c>
      <c r="F229" s="17" t="str">
        <f t="shared" si="24"/>
        <v>ltv_as_is</v>
      </c>
      <c r="G229" s="17" t="str">
        <f t="shared" si="25"/>
        <v>ltv_to_be</v>
      </c>
      <c r="H229" s="17" t="str">
        <f>IF(VLOOKUP(B229,Instruções!$F$13:$J$17,5,0)="",
"(SELECT "&amp;VLOOKUP(B229,Instruções!$F$13:$J$17,4,0)&amp;" as "&amp;VLOOKUP(B229,Instruções!$F$13:$J$17,4,0)&amp;"_"&amp;$F$2&amp;", "&amp;E229&amp;" as "&amp;F229&amp;" FROM "&amp;C229&amp;" WHERE "&amp;Instruções!$D$20&amp;") A ",
"(SELECT "&amp;VLOOKUP(B229,Instruções!$F$13:$J$17,4,0)&amp;" as "&amp;VLOOKUP(B229,Instruções!$F$13:$J$17,4,0)&amp;"_"&amp;$F$2&amp;", "&amp;VLOOKUP(B229,Instruções!$F$13:$J$17,5,0)&amp;" as "&amp;VLOOKUP(B229,Instruções!$F$13:$J$17,5,0)&amp;"_"&amp;$F$2&amp;","&amp;E229&amp;" as "&amp;F229&amp;" FROM "&amp;C229&amp;" WHERE "&amp;Instruções!$D$20&amp;") A ")</f>
        <v xml:space="preserve">(SELECT instrmnt_id as instrmnt_id_as_is, ltv as ltv_as_is FROM cd_loan_tapes_bce.lt002_instrument WHERE ref_date='2024-09-30' AND nome_perimetro='Individual Corporativo' AND segmento='ESTR' AND ambito='PM' AND entidade='00100' ) A </v>
      </c>
      <c r="I229" s="17" t="str">
        <f>IF(VLOOKUP(B229,Instruções!$F$13:$J$17,5,0)="",
"(SELECT "&amp;VLOOKUP(B229,Instruções!$F$13:$J$17,4,0)&amp;" as "&amp;VLOOKUP(B229,Instruções!$F$13:$J$17,4,0)&amp;"_"&amp;$G$2&amp;", "&amp;E229&amp;" as "&amp;G229&amp;" FROM "&amp;D229&amp;" WHERE "&amp;Instruções!$D$21&amp;") B ",
"(SELECT "&amp;VLOOKUP(B229,Instruções!$F$13:$J$17,4,0)&amp;" as "&amp;VLOOKUP(B229,Instruções!$F$13:$J$17,4,0)&amp;"_"&amp;$G$2&amp;", "&amp;VLOOKUP(B229,Instruções!$F$13:$J$17,5,0)&amp;" as "&amp;VLOOKUP(B229,Instruções!$F$13:$J$17,5,0)&amp;"_"&amp;$G$2&amp;","&amp;E229&amp;" as "&amp;G229&amp;" FROM "&amp;D229&amp;" WHERE "&amp;Instruções!$D$21&amp;") B ")</f>
        <v xml:space="preserve">(SELECT instrmnt_id as instrmnt_id_to_be, ltv as ltv_to_be FROM bu_loantape_work.lt002_instrument WHERE ref_date='2024-09-30' AND nome_perimetro='Individual Corporativo' AND segmento='ESTR' AND ambito='PM' AND entidade='00100' ) B </v>
      </c>
      <c r="J229" s="17" t="str">
        <f>IF(VLOOKUP(B229,Instruções!$F$13:$J$17,5,0)="",
"ON "&amp;VLOOKUP(B229,Instruções!$F$13:$J$17,4,0)&amp;"_"&amp;$F$2&amp;" = "&amp;VLOOKUP(B229,Instruções!$F$13:$J$17,4,0)&amp;"_"&amp;$G$2&amp;" ",
"ON "&amp;VLOOKUP(B229,Instruções!$F$13:$J$17,4,0)&amp;"_"&amp;$F$2&amp;" = "&amp;VLOOKUP(B229,Instruções!$F$13:$J$17,4,0)&amp;"_"&amp;$G$2&amp;" AND "&amp;VLOOKUP(B229,Instruções!$F$13:$J$17,5,0)&amp;"_"&amp;$F$2&amp;" = "&amp;VLOOKUP(B229,Instruções!$F$13:$J$17,5,0)&amp;"_"&amp;$G$2&amp;" ")</f>
        <v xml:space="preserve">ON instrmnt_id_as_is = instrmnt_id_to_be </v>
      </c>
      <c r="K229" s="17" t="str">
        <f t="shared" si="26"/>
        <v xml:space="preserve">WHERE coalesce(cast(ltv_as_is as string), '') &lt;&gt; coalesce(cast(ltv_to_be as string), '') </v>
      </c>
      <c r="L229" s="17" t="str">
        <f t="shared" si="27"/>
        <v xml:space="preserve">SELECT count(*) AS NUM_REG_DIF FROM (SELECT instrmnt_id as instrmnt_id_as_is, ltv as ltv_as_is FROM cd_loan_tapes_bce.lt002_instrument WHERE ref_date='2024-09-30' AND nome_perimetro='Individual Corporativo' AND segmento='ESTR' AND ambito='PM' AND entidade='00100' ) A  Inner join (SELECT instrmnt_id as instrmnt_id_to_be, ltv as ltv_to_be FROM bu_loantape_work.lt002_instrument WHERE ref_date='2024-09-30' AND nome_perimetro='Individual Corporativo' AND segmento='ESTR' AND ambito='PM' AND entidade='00100' ) B ON instrmnt_id_as_is = instrmnt_id_to_be WHERE coalesce(cast(ltv_as_is as string), '') &lt;&gt; coalesce(cast(ltv_to_be as string), '') </v>
      </c>
      <c r="M229" s="17" t="s">
        <v>55</v>
      </c>
      <c r="N229" s="17" t="str">
        <f>"SELECT 'Validação de campos' as tipologia_teste, '"&amp;VLOOKUP(B229,Instruções!$F$13:$J$17,3,0)&amp;"' AS TABELA, '"&amp;E229&amp;"' AS CAMPO, '"&amp;Instruções!$D$15&amp;"' as ref_date, coalesce(NUM_REG_DIF, 0) AS NUM_REG_DIF FROM ("&amp;L229&amp;") A "</f>
        <v xml:space="preserve">SELECT 'Validação de campos' as tipologia_teste, 'lt002_instrument' AS TABELA, 'ltv' AS CAMPO, '2024-09-30' as ref_date, coalesce(NUM_REG_DIF, 0) AS NUM_REG_DIF FROM (SELECT count(*) AS NUM_REG_DIF FROM (SELECT instrmnt_id as instrmnt_id_as_is, ltv as ltv_as_is FROM cd_loan_tapes_bce.lt002_instrument WHERE ref_date='2024-09-30' AND nome_perimetro='Individual Corporativo' AND segmento='ESTR' AND ambito='PM' AND entidade='00100' ) A  Inner join (SELECT instrmnt_id as instrmnt_id_to_be, ltv as ltv_to_be FROM bu_loantape_work.lt002_instrument WHERE ref_date='2024-09-30' AND nome_perimetro='Individual Corporativo' AND segmento='ESTR' AND ambito='PM' AND entidade='00100' ) B ON instrmnt_id_as_is = instrmnt_id_to_be WHERE coalesce(cast(ltv_as_is as string), '') &lt;&gt; coalesce(cast(ltv_to_be as string), '') ) A </v>
      </c>
      <c r="O229" s="19" t="str">
        <f t="shared" si="29"/>
        <v>SELECT 'Validação de campos' as tipologia_teste, 'lt002_instrument' AS TABELA, 'ltv' AS CAMPO, '2024-09-30' as ref_date, coalesce(NUM_REG_DIF, 0) AS NUM_REG_DIF FROM (SELECT count(*) AS NUM_REG_DIF FROM (SELECT instrmnt_id as instrmnt_id_as_is, ltv as ltv_as_is FROM cd_loan_tapes_bce.lt002_instrument WHERE ref_date='2024-09-30' AND nome_perimetro='Individual Corporativo' AND segmento='ESTR' AND ambito='PM' AND entidade='00100' ) A  Inner join (SELECT instrmnt_id as instrmnt_id_to_be, ltv as ltv_to_be FROM bu_loantape_work.lt002_instrument WHERE ref_date='2024-09-30' AND nome_perimetro='Individual Corporativo' AND segmento='ESTR' AND ambito='PM' AND entidade='00100' ) B ON instrmnt_id_as_is = instrmnt_id_to_be WHERE coalesce(cast(ltv_as_is as string), '') &lt;&gt; coalesce(cast(ltv_to_be as string), '') ) A UNION ALL</v>
      </c>
      <c r="P229" s="17">
        <f t="shared" si="30"/>
        <v>24</v>
      </c>
    </row>
    <row r="230" spans="2:16" s="15" customFormat="1" ht="11.45">
      <c r="B230" s="17" t="s">
        <v>26</v>
      </c>
      <c r="C230" s="17" t="str">
        <f>_xlfn.CONCAT(Instruções!$D$13,".",VLOOKUP(B230,Instruções!$F$12:$H$17,2,0))</f>
        <v>cd_loan_tapes_bce.lt002_instrument</v>
      </c>
      <c r="D230" s="17" t="str">
        <f>_xlfn.CONCAT(Instruções!$D$14,".",VLOOKUP(B230,Instruções!$F$12:$H$17,3,0))</f>
        <v>bu_loantape_work.lt002_instrument</v>
      </c>
      <c r="E230" s="17" t="s">
        <v>280</v>
      </c>
      <c r="F230" s="17" t="str">
        <f t="shared" si="24"/>
        <v>ltv_incptn_as_is</v>
      </c>
      <c r="G230" s="17" t="str">
        <f t="shared" si="25"/>
        <v>ltv_incptn_to_be</v>
      </c>
      <c r="H230" s="17" t="str">
        <f>IF(VLOOKUP(B230,Instruções!$F$13:$J$17,5,0)="",
"(SELECT "&amp;VLOOKUP(B230,Instruções!$F$13:$J$17,4,0)&amp;" as "&amp;VLOOKUP(B230,Instruções!$F$13:$J$17,4,0)&amp;"_"&amp;$F$2&amp;", "&amp;E230&amp;" as "&amp;F230&amp;" FROM "&amp;C230&amp;" WHERE "&amp;Instruções!$D$20&amp;") A ",
"(SELECT "&amp;VLOOKUP(B230,Instruções!$F$13:$J$17,4,0)&amp;" as "&amp;VLOOKUP(B230,Instruções!$F$13:$J$17,4,0)&amp;"_"&amp;$F$2&amp;", "&amp;VLOOKUP(B230,Instruções!$F$13:$J$17,5,0)&amp;" as "&amp;VLOOKUP(B230,Instruções!$F$13:$J$17,5,0)&amp;"_"&amp;$F$2&amp;","&amp;E230&amp;" as "&amp;F230&amp;" FROM "&amp;C230&amp;" WHERE "&amp;Instruções!$D$20&amp;") A ")</f>
        <v xml:space="preserve">(SELECT instrmnt_id as instrmnt_id_as_is, ltv_incptn as ltv_incptn_as_is FROM cd_loan_tapes_bce.lt002_instrument WHERE ref_date='2024-09-30' AND nome_perimetro='Individual Corporativo' AND segmento='ESTR' AND ambito='PM' AND entidade='00100' ) A </v>
      </c>
      <c r="I230" s="17" t="str">
        <f>IF(VLOOKUP(B230,Instruções!$F$13:$J$17,5,0)="",
"(SELECT "&amp;VLOOKUP(B230,Instruções!$F$13:$J$17,4,0)&amp;" as "&amp;VLOOKUP(B230,Instruções!$F$13:$J$17,4,0)&amp;"_"&amp;$G$2&amp;", "&amp;E230&amp;" as "&amp;G230&amp;" FROM "&amp;D230&amp;" WHERE "&amp;Instruções!$D$21&amp;") B ",
"(SELECT "&amp;VLOOKUP(B230,Instruções!$F$13:$J$17,4,0)&amp;" as "&amp;VLOOKUP(B230,Instruções!$F$13:$J$17,4,0)&amp;"_"&amp;$G$2&amp;", "&amp;VLOOKUP(B230,Instruções!$F$13:$J$17,5,0)&amp;" as "&amp;VLOOKUP(B230,Instruções!$F$13:$J$17,5,0)&amp;"_"&amp;$G$2&amp;","&amp;E230&amp;" as "&amp;G230&amp;" FROM "&amp;D230&amp;" WHERE "&amp;Instruções!$D$21&amp;") B ")</f>
        <v xml:space="preserve">(SELECT instrmnt_id as instrmnt_id_to_be, ltv_incptn as ltv_incptn_to_be FROM bu_loantape_work.lt002_instrument WHERE ref_date='2024-09-30' AND nome_perimetro='Individual Corporativo' AND segmento='ESTR' AND ambito='PM' AND entidade='00100' ) B </v>
      </c>
      <c r="J230" s="17" t="str">
        <f>IF(VLOOKUP(B230,Instruções!$F$13:$J$17,5,0)="",
"ON "&amp;VLOOKUP(B230,Instruções!$F$13:$J$17,4,0)&amp;"_"&amp;$F$2&amp;" = "&amp;VLOOKUP(B230,Instruções!$F$13:$J$17,4,0)&amp;"_"&amp;$G$2&amp;" ",
"ON "&amp;VLOOKUP(B230,Instruções!$F$13:$J$17,4,0)&amp;"_"&amp;$F$2&amp;" = "&amp;VLOOKUP(B230,Instruções!$F$13:$J$17,4,0)&amp;"_"&amp;$G$2&amp;" AND "&amp;VLOOKUP(B230,Instruções!$F$13:$J$17,5,0)&amp;"_"&amp;$F$2&amp;" = "&amp;VLOOKUP(B230,Instruções!$F$13:$J$17,5,0)&amp;"_"&amp;$G$2&amp;" ")</f>
        <v xml:space="preserve">ON instrmnt_id_as_is = instrmnt_id_to_be </v>
      </c>
      <c r="K230" s="17" t="str">
        <f t="shared" si="26"/>
        <v xml:space="preserve">WHERE coalesce(cast(ltv_incptn_as_is as string), '') &lt;&gt; coalesce(cast(ltv_incptn_to_be as string), '') </v>
      </c>
      <c r="L230" s="17" t="str">
        <f t="shared" si="27"/>
        <v xml:space="preserve">SELECT count(*) AS NUM_REG_DIF FROM (SELECT instrmnt_id as instrmnt_id_as_is, ltv_incptn as ltv_incptn_as_is FROM cd_loan_tapes_bce.lt002_instrument WHERE ref_date='2024-09-30' AND nome_perimetro='Individual Corporativo' AND segmento='ESTR' AND ambito='PM' AND entidade='00100' ) A  Inner join (SELECT instrmnt_id as instrmnt_id_to_be, ltv_incptn as ltv_incptn_to_be FROM bu_loantape_work.lt002_instrument WHERE ref_date='2024-09-30' AND nome_perimetro='Individual Corporativo' AND segmento='ESTR' AND ambito='PM' AND entidade='00100' ) B ON instrmnt_id_as_is = instrmnt_id_to_be WHERE coalesce(cast(ltv_incptn_as_is as string), '') &lt;&gt; coalesce(cast(ltv_incptn_to_be as string), '') </v>
      </c>
      <c r="M230" s="17" t="s">
        <v>55</v>
      </c>
      <c r="N230" s="17" t="str">
        <f>"SELECT 'Validação de campos' as tipologia_teste, '"&amp;VLOOKUP(B230,Instruções!$F$13:$J$17,3,0)&amp;"' AS TABELA, '"&amp;E230&amp;"' AS CAMPO, '"&amp;Instruções!$D$15&amp;"' as ref_date, coalesce(NUM_REG_DIF, 0) AS NUM_REG_DIF FROM ("&amp;L230&amp;") A "</f>
        <v xml:space="preserve">SELECT 'Validação de campos' as tipologia_teste, 'lt002_instrument' AS TABELA, 'ltv_incptn' AS CAMPO, '2024-09-30' as ref_date, coalesce(NUM_REG_DIF, 0) AS NUM_REG_DIF FROM (SELECT count(*) AS NUM_REG_DIF FROM (SELECT instrmnt_id as instrmnt_id_as_is, ltv_incptn as ltv_incptn_as_is FROM cd_loan_tapes_bce.lt002_instrument WHERE ref_date='2024-09-30' AND nome_perimetro='Individual Corporativo' AND segmento='ESTR' AND ambito='PM' AND entidade='00100' ) A  Inner join (SELECT instrmnt_id as instrmnt_id_to_be, ltv_incptn as ltv_incptn_to_be FROM bu_loantape_work.lt002_instrument WHERE ref_date='2024-09-30' AND nome_perimetro='Individual Corporativo' AND segmento='ESTR' AND ambito='PM' AND entidade='00100' ) B ON instrmnt_id_as_is = instrmnt_id_to_be WHERE coalesce(cast(ltv_incptn_as_is as string), '') &lt;&gt; coalesce(cast(ltv_incptn_to_be as string), '') ) A </v>
      </c>
      <c r="O230" s="19" t="str">
        <f t="shared" si="29"/>
        <v>SELECT 'Validação de campos' as tipologia_teste, 'lt002_instrument' AS TABELA, 'ltv_incptn' AS CAMPO, '2024-09-30' as ref_date, coalesce(NUM_REG_DIF, 0) AS NUM_REG_DIF FROM (SELECT count(*) AS NUM_REG_DIF FROM (SELECT instrmnt_id as instrmnt_id_as_is, ltv_incptn as ltv_incptn_as_is FROM cd_loan_tapes_bce.lt002_instrument WHERE ref_date='2024-09-30' AND nome_perimetro='Individual Corporativo' AND segmento='ESTR' AND ambito='PM' AND entidade='00100' ) A  Inner join (SELECT instrmnt_id as instrmnt_id_to_be, ltv_incptn as ltv_incptn_to_be FROM bu_loantape_work.lt002_instrument WHERE ref_date='2024-09-30' AND nome_perimetro='Individual Corporativo' AND segmento='ESTR' AND ambito='PM' AND entidade='00100' ) B ON instrmnt_id_as_is = instrmnt_id_to_be WHERE coalesce(cast(ltv_incptn_as_is as string), '') &lt;&gt; coalesce(cast(ltv_incptn_to_be as string), '') ) A UNION ALL</v>
      </c>
      <c r="P230" s="17">
        <f t="shared" si="30"/>
        <v>25</v>
      </c>
    </row>
    <row r="231" spans="2:16" s="15" customFormat="1" ht="11.45">
      <c r="B231" s="17" t="s">
        <v>26</v>
      </c>
      <c r="C231" s="17" t="str">
        <f>_xlfn.CONCAT(Instruções!$D$13,".",VLOOKUP(B231,Instruções!$F$12:$H$17,2,0))</f>
        <v>cd_loan_tapes_bce.lt002_instrument</v>
      </c>
      <c r="D231" s="17" t="str">
        <f>_xlfn.CONCAT(Instruções!$D$14,".",VLOOKUP(B231,Instruções!$F$12:$H$17,3,0))</f>
        <v>bu_loantape_work.lt002_instrument</v>
      </c>
      <c r="E231" s="17" t="s">
        <v>281</v>
      </c>
      <c r="F231" s="17" t="str">
        <f t="shared" si="24"/>
        <v>ltv_npe_as_is</v>
      </c>
      <c r="G231" s="17" t="str">
        <f t="shared" si="25"/>
        <v>ltv_npe_to_be</v>
      </c>
      <c r="H231" s="17" t="str">
        <f>IF(VLOOKUP(B231,Instruções!$F$13:$J$17,5,0)="",
"(SELECT "&amp;VLOOKUP(B231,Instruções!$F$13:$J$17,4,0)&amp;" as "&amp;VLOOKUP(B231,Instruções!$F$13:$J$17,4,0)&amp;"_"&amp;$F$2&amp;", "&amp;E231&amp;" as "&amp;F231&amp;" FROM "&amp;C231&amp;" WHERE "&amp;Instruções!$D$20&amp;") A ",
"(SELECT "&amp;VLOOKUP(B231,Instruções!$F$13:$J$17,4,0)&amp;" as "&amp;VLOOKUP(B231,Instruções!$F$13:$J$17,4,0)&amp;"_"&amp;$F$2&amp;", "&amp;VLOOKUP(B231,Instruções!$F$13:$J$17,5,0)&amp;" as "&amp;VLOOKUP(B231,Instruções!$F$13:$J$17,5,0)&amp;"_"&amp;$F$2&amp;","&amp;E231&amp;" as "&amp;F231&amp;" FROM "&amp;C231&amp;" WHERE "&amp;Instruções!$D$20&amp;") A ")</f>
        <v xml:space="preserve">(SELECT instrmnt_id as instrmnt_id_as_is, ltv_npe as ltv_npe_as_is FROM cd_loan_tapes_bce.lt002_instrument WHERE ref_date='2024-09-30' AND nome_perimetro='Individual Corporativo' AND segmento='ESTR' AND ambito='PM' AND entidade='00100' ) A </v>
      </c>
      <c r="I231" s="17" t="str">
        <f>IF(VLOOKUP(B231,Instruções!$F$13:$J$17,5,0)="",
"(SELECT "&amp;VLOOKUP(B231,Instruções!$F$13:$J$17,4,0)&amp;" as "&amp;VLOOKUP(B231,Instruções!$F$13:$J$17,4,0)&amp;"_"&amp;$G$2&amp;", "&amp;E231&amp;" as "&amp;G231&amp;" FROM "&amp;D231&amp;" WHERE "&amp;Instruções!$D$21&amp;") B ",
"(SELECT "&amp;VLOOKUP(B231,Instruções!$F$13:$J$17,4,0)&amp;" as "&amp;VLOOKUP(B231,Instruções!$F$13:$J$17,4,0)&amp;"_"&amp;$G$2&amp;", "&amp;VLOOKUP(B231,Instruções!$F$13:$J$17,5,0)&amp;" as "&amp;VLOOKUP(B231,Instruções!$F$13:$J$17,5,0)&amp;"_"&amp;$G$2&amp;","&amp;E231&amp;" as "&amp;G231&amp;" FROM "&amp;D231&amp;" WHERE "&amp;Instruções!$D$21&amp;") B ")</f>
        <v xml:space="preserve">(SELECT instrmnt_id as instrmnt_id_to_be, ltv_npe as ltv_npe_to_be FROM bu_loantape_work.lt002_instrument WHERE ref_date='2024-09-30' AND nome_perimetro='Individual Corporativo' AND segmento='ESTR' AND ambito='PM' AND entidade='00100' ) B </v>
      </c>
      <c r="J231" s="17" t="str">
        <f>IF(VLOOKUP(B231,Instruções!$F$13:$J$17,5,0)="",
"ON "&amp;VLOOKUP(B231,Instruções!$F$13:$J$17,4,0)&amp;"_"&amp;$F$2&amp;" = "&amp;VLOOKUP(B231,Instruções!$F$13:$J$17,4,0)&amp;"_"&amp;$G$2&amp;" ",
"ON "&amp;VLOOKUP(B231,Instruções!$F$13:$J$17,4,0)&amp;"_"&amp;$F$2&amp;" = "&amp;VLOOKUP(B231,Instruções!$F$13:$J$17,4,0)&amp;"_"&amp;$G$2&amp;" AND "&amp;VLOOKUP(B231,Instruções!$F$13:$J$17,5,0)&amp;"_"&amp;$F$2&amp;" = "&amp;VLOOKUP(B231,Instruções!$F$13:$J$17,5,0)&amp;"_"&amp;$G$2&amp;" ")</f>
        <v xml:space="preserve">ON instrmnt_id_as_is = instrmnt_id_to_be </v>
      </c>
      <c r="K231" s="17" t="str">
        <f t="shared" si="26"/>
        <v xml:space="preserve">WHERE coalesce(cast(ltv_npe_as_is as string), '') &lt;&gt; coalesce(cast(ltv_npe_to_be as string), '') </v>
      </c>
      <c r="L231" s="17" t="str">
        <f t="shared" si="27"/>
        <v xml:space="preserve">SELECT count(*) AS NUM_REG_DIF FROM (SELECT instrmnt_id as instrmnt_id_as_is, ltv_npe as ltv_npe_as_is FROM cd_loan_tapes_bce.lt002_instrument WHERE ref_date='2024-09-30' AND nome_perimetro='Individual Corporativo' AND segmento='ESTR' AND ambito='PM' AND entidade='00100' ) A  Inner join (SELECT instrmnt_id as instrmnt_id_to_be, ltv_npe as ltv_npe_to_be FROM bu_loantape_work.lt002_instrument WHERE ref_date='2024-09-30' AND nome_perimetro='Individual Corporativo' AND segmento='ESTR' AND ambito='PM' AND entidade='00100' ) B ON instrmnt_id_as_is = instrmnt_id_to_be WHERE coalesce(cast(ltv_npe_as_is as string), '') &lt;&gt; coalesce(cast(ltv_npe_to_be as string), '') </v>
      </c>
      <c r="M231" s="17" t="s">
        <v>55</v>
      </c>
      <c r="N231" s="17" t="str">
        <f>"SELECT 'Validação de campos' as tipologia_teste, '"&amp;VLOOKUP(B231,Instruções!$F$13:$J$17,3,0)&amp;"' AS TABELA, '"&amp;E231&amp;"' AS CAMPO, '"&amp;Instruções!$D$15&amp;"' as ref_date, coalesce(NUM_REG_DIF, 0) AS NUM_REG_DIF FROM ("&amp;L231&amp;") A "</f>
        <v xml:space="preserve">SELECT 'Validação de campos' as tipologia_teste, 'lt002_instrument' AS TABELA, 'ltv_npe' AS CAMPO, '2024-09-30' as ref_date, coalesce(NUM_REG_DIF, 0) AS NUM_REG_DIF FROM (SELECT count(*) AS NUM_REG_DIF FROM (SELECT instrmnt_id as instrmnt_id_as_is, ltv_npe as ltv_npe_as_is FROM cd_loan_tapes_bce.lt002_instrument WHERE ref_date='2024-09-30' AND nome_perimetro='Individual Corporativo' AND segmento='ESTR' AND ambito='PM' AND entidade='00100' ) A  Inner join (SELECT instrmnt_id as instrmnt_id_to_be, ltv_npe as ltv_npe_to_be FROM bu_loantape_work.lt002_instrument WHERE ref_date='2024-09-30' AND nome_perimetro='Individual Corporativo' AND segmento='ESTR' AND ambito='PM' AND entidade='00100' ) B ON instrmnt_id_as_is = instrmnt_id_to_be WHERE coalesce(cast(ltv_npe_as_is as string), '') &lt;&gt; coalesce(cast(ltv_npe_to_be as string), '') ) A </v>
      </c>
      <c r="O231" s="19" t="str">
        <f t="shared" si="29"/>
        <v>SELECT 'Validação de campos' as tipologia_teste, 'lt002_instrument' AS TABELA, 'ltv_npe' AS CAMPO, '2024-09-30' as ref_date, coalesce(NUM_REG_DIF, 0) AS NUM_REG_DIF FROM (SELECT count(*) AS NUM_REG_DIF FROM (SELECT instrmnt_id as instrmnt_id_as_is, ltv_npe as ltv_npe_as_is FROM cd_loan_tapes_bce.lt002_instrument WHERE ref_date='2024-09-30' AND nome_perimetro='Individual Corporativo' AND segmento='ESTR' AND ambito='PM' AND entidade='00100' ) A  Inner join (SELECT instrmnt_id as instrmnt_id_to_be, ltv_npe as ltv_npe_to_be FROM bu_loantape_work.lt002_instrument WHERE ref_date='2024-09-30' AND nome_perimetro='Individual Corporativo' AND segmento='ESTR' AND ambito='PM' AND entidade='00100' ) B ON instrmnt_id_as_is = instrmnt_id_to_be WHERE coalesce(cast(ltv_npe_as_is as string), '') &lt;&gt; coalesce(cast(ltv_npe_to_be as string), '') ) A UNION ALL</v>
      </c>
      <c r="P231" s="17">
        <f t="shared" si="30"/>
        <v>26</v>
      </c>
    </row>
    <row r="232" spans="2:16" s="15" customFormat="1" ht="11.45">
      <c r="B232" s="17" t="s">
        <v>26</v>
      </c>
      <c r="C232" s="17" t="str">
        <f>_xlfn.CONCAT(Instruções!$D$13,".",VLOOKUP(B232,Instruções!$F$12:$H$17,2,0))</f>
        <v>cd_loan_tapes_bce.lt002_instrument</v>
      </c>
      <c r="D232" s="17" t="str">
        <f>_xlfn.CONCAT(Instruções!$D$14,".",VLOOKUP(B232,Instruções!$F$12:$H$17,3,0))</f>
        <v>bu_loantape_work.lt002_instrument</v>
      </c>
      <c r="E232" s="17" t="s">
        <v>282</v>
      </c>
      <c r="F232" s="17" t="str">
        <f t="shared" si="24"/>
        <v>lvrg_fnnc_flg_as_is</v>
      </c>
      <c r="G232" s="17" t="str">
        <f t="shared" si="25"/>
        <v>lvrg_fnnc_flg_to_be</v>
      </c>
      <c r="H232" s="17" t="str">
        <f>IF(VLOOKUP(B232,Instruções!$F$13:$J$17,5,0)="",
"(SELECT "&amp;VLOOKUP(B232,Instruções!$F$13:$J$17,4,0)&amp;" as "&amp;VLOOKUP(B232,Instruções!$F$13:$J$17,4,0)&amp;"_"&amp;$F$2&amp;", "&amp;E232&amp;" as "&amp;F232&amp;" FROM "&amp;C232&amp;" WHERE "&amp;Instruções!$D$20&amp;") A ",
"(SELECT "&amp;VLOOKUP(B232,Instruções!$F$13:$J$17,4,0)&amp;" as "&amp;VLOOKUP(B232,Instruções!$F$13:$J$17,4,0)&amp;"_"&amp;$F$2&amp;", "&amp;VLOOKUP(B232,Instruções!$F$13:$J$17,5,0)&amp;" as "&amp;VLOOKUP(B232,Instruções!$F$13:$J$17,5,0)&amp;"_"&amp;$F$2&amp;","&amp;E232&amp;" as "&amp;F232&amp;" FROM "&amp;C232&amp;" WHERE "&amp;Instruções!$D$20&amp;") A ")</f>
        <v xml:space="preserve">(SELECT instrmnt_id as instrmnt_id_as_is, lvrg_fnnc_flg as lvrg_fnnc_flg_as_is FROM cd_loan_tapes_bce.lt002_instrument WHERE ref_date='2024-09-30' AND nome_perimetro='Individual Corporativo' AND segmento='ESTR' AND ambito='PM' AND entidade='00100' ) A </v>
      </c>
      <c r="I232" s="17" t="str">
        <f>IF(VLOOKUP(B232,Instruções!$F$13:$J$17,5,0)="",
"(SELECT "&amp;VLOOKUP(B232,Instruções!$F$13:$J$17,4,0)&amp;" as "&amp;VLOOKUP(B232,Instruções!$F$13:$J$17,4,0)&amp;"_"&amp;$G$2&amp;", "&amp;E232&amp;" as "&amp;G232&amp;" FROM "&amp;D232&amp;" WHERE "&amp;Instruções!$D$21&amp;") B ",
"(SELECT "&amp;VLOOKUP(B232,Instruções!$F$13:$J$17,4,0)&amp;" as "&amp;VLOOKUP(B232,Instruções!$F$13:$J$17,4,0)&amp;"_"&amp;$G$2&amp;", "&amp;VLOOKUP(B232,Instruções!$F$13:$J$17,5,0)&amp;" as "&amp;VLOOKUP(B232,Instruções!$F$13:$J$17,5,0)&amp;"_"&amp;$G$2&amp;","&amp;E232&amp;" as "&amp;G232&amp;" FROM "&amp;D232&amp;" WHERE "&amp;Instruções!$D$21&amp;") B ")</f>
        <v xml:space="preserve">(SELECT instrmnt_id as instrmnt_id_to_be, lvrg_fnnc_flg as lvrg_fnnc_flg_to_be FROM bu_loantape_work.lt002_instrument WHERE ref_date='2024-09-30' AND nome_perimetro='Individual Corporativo' AND segmento='ESTR' AND ambito='PM' AND entidade='00100' ) B </v>
      </c>
      <c r="J232" s="17" t="str">
        <f>IF(VLOOKUP(B232,Instruções!$F$13:$J$17,5,0)="",
"ON "&amp;VLOOKUP(B232,Instruções!$F$13:$J$17,4,0)&amp;"_"&amp;$F$2&amp;" = "&amp;VLOOKUP(B232,Instruções!$F$13:$J$17,4,0)&amp;"_"&amp;$G$2&amp;" ",
"ON "&amp;VLOOKUP(B232,Instruções!$F$13:$J$17,4,0)&amp;"_"&amp;$F$2&amp;" = "&amp;VLOOKUP(B232,Instruções!$F$13:$J$17,4,0)&amp;"_"&amp;$G$2&amp;" AND "&amp;VLOOKUP(B232,Instruções!$F$13:$J$17,5,0)&amp;"_"&amp;$F$2&amp;" = "&amp;VLOOKUP(B232,Instruções!$F$13:$J$17,5,0)&amp;"_"&amp;$G$2&amp;" ")</f>
        <v xml:space="preserve">ON instrmnt_id_as_is = instrmnt_id_to_be </v>
      </c>
      <c r="K232" s="17" t="str">
        <f t="shared" si="26"/>
        <v xml:space="preserve">WHERE coalesce(cast(lvrg_fnnc_flg_as_is as string), '') &lt;&gt; coalesce(cast(lvrg_fnnc_flg_to_be as string), '') </v>
      </c>
      <c r="L232" s="17" t="str">
        <f t="shared" si="27"/>
        <v xml:space="preserve">SELECT count(*) AS NUM_REG_DIF FROM (SELECT instrmnt_id as instrmnt_id_as_is, lvrg_fnnc_flg as lvrg_fnnc_flg_as_is FROM cd_loan_tapes_bce.lt002_instrument WHERE ref_date='2024-09-30' AND nome_perimetro='Individual Corporativo' AND segmento='ESTR' AND ambito='PM' AND entidade='00100' ) A  Inner join (SELECT instrmnt_id as instrmnt_id_to_be, lvrg_fnnc_flg as lvrg_fnnc_flg_to_be FROM bu_loantape_work.lt002_instrument WHERE ref_date='2024-09-30' AND nome_perimetro='Individual Corporativo' AND segmento='ESTR' AND ambito='PM' AND entidade='00100' ) B ON instrmnt_id_as_is = instrmnt_id_to_be WHERE coalesce(cast(lvrg_fnnc_flg_as_is as string), '') &lt;&gt; coalesce(cast(lvrg_fnnc_flg_to_be as string), '') </v>
      </c>
      <c r="M232" s="17" t="s">
        <v>55</v>
      </c>
      <c r="N232" s="17" t="str">
        <f>"SELECT 'Validação de campos' as tipologia_teste, '"&amp;VLOOKUP(B232,Instruções!$F$13:$J$17,3,0)&amp;"' AS TABELA, '"&amp;E232&amp;"' AS CAMPO, '"&amp;Instruções!$D$15&amp;"' as ref_date, coalesce(NUM_REG_DIF, 0) AS NUM_REG_DIF FROM ("&amp;L232&amp;") A "</f>
        <v xml:space="preserve">SELECT 'Validação de campos' as tipologia_teste, 'lt002_instrument' AS TABELA, 'lvrg_fnnc_flg' AS CAMPO, '2024-09-30' as ref_date, coalesce(NUM_REG_DIF, 0) AS NUM_REG_DIF FROM (SELECT count(*) AS NUM_REG_DIF FROM (SELECT instrmnt_id as instrmnt_id_as_is, lvrg_fnnc_flg as lvrg_fnnc_flg_as_is FROM cd_loan_tapes_bce.lt002_instrument WHERE ref_date='2024-09-30' AND nome_perimetro='Individual Corporativo' AND segmento='ESTR' AND ambito='PM' AND entidade='00100' ) A  Inner join (SELECT instrmnt_id as instrmnt_id_to_be, lvrg_fnnc_flg as lvrg_fnnc_flg_to_be FROM bu_loantape_work.lt002_instrument WHERE ref_date='2024-09-30' AND nome_perimetro='Individual Corporativo' AND segmento='ESTR' AND ambito='PM' AND entidade='00100' ) B ON instrmnt_id_as_is = instrmnt_id_to_be WHERE coalesce(cast(lvrg_fnnc_flg_as_is as string), '') &lt;&gt; coalesce(cast(lvrg_fnnc_flg_to_be as string), '') ) A </v>
      </c>
      <c r="O232" s="19" t="str">
        <f t="shared" si="29"/>
        <v>SELECT 'Validação de campos' as tipologia_teste, 'lt002_instrument' AS TABELA, 'lvrg_fnnc_flg' AS CAMPO, '2024-09-30' as ref_date, coalesce(NUM_REG_DIF, 0) AS NUM_REG_DIF FROM (SELECT count(*) AS NUM_REG_DIF FROM (SELECT instrmnt_id as instrmnt_id_as_is, lvrg_fnnc_flg as lvrg_fnnc_flg_as_is FROM cd_loan_tapes_bce.lt002_instrument WHERE ref_date='2024-09-30' AND nome_perimetro='Individual Corporativo' AND segmento='ESTR' AND ambito='PM' AND entidade='00100' ) A  Inner join (SELECT instrmnt_id as instrmnt_id_to_be, lvrg_fnnc_flg as lvrg_fnnc_flg_to_be FROM bu_loantape_work.lt002_instrument WHERE ref_date='2024-09-30' AND nome_perimetro='Individual Corporativo' AND segmento='ESTR' AND ambito='PM' AND entidade='00100' ) B ON instrmnt_id_as_is = instrmnt_id_to_be WHERE coalesce(cast(lvrg_fnnc_flg_as_is as string), '') &lt;&gt; coalesce(cast(lvrg_fnnc_flg_to_be as string), '') ) A UNION ALL</v>
      </c>
      <c r="P232" s="17">
        <f t="shared" si="30"/>
        <v>27</v>
      </c>
    </row>
    <row r="233" spans="2:16" s="15" customFormat="1" ht="11.45">
      <c r="B233" s="17" t="s">
        <v>26</v>
      </c>
      <c r="C233" s="17" t="str">
        <f>_xlfn.CONCAT(Instruções!$D$13,".",VLOOKUP(B233,Instruções!$F$12:$H$17,2,0))</f>
        <v>cd_loan_tapes_bce.lt002_instrument</v>
      </c>
      <c r="D233" s="17" t="str">
        <f>_xlfn.CONCAT(Instruções!$D$14,".",VLOOKUP(B233,Instruções!$F$12:$H$17,3,0))</f>
        <v>bu_loantape_work.lt002_instrument</v>
      </c>
      <c r="E233" s="17" t="s">
        <v>283</v>
      </c>
      <c r="F233" s="17" t="str">
        <f t="shared" si="24"/>
        <v>mtrty_ltst_frbrnc_msr_c19_as_is</v>
      </c>
      <c r="G233" s="17" t="str">
        <f t="shared" si="25"/>
        <v>mtrty_ltst_frbrnc_msr_c19_to_be</v>
      </c>
      <c r="H233" s="17" t="str">
        <f>IF(VLOOKUP(B233,Instruções!$F$13:$J$17,5,0)="",
"(SELECT "&amp;VLOOKUP(B233,Instruções!$F$13:$J$17,4,0)&amp;" as "&amp;VLOOKUP(B233,Instruções!$F$13:$J$17,4,0)&amp;"_"&amp;$F$2&amp;", "&amp;E233&amp;" as "&amp;F233&amp;" FROM "&amp;C233&amp;" WHERE "&amp;Instruções!$D$20&amp;") A ",
"(SELECT "&amp;VLOOKUP(B233,Instruções!$F$13:$J$17,4,0)&amp;" as "&amp;VLOOKUP(B233,Instruções!$F$13:$J$17,4,0)&amp;"_"&amp;$F$2&amp;", "&amp;VLOOKUP(B233,Instruções!$F$13:$J$17,5,0)&amp;" as "&amp;VLOOKUP(B233,Instruções!$F$13:$J$17,5,0)&amp;"_"&amp;$F$2&amp;","&amp;E233&amp;" as "&amp;F233&amp;" FROM "&amp;C233&amp;" WHERE "&amp;Instruções!$D$20&amp;") A ")</f>
        <v xml:space="preserve">(SELECT instrmnt_id as instrmnt_id_as_is, mtrty_ltst_frbrnc_msr_c19 as mtrty_ltst_frbrnc_msr_c19_as_is FROM cd_loan_tapes_bce.lt002_instrument WHERE ref_date='2024-09-30' AND nome_perimetro='Individual Corporativo' AND segmento='ESTR' AND ambito='PM' AND entidade='00100' ) A </v>
      </c>
      <c r="I233" s="17" t="str">
        <f>IF(VLOOKUP(B233,Instruções!$F$13:$J$17,5,0)="",
"(SELECT "&amp;VLOOKUP(B233,Instruções!$F$13:$J$17,4,0)&amp;" as "&amp;VLOOKUP(B233,Instruções!$F$13:$J$17,4,0)&amp;"_"&amp;$G$2&amp;", "&amp;E233&amp;" as "&amp;G233&amp;" FROM "&amp;D233&amp;" WHERE "&amp;Instruções!$D$21&amp;") B ",
"(SELECT "&amp;VLOOKUP(B233,Instruções!$F$13:$J$17,4,0)&amp;" as "&amp;VLOOKUP(B233,Instruções!$F$13:$J$17,4,0)&amp;"_"&amp;$G$2&amp;", "&amp;VLOOKUP(B233,Instruções!$F$13:$J$17,5,0)&amp;" as "&amp;VLOOKUP(B233,Instruções!$F$13:$J$17,5,0)&amp;"_"&amp;$G$2&amp;","&amp;E233&amp;" as "&amp;G233&amp;" FROM "&amp;D233&amp;" WHERE "&amp;Instruções!$D$21&amp;") B ")</f>
        <v xml:space="preserve">(SELECT instrmnt_id as instrmnt_id_to_be, mtrty_ltst_frbrnc_msr_c19 as mtrty_ltst_frbrnc_msr_c19_to_be FROM bu_loantape_work.lt002_instrument WHERE ref_date='2024-09-30' AND nome_perimetro='Individual Corporativo' AND segmento='ESTR' AND ambito='PM' AND entidade='00100' ) B </v>
      </c>
      <c r="J233" s="17" t="str">
        <f>IF(VLOOKUP(B233,Instruções!$F$13:$J$17,5,0)="",
"ON "&amp;VLOOKUP(B233,Instruções!$F$13:$J$17,4,0)&amp;"_"&amp;$F$2&amp;" = "&amp;VLOOKUP(B233,Instruções!$F$13:$J$17,4,0)&amp;"_"&amp;$G$2&amp;" ",
"ON "&amp;VLOOKUP(B233,Instruções!$F$13:$J$17,4,0)&amp;"_"&amp;$F$2&amp;" = "&amp;VLOOKUP(B233,Instruções!$F$13:$J$17,4,0)&amp;"_"&amp;$G$2&amp;" AND "&amp;VLOOKUP(B233,Instruções!$F$13:$J$17,5,0)&amp;"_"&amp;$F$2&amp;" = "&amp;VLOOKUP(B233,Instruções!$F$13:$J$17,5,0)&amp;"_"&amp;$G$2&amp;" ")</f>
        <v xml:space="preserve">ON instrmnt_id_as_is = instrmnt_id_to_be </v>
      </c>
      <c r="K233" s="17" t="str">
        <f t="shared" si="26"/>
        <v xml:space="preserve">WHERE coalesce(cast(mtrty_ltst_frbrnc_msr_c19_as_is as string), '') &lt;&gt; coalesce(cast(mtrty_ltst_frbrnc_msr_c19_to_be as string), '') </v>
      </c>
      <c r="L233" s="17" t="str">
        <f t="shared" si="27"/>
        <v xml:space="preserve">SELECT count(*) AS NUM_REG_DIF FROM (SELECT instrmnt_id as instrmnt_id_as_is,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instrmnt_id_to_be, mtrty_ltst_frbrnc_msr_c19 as mtrty_ltst_frbrnc_msr_c19_to_be FROM bu_loantape_work.lt002_instrument WHERE ref_date='2024-09-30' AND nome_perimetro='Individual Corporativo' AND segmento='ESTR' AND ambito='PM' AND entidade='00100' ) B ON instrmnt_id_as_is = instrmnt_id_to_be WHERE coalesce(cast(mtrty_ltst_frbrnc_msr_c19_as_is as string), '') &lt;&gt; coalesce(cast(mtrty_ltst_frbrnc_msr_c19_to_be as string), '') </v>
      </c>
      <c r="M233" s="17" t="s">
        <v>55</v>
      </c>
      <c r="N233" s="17" t="str">
        <f>"SELECT 'Validação de campos' as tipologia_teste, '"&amp;VLOOKUP(B233,Instruções!$F$13:$J$17,3,0)&amp;"' AS TABELA, '"&amp;E233&amp;"' AS CAMPO, '"&amp;Instruções!$D$15&amp;"' as ref_date, coalesce(NUM_REG_DIF, 0) AS NUM_REG_DIF FROM ("&amp;L233&amp;") A "</f>
        <v xml:space="preserve">SELECT 'Validação de campos' as tipologia_teste, 'lt002_instrument' AS TABELA, 'mtrty_ltst_frbrnc_msr_c19' AS CAMPO, '2024-09-30' as ref_date, coalesce(NUM_REG_DIF, 0) AS NUM_REG_DIF FROM (SELECT count(*) AS NUM_REG_DIF FROM (SELECT instrmnt_id as instrmnt_id_as_is,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instrmnt_id_to_be, mtrty_ltst_frbrnc_msr_c19 as mtrty_ltst_frbrnc_msr_c19_to_be FROM bu_loantape_work.lt002_instrument WHERE ref_date='2024-09-30' AND nome_perimetro='Individual Corporativo' AND segmento='ESTR' AND ambito='PM' AND entidade='00100' ) B ON instrmnt_id_as_is = instrmnt_id_to_be WHERE coalesce(cast(mtrty_ltst_frbrnc_msr_c19_as_is as string), '') &lt;&gt; coalesce(cast(mtrty_ltst_frbrnc_msr_c19_to_be as string), '') ) A </v>
      </c>
      <c r="O233" s="19" t="str">
        <f t="shared" si="29"/>
        <v>SELECT 'Validação de campos' as tipologia_teste, 'lt002_instrument' AS TABELA, 'mtrty_ltst_frbrnc_msr_c19' AS CAMPO, '2024-09-30' as ref_date, coalesce(NUM_REG_DIF, 0) AS NUM_REG_DIF FROM (SELECT count(*) AS NUM_REG_DIF FROM (SELECT instrmnt_id as instrmnt_id_as_is, mtrty_ltst_frbrnc_msr_c19 as mtrty_ltst_frbrnc_msr_c19_as_is FROM cd_loan_tapes_bce.lt002_instrument WHERE ref_date='2024-09-30' AND nome_perimetro='Individual Corporativo' AND segmento='ESTR' AND ambito='PM' AND entidade='00100' ) A  Inner join (SELECT instrmnt_id as instrmnt_id_to_be, mtrty_ltst_frbrnc_msr_c19 as mtrty_ltst_frbrnc_msr_c19_to_be FROM bu_loantape_work.lt002_instrument WHERE ref_date='2024-09-30' AND nome_perimetro='Individual Corporativo' AND segmento='ESTR' AND ambito='PM' AND entidade='00100' ) B ON instrmnt_id_as_is = instrmnt_id_to_be WHERE coalesce(cast(mtrty_ltst_frbrnc_msr_c19_as_is as string), '') &lt;&gt; coalesce(cast(mtrty_ltst_frbrnc_msr_c19_to_be as string), '') ) A UNION ALL</v>
      </c>
      <c r="P233" s="17">
        <f t="shared" si="30"/>
        <v>28</v>
      </c>
    </row>
    <row r="234" spans="2:16" s="15" customFormat="1" ht="11.45">
      <c r="B234" s="17" t="s">
        <v>26</v>
      </c>
      <c r="C234" s="17" t="str">
        <f>_xlfn.CONCAT(Instruções!$D$13,".",VLOOKUP(B234,Instruções!$F$12:$H$17,2,0))</f>
        <v>cd_loan_tapes_bce.lt002_instrument</v>
      </c>
      <c r="D234" s="17" t="str">
        <f>_xlfn.CONCAT(Instruções!$D$14,".",VLOOKUP(B234,Instruções!$F$12:$H$17,3,0))</f>
        <v>bu_loantape_work.lt002_instrument</v>
      </c>
      <c r="E234" s="17" t="s">
        <v>284</v>
      </c>
      <c r="F234" s="17" t="str">
        <f t="shared" si="24"/>
        <v>mtrty_ltst_mrtr_c19_as_is</v>
      </c>
      <c r="G234" s="17" t="str">
        <f t="shared" si="25"/>
        <v>mtrty_ltst_mrtr_c19_to_be</v>
      </c>
      <c r="H234" s="17" t="str">
        <f>IF(VLOOKUP(B234,Instruções!$F$13:$J$17,5,0)="",
"(SELECT "&amp;VLOOKUP(B234,Instruções!$F$13:$J$17,4,0)&amp;" as "&amp;VLOOKUP(B234,Instruções!$F$13:$J$17,4,0)&amp;"_"&amp;$F$2&amp;", "&amp;E234&amp;" as "&amp;F234&amp;" FROM "&amp;C234&amp;" WHERE "&amp;Instruções!$D$20&amp;") A ",
"(SELECT "&amp;VLOOKUP(B234,Instruções!$F$13:$J$17,4,0)&amp;" as "&amp;VLOOKUP(B234,Instruções!$F$13:$J$17,4,0)&amp;"_"&amp;$F$2&amp;", "&amp;VLOOKUP(B234,Instruções!$F$13:$J$17,5,0)&amp;" as "&amp;VLOOKUP(B234,Instruções!$F$13:$J$17,5,0)&amp;"_"&amp;$F$2&amp;","&amp;E234&amp;" as "&amp;F234&amp;" FROM "&amp;C234&amp;" WHERE "&amp;Instruções!$D$20&amp;") A ")</f>
        <v xml:space="preserve">(SELECT instrmnt_id as instrmnt_id_as_is, mtrty_ltst_mrtr_c19 as mtrty_ltst_mrtr_c19_as_is FROM cd_loan_tapes_bce.lt002_instrument WHERE ref_date='2024-09-30' AND nome_perimetro='Individual Corporativo' AND segmento='ESTR' AND ambito='PM' AND entidade='00100' ) A </v>
      </c>
      <c r="I234" s="17" t="str">
        <f>IF(VLOOKUP(B234,Instruções!$F$13:$J$17,5,0)="",
"(SELECT "&amp;VLOOKUP(B234,Instruções!$F$13:$J$17,4,0)&amp;" as "&amp;VLOOKUP(B234,Instruções!$F$13:$J$17,4,0)&amp;"_"&amp;$G$2&amp;", "&amp;E234&amp;" as "&amp;G234&amp;" FROM "&amp;D234&amp;" WHERE "&amp;Instruções!$D$21&amp;") B ",
"(SELECT "&amp;VLOOKUP(B234,Instruções!$F$13:$J$17,4,0)&amp;" as "&amp;VLOOKUP(B234,Instruções!$F$13:$J$17,4,0)&amp;"_"&amp;$G$2&amp;", "&amp;VLOOKUP(B234,Instruções!$F$13:$J$17,5,0)&amp;" as "&amp;VLOOKUP(B234,Instruções!$F$13:$J$17,5,0)&amp;"_"&amp;$G$2&amp;","&amp;E234&amp;" as "&amp;G234&amp;" FROM "&amp;D234&amp;" WHERE "&amp;Instruções!$D$21&amp;") B ")</f>
        <v xml:space="preserve">(SELECT instrmnt_id as instrmnt_id_to_be, mtrty_ltst_mrtr_c19 as mtrty_ltst_mrtr_c19_to_be FROM bu_loantape_work.lt002_instrument WHERE ref_date='2024-09-30' AND nome_perimetro='Individual Corporativo' AND segmento='ESTR' AND ambito='PM' AND entidade='00100' ) B </v>
      </c>
      <c r="J234" s="17" t="str">
        <f>IF(VLOOKUP(B234,Instruções!$F$13:$J$17,5,0)="",
"ON "&amp;VLOOKUP(B234,Instruções!$F$13:$J$17,4,0)&amp;"_"&amp;$F$2&amp;" = "&amp;VLOOKUP(B234,Instruções!$F$13:$J$17,4,0)&amp;"_"&amp;$G$2&amp;" ",
"ON "&amp;VLOOKUP(B234,Instruções!$F$13:$J$17,4,0)&amp;"_"&amp;$F$2&amp;" = "&amp;VLOOKUP(B234,Instruções!$F$13:$J$17,4,0)&amp;"_"&amp;$G$2&amp;" AND "&amp;VLOOKUP(B234,Instruções!$F$13:$J$17,5,0)&amp;"_"&amp;$F$2&amp;" = "&amp;VLOOKUP(B234,Instruções!$F$13:$J$17,5,0)&amp;"_"&amp;$G$2&amp;" ")</f>
        <v xml:space="preserve">ON instrmnt_id_as_is = instrmnt_id_to_be </v>
      </c>
      <c r="K234" s="17" t="str">
        <f t="shared" si="26"/>
        <v xml:space="preserve">WHERE coalesce(cast(mtrty_ltst_mrtr_c19_as_is as string), '') &lt;&gt; coalesce(cast(mtrty_ltst_mrtr_c19_to_be as string), '') </v>
      </c>
      <c r="L234" s="17" t="str">
        <f t="shared" si="27"/>
        <v xml:space="preserve">SELECT count(*) AS NUM_REG_DIF FROM (SELECT instrmnt_id as instrmnt_id_as_is, mtrty_ltst_mrtr_c19 as mtrty_ltst_mrtr_c19_as_is FROM cd_loan_tapes_bce.lt002_instrument WHERE ref_date='2024-09-30' AND nome_perimetro='Individual Corporativo' AND segmento='ESTR' AND ambito='PM' AND entidade='00100' ) A  Inner join (SELECT instrmnt_id as instrmnt_id_to_be, mtrty_ltst_mrtr_c19 as mtrty_ltst_mrtr_c19_to_be FROM bu_loantape_work.lt002_instrument WHERE ref_date='2024-09-30' AND nome_perimetro='Individual Corporativo' AND segmento='ESTR' AND ambito='PM' AND entidade='00100' ) B ON instrmnt_id_as_is = instrmnt_id_to_be WHERE coalesce(cast(mtrty_ltst_mrtr_c19_as_is as string), '') &lt;&gt; coalesce(cast(mtrty_ltst_mrtr_c19_to_be as string), '') </v>
      </c>
      <c r="M234" s="17" t="s">
        <v>55</v>
      </c>
      <c r="N234" s="17" t="str">
        <f>"SELECT 'Validação de campos' as tipologia_teste, '"&amp;VLOOKUP(B234,Instruções!$F$13:$J$17,3,0)&amp;"' AS TABELA, '"&amp;E234&amp;"' AS CAMPO, '"&amp;Instruções!$D$15&amp;"' as ref_date, coalesce(NUM_REG_DIF, 0) AS NUM_REG_DIF FROM ("&amp;L234&amp;") A "</f>
        <v xml:space="preserve">SELECT 'Validação de campos' as tipologia_teste, 'lt002_instrument' AS TABELA, 'mtrty_ltst_mrtr_c19' AS CAMPO, '2024-09-30' as ref_date, coalesce(NUM_REG_DIF, 0) AS NUM_REG_DIF FROM (SELECT count(*) AS NUM_REG_DIF FROM (SELECT instrmnt_id as instrmnt_id_as_is, mtrty_ltst_mrtr_c19 as mtrty_ltst_mrtr_c19_as_is FROM cd_loan_tapes_bce.lt002_instrument WHERE ref_date='2024-09-30' AND nome_perimetro='Individual Corporativo' AND segmento='ESTR' AND ambito='PM' AND entidade='00100' ) A  Inner join (SELECT instrmnt_id as instrmnt_id_to_be, mtrty_ltst_mrtr_c19 as mtrty_ltst_mrtr_c19_to_be FROM bu_loantape_work.lt002_instrument WHERE ref_date='2024-09-30' AND nome_perimetro='Individual Corporativo' AND segmento='ESTR' AND ambito='PM' AND entidade='00100' ) B ON instrmnt_id_as_is = instrmnt_id_to_be WHERE coalesce(cast(mtrty_ltst_mrtr_c19_as_is as string), '') &lt;&gt; coalesce(cast(mtrty_ltst_mrtr_c19_to_be as string), '') ) A </v>
      </c>
      <c r="O234" s="19" t="str">
        <f t="shared" si="29"/>
        <v>SELECT 'Validação de campos' as tipologia_teste, 'lt002_instrument' AS TABELA, 'mtrty_ltst_mrtr_c19' AS CAMPO, '2024-09-30' as ref_date, coalesce(NUM_REG_DIF, 0) AS NUM_REG_DIF FROM (SELECT count(*) AS NUM_REG_DIF FROM (SELECT instrmnt_id as instrmnt_id_as_is, mtrty_ltst_mrtr_c19 as mtrty_ltst_mrtr_c19_as_is FROM cd_loan_tapes_bce.lt002_instrument WHERE ref_date='2024-09-30' AND nome_perimetro='Individual Corporativo' AND segmento='ESTR' AND ambito='PM' AND entidade='00100' ) A  Inner join (SELECT instrmnt_id as instrmnt_id_to_be, mtrty_ltst_mrtr_c19 as mtrty_ltst_mrtr_c19_to_be FROM bu_loantape_work.lt002_instrument WHERE ref_date='2024-09-30' AND nome_perimetro='Individual Corporativo' AND segmento='ESTR' AND ambito='PM' AND entidade='00100' ) B ON instrmnt_id_as_is = instrmnt_id_to_be WHERE coalesce(cast(mtrty_ltst_mrtr_c19_as_is as string), '') &lt;&gt; coalesce(cast(mtrty_ltst_mrtr_c19_to_be as string), '') ) A UNION ALL</v>
      </c>
      <c r="P234" s="17">
        <f t="shared" si="30"/>
        <v>29</v>
      </c>
    </row>
    <row r="235" spans="2:16" s="15" customFormat="1" ht="11.45">
      <c r="B235" s="17" t="s">
        <v>26</v>
      </c>
      <c r="C235" s="17" t="str">
        <f>_xlfn.CONCAT(Instruções!$D$13,".",VLOOKUP(B235,Instruções!$F$12:$H$17,2,0))</f>
        <v>cd_loan_tapes_bce.lt002_instrument</v>
      </c>
      <c r="D235" s="17" t="str">
        <f>_xlfn.CONCAT(Instruções!$D$14,".",VLOOKUP(B235,Instruções!$F$12:$H$17,3,0))</f>
        <v>bu_loantape_work.lt002_instrument</v>
      </c>
      <c r="E235" s="17" t="s">
        <v>285</v>
      </c>
      <c r="F235" s="17" t="str">
        <f t="shared" si="24"/>
        <v>nmbr_frbrnc_msrs_as_is</v>
      </c>
      <c r="G235" s="17" t="str">
        <f t="shared" si="25"/>
        <v>nmbr_frbrnc_msrs_to_be</v>
      </c>
      <c r="H235" s="17" t="str">
        <f>IF(VLOOKUP(B235,Instruções!$F$13:$J$17,5,0)="",
"(SELECT "&amp;VLOOKUP(B235,Instruções!$F$13:$J$17,4,0)&amp;" as "&amp;VLOOKUP(B235,Instruções!$F$13:$J$17,4,0)&amp;"_"&amp;$F$2&amp;", "&amp;E235&amp;" as "&amp;F235&amp;" FROM "&amp;C235&amp;" WHERE "&amp;Instruções!$D$20&amp;") A ",
"(SELECT "&amp;VLOOKUP(B235,Instruções!$F$13:$J$17,4,0)&amp;" as "&amp;VLOOKUP(B235,Instruções!$F$13:$J$17,4,0)&amp;"_"&amp;$F$2&amp;", "&amp;VLOOKUP(B235,Instruções!$F$13:$J$17,5,0)&amp;" as "&amp;VLOOKUP(B235,Instruções!$F$13:$J$17,5,0)&amp;"_"&amp;$F$2&amp;","&amp;E235&amp;" as "&amp;F235&amp;" FROM "&amp;C235&amp;" WHERE "&amp;Instruções!$D$20&amp;") A ")</f>
        <v xml:space="preserve">(SELECT instrmnt_id as instrmnt_id_as_is, nmbr_frbrnc_msrs as nmbr_frbrnc_msrs_as_is FROM cd_loan_tapes_bce.lt002_instrument WHERE ref_date='2024-09-30' AND nome_perimetro='Individual Corporativo' AND segmento='ESTR' AND ambito='PM' AND entidade='00100' ) A </v>
      </c>
      <c r="I235" s="17" t="str">
        <f>IF(VLOOKUP(B235,Instruções!$F$13:$J$17,5,0)="",
"(SELECT "&amp;VLOOKUP(B235,Instruções!$F$13:$J$17,4,0)&amp;" as "&amp;VLOOKUP(B235,Instruções!$F$13:$J$17,4,0)&amp;"_"&amp;$G$2&amp;", "&amp;E235&amp;" as "&amp;G235&amp;" FROM "&amp;D235&amp;" WHERE "&amp;Instruções!$D$21&amp;") B ",
"(SELECT "&amp;VLOOKUP(B235,Instruções!$F$13:$J$17,4,0)&amp;" as "&amp;VLOOKUP(B235,Instruções!$F$13:$J$17,4,0)&amp;"_"&amp;$G$2&amp;", "&amp;VLOOKUP(B235,Instruções!$F$13:$J$17,5,0)&amp;" as "&amp;VLOOKUP(B235,Instruções!$F$13:$J$17,5,0)&amp;"_"&amp;$G$2&amp;","&amp;E235&amp;" as "&amp;G235&amp;" FROM "&amp;D235&amp;" WHERE "&amp;Instruções!$D$21&amp;") B ")</f>
        <v xml:space="preserve">(SELECT instrmnt_id as instrmnt_id_to_be, nmbr_frbrnc_msrs as nmbr_frbrnc_msrs_to_be FROM bu_loantape_work.lt002_instrument WHERE ref_date='2024-09-30' AND nome_perimetro='Individual Corporativo' AND segmento='ESTR' AND ambito='PM' AND entidade='00100' ) B </v>
      </c>
      <c r="J235" s="17" t="str">
        <f>IF(VLOOKUP(B235,Instruções!$F$13:$J$17,5,0)="",
"ON "&amp;VLOOKUP(B235,Instruções!$F$13:$J$17,4,0)&amp;"_"&amp;$F$2&amp;" = "&amp;VLOOKUP(B235,Instruções!$F$13:$J$17,4,0)&amp;"_"&amp;$G$2&amp;" ",
"ON "&amp;VLOOKUP(B235,Instruções!$F$13:$J$17,4,0)&amp;"_"&amp;$F$2&amp;" = "&amp;VLOOKUP(B235,Instruções!$F$13:$J$17,4,0)&amp;"_"&amp;$G$2&amp;" AND "&amp;VLOOKUP(B235,Instruções!$F$13:$J$17,5,0)&amp;"_"&amp;$F$2&amp;" = "&amp;VLOOKUP(B235,Instruções!$F$13:$J$17,5,0)&amp;"_"&amp;$G$2&amp;" ")</f>
        <v xml:space="preserve">ON instrmnt_id_as_is = instrmnt_id_to_be </v>
      </c>
      <c r="K235" s="17" t="str">
        <f t="shared" si="26"/>
        <v xml:space="preserve">WHERE coalesce(cast(nmbr_frbrnc_msrs_as_is as string), '') &lt;&gt; coalesce(cast(nmbr_frbrnc_msrs_to_be as string), '') </v>
      </c>
      <c r="L235" s="17" t="str">
        <f t="shared" si="27"/>
        <v xml:space="preserve">SELECT count(*) AS NUM_REG_DIF FROM (SELECT instrmnt_id as instrmnt_id_as_is, nmbr_frbrnc_msrs as nmbr_frbrnc_msrs_as_is FROM cd_loan_tapes_bce.lt002_instrument WHERE ref_date='2024-09-30' AND nome_perimetro='Individual Corporativo' AND segmento='ESTR' AND ambito='PM' AND entidade='00100' ) A  Inner join (SELECT instrmnt_id as instrmnt_id_to_be, nmbr_frbrnc_msrs as nmbr_frbrnc_msrs_to_be FROM bu_loantape_work.lt002_instrument WHERE ref_date='2024-09-30' AND nome_perimetro='Individual Corporativo' AND segmento='ESTR' AND ambito='PM' AND entidade='00100' ) B ON instrmnt_id_as_is = instrmnt_id_to_be WHERE coalesce(cast(nmbr_frbrnc_msrs_as_is as string), '') &lt;&gt; coalesce(cast(nmbr_frbrnc_msrs_to_be as string), '') </v>
      </c>
      <c r="M235" s="17" t="s">
        <v>55</v>
      </c>
      <c r="N235" s="17" t="str">
        <f>"SELECT 'Validação de campos' as tipologia_teste, '"&amp;VLOOKUP(B235,Instruções!$F$13:$J$17,3,0)&amp;"' AS TABELA, '"&amp;E235&amp;"' AS CAMPO, '"&amp;Instruções!$D$15&amp;"' as ref_date, coalesce(NUM_REG_DIF, 0) AS NUM_REG_DIF FROM ("&amp;L235&amp;") A "</f>
        <v xml:space="preserve">SELECT 'Validação de campos' as tipologia_teste, 'lt002_instrument' AS TABELA, 'nmbr_frbrnc_msrs' AS CAMPO, '2024-09-30' as ref_date, coalesce(NUM_REG_DIF, 0) AS NUM_REG_DIF FROM (SELECT count(*) AS NUM_REG_DIF FROM (SELECT instrmnt_id as instrmnt_id_as_is, nmbr_frbrnc_msrs as nmbr_frbrnc_msrs_as_is FROM cd_loan_tapes_bce.lt002_instrument WHERE ref_date='2024-09-30' AND nome_perimetro='Individual Corporativo' AND segmento='ESTR' AND ambito='PM' AND entidade='00100' ) A  Inner join (SELECT instrmnt_id as instrmnt_id_to_be, nmbr_frbrnc_msrs as nmbr_frbrnc_msrs_to_be FROM bu_loantape_work.lt002_instrument WHERE ref_date='2024-09-30' AND nome_perimetro='Individual Corporativo' AND segmento='ESTR' AND ambito='PM' AND entidade='00100' ) B ON instrmnt_id_as_is = instrmnt_id_to_be WHERE coalesce(cast(nmbr_frbrnc_msrs_as_is as string), '') &lt;&gt; coalesce(cast(nmbr_frbrnc_msrs_to_be as string), '') ) A </v>
      </c>
      <c r="O235" s="19" t="str">
        <f t="shared" si="29"/>
        <v>SELECT 'Validação de campos' as tipologia_teste, 'lt002_instrument' AS TABELA, 'nmbr_frbrnc_msrs' AS CAMPO, '2024-09-30' as ref_date, coalesce(NUM_REG_DIF, 0) AS NUM_REG_DIF FROM (SELECT count(*) AS NUM_REG_DIF FROM (SELECT instrmnt_id as instrmnt_id_as_is, nmbr_frbrnc_msrs as nmbr_frbrnc_msrs_as_is FROM cd_loan_tapes_bce.lt002_instrument WHERE ref_date='2024-09-30' AND nome_perimetro='Individual Corporativo' AND segmento='ESTR' AND ambito='PM' AND entidade='00100' ) A  Inner join (SELECT instrmnt_id as instrmnt_id_to_be, nmbr_frbrnc_msrs as nmbr_frbrnc_msrs_to_be FROM bu_loantape_work.lt002_instrument WHERE ref_date='2024-09-30' AND nome_perimetro='Individual Corporativo' AND segmento='ESTR' AND ambito='PM' AND entidade='00100' ) B ON instrmnt_id_as_is = instrmnt_id_to_be WHERE coalesce(cast(nmbr_frbrnc_msrs_as_is as string), '') &lt;&gt; coalesce(cast(nmbr_frbrnc_msrs_to_be as string), '') ) A UNION ALL</v>
      </c>
      <c r="P235" s="17">
        <f t="shared" si="30"/>
        <v>30</v>
      </c>
    </row>
    <row r="236" spans="2:16" s="15" customFormat="1" ht="11.45">
      <c r="B236" s="17" t="s">
        <v>26</v>
      </c>
      <c r="C236" s="17" t="str">
        <f>_xlfn.CONCAT(Instruções!$D$13,".",VLOOKUP(B236,Instruções!$F$12:$H$17,2,0))</f>
        <v>cd_loan_tapes_bce.lt002_instrument</v>
      </c>
      <c r="D236" s="17" t="str">
        <f>_xlfn.CONCAT(Instruções!$D$14,".",VLOOKUP(B236,Instruções!$F$12:$H$17,3,0))</f>
        <v>bu_loantape_work.lt002_instrument</v>
      </c>
      <c r="E236" s="17" t="s">
        <v>323</v>
      </c>
      <c r="F236" s="17" t="str">
        <f t="shared" si="24"/>
        <v>rwa_mthd_as_is</v>
      </c>
      <c r="G236" s="17" t="str">
        <f t="shared" si="25"/>
        <v>rwa_mthd_to_be</v>
      </c>
      <c r="H236" s="17" t="str">
        <f>IF(VLOOKUP(B236,Instruções!$F$13:$J$17,5,0)="",
"(SELECT "&amp;VLOOKUP(B236,Instruções!$F$13:$J$17,4,0)&amp;" as "&amp;VLOOKUP(B236,Instruções!$F$13:$J$17,4,0)&amp;"_"&amp;$F$2&amp;", "&amp;E236&amp;" as "&amp;F236&amp;" FROM "&amp;C236&amp;" WHERE "&amp;Instruções!$D$20&amp;") A ",
"(SELECT "&amp;VLOOKUP(B236,Instruções!$F$13:$J$17,4,0)&amp;" as "&amp;VLOOKUP(B236,Instruções!$F$13:$J$17,4,0)&amp;"_"&amp;$F$2&amp;", "&amp;VLOOKUP(B236,Instruções!$F$13:$J$17,5,0)&amp;" as "&amp;VLOOKUP(B236,Instruções!$F$13:$J$17,5,0)&amp;"_"&amp;$F$2&amp;","&amp;E236&amp;" as "&amp;F236&amp;" FROM "&amp;C236&amp;" WHERE "&amp;Instruções!$D$20&amp;") A ")</f>
        <v xml:space="preserve">(SELECT instrmnt_id as instrmnt_id_as_is, rwa_mthd as rwa_mthd_as_is FROM cd_loan_tapes_bce.lt002_instrument WHERE ref_date='2024-09-30' AND nome_perimetro='Individual Corporativo' AND segmento='ESTR' AND ambito='PM' AND entidade='00100' ) A </v>
      </c>
      <c r="I236" s="17" t="str">
        <f>IF(VLOOKUP(B236,Instruções!$F$13:$J$17,5,0)="",
"(SELECT "&amp;VLOOKUP(B236,Instruções!$F$13:$J$17,4,0)&amp;" as "&amp;VLOOKUP(B236,Instruções!$F$13:$J$17,4,0)&amp;"_"&amp;$G$2&amp;", "&amp;E236&amp;" as "&amp;G236&amp;" FROM "&amp;D236&amp;" WHERE "&amp;Instruções!$D$21&amp;") B ",
"(SELECT "&amp;VLOOKUP(B236,Instruções!$F$13:$J$17,4,0)&amp;" as "&amp;VLOOKUP(B236,Instruções!$F$13:$J$17,4,0)&amp;"_"&amp;$G$2&amp;", "&amp;VLOOKUP(B236,Instruções!$F$13:$J$17,5,0)&amp;" as "&amp;VLOOKUP(B236,Instruções!$F$13:$J$17,5,0)&amp;"_"&amp;$G$2&amp;","&amp;E236&amp;" as "&amp;G236&amp;" FROM "&amp;D236&amp;" WHERE "&amp;Instruções!$D$21&amp;") B ")</f>
        <v xml:space="preserve">(SELECT instrmnt_id as instrmnt_id_to_be, rwa_mthd as rwa_mthd_to_be FROM bu_loantape_work.lt002_instrument WHERE ref_date='2024-09-30' AND nome_perimetro='Individual Corporativo' AND segmento='ESTR' AND ambito='PM' AND entidade='00100' ) B </v>
      </c>
      <c r="J236" s="17" t="str">
        <f>IF(VLOOKUP(B236,Instruções!$F$13:$J$17,5,0)="",
"ON "&amp;VLOOKUP(B236,Instruções!$F$13:$J$17,4,0)&amp;"_"&amp;$F$2&amp;" = "&amp;VLOOKUP(B236,Instruções!$F$13:$J$17,4,0)&amp;"_"&amp;$G$2&amp;" ",
"ON "&amp;VLOOKUP(B236,Instruções!$F$13:$J$17,4,0)&amp;"_"&amp;$F$2&amp;" = "&amp;VLOOKUP(B236,Instruções!$F$13:$J$17,4,0)&amp;"_"&amp;$G$2&amp;" AND "&amp;VLOOKUP(B236,Instruções!$F$13:$J$17,5,0)&amp;"_"&amp;$F$2&amp;" = "&amp;VLOOKUP(B236,Instruções!$F$13:$J$17,5,0)&amp;"_"&amp;$G$2&amp;" ")</f>
        <v xml:space="preserve">ON instrmnt_id_as_is = instrmnt_id_to_be </v>
      </c>
      <c r="K236" s="17" t="str">
        <f t="shared" si="26"/>
        <v xml:space="preserve">WHERE coalesce(cast(rwa_mthd_as_is as string), '') &lt;&gt; coalesce(cast(rwa_mthd_to_be as string), '') </v>
      </c>
      <c r="L236" s="17" t="str">
        <f t="shared" si="27"/>
        <v xml:space="preserve">SELECT count(*) AS NUM_REG_DIF FROM (SELECT instrmnt_id as instrmnt_id_as_is, rwa_mthd as rwa_mthd_as_is FROM cd_loan_tapes_bce.lt002_instrument WHERE ref_date='2024-09-30' AND nome_perimetro='Individual Corporativo' AND segmento='ESTR' AND ambito='PM' AND entidade='00100' ) A  Inner join (SELECT instrmnt_id as instrmnt_id_to_be, rwa_mthd as rwa_mthd_to_be FROM bu_loantape_work.lt002_instrument WHERE ref_date='2024-09-30' AND nome_perimetro='Individual Corporativo' AND segmento='ESTR' AND ambito='PM' AND entidade='00100' ) B ON instrmnt_id_as_is = instrmnt_id_to_be WHERE coalesce(cast(rwa_mthd_as_is as string), '') &lt;&gt; coalesce(cast(rwa_mthd_to_be as string), '') </v>
      </c>
      <c r="M236" s="17" t="s">
        <v>55</v>
      </c>
      <c r="N236" s="17" t="str">
        <f>"SELECT 'Validação de campos' as tipologia_teste, '"&amp;VLOOKUP(B236,Instruções!$F$13:$J$17,3,0)&amp;"' AS TABELA, '"&amp;E236&amp;"' AS CAMPO, '"&amp;Instruções!$D$15&amp;"' as ref_date, coalesce(NUM_REG_DIF, 0) AS NUM_REG_DIF FROM ("&amp;L236&amp;") A "</f>
        <v xml:space="preserve">SELECT 'Validação de campos' as tipologia_teste, 'lt002_instrument' AS TABELA, 'rwa_mthd' AS CAMPO, '2024-09-30' as ref_date, coalesce(NUM_REG_DIF, 0) AS NUM_REG_DIF FROM (SELECT count(*) AS NUM_REG_DIF FROM (SELECT instrmnt_id as instrmnt_id_as_is, rwa_mthd as rwa_mthd_as_is FROM cd_loan_tapes_bce.lt002_instrument WHERE ref_date='2024-09-30' AND nome_perimetro='Individual Corporativo' AND segmento='ESTR' AND ambito='PM' AND entidade='00100' ) A  Inner join (SELECT instrmnt_id as instrmnt_id_to_be, rwa_mthd as rwa_mthd_to_be FROM bu_loantape_work.lt002_instrument WHERE ref_date='2024-09-30' AND nome_perimetro='Individual Corporativo' AND segmento='ESTR' AND ambito='PM' AND entidade='00100' ) B ON instrmnt_id_as_is = instrmnt_id_to_be WHERE coalesce(cast(rwa_mthd_as_is as string), '') &lt;&gt; coalesce(cast(rwa_mthd_to_be as string), '') ) A </v>
      </c>
      <c r="O236" s="19" t="str">
        <f t="shared" si="29"/>
        <v>SELECT 'Validação de campos' as tipologia_teste, 'lt002_instrument' AS TABELA, 'rwa_mthd' AS CAMPO, '2024-09-30' as ref_date, coalesce(NUM_REG_DIF, 0) AS NUM_REG_DIF FROM (SELECT count(*) AS NUM_REG_DIF FROM (SELECT instrmnt_id as instrmnt_id_as_is, rwa_mthd as rwa_mthd_as_is FROM cd_loan_tapes_bce.lt002_instrument WHERE ref_date='2024-09-30' AND nome_perimetro='Individual Corporativo' AND segmento='ESTR' AND ambito='PM' AND entidade='00100' ) A  Inner join (SELECT instrmnt_id as instrmnt_id_to_be, rwa_mthd as rwa_mthd_to_be FROM bu_loantape_work.lt002_instrument WHERE ref_date='2024-09-30' AND nome_perimetro='Individual Corporativo' AND segmento='ESTR' AND ambito='PM' AND entidade='00100' ) B ON instrmnt_id_as_is = instrmnt_id_to_be WHERE coalesce(cast(rwa_mthd_as_is as string), '') &lt;&gt; coalesce(cast(rwa_mthd_to_be as string), '') ) A UNION ALL</v>
      </c>
      <c r="P236" s="17">
        <f t="shared" si="30"/>
        <v>31</v>
      </c>
    </row>
    <row r="237" spans="2:16" s="15" customFormat="1" ht="11.45">
      <c r="B237" s="17" t="s">
        <v>26</v>
      </c>
      <c r="C237" s="17" t="str">
        <f>_xlfn.CONCAT(Instruções!$D$13,".",VLOOKUP(B237,Instruções!$F$12:$H$17,2,0))</f>
        <v>cd_loan_tapes_bce.lt002_instrument</v>
      </c>
      <c r="D237" s="17" t="str">
        <f>_xlfn.CONCAT(Instruções!$D$14,".",VLOOKUP(B237,Instruções!$F$12:$H$17,3,0))</f>
        <v>bu_loantape_work.lt002_instrument</v>
      </c>
      <c r="E237" s="17" t="s">
        <v>286</v>
      </c>
      <c r="F237" s="17" t="str">
        <f t="shared" si="24"/>
        <v>obsrvd_agnt_id_as_is</v>
      </c>
      <c r="G237" s="17" t="str">
        <f t="shared" si="25"/>
        <v>obsrvd_agnt_id_to_be</v>
      </c>
      <c r="H237" s="17" t="str">
        <f>IF(VLOOKUP(B237,Instruções!$F$13:$J$17,5,0)="",
"(SELECT "&amp;VLOOKUP(B237,Instruções!$F$13:$J$17,4,0)&amp;" as "&amp;VLOOKUP(B237,Instruções!$F$13:$J$17,4,0)&amp;"_"&amp;$F$2&amp;", "&amp;E237&amp;" as "&amp;F237&amp;" FROM "&amp;C237&amp;" WHERE "&amp;Instruções!$D$20&amp;") A ",
"(SELECT "&amp;VLOOKUP(B237,Instruções!$F$13:$J$17,4,0)&amp;" as "&amp;VLOOKUP(B237,Instruções!$F$13:$J$17,4,0)&amp;"_"&amp;$F$2&amp;", "&amp;VLOOKUP(B237,Instruções!$F$13:$J$17,5,0)&amp;" as "&amp;VLOOKUP(B237,Instruções!$F$13:$J$17,5,0)&amp;"_"&amp;$F$2&amp;","&amp;E237&amp;" as "&amp;F237&amp;" FROM "&amp;C237&amp;" WHERE "&amp;Instruções!$D$20&amp;") A ")</f>
        <v xml:space="preserve">(SELECT instrmnt_id as instrmnt_id_as_is, obsrvd_agnt_id as obsrvd_agnt_id_as_is FROM cd_loan_tapes_bce.lt002_instrument WHERE ref_date='2024-09-30' AND nome_perimetro='Individual Corporativo' AND segmento='ESTR' AND ambito='PM' AND entidade='00100' ) A </v>
      </c>
      <c r="I237" s="17" t="str">
        <f>IF(VLOOKUP(B237,Instruções!$F$13:$J$17,5,0)="",
"(SELECT "&amp;VLOOKUP(B237,Instruções!$F$13:$J$17,4,0)&amp;" as "&amp;VLOOKUP(B237,Instruções!$F$13:$J$17,4,0)&amp;"_"&amp;$G$2&amp;", "&amp;E237&amp;" as "&amp;G237&amp;" FROM "&amp;D237&amp;" WHERE "&amp;Instruções!$D$21&amp;") B ",
"(SELECT "&amp;VLOOKUP(B237,Instruções!$F$13:$J$17,4,0)&amp;" as "&amp;VLOOKUP(B237,Instruções!$F$13:$J$17,4,0)&amp;"_"&amp;$G$2&amp;", "&amp;VLOOKUP(B237,Instruções!$F$13:$J$17,5,0)&amp;" as "&amp;VLOOKUP(B237,Instruções!$F$13:$J$17,5,0)&amp;"_"&amp;$G$2&amp;","&amp;E237&amp;" as "&amp;G237&amp;" FROM "&amp;D237&amp;" WHERE "&amp;Instruções!$D$21&amp;") B ")</f>
        <v xml:space="preserve">(SELECT instrmnt_id as instrmnt_id_to_be, obsrvd_agnt_id as obsrvd_agnt_id_to_be FROM bu_loantape_work.lt002_instrument WHERE ref_date='2024-09-30' AND nome_perimetro='Individual Corporativo' AND segmento='ESTR' AND ambito='PM' AND entidade='00100' ) B </v>
      </c>
      <c r="J237" s="17" t="str">
        <f>IF(VLOOKUP(B237,Instruções!$F$13:$J$17,5,0)="",
"ON "&amp;VLOOKUP(B237,Instruções!$F$13:$J$17,4,0)&amp;"_"&amp;$F$2&amp;" = "&amp;VLOOKUP(B237,Instruções!$F$13:$J$17,4,0)&amp;"_"&amp;$G$2&amp;" ",
"ON "&amp;VLOOKUP(B237,Instruções!$F$13:$J$17,4,0)&amp;"_"&amp;$F$2&amp;" = "&amp;VLOOKUP(B237,Instruções!$F$13:$J$17,4,0)&amp;"_"&amp;$G$2&amp;" AND "&amp;VLOOKUP(B237,Instruções!$F$13:$J$17,5,0)&amp;"_"&amp;$F$2&amp;" = "&amp;VLOOKUP(B237,Instruções!$F$13:$J$17,5,0)&amp;"_"&amp;$G$2&amp;" ")</f>
        <v xml:space="preserve">ON instrmnt_id_as_is = instrmnt_id_to_be </v>
      </c>
      <c r="K237" s="17" t="str">
        <f t="shared" si="26"/>
        <v xml:space="preserve">WHERE coalesce(cast(obsrvd_agnt_id_as_is as string), '') &lt;&gt; coalesce(cast(obsrvd_agnt_id_to_be as string), '') </v>
      </c>
      <c r="L237" s="17" t="str">
        <f t="shared" si="27"/>
        <v xml:space="preserve">SELECT count(*) AS NUM_REG_DIF FROM (SELECT instrmnt_id as instrmnt_id_as_is, obsrvd_agnt_id as obsrvd_agnt_id_as_is FROM cd_loan_tapes_bce.lt002_instrument WHERE ref_date='2024-09-30' AND nome_perimetro='Individual Corporativo' AND segmento='ESTR' AND ambito='PM' AND entidade='00100' ) A  Inner join (SELECT instrmnt_id as instrmnt_id_to_be, obsrvd_agnt_id as obsrvd_agnt_id_to_be FROM bu_loantape_work.lt002_instrument WHERE ref_date='2024-09-30' AND nome_perimetro='Individual Corporativo' AND segmento='ESTR' AND ambito='PM' AND entidade='00100' ) B ON instrmnt_id_as_is = instrmnt_id_to_be WHERE coalesce(cast(obsrvd_agnt_id_as_is as string), '') &lt;&gt; coalesce(cast(obsrvd_agnt_id_to_be as string), '') </v>
      </c>
      <c r="M237" s="17" t="s">
        <v>55</v>
      </c>
      <c r="N237" s="17" t="str">
        <f>"SELECT 'Validação de campos' as tipologia_teste, '"&amp;VLOOKUP(B237,Instruções!$F$13:$J$17,3,0)&amp;"' AS TABELA, '"&amp;E237&amp;"' AS CAMPO, '"&amp;Instruções!$D$15&amp;"' as ref_date, coalesce(NUM_REG_DIF, 0) AS NUM_REG_DIF FROM ("&amp;L237&amp;") A "</f>
        <v xml:space="preserve">SELECT 'Validação de campos' as tipologia_teste, 'lt002_instrument' AS TABELA, 'obsrvd_agnt_id' AS CAMPO, '2024-09-30' as ref_date, coalesce(NUM_REG_DIF, 0) AS NUM_REG_DIF FROM (SELECT count(*) AS NUM_REG_DIF FROM (SELECT instrmnt_id as instrmnt_id_as_is, obsrvd_agnt_id as obsrvd_agnt_id_as_is FROM cd_loan_tapes_bce.lt002_instrument WHERE ref_date='2024-09-30' AND nome_perimetro='Individual Corporativo' AND segmento='ESTR' AND ambito='PM' AND entidade='00100' ) A  Inner join (SELECT instrmnt_id as instrmnt_id_to_be, obsrvd_agnt_id as obsrvd_agnt_id_to_be FROM bu_loantape_work.lt002_instrument WHERE ref_date='2024-09-30' AND nome_perimetro='Individual Corporativo' AND segmento='ESTR' AND ambito='PM' AND entidade='00100' ) B ON instrmnt_id_as_is = instrmnt_id_to_be WHERE coalesce(cast(obsrvd_agnt_id_as_is as string), '') &lt;&gt; coalesce(cast(obsrvd_agnt_id_to_be as string), '') ) A </v>
      </c>
      <c r="O237" s="19" t="str">
        <f t="shared" si="29"/>
        <v>SELECT 'Validação de campos' as tipologia_teste, 'lt002_instrument' AS TABELA, 'obsrvd_agnt_id' AS CAMPO, '2024-09-30' as ref_date, coalesce(NUM_REG_DIF, 0) AS NUM_REG_DIF FROM (SELECT count(*) AS NUM_REG_DIF FROM (SELECT instrmnt_id as instrmnt_id_as_is, obsrvd_agnt_id as obsrvd_agnt_id_as_is FROM cd_loan_tapes_bce.lt002_instrument WHERE ref_date='2024-09-30' AND nome_perimetro='Individual Corporativo' AND segmento='ESTR' AND ambito='PM' AND entidade='00100' ) A  Inner join (SELECT instrmnt_id as instrmnt_id_to_be, obsrvd_agnt_id as obsrvd_agnt_id_to_be FROM bu_loantape_work.lt002_instrument WHERE ref_date='2024-09-30' AND nome_perimetro='Individual Corporativo' AND segmento='ESTR' AND ambito='PM' AND entidade='00100' ) B ON instrmnt_id_as_is = instrmnt_id_to_be WHERE coalesce(cast(obsrvd_agnt_id_as_is as string), '') &lt;&gt; coalesce(cast(obsrvd_agnt_id_to_be as string), '') ) A UNION ALL</v>
      </c>
      <c r="P237" s="17">
        <f t="shared" si="30"/>
        <v>32</v>
      </c>
    </row>
    <row r="238" spans="2:16" s="15" customFormat="1" ht="11.45">
      <c r="B238" s="17" t="s">
        <v>26</v>
      </c>
      <c r="C238" s="17" t="str">
        <f>_xlfn.CONCAT(Instruções!$D$13,".",VLOOKUP(B238,Instruções!$F$12:$H$17,2,0))</f>
        <v>cd_loan_tapes_bce.lt002_instrument</v>
      </c>
      <c r="D238" s="17" t="str">
        <f>_xlfn.CONCAT(Instruções!$D$14,".",VLOOKUP(B238,Instruções!$F$12:$H$17,3,0))</f>
        <v>bu_loantape_work.lt002_instrument</v>
      </c>
      <c r="E238" s="17" t="s">
        <v>287</v>
      </c>
      <c r="F238" s="17" t="str">
        <f t="shared" si="24"/>
        <v>obsrvd_agnt_nm_as_is</v>
      </c>
      <c r="G238" s="17" t="str">
        <f t="shared" si="25"/>
        <v>obsrvd_agnt_nm_to_be</v>
      </c>
      <c r="H238" s="17" t="str">
        <f>IF(VLOOKUP(B238,Instruções!$F$13:$J$17,5,0)="",
"(SELECT "&amp;VLOOKUP(B238,Instruções!$F$13:$J$17,4,0)&amp;" as "&amp;VLOOKUP(B238,Instruções!$F$13:$J$17,4,0)&amp;"_"&amp;$F$2&amp;", "&amp;E238&amp;" as "&amp;F238&amp;" FROM "&amp;C238&amp;" WHERE "&amp;Instruções!$D$20&amp;") A ",
"(SELECT "&amp;VLOOKUP(B238,Instruções!$F$13:$J$17,4,0)&amp;" as "&amp;VLOOKUP(B238,Instruções!$F$13:$J$17,4,0)&amp;"_"&amp;$F$2&amp;", "&amp;VLOOKUP(B238,Instruções!$F$13:$J$17,5,0)&amp;" as "&amp;VLOOKUP(B238,Instruções!$F$13:$J$17,5,0)&amp;"_"&amp;$F$2&amp;","&amp;E238&amp;" as "&amp;F238&amp;" FROM "&amp;C238&amp;" WHERE "&amp;Instruções!$D$20&amp;") A ")</f>
        <v xml:space="preserve">(SELECT instrmnt_id as instrmnt_id_as_is, obsrvd_agnt_nm as obsrvd_agnt_nm_as_is FROM cd_loan_tapes_bce.lt002_instrument WHERE ref_date='2024-09-30' AND nome_perimetro='Individual Corporativo' AND segmento='ESTR' AND ambito='PM' AND entidade='00100' ) A </v>
      </c>
      <c r="I238" s="17" t="str">
        <f>IF(VLOOKUP(B238,Instruções!$F$13:$J$17,5,0)="",
"(SELECT "&amp;VLOOKUP(B238,Instruções!$F$13:$J$17,4,0)&amp;" as "&amp;VLOOKUP(B238,Instruções!$F$13:$J$17,4,0)&amp;"_"&amp;$G$2&amp;", "&amp;E238&amp;" as "&amp;G238&amp;" FROM "&amp;D238&amp;" WHERE "&amp;Instruções!$D$21&amp;") B ",
"(SELECT "&amp;VLOOKUP(B238,Instruções!$F$13:$J$17,4,0)&amp;" as "&amp;VLOOKUP(B238,Instruções!$F$13:$J$17,4,0)&amp;"_"&amp;$G$2&amp;", "&amp;VLOOKUP(B238,Instruções!$F$13:$J$17,5,0)&amp;" as "&amp;VLOOKUP(B238,Instruções!$F$13:$J$17,5,0)&amp;"_"&amp;$G$2&amp;","&amp;E238&amp;" as "&amp;G238&amp;" FROM "&amp;D238&amp;" WHERE "&amp;Instruções!$D$21&amp;") B ")</f>
        <v xml:space="preserve">(SELECT instrmnt_id as instrmnt_id_to_be, obsrvd_agnt_nm as obsrvd_agnt_nm_to_be FROM bu_loantape_work.lt002_instrument WHERE ref_date='2024-09-30' AND nome_perimetro='Individual Corporativo' AND segmento='ESTR' AND ambito='PM' AND entidade='00100' ) B </v>
      </c>
      <c r="J238" s="17" t="str">
        <f>IF(VLOOKUP(B238,Instruções!$F$13:$J$17,5,0)="",
"ON "&amp;VLOOKUP(B238,Instruções!$F$13:$J$17,4,0)&amp;"_"&amp;$F$2&amp;" = "&amp;VLOOKUP(B238,Instruções!$F$13:$J$17,4,0)&amp;"_"&amp;$G$2&amp;" ",
"ON "&amp;VLOOKUP(B238,Instruções!$F$13:$J$17,4,0)&amp;"_"&amp;$F$2&amp;" = "&amp;VLOOKUP(B238,Instruções!$F$13:$J$17,4,0)&amp;"_"&amp;$G$2&amp;" AND "&amp;VLOOKUP(B238,Instruções!$F$13:$J$17,5,0)&amp;"_"&amp;$F$2&amp;" = "&amp;VLOOKUP(B238,Instruções!$F$13:$J$17,5,0)&amp;"_"&amp;$G$2&amp;" ")</f>
        <v xml:space="preserve">ON instrmnt_id_as_is = instrmnt_id_to_be </v>
      </c>
      <c r="K238" s="17" t="str">
        <f t="shared" si="26"/>
        <v xml:space="preserve">WHERE coalesce(cast(obsrvd_agnt_nm_as_is as string), '') &lt;&gt; coalesce(cast(obsrvd_agnt_nm_to_be as string), '') </v>
      </c>
      <c r="L238" s="17" t="str">
        <f t="shared" si="27"/>
        <v xml:space="preserve">SELECT count(*) AS NUM_REG_DIF FROM (SELECT instrmnt_id as instrmnt_id_as_is, obsrvd_agnt_nm as obsrvd_agnt_nm_as_is FROM cd_loan_tapes_bce.lt002_instrument WHERE ref_date='2024-09-30' AND nome_perimetro='Individual Corporativo' AND segmento='ESTR' AND ambito='PM' AND entidade='00100' ) A  Inner join (SELECT instrmnt_id as instrmnt_id_to_be, obsrvd_agnt_nm as obsrvd_agnt_nm_to_be FROM bu_loantape_work.lt002_instrument WHERE ref_date='2024-09-30' AND nome_perimetro='Individual Corporativo' AND segmento='ESTR' AND ambito='PM' AND entidade='00100' ) B ON instrmnt_id_as_is = instrmnt_id_to_be WHERE coalesce(cast(obsrvd_agnt_nm_as_is as string), '') &lt;&gt; coalesce(cast(obsrvd_agnt_nm_to_be as string), '') </v>
      </c>
      <c r="M238" s="17" t="s">
        <v>55</v>
      </c>
      <c r="N238" s="17" t="str">
        <f>"SELECT 'Validação de campos' as tipologia_teste, '"&amp;VLOOKUP(B238,Instruções!$F$13:$J$17,3,0)&amp;"' AS TABELA, '"&amp;E238&amp;"' AS CAMPO, '"&amp;Instruções!$D$15&amp;"' as ref_date, coalesce(NUM_REG_DIF, 0) AS NUM_REG_DIF FROM ("&amp;L238&amp;") A "</f>
        <v xml:space="preserve">SELECT 'Validação de campos' as tipologia_teste, 'lt002_instrument' AS TABELA, 'obsrvd_agnt_nm' AS CAMPO, '2024-09-30' as ref_date, coalesce(NUM_REG_DIF, 0) AS NUM_REG_DIF FROM (SELECT count(*) AS NUM_REG_DIF FROM (SELECT instrmnt_id as instrmnt_id_as_is, obsrvd_agnt_nm as obsrvd_agnt_nm_as_is FROM cd_loan_tapes_bce.lt002_instrument WHERE ref_date='2024-09-30' AND nome_perimetro='Individual Corporativo' AND segmento='ESTR' AND ambito='PM' AND entidade='00100' ) A  Inner join (SELECT instrmnt_id as instrmnt_id_to_be, obsrvd_agnt_nm as obsrvd_agnt_nm_to_be FROM bu_loantape_work.lt002_instrument WHERE ref_date='2024-09-30' AND nome_perimetro='Individual Corporativo' AND segmento='ESTR' AND ambito='PM' AND entidade='00100' ) B ON instrmnt_id_as_is = instrmnt_id_to_be WHERE coalesce(cast(obsrvd_agnt_nm_as_is as string), '') &lt;&gt; coalesce(cast(obsrvd_agnt_nm_to_be as string), '') ) A </v>
      </c>
      <c r="O238" s="19" t="str">
        <f t="shared" si="29"/>
        <v>SELECT 'Validação de campos' as tipologia_teste, 'lt002_instrument' AS TABELA, 'obsrvd_agnt_nm' AS CAMPO, '2024-09-30' as ref_date, coalesce(NUM_REG_DIF, 0) AS NUM_REG_DIF FROM (SELECT count(*) AS NUM_REG_DIF FROM (SELECT instrmnt_id as instrmnt_id_as_is, obsrvd_agnt_nm as obsrvd_agnt_nm_as_is FROM cd_loan_tapes_bce.lt002_instrument WHERE ref_date='2024-09-30' AND nome_perimetro='Individual Corporativo' AND segmento='ESTR' AND ambito='PM' AND entidade='00100' ) A  Inner join (SELECT instrmnt_id as instrmnt_id_to_be, obsrvd_agnt_nm as obsrvd_agnt_nm_to_be FROM bu_loantape_work.lt002_instrument WHERE ref_date='2024-09-30' AND nome_perimetro='Individual Corporativo' AND segmento='ESTR' AND ambito='PM' AND entidade='00100' ) B ON instrmnt_id_as_is = instrmnt_id_to_be WHERE coalesce(cast(obsrvd_agnt_nm_as_is as string), '') &lt;&gt; coalesce(cast(obsrvd_agnt_nm_to_be as string), '') ) A UNION ALL</v>
      </c>
      <c r="P238" s="17">
        <f t="shared" si="30"/>
        <v>33</v>
      </c>
    </row>
    <row r="239" spans="2:16" s="15" customFormat="1" ht="11.45">
      <c r="B239" s="17" t="s">
        <v>26</v>
      </c>
      <c r="C239" s="17" t="str">
        <f>_xlfn.CONCAT(Instruções!$D$13,".",VLOOKUP(B239,Instruções!$F$12:$H$17,2,0))</f>
        <v>cd_loan_tapes_bce.lt002_instrument</v>
      </c>
      <c r="D239" s="17" t="str">
        <f>_xlfn.CONCAT(Instruções!$D$14,".",VLOOKUP(B239,Instruções!$F$12:$H$17,3,0))</f>
        <v>bu_loantape_work.lt002_instrument</v>
      </c>
      <c r="E239" s="17" t="s">
        <v>288</v>
      </c>
      <c r="F239" s="17" t="str">
        <f t="shared" si="24"/>
        <v>off_blnc_sht_amnt_instrmnt_as_is</v>
      </c>
      <c r="G239" s="17" t="str">
        <f t="shared" si="25"/>
        <v>off_blnc_sht_amnt_instrmnt_to_be</v>
      </c>
      <c r="H239" s="17" t="str">
        <f>IF(VLOOKUP(B239,Instruções!$F$13:$J$17,5,0)="",
"(SELECT "&amp;VLOOKUP(B239,Instruções!$F$13:$J$17,4,0)&amp;" as "&amp;VLOOKUP(B239,Instruções!$F$13:$J$17,4,0)&amp;"_"&amp;$F$2&amp;", "&amp;E239&amp;" as "&amp;F239&amp;" FROM "&amp;C239&amp;" WHERE "&amp;Instruções!$D$20&amp;") A ",
"(SELECT "&amp;VLOOKUP(B239,Instruções!$F$13:$J$17,4,0)&amp;" as "&amp;VLOOKUP(B239,Instruções!$F$13:$J$17,4,0)&amp;"_"&amp;$F$2&amp;", "&amp;VLOOKUP(B239,Instruções!$F$13:$J$17,5,0)&amp;" as "&amp;VLOOKUP(B239,Instruções!$F$13:$J$17,5,0)&amp;"_"&amp;$F$2&amp;","&amp;E239&amp;" as "&amp;F239&amp;" FROM "&amp;C239&amp;" WHERE "&amp;Instruções!$D$20&amp;") A ")</f>
        <v xml:space="preserve">(SELECT instrmnt_id as instrmnt_id_as_is, off_blnc_sht_amnt_instrmnt as off_blnc_sht_amnt_instrmnt_as_is FROM cd_loan_tapes_bce.lt002_instrument WHERE ref_date='2024-09-30' AND nome_perimetro='Individual Corporativo' AND segmento='ESTR' AND ambito='PM' AND entidade='00100' ) A </v>
      </c>
      <c r="I239" s="17" t="str">
        <f>IF(VLOOKUP(B239,Instruções!$F$13:$J$17,5,0)="",
"(SELECT "&amp;VLOOKUP(B239,Instruções!$F$13:$J$17,4,0)&amp;" as "&amp;VLOOKUP(B239,Instruções!$F$13:$J$17,4,0)&amp;"_"&amp;$G$2&amp;", "&amp;E239&amp;" as "&amp;G239&amp;" FROM "&amp;D239&amp;" WHERE "&amp;Instruções!$D$21&amp;") B ",
"(SELECT "&amp;VLOOKUP(B239,Instruções!$F$13:$J$17,4,0)&amp;" as "&amp;VLOOKUP(B239,Instruções!$F$13:$J$17,4,0)&amp;"_"&amp;$G$2&amp;", "&amp;VLOOKUP(B239,Instruções!$F$13:$J$17,5,0)&amp;" as "&amp;VLOOKUP(B239,Instruções!$F$13:$J$17,5,0)&amp;"_"&amp;$G$2&amp;","&amp;E239&amp;" as "&amp;G239&amp;" FROM "&amp;D239&amp;" WHERE "&amp;Instruções!$D$21&amp;") B ")</f>
        <v xml:space="preserve">(SELECT instrmnt_id as instrmnt_id_to_be, off_blnc_sht_amnt_instrmnt as off_blnc_sht_amnt_instrmnt_to_be FROM bu_loantape_work.lt002_instrument WHERE ref_date='2024-09-30' AND nome_perimetro='Individual Corporativo' AND segmento='ESTR' AND ambito='PM' AND entidade='00100' ) B </v>
      </c>
      <c r="J239" s="17" t="str">
        <f>IF(VLOOKUP(B239,Instruções!$F$13:$J$17,5,0)="",
"ON "&amp;VLOOKUP(B239,Instruções!$F$13:$J$17,4,0)&amp;"_"&amp;$F$2&amp;" = "&amp;VLOOKUP(B239,Instruções!$F$13:$J$17,4,0)&amp;"_"&amp;$G$2&amp;" ",
"ON "&amp;VLOOKUP(B239,Instruções!$F$13:$J$17,4,0)&amp;"_"&amp;$F$2&amp;" = "&amp;VLOOKUP(B239,Instruções!$F$13:$J$17,4,0)&amp;"_"&amp;$G$2&amp;" AND "&amp;VLOOKUP(B239,Instruções!$F$13:$J$17,5,0)&amp;"_"&amp;$F$2&amp;" = "&amp;VLOOKUP(B239,Instruções!$F$13:$J$17,5,0)&amp;"_"&amp;$G$2&amp;" ")</f>
        <v xml:space="preserve">ON instrmnt_id_as_is = instrmnt_id_to_be </v>
      </c>
      <c r="K239" s="17" t="str">
        <f t="shared" si="26"/>
        <v xml:space="preserve">WHERE coalesce(cast(off_blnc_sht_amnt_instrmnt_as_is as string), '') &lt;&gt; coalesce(cast(off_blnc_sht_amnt_instrmnt_to_be as string), '') </v>
      </c>
      <c r="L239" s="17" t="str">
        <f t="shared" si="27"/>
        <v xml:space="preserve">SELECT count(*) AS NUM_REG_DIF FROM (SELECT instrmnt_id as instrmnt_id_as_is,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instrmnt_id_to_be, off_blnc_sht_amnt_instrmnt as off_blnc_sht_amnt_instrmnt_to_be FROM bu_loantape_work.lt002_instrument WHERE ref_date='2024-09-30' AND nome_perimetro='Individual Corporativo' AND segmento='ESTR' AND ambito='PM' AND entidade='00100' ) B ON instrmnt_id_as_is = instrmnt_id_to_be WHERE coalesce(cast(off_blnc_sht_amnt_instrmnt_as_is as string), '') &lt;&gt; coalesce(cast(off_blnc_sht_amnt_instrmnt_to_be as string), '') </v>
      </c>
      <c r="M239" s="17" t="s">
        <v>55</v>
      </c>
      <c r="N239" s="17" t="str">
        <f>"SELECT 'Validação de campos' as tipologia_teste, '"&amp;VLOOKUP(B239,Instruções!$F$13:$J$17,3,0)&amp;"' AS TABELA, '"&amp;E239&amp;"' AS CAMPO, '"&amp;Instruções!$D$15&amp;"' as ref_date, coalesce(NUM_REG_DIF, 0) AS NUM_REG_DIF FROM ("&amp;L239&amp;") A "</f>
        <v xml:space="preserve">SELECT 'Validação de campos' as tipologia_teste, 'lt002_instrument' AS TABELA, 'off_blnc_sht_amnt_instrmnt' AS CAMPO, '2024-09-30' as ref_date, coalesce(NUM_REG_DIF, 0) AS NUM_REG_DIF FROM (SELECT count(*) AS NUM_REG_DIF FROM (SELECT instrmnt_id as instrmnt_id_as_is,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instrmnt_id_to_be, off_blnc_sht_amnt_instrmnt as off_blnc_sht_amnt_instrmnt_to_be FROM bu_loantape_work.lt002_instrument WHERE ref_date='2024-09-30' AND nome_perimetro='Individual Corporativo' AND segmento='ESTR' AND ambito='PM' AND entidade='00100' ) B ON instrmnt_id_as_is = instrmnt_id_to_be WHERE coalesce(cast(off_blnc_sht_amnt_instrmnt_as_is as string), '') &lt;&gt; coalesce(cast(off_blnc_sht_amnt_instrmnt_to_be as string), '') ) A </v>
      </c>
      <c r="O239" s="19" t="str">
        <f t="shared" si="29"/>
        <v>SELECT 'Validação de campos' as tipologia_teste, 'lt002_instrument' AS TABELA, 'off_blnc_sht_amnt_instrmnt' AS CAMPO, '2024-09-30' as ref_date, coalesce(NUM_REG_DIF, 0) AS NUM_REG_DIF FROM (SELECT count(*) AS NUM_REG_DIF FROM (SELECT instrmnt_id as instrmnt_id_as_is, off_blnc_sht_amnt_instrmnt as off_blnc_sht_amnt_instrmnt_as_is FROM cd_loan_tapes_bce.lt002_instrument WHERE ref_date='2024-09-30' AND nome_perimetro='Individual Corporativo' AND segmento='ESTR' AND ambito='PM' AND entidade='00100' ) A  Inner join (SELECT instrmnt_id as instrmnt_id_to_be, off_blnc_sht_amnt_instrmnt as off_blnc_sht_amnt_instrmnt_to_be FROM bu_loantape_work.lt002_instrument WHERE ref_date='2024-09-30' AND nome_perimetro='Individual Corporativo' AND segmento='ESTR' AND ambito='PM' AND entidade='00100' ) B ON instrmnt_id_as_is = instrmnt_id_to_be WHERE coalesce(cast(off_blnc_sht_amnt_instrmnt_as_is as string), '') &lt;&gt; coalesce(cast(off_blnc_sht_amnt_instrmnt_to_be as string), '') ) A UNION ALL</v>
      </c>
      <c r="P239" s="17">
        <f t="shared" si="30"/>
        <v>34</v>
      </c>
    </row>
    <row r="240" spans="2:16" s="15" customFormat="1" ht="11.45">
      <c r="B240" s="17" t="s">
        <v>26</v>
      </c>
      <c r="C240" s="17" t="str">
        <f>_xlfn.CONCAT(Instruções!$D$13,".",VLOOKUP(B240,Instruções!$F$12:$H$17,2,0))</f>
        <v>cd_loan_tapes_bce.lt002_instrument</v>
      </c>
      <c r="D240" s="17" t="str">
        <f>_xlfn.CONCAT(Instruções!$D$14,".",VLOOKUP(B240,Instruções!$F$12:$H$17,3,0))</f>
        <v>bu_loantape_work.lt002_instrument</v>
      </c>
      <c r="E240" s="17" t="s">
        <v>289</v>
      </c>
      <c r="F240" s="17" t="str">
        <f t="shared" si="24"/>
        <v>off_blnc_sht_amnt_instrmnt_prvs_as_is</v>
      </c>
      <c r="G240" s="17" t="str">
        <f t="shared" si="25"/>
        <v>off_blnc_sht_amnt_instrmnt_prvs_to_be</v>
      </c>
      <c r="H240" s="17" t="str">
        <f>IF(VLOOKUP(B240,Instruções!$F$13:$J$17,5,0)="",
"(SELECT "&amp;VLOOKUP(B240,Instruções!$F$13:$J$17,4,0)&amp;" as "&amp;VLOOKUP(B240,Instruções!$F$13:$J$17,4,0)&amp;"_"&amp;$F$2&amp;", "&amp;E240&amp;" as "&amp;F240&amp;" FROM "&amp;C240&amp;" WHERE "&amp;Instruções!$D$20&amp;") A ",
"(SELECT "&amp;VLOOKUP(B240,Instruções!$F$13:$J$17,4,0)&amp;" as "&amp;VLOOKUP(B240,Instruções!$F$13:$J$17,4,0)&amp;"_"&amp;$F$2&amp;", "&amp;VLOOKUP(B240,Instruções!$F$13:$J$17,5,0)&amp;" as "&amp;VLOOKUP(B240,Instruções!$F$13:$J$17,5,0)&amp;"_"&amp;$F$2&amp;","&amp;E240&amp;" as "&amp;F240&amp;" FROM "&amp;C240&amp;" WHERE "&amp;Instruções!$D$20&amp;") A ")</f>
        <v xml:space="preserve">(SELECT instrmnt_id as instrmnt_id_as_is, off_blnc_sht_amnt_instrmnt_prvs as off_blnc_sht_amnt_instrmnt_prvs_as_is FROM cd_loan_tapes_bce.lt002_instrument WHERE ref_date='2024-09-30' AND nome_perimetro='Individual Corporativo' AND segmento='ESTR' AND ambito='PM' AND entidade='00100' ) A </v>
      </c>
      <c r="I240" s="17" t="str">
        <f>IF(VLOOKUP(B240,Instruções!$F$13:$J$17,5,0)="",
"(SELECT "&amp;VLOOKUP(B240,Instruções!$F$13:$J$17,4,0)&amp;" as "&amp;VLOOKUP(B240,Instruções!$F$13:$J$17,4,0)&amp;"_"&amp;$G$2&amp;", "&amp;E240&amp;" as "&amp;G240&amp;" FROM "&amp;D240&amp;" WHERE "&amp;Instruções!$D$21&amp;") B ",
"(SELECT "&amp;VLOOKUP(B240,Instruções!$F$13:$J$17,4,0)&amp;" as "&amp;VLOOKUP(B240,Instruções!$F$13:$J$17,4,0)&amp;"_"&amp;$G$2&amp;", "&amp;VLOOKUP(B240,Instruções!$F$13:$J$17,5,0)&amp;" as "&amp;VLOOKUP(B240,Instruções!$F$13:$J$17,5,0)&amp;"_"&amp;$G$2&amp;","&amp;E240&amp;" as "&amp;G240&amp;" FROM "&amp;D240&amp;" WHERE "&amp;Instruções!$D$21&amp;") B ")</f>
        <v xml:space="preserve">(SELECT instrmnt_id as instrmnt_id_to_be, off_blnc_sht_amnt_instrmnt_prvs as off_blnc_sht_amnt_instrmnt_prvs_to_be FROM bu_loantape_work.lt002_instrument WHERE ref_date='2024-09-30' AND nome_perimetro='Individual Corporativo' AND segmento='ESTR' AND ambito='PM' AND entidade='00100' ) B </v>
      </c>
      <c r="J240" s="17" t="str">
        <f>IF(VLOOKUP(B240,Instruções!$F$13:$J$17,5,0)="",
"ON "&amp;VLOOKUP(B240,Instruções!$F$13:$J$17,4,0)&amp;"_"&amp;$F$2&amp;" = "&amp;VLOOKUP(B240,Instruções!$F$13:$J$17,4,0)&amp;"_"&amp;$G$2&amp;" ",
"ON "&amp;VLOOKUP(B240,Instruções!$F$13:$J$17,4,0)&amp;"_"&amp;$F$2&amp;" = "&amp;VLOOKUP(B240,Instruções!$F$13:$J$17,4,0)&amp;"_"&amp;$G$2&amp;" AND "&amp;VLOOKUP(B240,Instruções!$F$13:$J$17,5,0)&amp;"_"&amp;$F$2&amp;" = "&amp;VLOOKUP(B240,Instruções!$F$13:$J$17,5,0)&amp;"_"&amp;$G$2&amp;" ")</f>
        <v xml:space="preserve">ON instrmnt_id_as_is = instrmnt_id_to_be </v>
      </c>
      <c r="K240" s="17" t="str">
        <f t="shared" si="26"/>
        <v xml:space="preserve">WHERE coalesce(cast(off_blnc_sht_amnt_instrmnt_prvs_as_is as string), '') &lt;&gt; coalesce(cast(off_blnc_sht_amnt_instrmnt_prvs_to_be as string), '') </v>
      </c>
      <c r="L240" s="17" t="str">
        <f t="shared" si="27"/>
        <v xml:space="preserve">SELECT count(*) AS NUM_REG_DIF FROM (SELECT instrmnt_id as instrmnt_id_as_is,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instrmnt_id_to_be, off_blnc_sht_amnt_instrmnt_prvs as off_blnc_sht_amnt_instrmnt_prvs_to_be FROM bu_loantape_work.lt002_instrument WHERE ref_date='2024-09-30' AND nome_perimetro='Individual Corporativo' AND segmento='ESTR' AND ambito='PM' AND entidade='00100' ) B ON instrmnt_id_as_is = instrmnt_id_to_be WHERE coalesce(cast(off_blnc_sht_amnt_instrmnt_prvs_as_is as string), '') &lt;&gt; coalesce(cast(off_blnc_sht_amnt_instrmnt_prvs_to_be as string), '') </v>
      </c>
      <c r="M240" s="17" t="s">
        <v>55</v>
      </c>
      <c r="N240" s="17" t="str">
        <f>"SELECT 'Validação de campos' as tipologia_teste, '"&amp;VLOOKUP(B240,Instruções!$F$13:$J$17,3,0)&amp;"' AS TABELA, '"&amp;E240&amp;"' AS CAMPO, '"&amp;Instruções!$D$15&amp;"' as ref_date, coalesce(NUM_REG_DIF, 0) AS NUM_REG_DIF FROM ("&amp;L240&amp;") A "</f>
        <v xml:space="preserve">SELECT 'Validação de campos' as tipologia_teste, 'lt002_instrument' AS TABELA, 'off_blnc_sht_amnt_instrmnt_prvs' AS CAMPO, '2024-09-30' as ref_date, coalesce(NUM_REG_DIF, 0) AS NUM_REG_DIF FROM (SELECT count(*) AS NUM_REG_DIF FROM (SELECT instrmnt_id as instrmnt_id_as_is,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instrmnt_id_to_be, off_blnc_sht_amnt_instrmnt_prvs as off_blnc_sht_amnt_instrmnt_prvs_to_be FROM bu_loantape_work.lt002_instrument WHERE ref_date='2024-09-30' AND nome_perimetro='Individual Corporativo' AND segmento='ESTR' AND ambito='PM' AND entidade='00100' ) B ON instrmnt_id_as_is = instrmnt_id_to_be WHERE coalesce(cast(off_blnc_sht_amnt_instrmnt_prvs_as_is as string), '') &lt;&gt; coalesce(cast(off_blnc_sht_amnt_instrmnt_prvs_to_be as string), '') ) A </v>
      </c>
      <c r="O240" s="19" t="str">
        <f t="shared" si="29"/>
        <v>SELECT 'Validação de campos' as tipologia_teste, 'lt002_instrument' AS TABELA, 'off_blnc_sht_amnt_instrmnt_prvs' AS CAMPO, '2024-09-30' as ref_date, coalesce(NUM_REG_DIF, 0) AS NUM_REG_DIF FROM (SELECT count(*) AS NUM_REG_DIF FROM (SELECT instrmnt_id as instrmnt_id_as_is, off_blnc_sht_amnt_instrmnt_prvs as off_blnc_sht_amnt_instrmnt_prvs_as_is FROM cd_loan_tapes_bce.lt002_instrument WHERE ref_date='2024-09-30' AND nome_perimetro='Individual Corporativo' AND segmento='ESTR' AND ambito='PM' AND entidade='00100' ) A  Inner join (SELECT instrmnt_id as instrmnt_id_to_be, off_blnc_sht_amnt_instrmnt_prvs as off_blnc_sht_amnt_instrmnt_prvs_to_be FROM bu_loantape_work.lt002_instrument WHERE ref_date='2024-09-30' AND nome_perimetro='Individual Corporativo' AND segmento='ESTR' AND ambito='PM' AND entidade='00100' ) B ON instrmnt_id_as_is = instrmnt_id_to_be WHERE coalesce(cast(off_blnc_sht_amnt_instrmnt_prvs_as_is as string), '') &lt;&gt; coalesce(cast(off_blnc_sht_amnt_instrmnt_prvs_to_be as string), '') ) A UNION ALL</v>
      </c>
      <c r="P240" s="17">
        <f t="shared" si="30"/>
        <v>35</v>
      </c>
    </row>
    <row r="241" spans="2:16" s="15" customFormat="1" ht="11.45">
      <c r="B241" s="17" t="s">
        <v>26</v>
      </c>
      <c r="C241" s="17" t="str">
        <f>_xlfn.CONCAT(Instruções!$D$13,".",VLOOKUP(B241,Instruções!$F$12:$H$17,2,0))</f>
        <v>cd_loan_tapes_bce.lt002_instrument</v>
      </c>
      <c r="D241" s="17" t="str">
        <f>_xlfn.CONCAT(Instruções!$D$14,".",VLOOKUP(B241,Instruções!$F$12:$H$17,3,0))</f>
        <v>bu_loantape_work.lt002_instrument</v>
      </c>
      <c r="E241" s="17" t="s">
        <v>290</v>
      </c>
      <c r="F241" s="17" t="str">
        <f t="shared" si="24"/>
        <v>otstndng_nmnl_amnt_instrmnt_as_is</v>
      </c>
      <c r="G241" s="17" t="str">
        <f t="shared" si="25"/>
        <v>otstndng_nmnl_amnt_instrmnt_to_be</v>
      </c>
      <c r="H241" s="17" t="str">
        <f>IF(VLOOKUP(B241,Instruções!$F$13:$J$17,5,0)="",
"(SELECT "&amp;VLOOKUP(B241,Instruções!$F$13:$J$17,4,0)&amp;" as "&amp;VLOOKUP(B241,Instruções!$F$13:$J$17,4,0)&amp;"_"&amp;$F$2&amp;", "&amp;E241&amp;" as "&amp;F241&amp;" FROM "&amp;C241&amp;" WHERE "&amp;Instruções!$D$20&amp;") A ",
"(SELECT "&amp;VLOOKUP(B241,Instruções!$F$13:$J$17,4,0)&amp;" as "&amp;VLOOKUP(B241,Instruções!$F$13:$J$17,4,0)&amp;"_"&amp;$F$2&amp;", "&amp;VLOOKUP(B241,Instruções!$F$13:$J$17,5,0)&amp;" as "&amp;VLOOKUP(B241,Instruções!$F$13:$J$17,5,0)&amp;"_"&amp;$F$2&amp;","&amp;E241&amp;" as "&amp;F241&amp;" FROM "&amp;C241&amp;" WHERE "&amp;Instruções!$D$20&amp;") A ")</f>
        <v xml:space="preserve">(SELECT instrmnt_id as instrmnt_id_as_is, otstndng_nmnl_amnt_instrmnt as otstndng_nmnl_amnt_instrmnt_as_is FROM cd_loan_tapes_bce.lt002_instrument WHERE ref_date='2024-09-30' AND nome_perimetro='Individual Corporativo' AND segmento='ESTR' AND ambito='PM' AND entidade='00100' ) A </v>
      </c>
      <c r="I241" s="17" t="str">
        <f>IF(VLOOKUP(B241,Instruções!$F$13:$J$17,5,0)="",
"(SELECT "&amp;VLOOKUP(B241,Instruções!$F$13:$J$17,4,0)&amp;" as "&amp;VLOOKUP(B241,Instruções!$F$13:$J$17,4,0)&amp;"_"&amp;$G$2&amp;", "&amp;E241&amp;" as "&amp;G241&amp;" FROM "&amp;D241&amp;" WHERE "&amp;Instruções!$D$21&amp;") B ",
"(SELECT "&amp;VLOOKUP(B241,Instruções!$F$13:$J$17,4,0)&amp;" as "&amp;VLOOKUP(B241,Instruções!$F$13:$J$17,4,0)&amp;"_"&amp;$G$2&amp;", "&amp;VLOOKUP(B241,Instruções!$F$13:$J$17,5,0)&amp;" as "&amp;VLOOKUP(B241,Instruções!$F$13:$J$17,5,0)&amp;"_"&amp;$G$2&amp;","&amp;E241&amp;" as "&amp;G241&amp;" FROM "&amp;D241&amp;" WHERE "&amp;Instruções!$D$21&amp;") B ")</f>
        <v xml:space="preserve">(SELECT instrmnt_id as instrmnt_id_to_be, otstndng_nmnl_amnt_instrmnt as otstndng_nmnl_amnt_instrmnt_to_be FROM bu_loantape_work.lt002_instrument WHERE ref_date='2024-09-30' AND nome_perimetro='Individual Corporativo' AND segmento='ESTR' AND ambito='PM' AND entidade='00100' ) B </v>
      </c>
      <c r="J241" s="17" t="str">
        <f>IF(VLOOKUP(B241,Instruções!$F$13:$J$17,5,0)="",
"ON "&amp;VLOOKUP(B241,Instruções!$F$13:$J$17,4,0)&amp;"_"&amp;$F$2&amp;" = "&amp;VLOOKUP(B241,Instruções!$F$13:$J$17,4,0)&amp;"_"&amp;$G$2&amp;" ",
"ON "&amp;VLOOKUP(B241,Instruções!$F$13:$J$17,4,0)&amp;"_"&amp;$F$2&amp;" = "&amp;VLOOKUP(B241,Instruções!$F$13:$J$17,4,0)&amp;"_"&amp;$G$2&amp;" AND "&amp;VLOOKUP(B241,Instruções!$F$13:$J$17,5,0)&amp;"_"&amp;$F$2&amp;" = "&amp;VLOOKUP(B241,Instruções!$F$13:$J$17,5,0)&amp;"_"&amp;$G$2&amp;" ")</f>
        <v xml:space="preserve">ON instrmnt_id_as_is = instrmnt_id_to_be </v>
      </c>
      <c r="K241" s="17" t="str">
        <f t="shared" si="26"/>
        <v xml:space="preserve">WHERE coalesce(cast(otstndng_nmnl_amnt_instrmnt_as_is as string), '') &lt;&gt; coalesce(cast(otstndng_nmnl_amnt_instrmnt_to_be as string), '') </v>
      </c>
      <c r="L241" s="17" t="str">
        <f t="shared" si="27"/>
        <v xml:space="preserve">SELECT count(*) AS NUM_REG_DIF FROM (SELECT instrmnt_id as instrmnt_id_as_is,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instrmnt_id_to_be, otstndng_nmnl_amnt_instrmnt as otstndng_nmnl_amnt_instrmnt_to_be FROM bu_loantape_work.lt002_instrument WHERE ref_date='2024-09-30' AND nome_perimetro='Individual Corporativo' AND segmento='ESTR' AND ambito='PM' AND entidade='00100' ) B ON instrmnt_id_as_is = instrmnt_id_to_be WHERE coalesce(cast(otstndng_nmnl_amnt_instrmnt_as_is as string), '') &lt;&gt; coalesce(cast(otstndng_nmnl_amnt_instrmnt_to_be as string), '') </v>
      </c>
      <c r="M241" s="17" t="s">
        <v>55</v>
      </c>
      <c r="N241" s="17" t="str">
        <f>"SELECT 'Validação de campos' as tipologia_teste, '"&amp;VLOOKUP(B241,Instruções!$F$13:$J$17,3,0)&amp;"' AS TABELA, '"&amp;E241&amp;"' AS CAMPO, '"&amp;Instruções!$D$15&amp;"' as ref_date, coalesce(NUM_REG_DIF, 0) AS NUM_REG_DIF FROM ("&amp;L241&amp;") A "</f>
        <v xml:space="preserve">SELECT 'Validação de campos' as tipologia_teste, 'lt002_instrument' AS TABELA, 'otstndng_nmnl_amnt_instrmnt' AS CAMPO, '2024-09-30' as ref_date, coalesce(NUM_REG_DIF, 0) AS NUM_REG_DIF FROM (SELECT count(*) AS NUM_REG_DIF FROM (SELECT instrmnt_id as instrmnt_id_as_is,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instrmnt_id_to_be, otstndng_nmnl_amnt_instrmnt as otstndng_nmnl_amnt_instrmnt_to_be FROM bu_loantape_work.lt002_instrument WHERE ref_date='2024-09-30' AND nome_perimetro='Individual Corporativo' AND segmento='ESTR' AND ambito='PM' AND entidade='00100' ) B ON instrmnt_id_as_is = instrmnt_id_to_be WHERE coalesce(cast(otstndng_nmnl_amnt_instrmnt_as_is as string), '') &lt;&gt; coalesce(cast(otstndng_nmnl_amnt_instrmnt_to_be as string), '') ) A </v>
      </c>
      <c r="O241" s="19" t="str">
        <f t="shared" si="29"/>
        <v>SELECT 'Validação de campos' as tipologia_teste, 'lt002_instrument' AS TABELA, 'otstndng_nmnl_amnt_instrmnt' AS CAMPO, '2024-09-30' as ref_date, coalesce(NUM_REG_DIF, 0) AS NUM_REG_DIF FROM (SELECT count(*) AS NUM_REG_DIF FROM (SELECT instrmnt_id as instrmnt_id_as_is, otstndng_nmnl_amnt_instrmnt as otstndng_nmnl_amnt_instrmnt_as_is FROM cd_loan_tapes_bce.lt002_instrument WHERE ref_date='2024-09-30' AND nome_perimetro='Individual Corporativo' AND segmento='ESTR' AND ambito='PM' AND entidade='00100' ) A  Inner join (SELECT instrmnt_id as instrmnt_id_to_be, otstndng_nmnl_amnt_instrmnt as otstndng_nmnl_amnt_instrmnt_to_be FROM bu_loantape_work.lt002_instrument WHERE ref_date='2024-09-30' AND nome_perimetro='Individual Corporativo' AND segmento='ESTR' AND ambito='PM' AND entidade='00100' ) B ON instrmnt_id_as_is = instrmnt_id_to_be WHERE coalesce(cast(otstndng_nmnl_amnt_instrmnt_as_is as string), '') &lt;&gt; coalesce(cast(otstndng_nmnl_amnt_instrmnt_to_be as string), '') ) A UNION ALL</v>
      </c>
      <c r="P241" s="17">
        <f t="shared" si="30"/>
        <v>36</v>
      </c>
    </row>
    <row r="242" spans="2:16" s="15" customFormat="1" ht="11.45">
      <c r="B242" s="17" t="s">
        <v>26</v>
      </c>
      <c r="C242" s="17" t="str">
        <f>_xlfn.CONCAT(Instruções!$D$13,".",VLOOKUP(B242,Instruções!$F$12:$H$17,2,0))</f>
        <v>cd_loan_tapes_bce.lt002_instrument</v>
      </c>
      <c r="D242" s="17" t="str">
        <f>_xlfn.CONCAT(Instruções!$D$14,".",VLOOKUP(B242,Instruções!$F$12:$H$17,3,0))</f>
        <v>bu_loantape_work.lt002_instrument</v>
      </c>
      <c r="E242" s="17" t="s">
        <v>291</v>
      </c>
      <c r="F242" s="17" t="str">
        <f t="shared" si="24"/>
        <v>otstndng_nmnl_amnt_instrmnt_prvs_as_is</v>
      </c>
      <c r="G242" s="17" t="str">
        <f t="shared" si="25"/>
        <v>otstndng_nmnl_amnt_instrmnt_prvs_to_be</v>
      </c>
      <c r="H242" s="17" t="str">
        <f>IF(VLOOKUP(B242,Instruções!$F$13:$J$17,5,0)="",
"(SELECT "&amp;VLOOKUP(B242,Instruções!$F$13:$J$17,4,0)&amp;" as "&amp;VLOOKUP(B242,Instruções!$F$13:$J$17,4,0)&amp;"_"&amp;$F$2&amp;", "&amp;E242&amp;" as "&amp;F242&amp;" FROM "&amp;C242&amp;" WHERE "&amp;Instruções!$D$20&amp;") A ",
"(SELECT "&amp;VLOOKUP(B242,Instruções!$F$13:$J$17,4,0)&amp;" as "&amp;VLOOKUP(B242,Instruções!$F$13:$J$17,4,0)&amp;"_"&amp;$F$2&amp;", "&amp;VLOOKUP(B242,Instruções!$F$13:$J$17,5,0)&amp;" as "&amp;VLOOKUP(B242,Instruções!$F$13:$J$17,5,0)&amp;"_"&amp;$F$2&amp;","&amp;E242&amp;" as "&amp;F242&amp;" FROM "&amp;C242&amp;" WHERE "&amp;Instruções!$D$20&amp;") A ")</f>
        <v xml:space="preserve">(SELECT instrmnt_id as instrmnt_id_as_is, otstndng_nmnl_amnt_instrmnt_prvs as otstndng_nmnl_amnt_instrmnt_prvs_as_is FROM cd_loan_tapes_bce.lt002_instrument WHERE ref_date='2024-09-30' AND nome_perimetro='Individual Corporativo' AND segmento='ESTR' AND ambito='PM' AND entidade='00100' ) A </v>
      </c>
      <c r="I242" s="17" t="str">
        <f>IF(VLOOKUP(B242,Instruções!$F$13:$J$17,5,0)="",
"(SELECT "&amp;VLOOKUP(B242,Instruções!$F$13:$J$17,4,0)&amp;" as "&amp;VLOOKUP(B242,Instruções!$F$13:$J$17,4,0)&amp;"_"&amp;$G$2&amp;", "&amp;E242&amp;" as "&amp;G242&amp;" FROM "&amp;D242&amp;" WHERE "&amp;Instruções!$D$21&amp;") B ",
"(SELECT "&amp;VLOOKUP(B242,Instruções!$F$13:$J$17,4,0)&amp;" as "&amp;VLOOKUP(B242,Instruções!$F$13:$J$17,4,0)&amp;"_"&amp;$G$2&amp;", "&amp;VLOOKUP(B242,Instruções!$F$13:$J$17,5,0)&amp;" as "&amp;VLOOKUP(B242,Instruções!$F$13:$J$17,5,0)&amp;"_"&amp;$G$2&amp;","&amp;E242&amp;" as "&amp;G242&amp;" FROM "&amp;D242&amp;" WHERE "&amp;Instruções!$D$21&amp;") B ")</f>
        <v xml:space="preserve">(SELECT instrmnt_id as instrmnt_id_to_be, otstndng_nmnl_amnt_instrmnt_prvs as otstndng_nmnl_amnt_instrmnt_prvs_to_be FROM bu_loantape_work.lt002_instrument WHERE ref_date='2024-09-30' AND nome_perimetro='Individual Corporativo' AND segmento='ESTR' AND ambito='PM' AND entidade='00100' ) B </v>
      </c>
      <c r="J242" s="17" t="str">
        <f>IF(VLOOKUP(B242,Instruções!$F$13:$J$17,5,0)="",
"ON "&amp;VLOOKUP(B242,Instruções!$F$13:$J$17,4,0)&amp;"_"&amp;$F$2&amp;" = "&amp;VLOOKUP(B242,Instruções!$F$13:$J$17,4,0)&amp;"_"&amp;$G$2&amp;" ",
"ON "&amp;VLOOKUP(B242,Instruções!$F$13:$J$17,4,0)&amp;"_"&amp;$F$2&amp;" = "&amp;VLOOKUP(B242,Instruções!$F$13:$J$17,4,0)&amp;"_"&amp;$G$2&amp;" AND "&amp;VLOOKUP(B242,Instruções!$F$13:$J$17,5,0)&amp;"_"&amp;$F$2&amp;" = "&amp;VLOOKUP(B242,Instruções!$F$13:$J$17,5,0)&amp;"_"&amp;$G$2&amp;" ")</f>
        <v xml:space="preserve">ON instrmnt_id_as_is = instrmnt_id_to_be </v>
      </c>
      <c r="K242" s="17" t="str">
        <f t="shared" si="26"/>
        <v xml:space="preserve">WHERE coalesce(cast(otstndng_nmnl_amnt_instrmnt_prvs_as_is as string), '') &lt;&gt; coalesce(cast(otstndng_nmnl_amnt_instrmnt_prvs_to_be as string), '') </v>
      </c>
      <c r="L242" s="17" t="str">
        <f t="shared" si="27"/>
        <v xml:space="preserve">SELECT count(*) AS NUM_REG_DIF FROM (SELECT instrmnt_id as instrmnt_id_as_is,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instrmnt_id_to_be, otstndng_nmnl_amnt_instrmnt_prvs as otstndng_nmnl_amnt_instrmnt_prvs_to_be FROM bu_loantape_work.lt002_instrument WHERE ref_date='2024-09-30' AND nome_perimetro='Individual Corporativo' AND segmento='ESTR' AND ambito='PM' AND entidade='00100' ) B ON instrmnt_id_as_is = instrmnt_id_to_be WHERE coalesce(cast(otstndng_nmnl_amnt_instrmnt_prvs_as_is as string), '') &lt;&gt; coalesce(cast(otstndng_nmnl_amnt_instrmnt_prvs_to_be as string), '') </v>
      </c>
      <c r="M242" s="17" t="s">
        <v>55</v>
      </c>
      <c r="N242" s="17" t="str">
        <f>"SELECT 'Validação de campos' as tipologia_teste, '"&amp;VLOOKUP(B242,Instruções!$F$13:$J$17,3,0)&amp;"' AS TABELA, '"&amp;E242&amp;"' AS CAMPO, '"&amp;Instruções!$D$15&amp;"' as ref_date, coalesce(NUM_REG_DIF, 0) AS NUM_REG_DIF FROM ("&amp;L242&amp;") A "</f>
        <v xml:space="preserve">SELECT 'Validação de campos' as tipologia_teste, 'lt002_instrument' AS TABELA, 'otstndng_nmnl_amnt_instrmnt_prvs' AS CAMPO, '2024-09-30' as ref_date, coalesce(NUM_REG_DIF, 0) AS NUM_REG_DIF FROM (SELECT count(*) AS NUM_REG_DIF FROM (SELECT instrmnt_id as instrmnt_id_as_is,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instrmnt_id_to_be, otstndng_nmnl_amnt_instrmnt_prvs as otstndng_nmnl_amnt_instrmnt_prvs_to_be FROM bu_loantape_work.lt002_instrument WHERE ref_date='2024-09-30' AND nome_perimetro='Individual Corporativo' AND segmento='ESTR' AND ambito='PM' AND entidade='00100' ) B ON instrmnt_id_as_is = instrmnt_id_to_be WHERE coalesce(cast(otstndng_nmnl_amnt_instrmnt_prvs_as_is as string), '') &lt;&gt; coalesce(cast(otstndng_nmnl_amnt_instrmnt_prvs_to_be as string), '') ) A </v>
      </c>
      <c r="O242" s="19" t="str">
        <f t="shared" si="29"/>
        <v>SELECT 'Validação de campos' as tipologia_teste, 'lt002_instrument' AS TABELA, 'otstndng_nmnl_amnt_instrmnt_prvs' AS CAMPO, '2024-09-30' as ref_date, coalesce(NUM_REG_DIF, 0) AS NUM_REG_DIF FROM (SELECT count(*) AS NUM_REG_DIF FROM (SELECT instrmnt_id as instrmnt_id_as_is, otstndng_nmnl_amnt_instrmnt_prvs as otstndng_nmnl_amnt_instrmnt_prvs_as_is FROM cd_loan_tapes_bce.lt002_instrument WHERE ref_date='2024-09-30' AND nome_perimetro='Individual Corporativo' AND segmento='ESTR' AND ambito='PM' AND entidade='00100' ) A  Inner join (SELECT instrmnt_id as instrmnt_id_to_be, otstndng_nmnl_amnt_instrmnt_prvs as otstndng_nmnl_amnt_instrmnt_prvs_to_be FROM bu_loantape_work.lt002_instrument WHERE ref_date='2024-09-30' AND nome_perimetro='Individual Corporativo' AND segmento='ESTR' AND ambito='PM' AND entidade='00100' ) B ON instrmnt_id_as_is = instrmnt_id_to_be WHERE coalesce(cast(otstndng_nmnl_amnt_instrmnt_prvs_as_is as string), '') &lt;&gt; coalesce(cast(otstndng_nmnl_amnt_instrmnt_prvs_to_be as string), '') ) A UNION ALL</v>
      </c>
      <c r="P242" s="17">
        <f t="shared" si="30"/>
        <v>37</v>
      </c>
    </row>
    <row r="243" spans="2:16" s="15" customFormat="1" ht="11.45">
      <c r="B243" s="17" t="s">
        <v>26</v>
      </c>
      <c r="C243" s="17" t="str">
        <f>_xlfn.CONCAT(Instruções!$D$13,".",VLOOKUP(B243,Instruções!$F$12:$H$17,2,0))</f>
        <v>cd_loan_tapes_bce.lt002_instrument</v>
      </c>
      <c r="D243" s="17" t="str">
        <f>_xlfn.CONCAT(Instruções!$D$14,".",VLOOKUP(B243,Instruções!$F$12:$H$17,3,0))</f>
        <v>bu_loantape_work.lt002_instrument</v>
      </c>
      <c r="E243" s="17" t="s">
        <v>292</v>
      </c>
      <c r="F243" s="17" t="str">
        <f t="shared" si="24"/>
        <v>pblc_grnt_schm_c19_nm_as_is</v>
      </c>
      <c r="G243" s="17" t="str">
        <f t="shared" si="25"/>
        <v>pblc_grnt_schm_c19_nm_to_be</v>
      </c>
      <c r="H243" s="17" t="str">
        <f>IF(VLOOKUP(B243,Instruções!$F$13:$J$17,5,0)="",
"(SELECT "&amp;VLOOKUP(B243,Instruções!$F$13:$J$17,4,0)&amp;" as "&amp;VLOOKUP(B243,Instruções!$F$13:$J$17,4,0)&amp;"_"&amp;$F$2&amp;", "&amp;E243&amp;" as "&amp;F243&amp;" FROM "&amp;C243&amp;" WHERE "&amp;Instruções!$D$20&amp;") A ",
"(SELECT "&amp;VLOOKUP(B243,Instruções!$F$13:$J$17,4,0)&amp;" as "&amp;VLOOKUP(B243,Instruções!$F$13:$J$17,4,0)&amp;"_"&amp;$F$2&amp;", "&amp;VLOOKUP(B243,Instruções!$F$13:$J$17,5,0)&amp;" as "&amp;VLOOKUP(B243,Instruções!$F$13:$J$17,5,0)&amp;"_"&amp;$F$2&amp;","&amp;E243&amp;" as "&amp;F243&amp;" FROM "&amp;C243&amp;" WHERE "&amp;Instruções!$D$20&amp;") A ")</f>
        <v xml:space="preserve">(SELECT instrmnt_id as instrmnt_id_as_is, pblc_grnt_schm_c19_nm as pblc_grnt_schm_c19_nm_as_is FROM cd_loan_tapes_bce.lt002_instrument WHERE ref_date='2024-09-30' AND nome_perimetro='Individual Corporativo' AND segmento='ESTR' AND ambito='PM' AND entidade='00100' ) A </v>
      </c>
      <c r="I243" s="17" t="str">
        <f>IF(VLOOKUP(B243,Instruções!$F$13:$J$17,5,0)="",
"(SELECT "&amp;VLOOKUP(B243,Instruções!$F$13:$J$17,4,0)&amp;" as "&amp;VLOOKUP(B243,Instruções!$F$13:$J$17,4,0)&amp;"_"&amp;$G$2&amp;", "&amp;E243&amp;" as "&amp;G243&amp;" FROM "&amp;D243&amp;" WHERE "&amp;Instruções!$D$21&amp;") B ",
"(SELECT "&amp;VLOOKUP(B243,Instruções!$F$13:$J$17,4,0)&amp;" as "&amp;VLOOKUP(B243,Instruções!$F$13:$J$17,4,0)&amp;"_"&amp;$G$2&amp;", "&amp;VLOOKUP(B243,Instruções!$F$13:$J$17,5,0)&amp;" as "&amp;VLOOKUP(B243,Instruções!$F$13:$J$17,5,0)&amp;"_"&amp;$G$2&amp;","&amp;E243&amp;" as "&amp;G243&amp;" FROM "&amp;D243&amp;" WHERE "&amp;Instruções!$D$21&amp;") B ")</f>
        <v xml:space="preserve">(SELECT instrmnt_id as instrmnt_id_to_be, pblc_grnt_schm_c19_nm as pblc_grnt_schm_c19_nm_to_be FROM bu_loantape_work.lt002_instrument WHERE ref_date='2024-09-30' AND nome_perimetro='Individual Corporativo' AND segmento='ESTR' AND ambito='PM' AND entidade='00100' ) B </v>
      </c>
      <c r="J243" s="17" t="str">
        <f>IF(VLOOKUP(B243,Instruções!$F$13:$J$17,5,0)="",
"ON "&amp;VLOOKUP(B243,Instruções!$F$13:$J$17,4,0)&amp;"_"&amp;$F$2&amp;" = "&amp;VLOOKUP(B243,Instruções!$F$13:$J$17,4,0)&amp;"_"&amp;$G$2&amp;" ",
"ON "&amp;VLOOKUP(B243,Instruções!$F$13:$J$17,4,0)&amp;"_"&amp;$F$2&amp;" = "&amp;VLOOKUP(B243,Instruções!$F$13:$J$17,4,0)&amp;"_"&amp;$G$2&amp;" AND "&amp;VLOOKUP(B243,Instruções!$F$13:$J$17,5,0)&amp;"_"&amp;$F$2&amp;" = "&amp;VLOOKUP(B243,Instruções!$F$13:$J$17,5,0)&amp;"_"&amp;$G$2&amp;" ")</f>
        <v xml:space="preserve">ON instrmnt_id_as_is = instrmnt_id_to_be </v>
      </c>
      <c r="K243" s="17" t="str">
        <f t="shared" si="26"/>
        <v xml:space="preserve">WHERE coalesce(cast(pblc_grnt_schm_c19_nm_as_is as string), '') &lt;&gt; coalesce(cast(pblc_grnt_schm_c19_nm_to_be as string), '') </v>
      </c>
      <c r="L243" s="17" t="str">
        <f t="shared" si="27"/>
        <v xml:space="preserve">SELECT count(*) AS NUM_REG_DIF FROM (SELECT instrmnt_id as instrmnt_id_as_is, pblc_grnt_schm_c19_nm as pblc_grnt_schm_c19_nm_as_is FROM cd_loan_tapes_bce.lt002_instrument WHERE ref_date='2024-09-30' AND nome_perimetro='Individual Corporativo' AND segmento='ESTR' AND ambito='PM' AND entidade='00100' ) A  Inner join (SELECT instrmnt_id as instrmnt_id_to_be, pblc_grnt_schm_c19_nm as pblc_grnt_schm_c19_nm_to_be FROM bu_loantape_work.lt002_instrument WHERE ref_date='2024-09-30' AND nome_perimetro='Individual Corporativo' AND segmento='ESTR' AND ambito='PM' AND entidade='00100' ) B ON instrmnt_id_as_is = instrmnt_id_to_be WHERE coalesce(cast(pblc_grnt_schm_c19_nm_as_is as string), '') &lt;&gt; coalesce(cast(pblc_grnt_schm_c19_nm_to_be as string), '') </v>
      </c>
      <c r="M243" s="17" t="s">
        <v>55</v>
      </c>
      <c r="N243" s="17" t="str">
        <f>"SELECT 'Validação de campos' as tipologia_teste, '"&amp;VLOOKUP(B243,Instruções!$F$13:$J$17,3,0)&amp;"' AS TABELA, '"&amp;E243&amp;"' AS CAMPO, '"&amp;Instruções!$D$15&amp;"' as ref_date, coalesce(NUM_REG_DIF, 0) AS NUM_REG_DIF FROM ("&amp;L243&amp;") A "</f>
        <v xml:space="preserve">SELECT 'Validação de campos' as tipologia_teste, 'lt002_instrument' AS TABELA, 'pblc_grnt_schm_c19_nm' AS CAMPO, '2024-09-30' as ref_date, coalesce(NUM_REG_DIF, 0) AS NUM_REG_DIF FROM (SELECT count(*) AS NUM_REG_DIF FROM (SELECT instrmnt_id as instrmnt_id_as_is, pblc_grnt_schm_c19_nm as pblc_grnt_schm_c19_nm_as_is FROM cd_loan_tapes_bce.lt002_instrument WHERE ref_date='2024-09-30' AND nome_perimetro='Individual Corporativo' AND segmento='ESTR' AND ambito='PM' AND entidade='00100' ) A  Inner join (SELECT instrmnt_id as instrmnt_id_to_be, pblc_grnt_schm_c19_nm as pblc_grnt_schm_c19_nm_to_be FROM bu_loantape_work.lt002_instrument WHERE ref_date='2024-09-30' AND nome_perimetro='Individual Corporativo' AND segmento='ESTR' AND ambito='PM' AND entidade='00100' ) B ON instrmnt_id_as_is = instrmnt_id_to_be WHERE coalesce(cast(pblc_grnt_schm_c19_nm_as_is as string), '') &lt;&gt; coalesce(cast(pblc_grnt_schm_c19_nm_to_be as string), '') ) A </v>
      </c>
      <c r="O243" s="19" t="str">
        <f t="shared" si="29"/>
        <v>SELECT 'Validação de campos' as tipologia_teste, 'lt002_instrument' AS TABELA, 'pblc_grnt_schm_c19_nm' AS CAMPO, '2024-09-30' as ref_date, coalesce(NUM_REG_DIF, 0) AS NUM_REG_DIF FROM (SELECT count(*) AS NUM_REG_DIF FROM (SELECT instrmnt_id as instrmnt_id_as_is, pblc_grnt_schm_c19_nm as pblc_grnt_schm_c19_nm_as_is FROM cd_loan_tapes_bce.lt002_instrument WHERE ref_date='2024-09-30' AND nome_perimetro='Individual Corporativo' AND segmento='ESTR' AND ambito='PM' AND entidade='00100' ) A  Inner join (SELECT instrmnt_id as instrmnt_id_to_be, pblc_grnt_schm_c19_nm as pblc_grnt_schm_c19_nm_to_be FROM bu_loantape_work.lt002_instrument WHERE ref_date='2024-09-30' AND nome_perimetro='Individual Corporativo' AND segmento='ESTR' AND ambito='PM' AND entidade='00100' ) B ON instrmnt_id_as_is = instrmnt_id_to_be WHERE coalesce(cast(pblc_grnt_schm_c19_nm_as_is as string), '') &lt;&gt; coalesce(cast(pblc_grnt_schm_c19_nm_to_be as string), '') ) A UNION ALL</v>
      </c>
      <c r="P243" s="17">
        <f t="shared" si="30"/>
        <v>38</v>
      </c>
    </row>
    <row r="244" spans="2:16" s="15" customFormat="1" ht="11.45">
      <c r="B244" s="17" t="s">
        <v>26</v>
      </c>
      <c r="C244" s="17" t="str">
        <f>_xlfn.CONCAT(Instruções!$D$13,".",VLOOKUP(B244,Instruções!$F$12:$H$17,2,0))</f>
        <v>cd_loan_tapes_bce.lt002_instrument</v>
      </c>
      <c r="D244" s="17" t="str">
        <f>_xlfn.CONCAT(Instruções!$D$14,".",VLOOKUP(B244,Instruções!$F$12:$H$17,3,0))</f>
        <v>bu_loantape_work.lt002_instrument</v>
      </c>
      <c r="E244" s="17" t="s">
        <v>293</v>
      </c>
      <c r="F244" s="17" t="str">
        <f t="shared" si="24"/>
        <v>pd_crr_incptn_as_is</v>
      </c>
      <c r="G244" s="17" t="str">
        <f t="shared" si="25"/>
        <v>pd_crr_incptn_to_be</v>
      </c>
      <c r="H244" s="17" t="str">
        <f>IF(VLOOKUP(B244,Instruções!$F$13:$J$17,5,0)="",
"(SELECT "&amp;VLOOKUP(B244,Instruções!$F$13:$J$17,4,0)&amp;" as "&amp;VLOOKUP(B244,Instruções!$F$13:$J$17,4,0)&amp;"_"&amp;$F$2&amp;", "&amp;E244&amp;" as "&amp;F244&amp;" FROM "&amp;C244&amp;" WHERE "&amp;Instruções!$D$20&amp;") A ",
"(SELECT "&amp;VLOOKUP(B244,Instruções!$F$13:$J$17,4,0)&amp;" as "&amp;VLOOKUP(B244,Instruções!$F$13:$J$17,4,0)&amp;"_"&amp;$F$2&amp;", "&amp;VLOOKUP(B244,Instruções!$F$13:$J$17,5,0)&amp;" as "&amp;VLOOKUP(B244,Instruções!$F$13:$J$17,5,0)&amp;"_"&amp;$F$2&amp;","&amp;E244&amp;" as "&amp;F244&amp;" FROM "&amp;C244&amp;" WHERE "&amp;Instruções!$D$20&amp;") A ")</f>
        <v xml:space="preserve">(SELECT instrmnt_id as instrmnt_id_as_is, pd_crr_incptn as pd_crr_incptn_as_is FROM cd_loan_tapes_bce.lt002_instrument WHERE ref_date='2024-09-30' AND nome_perimetro='Individual Corporativo' AND segmento='ESTR' AND ambito='PM' AND entidade='00100' ) A </v>
      </c>
      <c r="I244" s="17" t="str">
        <f>IF(VLOOKUP(B244,Instruções!$F$13:$J$17,5,0)="",
"(SELECT "&amp;VLOOKUP(B244,Instruções!$F$13:$J$17,4,0)&amp;" as "&amp;VLOOKUP(B244,Instruções!$F$13:$J$17,4,0)&amp;"_"&amp;$G$2&amp;", "&amp;E244&amp;" as "&amp;G244&amp;" FROM "&amp;D244&amp;" WHERE "&amp;Instruções!$D$21&amp;") B ",
"(SELECT "&amp;VLOOKUP(B244,Instruções!$F$13:$J$17,4,0)&amp;" as "&amp;VLOOKUP(B244,Instruções!$F$13:$J$17,4,0)&amp;"_"&amp;$G$2&amp;", "&amp;VLOOKUP(B244,Instruções!$F$13:$J$17,5,0)&amp;" as "&amp;VLOOKUP(B244,Instruções!$F$13:$J$17,5,0)&amp;"_"&amp;$G$2&amp;","&amp;E244&amp;" as "&amp;G244&amp;" FROM "&amp;D244&amp;" WHERE "&amp;Instruções!$D$21&amp;") B ")</f>
        <v xml:space="preserve">(SELECT instrmnt_id as instrmnt_id_to_be, pd_crr_incptn as pd_crr_incptn_to_be FROM bu_loantape_work.lt002_instrument WHERE ref_date='2024-09-30' AND nome_perimetro='Individual Corporativo' AND segmento='ESTR' AND ambito='PM' AND entidade='00100' ) B </v>
      </c>
      <c r="J244" s="17" t="str">
        <f>IF(VLOOKUP(B244,Instruções!$F$13:$J$17,5,0)="",
"ON "&amp;VLOOKUP(B244,Instruções!$F$13:$J$17,4,0)&amp;"_"&amp;$F$2&amp;" = "&amp;VLOOKUP(B244,Instruções!$F$13:$J$17,4,0)&amp;"_"&amp;$G$2&amp;" ",
"ON "&amp;VLOOKUP(B244,Instruções!$F$13:$J$17,4,0)&amp;"_"&amp;$F$2&amp;" = "&amp;VLOOKUP(B244,Instruções!$F$13:$J$17,4,0)&amp;"_"&amp;$G$2&amp;" AND "&amp;VLOOKUP(B244,Instruções!$F$13:$J$17,5,0)&amp;"_"&amp;$F$2&amp;" = "&amp;VLOOKUP(B244,Instruções!$F$13:$J$17,5,0)&amp;"_"&amp;$G$2&amp;" ")</f>
        <v xml:space="preserve">ON instrmnt_id_as_is = instrmnt_id_to_be </v>
      </c>
      <c r="K244" s="17" t="str">
        <f t="shared" si="26"/>
        <v xml:space="preserve">WHERE coalesce(cast(pd_crr_incptn_as_is as string), '') &lt;&gt; coalesce(cast(pd_crr_incptn_to_be as string), '') </v>
      </c>
      <c r="L244" s="17" t="str">
        <f t="shared" si="27"/>
        <v xml:space="preserve">SELECT count(*) AS NUM_REG_DIF FROM (SELECT instrmnt_id as instrmnt_id_as_is, pd_crr_incptn as pd_crr_incptn_as_is FROM cd_loan_tapes_bce.lt002_instrument WHERE ref_date='2024-09-30' AND nome_perimetro='Individual Corporativo' AND segmento='ESTR' AND ambito='PM' AND entidade='00100' ) A  Inner join (SELECT instrmnt_id as instrmnt_id_to_be, pd_crr_incptn as pd_crr_incptn_to_be FROM bu_loantape_work.lt002_instrument WHERE ref_date='2024-09-30' AND nome_perimetro='Individual Corporativo' AND segmento='ESTR' AND ambito='PM' AND entidade='00100' ) B ON instrmnt_id_as_is = instrmnt_id_to_be WHERE coalesce(cast(pd_crr_incptn_as_is as string), '') &lt;&gt; coalesce(cast(pd_crr_incptn_to_be as string), '') </v>
      </c>
      <c r="M244" s="17" t="s">
        <v>55</v>
      </c>
      <c r="N244" s="17" t="str">
        <f>"SELECT 'Validação de campos' as tipologia_teste, '"&amp;VLOOKUP(B244,Instruções!$F$13:$J$17,3,0)&amp;"' AS TABELA, '"&amp;E244&amp;"' AS CAMPO, '"&amp;Instruções!$D$15&amp;"' as ref_date, coalesce(NUM_REG_DIF, 0) AS NUM_REG_DIF FROM ("&amp;L244&amp;") A "</f>
        <v xml:space="preserve">SELECT 'Validação de campos' as tipologia_teste, 'lt002_instrument' AS TABELA, 'pd_crr_incptn' AS CAMPO, '2024-09-30' as ref_date, coalesce(NUM_REG_DIF, 0) AS NUM_REG_DIF FROM (SELECT count(*) AS NUM_REG_DIF FROM (SELECT instrmnt_id as instrmnt_id_as_is, pd_crr_incptn as pd_crr_incptn_as_is FROM cd_loan_tapes_bce.lt002_instrument WHERE ref_date='2024-09-30' AND nome_perimetro='Individual Corporativo' AND segmento='ESTR' AND ambito='PM' AND entidade='00100' ) A  Inner join (SELECT instrmnt_id as instrmnt_id_to_be, pd_crr_incptn as pd_crr_incptn_to_be FROM bu_loantape_work.lt002_instrument WHERE ref_date='2024-09-30' AND nome_perimetro='Individual Corporativo' AND segmento='ESTR' AND ambito='PM' AND entidade='00100' ) B ON instrmnt_id_as_is = instrmnt_id_to_be WHERE coalesce(cast(pd_crr_incptn_as_is as string), '') &lt;&gt; coalesce(cast(pd_crr_incptn_to_be as string), '') ) A </v>
      </c>
      <c r="O244" s="19" t="str">
        <f t="shared" si="29"/>
        <v>SELECT 'Validação de campos' as tipologia_teste, 'lt002_instrument' AS TABELA, 'pd_crr_incptn' AS CAMPO, '2024-09-30' as ref_date, coalesce(NUM_REG_DIF, 0) AS NUM_REG_DIF FROM (SELECT count(*) AS NUM_REG_DIF FROM (SELECT instrmnt_id as instrmnt_id_as_is, pd_crr_incptn as pd_crr_incptn_as_is FROM cd_loan_tapes_bce.lt002_instrument WHERE ref_date='2024-09-30' AND nome_perimetro='Individual Corporativo' AND segmento='ESTR' AND ambito='PM' AND entidade='00100' ) A  Inner join (SELECT instrmnt_id as instrmnt_id_to_be, pd_crr_incptn as pd_crr_incptn_to_be FROM bu_loantape_work.lt002_instrument WHERE ref_date='2024-09-30' AND nome_perimetro='Individual Corporativo' AND segmento='ESTR' AND ambito='PM' AND entidade='00100' ) B ON instrmnt_id_as_is = instrmnt_id_to_be WHERE coalesce(cast(pd_crr_incptn_as_is as string), '') &lt;&gt; coalesce(cast(pd_crr_incptn_to_be as string), '') ) A UNION ALL</v>
      </c>
      <c r="P244" s="17">
        <f t="shared" si="30"/>
        <v>39</v>
      </c>
    </row>
    <row r="245" spans="2:16" s="15" customFormat="1" ht="11.45">
      <c r="B245" s="17" t="s">
        <v>26</v>
      </c>
      <c r="C245" s="17" t="str">
        <f>_xlfn.CONCAT(Instruções!$D$13,".",VLOOKUP(B245,Instruções!$F$12:$H$17,2,0))</f>
        <v>cd_loan_tapes_bce.lt002_instrument</v>
      </c>
      <c r="D245" s="17" t="str">
        <f>_xlfn.CONCAT(Instruções!$D$14,".",VLOOKUP(B245,Instruções!$F$12:$H$17,3,0))</f>
        <v>bu_loantape_work.lt002_instrument</v>
      </c>
      <c r="E245" s="17" t="s">
        <v>137</v>
      </c>
      <c r="F245" s="17" t="str">
        <f t="shared" si="24"/>
        <v>pd_crr_rd_as_is</v>
      </c>
      <c r="G245" s="17" t="str">
        <f t="shared" si="25"/>
        <v>pd_crr_rd_to_be</v>
      </c>
      <c r="H245" s="17" t="str">
        <f>IF(VLOOKUP(B245,Instruções!$F$13:$J$17,5,0)="",
"(SELECT "&amp;VLOOKUP(B245,Instruções!$F$13:$J$17,4,0)&amp;" as "&amp;VLOOKUP(B245,Instruções!$F$13:$J$17,4,0)&amp;"_"&amp;$F$2&amp;", "&amp;E245&amp;" as "&amp;F245&amp;" FROM "&amp;C245&amp;" WHERE "&amp;Instruções!$D$20&amp;") A ",
"(SELECT "&amp;VLOOKUP(B245,Instruções!$F$13:$J$17,4,0)&amp;" as "&amp;VLOOKUP(B245,Instruções!$F$13:$J$17,4,0)&amp;"_"&amp;$F$2&amp;", "&amp;VLOOKUP(B245,Instruções!$F$13:$J$17,5,0)&amp;" as "&amp;VLOOKUP(B245,Instruções!$F$13:$J$17,5,0)&amp;"_"&amp;$F$2&amp;","&amp;E245&amp;" as "&amp;F245&amp;" FROM "&amp;C245&amp;" WHERE "&amp;Instruções!$D$20&amp;") A ")</f>
        <v xml:space="preserve">(SELECT instrmnt_id as instrmnt_id_as_is, pd_crr_rd as pd_crr_rd_as_is FROM cd_loan_tapes_bce.lt002_instrument WHERE ref_date='2024-09-30' AND nome_perimetro='Individual Corporativo' AND segmento='ESTR' AND ambito='PM' AND entidade='00100' ) A </v>
      </c>
      <c r="I245" s="17" t="str">
        <f>IF(VLOOKUP(B245,Instruções!$F$13:$J$17,5,0)="",
"(SELECT "&amp;VLOOKUP(B245,Instruções!$F$13:$J$17,4,0)&amp;" as "&amp;VLOOKUP(B245,Instruções!$F$13:$J$17,4,0)&amp;"_"&amp;$G$2&amp;", "&amp;E245&amp;" as "&amp;G245&amp;" FROM "&amp;D245&amp;" WHERE "&amp;Instruções!$D$21&amp;") B ",
"(SELECT "&amp;VLOOKUP(B245,Instruções!$F$13:$J$17,4,0)&amp;" as "&amp;VLOOKUP(B245,Instruções!$F$13:$J$17,4,0)&amp;"_"&amp;$G$2&amp;", "&amp;VLOOKUP(B245,Instruções!$F$13:$J$17,5,0)&amp;" as "&amp;VLOOKUP(B245,Instruções!$F$13:$J$17,5,0)&amp;"_"&amp;$G$2&amp;","&amp;E245&amp;" as "&amp;G245&amp;" FROM "&amp;D245&amp;" WHERE "&amp;Instruções!$D$21&amp;") B ")</f>
        <v xml:space="preserve">(SELECT instrmnt_id as instrmnt_id_to_be, pd_crr_rd as pd_crr_rd_to_be FROM bu_loantape_work.lt002_instrument WHERE ref_date='2024-09-30' AND nome_perimetro='Individual Corporativo' AND segmento='ESTR' AND ambito='PM' AND entidade='00100' ) B </v>
      </c>
      <c r="J245" s="17" t="str">
        <f>IF(VLOOKUP(B245,Instruções!$F$13:$J$17,5,0)="",
"ON "&amp;VLOOKUP(B245,Instruções!$F$13:$J$17,4,0)&amp;"_"&amp;$F$2&amp;" = "&amp;VLOOKUP(B245,Instruções!$F$13:$J$17,4,0)&amp;"_"&amp;$G$2&amp;" ",
"ON "&amp;VLOOKUP(B245,Instruções!$F$13:$J$17,4,0)&amp;"_"&amp;$F$2&amp;" = "&amp;VLOOKUP(B245,Instruções!$F$13:$J$17,4,0)&amp;"_"&amp;$G$2&amp;" AND "&amp;VLOOKUP(B245,Instruções!$F$13:$J$17,5,0)&amp;"_"&amp;$F$2&amp;" = "&amp;VLOOKUP(B245,Instruções!$F$13:$J$17,5,0)&amp;"_"&amp;$G$2&amp;" ")</f>
        <v xml:space="preserve">ON instrmnt_id_as_is = instrmnt_id_to_be </v>
      </c>
      <c r="K245" s="17" t="str">
        <f t="shared" si="26"/>
        <v xml:space="preserve">WHERE coalesce(cast(pd_crr_rd_as_is as string), '') &lt;&gt; coalesce(cast(pd_crr_rd_to_be as string), '') </v>
      </c>
      <c r="L245" s="17" t="str">
        <f t="shared" si="27"/>
        <v xml:space="preserve">SELECT count(*) AS NUM_REG_DIF FROM (SELECT instrmnt_id as instrmnt_id_as_is, pd_crr_rd as pd_crr_rd_as_is FROM cd_loan_tapes_bce.lt002_instrument WHERE ref_date='2024-09-30' AND nome_perimetro='Individual Corporativo' AND segmento='ESTR' AND ambito='PM' AND entidade='00100' ) A  Inner join (SELECT instrmnt_id as instrmnt_id_to_be, pd_crr_rd as pd_crr_rd_to_be FROM bu_loantape_work.lt002_instrument WHERE ref_date='2024-09-30' AND nome_perimetro='Individual Corporativo' AND segmento='ESTR' AND ambito='PM' AND entidade='00100' ) B ON instrmnt_id_as_is = instrmnt_id_to_be WHERE coalesce(cast(pd_crr_rd_as_is as string), '') &lt;&gt; coalesce(cast(pd_crr_rd_to_be as string), '') </v>
      </c>
      <c r="M245" s="17" t="s">
        <v>55</v>
      </c>
      <c r="N245" s="17" t="str">
        <f>"SELECT 'Validação de campos' as tipologia_teste, '"&amp;VLOOKUP(B245,Instruções!$F$13:$J$17,3,0)&amp;"' AS TABELA, '"&amp;E245&amp;"' AS CAMPO, '"&amp;Instruções!$D$15&amp;"' as ref_date, coalesce(NUM_REG_DIF, 0) AS NUM_REG_DIF FROM ("&amp;L245&amp;") A "</f>
        <v xml:space="preserve">SELECT 'Validação de campos' as tipologia_teste, 'lt002_instrument' AS TABELA, 'pd_crr_rd' AS CAMPO, '2024-09-30' as ref_date, coalesce(NUM_REG_DIF, 0) AS NUM_REG_DIF FROM (SELECT count(*) AS NUM_REG_DIF FROM (SELECT instrmnt_id as instrmnt_id_as_is, pd_crr_rd as pd_crr_rd_as_is FROM cd_loan_tapes_bce.lt002_instrument WHERE ref_date='2024-09-30' AND nome_perimetro='Individual Corporativo' AND segmento='ESTR' AND ambito='PM' AND entidade='00100' ) A  Inner join (SELECT instrmnt_id as instrmnt_id_to_be, pd_crr_rd as pd_crr_rd_to_be FROM bu_loantape_work.lt002_instrument WHERE ref_date='2024-09-30' AND nome_perimetro='Individual Corporativo' AND segmento='ESTR' AND ambito='PM' AND entidade='00100' ) B ON instrmnt_id_as_is = instrmnt_id_to_be WHERE coalesce(cast(pd_crr_rd_as_is as string), '') &lt;&gt; coalesce(cast(pd_crr_rd_to_be as string), '') ) A </v>
      </c>
      <c r="O245" s="19" t="str">
        <f t="shared" si="29"/>
        <v>SELECT 'Validação de campos' as tipologia_teste, 'lt002_instrument' AS TABELA, 'pd_crr_rd' AS CAMPO, '2024-09-30' as ref_date, coalesce(NUM_REG_DIF, 0) AS NUM_REG_DIF FROM (SELECT count(*) AS NUM_REG_DIF FROM (SELECT instrmnt_id as instrmnt_id_as_is, pd_crr_rd as pd_crr_rd_as_is FROM cd_loan_tapes_bce.lt002_instrument WHERE ref_date='2024-09-30' AND nome_perimetro='Individual Corporativo' AND segmento='ESTR' AND ambito='PM' AND entidade='00100' ) A  Inner join (SELECT instrmnt_id as instrmnt_id_to_be, pd_crr_rd as pd_crr_rd_to_be FROM bu_loantape_work.lt002_instrument WHERE ref_date='2024-09-30' AND nome_perimetro='Individual Corporativo' AND segmento='ESTR' AND ambito='PM' AND entidade='00100' ) B ON instrmnt_id_as_is = instrmnt_id_to_be WHERE coalesce(cast(pd_crr_rd_as_is as string), '') &lt;&gt; coalesce(cast(pd_crr_rd_to_be as string), '') ) A UNION ALL</v>
      </c>
      <c r="P245" s="17">
        <f t="shared" si="30"/>
        <v>40</v>
      </c>
    </row>
    <row r="246" spans="2:16" s="15" customFormat="1" ht="11.45">
      <c r="B246" s="17" t="s">
        <v>26</v>
      </c>
      <c r="C246" s="17" t="str">
        <f>_xlfn.CONCAT(Instruções!$D$13,".",VLOOKUP(B246,Instruções!$F$12:$H$17,2,0))</f>
        <v>cd_loan_tapes_bce.lt002_instrument</v>
      </c>
      <c r="D246" s="17" t="str">
        <f>_xlfn.CONCAT(Instruções!$D$14,".",VLOOKUP(B246,Instruções!$F$12:$H$17,3,0))</f>
        <v>bu_loantape_work.lt002_instrument</v>
      </c>
      <c r="E246" s="17" t="s">
        <v>138</v>
      </c>
      <c r="F246" s="17" t="str">
        <f t="shared" si="24"/>
        <v>pd_crr_rd_t1_as_is</v>
      </c>
      <c r="G246" s="17" t="str">
        <f t="shared" si="25"/>
        <v>pd_crr_rd_t1_to_be</v>
      </c>
      <c r="H246" s="17" t="str">
        <f>IF(VLOOKUP(B246,Instruções!$F$13:$J$17,5,0)="",
"(SELECT "&amp;VLOOKUP(B246,Instruções!$F$13:$J$17,4,0)&amp;" as "&amp;VLOOKUP(B246,Instruções!$F$13:$J$17,4,0)&amp;"_"&amp;$F$2&amp;", "&amp;E246&amp;" as "&amp;F246&amp;" FROM "&amp;C246&amp;" WHERE "&amp;Instruções!$D$20&amp;") A ",
"(SELECT "&amp;VLOOKUP(B246,Instruções!$F$13:$J$17,4,0)&amp;" as "&amp;VLOOKUP(B246,Instruções!$F$13:$J$17,4,0)&amp;"_"&amp;$F$2&amp;", "&amp;VLOOKUP(B246,Instruções!$F$13:$J$17,5,0)&amp;" as "&amp;VLOOKUP(B246,Instruções!$F$13:$J$17,5,0)&amp;"_"&amp;$F$2&amp;","&amp;E246&amp;" as "&amp;F246&amp;" FROM "&amp;C246&amp;" WHERE "&amp;Instruções!$D$20&amp;") A ")</f>
        <v xml:space="preserve">(SELECT instrmnt_id as instrmnt_id_as_is, pd_crr_rd_t1 as pd_crr_rd_t1_as_is FROM cd_loan_tapes_bce.lt002_instrument WHERE ref_date='2024-09-30' AND nome_perimetro='Individual Corporativo' AND segmento='ESTR' AND ambito='PM' AND entidade='00100' ) A </v>
      </c>
      <c r="I246" s="17" t="str">
        <f>IF(VLOOKUP(B246,Instruções!$F$13:$J$17,5,0)="",
"(SELECT "&amp;VLOOKUP(B246,Instruções!$F$13:$J$17,4,0)&amp;" as "&amp;VLOOKUP(B246,Instruções!$F$13:$J$17,4,0)&amp;"_"&amp;$G$2&amp;", "&amp;E246&amp;" as "&amp;G246&amp;" FROM "&amp;D246&amp;" WHERE "&amp;Instruções!$D$21&amp;") B ",
"(SELECT "&amp;VLOOKUP(B246,Instruções!$F$13:$J$17,4,0)&amp;" as "&amp;VLOOKUP(B246,Instruções!$F$13:$J$17,4,0)&amp;"_"&amp;$G$2&amp;", "&amp;VLOOKUP(B246,Instruções!$F$13:$J$17,5,0)&amp;" as "&amp;VLOOKUP(B246,Instruções!$F$13:$J$17,5,0)&amp;"_"&amp;$G$2&amp;","&amp;E246&amp;" as "&amp;G246&amp;" FROM "&amp;D246&amp;" WHERE "&amp;Instruções!$D$21&amp;") B ")</f>
        <v xml:space="preserve">(SELECT instrmnt_id as instrmnt_id_to_be, pd_crr_rd_t1 as pd_crr_rd_t1_to_be FROM bu_loantape_work.lt002_instrument WHERE ref_date='2024-09-30' AND nome_perimetro='Individual Corporativo' AND segmento='ESTR' AND ambito='PM' AND entidade='00100' ) B </v>
      </c>
      <c r="J246" s="17" t="str">
        <f>IF(VLOOKUP(B246,Instruções!$F$13:$J$17,5,0)="",
"ON "&amp;VLOOKUP(B246,Instruções!$F$13:$J$17,4,0)&amp;"_"&amp;$F$2&amp;" = "&amp;VLOOKUP(B246,Instruções!$F$13:$J$17,4,0)&amp;"_"&amp;$G$2&amp;" ",
"ON "&amp;VLOOKUP(B246,Instruções!$F$13:$J$17,4,0)&amp;"_"&amp;$F$2&amp;" = "&amp;VLOOKUP(B246,Instruções!$F$13:$J$17,4,0)&amp;"_"&amp;$G$2&amp;" AND "&amp;VLOOKUP(B246,Instruções!$F$13:$J$17,5,0)&amp;"_"&amp;$F$2&amp;" = "&amp;VLOOKUP(B246,Instruções!$F$13:$J$17,5,0)&amp;"_"&amp;$G$2&amp;" ")</f>
        <v xml:space="preserve">ON instrmnt_id_as_is = instrmnt_id_to_be </v>
      </c>
      <c r="K246" s="17" t="str">
        <f t="shared" si="26"/>
        <v xml:space="preserve">WHERE coalesce(cast(pd_crr_rd_t1_as_is as string), '') &lt;&gt; coalesce(cast(pd_crr_rd_t1_to_be as string), '') </v>
      </c>
      <c r="L246" s="17" t="str">
        <f t="shared" si="27"/>
        <v xml:space="preserve">SELECT count(*) AS NUM_REG_DIF FROM (SELECT instrmnt_id as instrmnt_id_as_is, pd_crr_rd_t1 as pd_crr_rd_t1_as_is FROM cd_loan_tapes_bce.lt002_instrument WHERE ref_date='2024-09-30' AND nome_perimetro='Individual Corporativo' AND segmento='ESTR' AND ambito='PM' AND entidade='00100' ) A  Inner join (SELECT instrmnt_id as instrmnt_id_to_be, pd_crr_rd_t1 as pd_crr_rd_t1_to_be FROM bu_loantape_work.lt002_instrument WHERE ref_date='2024-09-30' AND nome_perimetro='Individual Corporativo' AND segmento='ESTR' AND ambito='PM' AND entidade='00100' ) B ON instrmnt_id_as_is = instrmnt_id_to_be WHERE coalesce(cast(pd_crr_rd_t1_as_is as string), '') &lt;&gt; coalesce(cast(pd_crr_rd_t1_to_be as string), '') </v>
      </c>
      <c r="M246" s="17" t="s">
        <v>55</v>
      </c>
      <c r="N246" s="17" t="str">
        <f>"SELECT 'Validação de campos' as tipologia_teste, '"&amp;VLOOKUP(B246,Instruções!$F$13:$J$17,3,0)&amp;"' AS TABELA, '"&amp;E246&amp;"' AS CAMPO, '"&amp;Instruções!$D$15&amp;"' as ref_date, coalesce(NUM_REG_DIF, 0) AS NUM_REG_DIF FROM ("&amp;L246&amp;") A "</f>
        <v xml:space="preserve">SELECT 'Validação de campos' as tipologia_teste, 'lt002_instrument' AS TABELA, 'pd_crr_rd_t1' AS CAMPO, '2024-09-30' as ref_date, coalesce(NUM_REG_DIF, 0) AS NUM_REG_DIF FROM (SELECT count(*) AS NUM_REG_DIF FROM (SELECT instrmnt_id as instrmnt_id_as_is, pd_crr_rd_t1 as pd_crr_rd_t1_as_is FROM cd_loan_tapes_bce.lt002_instrument WHERE ref_date='2024-09-30' AND nome_perimetro='Individual Corporativo' AND segmento='ESTR' AND ambito='PM' AND entidade='00100' ) A  Inner join (SELECT instrmnt_id as instrmnt_id_to_be, pd_crr_rd_t1 as pd_crr_rd_t1_to_be FROM bu_loantape_work.lt002_instrument WHERE ref_date='2024-09-30' AND nome_perimetro='Individual Corporativo' AND segmento='ESTR' AND ambito='PM' AND entidade='00100' ) B ON instrmnt_id_as_is = instrmnt_id_to_be WHERE coalesce(cast(pd_crr_rd_t1_as_is as string), '') &lt;&gt; coalesce(cast(pd_crr_rd_t1_to_be as string), '') ) A </v>
      </c>
      <c r="O246" s="19" t="str">
        <f t="shared" si="29"/>
        <v>SELECT 'Validação de campos' as tipologia_teste, 'lt002_instrument' AS TABELA, 'pd_crr_rd_t1' AS CAMPO, '2024-09-30' as ref_date, coalesce(NUM_REG_DIF, 0) AS NUM_REG_DIF FROM (SELECT count(*) AS NUM_REG_DIF FROM (SELECT instrmnt_id as instrmnt_id_as_is, pd_crr_rd_t1 as pd_crr_rd_t1_as_is FROM cd_loan_tapes_bce.lt002_instrument WHERE ref_date='2024-09-30' AND nome_perimetro='Individual Corporativo' AND segmento='ESTR' AND ambito='PM' AND entidade='00100' ) A  Inner join (SELECT instrmnt_id as instrmnt_id_to_be, pd_crr_rd_t1 as pd_crr_rd_t1_to_be FROM bu_loantape_work.lt002_instrument WHERE ref_date='2024-09-30' AND nome_perimetro='Individual Corporativo' AND segmento='ESTR' AND ambito='PM' AND entidade='00100' ) B ON instrmnt_id_as_is = instrmnt_id_to_be WHERE coalesce(cast(pd_crr_rd_t1_as_is as string), '') &lt;&gt; coalesce(cast(pd_crr_rd_t1_to_be as string), '') ) A UNION ALL</v>
      </c>
      <c r="P246" s="17">
        <f t="shared" si="30"/>
        <v>41</v>
      </c>
    </row>
    <row r="247" spans="2:16" s="15" customFormat="1" ht="11.45">
      <c r="B247" s="17" t="s">
        <v>26</v>
      </c>
      <c r="C247" s="17" t="str">
        <f>_xlfn.CONCAT(Instruções!$D$13,".",VLOOKUP(B247,Instruções!$F$12:$H$17,2,0))</f>
        <v>cd_loan_tapes_bce.lt002_instrument</v>
      </c>
      <c r="D247" s="17" t="str">
        <f>_xlfn.CONCAT(Instruções!$D$14,".",VLOOKUP(B247,Instruções!$F$12:$H$17,3,0))</f>
        <v>bu_loantape_work.lt002_instrument</v>
      </c>
      <c r="E247" s="17" t="s">
        <v>294</v>
      </c>
      <c r="F247" s="17" t="str">
        <f t="shared" si="24"/>
        <v>pd_ifrs9_12m_incptn_as_is</v>
      </c>
      <c r="G247" s="17" t="str">
        <f t="shared" si="25"/>
        <v>pd_ifrs9_12m_incptn_to_be</v>
      </c>
      <c r="H247" s="17" t="str">
        <f>IF(VLOOKUP(B247,Instruções!$F$13:$J$17,5,0)="",
"(SELECT "&amp;VLOOKUP(B247,Instruções!$F$13:$J$17,4,0)&amp;" as "&amp;VLOOKUP(B247,Instruções!$F$13:$J$17,4,0)&amp;"_"&amp;$F$2&amp;", "&amp;E247&amp;" as "&amp;F247&amp;" FROM "&amp;C247&amp;" WHERE "&amp;Instruções!$D$20&amp;") A ",
"(SELECT "&amp;VLOOKUP(B247,Instruções!$F$13:$J$17,4,0)&amp;" as "&amp;VLOOKUP(B247,Instruções!$F$13:$J$17,4,0)&amp;"_"&amp;$F$2&amp;", "&amp;VLOOKUP(B247,Instruções!$F$13:$J$17,5,0)&amp;" as "&amp;VLOOKUP(B247,Instruções!$F$13:$J$17,5,0)&amp;"_"&amp;$F$2&amp;","&amp;E247&amp;" as "&amp;F247&amp;" FROM "&amp;C247&amp;" WHERE "&amp;Instruções!$D$20&amp;") A ")</f>
        <v xml:space="preserve">(SELECT instrmnt_id as instrmnt_id_as_is, pd_ifrs9_12m_incptn as pd_ifrs9_12m_incptn_as_is FROM cd_loan_tapes_bce.lt002_instrument WHERE ref_date='2024-09-30' AND nome_perimetro='Individual Corporativo' AND segmento='ESTR' AND ambito='PM' AND entidade='00100' ) A </v>
      </c>
      <c r="I247" s="17" t="str">
        <f>IF(VLOOKUP(B247,Instruções!$F$13:$J$17,5,0)="",
"(SELECT "&amp;VLOOKUP(B247,Instruções!$F$13:$J$17,4,0)&amp;" as "&amp;VLOOKUP(B247,Instruções!$F$13:$J$17,4,0)&amp;"_"&amp;$G$2&amp;", "&amp;E247&amp;" as "&amp;G247&amp;" FROM "&amp;D247&amp;" WHERE "&amp;Instruções!$D$21&amp;") B ",
"(SELECT "&amp;VLOOKUP(B247,Instruções!$F$13:$J$17,4,0)&amp;" as "&amp;VLOOKUP(B247,Instruções!$F$13:$J$17,4,0)&amp;"_"&amp;$G$2&amp;", "&amp;VLOOKUP(B247,Instruções!$F$13:$J$17,5,0)&amp;" as "&amp;VLOOKUP(B247,Instruções!$F$13:$J$17,5,0)&amp;"_"&amp;$G$2&amp;","&amp;E247&amp;" as "&amp;G247&amp;" FROM "&amp;D247&amp;" WHERE "&amp;Instruções!$D$21&amp;") B ")</f>
        <v xml:space="preserve">(SELECT instrmnt_id as instrmnt_id_to_be, pd_ifrs9_12m_incptn as pd_ifrs9_12m_incptn_to_be FROM bu_loantape_work.lt002_instrument WHERE ref_date='2024-09-30' AND nome_perimetro='Individual Corporativo' AND segmento='ESTR' AND ambito='PM' AND entidade='00100' ) B </v>
      </c>
      <c r="J247" s="17" t="str">
        <f>IF(VLOOKUP(B247,Instruções!$F$13:$J$17,5,0)="",
"ON "&amp;VLOOKUP(B247,Instruções!$F$13:$J$17,4,0)&amp;"_"&amp;$F$2&amp;" = "&amp;VLOOKUP(B247,Instruções!$F$13:$J$17,4,0)&amp;"_"&amp;$G$2&amp;" ",
"ON "&amp;VLOOKUP(B247,Instruções!$F$13:$J$17,4,0)&amp;"_"&amp;$F$2&amp;" = "&amp;VLOOKUP(B247,Instruções!$F$13:$J$17,4,0)&amp;"_"&amp;$G$2&amp;" AND "&amp;VLOOKUP(B247,Instruções!$F$13:$J$17,5,0)&amp;"_"&amp;$F$2&amp;" = "&amp;VLOOKUP(B247,Instruções!$F$13:$J$17,5,0)&amp;"_"&amp;$G$2&amp;" ")</f>
        <v xml:space="preserve">ON instrmnt_id_as_is = instrmnt_id_to_be </v>
      </c>
      <c r="K247" s="17" t="str">
        <f t="shared" si="26"/>
        <v xml:space="preserve">WHERE coalesce(cast(pd_ifrs9_12m_incptn_as_is as string), '') &lt;&gt; coalesce(cast(pd_ifrs9_12m_incptn_to_be as string), '') </v>
      </c>
      <c r="L247" s="17" t="str">
        <f t="shared" si="27"/>
        <v xml:space="preserve">SELECT count(*) AS NUM_REG_DIF FROM (SELECT instrmnt_id as instrmnt_id_as_is, pd_ifrs9_12m_incptn as pd_ifrs9_12m_incptn_as_is FROM cd_loan_tapes_bce.lt002_instrument WHERE ref_date='2024-09-30' AND nome_perimetro='Individual Corporativo' AND segmento='ESTR' AND ambito='PM' AND entidade='00100' ) A  Inner join (SELECT instrmnt_id as instrmnt_id_to_be, pd_ifrs9_12m_incptn as pd_ifrs9_12m_incptn_to_be FROM bu_loantape_work.lt002_instrument WHERE ref_date='2024-09-30' AND nome_perimetro='Individual Corporativo' AND segmento='ESTR' AND ambito='PM' AND entidade='00100' ) B ON instrmnt_id_as_is = instrmnt_id_to_be WHERE coalesce(cast(pd_ifrs9_12m_incptn_as_is as string), '') &lt;&gt; coalesce(cast(pd_ifrs9_12m_incptn_to_be as string), '') </v>
      </c>
      <c r="M247" s="17" t="s">
        <v>55</v>
      </c>
      <c r="N247" s="17" t="str">
        <f>"SELECT 'Validação de campos' as tipologia_teste, '"&amp;VLOOKUP(B247,Instruções!$F$13:$J$17,3,0)&amp;"' AS TABELA, '"&amp;E247&amp;"' AS CAMPO, '"&amp;Instruções!$D$15&amp;"' as ref_date, coalesce(NUM_REG_DIF, 0) AS NUM_REG_DIF FROM ("&amp;L247&amp;") A "</f>
        <v xml:space="preserve">SELECT 'Validação de campos' as tipologia_teste, 'lt002_instrument' AS TABELA, 'pd_ifrs9_12m_incptn' AS CAMPO, '2024-09-30' as ref_date, coalesce(NUM_REG_DIF, 0) AS NUM_REG_DIF FROM (SELECT count(*) AS NUM_REG_DIF FROM (SELECT instrmnt_id as instrmnt_id_as_is, pd_ifrs9_12m_incptn as pd_ifrs9_12m_incptn_as_is FROM cd_loan_tapes_bce.lt002_instrument WHERE ref_date='2024-09-30' AND nome_perimetro='Individual Corporativo' AND segmento='ESTR' AND ambito='PM' AND entidade='00100' ) A  Inner join (SELECT instrmnt_id as instrmnt_id_to_be, pd_ifrs9_12m_incptn as pd_ifrs9_12m_incptn_to_be FROM bu_loantape_work.lt002_instrument WHERE ref_date='2024-09-30' AND nome_perimetro='Individual Corporativo' AND segmento='ESTR' AND ambito='PM' AND entidade='00100' ) B ON instrmnt_id_as_is = instrmnt_id_to_be WHERE coalesce(cast(pd_ifrs9_12m_incptn_as_is as string), '') &lt;&gt; coalesce(cast(pd_ifrs9_12m_incptn_to_be as string), '') ) A </v>
      </c>
      <c r="O247" s="19" t="str">
        <f t="shared" si="29"/>
        <v>SELECT 'Validação de campos' as tipologia_teste, 'lt002_instrument' AS TABELA, 'pd_ifrs9_12m_incptn' AS CAMPO, '2024-09-30' as ref_date, coalesce(NUM_REG_DIF, 0) AS NUM_REG_DIF FROM (SELECT count(*) AS NUM_REG_DIF FROM (SELECT instrmnt_id as instrmnt_id_as_is, pd_ifrs9_12m_incptn as pd_ifrs9_12m_incptn_as_is FROM cd_loan_tapes_bce.lt002_instrument WHERE ref_date='2024-09-30' AND nome_perimetro='Individual Corporativo' AND segmento='ESTR' AND ambito='PM' AND entidade='00100' ) A  Inner join (SELECT instrmnt_id as instrmnt_id_to_be, pd_ifrs9_12m_incptn as pd_ifrs9_12m_incptn_to_be FROM bu_loantape_work.lt002_instrument WHERE ref_date='2024-09-30' AND nome_perimetro='Individual Corporativo' AND segmento='ESTR' AND ambito='PM' AND entidade='00100' ) B ON instrmnt_id_as_is = instrmnt_id_to_be WHERE coalesce(cast(pd_ifrs9_12m_incptn_as_is as string), '') &lt;&gt; coalesce(cast(pd_ifrs9_12m_incptn_to_be as string), '') ) A UNION ALL</v>
      </c>
      <c r="P247" s="17">
        <f t="shared" si="30"/>
        <v>42</v>
      </c>
    </row>
    <row r="248" spans="2:16" s="15" customFormat="1" ht="11.45">
      <c r="B248" s="17" t="s">
        <v>26</v>
      </c>
      <c r="C248" s="17" t="str">
        <f>_xlfn.CONCAT(Instruções!$D$13,".",VLOOKUP(B248,Instruções!$F$12:$H$17,2,0))</f>
        <v>cd_loan_tapes_bce.lt002_instrument</v>
      </c>
      <c r="D248" s="17" t="str">
        <f>_xlfn.CONCAT(Instruções!$D$14,".",VLOOKUP(B248,Instruções!$F$12:$H$17,3,0))</f>
        <v>bu_loantape_work.lt002_instrument</v>
      </c>
      <c r="E248" s="17" t="s">
        <v>139</v>
      </c>
      <c r="F248" s="17" t="str">
        <f t="shared" si="24"/>
        <v>pd_ifrs9_12m_rd_as_is</v>
      </c>
      <c r="G248" s="17" t="str">
        <f t="shared" si="25"/>
        <v>pd_ifrs9_12m_rd_to_be</v>
      </c>
      <c r="H248" s="17" t="str">
        <f>IF(VLOOKUP(B248,Instruções!$F$13:$J$17,5,0)="",
"(SELECT "&amp;VLOOKUP(B248,Instruções!$F$13:$J$17,4,0)&amp;" as "&amp;VLOOKUP(B248,Instruções!$F$13:$J$17,4,0)&amp;"_"&amp;$F$2&amp;", "&amp;E248&amp;" as "&amp;F248&amp;" FROM "&amp;C248&amp;" WHERE "&amp;Instruções!$D$20&amp;") A ",
"(SELECT "&amp;VLOOKUP(B248,Instruções!$F$13:$J$17,4,0)&amp;" as "&amp;VLOOKUP(B248,Instruções!$F$13:$J$17,4,0)&amp;"_"&amp;$F$2&amp;", "&amp;VLOOKUP(B248,Instruções!$F$13:$J$17,5,0)&amp;" as "&amp;VLOOKUP(B248,Instruções!$F$13:$J$17,5,0)&amp;"_"&amp;$F$2&amp;","&amp;E248&amp;" as "&amp;F248&amp;" FROM "&amp;C248&amp;" WHERE "&amp;Instruções!$D$20&amp;") A ")</f>
        <v xml:space="preserve">(SELECT instrmnt_id as instrmnt_id_as_is, pd_ifrs9_12m_rd as pd_ifrs9_12m_rd_as_is FROM cd_loan_tapes_bce.lt002_instrument WHERE ref_date='2024-09-30' AND nome_perimetro='Individual Corporativo' AND segmento='ESTR' AND ambito='PM' AND entidade='00100' ) A </v>
      </c>
      <c r="I248" s="17" t="str">
        <f>IF(VLOOKUP(B248,Instruções!$F$13:$J$17,5,0)="",
"(SELECT "&amp;VLOOKUP(B248,Instruções!$F$13:$J$17,4,0)&amp;" as "&amp;VLOOKUP(B248,Instruções!$F$13:$J$17,4,0)&amp;"_"&amp;$G$2&amp;", "&amp;E248&amp;" as "&amp;G248&amp;" FROM "&amp;D248&amp;" WHERE "&amp;Instruções!$D$21&amp;") B ",
"(SELECT "&amp;VLOOKUP(B248,Instruções!$F$13:$J$17,4,0)&amp;" as "&amp;VLOOKUP(B248,Instruções!$F$13:$J$17,4,0)&amp;"_"&amp;$G$2&amp;", "&amp;VLOOKUP(B248,Instruções!$F$13:$J$17,5,0)&amp;" as "&amp;VLOOKUP(B248,Instruções!$F$13:$J$17,5,0)&amp;"_"&amp;$G$2&amp;","&amp;E248&amp;" as "&amp;G248&amp;" FROM "&amp;D248&amp;" WHERE "&amp;Instruções!$D$21&amp;") B ")</f>
        <v xml:space="preserve">(SELECT instrmnt_id as instrmnt_id_to_be, pd_ifrs9_12m_rd as pd_ifrs9_12m_rd_to_be FROM bu_loantape_work.lt002_instrument WHERE ref_date='2024-09-30' AND nome_perimetro='Individual Corporativo' AND segmento='ESTR' AND ambito='PM' AND entidade='00100' ) B </v>
      </c>
      <c r="J248" s="17" t="str">
        <f>IF(VLOOKUP(B248,Instruções!$F$13:$J$17,5,0)="",
"ON "&amp;VLOOKUP(B248,Instruções!$F$13:$J$17,4,0)&amp;"_"&amp;$F$2&amp;" = "&amp;VLOOKUP(B248,Instruções!$F$13:$J$17,4,0)&amp;"_"&amp;$G$2&amp;" ",
"ON "&amp;VLOOKUP(B248,Instruções!$F$13:$J$17,4,0)&amp;"_"&amp;$F$2&amp;" = "&amp;VLOOKUP(B248,Instruções!$F$13:$J$17,4,0)&amp;"_"&amp;$G$2&amp;" AND "&amp;VLOOKUP(B248,Instruções!$F$13:$J$17,5,0)&amp;"_"&amp;$F$2&amp;" = "&amp;VLOOKUP(B248,Instruções!$F$13:$J$17,5,0)&amp;"_"&amp;$G$2&amp;" ")</f>
        <v xml:space="preserve">ON instrmnt_id_as_is = instrmnt_id_to_be </v>
      </c>
      <c r="K248" s="17" t="str">
        <f t="shared" si="26"/>
        <v xml:space="preserve">WHERE coalesce(cast(pd_ifrs9_12m_rd_as_is as string), '') &lt;&gt; coalesce(cast(pd_ifrs9_12m_rd_to_be as string), '') </v>
      </c>
      <c r="L248" s="17" t="str">
        <f t="shared" si="27"/>
        <v xml:space="preserve">SELECT count(*) AS NUM_REG_DIF FROM (SELECT instrmnt_id as instrmnt_id_as_is, pd_ifrs9_12m_rd as pd_ifrs9_12m_rd_as_is FROM cd_loan_tapes_bce.lt002_instrument WHERE ref_date='2024-09-30' AND nome_perimetro='Individual Corporativo' AND segmento='ESTR' AND ambito='PM' AND entidade='00100' ) A  Inner join (SELECT instrmnt_id as instrmnt_id_to_be, pd_ifrs9_12m_rd as pd_ifrs9_12m_rd_to_be FROM bu_loantape_work.lt002_instrument WHERE ref_date='2024-09-30' AND nome_perimetro='Individual Corporativo' AND segmento='ESTR' AND ambito='PM' AND entidade='00100' ) B ON instrmnt_id_as_is = instrmnt_id_to_be WHERE coalesce(cast(pd_ifrs9_12m_rd_as_is as string), '') &lt;&gt; coalesce(cast(pd_ifrs9_12m_rd_to_be as string), '') </v>
      </c>
      <c r="M248" s="17" t="s">
        <v>55</v>
      </c>
      <c r="N248" s="17" t="str">
        <f>"SELECT 'Validação de campos' as tipologia_teste, '"&amp;VLOOKUP(B248,Instruções!$F$13:$J$17,3,0)&amp;"' AS TABELA, '"&amp;E248&amp;"' AS CAMPO, '"&amp;Instruções!$D$15&amp;"' as ref_date, coalesce(NUM_REG_DIF, 0) AS NUM_REG_DIF FROM ("&amp;L248&amp;") A "</f>
        <v xml:space="preserve">SELECT 'Validação de campos' as tipologia_teste, 'lt002_instrument' AS TABELA, 'pd_ifrs9_12m_rd' AS CAMPO, '2024-09-30' as ref_date, coalesce(NUM_REG_DIF, 0) AS NUM_REG_DIF FROM (SELECT count(*) AS NUM_REG_DIF FROM (SELECT instrmnt_id as instrmnt_id_as_is, pd_ifrs9_12m_rd as pd_ifrs9_12m_rd_as_is FROM cd_loan_tapes_bce.lt002_instrument WHERE ref_date='2024-09-30' AND nome_perimetro='Individual Corporativo' AND segmento='ESTR' AND ambito='PM' AND entidade='00100' ) A  Inner join (SELECT instrmnt_id as instrmnt_id_to_be, pd_ifrs9_12m_rd as pd_ifrs9_12m_rd_to_be FROM bu_loantape_work.lt002_instrument WHERE ref_date='2024-09-30' AND nome_perimetro='Individual Corporativo' AND segmento='ESTR' AND ambito='PM' AND entidade='00100' ) B ON instrmnt_id_as_is = instrmnt_id_to_be WHERE coalesce(cast(pd_ifrs9_12m_rd_as_is as string), '') &lt;&gt; coalesce(cast(pd_ifrs9_12m_rd_to_be as string), '') ) A </v>
      </c>
      <c r="O248" s="19" t="str">
        <f t="shared" si="29"/>
        <v>SELECT 'Validação de campos' as tipologia_teste, 'lt002_instrument' AS TABELA, 'pd_ifrs9_12m_rd' AS CAMPO, '2024-09-30' as ref_date, coalesce(NUM_REG_DIF, 0) AS NUM_REG_DIF FROM (SELECT count(*) AS NUM_REG_DIF FROM (SELECT instrmnt_id as instrmnt_id_as_is, pd_ifrs9_12m_rd as pd_ifrs9_12m_rd_as_is FROM cd_loan_tapes_bce.lt002_instrument WHERE ref_date='2024-09-30' AND nome_perimetro='Individual Corporativo' AND segmento='ESTR' AND ambito='PM' AND entidade='00100' ) A  Inner join (SELECT instrmnt_id as instrmnt_id_to_be, pd_ifrs9_12m_rd as pd_ifrs9_12m_rd_to_be FROM bu_loantape_work.lt002_instrument WHERE ref_date='2024-09-30' AND nome_perimetro='Individual Corporativo' AND segmento='ESTR' AND ambito='PM' AND entidade='00100' ) B ON instrmnt_id_as_is = instrmnt_id_to_be WHERE coalesce(cast(pd_ifrs9_12m_rd_as_is as string), '') &lt;&gt; coalesce(cast(pd_ifrs9_12m_rd_to_be as string), '') ) A UNION ALL</v>
      </c>
      <c r="P248" s="17">
        <f t="shared" si="30"/>
        <v>43</v>
      </c>
    </row>
    <row r="249" spans="2:16" s="15" customFormat="1" ht="11.45">
      <c r="B249" s="17" t="s">
        <v>26</v>
      </c>
      <c r="C249" s="17" t="str">
        <f>_xlfn.CONCAT(Instruções!$D$13,".",VLOOKUP(B249,Instruções!$F$12:$H$17,2,0))</f>
        <v>cd_loan_tapes_bce.lt002_instrument</v>
      </c>
      <c r="D249" s="17" t="str">
        <f>_xlfn.CONCAT(Instruções!$D$14,".",VLOOKUP(B249,Instruções!$F$12:$H$17,3,0))</f>
        <v>bu_loantape_work.lt002_instrument</v>
      </c>
      <c r="E249" s="17" t="s">
        <v>140</v>
      </c>
      <c r="F249" s="17" t="str">
        <f t="shared" si="24"/>
        <v>pd_ifrs9_12m_rd_t1_as_is</v>
      </c>
      <c r="G249" s="17" t="str">
        <f t="shared" si="25"/>
        <v>pd_ifrs9_12m_rd_t1_to_be</v>
      </c>
      <c r="H249" s="17" t="str">
        <f>IF(VLOOKUP(B249,Instruções!$F$13:$J$17,5,0)="",
"(SELECT "&amp;VLOOKUP(B249,Instruções!$F$13:$J$17,4,0)&amp;" as "&amp;VLOOKUP(B249,Instruções!$F$13:$J$17,4,0)&amp;"_"&amp;$F$2&amp;", "&amp;E249&amp;" as "&amp;F249&amp;" FROM "&amp;C249&amp;" WHERE "&amp;Instruções!$D$20&amp;") A ",
"(SELECT "&amp;VLOOKUP(B249,Instruções!$F$13:$J$17,4,0)&amp;" as "&amp;VLOOKUP(B249,Instruções!$F$13:$J$17,4,0)&amp;"_"&amp;$F$2&amp;", "&amp;VLOOKUP(B249,Instruções!$F$13:$J$17,5,0)&amp;" as "&amp;VLOOKUP(B249,Instruções!$F$13:$J$17,5,0)&amp;"_"&amp;$F$2&amp;","&amp;E249&amp;" as "&amp;F249&amp;" FROM "&amp;C249&amp;" WHERE "&amp;Instruções!$D$20&amp;") A ")</f>
        <v xml:space="preserve">(SELECT instrmnt_id as instrmnt_id_as_is, pd_ifrs9_12m_rd_t1 as pd_ifrs9_12m_rd_t1_as_is FROM cd_loan_tapes_bce.lt002_instrument WHERE ref_date='2024-09-30' AND nome_perimetro='Individual Corporativo' AND segmento='ESTR' AND ambito='PM' AND entidade='00100' ) A </v>
      </c>
      <c r="I249" s="17" t="str">
        <f>IF(VLOOKUP(B249,Instruções!$F$13:$J$17,5,0)="",
"(SELECT "&amp;VLOOKUP(B249,Instruções!$F$13:$J$17,4,0)&amp;" as "&amp;VLOOKUP(B249,Instruções!$F$13:$J$17,4,0)&amp;"_"&amp;$G$2&amp;", "&amp;E249&amp;" as "&amp;G249&amp;" FROM "&amp;D249&amp;" WHERE "&amp;Instruções!$D$21&amp;") B ",
"(SELECT "&amp;VLOOKUP(B249,Instruções!$F$13:$J$17,4,0)&amp;" as "&amp;VLOOKUP(B249,Instruções!$F$13:$J$17,4,0)&amp;"_"&amp;$G$2&amp;", "&amp;VLOOKUP(B249,Instruções!$F$13:$J$17,5,0)&amp;" as "&amp;VLOOKUP(B249,Instruções!$F$13:$J$17,5,0)&amp;"_"&amp;$G$2&amp;","&amp;E249&amp;" as "&amp;G249&amp;" FROM "&amp;D249&amp;" WHERE "&amp;Instruções!$D$21&amp;") B ")</f>
        <v xml:space="preserve">(SELECT instrmnt_id as instrmnt_id_to_be, pd_ifrs9_12m_rd_t1 as pd_ifrs9_12m_rd_t1_to_be FROM bu_loantape_work.lt002_instrument WHERE ref_date='2024-09-30' AND nome_perimetro='Individual Corporativo' AND segmento='ESTR' AND ambito='PM' AND entidade='00100' ) B </v>
      </c>
      <c r="J249" s="17" t="str">
        <f>IF(VLOOKUP(B249,Instruções!$F$13:$J$17,5,0)="",
"ON "&amp;VLOOKUP(B249,Instruções!$F$13:$J$17,4,0)&amp;"_"&amp;$F$2&amp;" = "&amp;VLOOKUP(B249,Instruções!$F$13:$J$17,4,0)&amp;"_"&amp;$G$2&amp;" ",
"ON "&amp;VLOOKUP(B249,Instruções!$F$13:$J$17,4,0)&amp;"_"&amp;$F$2&amp;" = "&amp;VLOOKUP(B249,Instruções!$F$13:$J$17,4,0)&amp;"_"&amp;$G$2&amp;" AND "&amp;VLOOKUP(B249,Instruções!$F$13:$J$17,5,0)&amp;"_"&amp;$F$2&amp;" = "&amp;VLOOKUP(B249,Instruções!$F$13:$J$17,5,0)&amp;"_"&amp;$G$2&amp;" ")</f>
        <v xml:space="preserve">ON instrmnt_id_as_is = instrmnt_id_to_be </v>
      </c>
      <c r="K249" s="17" t="str">
        <f t="shared" si="26"/>
        <v xml:space="preserve">WHERE coalesce(cast(pd_ifrs9_12m_rd_t1_as_is as string), '') &lt;&gt; coalesce(cast(pd_ifrs9_12m_rd_t1_to_be as string), '') </v>
      </c>
      <c r="L249" s="17" t="str">
        <f t="shared" si="27"/>
        <v xml:space="preserve">SELECT count(*) AS NUM_REG_DIF FROM (SELECT instrmnt_id as instrmnt_id_as_is, pd_ifrs9_12m_rd_t1 as pd_ifrs9_12m_rd_t1_as_is FROM cd_loan_tapes_bce.lt002_instrument WHERE ref_date='2024-09-30' AND nome_perimetro='Individual Corporativo' AND segmento='ESTR' AND ambito='PM' AND entidade='00100' ) A  Inner join (SELECT instrmnt_id as instrmnt_id_to_be, pd_ifrs9_12m_rd_t1 as pd_ifrs9_12m_rd_t1_to_be FROM bu_loantape_work.lt002_instrument WHERE ref_date='2024-09-30' AND nome_perimetro='Individual Corporativo' AND segmento='ESTR' AND ambito='PM' AND entidade='00100' ) B ON instrmnt_id_as_is = instrmnt_id_to_be WHERE coalesce(cast(pd_ifrs9_12m_rd_t1_as_is as string), '') &lt;&gt; coalesce(cast(pd_ifrs9_12m_rd_t1_to_be as string), '') </v>
      </c>
      <c r="M249" s="17" t="s">
        <v>55</v>
      </c>
      <c r="N249" s="17" t="str">
        <f>"SELECT 'Validação de campos' as tipologia_teste, '"&amp;VLOOKUP(B249,Instruções!$F$13:$J$17,3,0)&amp;"' AS TABELA, '"&amp;E249&amp;"' AS CAMPO, '"&amp;Instruções!$D$15&amp;"' as ref_date, coalesce(NUM_REG_DIF, 0) AS NUM_REG_DIF FROM ("&amp;L249&amp;") A "</f>
        <v xml:space="preserve">SELECT 'Validação de campos' as tipologia_teste, 'lt002_instrument' AS TABELA, 'pd_ifrs9_12m_rd_t1' AS CAMPO, '2024-09-30' as ref_date, coalesce(NUM_REG_DIF, 0) AS NUM_REG_DIF FROM (SELECT count(*) AS NUM_REG_DIF FROM (SELECT instrmnt_id as instrmnt_id_as_is, pd_ifrs9_12m_rd_t1 as pd_ifrs9_12m_rd_t1_as_is FROM cd_loan_tapes_bce.lt002_instrument WHERE ref_date='2024-09-30' AND nome_perimetro='Individual Corporativo' AND segmento='ESTR' AND ambito='PM' AND entidade='00100' ) A  Inner join (SELECT instrmnt_id as instrmnt_id_to_be, pd_ifrs9_12m_rd_t1 as pd_ifrs9_12m_rd_t1_to_be FROM bu_loantape_work.lt002_instrument WHERE ref_date='2024-09-30' AND nome_perimetro='Individual Corporativo' AND segmento='ESTR' AND ambito='PM' AND entidade='00100' ) B ON instrmnt_id_as_is = instrmnt_id_to_be WHERE coalesce(cast(pd_ifrs9_12m_rd_t1_as_is as string), '') &lt;&gt; coalesce(cast(pd_ifrs9_12m_rd_t1_to_be as string), '') ) A </v>
      </c>
      <c r="O249" s="19" t="str">
        <f t="shared" si="29"/>
        <v>SELECT 'Validação de campos' as tipologia_teste, 'lt002_instrument' AS TABELA, 'pd_ifrs9_12m_rd_t1' AS CAMPO, '2024-09-30' as ref_date, coalesce(NUM_REG_DIF, 0) AS NUM_REG_DIF FROM (SELECT count(*) AS NUM_REG_DIF FROM (SELECT instrmnt_id as instrmnt_id_as_is, pd_ifrs9_12m_rd_t1 as pd_ifrs9_12m_rd_t1_as_is FROM cd_loan_tapes_bce.lt002_instrument WHERE ref_date='2024-09-30' AND nome_perimetro='Individual Corporativo' AND segmento='ESTR' AND ambito='PM' AND entidade='00100' ) A  Inner join (SELECT instrmnt_id as instrmnt_id_to_be, pd_ifrs9_12m_rd_t1 as pd_ifrs9_12m_rd_t1_to_be FROM bu_loantape_work.lt002_instrument WHERE ref_date='2024-09-30' AND nome_perimetro='Individual Corporativo' AND segmento='ESTR' AND ambito='PM' AND entidade='00100' ) B ON instrmnt_id_as_is = instrmnt_id_to_be WHERE coalesce(cast(pd_ifrs9_12m_rd_t1_as_is as string), '') &lt;&gt; coalesce(cast(pd_ifrs9_12m_rd_t1_to_be as string), '') ) A UNION ALL</v>
      </c>
      <c r="P249" s="17">
        <f t="shared" si="30"/>
        <v>44</v>
      </c>
    </row>
    <row r="250" spans="2:16" s="15" customFormat="1" ht="11.45">
      <c r="B250" s="17" t="s">
        <v>26</v>
      </c>
      <c r="C250" s="17" t="str">
        <f>_xlfn.CONCAT(Instruções!$D$13,".",VLOOKUP(B250,Instruções!$F$12:$H$17,2,0))</f>
        <v>cd_loan_tapes_bce.lt002_instrument</v>
      </c>
      <c r="D250" s="17" t="str">
        <f>_xlfn.CONCAT(Instruções!$D$14,".",VLOOKUP(B250,Instruções!$F$12:$H$17,3,0))</f>
        <v>bu_loantape_work.lt002_instrument</v>
      </c>
      <c r="E250" s="17" t="s">
        <v>295</v>
      </c>
      <c r="F250" s="17" t="str">
        <f t="shared" si="24"/>
        <v>pd_ifrs9_lftm_incptn_as_is</v>
      </c>
      <c r="G250" s="17" t="str">
        <f t="shared" si="25"/>
        <v>pd_ifrs9_lftm_incptn_to_be</v>
      </c>
      <c r="H250" s="17" t="str">
        <f>IF(VLOOKUP(B250,Instruções!$F$13:$J$17,5,0)="",
"(SELECT "&amp;VLOOKUP(B250,Instruções!$F$13:$J$17,4,0)&amp;" as "&amp;VLOOKUP(B250,Instruções!$F$13:$J$17,4,0)&amp;"_"&amp;$F$2&amp;", "&amp;E250&amp;" as "&amp;F250&amp;" FROM "&amp;C250&amp;" WHERE "&amp;Instruções!$D$20&amp;") A ",
"(SELECT "&amp;VLOOKUP(B250,Instruções!$F$13:$J$17,4,0)&amp;" as "&amp;VLOOKUP(B250,Instruções!$F$13:$J$17,4,0)&amp;"_"&amp;$F$2&amp;", "&amp;VLOOKUP(B250,Instruções!$F$13:$J$17,5,0)&amp;" as "&amp;VLOOKUP(B250,Instruções!$F$13:$J$17,5,0)&amp;"_"&amp;$F$2&amp;","&amp;E250&amp;" as "&amp;F250&amp;" FROM "&amp;C250&amp;" WHERE "&amp;Instruções!$D$20&amp;") A ")</f>
        <v xml:space="preserve">(SELECT instrmnt_id as instrmnt_id_as_is, pd_ifrs9_lftm_incptn as pd_ifrs9_lftm_incptn_as_is FROM cd_loan_tapes_bce.lt002_instrument WHERE ref_date='2024-09-30' AND nome_perimetro='Individual Corporativo' AND segmento='ESTR' AND ambito='PM' AND entidade='00100' ) A </v>
      </c>
      <c r="I250" s="17" t="str">
        <f>IF(VLOOKUP(B250,Instruções!$F$13:$J$17,5,0)="",
"(SELECT "&amp;VLOOKUP(B250,Instruções!$F$13:$J$17,4,0)&amp;" as "&amp;VLOOKUP(B250,Instruções!$F$13:$J$17,4,0)&amp;"_"&amp;$G$2&amp;", "&amp;E250&amp;" as "&amp;G250&amp;" FROM "&amp;D250&amp;" WHERE "&amp;Instruções!$D$21&amp;") B ",
"(SELECT "&amp;VLOOKUP(B250,Instruções!$F$13:$J$17,4,0)&amp;" as "&amp;VLOOKUP(B250,Instruções!$F$13:$J$17,4,0)&amp;"_"&amp;$G$2&amp;", "&amp;VLOOKUP(B250,Instruções!$F$13:$J$17,5,0)&amp;" as "&amp;VLOOKUP(B250,Instruções!$F$13:$J$17,5,0)&amp;"_"&amp;$G$2&amp;","&amp;E250&amp;" as "&amp;G250&amp;" FROM "&amp;D250&amp;" WHERE "&amp;Instruções!$D$21&amp;") B ")</f>
        <v xml:space="preserve">(SELECT instrmnt_id as instrmnt_id_to_be, pd_ifrs9_lftm_incptn as pd_ifrs9_lftm_incptn_to_be FROM bu_loantape_work.lt002_instrument WHERE ref_date='2024-09-30' AND nome_perimetro='Individual Corporativo' AND segmento='ESTR' AND ambito='PM' AND entidade='00100' ) B </v>
      </c>
      <c r="J250" s="17" t="str">
        <f>IF(VLOOKUP(B250,Instruções!$F$13:$J$17,5,0)="",
"ON "&amp;VLOOKUP(B250,Instruções!$F$13:$J$17,4,0)&amp;"_"&amp;$F$2&amp;" = "&amp;VLOOKUP(B250,Instruções!$F$13:$J$17,4,0)&amp;"_"&amp;$G$2&amp;" ",
"ON "&amp;VLOOKUP(B250,Instruções!$F$13:$J$17,4,0)&amp;"_"&amp;$F$2&amp;" = "&amp;VLOOKUP(B250,Instruções!$F$13:$J$17,4,0)&amp;"_"&amp;$G$2&amp;" AND "&amp;VLOOKUP(B250,Instruções!$F$13:$J$17,5,0)&amp;"_"&amp;$F$2&amp;" = "&amp;VLOOKUP(B250,Instruções!$F$13:$J$17,5,0)&amp;"_"&amp;$G$2&amp;" ")</f>
        <v xml:space="preserve">ON instrmnt_id_as_is = instrmnt_id_to_be </v>
      </c>
      <c r="K250" s="17" t="str">
        <f t="shared" si="26"/>
        <v xml:space="preserve">WHERE coalesce(cast(pd_ifrs9_lftm_incptn_as_is as string), '') &lt;&gt; coalesce(cast(pd_ifrs9_lftm_incptn_to_be as string), '') </v>
      </c>
      <c r="L250" s="17" t="str">
        <f t="shared" si="27"/>
        <v xml:space="preserve">SELECT count(*) AS NUM_REG_DIF FROM (SELECT instrmnt_id as instrmnt_id_as_is, pd_ifrs9_lftm_incptn as pd_ifrs9_lftm_incptn_as_is FROM cd_loan_tapes_bce.lt002_instrument WHERE ref_date='2024-09-30' AND nome_perimetro='Individual Corporativo' AND segmento='ESTR' AND ambito='PM' AND entidade='00100' ) A  Inner join (SELECT instrmnt_id as instrmnt_id_to_be, pd_ifrs9_lftm_incptn as pd_ifrs9_lftm_incptn_to_be FROM bu_loantape_work.lt002_instrument WHERE ref_date='2024-09-30' AND nome_perimetro='Individual Corporativo' AND segmento='ESTR' AND ambito='PM' AND entidade='00100' ) B ON instrmnt_id_as_is = instrmnt_id_to_be WHERE coalesce(cast(pd_ifrs9_lftm_incptn_as_is as string), '') &lt;&gt; coalesce(cast(pd_ifrs9_lftm_incptn_to_be as string), '') </v>
      </c>
      <c r="M250" s="17" t="s">
        <v>55</v>
      </c>
      <c r="N250" s="17" t="str">
        <f>"SELECT 'Validação de campos' as tipologia_teste, '"&amp;VLOOKUP(B250,Instruções!$F$13:$J$17,3,0)&amp;"' AS TABELA, '"&amp;E250&amp;"' AS CAMPO, '"&amp;Instruções!$D$15&amp;"' as ref_date, coalesce(NUM_REG_DIF, 0) AS NUM_REG_DIF FROM ("&amp;L250&amp;") A "</f>
        <v xml:space="preserve">SELECT 'Validação de campos' as tipologia_teste, 'lt002_instrument' AS TABELA, 'pd_ifrs9_lftm_incptn' AS CAMPO, '2024-09-30' as ref_date, coalesce(NUM_REG_DIF, 0) AS NUM_REG_DIF FROM (SELECT count(*) AS NUM_REG_DIF FROM (SELECT instrmnt_id as instrmnt_id_as_is, pd_ifrs9_lftm_incptn as pd_ifrs9_lftm_incptn_as_is FROM cd_loan_tapes_bce.lt002_instrument WHERE ref_date='2024-09-30' AND nome_perimetro='Individual Corporativo' AND segmento='ESTR' AND ambito='PM' AND entidade='00100' ) A  Inner join (SELECT instrmnt_id as instrmnt_id_to_be, pd_ifrs9_lftm_incptn as pd_ifrs9_lftm_incptn_to_be FROM bu_loantape_work.lt002_instrument WHERE ref_date='2024-09-30' AND nome_perimetro='Individual Corporativo' AND segmento='ESTR' AND ambito='PM' AND entidade='00100' ) B ON instrmnt_id_as_is = instrmnt_id_to_be WHERE coalesce(cast(pd_ifrs9_lftm_incptn_as_is as string), '') &lt;&gt; coalesce(cast(pd_ifrs9_lftm_incptn_to_be as string), '') ) A </v>
      </c>
      <c r="O250" s="19" t="str">
        <f t="shared" si="29"/>
        <v>SELECT 'Validação de campos' as tipologia_teste, 'lt002_instrument' AS TABELA, 'pd_ifrs9_lftm_incptn' AS CAMPO, '2024-09-30' as ref_date, coalesce(NUM_REG_DIF, 0) AS NUM_REG_DIF FROM (SELECT count(*) AS NUM_REG_DIF FROM (SELECT instrmnt_id as instrmnt_id_as_is, pd_ifrs9_lftm_incptn as pd_ifrs9_lftm_incptn_as_is FROM cd_loan_tapes_bce.lt002_instrument WHERE ref_date='2024-09-30' AND nome_perimetro='Individual Corporativo' AND segmento='ESTR' AND ambito='PM' AND entidade='00100' ) A  Inner join (SELECT instrmnt_id as instrmnt_id_to_be, pd_ifrs9_lftm_incptn as pd_ifrs9_lftm_incptn_to_be FROM bu_loantape_work.lt002_instrument WHERE ref_date='2024-09-30' AND nome_perimetro='Individual Corporativo' AND segmento='ESTR' AND ambito='PM' AND entidade='00100' ) B ON instrmnt_id_as_is = instrmnt_id_to_be WHERE coalesce(cast(pd_ifrs9_lftm_incptn_as_is as string), '') &lt;&gt; coalesce(cast(pd_ifrs9_lftm_incptn_to_be as string), '') ) A UNION ALL</v>
      </c>
      <c r="P250" s="17">
        <f t="shared" si="30"/>
        <v>45</v>
      </c>
    </row>
    <row r="251" spans="2:16" s="15" customFormat="1" ht="11.45">
      <c r="B251" s="17" t="s">
        <v>26</v>
      </c>
      <c r="C251" s="17" t="str">
        <f>_xlfn.CONCAT(Instruções!$D$13,".",VLOOKUP(B251,Instruções!$F$12:$H$17,2,0))</f>
        <v>cd_loan_tapes_bce.lt002_instrument</v>
      </c>
      <c r="D251" s="17" t="str">
        <f>_xlfn.CONCAT(Instruções!$D$14,".",VLOOKUP(B251,Instruções!$F$12:$H$17,3,0))</f>
        <v>bu_loantape_work.lt002_instrument</v>
      </c>
      <c r="E251" s="17" t="s">
        <v>296</v>
      </c>
      <c r="F251" s="17" t="str">
        <f t="shared" si="24"/>
        <v>pd_ifrs9_rmnng_lftm_incptn_as_is</v>
      </c>
      <c r="G251" s="17" t="str">
        <f t="shared" si="25"/>
        <v>pd_ifrs9_rmnng_lftm_incptn_to_be</v>
      </c>
      <c r="H251" s="17" t="str">
        <f>IF(VLOOKUP(B251,Instruções!$F$13:$J$17,5,0)="",
"(SELECT "&amp;VLOOKUP(B251,Instruções!$F$13:$J$17,4,0)&amp;" as "&amp;VLOOKUP(B251,Instruções!$F$13:$J$17,4,0)&amp;"_"&amp;$F$2&amp;", "&amp;E251&amp;" as "&amp;F251&amp;" FROM "&amp;C251&amp;" WHERE "&amp;Instruções!$D$20&amp;") A ",
"(SELECT "&amp;VLOOKUP(B251,Instruções!$F$13:$J$17,4,0)&amp;" as "&amp;VLOOKUP(B251,Instruções!$F$13:$J$17,4,0)&amp;"_"&amp;$F$2&amp;", "&amp;VLOOKUP(B251,Instruções!$F$13:$J$17,5,0)&amp;" as "&amp;VLOOKUP(B251,Instruções!$F$13:$J$17,5,0)&amp;"_"&amp;$F$2&amp;","&amp;E251&amp;" as "&amp;F251&amp;" FROM "&amp;C251&amp;" WHERE "&amp;Instruções!$D$20&amp;") A ")</f>
        <v xml:space="preserve">(SELECT instrmnt_id as instrmnt_id_as_is, pd_ifrs9_rmnng_lftm_incptn as pd_ifrs9_rmnng_lftm_incptn_as_is FROM cd_loan_tapes_bce.lt002_instrument WHERE ref_date='2024-09-30' AND nome_perimetro='Individual Corporativo' AND segmento='ESTR' AND ambito='PM' AND entidade='00100' ) A </v>
      </c>
      <c r="I251" s="17" t="str">
        <f>IF(VLOOKUP(B251,Instruções!$F$13:$J$17,5,0)="",
"(SELECT "&amp;VLOOKUP(B251,Instruções!$F$13:$J$17,4,0)&amp;" as "&amp;VLOOKUP(B251,Instruções!$F$13:$J$17,4,0)&amp;"_"&amp;$G$2&amp;", "&amp;E251&amp;" as "&amp;G251&amp;" FROM "&amp;D251&amp;" WHERE "&amp;Instruções!$D$21&amp;") B ",
"(SELECT "&amp;VLOOKUP(B251,Instruções!$F$13:$J$17,4,0)&amp;" as "&amp;VLOOKUP(B251,Instruções!$F$13:$J$17,4,0)&amp;"_"&amp;$G$2&amp;", "&amp;VLOOKUP(B251,Instruções!$F$13:$J$17,5,0)&amp;" as "&amp;VLOOKUP(B251,Instruções!$F$13:$J$17,5,0)&amp;"_"&amp;$G$2&amp;","&amp;E251&amp;" as "&amp;G251&amp;" FROM "&amp;D251&amp;" WHERE "&amp;Instruções!$D$21&amp;") B ")</f>
        <v xml:space="preserve">(SELECT instrmnt_id as instrmnt_id_to_be, pd_ifrs9_rmnng_lftm_incptn as pd_ifrs9_rmnng_lftm_incptn_to_be FROM bu_loantape_work.lt002_instrument WHERE ref_date='2024-09-30' AND nome_perimetro='Individual Corporativo' AND segmento='ESTR' AND ambito='PM' AND entidade='00100' ) B </v>
      </c>
      <c r="J251" s="17" t="str">
        <f>IF(VLOOKUP(B251,Instruções!$F$13:$J$17,5,0)="",
"ON "&amp;VLOOKUP(B251,Instruções!$F$13:$J$17,4,0)&amp;"_"&amp;$F$2&amp;" = "&amp;VLOOKUP(B251,Instruções!$F$13:$J$17,4,0)&amp;"_"&amp;$G$2&amp;" ",
"ON "&amp;VLOOKUP(B251,Instruções!$F$13:$J$17,4,0)&amp;"_"&amp;$F$2&amp;" = "&amp;VLOOKUP(B251,Instruções!$F$13:$J$17,4,0)&amp;"_"&amp;$G$2&amp;" AND "&amp;VLOOKUP(B251,Instruções!$F$13:$J$17,5,0)&amp;"_"&amp;$F$2&amp;" = "&amp;VLOOKUP(B251,Instruções!$F$13:$J$17,5,0)&amp;"_"&amp;$G$2&amp;" ")</f>
        <v xml:space="preserve">ON instrmnt_id_as_is = instrmnt_id_to_be </v>
      </c>
      <c r="K251" s="17" t="str">
        <f t="shared" si="26"/>
        <v xml:space="preserve">WHERE coalesce(cast(pd_ifrs9_rmnng_lftm_incptn_as_is as string), '') &lt;&gt; coalesce(cast(pd_ifrs9_rmnng_lftm_incptn_to_be as string), '') </v>
      </c>
      <c r="L251" s="17" t="str">
        <f t="shared" si="27"/>
        <v xml:space="preserve">SELECT count(*) AS NUM_REG_DIF FROM (SELECT instrmnt_id as instrmnt_id_as_is,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instrmnt_id_to_be, pd_ifrs9_rmnng_lftm_incptn as pd_ifrs9_rmnng_lftm_incptn_to_be FROM bu_loantape_work.lt002_instrument WHERE ref_date='2024-09-30' AND nome_perimetro='Individual Corporativo' AND segmento='ESTR' AND ambito='PM' AND entidade='00100' ) B ON instrmnt_id_as_is = instrmnt_id_to_be WHERE coalesce(cast(pd_ifrs9_rmnng_lftm_incptn_as_is as string), '') &lt;&gt; coalesce(cast(pd_ifrs9_rmnng_lftm_incptn_to_be as string), '') </v>
      </c>
      <c r="M251" s="17" t="s">
        <v>55</v>
      </c>
      <c r="N251" s="17" t="str">
        <f>"SELECT 'Validação de campos' as tipologia_teste, '"&amp;VLOOKUP(B251,Instruções!$F$13:$J$17,3,0)&amp;"' AS TABELA, '"&amp;E251&amp;"' AS CAMPO, '"&amp;Instruções!$D$15&amp;"' as ref_date, coalesce(NUM_REG_DIF, 0) AS NUM_REG_DIF FROM ("&amp;L251&amp;") A "</f>
        <v xml:space="preserve">SELECT 'Validação de campos' as tipologia_teste, 'lt002_instrument' AS TABELA, 'pd_ifrs9_rmnng_lftm_incptn' AS CAMPO, '2024-09-30' as ref_date, coalesce(NUM_REG_DIF, 0) AS NUM_REG_DIF FROM (SELECT count(*) AS NUM_REG_DIF FROM (SELECT instrmnt_id as instrmnt_id_as_is,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instrmnt_id_to_be, pd_ifrs9_rmnng_lftm_incptn as pd_ifrs9_rmnng_lftm_incptn_to_be FROM bu_loantape_work.lt002_instrument WHERE ref_date='2024-09-30' AND nome_perimetro='Individual Corporativo' AND segmento='ESTR' AND ambito='PM' AND entidade='00100' ) B ON instrmnt_id_as_is = instrmnt_id_to_be WHERE coalesce(cast(pd_ifrs9_rmnng_lftm_incptn_as_is as string), '') &lt;&gt; coalesce(cast(pd_ifrs9_rmnng_lftm_incptn_to_be as string), '') ) A </v>
      </c>
      <c r="O251" s="19" t="str">
        <f t="shared" si="29"/>
        <v>SELECT 'Validação de campos' as tipologia_teste, 'lt002_instrument' AS TABELA, 'pd_ifrs9_rmnng_lftm_incptn' AS CAMPO, '2024-09-30' as ref_date, coalesce(NUM_REG_DIF, 0) AS NUM_REG_DIF FROM (SELECT count(*) AS NUM_REG_DIF FROM (SELECT instrmnt_id as instrmnt_id_as_is, pd_ifrs9_rmnng_lftm_incptn as pd_ifrs9_rmnng_lftm_incptn_as_is FROM cd_loan_tapes_bce.lt002_instrument WHERE ref_date='2024-09-30' AND nome_perimetro='Individual Corporativo' AND segmento='ESTR' AND ambito='PM' AND entidade='00100' ) A  Inner join (SELECT instrmnt_id as instrmnt_id_to_be, pd_ifrs9_rmnng_lftm_incptn as pd_ifrs9_rmnng_lftm_incptn_to_be FROM bu_loantape_work.lt002_instrument WHERE ref_date='2024-09-30' AND nome_perimetro='Individual Corporativo' AND segmento='ESTR' AND ambito='PM' AND entidade='00100' ) B ON instrmnt_id_as_is = instrmnt_id_to_be WHERE coalesce(cast(pd_ifrs9_rmnng_lftm_incptn_as_is as string), '') &lt;&gt; coalesce(cast(pd_ifrs9_rmnng_lftm_incptn_to_be as string), '') ) A UNION ALL</v>
      </c>
      <c r="P251" s="17">
        <f t="shared" si="30"/>
        <v>46</v>
      </c>
    </row>
    <row r="252" spans="2:16" s="15" customFormat="1" ht="11.45">
      <c r="B252" s="17" t="s">
        <v>26</v>
      </c>
      <c r="C252" s="17" t="str">
        <f>_xlfn.CONCAT(Instruções!$D$13,".",VLOOKUP(B252,Instruções!$F$12:$H$17,2,0))</f>
        <v>cd_loan_tapes_bce.lt002_instrument</v>
      </c>
      <c r="D252" s="17" t="str">
        <f>_xlfn.CONCAT(Instruções!$D$14,".",VLOOKUP(B252,Instruções!$F$12:$H$17,3,0))</f>
        <v>bu_loantape_work.lt002_instrument</v>
      </c>
      <c r="E252" s="17" t="s">
        <v>297</v>
      </c>
      <c r="F252" s="17" t="str">
        <f t="shared" si="24"/>
        <v>pd_ifrs9_rmnng_lftm_rd_as_is</v>
      </c>
      <c r="G252" s="17" t="str">
        <f t="shared" si="25"/>
        <v>pd_ifrs9_rmnng_lftm_rd_to_be</v>
      </c>
      <c r="H252" s="17" t="str">
        <f>IF(VLOOKUP(B252,Instruções!$F$13:$J$17,5,0)="",
"(SELECT "&amp;VLOOKUP(B252,Instruções!$F$13:$J$17,4,0)&amp;" as "&amp;VLOOKUP(B252,Instruções!$F$13:$J$17,4,0)&amp;"_"&amp;$F$2&amp;", "&amp;E252&amp;" as "&amp;F252&amp;" FROM "&amp;C252&amp;" WHERE "&amp;Instruções!$D$20&amp;") A ",
"(SELECT "&amp;VLOOKUP(B252,Instruções!$F$13:$J$17,4,0)&amp;" as "&amp;VLOOKUP(B252,Instruções!$F$13:$J$17,4,0)&amp;"_"&amp;$F$2&amp;", "&amp;VLOOKUP(B252,Instruções!$F$13:$J$17,5,0)&amp;" as "&amp;VLOOKUP(B252,Instruções!$F$13:$J$17,5,0)&amp;"_"&amp;$F$2&amp;","&amp;E252&amp;" as "&amp;F252&amp;" FROM "&amp;C252&amp;" WHERE "&amp;Instruções!$D$20&amp;") A ")</f>
        <v xml:space="preserve">(SELECT instrmnt_id as instrmnt_id_as_is, pd_ifrs9_rmnng_lftm_rd as pd_ifrs9_rmnng_lftm_rd_as_is FROM cd_loan_tapes_bce.lt002_instrument WHERE ref_date='2024-09-30' AND nome_perimetro='Individual Corporativo' AND segmento='ESTR' AND ambito='PM' AND entidade='00100' ) A </v>
      </c>
      <c r="I252" s="17" t="str">
        <f>IF(VLOOKUP(B252,Instruções!$F$13:$J$17,5,0)="",
"(SELECT "&amp;VLOOKUP(B252,Instruções!$F$13:$J$17,4,0)&amp;" as "&amp;VLOOKUP(B252,Instruções!$F$13:$J$17,4,0)&amp;"_"&amp;$G$2&amp;", "&amp;E252&amp;" as "&amp;G252&amp;" FROM "&amp;D252&amp;" WHERE "&amp;Instruções!$D$21&amp;") B ",
"(SELECT "&amp;VLOOKUP(B252,Instruções!$F$13:$J$17,4,0)&amp;" as "&amp;VLOOKUP(B252,Instruções!$F$13:$J$17,4,0)&amp;"_"&amp;$G$2&amp;", "&amp;VLOOKUP(B252,Instruções!$F$13:$J$17,5,0)&amp;" as "&amp;VLOOKUP(B252,Instruções!$F$13:$J$17,5,0)&amp;"_"&amp;$G$2&amp;","&amp;E252&amp;" as "&amp;G252&amp;" FROM "&amp;D252&amp;" WHERE "&amp;Instruções!$D$21&amp;") B ")</f>
        <v xml:space="preserve">(SELECT instrmnt_id as instrmnt_id_to_be, pd_ifrs9_rmnng_lftm_rd as pd_ifrs9_rmnng_lftm_rd_to_be FROM bu_loantape_work.lt002_instrument WHERE ref_date='2024-09-30' AND nome_perimetro='Individual Corporativo' AND segmento='ESTR' AND ambito='PM' AND entidade='00100' ) B </v>
      </c>
      <c r="J252" s="17" t="str">
        <f>IF(VLOOKUP(B252,Instruções!$F$13:$J$17,5,0)="",
"ON "&amp;VLOOKUP(B252,Instruções!$F$13:$J$17,4,0)&amp;"_"&amp;$F$2&amp;" = "&amp;VLOOKUP(B252,Instruções!$F$13:$J$17,4,0)&amp;"_"&amp;$G$2&amp;" ",
"ON "&amp;VLOOKUP(B252,Instruções!$F$13:$J$17,4,0)&amp;"_"&amp;$F$2&amp;" = "&amp;VLOOKUP(B252,Instruções!$F$13:$J$17,4,0)&amp;"_"&amp;$G$2&amp;" AND "&amp;VLOOKUP(B252,Instruções!$F$13:$J$17,5,0)&amp;"_"&amp;$F$2&amp;" = "&amp;VLOOKUP(B252,Instruções!$F$13:$J$17,5,0)&amp;"_"&amp;$G$2&amp;" ")</f>
        <v xml:space="preserve">ON instrmnt_id_as_is = instrmnt_id_to_be </v>
      </c>
      <c r="K252" s="17" t="str">
        <f t="shared" si="26"/>
        <v xml:space="preserve">WHERE coalesce(cast(pd_ifrs9_rmnng_lftm_rd_as_is as string), '') &lt;&gt; coalesce(cast(pd_ifrs9_rmnng_lftm_rd_to_be as string), '') </v>
      </c>
      <c r="L252" s="17" t="str">
        <f t="shared" si="27"/>
        <v xml:space="preserve">SELECT count(*) AS NUM_REG_DIF FROM (SELECT instrmnt_id as instrmnt_id_as_is, pd_ifrs9_rmnng_lftm_rd as pd_ifrs9_rmnng_lftm_rd_as_is FROM cd_loan_tapes_bce.lt002_instrument WHERE ref_date='2024-09-30' AND nome_perimetro='Individual Corporativo' AND segmento='ESTR' AND ambito='PM' AND entidade='00100' ) A  Inner join (SELECT instrmnt_id as instrmnt_id_to_be, pd_ifrs9_rmnng_lftm_rd as pd_ifrs9_rmnng_lftm_rd_to_be FROM bu_loantape_work.lt002_instrument WHERE ref_date='2024-09-30' AND nome_perimetro='Individual Corporativo' AND segmento='ESTR' AND ambito='PM' AND entidade='00100' ) B ON instrmnt_id_as_is = instrmnt_id_to_be WHERE coalesce(cast(pd_ifrs9_rmnng_lftm_rd_as_is as string), '') &lt;&gt; coalesce(cast(pd_ifrs9_rmnng_lftm_rd_to_be as string), '') </v>
      </c>
      <c r="M252" s="17" t="s">
        <v>55</v>
      </c>
      <c r="N252" s="17" t="str">
        <f>"SELECT 'Validação de campos' as tipologia_teste, '"&amp;VLOOKUP(B252,Instruções!$F$13:$J$17,3,0)&amp;"' AS TABELA, '"&amp;E252&amp;"' AS CAMPO, '"&amp;Instruções!$D$15&amp;"' as ref_date, coalesce(NUM_REG_DIF, 0) AS NUM_REG_DIF FROM ("&amp;L252&amp;") A "</f>
        <v xml:space="preserve">SELECT 'Validação de campos' as tipologia_teste, 'lt002_instrument' AS TABELA, 'pd_ifrs9_rmnng_lftm_rd' AS CAMPO, '2024-09-30' as ref_date, coalesce(NUM_REG_DIF, 0) AS NUM_REG_DIF FROM (SELECT count(*) AS NUM_REG_DIF FROM (SELECT instrmnt_id as instrmnt_id_as_is, pd_ifrs9_rmnng_lftm_rd as pd_ifrs9_rmnng_lftm_rd_as_is FROM cd_loan_tapes_bce.lt002_instrument WHERE ref_date='2024-09-30' AND nome_perimetro='Individual Corporativo' AND segmento='ESTR' AND ambito='PM' AND entidade='00100' ) A  Inner join (SELECT instrmnt_id as instrmnt_id_to_be, pd_ifrs9_rmnng_lftm_rd as pd_ifrs9_rmnng_lftm_rd_to_be FROM bu_loantape_work.lt002_instrument WHERE ref_date='2024-09-30' AND nome_perimetro='Individual Corporativo' AND segmento='ESTR' AND ambito='PM' AND entidade='00100' ) B ON instrmnt_id_as_is = instrmnt_id_to_be WHERE coalesce(cast(pd_ifrs9_rmnng_lftm_rd_as_is as string), '') &lt;&gt; coalesce(cast(pd_ifrs9_rmnng_lftm_rd_to_be as string), '') ) A </v>
      </c>
      <c r="O252" s="19" t="str">
        <f t="shared" si="29"/>
        <v>SELECT 'Validação de campos' as tipologia_teste, 'lt002_instrument' AS TABELA, 'pd_ifrs9_rmnng_lftm_rd' AS CAMPO, '2024-09-30' as ref_date, coalesce(NUM_REG_DIF, 0) AS NUM_REG_DIF FROM (SELECT count(*) AS NUM_REG_DIF FROM (SELECT instrmnt_id as instrmnt_id_as_is, pd_ifrs9_rmnng_lftm_rd as pd_ifrs9_rmnng_lftm_rd_as_is FROM cd_loan_tapes_bce.lt002_instrument WHERE ref_date='2024-09-30' AND nome_perimetro='Individual Corporativo' AND segmento='ESTR' AND ambito='PM' AND entidade='00100' ) A  Inner join (SELECT instrmnt_id as instrmnt_id_to_be, pd_ifrs9_rmnng_lftm_rd as pd_ifrs9_rmnng_lftm_rd_to_be FROM bu_loantape_work.lt002_instrument WHERE ref_date='2024-09-30' AND nome_perimetro='Individual Corporativo' AND segmento='ESTR' AND ambito='PM' AND entidade='00100' ) B ON instrmnt_id_as_is = instrmnt_id_to_be WHERE coalesce(cast(pd_ifrs9_rmnng_lftm_rd_as_is as string), '') &lt;&gt; coalesce(cast(pd_ifrs9_rmnng_lftm_rd_to_be as string), '') ) A UNION ALL</v>
      </c>
      <c r="P252" s="17">
        <f t="shared" si="30"/>
        <v>47</v>
      </c>
    </row>
    <row r="253" spans="2:16" s="15" customFormat="1" ht="11.45">
      <c r="B253" s="17" t="s">
        <v>26</v>
      </c>
      <c r="C253" s="17" t="str">
        <f>_xlfn.CONCAT(Instruções!$D$13,".",VLOOKUP(B253,Instruções!$F$12:$H$17,2,0))</f>
        <v>cd_loan_tapes_bce.lt002_instrument</v>
      </c>
      <c r="D253" s="17" t="str">
        <f>_xlfn.CONCAT(Instruções!$D$14,".",VLOOKUP(B253,Instruções!$F$12:$H$17,3,0))</f>
        <v>bu_loantape_work.lt002_instrument</v>
      </c>
      <c r="E253" s="17" t="s">
        <v>298</v>
      </c>
      <c r="F253" s="17" t="str">
        <f t="shared" si="24"/>
        <v>pmnt_pblc_grnt_schm_c19_as_is</v>
      </c>
      <c r="G253" s="17" t="str">
        <f t="shared" si="25"/>
        <v>pmnt_pblc_grnt_schm_c19_to_be</v>
      </c>
      <c r="H253" s="17" t="str">
        <f>IF(VLOOKUP(B253,Instruções!$F$13:$J$17,5,0)="",
"(SELECT "&amp;VLOOKUP(B253,Instruções!$F$13:$J$17,4,0)&amp;" as "&amp;VLOOKUP(B253,Instruções!$F$13:$J$17,4,0)&amp;"_"&amp;$F$2&amp;", "&amp;E253&amp;" as "&amp;F253&amp;" FROM "&amp;C253&amp;" WHERE "&amp;Instruções!$D$20&amp;") A ",
"(SELECT "&amp;VLOOKUP(B253,Instruções!$F$13:$J$17,4,0)&amp;" as "&amp;VLOOKUP(B253,Instruções!$F$13:$J$17,4,0)&amp;"_"&amp;$F$2&amp;", "&amp;VLOOKUP(B253,Instruções!$F$13:$J$17,5,0)&amp;" as "&amp;VLOOKUP(B253,Instruções!$F$13:$J$17,5,0)&amp;"_"&amp;$F$2&amp;","&amp;E253&amp;" as "&amp;F253&amp;" FROM "&amp;C253&amp;" WHERE "&amp;Instruções!$D$20&amp;") A ")</f>
        <v xml:space="preserve">(SELECT instrmnt_id as instrmnt_id_as_is, pmnt_pblc_grnt_schm_c19 as pmnt_pblc_grnt_schm_c19_as_is FROM cd_loan_tapes_bce.lt002_instrument WHERE ref_date='2024-09-30' AND nome_perimetro='Individual Corporativo' AND segmento='ESTR' AND ambito='PM' AND entidade='00100' ) A </v>
      </c>
      <c r="I253" s="17" t="str">
        <f>IF(VLOOKUP(B253,Instruções!$F$13:$J$17,5,0)="",
"(SELECT "&amp;VLOOKUP(B253,Instruções!$F$13:$J$17,4,0)&amp;" as "&amp;VLOOKUP(B253,Instruções!$F$13:$J$17,4,0)&amp;"_"&amp;$G$2&amp;", "&amp;E253&amp;" as "&amp;G253&amp;" FROM "&amp;D253&amp;" WHERE "&amp;Instruções!$D$21&amp;") B ",
"(SELECT "&amp;VLOOKUP(B253,Instruções!$F$13:$J$17,4,0)&amp;" as "&amp;VLOOKUP(B253,Instruções!$F$13:$J$17,4,0)&amp;"_"&amp;$G$2&amp;", "&amp;VLOOKUP(B253,Instruções!$F$13:$J$17,5,0)&amp;" as "&amp;VLOOKUP(B253,Instruções!$F$13:$J$17,5,0)&amp;"_"&amp;$G$2&amp;","&amp;E253&amp;" as "&amp;G253&amp;" FROM "&amp;D253&amp;" WHERE "&amp;Instruções!$D$21&amp;") B ")</f>
        <v xml:space="preserve">(SELECT instrmnt_id as instrmnt_id_to_be, pmnt_pblc_grnt_schm_c19 as pmnt_pblc_grnt_schm_c19_to_be FROM bu_loantape_work.lt002_instrument WHERE ref_date='2024-09-30' AND nome_perimetro='Individual Corporativo' AND segmento='ESTR' AND ambito='PM' AND entidade='00100' ) B </v>
      </c>
      <c r="J253" s="17" t="str">
        <f>IF(VLOOKUP(B253,Instruções!$F$13:$J$17,5,0)="",
"ON "&amp;VLOOKUP(B253,Instruções!$F$13:$J$17,4,0)&amp;"_"&amp;$F$2&amp;" = "&amp;VLOOKUP(B253,Instruções!$F$13:$J$17,4,0)&amp;"_"&amp;$G$2&amp;" ",
"ON "&amp;VLOOKUP(B253,Instruções!$F$13:$J$17,4,0)&amp;"_"&amp;$F$2&amp;" = "&amp;VLOOKUP(B253,Instruções!$F$13:$J$17,4,0)&amp;"_"&amp;$G$2&amp;" AND "&amp;VLOOKUP(B253,Instruções!$F$13:$J$17,5,0)&amp;"_"&amp;$F$2&amp;" = "&amp;VLOOKUP(B253,Instruções!$F$13:$J$17,5,0)&amp;"_"&amp;$G$2&amp;" ")</f>
        <v xml:space="preserve">ON instrmnt_id_as_is = instrmnt_id_to_be </v>
      </c>
      <c r="K253" s="17" t="str">
        <f t="shared" si="26"/>
        <v xml:space="preserve">WHERE coalesce(cast(pmnt_pblc_grnt_schm_c19_as_is as string), '') &lt;&gt; coalesce(cast(pmnt_pblc_grnt_schm_c19_to_be as string), '') </v>
      </c>
      <c r="L253" s="17" t="str">
        <f t="shared" si="27"/>
        <v xml:space="preserve">SELECT count(*) AS NUM_REG_DIF FROM (SELECT instrmnt_id as instrmnt_id_as_is, pmnt_pblc_grnt_schm_c19 as pmnt_pblc_grnt_schm_c19_as_is FROM cd_loan_tapes_bce.lt002_instrument WHERE ref_date='2024-09-30' AND nome_perimetro='Individual Corporativo' AND segmento='ESTR' AND ambito='PM' AND entidade='00100' ) A  Inner join (SELECT instrmnt_id as instrmnt_id_to_be, pmnt_pblc_grnt_schm_c19 as pmnt_pblc_grnt_schm_c19_to_be FROM bu_loantape_work.lt002_instrument WHERE ref_date='2024-09-30' AND nome_perimetro='Individual Corporativo' AND segmento='ESTR' AND ambito='PM' AND entidade='00100' ) B ON instrmnt_id_as_is = instrmnt_id_to_be WHERE coalesce(cast(pmnt_pblc_grnt_schm_c19_as_is as string), '') &lt;&gt; coalesce(cast(pmnt_pblc_grnt_schm_c19_to_be as string), '') </v>
      </c>
      <c r="M253" s="17" t="s">
        <v>55</v>
      </c>
      <c r="N253" s="17" t="str">
        <f>"SELECT 'Validação de campos' as tipologia_teste, '"&amp;VLOOKUP(B253,Instruções!$F$13:$J$17,3,0)&amp;"' AS TABELA, '"&amp;E253&amp;"' AS CAMPO, '"&amp;Instruções!$D$15&amp;"' as ref_date, coalesce(NUM_REG_DIF, 0) AS NUM_REG_DIF FROM ("&amp;L253&amp;") A "</f>
        <v xml:space="preserve">SELECT 'Validação de campos' as tipologia_teste, 'lt002_instrument' AS TABELA, 'pmnt_pblc_grnt_schm_c19' AS CAMPO, '2024-09-30' as ref_date, coalesce(NUM_REG_DIF, 0) AS NUM_REG_DIF FROM (SELECT count(*) AS NUM_REG_DIF FROM (SELECT instrmnt_id as instrmnt_id_as_is, pmnt_pblc_grnt_schm_c19 as pmnt_pblc_grnt_schm_c19_as_is FROM cd_loan_tapes_bce.lt002_instrument WHERE ref_date='2024-09-30' AND nome_perimetro='Individual Corporativo' AND segmento='ESTR' AND ambito='PM' AND entidade='00100' ) A  Inner join (SELECT instrmnt_id as instrmnt_id_to_be, pmnt_pblc_grnt_schm_c19 as pmnt_pblc_grnt_schm_c19_to_be FROM bu_loantape_work.lt002_instrument WHERE ref_date='2024-09-30' AND nome_perimetro='Individual Corporativo' AND segmento='ESTR' AND ambito='PM' AND entidade='00100' ) B ON instrmnt_id_as_is = instrmnt_id_to_be WHERE coalesce(cast(pmnt_pblc_grnt_schm_c19_as_is as string), '') &lt;&gt; coalesce(cast(pmnt_pblc_grnt_schm_c19_to_be as string), '') ) A </v>
      </c>
      <c r="O253" s="19" t="str">
        <f t="shared" si="29"/>
        <v>SELECT 'Validação de campos' as tipologia_teste, 'lt002_instrument' AS TABELA, 'pmnt_pblc_grnt_schm_c19' AS CAMPO, '2024-09-30' as ref_date, coalesce(NUM_REG_DIF, 0) AS NUM_REG_DIF FROM (SELECT count(*) AS NUM_REG_DIF FROM (SELECT instrmnt_id as instrmnt_id_as_is, pmnt_pblc_grnt_schm_c19 as pmnt_pblc_grnt_schm_c19_as_is FROM cd_loan_tapes_bce.lt002_instrument WHERE ref_date='2024-09-30' AND nome_perimetro='Individual Corporativo' AND segmento='ESTR' AND ambito='PM' AND entidade='00100' ) A  Inner join (SELECT instrmnt_id as instrmnt_id_to_be, pmnt_pblc_grnt_schm_c19 as pmnt_pblc_grnt_schm_c19_to_be FROM bu_loantape_work.lt002_instrument WHERE ref_date='2024-09-30' AND nome_perimetro='Individual Corporativo' AND segmento='ESTR' AND ambito='PM' AND entidade='00100' ) B ON instrmnt_id_as_is = instrmnt_id_to_be WHERE coalesce(cast(pmnt_pblc_grnt_schm_c19_as_is as string), '') &lt;&gt; coalesce(cast(pmnt_pblc_grnt_schm_c19_to_be as string), '') ) A UNION ALL</v>
      </c>
      <c r="P253" s="17">
        <f t="shared" si="30"/>
        <v>48</v>
      </c>
    </row>
    <row r="254" spans="2:16" s="15" customFormat="1" ht="11.45">
      <c r="B254" s="17" t="s">
        <v>26</v>
      </c>
      <c r="C254" s="17" t="str">
        <f>_xlfn.CONCAT(Instruções!$D$13,".",VLOOKUP(B254,Instruções!$F$12:$H$17,2,0))</f>
        <v>cd_loan_tapes_bce.lt002_instrument</v>
      </c>
      <c r="D254" s="17" t="str">
        <f>_xlfn.CONCAT(Instruções!$D$14,".",VLOOKUP(B254,Instruções!$F$12:$H$17,3,0))</f>
        <v>bu_loantape_work.lt002_instrument</v>
      </c>
      <c r="E254" s="17" t="s">
        <v>299</v>
      </c>
      <c r="F254" s="17" t="str">
        <f t="shared" si="24"/>
        <v>poci_as_is</v>
      </c>
      <c r="G254" s="17" t="str">
        <f t="shared" si="25"/>
        <v>poci_to_be</v>
      </c>
      <c r="H254" s="17" t="str">
        <f>IF(VLOOKUP(B254,Instruções!$F$13:$J$17,5,0)="",
"(SELECT "&amp;VLOOKUP(B254,Instruções!$F$13:$J$17,4,0)&amp;" as "&amp;VLOOKUP(B254,Instruções!$F$13:$J$17,4,0)&amp;"_"&amp;$F$2&amp;", "&amp;E254&amp;" as "&amp;F254&amp;" FROM "&amp;C254&amp;" WHERE "&amp;Instruções!$D$20&amp;") A ",
"(SELECT "&amp;VLOOKUP(B254,Instruções!$F$13:$J$17,4,0)&amp;" as "&amp;VLOOKUP(B254,Instruções!$F$13:$J$17,4,0)&amp;"_"&amp;$F$2&amp;", "&amp;VLOOKUP(B254,Instruções!$F$13:$J$17,5,0)&amp;" as "&amp;VLOOKUP(B254,Instruções!$F$13:$J$17,5,0)&amp;"_"&amp;$F$2&amp;","&amp;E254&amp;" as "&amp;F254&amp;" FROM "&amp;C254&amp;" WHERE "&amp;Instruções!$D$20&amp;") A ")</f>
        <v xml:space="preserve">(SELECT instrmnt_id as instrmnt_id_as_is, poci as poci_as_is FROM cd_loan_tapes_bce.lt002_instrument WHERE ref_date='2024-09-30' AND nome_perimetro='Individual Corporativo' AND segmento='ESTR' AND ambito='PM' AND entidade='00100' ) A </v>
      </c>
      <c r="I254" s="17" t="str">
        <f>IF(VLOOKUP(B254,Instruções!$F$13:$J$17,5,0)="",
"(SELECT "&amp;VLOOKUP(B254,Instruções!$F$13:$J$17,4,0)&amp;" as "&amp;VLOOKUP(B254,Instruções!$F$13:$J$17,4,0)&amp;"_"&amp;$G$2&amp;", "&amp;E254&amp;" as "&amp;G254&amp;" FROM "&amp;D254&amp;" WHERE "&amp;Instruções!$D$21&amp;") B ",
"(SELECT "&amp;VLOOKUP(B254,Instruções!$F$13:$J$17,4,0)&amp;" as "&amp;VLOOKUP(B254,Instruções!$F$13:$J$17,4,0)&amp;"_"&amp;$G$2&amp;", "&amp;VLOOKUP(B254,Instruções!$F$13:$J$17,5,0)&amp;" as "&amp;VLOOKUP(B254,Instruções!$F$13:$J$17,5,0)&amp;"_"&amp;$G$2&amp;","&amp;E254&amp;" as "&amp;G254&amp;" FROM "&amp;D254&amp;" WHERE "&amp;Instruções!$D$21&amp;") B ")</f>
        <v xml:space="preserve">(SELECT instrmnt_id as instrmnt_id_to_be, poci as poci_to_be FROM bu_loantape_work.lt002_instrument WHERE ref_date='2024-09-30' AND nome_perimetro='Individual Corporativo' AND segmento='ESTR' AND ambito='PM' AND entidade='00100' ) B </v>
      </c>
      <c r="J254" s="17" t="str">
        <f>IF(VLOOKUP(B254,Instruções!$F$13:$J$17,5,0)="",
"ON "&amp;VLOOKUP(B254,Instruções!$F$13:$J$17,4,0)&amp;"_"&amp;$F$2&amp;" = "&amp;VLOOKUP(B254,Instruções!$F$13:$J$17,4,0)&amp;"_"&amp;$G$2&amp;" ",
"ON "&amp;VLOOKUP(B254,Instruções!$F$13:$J$17,4,0)&amp;"_"&amp;$F$2&amp;" = "&amp;VLOOKUP(B254,Instruções!$F$13:$J$17,4,0)&amp;"_"&amp;$G$2&amp;" AND "&amp;VLOOKUP(B254,Instruções!$F$13:$J$17,5,0)&amp;"_"&amp;$F$2&amp;" = "&amp;VLOOKUP(B254,Instruções!$F$13:$J$17,5,0)&amp;"_"&amp;$G$2&amp;" ")</f>
        <v xml:space="preserve">ON instrmnt_id_as_is = instrmnt_id_to_be </v>
      </c>
      <c r="K254" s="17" t="str">
        <f t="shared" si="26"/>
        <v xml:space="preserve">WHERE coalesce(cast(poci_as_is as string), '') &lt;&gt; coalesce(cast(poci_to_be as string), '') </v>
      </c>
      <c r="L254" s="17" t="str">
        <f t="shared" si="27"/>
        <v xml:space="preserve">SELECT count(*) AS NUM_REG_DIF FROM (SELECT instrmnt_id as instrmnt_id_as_is, poci as poci_as_is FROM cd_loan_tapes_bce.lt002_instrument WHERE ref_date='2024-09-30' AND nome_perimetro='Individual Corporativo' AND segmento='ESTR' AND ambito='PM' AND entidade='00100' ) A  Inner join (SELECT instrmnt_id as instrmnt_id_to_be, poci as poci_to_be FROM bu_loantape_work.lt002_instrument WHERE ref_date='2024-09-30' AND nome_perimetro='Individual Corporativo' AND segmento='ESTR' AND ambito='PM' AND entidade='00100' ) B ON instrmnt_id_as_is = instrmnt_id_to_be WHERE coalesce(cast(poci_as_is as string), '') &lt;&gt; coalesce(cast(poci_to_be as string), '') </v>
      </c>
      <c r="M254" s="17" t="s">
        <v>55</v>
      </c>
      <c r="N254" s="17" t="str">
        <f>"SELECT 'Validação de campos' as tipologia_teste, '"&amp;VLOOKUP(B254,Instruções!$F$13:$J$17,3,0)&amp;"' AS TABELA, '"&amp;E254&amp;"' AS CAMPO, '"&amp;Instruções!$D$15&amp;"' as ref_date, coalesce(NUM_REG_DIF, 0) AS NUM_REG_DIF FROM ("&amp;L254&amp;") A "</f>
        <v xml:space="preserve">SELECT 'Validação de campos' as tipologia_teste, 'lt002_instrument' AS TABELA, 'poci' AS CAMPO, '2024-09-30' as ref_date, coalesce(NUM_REG_DIF, 0) AS NUM_REG_DIF FROM (SELECT count(*) AS NUM_REG_DIF FROM (SELECT instrmnt_id as instrmnt_id_as_is, poci as poci_as_is FROM cd_loan_tapes_bce.lt002_instrument WHERE ref_date='2024-09-30' AND nome_perimetro='Individual Corporativo' AND segmento='ESTR' AND ambito='PM' AND entidade='00100' ) A  Inner join (SELECT instrmnt_id as instrmnt_id_to_be, poci as poci_to_be FROM bu_loantape_work.lt002_instrument WHERE ref_date='2024-09-30' AND nome_perimetro='Individual Corporativo' AND segmento='ESTR' AND ambito='PM' AND entidade='00100' ) B ON instrmnt_id_as_is = instrmnt_id_to_be WHERE coalesce(cast(poci_as_is as string), '') &lt;&gt; coalesce(cast(poci_to_be as string), '') ) A </v>
      </c>
      <c r="O254" s="19" t="str">
        <f t="shared" si="29"/>
        <v>SELECT 'Validação de campos' as tipologia_teste, 'lt002_instrument' AS TABELA, 'poci' AS CAMPO, '2024-09-30' as ref_date, coalesce(NUM_REG_DIF, 0) AS NUM_REG_DIF FROM (SELECT count(*) AS NUM_REG_DIF FROM (SELECT instrmnt_id as instrmnt_id_as_is, poci as poci_as_is FROM cd_loan_tapes_bce.lt002_instrument WHERE ref_date='2024-09-30' AND nome_perimetro='Individual Corporativo' AND segmento='ESTR' AND ambito='PM' AND entidade='00100' ) A  Inner join (SELECT instrmnt_id as instrmnt_id_to_be, poci as poci_to_be FROM bu_loantape_work.lt002_instrument WHERE ref_date='2024-09-30' AND nome_perimetro='Individual Corporativo' AND segmento='ESTR' AND ambito='PM' AND entidade='00100' ) B ON instrmnt_id_as_is = instrmnt_id_to_be WHERE coalesce(cast(poci_as_is as string), '') &lt;&gt; coalesce(cast(poci_to_be as string), '') ) A UNION ALL</v>
      </c>
      <c r="P254" s="17">
        <f t="shared" si="30"/>
        <v>49</v>
      </c>
    </row>
    <row r="255" spans="2:16" s="15" customFormat="1" ht="11.45">
      <c r="B255" s="17" t="s">
        <v>26</v>
      </c>
      <c r="C255" s="17" t="str">
        <f>_xlfn.CONCAT(Instruções!$D$13,".",VLOOKUP(B255,Instruções!$F$12:$H$17,2,0))</f>
        <v>cd_loan_tapes_bce.lt002_instrument</v>
      </c>
      <c r="D255" s="17" t="str">
        <f>_xlfn.CONCAT(Instruções!$D$14,".",VLOOKUP(B255,Instruções!$F$12:$H$17,3,0))</f>
        <v>bu_loantape_work.lt002_instrument</v>
      </c>
      <c r="E255" s="17" t="s">
        <v>300</v>
      </c>
      <c r="F255" s="17" t="str">
        <f t="shared" si="24"/>
        <v>prch_undr_rsl_agr_as_is</v>
      </c>
      <c r="G255" s="17" t="str">
        <f t="shared" si="25"/>
        <v>prch_undr_rsl_agr_to_be</v>
      </c>
      <c r="H255" s="17" t="str">
        <f>IF(VLOOKUP(B255,Instruções!$F$13:$J$17,5,0)="",
"(SELECT "&amp;VLOOKUP(B255,Instruções!$F$13:$J$17,4,0)&amp;" as "&amp;VLOOKUP(B255,Instruções!$F$13:$J$17,4,0)&amp;"_"&amp;$F$2&amp;", "&amp;E255&amp;" as "&amp;F255&amp;" FROM "&amp;C255&amp;" WHERE "&amp;Instruções!$D$20&amp;") A ",
"(SELECT "&amp;VLOOKUP(B255,Instruções!$F$13:$J$17,4,0)&amp;" as "&amp;VLOOKUP(B255,Instruções!$F$13:$J$17,4,0)&amp;"_"&amp;$F$2&amp;", "&amp;VLOOKUP(B255,Instruções!$F$13:$J$17,5,0)&amp;" as "&amp;VLOOKUP(B255,Instruções!$F$13:$J$17,5,0)&amp;"_"&amp;$F$2&amp;","&amp;E255&amp;" as "&amp;F255&amp;" FROM "&amp;C255&amp;" WHERE "&amp;Instruções!$D$20&amp;") A ")</f>
        <v xml:space="preserve">(SELECT instrmnt_id as instrmnt_id_as_is, prch_undr_rsl_agr as prch_undr_rsl_agr_as_is FROM cd_loan_tapes_bce.lt002_instrument WHERE ref_date='2024-09-30' AND nome_perimetro='Individual Corporativo' AND segmento='ESTR' AND ambito='PM' AND entidade='00100' ) A </v>
      </c>
      <c r="I255" s="17" t="str">
        <f>IF(VLOOKUP(B255,Instruções!$F$13:$J$17,5,0)="",
"(SELECT "&amp;VLOOKUP(B255,Instruções!$F$13:$J$17,4,0)&amp;" as "&amp;VLOOKUP(B255,Instruções!$F$13:$J$17,4,0)&amp;"_"&amp;$G$2&amp;", "&amp;E255&amp;" as "&amp;G255&amp;" FROM "&amp;D255&amp;" WHERE "&amp;Instruções!$D$21&amp;") B ",
"(SELECT "&amp;VLOOKUP(B255,Instruções!$F$13:$J$17,4,0)&amp;" as "&amp;VLOOKUP(B255,Instruções!$F$13:$J$17,4,0)&amp;"_"&amp;$G$2&amp;", "&amp;VLOOKUP(B255,Instruções!$F$13:$J$17,5,0)&amp;" as "&amp;VLOOKUP(B255,Instruções!$F$13:$J$17,5,0)&amp;"_"&amp;$G$2&amp;","&amp;E255&amp;" as "&amp;G255&amp;" FROM "&amp;D255&amp;" WHERE "&amp;Instruções!$D$21&amp;") B ")</f>
        <v xml:space="preserve">(SELECT instrmnt_id as instrmnt_id_to_be, prch_undr_rsl_agr as prch_undr_rsl_agr_to_be FROM bu_loantape_work.lt002_instrument WHERE ref_date='2024-09-30' AND nome_perimetro='Individual Corporativo' AND segmento='ESTR' AND ambito='PM' AND entidade='00100' ) B </v>
      </c>
      <c r="J255" s="17" t="str">
        <f>IF(VLOOKUP(B255,Instruções!$F$13:$J$17,5,0)="",
"ON "&amp;VLOOKUP(B255,Instruções!$F$13:$J$17,4,0)&amp;"_"&amp;$F$2&amp;" = "&amp;VLOOKUP(B255,Instruções!$F$13:$J$17,4,0)&amp;"_"&amp;$G$2&amp;" ",
"ON "&amp;VLOOKUP(B255,Instruções!$F$13:$J$17,4,0)&amp;"_"&amp;$F$2&amp;" = "&amp;VLOOKUP(B255,Instruções!$F$13:$J$17,4,0)&amp;"_"&amp;$G$2&amp;" AND "&amp;VLOOKUP(B255,Instruções!$F$13:$J$17,5,0)&amp;"_"&amp;$F$2&amp;" = "&amp;VLOOKUP(B255,Instruções!$F$13:$J$17,5,0)&amp;"_"&amp;$G$2&amp;" ")</f>
        <v xml:space="preserve">ON instrmnt_id_as_is = instrmnt_id_to_be </v>
      </c>
      <c r="K255" s="17" t="str">
        <f t="shared" si="26"/>
        <v xml:space="preserve">WHERE coalesce(cast(prch_undr_rsl_agr_as_is as string), '') &lt;&gt; coalesce(cast(prch_undr_rsl_agr_to_be as string), '') </v>
      </c>
      <c r="L255" s="17" t="str">
        <f t="shared" si="27"/>
        <v xml:space="preserve">SELECT count(*) AS NUM_REG_DIF FROM (SELECT instrmnt_id as instrmnt_id_as_is, prch_undr_rsl_agr as prch_undr_rsl_agr_as_is FROM cd_loan_tapes_bce.lt002_instrument WHERE ref_date='2024-09-30' AND nome_perimetro='Individual Corporativo' AND segmento='ESTR' AND ambito='PM' AND entidade='00100' ) A  Inner join (SELECT instrmnt_id as instrmnt_id_to_be, prch_undr_rsl_agr as prch_undr_rsl_agr_to_be FROM bu_loantape_work.lt002_instrument WHERE ref_date='2024-09-30' AND nome_perimetro='Individual Corporativo' AND segmento='ESTR' AND ambito='PM' AND entidade='00100' ) B ON instrmnt_id_as_is = instrmnt_id_to_be WHERE coalesce(cast(prch_undr_rsl_agr_as_is as string), '') &lt;&gt; coalesce(cast(prch_undr_rsl_agr_to_be as string), '') </v>
      </c>
      <c r="M255" s="17" t="s">
        <v>55</v>
      </c>
      <c r="N255" s="17" t="str">
        <f>"SELECT 'Validação de campos' as tipologia_teste, '"&amp;VLOOKUP(B255,Instruções!$F$13:$J$17,3,0)&amp;"' AS TABELA, '"&amp;E255&amp;"' AS CAMPO, '"&amp;Instruções!$D$15&amp;"' as ref_date, coalesce(NUM_REG_DIF, 0) AS NUM_REG_DIF FROM ("&amp;L255&amp;") A "</f>
        <v xml:space="preserve">SELECT 'Validação de campos' as tipologia_teste, 'lt002_instrument' AS TABELA, 'prch_undr_rsl_agr' AS CAMPO, '2024-09-30' as ref_date, coalesce(NUM_REG_DIF, 0) AS NUM_REG_DIF FROM (SELECT count(*) AS NUM_REG_DIF FROM (SELECT instrmnt_id as instrmnt_id_as_is, prch_undr_rsl_agr as prch_undr_rsl_agr_as_is FROM cd_loan_tapes_bce.lt002_instrument WHERE ref_date='2024-09-30' AND nome_perimetro='Individual Corporativo' AND segmento='ESTR' AND ambito='PM' AND entidade='00100' ) A  Inner join (SELECT instrmnt_id as instrmnt_id_to_be, prch_undr_rsl_agr as prch_undr_rsl_agr_to_be FROM bu_loantape_work.lt002_instrument WHERE ref_date='2024-09-30' AND nome_perimetro='Individual Corporativo' AND segmento='ESTR' AND ambito='PM' AND entidade='00100' ) B ON instrmnt_id_as_is = instrmnt_id_to_be WHERE coalesce(cast(prch_undr_rsl_agr_as_is as string), '') &lt;&gt; coalesce(cast(prch_undr_rsl_agr_to_be as string), '') ) A </v>
      </c>
      <c r="O255" s="19" t="str">
        <f t="shared" si="29"/>
        <v xml:space="preserve">SELECT 'Validação de campos' as tipologia_teste, 'lt002_instrument' AS TABELA, 'prch_undr_rsl_agr' AS CAMPO, '2024-09-30' as ref_date, coalesce(NUM_REG_DIF, 0) AS NUM_REG_DIF FROM (SELECT count(*) AS NUM_REG_DIF FROM (SELECT instrmnt_id as instrmnt_id_as_is, prch_undr_rsl_agr as prch_undr_rsl_agr_as_is FROM cd_loan_tapes_bce.lt002_instrument WHERE ref_date='2024-09-30' AND nome_perimetro='Individual Corporativo' AND segmento='ESTR' AND ambito='PM' AND entidade='00100' ) A  Inner join (SELECT instrmnt_id as instrmnt_id_to_be, prch_undr_rsl_agr as prch_undr_rsl_agr_to_be FROM bu_loantape_work.lt002_instrument WHERE ref_date='2024-09-30' AND nome_perimetro='Individual Corporativo' AND segmento='ESTR' AND ambito='PM' AND entidade='00100' ) B ON instrmnt_id_as_is = instrmnt_id_to_be WHERE coalesce(cast(prch_undr_rsl_agr_as_is as string), '') &lt;&gt; coalesce(cast(prch_undr_rsl_agr_to_be as string), '') ) A </v>
      </c>
      <c r="P255" s="17">
        <f t="shared" si="30"/>
        <v>50</v>
      </c>
    </row>
    <row r="256" spans="2:16" s="15" customFormat="1" ht="11.45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9"/>
      <c r="P256" s="18"/>
    </row>
    <row r="257" spans="2:16" s="15" customFormat="1" ht="11.45">
      <c r="B257" s="17" t="s">
        <v>26</v>
      </c>
      <c r="C257" s="17" t="str">
        <f>_xlfn.CONCAT(Instruções!$D$13,".",VLOOKUP(B257,Instruções!$F$12:$H$17,2,0))</f>
        <v>cd_loan_tapes_bce.lt002_instrument</v>
      </c>
      <c r="D257" s="17" t="str">
        <f>_xlfn.CONCAT(Instruções!$D$14,".",VLOOKUP(B257,Instruções!$F$12:$H$17,3,0))</f>
        <v>bu_loantape_work.lt002_instrument</v>
      </c>
      <c r="E257" s="17" t="s">
        <v>301</v>
      </c>
      <c r="F257" s="17" t="str">
        <f t="shared" ref="F257:F306" si="31">E257&amp;"_"&amp;$F$2</f>
        <v>prdct_as_is</v>
      </c>
      <c r="G257" s="17" t="str">
        <f t="shared" ref="G257:G306" si="32">E257&amp;"_"&amp;$G$2</f>
        <v>prdct_to_be</v>
      </c>
      <c r="H257" s="17" t="str">
        <f>IF(VLOOKUP(B257,Instruções!$F$13:$J$17,5,0)="",
"(SELECT "&amp;VLOOKUP(B257,Instruções!$F$13:$J$17,4,0)&amp;" as "&amp;VLOOKUP(B257,Instruções!$F$13:$J$17,4,0)&amp;"_"&amp;$F$2&amp;", "&amp;E257&amp;" as "&amp;F257&amp;" FROM "&amp;C257&amp;" WHERE "&amp;Instruções!$D$20&amp;") A ",
"(SELECT "&amp;VLOOKUP(B257,Instruções!$F$13:$J$17,4,0)&amp;" as "&amp;VLOOKUP(B257,Instruções!$F$13:$J$17,4,0)&amp;"_"&amp;$F$2&amp;", "&amp;VLOOKUP(B257,Instruções!$F$13:$J$17,5,0)&amp;" as "&amp;VLOOKUP(B257,Instruções!$F$13:$J$17,5,0)&amp;"_"&amp;$F$2&amp;","&amp;E257&amp;" as "&amp;F257&amp;" FROM "&amp;C257&amp;" WHERE "&amp;Instruções!$D$20&amp;") A ")</f>
        <v xml:space="preserve">(SELECT instrmnt_id as instrmnt_id_as_is, prdct as prdct_as_is FROM cd_loan_tapes_bce.lt002_instrument WHERE ref_date='2024-09-30' AND nome_perimetro='Individual Corporativo' AND segmento='ESTR' AND ambito='PM' AND entidade='00100' ) A </v>
      </c>
      <c r="I257" s="17" t="str">
        <f>IF(VLOOKUP(B257,Instruções!$F$13:$J$17,5,0)="",
"(SELECT "&amp;VLOOKUP(B257,Instruções!$F$13:$J$17,4,0)&amp;" as "&amp;VLOOKUP(B257,Instruções!$F$13:$J$17,4,0)&amp;"_"&amp;$G$2&amp;", "&amp;E257&amp;" as "&amp;G257&amp;" FROM "&amp;D257&amp;" WHERE "&amp;Instruções!$D$21&amp;") B ",
"(SELECT "&amp;VLOOKUP(B257,Instruções!$F$13:$J$17,4,0)&amp;" as "&amp;VLOOKUP(B257,Instruções!$F$13:$J$17,4,0)&amp;"_"&amp;$G$2&amp;", "&amp;VLOOKUP(B257,Instruções!$F$13:$J$17,5,0)&amp;" as "&amp;VLOOKUP(B257,Instruções!$F$13:$J$17,5,0)&amp;"_"&amp;$G$2&amp;","&amp;E257&amp;" as "&amp;G257&amp;" FROM "&amp;D257&amp;" WHERE "&amp;Instruções!$D$21&amp;") B ")</f>
        <v xml:space="preserve">(SELECT instrmnt_id as instrmnt_id_to_be, prdct as prdct_to_be FROM bu_loantape_work.lt002_instrument WHERE ref_date='2024-09-30' AND nome_perimetro='Individual Corporativo' AND segmento='ESTR' AND ambito='PM' AND entidade='00100' ) B </v>
      </c>
      <c r="J257" s="17" t="str">
        <f>IF(VLOOKUP(B257,Instruções!$F$13:$J$17,5,0)="",
"ON "&amp;VLOOKUP(B257,Instruções!$F$13:$J$17,4,0)&amp;"_"&amp;$F$2&amp;" = "&amp;VLOOKUP(B257,Instruções!$F$13:$J$17,4,0)&amp;"_"&amp;$G$2&amp;" ",
"ON "&amp;VLOOKUP(B257,Instruções!$F$13:$J$17,4,0)&amp;"_"&amp;$F$2&amp;" = "&amp;VLOOKUP(B257,Instruções!$F$13:$J$17,4,0)&amp;"_"&amp;$G$2&amp;" AND "&amp;VLOOKUP(B257,Instruções!$F$13:$J$17,5,0)&amp;"_"&amp;$F$2&amp;" = "&amp;VLOOKUP(B257,Instruções!$F$13:$J$17,5,0)&amp;"_"&amp;$G$2&amp;" ")</f>
        <v xml:space="preserve">ON instrmnt_id_as_is = instrmnt_id_to_be </v>
      </c>
      <c r="K257" s="17" t="str">
        <f t="shared" ref="K257:K306" si="33">"WHERE coalesce(cast("&amp;F257&amp;" as string), '') &lt;&gt; coalesce(cast("&amp;G257&amp;" as string), '') "</f>
        <v xml:space="preserve">WHERE coalesce(cast(prdct_as_is as string), '') &lt;&gt; coalesce(cast(prdct_to_be as string), '') </v>
      </c>
      <c r="L257" s="17" t="str">
        <f t="shared" ref="L257:L306" si="34">"SELECT count(*) AS NUM_REG_DIF FROM "&amp;H257&amp;" Inner join "&amp;I257&amp;J257&amp;K257</f>
        <v xml:space="preserve">SELECT count(*) AS NUM_REG_DIF FROM (SELECT instrmnt_id as instrmnt_id_as_is, prdct as prdct_as_is FROM cd_loan_tapes_bce.lt002_instrument WHERE ref_date='2024-09-30' AND nome_perimetro='Individual Corporativo' AND segmento='ESTR' AND ambito='PM' AND entidade='00100' ) A  Inner join (SELECT instrmnt_id as instrmnt_id_to_be, prdct as prdct_to_be FROM bu_loantape_work.lt002_instrument WHERE ref_date='2024-09-30' AND nome_perimetro='Individual Corporativo' AND segmento='ESTR' AND ambito='PM' AND entidade='00100' ) B ON instrmnt_id_as_is = instrmnt_id_to_be WHERE coalesce(cast(prdct_as_is as string), '') &lt;&gt; coalesce(cast(prdct_to_be as string), '') </v>
      </c>
      <c r="M257" s="17" t="s">
        <v>55</v>
      </c>
      <c r="N257" s="17" t="str">
        <f>"SELECT 'Validação de campos' as tipologia_teste, '"&amp;VLOOKUP(B257,Instruções!$F$13:$J$17,3,0)&amp;"' AS TABELA, '"&amp;E257&amp;"' AS CAMPO, '"&amp;Instruções!$D$15&amp;"' as ref_date, coalesce(NUM_REG_DIF, 0) AS NUM_REG_DIF FROM ("&amp;L257&amp;") A "</f>
        <v xml:space="preserve">SELECT 'Validação de campos' as tipologia_teste, 'lt002_instrument' AS TABELA, 'prdct' AS CAMPO, '2024-09-30' as ref_date, coalesce(NUM_REG_DIF, 0) AS NUM_REG_DIF FROM (SELECT count(*) AS NUM_REG_DIF FROM (SELECT instrmnt_id as instrmnt_id_as_is, prdct as prdct_as_is FROM cd_loan_tapes_bce.lt002_instrument WHERE ref_date='2024-09-30' AND nome_perimetro='Individual Corporativo' AND segmento='ESTR' AND ambito='PM' AND entidade='00100' ) A  Inner join (SELECT instrmnt_id as instrmnt_id_to_be, prdct as prdct_to_be FROM bu_loantape_work.lt002_instrument WHERE ref_date='2024-09-30' AND nome_perimetro='Individual Corporativo' AND segmento='ESTR' AND ambito='PM' AND entidade='00100' ) B ON instrmnt_id_as_is = instrmnt_id_to_be WHERE coalesce(cast(prdct_as_is as string), '') &lt;&gt; coalesce(cast(prdct_to_be as string), '') ) A </v>
      </c>
      <c r="O257" s="19" t="str">
        <f>IF(O259="",N257,N257&amp;$O$3)</f>
        <v>SELECT 'Validação de campos' as tipologia_teste, 'lt002_instrument' AS TABELA, 'prdct' AS CAMPO, '2024-09-30' as ref_date, coalesce(NUM_REG_DIF, 0) AS NUM_REG_DIF FROM (SELECT count(*) AS NUM_REG_DIF FROM (SELECT instrmnt_id as instrmnt_id_as_is, prdct as prdct_as_is FROM cd_loan_tapes_bce.lt002_instrument WHERE ref_date='2024-09-30' AND nome_perimetro='Individual Corporativo' AND segmento='ESTR' AND ambito='PM' AND entidade='00100' ) A  Inner join (SELECT instrmnt_id as instrmnt_id_to_be, prdct as prdct_to_be FROM bu_loantape_work.lt002_instrument WHERE ref_date='2024-09-30' AND nome_perimetro='Individual Corporativo' AND segmento='ESTR' AND ambito='PM' AND entidade='00100' ) B ON instrmnt_id_as_is = instrmnt_id_to_be WHERE coalesce(cast(prdct_as_is as string), '') &lt;&gt; coalesce(cast(prdct_to_be as string), '') ) A UNION ALL</v>
      </c>
      <c r="P257" s="17">
        <f t="shared" ref="P257" si="35">P256+1</f>
        <v>1</v>
      </c>
    </row>
    <row r="258" spans="2:16" s="15" customFormat="1" ht="11.45">
      <c r="B258" s="17" t="s">
        <v>26</v>
      </c>
      <c r="C258" s="17" t="str">
        <f>_xlfn.CONCAT(Instruções!$D$13,".",VLOOKUP(B258,Instruções!$F$12:$H$17,2,0))</f>
        <v>cd_loan_tapes_bce.lt002_instrument</v>
      </c>
      <c r="D258" s="17" t="str">
        <f>_xlfn.CONCAT(Instruções!$D$14,".",VLOOKUP(B258,Instruções!$F$12:$H$17,3,0))</f>
        <v>bu_loantape_work.lt002_instrument</v>
      </c>
      <c r="E258" s="17" t="s">
        <v>302</v>
      </c>
      <c r="F258" s="17" t="str">
        <f t="shared" si="31"/>
        <v>prdntl_prtfl_as_is</v>
      </c>
      <c r="G258" s="17" t="str">
        <f t="shared" si="32"/>
        <v>prdntl_prtfl_to_be</v>
      </c>
      <c r="H258" s="17" t="str">
        <f>IF(VLOOKUP(B258,Instruções!$F$13:$J$17,5,0)="",
"(SELECT "&amp;VLOOKUP(B258,Instruções!$F$13:$J$17,4,0)&amp;" as "&amp;VLOOKUP(B258,Instruções!$F$13:$J$17,4,0)&amp;"_"&amp;$F$2&amp;", "&amp;E258&amp;" as "&amp;F258&amp;" FROM "&amp;C258&amp;" WHERE "&amp;Instruções!$D$20&amp;") A ",
"(SELECT "&amp;VLOOKUP(B258,Instruções!$F$13:$J$17,4,0)&amp;" as "&amp;VLOOKUP(B258,Instruções!$F$13:$J$17,4,0)&amp;"_"&amp;$F$2&amp;", "&amp;VLOOKUP(B258,Instruções!$F$13:$J$17,5,0)&amp;" as "&amp;VLOOKUP(B258,Instruções!$F$13:$J$17,5,0)&amp;"_"&amp;$F$2&amp;","&amp;E258&amp;" as "&amp;F258&amp;" FROM "&amp;C258&amp;" WHERE "&amp;Instruções!$D$20&amp;") A ")</f>
        <v xml:space="preserve">(SELECT instrmnt_id as instrmnt_id_as_is, prdntl_prtfl as prdntl_prtfl_as_is FROM cd_loan_tapes_bce.lt002_instrument WHERE ref_date='2024-09-30' AND nome_perimetro='Individual Corporativo' AND segmento='ESTR' AND ambito='PM' AND entidade='00100' ) A </v>
      </c>
      <c r="I258" s="17" t="str">
        <f>IF(VLOOKUP(B258,Instruções!$F$13:$J$17,5,0)="",
"(SELECT "&amp;VLOOKUP(B258,Instruções!$F$13:$J$17,4,0)&amp;" as "&amp;VLOOKUP(B258,Instruções!$F$13:$J$17,4,0)&amp;"_"&amp;$G$2&amp;", "&amp;E258&amp;" as "&amp;G258&amp;" FROM "&amp;D258&amp;" WHERE "&amp;Instruções!$D$21&amp;") B ",
"(SELECT "&amp;VLOOKUP(B258,Instruções!$F$13:$J$17,4,0)&amp;" as "&amp;VLOOKUP(B258,Instruções!$F$13:$J$17,4,0)&amp;"_"&amp;$G$2&amp;", "&amp;VLOOKUP(B258,Instruções!$F$13:$J$17,5,0)&amp;" as "&amp;VLOOKUP(B258,Instruções!$F$13:$J$17,5,0)&amp;"_"&amp;$G$2&amp;","&amp;E258&amp;" as "&amp;G258&amp;" FROM "&amp;D258&amp;" WHERE "&amp;Instruções!$D$21&amp;") B ")</f>
        <v xml:space="preserve">(SELECT instrmnt_id as instrmnt_id_to_be, prdntl_prtfl as prdntl_prtfl_to_be FROM bu_loantape_work.lt002_instrument WHERE ref_date='2024-09-30' AND nome_perimetro='Individual Corporativo' AND segmento='ESTR' AND ambito='PM' AND entidade='00100' ) B </v>
      </c>
      <c r="J258" s="17" t="str">
        <f>IF(VLOOKUP(B258,Instruções!$F$13:$J$17,5,0)="",
"ON "&amp;VLOOKUP(B258,Instruções!$F$13:$J$17,4,0)&amp;"_"&amp;$F$2&amp;" = "&amp;VLOOKUP(B258,Instruções!$F$13:$J$17,4,0)&amp;"_"&amp;$G$2&amp;" ",
"ON "&amp;VLOOKUP(B258,Instruções!$F$13:$J$17,4,0)&amp;"_"&amp;$F$2&amp;" = "&amp;VLOOKUP(B258,Instruções!$F$13:$J$17,4,0)&amp;"_"&amp;$G$2&amp;" AND "&amp;VLOOKUP(B258,Instruções!$F$13:$J$17,5,0)&amp;"_"&amp;$F$2&amp;" = "&amp;VLOOKUP(B258,Instruções!$F$13:$J$17,5,0)&amp;"_"&amp;$G$2&amp;" ")</f>
        <v xml:space="preserve">ON instrmnt_id_as_is = instrmnt_id_to_be </v>
      </c>
      <c r="K258" s="17" t="str">
        <f t="shared" si="33"/>
        <v xml:space="preserve">WHERE coalesce(cast(prdntl_prtfl_as_is as string), '') &lt;&gt; coalesce(cast(prdntl_prtfl_to_be as string), '') </v>
      </c>
      <c r="L258" s="17" t="str">
        <f t="shared" si="34"/>
        <v xml:space="preserve">SELECT count(*) AS NUM_REG_DIF FROM (SELECT instrmnt_id as instrmnt_id_as_is, prdntl_prtfl as prdntl_prtfl_as_is FROM cd_loan_tapes_bce.lt002_instrument WHERE ref_date='2024-09-30' AND nome_perimetro='Individual Corporativo' AND segmento='ESTR' AND ambito='PM' AND entidade='00100' ) A  Inner join (SELECT instrmnt_id as instrmnt_id_to_be, prdntl_prtfl as prdntl_prtfl_to_be FROM bu_loantape_work.lt002_instrument WHERE ref_date='2024-09-30' AND nome_perimetro='Individual Corporativo' AND segmento='ESTR' AND ambito='PM' AND entidade='00100' ) B ON instrmnt_id_as_is = instrmnt_id_to_be WHERE coalesce(cast(prdntl_prtfl_as_is as string), '') &lt;&gt; coalesce(cast(prdntl_prtfl_to_be as string), '') </v>
      </c>
      <c r="M258" s="17" t="s">
        <v>55</v>
      </c>
      <c r="N258" s="17" t="str">
        <f>"SELECT 'Validação de campos' as tipologia_teste, '"&amp;VLOOKUP(B258,Instruções!$F$13:$J$17,3,0)&amp;"' AS TABELA, '"&amp;E258&amp;"' AS CAMPO, '"&amp;Instruções!$D$15&amp;"' as ref_date, coalesce(NUM_REG_DIF, 0) AS NUM_REG_DIF FROM ("&amp;L258&amp;") A "</f>
        <v xml:space="preserve">SELECT 'Validação de campos' as tipologia_teste, 'lt002_instrument' AS TABELA, 'prdntl_prtfl' AS CAMPO, '2024-09-30' as ref_date, coalesce(NUM_REG_DIF, 0) AS NUM_REG_DIF FROM (SELECT count(*) AS NUM_REG_DIF FROM (SELECT instrmnt_id as instrmnt_id_as_is, prdntl_prtfl as prdntl_prtfl_as_is FROM cd_loan_tapes_bce.lt002_instrument WHERE ref_date='2024-09-30' AND nome_perimetro='Individual Corporativo' AND segmento='ESTR' AND ambito='PM' AND entidade='00100' ) A  Inner join (SELECT instrmnt_id as instrmnt_id_to_be, prdntl_prtfl as prdntl_prtfl_to_be FROM bu_loantape_work.lt002_instrument WHERE ref_date='2024-09-30' AND nome_perimetro='Individual Corporativo' AND segmento='ESTR' AND ambito='PM' AND entidade='00100' ) B ON instrmnt_id_as_is = instrmnt_id_to_be WHERE coalesce(cast(prdntl_prtfl_as_is as string), '') &lt;&gt; coalesce(cast(prdntl_prtfl_to_be as string), '') ) A </v>
      </c>
      <c r="O258" s="19" t="str">
        <f t="shared" ref="O258:O305" si="36">IF(O259="",N258,N258&amp;$O$3)</f>
        <v>SELECT 'Validação de campos' as tipologia_teste, 'lt002_instrument' AS TABELA, 'prdntl_prtfl' AS CAMPO, '2024-09-30' as ref_date, coalesce(NUM_REG_DIF, 0) AS NUM_REG_DIF FROM (SELECT count(*) AS NUM_REG_DIF FROM (SELECT instrmnt_id as instrmnt_id_as_is, prdntl_prtfl as prdntl_prtfl_as_is FROM cd_loan_tapes_bce.lt002_instrument WHERE ref_date='2024-09-30' AND nome_perimetro='Individual Corporativo' AND segmento='ESTR' AND ambito='PM' AND entidade='00100' ) A  Inner join (SELECT instrmnt_id as instrmnt_id_to_be, prdntl_prtfl as prdntl_prtfl_to_be FROM bu_loantape_work.lt002_instrument WHERE ref_date='2024-09-30' AND nome_perimetro='Individual Corporativo' AND segmento='ESTR' AND ambito='PM' AND entidade='00100' ) B ON instrmnt_id_as_is = instrmnt_id_to_be WHERE coalesce(cast(prdntl_prtfl_as_is as string), '') &lt;&gt; coalesce(cast(prdntl_prtfl_to_be as string), '') ) A UNION ALL</v>
      </c>
      <c r="P258" s="17">
        <f t="shared" si="30"/>
        <v>2</v>
      </c>
    </row>
    <row r="259" spans="2:16" s="15" customFormat="1" ht="11.45">
      <c r="B259" s="17" t="s">
        <v>26</v>
      </c>
      <c r="C259" s="17" t="str">
        <f>_xlfn.CONCAT(Instruções!$D$13,".",VLOOKUP(B259,Instruções!$F$12:$H$17,2,0))</f>
        <v>cd_loan_tapes_bce.lt002_instrument</v>
      </c>
      <c r="D259" s="17" t="str">
        <f>_xlfn.CONCAT(Instruções!$D$14,".",VLOOKUP(B259,Instruções!$F$12:$H$17,3,0))</f>
        <v>bu_loantape_work.lt002_instrument</v>
      </c>
      <c r="E259" s="17" t="s">
        <v>303</v>
      </c>
      <c r="F259" s="17" t="str">
        <f t="shared" si="31"/>
        <v>prfrmng_stts_as_is</v>
      </c>
      <c r="G259" s="17" t="str">
        <f t="shared" si="32"/>
        <v>prfrmng_stts_to_be</v>
      </c>
      <c r="H259" s="17" t="str">
        <f>IF(VLOOKUP(B259,Instruções!$F$13:$J$17,5,0)="",
"(SELECT "&amp;VLOOKUP(B259,Instruções!$F$13:$J$17,4,0)&amp;" as "&amp;VLOOKUP(B259,Instruções!$F$13:$J$17,4,0)&amp;"_"&amp;$F$2&amp;", "&amp;E259&amp;" as "&amp;F259&amp;" FROM "&amp;C259&amp;" WHERE "&amp;Instruções!$D$20&amp;") A ",
"(SELECT "&amp;VLOOKUP(B259,Instruções!$F$13:$J$17,4,0)&amp;" as "&amp;VLOOKUP(B259,Instruções!$F$13:$J$17,4,0)&amp;"_"&amp;$F$2&amp;", "&amp;VLOOKUP(B259,Instruções!$F$13:$J$17,5,0)&amp;" as "&amp;VLOOKUP(B259,Instruções!$F$13:$J$17,5,0)&amp;"_"&amp;$F$2&amp;","&amp;E259&amp;" as "&amp;F259&amp;" FROM "&amp;C259&amp;" WHERE "&amp;Instruções!$D$20&amp;") A ")</f>
        <v xml:space="preserve">(SELECT instrmnt_id as instrmnt_id_as_is, prfrmng_stts as prfrmng_stts_as_is FROM cd_loan_tapes_bce.lt002_instrument WHERE ref_date='2024-09-30' AND nome_perimetro='Individual Corporativo' AND segmento='ESTR' AND ambito='PM' AND entidade='00100' ) A </v>
      </c>
      <c r="I259" s="17" t="str">
        <f>IF(VLOOKUP(B259,Instruções!$F$13:$J$17,5,0)="",
"(SELECT "&amp;VLOOKUP(B259,Instruções!$F$13:$J$17,4,0)&amp;" as "&amp;VLOOKUP(B259,Instruções!$F$13:$J$17,4,0)&amp;"_"&amp;$G$2&amp;", "&amp;E259&amp;" as "&amp;G259&amp;" FROM "&amp;D259&amp;" WHERE "&amp;Instruções!$D$21&amp;") B ",
"(SELECT "&amp;VLOOKUP(B259,Instruções!$F$13:$J$17,4,0)&amp;" as "&amp;VLOOKUP(B259,Instruções!$F$13:$J$17,4,0)&amp;"_"&amp;$G$2&amp;", "&amp;VLOOKUP(B259,Instruções!$F$13:$J$17,5,0)&amp;" as "&amp;VLOOKUP(B259,Instruções!$F$13:$J$17,5,0)&amp;"_"&amp;$G$2&amp;","&amp;E259&amp;" as "&amp;G259&amp;" FROM "&amp;D259&amp;" WHERE "&amp;Instruções!$D$21&amp;") B ")</f>
        <v xml:space="preserve">(SELECT instrmnt_id as instrmnt_id_to_be, prfrmng_stts as prfrmng_stts_to_be FROM bu_loantape_work.lt002_instrument WHERE ref_date='2024-09-30' AND nome_perimetro='Individual Corporativo' AND segmento='ESTR' AND ambito='PM' AND entidade='00100' ) B </v>
      </c>
      <c r="J259" s="17" t="str">
        <f>IF(VLOOKUP(B259,Instruções!$F$13:$J$17,5,0)="",
"ON "&amp;VLOOKUP(B259,Instruções!$F$13:$J$17,4,0)&amp;"_"&amp;$F$2&amp;" = "&amp;VLOOKUP(B259,Instruções!$F$13:$J$17,4,0)&amp;"_"&amp;$G$2&amp;" ",
"ON "&amp;VLOOKUP(B259,Instruções!$F$13:$J$17,4,0)&amp;"_"&amp;$F$2&amp;" = "&amp;VLOOKUP(B259,Instruções!$F$13:$J$17,4,0)&amp;"_"&amp;$G$2&amp;" AND "&amp;VLOOKUP(B259,Instruções!$F$13:$J$17,5,0)&amp;"_"&amp;$F$2&amp;" = "&amp;VLOOKUP(B259,Instruções!$F$13:$J$17,5,0)&amp;"_"&amp;$G$2&amp;" ")</f>
        <v xml:space="preserve">ON instrmnt_id_as_is = instrmnt_id_to_be </v>
      </c>
      <c r="K259" s="17" t="str">
        <f t="shared" si="33"/>
        <v xml:space="preserve">WHERE coalesce(cast(prfrmng_stts_as_is as string), '') &lt;&gt; coalesce(cast(prfrmng_stts_to_be as string), '') </v>
      </c>
      <c r="L259" s="17" t="str">
        <f t="shared" si="34"/>
        <v xml:space="preserve">SELECT count(*) AS NUM_REG_DIF FROM (SELECT instrmnt_id as instrmnt_id_as_is, prfrmng_stts as prfrmng_stts_as_is FROM cd_loan_tapes_bce.lt002_instrument WHERE ref_date='2024-09-30' AND nome_perimetro='Individual Corporativo' AND segmento='ESTR' AND ambito='PM' AND entidade='00100' ) A  Inner join (SELECT instrmnt_id as instrmnt_id_to_be, prfrmng_stts as prfrmng_stts_to_be FROM bu_loantape_work.lt002_instrument WHERE ref_date='2024-09-30' AND nome_perimetro='Individual Corporativo' AND segmento='ESTR' AND ambito='PM' AND entidade='00100' ) B ON instrmnt_id_as_is = instrmnt_id_to_be WHERE coalesce(cast(prfrmng_stts_as_is as string), '') &lt;&gt; coalesce(cast(prfrmng_stts_to_be as string), '') </v>
      </c>
      <c r="M259" s="17" t="s">
        <v>55</v>
      </c>
      <c r="N259" s="17" t="str">
        <f>"SELECT 'Validação de campos' as tipologia_teste, '"&amp;VLOOKUP(B259,Instruções!$F$13:$J$17,3,0)&amp;"' AS TABELA, '"&amp;E259&amp;"' AS CAMPO, '"&amp;Instruções!$D$15&amp;"' as ref_date, coalesce(NUM_REG_DIF, 0) AS NUM_REG_DIF FROM ("&amp;L259&amp;") A "</f>
        <v xml:space="preserve">SELECT 'Validação de campos' as tipologia_teste, 'lt002_instrument' AS TABELA, 'prfrmng_stts' AS CAMPO, '2024-09-30' as ref_date, coalesce(NUM_REG_DIF, 0) AS NUM_REG_DIF FROM (SELECT count(*) AS NUM_REG_DIF FROM (SELECT instrmnt_id as instrmnt_id_as_is, prfrmng_stts as prfrmng_stts_as_is FROM cd_loan_tapes_bce.lt002_instrument WHERE ref_date='2024-09-30' AND nome_perimetro='Individual Corporativo' AND segmento='ESTR' AND ambito='PM' AND entidade='00100' ) A  Inner join (SELECT instrmnt_id as instrmnt_id_to_be, prfrmng_stts as prfrmng_stts_to_be FROM bu_loantape_work.lt002_instrument WHERE ref_date='2024-09-30' AND nome_perimetro='Individual Corporativo' AND segmento='ESTR' AND ambito='PM' AND entidade='00100' ) B ON instrmnt_id_as_is = instrmnt_id_to_be WHERE coalesce(cast(prfrmng_stts_as_is as string), '') &lt;&gt; coalesce(cast(prfrmng_stts_to_be as string), '') ) A </v>
      </c>
      <c r="O259" s="19" t="str">
        <f t="shared" si="36"/>
        <v>SELECT 'Validação de campos' as tipologia_teste, 'lt002_instrument' AS TABELA, 'prfrmng_stts' AS CAMPO, '2024-09-30' as ref_date, coalesce(NUM_REG_DIF, 0) AS NUM_REG_DIF FROM (SELECT count(*) AS NUM_REG_DIF FROM (SELECT instrmnt_id as instrmnt_id_as_is, prfrmng_stts as prfrmng_stts_as_is FROM cd_loan_tapes_bce.lt002_instrument WHERE ref_date='2024-09-30' AND nome_perimetro='Individual Corporativo' AND segmento='ESTR' AND ambito='PM' AND entidade='00100' ) A  Inner join (SELECT instrmnt_id as instrmnt_id_to_be, prfrmng_stts as prfrmng_stts_to_be FROM bu_loantape_work.lt002_instrument WHERE ref_date='2024-09-30' AND nome_perimetro='Individual Corporativo' AND segmento='ESTR' AND ambito='PM' AND entidade='00100' ) B ON instrmnt_id_as_is = instrmnt_id_to_be WHERE coalesce(cast(prfrmng_stts_as_is as string), '') &lt;&gt; coalesce(cast(prfrmng_stts_to_be as string), '') ) A UNION ALL</v>
      </c>
      <c r="P259" s="17">
        <f t="shared" si="30"/>
        <v>3</v>
      </c>
    </row>
    <row r="260" spans="2:16" s="15" customFormat="1" ht="11.45">
      <c r="B260" s="17" t="s">
        <v>26</v>
      </c>
      <c r="C260" s="17" t="str">
        <f>_xlfn.CONCAT(Instruções!$D$13,".",VLOOKUP(B260,Instruções!$F$12:$H$17,2,0))</f>
        <v>cd_loan_tapes_bce.lt002_instrument</v>
      </c>
      <c r="D260" s="17" t="str">
        <f>_xlfn.CONCAT(Instruções!$D$14,".",VLOOKUP(B260,Instruções!$F$12:$H$17,3,0))</f>
        <v>bu_loantape_work.lt002_instrument</v>
      </c>
      <c r="E260" s="17" t="s">
        <v>304</v>
      </c>
      <c r="F260" s="17" t="str">
        <f t="shared" si="31"/>
        <v>prfrmng_stts_prvs_as_is</v>
      </c>
      <c r="G260" s="17" t="str">
        <f t="shared" si="32"/>
        <v>prfrmng_stts_prvs_to_be</v>
      </c>
      <c r="H260" s="17" t="str">
        <f>IF(VLOOKUP(B260,Instruções!$F$13:$J$17,5,0)="",
"(SELECT "&amp;VLOOKUP(B260,Instruções!$F$13:$J$17,4,0)&amp;" as "&amp;VLOOKUP(B260,Instruções!$F$13:$J$17,4,0)&amp;"_"&amp;$F$2&amp;", "&amp;E260&amp;" as "&amp;F260&amp;" FROM "&amp;C260&amp;" WHERE "&amp;Instruções!$D$20&amp;") A ",
"(SELECT "&amp;VLOOKUP(B260,Instruções!$F$13:$J$17,4,0)&amp;" as "&amp;VLOOKUP(B260,Instruções!$F$13:$J$17,4,0)&amp;"_"&amp;$F$2&amp;", "&amp;VLOOKUP(B260,Instruções!$F$13:$J$17,5,0)&amp;" as "&amp;VLOOKUP(B260,Instruções!$F$13:$J$17,5,0)&amp;"_"&amp;$F$2&amp;","&amp;E260&amp;" as "&amp;F260&amp;" FROM "&amp;C260&amp;" WHERE "&amp;Instruções!$D$20&amp;") A ")</f>
        <v xml:space="preserve">(SELECT instrmnt_id as instrmnt_id_as_is, prfrmng_stts_prvs as prfrmng_stts_prvs_as_is FROM cd_loan_tapes_bce.lt002_instrument WHERE ref_date='2024-09-30' AND nome_perimetro='Individual Corporativo' AND segmento='ESTR' AND ambito='PM' AND entidade='00100' ) A </v>
      </c>
      <c r="I260" s="17" t="str">
        <f>IF(VLOOKUP(B260,Instruções!$F$13:$J$17,5,0)="",
"(SELECT "&amp;VLOOKUP(B260,Instruções!$F$13:$J$17,4,0)&amp;" as "&amp;VLOOKUP(B260,Instruções!$F$13:$J$17,4,0)&amp;"_"&amp;$G$2&amp;", "&amp;E260&amp;" as "&amp;G260&amp;" FROM "&amp;D260&amp;" WHERE "&amp;Instruções!$D$21&amp;") B ",
"(SELECT "&amp;VLOOKUP(B260,Instruções!$F$13:$J$17,4,0)&amp;" as "&amp;VLOOKUP(B260,Instruções!$F$13:$J$17,4,0)&amp;"_"&amp;$G$2&amp;", "&amp;VLOOKUP(B260,Instruções!$F$13:$J$17,5,0)&amp;" as "&amp;VLOOKUP(B260,Instruções!$F$13:$J$17,5,0)&amp;"_"&amp;$G$2&amp;","&amp;E260&amp;" as "&amp;G260&amp;" FROM "&amp;D260&amp;" WHERE "&amp;Instruções!$D$21&amp;") B ")</f>
        <v xml:space="preserve">(SELECT instrmnt_id as instrmnt_id_to_be, prfrmng_stts_prvs as prfrmng_stts_prvs_to_be FROM bu_loantape_work.lt002_instrument WHERE ref_date='2024-09-30' AND nome_perimetro='Individual Corporativo' AND segmento='ESTR' AND ambito='PM' AND entidade='00100' ) B </v>
      </c>
      <c r="J260" s="17" t="str">
        <f>IF(VLOOKUP(B260,Instruções!$F$13:$J$17,5,0)="",
"ON "&amp;VLOOKUP(B260,Instruções!$F$13:$J$17,4,0)&amp;"_"&amp;$F$2&amp;" = "&amp;VLOOKUP(B260,Instruções!$F$13:$J$17,4,0)&amp;"_"&amp;$G$2&amp;" ",
"ON "&amp;VLOOKUP(B260,Instruções!$F$13:$J$17,4,0)&amp;"_"&amp;$F$2&amp;" = "&amp;VLOOKUP(B260,Instruções!$F$13:$J$17,4,0)&amp;"_"&amp;$G$2&amp;" AND "&amp;VLOOKUP(B260,Instruções!$F$13:$J$17,5,0)&amp;"_"&amp;$F$2&amp;" = "&amp;VLOOKUP(B260,Instruções!$F$13:$J$17,5,0)&amp;"_"&amp;$G$2&amp;" ")</f>
        <v xml:space="preserve">ON instrmnt_id_as_is = instrmnt_id_to_be </v>
      </c>
      <c r="K260" s="17" t="str">
        <f t="shared" si="33"/>
        <v xml:space="preserve">WHERE coalesce(cast(prfrmng_stts_prvs_as_is as string), '') &lt;&gt; coalesce(cast(prfrmng_stts_prvs_to_be as string), '') </v>
      </c>
      <c r="L260" s="17" t="str">
        <f t="shared" si="34"/>
        <v xml:space="preserve">SELECT count(*) AS NUM_REG_DIF FROM (SELECT instrmnt_id as instrmnt_id_as_is, prfrmng_stts_prvs as prfrmng_stts_prvs_as_is FROM cd_loan_tapes_bce.lt002_instrument WHERE ref_date='2024-09-30' AND nome_perimetro='Individual Corporativo' AND segmento='ESTR' AND ambito='PM' AND entidade='00100' ) A  Inner join (SELECT instrmnt_id as instrmnt_id_to_be, prfrmng_stts_prvs as prfrmng_stts_prvs_to_be FROM bu_loantape_work.lt002_instrument WHERE ref_date='2024-09-30' AND nome_perimetro='Individual Corporativo' AND segmento='ESTR' AND ambito='PM' AND entidade='00100' ) B ON instrmnt_id_as_is = instrmnt_id_to_be WHERE coalesce(cast(prfrmng_stts_prvs_as_is as string), '') &lt;&gt; coalesce(cast(prfrmng_stts_prvs_to_be as string), '') </v>
      </c>
      <c r="M260" s="17" t="s">
        <v>55</v>
      </c>
      <c r="N260" s="17" t="str">
        <f>"SELECT 'Validação de campos' as tipologia_teste, '"&amp;VLOOKUP(B260,Instruções!$F$13:$J$17,3,0)&amp;"' AS TABELA, '"&amp;E260&amp;"' AS CAMPO, '"&amp;Instruções!$D$15&amp;"' as ref_date, coalesce(NUM_REG_DIF, 0) AS NUM_REG_DIF FROM ("&amp;L260&amp;") A "</f>
        <v xml:space="preserve">SELECT 'Validação de campos' as tipologia_teste, 'lt002_instrument' AS TABELA, 'prfrmng_stts_prvs' AS CAMPO, '2024-09-30' as ref_date, coalesce(NUM_REG_DIF, 0) AS NUM_REG_DIF FROM (SELECT count(*) AS NUM_REG_DIF FROM (SELECT instrmnt_id as instrmnt_id_as_is, prfrmng_stts_prvs as prfrmng_stts_prvs_as_is FROM cd_loan_tapes_bce.lt002_instrument WHERE ref_date='2024-09-30' AND nome_perimetro='Individual Corporativo' AND segmento='ESTR' AND ambito='PM' AND entidade='00100' ) A  Inner join (SELECT instrmnt_id as instrmnt_id_to_be, prfrmng_stts_prvs as prfrmng_stts_prvs_to_be FROM bu_loantape_work.lt002_instrument WHERE ref_date='2024-09-30' AND nome_perimetro='Individual Corporativo' AND segmento='ESTR' AND ambito='PM' AND entidade='00100' ) B ON instrmnt_id_as_is = instrmnt_id_to_be WHERE coalesce(cast(prfrmng_stts_prvs_as_is as string), '') &lt;&gt; coalesce(cast(prfrmng_stts_prvs_to_be as string), '') ) A </v>
      </c>
      <c r="O260" s="19" t="str">
        <f t="shared" si="36"/>
        <v>SELECT 'Validação de campos' as tipologia_teste, 'lt002_instrument' AS TABELA, 'prfrmng_stts_prvs' AS CAMPO, '2024-09-30' as ref_date, coalesce(NUM_REG_DIF, 0) AS NUM_REG_DIF FROM (SELECT count(*) AS NUM_REG_DIF FROM (SELECT instrmnt_id as instrmnt_id_as_is, prfrmng_stts_prvs as prfrmng_stts_prvs_as_is FROM cd_loan_tapes_bce.lt002_instrument WHERE ref_date='2024-09-30' AND nome_perimetro='Individual Corporativo' AND segmento='ESTR' AND ambito='PM' AND entidade='00100' ) A  Inner join (SELECT instrmnt_id as instrmnt_id_to_be, prfrmng_stts_prvs as prfrmng_stts_prvs_to_be FROM bu_loantape_work.lt002_instrument WHERE ref_date='2024-09-30' AND nome_perimetro='Individual Corporativo' AND segmento='ESTR' AND ambito='PM' AND entidade='00100' ) B ON instrmnt_id_as_is = instrmnt_id_to_be WHERE coalesce(cast(prfrmng_stts_prvs_as_is as string), '') &lt;&gt; coalesce(cast(prfrmng_stts_prvs_to_be as string), '') ) A UNION ALL</v>
      </c>
      <c r="P260" s="17">
        <f t="shared" si="30"/>
        <v>4</v>
      </c>
    </row>
    <row r="261" spans="2:16" s="15" customFormat="1" ht="11.45">
      <c r="B261" s="17" t="s">
        <v>26</v>
      </c>
      <c r="C261" s="17" t="str">
        <f>_xlfn.CONCAT(Instruções!$D$13,".",VLOOKUP(B261,Instruções!$F$12:$H$17,2,0))</f>
        <v>cd_loan_tapes_bce.lt002_instrument</v>
      </c>
      <c r="D261" s="17" t="str">
        <f>_xlfn.CONCAT(Instruções!$D$14,".",VLOOKUP(B261,Instruções!$F$12:$H$17,3,0))</f>
        <v>bu_loantape_work.lt002_instrument</v>
      </c>
      <c r="E261" s="17" t="s">
        <v>305</v>
      </c>
      <c r="F261" s="17" t="str">
        <f t="shared" si="31"/>
        <v>prjct_fnnc_ln_as_is</v>
      </c>
      <c r="G261" s="17" t="str">
        <f t="shared" si="32"/>
        <v>prjct_fnnc_ln_to_be</v>
      </c>
      <c r="H261" s="17" t="str">
        <f>IF(VLOOKUP(B261,Instruções!$F$13:$J$17,5,0)="",
"(SELECT "&amp;VLOOKUP(B261,Instruções!$F$13:$J$17,4,0)&amp;" as "&amp;VLOOKUP(B261,Instruções!$F$13:$J$17,4,0)&amp;"_"&amp;$F$2&amp;", "&amp;E261&amp;" as "&amp;F261&amp;" FROM "&amp;C261&amp;" WHERE "&amp;Instruções!$D$20&amp;") A ",
"(SELECT "&amp;VLOOKUP(B261,Instruções!$F$13:$J$17,4,0)&amp;" as "&amp;VLOOKUP(B261,Instruções!$F$13:$J$17,4,0)&amp;"_"&amp;$F$2&amp;", "&amp;VLOOKUP(B261,Instruções!$F$13:$J$17,5,0)&amp;" as "&amp;VLOOKUP(B261,Instruções!$F$13:$J$17,5,0)&amp;"_"&amp;$F$2&amp;","&amp;E261&amp;" as "&amp;F261&amp;" FROM "&amp;C261&amp;" WHERE "&amp;Instruções!$D$20&amp;") A ")</f>
        <v xml:space="preserve">(SELECT instrmnt_id as instrmnt_id_as_is, prjct_fnnc_ln as prjct_fnnc_ln_as_is FROM cd_loan_tapes_bce.lt002_instrument WHERE ref_date='2024-09-30' AND nome_perimetro='Individual Corporativo' AND segmento='ESTR' AND ambito='PM' AND entidade='00100' ) A </v>
      </c>
      <c r="I261" s="17" t="str">
        <f>IF(VLOOKUP(B261,Instruções!$F$13:$J$17,5,0)="",
"(SELECT "&amp;VLOOKUP(B261,Instruções!$F$13:$J$17,4,0)&amp;" as "&amp;VLOOKUP(B261,Instruções!$F$13:$J$17,4,0)&amp;"_"&amp;$G$2&amp;", "&amp;E261&amp;" as "&amp;G261&amp;" FROM "&amp;D261&amp;" WHERE "&amp;Instruções!$D$21&amp;") B ",
"(SELECT "&amp;VLOOKUP(B261,Instruções!$F$13:$J$17,4,0)&amp;" as "&amp;VLOOKUP(B261,Instruções!$F$13:$J$17,4,0)&amp;"_"&amp;$G$2&amp;", "&amp;VLOOKUP(B261,Instruções!$F$13:$J$17,5,0)&amp;" as "&amp;VLOOKUP(B261,Instruções!$F$13:$J$17,5,0)&amp;"_"&amp;$G$2&amp;","&amp;E261&amp;" as "&amp;G261&amp;" FROM "&amp;D261&amp;" WHERE "&amp;Instruções!$D$21&amp;") B ")</f>
        <v xml:space="preserve">(SELECT instrmnt_id as instrmnt_id_to_be, prjct_fnnc_ln as prjct_fnnc_ln_to_be FROM bu_loantape_work.lt002_instrument WHERE ref_date='2024-09-30' AND nome_perimetro='Individual Corporativo' AND segmento='ESTR' AND ambito='PM' AND entidade='00100' ) B </v>
      </c>
      <c r="J261" s="17" t="str">
        <f>IF(VLOOKUP(B261,Instruções!$F$13:$J$17,5,0)="",
"ON "&amp;VLOOKUP(B261,Instruções!$F$13:$J$17,4,0)&amp;"_"&amp;$F$2&amp;" = "&amp;VLOOKUP(B261,Instruções!$F$13:$J$17,4,0)&amp;"_"&amp;$G$2&amp;" ",
"ON "&amp;VLOOKUP(B261,Instruções!$F$13:$J$17,4,0)&amp;"_"&amp;$F$2&amp;" = "&amp;VLOOKUP(B261,Instruções!$F$13:$J$17,4,0)&amp;"_"&amp;$G$2&amp;" AND "&amp;VLOOKUP(B261,Instruções!$F$13:$J$17,5,0)&amp;"_"&amp;$F$2&amp;" = "&amp;VLOOKUP(B261,Instruções!$F$13:$J$17,5,0)&amp;"_"&amp;$G$2&amp;" ")</f>
        <v xml:space="preserve">ON instrmnt_id_as_is = instrmnt_id_to_be </v>
      </c>
      <c r="K261" s="17" t="str">
        <f t="shared" si="33"/>
        <v xml:space="preserve">WHERE coalesce(cast(prjct_fnnc_ln_as_is as string), '') &lt;&gt; coalesce(cast(prjct_fnnc_ln_to_be as string), '') </v>
      </c>
      <c r="L261" s="17" t="str">
        <f t="shared" si="34"/>
        <v xml:space="preserve">SELECT count(*) AS NUM_REG_DIF FROM (SELECT instrmnt_id as instrmnt_id_as_is, prjct_fnnc_ln as prjct_fnnc_ln_as_is FROM cd_loan_tapes_bce.lt002_instrument WHERE ref_date='2024-09-30' AND nome_perimetro='Individual Corporativo' AND segmento='ESTR' AND ambito='PM' AND entidade='00100' ) A  Inner join (SELECT instrmnt_id as instrmnt_id_to_be, prjct_fnnc_ln as prjct_fnnc_ln_to_be FROM bu_loantape_work.lt002_instrument WHERE ref_date='2024-09-30' AND nome_perimetro='Individual Corporativo' AND segmento='ESTR' AND ambito='PM' AND entidade='00100' ) B ON instrmnt_id_as_is = instrmnt_id_to_be WHERE coalesce(cast(prjct_fnnc_ln_as_is as string), '') &lt;&gt; coalesce(cast(prjct_fnnc_ln_to_be as string), '') </v>
      </c>
      <c r="M261" s="17" t="s">
        <v>55</v>
      </c>
      <c r="N261" s="17" t="str">
        <f>"SELECT 'Validação de campos' as tipologia_teste, '"&amp;VLOOKUP(B261,Instruções!$F$13:$J$17,3,0)&amp;"' AS TABELA, '"&amp;E261&amp;"' AS CAMPO, '"&amp;Instruções!$D$15&amp;"' as ref_date, coalesce(NUM_REG_DIF, 0) AS NUM_REG_DIF FROM ("&amp;L261&amp;") A "</f>
        <v xml:space="preserve">SELECT 'Validação de campos' as tipologia_teste, 'lt002_instrument' AS TABELA, 'prjct_fnnc_ln' AS CAMPO, '2024-09-30' as ref_date, coalesce(NUM_REG_DIF, 0) AS NUM_REG_DIF FROM (SELECT count(*) AS NUM_REG_DIF FROM (SELECT instrmnt_id as instrmnt_id_as_is, prjct_fnnc_ln as prjct_fnnc_ln_as_is FROM cd_loan_tapes_bce.lt002_instrument WHERE ref_date='2024-09-30' AND nome_perimetro='Individual Corporativo' AND segmento='ESTR' AND ambito='PM' AND entidade='00100' ) A  Inner join (SELECT instrmnt_id as instrmnt_id_to_be, prjct_fnnc_ln as prjct_fnnc_ln_to_be FROM bu_loantape_work.lt002_instrument WHERE ref_date='2024-09-30' AND nome_perimetro='Individual Corporativo' AND segmento='ESTR' AND ambito='PM' AND entidade='00100' ) B ON instrmnt_id_as_is = instrmnt_id_to_be WHERE coalesce(cast(prjct_fnnc_ln_as_is as string), '') &lt;&gt; coalesce(cast(prjct_fnnc_ln_to_be as string), '') ) A </v>
      </c>
      <c r="O261" s="19" t="str">
        <f t="shared" si="36"/>
        <v>SELECT 'Validação de campos' as tipologia_teste, 'lt002_instrument' AS TABELA, 'prjct_fnnc_ln' AS CAMPO, '2024-09-30' as ref_date, coalesce(NUM_REG_DIF, 0) AS NUM_REG_DIF FROM (SELECT count(*) AS NUM_REG_DIF FROM (SELECT instrmnt_id as instrmnt_id_as_is, prjct_fnnc_ln as prjct_fnnc_ln_as_is FROM cd_loan_tapes_bce.lt002_instrument WHERE ref_date='2024-09-30' AND nome_perimetro='Individual Corporativo' AND segmento='ESTR' AND ambito='PM' AND entidade='00100' ) A  Inner join (SELECT instrmnt_id as instrmnt_id_to_be, prjct_fnnc_ln as prjct_fnnc_ln_to_be FROM bu_loantape_work.lt002_instrument WHERE ref_date='2024-09-30' AND nome_perimetro='Individual Corporativo' AND segmento='ESTR' AND ambito='PM' AND entidade='00100' ) B ON instrmnt_id_as_is = instrmnt_id_to_be WHERE coalesce(cast(prjct_fnnc_ln_as_is as string), '') &lt;&gt; coalesce(cast(prjct_fnnc_ln_to_be as string), '') ) A UNION ALL</v>
      </c>
      <c r="P261" s="17">
        <f t="shared" si="30"/>
        <v>5</v>
      </c>
    </row>
    <row r="262" spans="2:16" s="15" customFormat="1" ht="11.45">
      <c r="B262" s="17" t="s">
        <v>26</v>
      </c>
      <c r="C262" s="17" t="str">
        <f>_xlfn.CONCAT(Instruções!$D$13,".",VLOOKUP(B262,Instruções!$F$12:$H$17,2,0))</f>
        <v>cd_loan_tapes_bce.lt002_instrument</v>
      </c>
      <c r="D262" s="17" t="str">
        <f>_xlfn.CONCAT(Instruções!$D$14,".",VLOOKUP(B262,Instruções!$F$12:$H$17,3,0))</f>
        <v>bu_loantape_work.lt002_instrument</v>
      </c>
      <c r="E262" s="17" t="s">
        <v>306</v>
      </c>
      <c r="F262" s="17" t="str">
        <f t="shared" si="31"/>
        <v>prmry_asst_clssf_as_is</v>
      </c>
      <c r="G262" s="17" t="str">
        <f t="shared" si="32"/>
        <v>prmry_asst_clssf_to_be</v>
      </c>
      <c r="H262" s="17" t="str">
        <f>IF(VLOOKUP(B262,Instruções!$F$13:$J$17,5,0)="",
"(SELECT "&amp;VLOOKUP(B262,Instruções!$F$13:$J$17,4,0)&amp;" as "&amp;VLOOKUP(B262,Instruções!$F$13:$J$17,4,0)&amp;"_"&amp;$F$2&amp;", "&amp;E262&amp;" as "&amp;F262&amp;" FROM "&amp;C262&amp;" WHERE "&amp;Instruções!$D$20&amp;") A ",
"(SELECT "&amp;VLOOKUP(B262,Instruções!$F$13:$J$17,4,0)&amp;" as "&amp;VLOOKUP(B262,Instruções!$F$13:$J$17,4,0)&amp;"_"&amp;$F$2&amp;", "&amp;VLOOKUP(B262,Instruções!$F$13:$J$17,5,0)&amp;" as "&amp;VLOOKUP(B262,Instruções!$F$13:$J$17,5,0)&amp;"_"&amp;$F$2&amp;","&amp;E262&amp;" as "&amp;F262&amp;" FROM "&amp;C262&amp;" WHERE "&amp;Instruções!$D$20&amp;") A ")</f>
        <v xml:space="preserve">(SELECT instrmnt_id as instrmnt_id_as_is, prmry_asst_clssf as prmry_asst_clssf_as_is FROM cd_loan_tapes_bce.lt002_instrument WHERE ref_date='2024-09-30' AND nome_perimetro='Individual Corporativo' AND segmento='ESTR' AND ambito='PM' AND entidade='00100' ) A </v>
      </c>
      <c r="I262" s="17" t="str">
        <f>IF(VLOOKUP(B262,Instruções!$F$13:$J$17,5,0)="",
"(SELECT "&amp;VLOOKUP(B262,Instruções!$F$13:$J$17,4,0)&amp;" as "&amp;VLOOKUP(B262,Instruções!$F$13:$J$17,4,0)&amp;"_"&amp;$G$2&amp;", "&amp;E262&amp;" as "&amp;G262&amp;" FROM "&amp;D262&amp;" WHERE "&amp;Instruções!$D$21&amp;") B ",
"(SELECT "&amp;VLOOKUP(B262,Instruções!$F$13:$J$17,4,0)&amp;" as "&amp;VLOOKUP(B262,Instruções!$F$13:$J$17,4,0)&amp;"_"&amp;$G$2&amp;", "&amp;VLOOKUP(B262,Instruções!$F$13:$J$17,5,0)&amp;" as "&amp;VLOOKUP(B262,Instruções!$F$13:$J$17,5,0)&amp;"_"&amp;$G$2&amp;","&amp;E262&amp;" as "&amp;G262&amp;" FROM "&amp;D262&amp;" WHERE "&amp;Instruções!$D$21&amp;") B ")</f>
        <v xml:space="preserve">(SELECT instrmnt_id as instrmnt_id_to_be, prmry_asst_clssf as prmry_asst_clssf_to_be FROM bu_loantape_work.lt002_instrument WHERE ref_date='2024-09-30' AND nome_perimetro='Individual Corporativo' AND segmento='ESTR' AND ambito='PM' AND entidade='00100' ) B </v>
      </c>
      <c r="J262" s="17" t="str">
        <f>IF(VLOOKUP(B262,Instruções!$F$13:$J$17,5,0)="",
"ON "&amp;VLOOKUP(B262,Instruções!$F$13:$J$17,4,0)&amp;"_"&amp;$F$2&amp;" = "&amp;VLOOKUP(B262,Instruções!$F$13:$J$17,4,0)&amp;"_"&amp;$G$2&amp;" ",
"ON "&amp;VLOOKUP(B262,Instruções!$F$13:$J$17,4,0)&amp;"_"&amp;$F$2&amp;" = "&amp;VLOOKUP(B262,Instruções!$F$13:$J$17,4,0)&amp;"_"&amp;$G$2&amp;" AND "&amp;VLOOKUP(B262,Instruções!$F$13:$J$17,5,0)&amp;"_"&amp;$F$2&amp;" = "&amp;VLOOKUP(B262,Instruções!$F$13:$J$17,5,0)&amp;"_"&amp;$G$2&amp;" ")</f>
        <v xml:space="preserve">ON instrmnt_id_as_is = instrmnt_id_to_be </v>
      </c>
      <c r="K262" s="17" t="str">
        <f t="shared" si="33"/>
        <v xml:space="preserve">WHERE coalesce(cast(prmry_asst_clssf_as_is as string), '') &lt;&gt; coalesce(cast(prmry_asst_clssf_to_be as string), '') </v>
      </c>
      <c r="L262" s="17" t="str">
        <f t="shared" si="34"/>
        <v xml:space="preserve">SELECT count(*) AS NUM_REG_DIF FROM (SELECT instrmnt_id as instrmnt_id_as_is, prmry_asst_clssf as prmry_asst_clssf_as_is FROM cd_loan_tapes_bce.lt002_instrument WHERE ref_date='2024-09-30' AND nome_perimetro='Individual Corporativo' AND segmento='ESTR' AND ambito='PM' AND entidade='00100' ) A  Inner join (SELECT instrmnt_id as instrmnt_id_to_be, prmry_asst_clssf as prmry_asst_clssf_to_be FROM bu_loantape_work.lt002_instrument WHERE ref_date='2024-09-30' AND nome_perimetro='Individual Corporativo' AND segmento='ESTR' AND ambito='PM' AND entidade='00100' ) B ON instrmnt_id_as_is = instrmnt_id_to_be WHERE coalesce(cast(prmry_asst_clssf_as_is as string), '') &lt;&gt; coalesce(cast(prmry_asst_clssf_to_be as string), '') </v>
      </c>
      <c r="M262" s="17" t="s">
        <v>55</v>
      </c>
      <c r="N262" s="17" t="str">
        <f>"SELECT 'Validação de campos' as tipologia_teste, '"&amp;VLOOKUP(B262,Instruções!$F$13:$J$17,3,0)&amp;"' AS TABELA, '"&amp;E262&amp;"' AS CAMPO, '"&amp;Instruções!$D$15&amp;"' as ref_date, coalesce(NUM_REG_DIF, 0) AS NUM_REG_DIF FROM ("&amp;L262&amp;") A "</f>
        <v xml:space="preserve">SELECT 'Validação de campos' as tipologia_teste, 'lt002_instrument' AS TABELA, 'prmry_asst_clssf' AS CAMPO, '2024-09-30' as ref_date, coalesce(NUM_REG_DIF, 0) AS NUM_REG_DIF FROM (SELECT count(*) AS NUM_REG_DIF FROM (SELECT instrmnt_id as instrmnt_id_as_is, prmry_asst_clssf as prmry_asst_clssf_as_is FROM cd_loan_tapes_bce.lt002_instrument WHERE ref_date='2024-09-30' AND nome_perimetro='Individual Corporativo' AND segmento='ESTR' AND ambito='PM' AND entidade='00100' ) A  Inner join (SELECT instrmnt_id as instrmnt_id_to_be, prmry_asst_clssf as prmry_asst_clssf_to_be FROM bu_loantape_work.lt002_instrument WHERE ref_date='2024-09-30' AND nome_perimetro='Individual Corporativo' AND segmento='ESTR' AND ambito='PM' AND entidade='00100' ) B ON instrmnt_id_as_is = instrmnt_id_to_be WHERE coalesce(cast(prmry_asst_clssf_as_is as string), '') &lt;&gt; coalesce(cast(prmry_asst_clssf_to_be as string), '') ) A </v>
      </c>
      <c r="O262" s="19" t="str">
        <f t="shared" si="36"/>
        <v>SELECT 'Validação de campos' as tipologia_teste, 'lt002_instrument' AS TABELA, 'prmry_asst_clssf' AS CAMPO, '2024-09-30' as ref_date, coalesce(NUM_REG_DIF, 0) AS NUM_REG_DIF FROM (SELECT count(*) AS NUM_REG_DIF FROM (SELECT instrmnt_id as instrmnt_id_as_is, prmry_asst_clssf as prmry_asst_clssf_as_is FROM cd_loan_tapes_bce.lt002_instrument WHERE ref_date='2024-09-30' AND nome_perimetro='Individual Corporativo' AND segmento='ESTR' AND ambito='PM' AND entidade='00100' ) A  Inner join (SELECT instrmnt_id as instrmnt_id_to_be, prmry_asst_clssf as prmry_asst_clssf_to_be FROM bu_loantape_work.lt002_instrument WHERE ref_date='2024-09-30' AND nome_perimetro='Individual Corporativo' AND segmento='ESTR' AND ambito='PM' AND entidade='00100' ) B ON instrmnt_id_as_is = instrmnt_id_to_be WHERE coalesce(cast(prmry_asst_clssf_as_is as string), '') &lt;&gt; coalesce(cast(prmry_asst_clssf_to_be as string), '') ) A UNION ALL</v>
      </c>
      <c r="P262" s="17">
        <f t="shared" si="30"/>
        <v>6</v>
      </c>
    </row>
    <row r="263" spans="2:16" s="15" customFormat="1" ht="11.45">
      <c r="B263" s="17" t="s">
        <v>26</v>
      </c>
      <c r="C263" s="17" t="str">
        <f>_xlfn.CONCAT(Instruções!$D$13,".",VLOOKUP(B263,Instruções!$F$12:$H$17,2,0))</f>
        <v>cd_loan_tapes_bce.lt002_instrument</v>
      </c>
      <c r="D263" s="17" t="str">
        <f>_xlfn.CONCAT(Instruções!$D$14,".",VLOOKUP(B263,Instruções!$F$12:$H$17,3,0))</f>
        <v>bu_loantape_work.lt002_instrument</v>
      </c>
      <c r="E263" s="17" t="s">
        <v>307</v>
      </c>
      <c r="F263" s="17" t="str">
        <f t="shared" si="31"/>
        <v>prps_as_is</v>
      </c>
      <c r="G263" s="17" t="str">
        <f t="shared" si="32"/>
        <v>prps_to_be</v>
      </c>
      <c r="H263" s="17" t="str">
        <f>IF(VLOOKUP(B263,Instruções!$F$13:$J$17,5,0)="",
"(SELECT "&amp;VLOOKUP(B263,Instruções!$F$13:$J$17,4,0)&amp;" as "&amp;VLOOKUP(B263,Instruções!$F$13:$J$17,4,0)&amp;"_"&amp;$F$2&amp;", "&amp;E263&amp;" as "&amp;F263&amp;" FROM "&amp;C263&amp;" WHERE "&amp;Instruções!$D$20&amp;") A ",
"(SELECT "&amp;VLOOKUP(B263,Instruções!$F$13:$J$17,4,0)&amp;" as "&amp;VLOOKUP(B263,Instruções!$F$13:$J$17,4,0)&amp;"_"&amp;$F$2&amp;", "&amp;VLOOKUP(B263,Instruções!$F$13:$J$17,5,0)&amp;" as "&amp;VLOOKUP(B263,Instruções!$F$13:$J$17,5,0)&amp;"_"&amp;$F$2&amp;","&amp;E263&amp;" as "&amp;F263&amp;" FROM "&amp;C263&amp;" WHERE "&amp;Instruções!$D$20&amp;") A ")</f>
        <v xml:space="preserve">(SELECT instrmnt_id as instrmnt_id_as_is, prps as prps_as_is FROM cd_loan_tapes_bce.lt002_instrument WHERE ref_date='2024-09-30' AND nome_perimetro='Individual Corporativo' AND segmento='ESTR' AND ambito='PM' AND entidade='00100' ) A </v>
      </c>
      <c r="I263" s="17" t="str">
        <f>IF(VLOOKUP(B263,Instruções!$F$13:$J$17,5,0)="",
"(SELECT "&amp;VLOOKUP(B263,Instruções!$F$13:$J$17,4,0)&amp;" as "&amp;VLOOKUP(B263,Instruções!$F$13:$J$17,4,0)&amp;"_"&amp;$G$2&amp;", "&amp;E263&amp;" as "&amp;G263&amp;" FROM "&amp;D263&amp;" WHERE "&amp;Instruções!$D$21&amp;") B ",
"(SELECT "&amp;VLOOKUP(B263,Instruções!$F$13:$J$17,4,0)&amp;" as "&amp;VLOOKUP(B263,Instruções!$F$13:$J$17,4,0)&amp;"_"&amp;$G$2&amp;", "&amp;VLOOKUP(B263,Instruções!$F$13:$J$17,5,0)&amp;" as "&amp;VLOOKUP(B263,Instruções!$F$13:$J$17,5,0)&amp;"_"&amp;$G$2&amp;","&amp;E263&amp;" as "&amp;G263&amp;" FROM "&amp;D263&amp;" WHERE "&amp;Instruções!$D$21&amp;") B ")</f>
        <v xml:space="preserve">(SELECT instrmnt_id as instrmnt_id_to_be, prps as prps_to_be FROM bu_loantape_work.lt002_instrument WHERE ref_date='2024-09-30' AND nome_perimetro='Individual Corporativo' AND segmento='ESTR' AND ambito='PM' AND entidade='00100' ) B </v>
      </c>
      <c r="J263" s="17" t="str">
        <f>IF(VLOOKUP(B263,Instruções!$F$13:$J$17,5,0)="",
"ON "&amp;VLOOKUP(B263,Instruções!$F$13:$J$17,4,0)&amp;"_"&amp;$F$2&amp;" = "&amp;VLOOKUP(B263,Instruções!$F$13:$J$17,4,0)&amp;"_"&amp;$G$2&amp;" ",
"ON "&amp;VLOOKUP(B263,Instruções!$F$13:$J$17,4,0)&amp;"_"&amp;$F$2&amp;" = "&amp;VLOOKUP(B263,Instruções!$F$13:$J$17,4,0)&amp;"_"&amp;$G$2&amp;" AND "&amp;VLOOKUP(B263,Instruções!$F$13:$J$17,5,0)&amp;"_"&amp;$F$2&amp;" = "&amp;VLOOKUP(B263,Instruções!$F$13:$J$17,5,0)&amp;"_"&amp;$G$2&amp;" ")</f>
        <v xml:space="preserve">ON instrmnt_id_as_is = instrmnt_id_to_be </v>
      </c>
      <c r="K263" s="17" t="str">
        <f t="shared" si="33"/>
        <v xml:space="preserve">WHERE coalesce(cast(prps_as_is as string), '') &lt;&gt; coalesce(cast(prps_to_be as string), '') </v>
      </c>
      <c r="L263" s="17" t="str">
        <f t="shared" si="34"/>
        <v xml:space="preserve">SELECT count(*) AS NUM_REG_DIF FROM (SELECT instrmnt_id as instrmnt_id_as_is, prps as prps_as_is FROM cd_loan_tapes_bce.lt002_instrument WHERE ref_date='2024-09-30' AND nome_perimetro='Individual Corporativo' AND segmento='ESTR' AND ambito='PM' AND entidade='00100' ) A  Inner join (SELECT instrmnt_id as instrmnt_id_to_be, prps as prps_to_be FROM bu_loantape_work.lt002_instrument WHERE ref_date='2024-09-30' AND nome_perimetro='Individual Corporativo' AND segmento='ESTR' AND ambito='PM' AND entidade='00100' ) B ON instrmnt_id_as_is = instrmnt_id_to_be WHERE coalesce(cast(prps_as_is as string), '') &lt;&gt; coalesce(cast(prps_to_be as string), '') </v>
      </c>
      <c r="M263" s="17" t="s">
        <v>55</v>
      </c>
      <c r="N263" s="17" t="str">
        <f>"SELECT 'Validação de campos' as tipologia_teste, '"&amp;VLOOKUP(B263,Instruções!$F$13:$J$17,3,0)&amp;"' AS TABELA, '"&amp;E263&amp;"' AS CAMPO, '"&amp;Instruções!$D$15&amp;"' as ref_date, coalesce(NUM_REG_DIF, 0) AS NUM_REG_DIF FROM ("&amp;L263&amp;") A "</f>
        <v xml:space="preserve">SELECT 'Validação de campos' as tipologia_teste, 'lt002_instrument' AS TABELA, 'prps' AS CAMPO, '2024-09-30' as ref_date, coalesce(NUM_REG_DIF, 0) AS NUM_REG_DIF FROM (SELECT count(*) AS NUM_REG_DIF FROM (SELECT instrmnt_id as instrmnt_id_as_is, prps as prps_as_is FROM cd_loan_tapes_bce.lt002_instrument WHERE ref_date='2024-09-30' AND nome_perimetro='Individual Corporativo' AND segmento='ESTR' AND ambito='PM' AND entidade='00100' ) A  Inner join (SELECT instrmnt_id as instrmnt_id_to_be, prps as prps_to_be FROM bu_loantape_work.lt002_instrument WHERE ref_date='2024-09-30' AND nome_perimetro='Individual Corporativo' AND segmento='ESTR' AND ambito='PM' AND entidade='00100' ) B ON instrmnt_id_as_is = instrmnt_id_to_be WHERE coalesce(cast(prps_as_is as string), '') &lt;&gt; coalesce(cast(prps_to_be as string), '') ) A </v>
      </c>
      <c r="O263" s="19" t="str">
        <f t="shared" si="36"/>
        <v>SELECT 'Validação de campos' as tipologia_teste, 'lt002_instrument' AS TABELA, 'prps' AS CAMPO, '2024-09-30' as ref_date, coalesce(NUM_REG_DIF, 0) AS NUM_REG_DIF FROM (SELECT count(*) AS NUM_REG_DIF FROM (SELECT instrmnt_id as instrmnt_id_as_is, prps as prps_as_is FROM cd_loan_tapes_bce.lt002_instrument WHERE ref_date='2024-09-30' AND nome_perimetro='Individual Corporativo' AND segmento='ESTR' AND ambito='PM' AND entidade='00100' ) A  Inner join (SELECT instrmnt_id as instrmnt_id_to_be, prps as prps_to_be FROM bu_loantape_work.lt002_instrument WHERE ref_date='2024-09-30' AND nome_perimetro='Individual Corporativo' AND segmento='ESTR' AND ambito='PM' AND entidade='00100' ) B ON instrmnt_id_as_is = instrmnt_id_to_be WHERE coalesce(cast(prps_as_is as string), '') &lt;&gt; coalesce(cast(prps_to_be as string), '') ) A UNION ALL</v>
      </c>
      <c r="P263" s="17">
        <f t="shared" si="30"/>
        <v>7</v>
      </c>
    </row>
    <row r="264" spans="2:16" s="15" customFormat="1" ht="11.45">
      <c r="B264" s="17" t="s">
        <v>26</v>
      </c>
      <c r="C264" s="17" t="str">
        <f>_xlfn.CONCAT(Instruções!$D$13,".",VLOOKUP(B264,Instruções!$F$12:$H$17,2,0))</f>
        <v>cd_loan_tapes_bce.lt002_instrument</v>
      </c>
      <c r="D264" s="17" t="str">
        <f>_xlfn.CONCAT(Instruções!$D$14,".",VLOOKUP(B264,Instruções!$F$12:$H$17,3,0))</f>
        <v>bu_loantape_work.lt002_instrument</v>
      </c>
      <c r="E264" s="17" t="s">
        <v>308</v>
      </c>
      <c r="F264" s="17" t="str">
        <f t="shared" si="31"/>
        <v>prt_lcr_bffr_as_is</v>
      </c>
      <c r="G264" s="17" t="str">
        <f t="shared" si="32"/>
        <v>prt_lcr_bffr_to_be</v>
      </c>
      <c r="H264" s="17" t="str">
        <f>IF(VLOOKUP(B264,Instruções!$F$13:$J$17,5,0)="",
"(SELECT "&amp;VLOOKUP(B264,Instruções!$F$13:$J$17,4,0)&amp;" as "&amp;VLOOKUP(B264,Instruções!$F$13:$J$17,4,0)&amp;"_"&amp;$F$2&amp;", "&amp;E264&amp;" as "&amp;F264&amp;" FROM "&amp;C264&amp;" WHERE "&amp;Instruções!$D$20&amp;") A ",
"(SELECT "&amp;VLOOKUP(B264,Instruções!$F$13:$J$17,4,0)&amp;" as "&amp;VLOOKUP(B264,Instruções!$F$13:$J$17,4,0)&amp;"_"&amp;$F$2&amp;", "&amp;VLOOKUP(B264,Instruções!$F$13:$J$17,5,0)&amp;" as "&amp;VLOOKUP(B264,Instruções!$F$13:$J$17,5,0)&amp;"_"&amp;$F$2&amp;","&amp;E264&amp;" as "&amp;F264&amp;" FROM "&amp;C264&amp;" WHERE "&amp;Instruções!$D$20&amp;") A ")</f>
        <v xml:space="preserve">(SELECT instrmnt_id as instrmnt_id_as_is, prt_lcr_bffr as prt_lcr_bffr_as_is FROM cd_loan_tapes_bce.lt002_instrument WHERE ref_date='2024-09-30' AND nome_perimetro='Individual Corporativo' AND segmento='ESTR' AND ambito='PM' AND entidade='00100' ) A </v>
      </c>
      <c r="I264" s="17" t="str">
        <f>IF(VLOOKUP(B264,Instruções!$F$13:$J$17,5,0)="",
"(SELECT "&amp;VLOOKUP(B264,Instruções!$F$13:$J$17,4,0)&amp;" as "&amp;VLOOKUP(B264,Instruções!$F$13:$J$17,4,0)&amp;"_"&amp;$G$2&amp;", "&amp;E264&amp;" as "&amp;G264&amp;" FROM "&amp;D264&amp;" WHERE "&amp;Instruções!$D$21&amp;") B ",
"(SELECT "&amp;VLOOKUP(B264,Instruções!$F$13:$J$17,4,0)&amp;" as "&amp;VLOOKUP(B264,Instruções!$F$13:$J$17,4,0)&amp;"_"&amp;$G$2&amp;", "&amp;VLOOKUP(B264,Instruções!$F$13:$J$17,5,0)&amp;" as "&amp;VLOOKUP(B264,Instruções!$F$13:$J$17,5,0)&amp;"_"&amp;$G$2&amp;","&amp;E264&amp;" as "&amp;G264&amp;" FROM "&amp;D264&amp;" WHERE "&amp;Instruções!$D$21&amp;") B ")</f>
        <v xml:space="preserve">(SELECT instrmnt_id as instrmnt_id_to_be, prt_lcr_bffr as prt_lcr_bffr_to_be FROM bu_loantape_work.lt002_instrument WHERE ref_date='2024-09-30' AND nome_perimetro='Individual Corporativo' AND segmento='ESTR' AND ambito='PM' AND entidade='00100' ) B </v>
      </c>
      <c r="J264" s="17" t="str">
        <f>IF(VLOOKUP(B264,Instruções!$F$13:$J$17,5,0)="",
"ON "&amp;VLOOKUP(B264,Instruções!$F$13:$J$17,4,0)&amp;"_"&amp;$F$2&amp;" = "&amp;VLOOKUP(B264,Instruções!$F$13:$J$17,4,0)&amp;"_"&amp;$G$2&amp;" ",
"ON "&amp;VLOOKUP(B264,Instruções!$F$13:$J$17,4,0)&amp;"_"&amp;$F$2&amp;" = "&amp;VLOOKUP(B264,Instruções!$F$13:$J$17,4,0)&amp;"_"&amp;$G$2&amp;" AND "&amp;VLOOKUP(B264,Instruções!$F$13:$J$17,5,0)&amp;"_"&amp;$F$2&amp;" = "&amp;VLOOKUP(B264,Instruções!$F$13:$J$17,5,0)&amp;"_"&amp;$G$2&amp;" ")</f>
        <v xml:space="preserve">ON instrmnt_id_as_is = instrmnt_id_to_be </v>
      </c>
      <c r="K264" s="17" t="str">
        <f t="shared" si="33"/>
        <v xml:space="preserve">WHERE coalesce(cast(prt_lcr_bffr_as_is as string), '') &lt;&gt; coalesce(cast(prt_lcr_bffr_to_be as string), '') </v>
      </c>
      <c r="L264" s="17" t="str">
        <f t="shared" si="34"/>
        <v xml:space="preserve">SELECT count(*) AS NUM_REG_DIF FROM (SELECT instrmnt_id as instrmnt_id_as_is, prt_lcr_bffr as prt_lcr_bffr_as_is FROM cd_loan_tapes_bce.lt002_instrument WHERE ref_date='2024-09-30' AND nome_perimetro='Individual Corporativo' AND segmento='ESTR' AND ambito='PM' AND entidade='00100' ) A  Inner join (SELECT instrmnt_id as instrmnt_id_to_be, prt_lcr_bffr as prt_lcr_bffr_to_be FROM bu_loantape_work.lt002_instrument WHERE ref_date='2024-09-30' AND nome_perimetro='Individual Corporativo' AND segmento='ESTR' AND ambito='PM' AND entidade='00100' ) B ON instrmnt_id_as_is = instrmnt_id_to_be WHERE coalesce(cast(prt_lcr_bffr_as_is as string), '') &lt;&gt; coalesce(cast(prt_lcr_bffr_to_be as string), '') </v>
      </c>
      <c r="M264" s="17" t="s">
        <v>55</v>
      </c>
      <c r="N264" s="17" t="str">
        <f>"SELECT 'Validação de campos' as tipologia_teste, '"&amp;VLOOKUP(B264,Instruções!$F$13:$J$17,3,0)&amp;"' AS TABELA, '"&amp;E264&amp;"' AS CAMPO, '"&amp;Instruções!$D$15&amp;"' as ref_date, coalesce(NUM_REG_DIF, 0) AS NUM_REG_DIF FROM ("&amp;L264&amp;") A "</f>
        <v xml:space="preserve">SELECT 'Validação de campos' as tipologia_teste, 'lt002_instrument' AS TABELA, 'prt_lcr_bffr' AS CAMPO, '2024-09-30' as ref_date, coalesce(NUM_REG_DIF, 0) AS NUM_REG_DIF FROM (SELECT count(*) AS NUM_REG_DIF FROM (SELECT instrmnt_id as instrmnt_id_as_is, prt_lcr_bffr as prt_lcr_bffr_as_is FROM cd_loan_tapes_bce.lt002_instrument WHERE ref_date='2024-09-30' AND nome_perimetro='Individual Corporativo' AND segmento='ESTR' AND ambito='PM' AND entidade='00100' ) A  Inner join (SELECT instrmnt_id as instrmnt_id_to_be, prt_lcr_bffr as prt_lcr_bffr_to_be FROM bu_loantape_work.lt002_instrument WHERE ref_date='2024-09-30' AND nome_perimetro='Individual Corporativo' AND segmento='ESTR' AND ambito='PM' AND entidade='00100' ) B ON instrmnt_id_as_is = instrmnt_id_to_be WHERE coalesce(cast(prt_lcr_bffr_as_is as string), '') &lt;&gt; coalesce(cast(prt_lcr_bffr_to_be as string), '') ) A </v>
      </c>
      <c r="O264" s="19" t="str">
        <f t="shared" si="36"/>
        <v>SELECT 'Validação de campos' as tipologia_teste, 'lt002_instrument' AS TABELA, 'prt_lcr_bffr' AS CAMPO, '2024-09-30' as ref_date, coalesce(NUM_REG_DIF, 0) AS NUM_REG_DIF FROM (SELECT count(*) AS NUM_REG_DIF FROM (SELECT instrmnt_id as instrmnt_id_as_is, prt_lcr_bffr as prt_lcr_bffr_as_is FROM cd_loan_tapes_bce.lt002_instrument WHERE ref_date='2024-09-30' AND nome_perimetro='Individual Corporativo' AND segmento='ESTR' AND ambito='PM' AND entidade='00100' ) A  Inner join (SELECT instrmnt_id as instrmnt_id_to_be, prt_lcr_bffr as prt_lcr_bffr_to_be FROM bu_loantape_work.lt002_instrument WHERE ref_date='2024-09-30' AND nome_perimetro='Individual Corporativo' AND segmento='ESTR' AND ambito='PM' AND entidade='00100' ) B ON instrmnt_id_as_is = instrmnt_id_to_be WHERE coalesce(cast(prt_lcr_bffr_as_is as string), '') &lt;&gt; coalesce(cast(prt_lcr_bffr_to_be as string), '') ) A UNION ALL</v>
      </c>
      <c r="P264" s="17">
        <f t="shared" si="30"/>
        <v>8</v>
      </c>
    </row>
    <row r="265" spans="2:16" s="15" customFormat="1" ht="11.45">
      <c r="B265" s="17" t="s">
        <v>26</v>
      </c>
      <c r="C265" s="17" t="str">
        <f>_xlfn.CONCAT(Instruções!$D$13,".",VLOOKUP(B265,Instruções!$F$12:$H$17,2,0))</f>
        <v>cd_loan_tapes_bce.lt002_instrument</v>
      </c>
      <c r="D265" s="17" t="str">
        <f>_xlfn.CONCAT(Instruções!$D$14,".",VLOOKUP(B265,Instruções!$F$12:$H$17,3,0))</f>
        <v>bu_loantape_work.lt002_instrument</v>
      </c>
      <c r="E265" s="17" t="s">
        <v>309</v>
      </c>
      <c r="F265" s="17" t="str">
        <f t="shared" si="31"/>
        <v>prvsns_off_blnc_sht_as_is</v>
      </c>
      <c r="G265" s="17" t="str">
        <f t="shared" si="32"/>
        <v>prvsns_off_blnc_sht_to_be</v>
      </c>
      <c r="H265" s="17" t="str">
        <f>IF(VLOOKUP(B265,Instruções!$F$13:$J$17,5,0)="",
"(SELECT "&amp;VLOOKUP(B265,Instruções!$F$13:$J$17,4,0)&amp;" as "&amp;VLOOKUP(B265,Instruções!$F$13:$J$17,4,0)&amp;"_"&amp;$F$2&amp;", "&amp;E265&amp;" as "&amp;F265&amp;" FROM "&amp;C265&amp;" WHERE "&amp;Instruções!$D$20&amp;") A ",
"(SELECT "&amp;VLOOKUP(B265,Instruções!$F$13:$J$17,4,0)&amp;" as "&amp;VLOOKUP(B265,Instruções!$F$13:$J$17,4,0)&amp;"_"&amp;$F$2&amp;", "&amp;VLOOKUP(B265,Instruções!$F$13:$J$17,5,0)&amp;" as "&amp;VLOOKUP(B265,Instruções!$F$13:$J$17,5,0)&amp;"_"&amp;$F$2&amp;","&amp;E265&amp;" as "&amp;F265&amp;" FROM "&amp;C265&amp;" WHERE "&amp;Instruções!$D$20&amp;") A ")</f>
        <v xml:space="preserve">(SELECT instrmnt_id as instrmnt_id_as_is, prvsns_off_blnc_sht as prvsns_off_blnc_sht_as_is FROM cd_loan_tapes_bce.lt002_instrument WHERE ref_date='2024-09-30' AND nome_perimetro='Individual Corporativo' AND segmento='ESTR' AND ambito='PM' AND entidade='00100' ) A </v>
      </c>
      <c r="I265" s="17" t="str">
        <f>IF(VLOOKUP(B265,Instruções!$F$13:$J$17,5,0)="",
"(SELECT "&amp;VLOOKUP(B265,Instruções!$F$13:$J$17,4,0)&amp;" as "&amp;VLOOKUP(B265,Instruções!$F$13:$J$17,4,0)&amp;"_"&amp;$G$2&amp;", "&amp;E265&amp;" as "&amp;G265&amp;" FROM "&amp;D265&amp;" WHERE "&amp;Instruções!$D$21&amp;") B ",
"(SELECT "&amp;VLOOKUP(B265,Instruções!$F$13:$J$17,4,0)&amp;" as "&amp;VLOOKUP(B265,Instruções!$F$13:$J$17,4,0)&amp;"_"&amp;$G$2&amp;", "&amp;VLOOKUP(B265,Instruções!$F$13:$J$17,5,0)&amp;" as "&amp;VLOOKUP(B265,Instruções!$F$13:$J$17,5,0)&amp;"_"&amp;$G$2&amp;","&amp;E265&amp;" as "&amp;G265&amp;" FROM "&amp;D265&amp;" WHERE "&amp;Instruções!$D$21&amp;") B ")</f>
        <v xml:space="preserve">(SELECT instrmnt_id as instrmnt_id_to_be, prvsns_off_blnc_sht as prvsns_off_blnc_sht_to_be FROM bu_loantape_work.lt002_instrument WHERE ref_date='2024-09-30' AND nome_perimetro='Individual Corporativo' AND segmento='ESTR' AND ambito='PM' AND entidade='00100' ) B </v>
      </c>
      <c r="J265" s="17" t="str">
        <f>IF(VLOOKUP(B265,Instruções!$F$13:$J$17,5,0)="",
"ON "&amp;VLOOKUP(B265,Instruções!$F$13:$J$17,4,0)&amp;"_"&amp;$F$2&amp;" = "&amp;VLOOKUP(B265,Instruções!$F$13:$J$17,4,0)&amp;"_"&amp;$G$2&amp;" ",
"ON "&amp;VLOOKUP(B265,Instruções!$F$13:$J$17,4,0)&amp;"_"&amp;$F$2&amp;" = "&amp;VLOOKUP(B265,Instruções!$F$13:$J$17,4,0)&amp;"_"&amp;$G$2&amp;" AND "&amp;VLOOKUP(B265,Instruções!$F$13:$J$17,5,0)&amp;"_"&amp;$F$2&amp;" = "&amp;VLOOKUP(B265,Instruções!$F$13:$J$17,5,0)&amp;"_"&amp;$G$2&amp;" ")</f>
        <v xml:space="preserve">ON instrmnt_id_as_is = instrmnt_id_to_be </v>
      </c>
      <c r="K265" s="17" t="str">
        <f t="shared" si="33"/>
        <v xml:space="preserve">WHERE coalesce(cast(prvsns_off_blnc_sht_as_is as string), '') &lt;&gt; coalesce(cast(prvsns_off_blnc_sht_to_be as string), '') </v>
      </c>
      <c r="L265" s="17" t="str">
        <f t="shared" si="34"/>
        <v xml:space="preserve">SELECT count(*) AS NUM_REG_DIF FROM (SELECT instrmnt_id as instrmnt_id_as_is, prvsns_off_blnc_sht as prvsns_off_blnc_sht_as_is FROM cd_loan_tapes_bce.lt002_instrument WHERE ref_date='2024-09-30' AND nome_perimetro='Individual Corporativo' AND segmento='ESTR' AND ambito='PM' AND entidade='00100' ) A  Inner join (SELECT instrmnt_id as instrmnt_id_to_be, prvsns_off_blnc_sht as prvsns_off_blnc_sht_to_be FROM bu_loantape_work.lt002_instrument WHERE ref_date='2024-09-30' AND nome_perimetro='Individual Corporativo' AND segmento='ESTR' AND ambito='PM' AND entidade='00100' ) B ON instrmnt_id_as_is = instrmnt_id_to_be WHERE coalesce(cast(prvsns_off_blnc_sht_as_is as string), '') &lt;&gt; coalesce(cast(prvsns_off_blnc_sht_to_be as string), '') </v>
      </c>
      <c r="M265" s="17" t="s">
        <v>55</v>
      </c>
      <c r="N265" s="17" t="str">
        <f>"SELECT 'Validação de campos' as tipologia_teste, '"&amp;VLOOKUP(B265,Instruções!$F$13:$J$17,3,0)&amp;"' AS TABELA, '"&amp;E265&amp;"' AS CAMPO, '"&amp;Instruções!$D$15&amp;"' as ref_date, coalesce(NUM_REG_DIF, 0) AS NUM_REG_DIF FROM ("&amp;L265&amp;") A "</f>
        <v xml:space="preserve">SELECT 'Validação de campos' as tipologia_teste, 'lt002_instrument' AS TABELA, 'prvsns_off_blnc_sht' AS CAMPO, '2024-09-30' as ref_date, coalesce(NUM_REG_DIF, 0) AS NUM_REG_DIF FROM (SELECT count(*) AS NUM_REG_DIF FROM (SELECT instrmnt_id as instrmnt_id_as_is, prvsns_off_blnc_sht as prvsns_off_blnc_sht_as_is FROM cd_loan_tapes_bce.lt002_instrument WHERE ref_date='2024-09-30' AND nome_perimetro='Individual Corporativo' AND segmento='ESTR' AND ambito='PM' AND entidade='00100' ) A  Inner join (SELECT instrmnt_id as instrmnt_id_to_be, prvsns_off_blnc_sht as prvsns_off_blnc_sht_to_be FROM bu_loantape_work.lt002_instrument WHERE ref_date='2024-09-30' AND nome_perimetro='Individual Corporativo' AND segmento='ESTR' AND ambito='PM' AND entidade='00100' ) B ON instrmnt_id_as_is = instrmnt_id_to_be WHERE coalesce(cast(prvsns_off_blnc_sht_as_is as string), '') &lt;&gt; coalesce(cast(prvsns_off_blnc_sht_to_be as string), '') ) A </v>
      </c>
      <c r="O265" s="19" t="str">
        <f t="shared" si="36"/>
        <v>SELECT 'Validação de campos' as tipologia_teste, 'lt002_instrument' AS TABELA, 'prvsns_off_blnc_sht' AS CAMPO, '2024-09-30' as ref_date, coalesce(NUM_REG_DIF, 0) AS NUM_REG_DIF FROM (SELECT count(*) AS NUM_REG_DIF FROM (SELECT instrmnt_id as instrmnt_id_as_is, prvsns_off_blnc_sht as prvsns_off_blnc_sht_as_is FROM cd_loan_tapes_bce.lt002_instrument WHERE ref_date='2024-09-30' AND nome_perimetro='Individual Corporativo' AND segmento='ESTR' AND ambito='PM' AND entidade='00100' ) A  Inner join (SELECT instrmnt_id as instrmnt_id_to_be, prvsns_off_blnc_sht as prvsns_off_blnc_sht_to_be FROM bu_loantape_work.lt002_instrument WHERE ref_date='2024-09-30' AND nome_perimetro='Individual Corporativo' AND segmento='ESTR' AND ambito='PM' AND entidade='00100' ) B ON instrmnt_id_as_is = instrmnt_id_to_be WHERE coalesce(cast(prvsns_off_blnc_sht_as_is as string), '') &lt;&gt; coalesce(cast(prvsns_off_blnc_sht_to_be as string), '') ) A UNION ALL</v>
      </c>
      <c r="P265" s="17">
        <f t="shared" si="30"/>
        <v>9</v>
      </c>
    </row>
    <row r="266" spans="2:16" s="15" customFormat="1" ht="11.45">
      <c r="B266" s="17" t="s">
        <v>26</v>
      </c>
      <c r="C266" s="17" t="str">
        <f>_xlfn.CONCAT(Instruções!$D$13,".",VLOOKUP(B266,Instruções!$F$12:$H$17,2,0))</f>
        <v>cd_loan_tapes_bce.lt002_instrument</v>
      </c>
      <c r="D266" s="17" t="str">
        <f>_xlfn.CONCAT(Instruções!$D$14,".",VLOOKUP(B266,Instruções!$F$12:$H$17,3,0))</f>
        <v>bu_loantape_work.lt002_instrument</v>
      </c>
      <c r="E266" s="17" t="s">
        <v>310</v>
      </c>
      <c r="F266" s="17" t="str">
        <f t="shared" si="31"/>
        <v>pymnt_frqncy_as_is</v>
      </c>
      <c r="G266" s="17" t="str">
        <f t="shared" si="32"/>
        <v>pymnt_frqncy_to_be</v>
      </c>
      <c r="H266" s="17" t="str">
        <f>IF(VLOOKUP(B266,Instruções!$F$13:$J$17,5,0)="",
"(SELECT "&amp;VLOOKUP(B266,Instruções!$F$13:$J$17,4,0)&amp;" as "&amp;VLOOKUP(B266,Instruções!$F$13:$J$17,4,0)&amp;"_"&amp;$F$2&amp;", "&amp;E266&amp;" as "&amp;F266&amp;" FROM "&amp;C266&amp;" WHERE "&amp;Instruções!$D$20&amp;") A ",
"(SELECT "&amp;VLOOKUP(B266,Instruções!$F$13:$J$17,4,0)&amp;" as "&amp;VLOOKUP(B266,Instruções!$F$13:$J$17,4,0)&amp;"_"&amp;$F$2&amp;", "&amp;VLOOKUP(B266,Instruções!$F$13:$J$17,5,0)&amp;" as "&amp;VLOOKUP(B266,Instruções!$F$13:$J$17,5,0)&amp;"_"&amp;$F$2&amp;","&amp;E266&amp;" as "&amp;F266&amp;" FROM "&amp;C266&amp;" WHERE "&amp;Instruções!$D$20&amp;") A ")</f>
        <v xml:space="preserve">(SELECT instrmnt_id as instrmnt_id_as_is, pymnt_frqncy as pymnt_frqncy_as_is FROM cd_loan_tapes_bce.lt002_instrument WHERE ref_date='2024-09-30' AND nome_perimetro='Individual Corporativo' AND segmento='ESTR' AND ambito='PM' AND entidade='00100' ) A </v>
      </c>
      <c r="I266" s="17" t="str">
        <f>IF(VLOOKUP(B266,Instruções!$F$13:$J$17,5,0)="",
"(SELECT "&amp;VLOOKUP(B266,Instruções!$F$13:$J$17,4,0)&amp;" as "&amp;VLOOKUP(B266,Instruções!$F$13:$J$17,4,0)&amp;"_"&amp;$G$2&amp;", "&amp;E266&amp;" as "&amp;G266&amp;" FROM "&amp;D266&amp;" WHERE "&amp;Instruções!$D$21&amp;") B ",
"(SELECT "&amp;VLOOKUP(B266,Instruções!$F$13:$J$17,4,0)&amp;" as "&amp;VLOOKUP(B266,Instruções!$F$13:$J$17,4,0)&amp;"_"&amp;$G$2&amp;", "&amp;VLOOKUP(B266,Instruções!$F$13:$J$17,5,0)&amp;" as "&amp;VLOOKUP(B266,Instruções!$F$13:$J$17,5,0)&amp;"_"&amp;$G$2&amp;","&amp;E266&amp;" as "&amp;G266&amp;" FROM "&amp;D266&amp;" WHERE "&amp;Instruções!$D$21&amp;") B ")</f>
        <v xml:space="preserve">(SELECT instrmnt_id as instrmnt_id_to_be, pymnt_frqncy as pymnt_frqncy_to_be FROM bu_loantape_work.lt002_instrument WHERE ref_date='2024-09-30' AND nome_perimetro='Individual Corporativo' AND segmento='ESTR' AND ambito='PM' AND entidade='00100' ) B </v>
      </c>
      <c r="J266" s="17" t="str">
        <f>IF(VLOOKUP(B266,Instruções!$F$13:$J$17,5,0)="",
"ON "&amp;VLOOKUP(B266,Instruções!$F$13:$J$17,4,0)&amp;"_"&amp;$F$2&amp;" = "&amp;VLOOKUP(B266,Instruções!$F$13:$J$17,4,0)&amp;"_"&amp;$G$2&amp;" ",
"ON "&amp;VLOOKUP(B266,Instruções!$F$13:$J$17,4,0)&amp;"_"&amp;$F$2&amp;" = "&amp;VLOOKUP(B266,Instruções!$F$13:$J$17,4,0)&amp;"_"&amp;$G$2&amp;" AND "&amp;VLOOKUP(B266,Instruções!$F$13:$J$17,5,0)&amp;"_"&amp;$F$2&amp;" = "&amp;VLOOKUP(B266,Instruções!$F$13:$J$17,5,0)&amp;"_"&amp;$G$2&amp;" ")</f>
        <v xml:space="preserve">ON instrmnt_id_as_is = instrmnt_id_to_be </v>
      </c>
      <c r="K266" s="17" t="str">
        <f t="shared" si="33"/>
        <v xml:space="preserve">WHERE coalesce(cast(pymnt_frqncy_as_is as string), '') &lt;&gt; coalesce(cast(pymnt_frqncy_to_be as string), '') </v>
      </c>
      <c r="L266" s="17" t="str">
        <f t="shared" si="34"/>
        <v xml:space="preserve">SELECT count(*) AS NUM_REG_DIF FROM (SELECT instrmnt_id as instrmnt_id_as_is, pymnt_frqncy as pymnt_frqncy_as_is FROM cd_loan_tapes_bce.lt002_instrument WHERE ref_date='2024-09-30' AND nome_perimetro='Individual Corporativo' AND segmento='ESTR' AND ambito='PM' AND entidade='00100' ) A  Inner join (SELECT instrmnt_id as instrmnt_id_to_be, pymnt_frqncy as pymnt_frqncy_to_be FROM bu_loantape_work.lt002_instrument WHERE ref_date='2024-09-30' AND nome_perimetro='Individual Corporativo' AND segmento='ESTR' AND ambito='PM' AND entidade='00100' ) B ON instrmnt_id_as_is = instrmnt_id_to_be WHERE coalesce(cast(pymnt_frqncy_as_is as string), '') &lt;&gt; coalesce(cast(pymnt_frqncy_to_be as string), '') </v>
      </c>
      <c r="M266" s="17" t="s">
        <v>55</v>
      </c>
      <c r="N266" s="17" t="str">
        <f>"SELECT 'Validação de campos' as tipologia_teste, '"&amp;VLOOKUP(B266,Instruções!$F$13:$J$17,3,0)&amp;"' AS TABELA, '"&amp;E266&amp;"' AS CAMPO, '"&amp;Instruções!$D$15&amp;"' as ref_date, coalesce(NUM_REG_DIF, 0) AS NUM_REG_DIF FROM ("&amp;L266&amp;") A "</f>
        <v xml:space="preserve">SELECT 'Validação de campos' as tipologia_teste, 'lt002_instrument' AS TABELA, 'pymnt_frqncy' AS CAMPO, '2024-09-30' as ref_date, coalesce(NUM_REG_DIF, 0) AS NUM_REG_DIF FROM (SELECT count(*) AS NUM_REG_DIF FROM (SELECT instrmnt_id as instrmnt_id_as_is, pymnt_frqncy as pymnt_frqncy_as_is FROM cd_loan_tapes_bce.lt002_instrument WHERE ref_date='2024-09-30' AND nome_perimetro='Individual Corporativo' AND segmento='ESTR' AND ambito='PM' AND entidade='00100' ) A  Inner join (SELECT instrmnt_id as instrmnt_id_to_be, pymnt_frqncy as pymnt_frqncy_to_be FROM bu_loantape_work.lt002_instrument WHERE ref_date='2024-09-30' AND nome_perimetro='Individual Corporativo' AND segmento='ESTR' AND ambito='PM' AND entidade='00100' ) B ON instrmnt_id_as_is = instrmnt_id_to_be WHERE coalesce(cast(pymnt_frqncy_as_is as string), '') &lt;&gt; coalesce(cast(pymnt_frqncy_to_be as string), '') ) A </v>
      </c>
      <c r="O266" s="19" t="str">
        <f t="shared" si="36"/>
        <v>SELECT 'Validação de campos' as tipologia_teste, 'lt002_instrument' AS TABELA, 'pymnt_frqncy' AS CAMPO, '2024-09-30' as ref_date, coalesce(NUM_REG_DIF, 0) AS NUM_REG_DIF FROM (SELECT count(*) AS NUM_REG_DIF FROM (SELECT instrmnt_id as instrmnt_id_as_is, pymnt_frqncy as pymnt_frqncy_as_is FROM cd_loan_tapes_bce.lt002_instrument WHERE ref_date='2024-09-30' AND nome_perimetro='Individual Corporativo' AND segmento='ESTR' AND ambito='PM' AND entidade='00100' ) A  Inner join (SELECT instrmnt_id as instrmnt_id_to_be, pymnt_frqncy as pymnt_frqncy_to_be FROM bu_loantape_work.lt002_instrument WHERE ref_date='2024-09-30' AND nome_perimetro='Individual Corporativo' AND segmento='ESTR' AND ambito='PM' AND entidade='00100' ) B ON instrmnt_id_as_is = instrmnt_id_to_be WHERE coalesce(cast(pymnt_frqncy_as_is as string), '') &lt;&gt; coalesce(cast(pymnt_frqncy_to_be as string), '') ) A UNION ALL</v>
      </c>
      <c r="P266" s="17">
        <f t="shared" si="30"/>
        <v>10</v>
      </c>
    </row>
    <row r="267" spans="2:16" s="15" customFormat="1" ht="11.45">
      <c r="B267" s="17" t="s">
        <v>26</v>
      </c>
      <c r="C267" s="17" t="str">
        <f>_xlfn.CONCAT(Instruções!$D$13,".",VLOOKUP(B267,Instruções!$F$12:$H$17,2,0))</f>
        <v>cd_loan_tapes_bce.lt002_instrument</v>
      </c>
      <c r="D267" s="17" t="str">
        <f>_xlfn.CONCAT(Instruções!$D$14,".",VLOOKUP(B267,Instruções!$F$12:$H$17,3,0))</f>
        <v>bu_loantape_work.lt002_instrument</v>
      </c>
      <c r="E267" s="17" t="s">
        <v>311</v>
      </c>
      <c r="F267" s="17" t="str">
        <f t="shared" si="31"/>
        <v>pymnt_intrst_only_as_is</v>
      </c>
      <c r="G267" s="17" t="str">
        <f t="shared" si="32"/>
        <v>pymnt_intrst_only_to_be</v>
      </c>
      <c r="H267" s="17" t="str">
        <f>IF(VLOOKUP(B267,Instruções!$F$13:$J$17,5,0)="",
"(SELECT "&amp;VLOOKUP(B267,Instruções!$F$13:$J$17,4,0)&amp;" as "&amp;VLOOKUP(B267,Instruções!$F$13:$J$17,4,0)&amp;"_"&amp;$F$2&amp;", "&amp;E267&amp;" as "&amp;F267&amp;" FROM "&amp;C267&amp;" WHERE "&amp;Instruções!$D$20&amp;") A ",
"(SELECT "&amp;VLOOKUP(B267,Instruções!$F$13:$J$17,4,0)&amp;" as "&amp;VLOOKUP(B267,Instruções!$F$13:$J$17,4,0)&amp;"_"&amp;$F$2&amp;", "&amp;VLOOKUP(B267,Instruções!$F$13:$J$17,5,0)&amp;" as "&amp;VLOOKUP(B267,Instruções!$F$13:$J$17,5,0)&amp;"_"&amp;$F$2&amp;","&amp;E267&amp;" as "&amp;F267&amp;" FROM "&amp;C267&amp;" WHERE "&amp;Instruções!$D$20&amp;") A ")</f>
        <v xml:space="preserve">(SELECT instrmnt_id as instrmnt_id_as_is, pymnt_intrst_only as pymnt_intrst_only_as_is FROM cd_loan_tapes_bce.lt002_instrument WHERE ref_date='2024-09-30' AND nome_perimetro='Individual Corporativo' AND segmento='ESTR' AND ambito='PM' AND entidade='00100' ) A </v>
      </c>
      <c r="I267" s="17" t="str">
        <f>IF(VLOOKUP(B267,Instruções!$F$13:$J$17,5,0)="",
"(SELECT "&amp;VLOOKUP(B267,Instruções!$F$13:$J$17,4,0)&amp;" as "&amp;VLOOKUP(B267,Instruções!$F$13:$J$17,4,0)&amp;"_"&amp;$G$2&amp;", "&amp;E267&amp;" as "&amp;G267&amp;" FROM "&amp;D267&amp;" WHERE "&amp;Instruções!$D$21&amp;") B ",
"(SELECT "&amp;VLOOKUP(B267,Instruções!$F$13:$J$17,4,0)&amp;" as "&amp;VLOOKUP(B267,Instruções!$F$13:$J$17,4,0)&amp;"_"&amp;$G$2&amp;", "&amp;VLOOKUP(B267,Instruções!$F$13:$J$17,5,0)&amp;" as "&amp;VLOOKUP(B267,Instruções!$F$13:$J$17,5,0)&amp;"_"&amp;$G$2&amp;","&amp;E267&amp;" as "&amp;G267&amp;" FROM "&amp;D267&amp;" WHERE "&amp;Instruções!$D$21&amp;") B ")</f>
        <v xml:space="preserve">(SELECT instrmnt_id as instrmnt_id_to_be, pymnt_intrst_only as pymnt_intrst_only_to_be FROM bu_loantape_work.lt002_instrument WHERE ref_date='2024-09-30' AND nome_perimetro='Individual Corporativo' AND segmento='ESTR' AND ambito='PM' AND entidade='00100' ) B </v>
      </c>
      <c r="J267" s="17" t="str">
        <f>IF(VLOOKUP(B267,Instruções!$F$13:$J$17,5,0)="",
"ON "&amp;VLOOKUP(B267,Instruções!$F$13:$J$17,4,0)&amp;"_"&amp;$F$2&amp;" = "&amp;VLOOKUP(B267,Instruções!$F$13:$J$17,4,0)&amp;"_"&amp;$G$2&amp;" ",
"ON "&amp;VLOOKUP(B267,Instruções!$F$13:$J$17,4,0)&amp;"_"&amp;$F$2&amp;" = "&amp;VLOOKUP(B267,Instruções!$F$13:$J$17,4,0)&amp;"_"&amp;$G$2&amp;" AND "&amp;VLOOKUP(B267,Instruções!$F$13:$J$17,5,0)&amp;"_"&amp;$F$2&amp;" = "&amp;VLOOKUP(B267,Instruções!$F$13:$J$17,5,0)&amp;"_"&amp;$G$2&amp;" ")</f>
        <v xml:space="preserve">ON instrmnt_id_as_is = instrmnt_id_to_be </v>
      </c>
      <c r="K267" s="17" t="str">
        <f t="shared" si="33"/>
        <v xml:space="preserve">WHERE coalesce(cast(pymnt_intrst_only_as_is as string), '') &lt;&gt; coalesce(cast(pymnt_intrst_only_to_be as string), '') </v>
      </c>
      <c r="L267" s="17" t="str">
        <f t="shared" si="34"/>
        <v xml:space="preserve">SELECT count(*) AS NUM_REG_DIF FROM (SELECT instrmnt_id as instrmnt_id_as_is, pymnt_intrst_only as pymnt_intrst_only_as_is FROM cd_loan_tapes_bce.lt002_instrument WHERE ref_date='2024-09-30' AND nome_perimetro='Individual Corporativo' AND segmento='ESTR' AND ambito='PM' AND entidade='00100' ) A  Inner join (SELECT instrmnt_id as instrmnt_id_to_be, pymnt_intrst_only as pymnt_intrst_only_to_be FROM bu_loantape_work.lt002_instrument WHERE ref_date='2024-09-30' AND nome_perimetro='Individual Corporativo' AND segmento='ESTR' AND ambito='PM' AND entidade='00100' ) B ON instrmnt_id_as_is = instrmnt_id_to_be WHERE coalesce(cast(pymnt_intrst_only_as_is as string), '') &lt;&gt; coalesce(cast(pymnt_intrst_only_to_be as string), '') </v>
      </c>
      <c r="M267" s="17" t="s">
        <v>55</v>
      </c>
      <c r="N267" s="17" t="str">
        <f>"SELECT 'Validação de campos' as tipologia_teste, '"&amp;VLOOKUP(B267,Instruções!$F$13:$J$17,3,0)&amp;"' AS TABELA, '"&amp;E267&amp;"' AS CAMPO, '"&amp;Instruções!$D$15&amp;"' as ref_date, coalesce(NUM_REG_DIF, 0) AS NUM_REG_DIF FROM ("&amp;L267&amp;") A "</f>
        <v xml:space="preserve">SELECT 'Validação de campos' as tipologia_teste, 'lt002_instrument' AS TABELA, 'pymnt_intrst_only' AS CAMPO, '2024-09-30' as ref_date, coalesce(NUM_REG_DIF, 0) AS NUM_REG_DIF FROM (SELECT count(*) AS NUM_REG_DIF FROM (SELECT instrmnt_id as instrmnt_id_as_is, pymnt_intrst_only as pymnt_intrst_only_as_is FROM cd_loan_tapes_bce.lt002_instrument WHERE ref_date='2024-09-30' AND nome_perimetro='Individual Corporativo' AND segmento='ESTR' AND ambito='PM' AND entidade='00100' ) A  Inner join (SELECT instrmnt_id as instrmnt_id_to_be, pymnt_intrst_only as pymnt_intrst_only_to_be FROM bu_loantape_work.lt002_instrument WHERE ref_date='2024-09-30' AND nome_perimetro='Individual Corporativo' AND segmento='ESTR' AND ambito='PM' AND entidade='00100' ) B ON instrmnt_id_as_is = instrmnt_id_to_be WHERE coalesce(cast(pymnt_intrst_only_as_is as string), '') &lt;&gt; coalesce(cast(pymnt_intrst_only_to_be as string), '') ) A </v>
      </c>
      <c r="O267" s="19" t="str">
        <f t="shared" si="36"/>
        <v>SELECT 'Validação de campos' as tipologia_teste, 'lt002_instrument' AS TABELA, 'pymnt_intrst_only' AS CAMPO, '2024-09-30' as ref_date, coalesce(NUM_REG_DIF, 0) AS NUM_REG_DIF FROM (SELECT count(*) AS NUM_REG_DIF FROM (SELECT instrmnt_id as instrmnt_id_as_is, pymnt_intrst_only as pymnt_intrst_only_as_is FROM cd_loan_tapes_bce.lt002_instrument WHERE ref_date='2024-09-30' AND nome_perimetro='Individual Corporativo' AND segmento='ESTR' AND ambito='PM' AND entidade='00100' ) A  Inner join (SELECT instrmnt_id as instrmnt_id_to_be, pymnt_intrst_only as pymnt_intrst_only_to_be FROM bu_loantape_work.lt002_instrument WHERE ref_date='2024-09-30' AND nome_perimetro='Individual Corporativo' AND segmento='ESTR' AND ambito='PM' AND entidade='00100' ) B ON instrmnt_id_as_is = instrmnt_id_to_be WHERE coalesce(cast(pymnt_intrst_only_as_is as string), '') &lt;&gt; coalesce(cast(pymnt_intrst_only_to_be as string), '') ) A UNION ALL</v>
      </c>
      <c r="P267" s="17">
        <f t="shared" si="30"/>
        <v>11</v>
      </c>
    </row>
    <row r="268" spans="2:16" s="15" customFormat="1" ht="11.45">
      <c r="B268" s="17" t="s">
        <v>26</v>
      </c>
      <c r="C268" s="17" t="str">
        <f>_xlfn.CONCAT(Instruções!$D$13,".",VLOOKUP(B268,Instruções!$F$12:$H$17,2,0))</f>
        <v>cd_loan_tapes_bce.lt002_instrument</v>
      </c>
      <c r="D268" s="17" t="str">
        <f>_xlfn.CONCAT(Instruções!$D$14,".",VLOOKUP(B268,Instruções!$F$12:$H$17,3,0))</f>
        <v>bu_loantape_work.lt002_instrument</v>
      </c>
      <c r="E268" s="17" t="s">
        <v>312</v>
      </c>
      <c r="F268" s="17" t="str">
        <f t="shared" si="31"/>
        <v>rcrs_as_is</v>
      </c>
      <c r="G268" s="17" t="str">
        <f t="shared" si="32"/>
        <v>rcrs_to_be</v>
      </c>
      <c r="H268" s="17" t="str">
        <f>IF(VLOOKUP(B268,Instruções!$F$13:$J$17,5,0)="",
"(SELECT "&amp;VLOOKUP(B268,Instruções!$F$13:$J$17,4,0)&amp;" as "&amp;VLOOKUP(B268,Instruções!$F$13:$J$17,4,0)&amp;"_"&amp;$F$2&amp;", "&amp;E268&amp;" as "&amp;F268&amp;" FROM "&amp;C268&amp;" WHERE "&amp;Instruções!$D$20&amp;") A ",
"(SELECT "&amp;VLOOKUP(B268,Instruções!$F$13:$J$17,4,0)&amp;" as "&amp;VLOOKUP(B268,Instruções!$F$13:$J$17,4,0)&amp;"_"&amp;$F$2&amp;", "&amp;VLOOKUP(B268,Instruções!$F$13:$J$17,5,0)&amp;" as "&amp;VLOOKUP(B268,Instruções!$F$13:$J$17,5,0)&amp;"_"&amp;$F$2&amp;","&amp;E268&amp;" as "&amp;F268&amp;" FROM "&amp;C268&amp;" WHERE "&amp;Instruções!$D$20&amp;") A ")</f>
        <v xml:space="preserve">(SELECT instrmnt_id as instrmnt_id_as_is, rcrs as rcrs_as_is FROM cd_loan_tapes_bce.lt002_instrument WHERE ref_date='2024-09-30' AND nome_perimetro='Individual Corporativo' AND segmento='ESTR' AND ambito='PM' AND entidade='00100' ) A </v>
      </c>
      <c r="I268" s="17" t="str">
        <f>IF(VLOOKUP(B268,Instruções!$F$13:$J$17,5,0)="",
"(SELECT "&amp;VLOOKUP(B268,Instruções!$F$13:$J$17,4,0)&amp;" as "&amp;VLOOKUP(B268,Instruções!$F$13:$J$17,4,0)&amp;"_"&amp;$G$2&amp;", "&amp;E268&amp;" as "&amp;G268&amp;" FROM "&amp;D268&amp;" WHERE "&amp;Instruções!$D$21&amp;") B ",
"(SELECT "&amp;VLOOKUP(B268,Instruções!$F$13:$J$17,4,0)&amp;" as "&amp;VLOOKUP(B268,Instruções!$F$13:$J$17,4,0)&amp;"_"&amp;$G$2&amp;", "&amp;VLOOKUP(B268,Instruções!$F$13:$J$17,5,0)&amp;" as "&amp;VLOOKUP(B268,Instruções!$F$13:$J$17,5,0)&amp;"_"&amp;$G$2&amp;","&amp;E268&amp;" as "&amp;G268&amp;" FROM "&amp;D268&amp;" WHERE "&amp;Instruções!$D$21&amp;") B ")</f>
        <v xml:space="preserve">(SELECT instrmnt_id as instrmnt_id_to_be, rcrs as rcrs_to_be FROM bu_loantape_work.lt002_instrument WHERE ref_date='2024-09-30' AND nome_perimetro='Individual Corporativo' AND segmento='ESTR' AND ambito='PM' AND entidade='00100' ) B </v>
      </c>
      <c r="J268" s="17" t="str">
        <f>IF(VLOOKUP(B268,Instruções!$F$13:$J$17,5,0)="",
"ON "&amp;VLOOKUP(B268,Instruções!$F$13:$J$17,4,0)&amp;"_"&amp;$F$2&amp;" = "&amp;VLOOKUP(B268,Instruções!$F$13:$J$17,4,0)&amp;"_"&amp;$G$2&amp;" ",
"ON "&amp;VLOOKUP(B268,Instruções!$F$13:$J$17,4,0)&amp;"_"&amp;$F$2&amp;" = "&amp;VLOOKUP(B268,Instruções!$F$13:$J$17,4,0)&amp;"_"&amp;$G$2&amp;" AND "&amp;VLOOKUP(B268,Instruções!$F$13:$J$17,5,0)&amp;"_"&amp;$F$2&amp;" = "&amp;VLOOKUP(B268,Instruções!$F$13:$J$17,5,0)&amp;"_"&amp;$G$2&amp;" ")</f>
        <v xml:space="preserve">ON instrmnt_id_as_is = instrmnt_id_to_be </v>
      </c>
      <c r="K268" s="17" t="str">
        <f t="shared" si="33"/>
        <v xml:space="preserve">WHERE coalesce(cast(rcrs_as_is as string), '') &lt;&gt; coalesce(cast(rcrs_to_be as string), '') </v>
      </c>
      <c r="L268" s="17" t="str">
        <f t="shared" si="34"/>
        <v xml:space="preserve">SELECT count(*) AS NUM_REG_DIF FROM (SELECT instrmnt_id as instrmnt_id_as_is, rcrs as rcrs_as_is FROM cd_loan_tapes_bce.lt002_instrument WHERE ref_date='2024-09-30' AND nome_perimetro='Individual Corporativo' AND segmento='ESTR' AND ambito='PM' AND entidade='00100' ) A  Inner join (SELECT instrmnt_id as instrmnt_id_to_be, rcrs as rcrs_to_be FROM bu_loantape_work.lt002_instrument WHERE ref_date='2024-09-30' AND nome_perimetro='Individual Corporativo' AND segmento='ESTR' AND ambito='PM' AND entidade='00100' ) B ON instrmnt_id_as_is = instrmnt_id_to_be WHERE coalesce(cast(rcrs_as_is as string), '') &lt;&gt; coalesce(cast(rcrs_to_be as string), '') </v>
      </c>
      <c r="M268" s="17" t="s">
        <v>55</v>
      </c>
      <c r="N268" s="17" t="str">
        <f>"SELECT 'Validação de campos' as tipologia_teste, '"&amp;VLOOKUP(B268,Instruções!$F$13:$J$17,3,0)&amp;"' AS TABELA, '"&amp;E268&amp;"' AS CAMPO, '"&amp;Instruções!$D$15&amp;"' as ref_date, coalesce(NUM_REG_DIF, 0) AS NUM_REG_DIF FROM ("&amp;L268&amp;") A "</f>
        <v xml:space="preserve">SELECT 'Validação de campos' as tipologia_teste, 'lt002_instrument' AS TABELA, 'rcrs' AS CAMPO, '2024-09-30' as ref_date, coalesce(NUM_REG_DIF, 0) AS NUM_REG_DIF FROM (SELECT count(*) AS NUM_REG_DIF FROM (SELECT instrmnt_id as instrmnt_id_as_is, rcrs as rcrs_as_is FROM cd_loan_tapes_bce.lt002_instrument WHERE ref_date='2024-09-30' AND nome_perimetro='Individual Corporativo' AND segmento='ESTR' AND ambito='PM' AND entidade='00100' ) A  Inner join (SELECT instrmnt_id as instrmnt_id_to_be, rcrs as rcrs_to_be FROM bu_loantape_work.lt002_instrument WHERE ref_date='2024-09-30' AND nome_perimetro='Individual Corporativo' AND segmento='ESTR' AND ambito='PM' AND entidade='00100' ) B ON instrmnt_id_as_is = instrmnt_id_to_be WHERE coalesce(cast(rcrs_as_is as string), '') &lt;&gt; coalesce(cast(rcrs_to_be as string), '') ) A </v>
      </c>
      <c r="O268" s="19" t="str">
        <f t="shared" si="36"/>
        <v>SELECT 'Validação de campos' as tipologia_teste, 'lt002_instrument' AS TABELA, 'rcrs' AS CAMPO, '2024-09-30' as ref_date, coalesce(NUM_REG_DIF, 0) AS NUM_REG_DIF FROM (SELECT count(*) AS NUM_REG_DIF FROM (SELECT instrmnt_id as instrmnt_id_as_is, rcrs as rcrs_as_is FROM cd_loan_tapes_bce.lt002_instrument WHERE ref_date='2024-09-30' AND nome_perimetro='Individual Corporativo' AND segmento='ESTR' AND ambito='PM' AND entidade='00100' ) A  Inner join (SELECT instrmnt_id as instrmnt_id_to_be, rcrs as rcrs_to_be FROM bu_loantape_work.lt002_instrument WHERE ref_date='2024-09-30' AND nome_perimetro='Individual Corporativo' AND segmento='ESTR' AND ambito='PM' AND entidade='00100' ) B ON instrmnt_id_as_is = instrmnt_id_to_be WHERE coalesce(cast(rcrs_as_is as string), '') &lt;&gt; coalesce(cast(rcrs_to_be as string), '') ) A UNION ALL</v>
      </c>
      <c r="P268" s="17">
        <f t="shared" si="30"/>
        <v>12</v>
      </c>
    </row>
    <row r="269" spans="2:16" s="15" customFormat="1" ht="11.45">
      <c r="B269" s="17" t="s">
        <v>26</v>
      </c>
      <c r="C269" s="17" t="str">
        <f>_xlfn.CONCAT(Instruções!$D$13,".",VLOOKUP(B269,Instruções!$F$12:$H$17,2,0))</f>
        <v>cd_loan_tapes_bce.lt002_instrument</v>
      </c>
      <c r="D269" s="17" t="str">
        <f>_xlfn.CONCAT(Instruções!$D$14,".",VLOOKUP(B269,Instruções!$F$12:$H$17,3,0))</f>
        <v>bu_loantape_work.lt002_instrument</v>
      </c>
      <c r="E269" s="17" t="s">
        <v>313</v>
      </c>
      <c r="F269" s="17" t="str">
        <f t="shared" si="31"/>
        <v>rcvd_amrtstn_12m_as_is</v>
      </c>
      <c r="G269" s="17" t="str">
        <f t="shared" si="32"/>
        <v>rcvd_amrtstn_12m_to_be</v>
      </c>
      <c r="H269" s="17" t="str">
        <f>IF(VLOOKUP(B269,Instruções!$F$13:$J$17,5,0)="",
"(SELECT "&amp;VLOOKUP(B269,Instruções!$F$13:$J$17,4,0)&amp;" as "&amp;VLOOKUP(B269,Instruções!$F$13:$J$17,4,0)&amp;"_"&amp;$F$2&amp;", "&amp;E269&amp;" as "&amp;F269&amp;" FROM "&amp;C269&amp;" WHERE "&amp;Instruções!$D$20&amp;") A ",
"(SELECT "&amp;VLOOKUP(B269,Instruções!$F$13:$J$17,4,0)&amp;" as "&amp;VLOOKUP(B269,Instruções!$F$13:$J$17,4,0)&amp;"_"&amp;$F$2&amp;", "&amp;VLOOKUP(B269,Instruções!$F$13:$J$17,5,0)&amp;" as "&amp;VLOOKUP(B269,Instruções!$F$13:$J$17,5,0)&amp;"_"&amp;$F$2&amp;","&amp;E269&amp;" as "&amp;F269&amp;" FROM "&amp;C269&amp;" WHERE "&amp;Instruções!$D$20&amp;") A ")</f>
        <v xml:space="preserve">(SELECT instrmnt_id as instrmnt_id_as_is, rcvd_amrtstn_12m as rcvd_amrtstn_12m_as_is FROM cd_loan_tapes_bce.lt002_instrument WHERE ref_date='2024-09-30' AND nome_perimetro='Individual Corporativo' AND segmento='ESTR' AND ambito='PM' AND entidade='00100' ) A </v>
      </c>
      <c r="I269" s="17" t="str">
        <f>IF(VLOOKUP(B269,Instruções!$F$13:$J$17,5,0)="",
"(SELECT "&amp;VLOOKUP(B269,Instruções!$F$13:$J$17,4,0)&amp;" as "&amp;VLOOKUP(B269,Instruções!$F$13:$J$17,4,0)&amp;"_"&amp;$G$2&amp;", "&amp;E269&amp;" as "&amp;G269&amp;" FROM "&amp;D269&amp;" WHERE "&amp;Instruções!$D$21&amp;") B ",
"(SELECT "&amp;VLOOKUP(B269,Instruções!$F$13:$J$17,4,0)&amp;" as "&amp;VLOOKUP(B269,Instruções!$F$13:$J$17,4,0)&amp;"_"&amp;$G$2&amp;", "&amp;VLOOKUP(B269,Instruções!$F$13:$J$17,5,0)&amp;" as "&amp;VLOOKUP(B269,Instruções!$F$13:$J$17,5,0)&amp;"_"&amp;$G$2&amp;","&amp;E269&amp;" as "&amp;G269&amp;" FROM "&amp;D269&amp;" WHERE "&amp;Instruções!$D$21&amp;") B ")</f>
        <v xml:space="preserve">(SELECT instrmnt_id as instrmnt_id_to_be, rcvd_amrtstn_12m as rcvd_amrtstn_12m_to_be FROM bu_loantape_work.lt002_instrument WHERE ref_date='2024-09-30' AND nome_perimetro='Individual Corporativo' AND segmento='ESTR' AND ambito='PM' AND entidade='00100' ) B </v>
      </c>
      <c r="J269" s="17" t="str">
        <f>IF(VLOOKUP(B269,Instruções!$F$13:$J$17,5,0)="",
"ON "&amp;VLOOKUP(B269,Instruções!$F$13:$J$17,4,0)&amp;"_"&amp;$F$2&amp;" = "&amp;VLOOKUP(B269,Instruções!$F$13:$J$17,4,0)&amp;"_"&amp;$G$2&amp;" ",
"ON "&amp;VLOOKUP(B269,Instruções!$F$13:$J$17,4,0)&amp;"_"&amp;$F$2&amp;" = "&amp;VLOOKUP(B269,Instruções!$F$13:$J$17,4,0)&amp;"_"&amp;$G$2&amp;" AND "&amp;VLOOKUP(B269,Instruções!$F$13:$J$17,5,0)&amp;"_"&amp;$F$2&amp;" = "&amp;VLOOKUP(B269,Instruções!$F$13:$J$17,5,0)&amp;"_"&amp;$G$2&amp;" ")</f>
        <v xml:space="preserve">ON instrmnt_id_as_is = instrmnt_id_to_be </v>
      </c>
      <c r="K269" s="17" t="str">
        <f t="shared" si="33"/>
        <v xml:space="preserve">WHERE coalesce(cast(rcvd_amrtstn_12m_as_is as string), '') &lt;&gt; coalesce(cast(rcvd_amrtstn_12m_to_be as string), '') </v>
      </c>
      <c r="L269" s="17" t="str">
        <f t="shared" si="34"/>
        <v xml:space="preserve">SELECT count(*) AS NUM_REG_DIF FROM (SELECT instrmnt_id as instrmnt_id_as_is, rcvd_amrtstn_12m as rcvd_amrtstn_12m_as_is FROM cd_loan_tapes_bce.lt002_instrument WHERE ref_date='2024-09-30' AND nome_perimetro='Individual Corporativo' AND segmento='ESTR' AND ambito='PM' AND entidade='00100' ) A  Inner join (SELECT instrmnt_id as instrmnt_id_to_be, rcvd_amrtstn_12m as rcvd_amrtstn_12m_to_be FROM bu_loantape_work.lt002_instrument WHERE ref_date='2024-09-30' AND nome_perimetro='Individual Corporativo' AND segmento='ESTR' AND ambito='PM' AND entidade='00100' ) B ON instrmnt_id_as_is = instrmnt_id_to_be WHERE coalesce(cast(rcvd_amrtstn_12m_as_is as string), '') &lt;&gt; coalesce(cast(rcvd_amrtstn_12m_to_be as string), '') </v>
      </c>
      <c r="M269" s="17" t="s">
        <v>55</v>
      </c>
      <c r="N269" s="17" t="str">
        <f>"SELECT 'Validação de campos' as tipologia_teste, '"&amp;VLOOKUP(B269,Instruções!$F$13:$J$17,3,0)&amp;"' AS TABELA, '"&amp;E269&amp;"' AS CAMPO, '"&amp;Instruções!$D$15&amp;"' as ref_date, coalesce(NUM_REG_DIF, 0) AS NUM_REG_DIF FROM ("&amp;L269&amp;") A "</f>
        <v xml:space="preserve">SELECT 'Validação de campos' as tipologia_teste, 'lt002_instrument' AS TABELA, 'rcvd_amrtstn_12m' AS CAMPO, '2024-09-30' as ref_date, coalesce(NUM_REG_DIF, 0) AS NUM_REG_DIF FROM (SELECT count(*) AS NUM_REG_DIF FROM (SELECT instrmnt_id as instrmnt_id_as_is, rcvd_amrtstn_12m as rcvd_amrtstn_12m_as_is FROM cd_loan_tapes_bce.lt002_instrument WHERE ref_date='2024-09-30' AND nome_perimetro='Individual Corporativo' AND segmento='ESTR' AND ambito='PM' AND entidade='00100' ) A  Inner join (SELECT instrmnt_id as instrmnt_id_to_be, rcvd_amrtstn_12m as rcvd_amrtstn_12m_to_be FROM bu_loantape_work.lt002_instrument WHERE ref_date='2024-09-30' AND nome_perimetro='Individual Corporativo' AND segmento='ESTR' AND ambito='PM' AND entidade='00100' ) B ON instrmnt_id_as_is = instrmnt_id_to_be WHERE coalesce(cast(rcvd_amrtstn_12m_as_is as string), '') &lt;&gt; coalesce(cast(rcvd_amrtstn_12m_to_be as string), '') ) A </v>
      </c>
      <c r="O269" s="19" t="str">
        <f t="shared" si="36"/>
        <v>SELECT 'Validação de campos' as tipologia_teste, 'lt002_instrument' AS TABELA, 'rcvd_amrtstn_12m' AS CAMPO, '2024-09-30' as ref_date, coalesce(NUM_REG_DIF, 0) AS NUM_REG_DIF FROM (SELECT count(*) AS NUM_REG_DIF FROM (SELECT instrmnt_id as instrmnt_id_as_is, rcvd_amrtstn_12m as rcvd_amrtstn_12m_as_is FROM cd_loan_tapes_bce.lt002_instrument WHERE ref_date='2024-09-30' AND nome_perimetro='Individual Corporativo' AND segmento='ESTR' AND ambito='PM' AND entidade='00100' ) A  Inner join (SELECT instrmnt_id as instrmnt_id_to_be, rcvd_amrtstn_12m as rcvd_amrtstn_12m_to_be FROM bu_loantape_work.lt002_instrument WHERE ref_date='2024-09-30' AND nome_perimetro='Individual Corporativo' AND segmento='ESTR' AND ambito='PM' AND entidade='00100' ) B ON instrmnt_id_as_is = instrmnt_id_to_be WHERE coalesce(cast(rcvd_amrtstn_12m_as_is as string), '') &lt;&gt; coalesce(cast(rcvd_amrtstn_12m_to_be as string), '') ) A UNION ALL</v>
      </c>
      <c r="P269" s="17">
        <f t="shared" si="30"/>
        <v>13</v>
      </c>
    </row>
    <row r="270" spans="2:16" s="15" customFormat="1" ht="11.45">
      <c r="B270" s="17" t="s">
        <v>26</v>
      </c>
      <c r="C270" s="17" t="str">
        <f>_xlfn.CONCAT(Instruções!$D$13,".",VLOOKUP(B270,Instruções!$F$12:$H$17,2,0))</f>
        <v>cd_loan_tapes_bce.lt002_instrument</v>
      </c>
      <c r="D270" s="17" t="str">
        <f>_xlfn.CONCAT(Instruções!$D$14,".",VLOOKUP(B270,Instruções!$F$12:$H$17,3,0))</f>
        <v>bu_loantape_work.lt002_instrument</v>
      </c>
      <c r="E270" s="17" t="s">
        <v>314</v>
      </c>
      <c r="F270" s="17" t="str">
        <f t="shared" si="31"/>
        <v>rcvd_amrtstn_24m_as_is</v>
      </c>
      <c r="G270" s="17" t="str">
        <f t="shared" si="32"/>
        <v>rcvd_amrtstn_24m_to_be</v>
      </c>
      <c r="H270" s="17" t="str">
        <f>IF(VLOOKUP(B270,Instruções!$F$13:$J$17,5,0)="",
"(SELECT "&amp;VLOOKUP(B270,Instruções!$F$13:$J$17,4,0)&amp;" as "&amp;VLOOKUP(B270,Instruções!$F$13:$J$17,4,0)&amp;"_"&amp;$F$2&amp;", "&amp;E270&amp;" as "&amp;F270&amp;" FROM "&amp;C270&amp;" WHERE "&amp;Instruções!$D$20&amp;") A ",
"(SELECT "&amp;VLOOKUP(B270,Instruções!$F$13:$J$17,4,0)&amp;" as "&amp;VLOOKUP(B270,Instruções!$F$13:$J$17,4,0)&amp;"_"&amp;$F$2&amp;", "&amp;VLOOKUP(B270,Instruções!$F$13:$J$17,5,0)&amp;" as "&amp;VLOOKUP(B270,Instruções!$F$13:$J$17,5,0)&amp;"_"&amp;$F$2&amp;","&amp;E270&amp;" as "&amp;F270&amp;" FROM "&amp;C270&amp;" WHERE "&amp;Instruções!$D$20&amp;") A ")</f>
        <v xml:space="preserve">(SELECT instrmnt_id as instrmnt_id_as_is, rcvd_amrtstn_24m as rcvd_amrtstn_24m_as_is FROM cd_loan_tapes_bce.lt002_instrument WHERE ref_date='2024-09-30' AND nome_perimetro='Individual Corporativo' AND segmento='ESTR' AND ambito='PM' AND entidade='00100' ) A </v>
      </c>
      <c r="I270" s="17" t="str">
        <f>IF(VLOOKUP(B270,Instruções!$F$13:$J$17,5,0)="",
"(SELECT "&amp;VLOOKUP(B270,Instruções!$F$13:$J$17,4,0)&amp;" as "&amp;VLOOKUP(B270,Instruções!$F$13:$J$17,4,0)&amp;"_"&amp;$G$2&amp;", "&amp;E270&amp;" as "&amp;G270&amp;" FROM "&amp;D270&amp;" WHERE "&amp;Instruções!$D$21&amp;") B ",
"(SELECT "&amp;VLOOKUP(B270,Instruções!$F$13:$J$17,4,0)&amp;" as "&amp;VLOOKUP(B270,Instruções!$F$13:$J$17,4,0)&amp;"_"&amp;$G$2&amp;", "&amp;VLOOKUP(B270,Instruções!$F$13:$J$17,5,0)&amp;" as "&amp;VLOOKUP(B270,Instruções!$F$13:$J$17,5,0)&amp;"_"&amp;$G$2&amp;","&amp;E270&amp;" as "&amp;G270&amp;" FROM "&amp;D270&amp;" WHERE "&amp;Instruções!$D$21&amp;") B ")</f>
        <v xml:space="preserve">(SELECT instrmnt_id as instrmnt_id_to_be, rcvd_amrtstn_24m as rcvd_amrtstn_24m_to_be FROM bu_loantape_work.lt002_instrument WHERE ref_date='2024-09-30' AND nome_perimetro='Individual Corporativo' AND segmento='ESTR' AND ambito='PM' AND entidade='00100' ) B </v>
      </c>
      <c r="J270" s="17" t="str">
        <f>IF(VLOOKUP(B270,Instruções!$F$13:$J$17,5,0)="",
"ON "&amp;VLOOKUP(B270,Instruções!$F$13:$J$17,4,0)&amp;"_"&amp;$F$2&amp;" = "&amp;VLOOKUP(B270,Instruções!$F$13:$J$17,4,0)&amp;"_"&amp;$G$2&amp;" ",
"ON "&amp;VLOOKUP(B270,Instruções!$F$13:$J$17,4,0)&amp;"_"&amp;$F$2&amp;" = "&amp;VLOOKUP(B270,Instruções!$F$13:$J$17,4,0)&amp;"_"&amp;$G$2&amp;" AND "&amp;VLOOKUP(B270,Instruções!$F$13:$J$17,5,0)&amp;"_"&amp;$F$2&amp;" = "&amp;VLOOKUP(B270,Instruções!$F$13:$J$17,5,0)&amp;"_"&amp;$G$2&amp;" ")</f>
        <v xml:space="preserve">ON instrmnt_id_as_is = instrmnt_id_to_be </v>
      </c>
      <c r="K270" s="17" t="str">
        <f t="shared" si="33"/>
        <v xml:space="preserve">WHERE coalesce(cast(rcvd_amrtstn_24m_as_is as string), '') &lt;&gt; coalesce(cast(rcvd_amrtstn_24m_to_be as string), '') </v>
      </c>
      <c r="L270" s="17" t="str">
        <f t="shared" si="34"/>
        <v xml:space="preserve">SELECT count(*) AS NUM_REG_DIF FROM (SELECT instrmnt_id as instrmnt_id_as_is, rcvd_amrtstn_24m as rcvd_amrtstn_24m_as_is FROM cd_loan_tapes_bce.lt002_instrument WHERE ref_date='2024-09-30' AND nome_perimetro='Individual Corporativo' AND segmento='ESTR' AND ambito='PM' AND entidade='00100' ) A  Inner join (SELECT instrmnt_id as instrmnt_id_to_be, rcvd_amrtstn_24m as rcvd_amrtstn_24m_to_be FROM bu_loantape_work.lt002_instrument WHERE ref_date='2024-09-30' AND nome_perimetro='Individual Corporativo' AND segmento='ESTR' AND ambito='PM' AND entidade='00100' ) B ON instrmnt_id_as_is = instrmnt_id_to_be WHERE coalesce(cast(rcvd_amrtstn_24m_as_is as string), '') &lt;&gt; coalesce(cast(rcvd_amrtstn_24m_to_be as string), '') </v>
      </c>
      <c r="M270" s="17" t="s">
        <v>55</v>
      </c>
      <c r="N270" s="17" t="str">
        <f>"SELECT 'Validação de campos' as tipologia_teste, '"&amp;VLOOKUP(B270,Instruções!$F$13:$J$17,3,0)&amp;"' AS TABELA, '"&amp;E270&amp;"' AS CAMPO, '"&amp;Instruções!$D$15&amp;"' as ref_date, coalesce(NUM_REG_DIF, 0) AS NUM_REG_DIF FROM ("&amp;L270&amp;") A "</f>
        <v xml:space="preserve">SELECT 'Validação de campos' as tipologia_teste, 'lt002_instrument' AS TABELA, 'rcvd_amrtstn_24m' AS CAMPO, '2024-09-30' as ref_date, coalesce(NUM_REG_DIF, 0) AS NUM_REG_DIF FROM (SELECT count(*) AS NUM_REG_DIF FROM (SELECT instrmnt_id as instrmnt_id_as_is, rcvd_amrtstn_24m as rcvd_amrtstn_24m_as_is FROM cd_loan_tapes_bce.lt002_instrument WHERE ref_date='2024-09-30' AND nome_perimetro='Individual Corporativo' AND segmento='ESTR' AND ambito='PM' AND entidade='00100' ) A  Inner join (SELECT instrmnt_id as instrmnt_id_to_be, rcvd_amrtstn_24m as rcvd_amrtstn_24m_to_be FROM bu_loantape_work.lt002_instrument WHERE ref_date='2024-09-30' AND nome_perimetro='Individual Corporativo' AND segmento='ESTR' AND ambito='PM' AND entidade='00100' ) B ON instrmnt_id_as_is = instrmnt_id_to_be WHERE coalesce(cast(rcvd_amrtstn_24m_as_is as string), '') &lt;&gt; coalesce(cast(rcvd_amrtstn_24m_to_be as string), '') ) A </v>
      </c>
      <c r="O270" s="19" t="str">
        <f t="shared" si="36"/>
        <v>SELECT 'Validação de campos' as tipologia_teste, 'lt002_instrument' AS TABELA, 'rcvd_amrtstn_24m' AS CAMPO, '2024-09-30' as ref_date, coalesce(NUM_REG_DIF, 0) AS NUM_REG_DIF FROM (SELECT count(*) AS NUM_REG_DIF FROM (SELECT instrmnt_id as instrmnt_id_as_is, rcvd_amrtstn_24m as rcvd_amrtstn_24m_as_is FROM cd_loan_tapes_bce.lt002_instrument WHERE ref_date='2024-09-30' AND nome_perimetro='Individual Corporativo' AND segmento='ESTR' AND ambito='PM' AND entidade='00100' ) A  Inner join (SELECT instrmnt_id as instrmnt_id_to_be, rcvd_amrtstn_24m as rcvd_amrtstn_24m_to_be FROM bu_loantape_work.lt002_instrument WHERE ref_date='2024-09-30' AND nome_perimetro='Individual Corporativo' AND segmento='ESTR' AND ambito='PM' AND entidade='00100' ) B ON instrmnt_id_as_is = instrmnt_id_to_be WHERE coalesce(cast(rcvd_amrtstn_24m_as_is as string), '') &lt;&gt; coalesce(cast(rcvd_amrtstn_24m_to_be as string), '') ) A UNION ALL</v>
      </c>
      <c r="P270" s="17">
        <f t="shared" si="30"/>
        <v>14</v>
      </c>
    </row>
    <row r="271" spans="2:16" s="15" customFormat="1" ht="11.45">
      <c r="B271" s="17" t="s">
        <v>26</v>
      </c>
      <c r="C271" s="17" t="str">
        <f>_xlfn.CONCAT(Instruções!$D$13,".",VLOOKUP(B271,Instruções!$F$12:$H$17,2,0))</f>
        <v>cd_loan_tapes_bce.lt002_instrument</v>
      </c>
      <c r="D271" s="17" t="str">
        <f>_xlfn.CONCAT(Instruções!$D$14,".",VLOOKUP(B271,Instruções!$F$12:$H$17,3,0))</f>
        <v>bu_loantape_work.lt002_instrument</v>
      </c>
      <c r="E271" s="17" t="s">
        <v>315</v>
      </c>
      <c r="F271" s="17" t="str">
        <f t="shared" si="31"/>
        <v>rcvd_intrst_12m_as_is</v>
      </c>
      <c r="G271" s="17" t="str">
        <f t="shared" si="32"/>
        <v>rcvd_intrst_12m_to_be</v>
      </c>
      <c r="H271" s="17" t="str">
        <f>IF(VLOOKUP(B271,Instruções!$F$13:$J$17,5,0)="",
"(SELECT "&amp;VLOOKUP(B271,Instruções!$F$13:$J$17,4,0)&amp;" as "&amp;VLOOKUP(B271,Instruções!$F$13:$J$17,4,0)&amp;"_"&amp;$F$2&amp;", "&amp;E271&amp;" as "&amp;F271&amp;" FROM "&amp;C271&amp;" WHERE "&amp;Instruções!$D$20&amp;") A ",
"(SELECT "&amp;VLOOKUP(B271,Instruções!$F$13:$J$17,4,0)&amp;" as "&amp;VLOOKUP(B271,Instruções!$F$13:$J$17,4,0)&amp;"_"&amp;$F$2&amp;", "&amp;VLOOKUP(B271,Instruções!$F$13:$J$17,5,0)&amp;" as "&amp;VLOOKUP(B271,Instruções!$F$13:$J$17,5,0)&amp;"_"&amp;$F$2&amp;","&amp;E271&amp;" as "&amp;F271&amp;" FROM "&amp;C271&amp;" WHERE "&amp;Instruções!$D$20&amp;") A ")</f>
        <v xml:space="preserve">(SELECT instrmnt_id as instrmnt_id_as_is, rcvd_intrst_12m as rcvd_intrst_12m_as_is FROM cd_loan_tapes_bce.lt002_instrument WHERE ref_date='2024-09-30' AND nome_perimetro='Individual Corporativo' AND segmento='ESTR' AND ambito='PM' AND entidade='00100' ) A </v>
      </c>
      <c r="I271" s="17" t="str">
        <f>IF(VLOOKUP(B271,Instruções!$F$13:$J$17,5,0)="",
"(SELECT "&amp;VLOOKUP(B271,Instruções!$F$13:$J$17,4,0)&amp;" as "&amp;VLOOKUP(B271,Instruções!$F$13:$J$17,4,0)&amp;"_"&amp;$G$2&amp;", "&amp;E271&amp;" as "&amp;G271&amp;" FROM "&amp;D271&amp;" WHERE "&amp;Instruções!$D$21&amp;") B ",
"(SELECT "&amp;VLOOKUP(B271,Instruções!$F$13:$J$17,4,0)&amp;" as "&amp;VLOOKUP(B271,Instruções!$F$13:$J$17,4,0)&amp;"_"&amp;$G$2&amp;", "&amp;VLOOKUP(B271,Instruções!$F$13:$J$17,5,0)&amp;" as "&amp;VLOOKUP(B271,Instruções!$F$13:$J$17,5,0)&amp;"_"&amp;$G$2&amp;","&amp;E271&amp;" as "&amp;G271&amp;" FROM "&amp;D271&amp;" WHERE "&amp;Instruções!$D$21&amp;") B ")</f>
        <v xml:space="preserve">(SELECT instrmnt_id as instrmnt_id_to_be, rcvd_intrst_12m as rcvd_intrst_12m_to_be FROM bu_loantape_work.lt002_instrument WHERE ref_date='2024-09-30' AND nome_perimetro='Individual Corporativo' AND segmento='ESTR' AND ambito='PM' AND entidade='00100' ) B </v>
      </c>
      <c r="J271" s="17" t="str">
        <f>IF(VLOOKUP(B271,Instruções!$F$13:$J$17,5,0)="",
"ON "&amp;VLOOKUP(B271,Instruções!$F$13:$J$17,4,0)&amp;"_"&amp;$F$2&amp;" = "&amp;VLOOKUP(B271,Instruções!$F$13:$J$17,4,0)&amp;"_"&amp;$G$2&amp;" ",
"ON "&amp;VLOOKUP(B271,Instruções!$F$13:$J$17,4,0)&amp;"_"&amp;$F$2&amp;" = "&amp;VLOOKUP(B271,Instruções!$F$13:$J$17,4,0)&amp;"_"&amp;$G$2&amp;" AND "&amp;VLOOKUP(B271,Instruções!$F$13:$J$17,5,0)&amp;"_"&amp;$F$2&amp;" = "&amp;VLOOKUP(B271,Instruções!$F$13:$J$17,5,0)&amp;"_"&amp;$G$2&amp;" ")</f>
        <v xml:space="preserve">ON instrmnt_id_as_is = instrmnt_id_to_be </v>
      </c>
      <c r="K271" s="17" t="str">
        <f t="shared" si="33"/>
        <v xml:space="preserve">WHERE coalesce(cast(rcvd_intrst_12m_as_is as string), '') &lt;&gt; coalesce(cast(rcvd_intrst_12m_to_be as string), '') </v>
      </c>
      <c r="L271" s="17" t="str">
        <f t="shared" si="34"/>
        <v xml:space="preserve">SELECT count(*) AS NUM_REG_DIF FROM (SELECT instrmnt_id as instrmnt_id_as_is, rcvd_intrst_12m as rcvd_intrst_12m_as_is FROM cd_loan_tapes_bce.lt002_instrument WHERE ref_date='2024-09-30' AND nome_perimetro='Individual Corporativo' AND segmento='ESTR' AND ambito='PM' AND entidade='00100' ) A  Inner join (SELECT instrmnt_id as instrmnt_id_to_be, rcvd_intrst_12m as rcvd_intrst_12m_to_be FROM bu_loantape_work.lt002_instrument WHERE ref_date='2024-09-30' AND nome_perimetro='Individual Corporativo' AND segmento='ESTR' AND ambito='PM' AND entidade='00100' ) B ON instrmnt_id_as_is = instrmnt_id_to_be WHERE coalesce(cast(rcvd_intrst_12m_as_is as string), '') &lt;&gt; coalesce(cast(rcvd_intrst_12m_to_be as string), '') </v>
      </c>
      <c r="M271" s="17" t="s">
        <v>55</v>
      </c>
      <c r="N271" s="17" t="str">
        <f>"SELECT 'Validação de campos' as tipologia_teste, '"&amp;VLOOKUP(B271,Instruções!$F$13:$J$17,3,0)&amp;"' AS TABELA, '"&amp;E271&amp;"' AS CAMPO, '"&amp;Instruções!$D$15&amp;"' as ref_date, coalesce(NUM_REG_DIF, 0) AS NUM_REG_DIF FROM ("&amp;L271&amp;") A "</f>
        <v xml:space="preserve">SELECT 'Validação de campos' as tipologia_teste, 'lt002_instrument' AS TABELA, 'rcvd_intrst_12m' AS CAMPO, '2024-09-30' as ref_date, coalesce(NUM_REG_DIF, 0) AS NUM_REG_DIF FROM (SELECT count(*) AS NUM_REG_DIF FROM (SELECT instrmnt_id as instrmnt_id_as_is, rcvd_intrst_12m as rcvd_intrst_12m_as_is FROM cd_loan_tapes_bce.lt002_instrument WHERE ref_date='2024-09-30' AND nome_perimetro='Individual Corporativo' AND segmento='ESTR' AND ambito='PM' AND entidade='00100' ) A  Inner join (SELECT instrmnt_id as instrmnt_id_to_be, rcvd_intrst_12m as rcvd_intrst_12m_to_be FROM bu_loantape_work.lt002_instrument WHERE ref_date='2024-09-30' AND nome_perimetro='Individual Corporativo' AND segmento='ESTR' AND ambito='PM' AND entidade='00100' ) B ON instrmnt_id_as_is = instrmnt_id_to_be WHERE coalesce(cast(rcvd_intrst_12m_as_is as string), '') &lt;&gt; coalesce(cast(rcvd_intrst_12m_to_be as string), '') ) A </v>
      </c>
      <c r="O271" s="19" t="str">
        <f t="shared" si="36"/>
        <v>SELECT 'Validação de campos' as tipologia_teste, 'lt002_instrument' AS TABELA, 'rcvd_intrst_12m' AS CAMPO, '2024-09-30' as ref_date, coalesce(NUM_REG_DIF, 0) AS NUM_REG_DIF FROM (SELECT count(*) AS NUM_REG_DIF FROM (SELECT instrmnt_id as instrmnt_id_as_is, rcvd_intrst_12m as rcvd_intrst_12m_as_is FROM cd_loan_tapes_bce.lt002_instrument WHERE ref_date='2024-09-30' AND nome_perimetro='Individual Corporativo' AND segmento='ESTR' AND ambito='PM' AND entidade='00100' ) A  Inner join (SELECT instrmnt_id as instrmnt_id_to_be, rcvd_intrst_12m as rcvd_intrst_12m_to_be FROM bu_loantape_work.lt002_instrument WHERE ref_date='2024-09-30' AND nome_perimetro='Individual Corporativo' AND segmento='ESTR' AND ambito='PM' AND entidade='00100' ) B ON instrmnt_id_as_is = instrmnt_id_to_be WHERE coalesce(cast(rcvd_intrst_12m_as_is as string), '') &lt;&gt; coalesce(cast(rcvd_intrst_12m_to_be as string), '') ) A UNION ALL</v>
      </c>
      <c r="P271" s="17">
        <f t="shared" si="30"/>
        <v>15</v>
      </c>
    </row>
    <row r="272" spans="2:16" s="15" customFormat="1" ht="11.45">
      <c r="B272" s="17" t="s">
        <v>26</v>
      </c>
      <c r="C272" s="17" t="str">
        <f>_xlfn.CONCAT(Instruções!$D$13,".",VLOOKUP(B272,Instruções!$F$12:$H$17,2,0))</f>
        <v>cd_loan_tapes_bce.lt002_instrument</v>
      </c>
      <c r="D272" s="17" t="str">
        <f>_xlfn.CONCAT(Instruções!$D$14,".",VLOOKUP(B272,Instruções!$F$12:$H$17,3,0))</f>
        <v>bu_loantape_work.lt002_instrument</v>
      </c>
      <c r="E272" s="17" t="s">
        <v>316</v>
      </c>
      <c r="F272" s="17" t="str">
        <f t="shared" si="31"/>
        <v>rcvd_intrst_24m_as_is</v>
      </c>
      <c r="G272" s="17" t="str">
        <f t="shared" si="32"/>
        <v>rcvd_intrst_24m_to_be</v>
      </c>
      <c r="H272" s="17" t="str">
        <f>IF(VLOOKUP(B272,Instruções!$F$13:$J$17,5,0)="",
"(SELECT "&amp;VLOOKUP(B272,Instruções!$F$13:$J$17,4,0)&amp;" as "&amp;VLOOKUP(B272,Instruções!$F$13:$J$17,4,0)&amp;"_"&amp;$F$2&amp;", "&amp;E272&amp;" as "&amp;F272&amp;" FROM "&amp;C272&amp;" WHERE "&amp;Instruções!$D$20&amp;") A ",
"(SELECT "&amp;VLOOKUP(B272,Instruções!$F$13:$J$17,4,0)&amp;" as "&amp;VLOOKUP(B272,Instruções!$F$13:$J$17,4,0)&amp;"_"&amp;$F$2&amp;", "&amp;VLOOKUP(B272,Instruções!$F$13:$J$17,5,0)&amp;" as "&amp;VLOOKUP(B272,Instruções!$F$13:$J$17,5,0)&amp;"_"&amp;$F$2&amp;","&amp;E272&amp;" as "&amp;F272&amp;" FROM "&amp;C272&amp;" WHERE "&amp;Instruções!$D$20&amp;") A ")</f>
        <v xml:space="preserve">(SELECT instrmnt_id as instrmnt_id_as_is, rcvd_intrst_24m as rcvd_intrst_24m_as_is FROM cd_loan_tapes_bce.lt002_instrument WHERE ref_date='2024-09-30' AND nome_perimetro='Individual Corporativo' AND segmento='ESTR' AND ambito='PM' AND entidade='00100' ) A </v>
      </c>
      <c r="I272" s="17" t="str">
        <f>IF(VLOOKUP(B272,Instruções!$F$13:$J$17,5,0)="",
"(SELECT "&amp;VLOOKUP(B272,Instruções!$F$13:$J$17,4,0)&amp;" as "&amp;VLOOKUP(B272,Instruções!$F$13:$J$17,4,0)&amp;"_"&amp;$G$2&amp;", "&amp;E272&amp;" as "&amp;G272&amp;" FROM "&amp;D272&amp;" WHERE "&amp;Instruções!$D$21&amp;") B ",
"(SELECT "&amp;VLOOKUP(B272,Instruções!$F$13:$J$17,4,0)&amp;" as "&amp;VLOOKUP(B272,Instruções!$F$13:$J$17,4,0)&amp;"_"&amp;$G$2&amp;", "&amp;VLOOKUP(B272,Instruções!$F$13:$J$17,5,0)&amp;" as "&amp;VLOOKUP(B272,Instruções!$F$13:$J$17,5,0)&amp;"_"&amp;$G$2&amp;","&amp;E272&amp;" as "&amp;G272&amp;" FROM "&amp;D272&amp;" WHERE "&amp;Instruções!$D$21&amp;") B ")</f>
        <v xml:space="preserve">(SELECT instrmnt_id as instrmnt_id_to_be, rcvd_intrst_24m as rcvd_intrst_24m_to_be FROM bu_loantape_work.lt002_instrument WHERE ref_date='2024-09-30' AND nome_perimetro='Individual Corporativo' AND segmento='ESTR' AND ambito='PM' AND entidade='00100' ) B </v>
      </c>
      <c r="J272" s="17" t="str">
        <f>IF(VLOOKUP(B272,Instruções!$F$13:$J$17,5,0)="",
"ON "&amp;VLOOKUP(B272,Instruções!$F$13:$J$17,4,0)&amp;"_"&amp;$F$2&amp;" = "&amp;VLOOKUP(B272,Instruções!$F$13:$J$17,4,0)&amp;"_"&amp;$G$2&amp;" ",
"ON "&amp;VLOOKUP(B272,Instruções!$F$13:$J$17,4,0)&amp;"_"&amp;$F$2&amp;" = "&amp;VLOOKUP(B272,Instruções!$F$13:$J$17,4,0)&amp;"_"&amp;$G$2&amp;" AND "&amp;VLOOKUP(B272,Instruções!$F$13:$J$17,5,0)&amp;"_"&amp;$F$2&amp;" = "&amp;VLOOKUP(B272,Instruções!$F$13:$J$17,5,0)&amp;"_"&amp;$G$2&amp;" ")</f>
        <v xml:space="preserve">ON instrmnt_id_as_is = instrmnt_id_to_be </v>
      </c>
      <c r="K272" s="17" t="str">
        <f t="shared" si="33"/>
        <v xml:space="preserve">WHERE coalesce(cast(rcvd_intrst_24m_as_is as string), '') &lt;&gt; coalesce(cast(rcvd_intrst_24m_to_be as string), '') </v>
      </c>
      <c r="L272" s="17" t="str">
        <f t="shared" si="34"/>
        <v xml:space="preserve">SELECT count(*) AS NUM_REG_DIF FROM (SELECT instrmnt_id as instrmnt_id_as_is, rcvd_intrst_24m as rcvd_intrst_24m_as_is FROM cd_loan_tapes_bce.lt002_instrument WHERE ref_date='2024-09-30' AND nome_perimetro='Individual Corporativo' AND segmento='ESTR' AND ambito='PM' AND entidade='00100' ) A  Inner join (SELECT instrmnt_id as instrmnt_id_to_be, rcvd_intrst_24m as rcvd_intrst_24m_to_be FROM bu_loantape_work.lt002_instrument WHERE ref_date='2024-09-30' AND nome_perimetro='Individual Corporativo' AND segmento='ESTR' AND ambito='PM' AND entidade='00100' ) B ON instrmnt_id_as_is = instrmnt_id_to_be WHERE coalesce(cast(rcvd_intrst_24m_as_is as string), '') &lt;&gt; coalesce(cast(rcvd_intrst_24m_to_be as string), '') </v>
      </c>
      <c r="M272" s="17" t="s">
        <v>55</v>
      </c>
      <c r="N272" s="17" t="str">
        <f>"SELECT 'Validação de campos' as tipologia_teste, '"&amp;VLOOKUP(B272,Instruções!$F$13:$J$17,3,0)&amp;"' AS TABELA, '"&amp;E272&amp;"' AS CAMPO, '"&amp;Instruções!$D$15&amp;"' as ref_date, coalesce(NUM_REG_DIF, 0) AS NUM_REG_DIF FROM ("&amp;L272&amp;") A "</f>
        <v xml:space="preserve">SELECT 'Validação de campos' as tipologia_teste, 'lt002_instrument' AS TABELA, 'rcvd_intrst_24m' AS CAMPO, '2024-09-30' as ref_date, coalesce(NUM_REG_DIF, 0) AS NUM_REG_DIF FROM (SELECT count(*) AS NUM_REG_DIF FROM (SELECT instrmnt_id as instrmnt_id_as_is, rcvd_intrst_24m as rcvd_intrst_24m_as_is FROM cd_loan_tapes_bce.lt002_instrument WHERE ref_date='2024-09-30' AND nome_perimetro='Individual Corporativo' AND segmento='ESTR' AND ambito='PM' AND entidade='00100' ) A  Inner join (SELECT instrmnt_id as instrmnt_id_to_be, rcvd_intrst_24m as rcvd_intrst_24m_to_be FROM bu_loantape_work.lt002_instrument WHERE ref_date='2024-09-30' AND nome_perimetro='Individual Corporativo' AND segmento='ESTR' AND ambito='PM' AND entidade='00100' ) B ON instrmnt_id_as_is = instrmnt_id_to_be WHERE coalesce(cast(rcvd_intrst_24m_as_is as string), '') &lt;&gt; coalesce(cast(rcvd_intrst_24m_to_be as string), '') ) A </v>
      </c>
      <c r="O272" s="19" t="str">
        <f t="shared" si="36"/>
        <v>SELECT 'Validação de campos' as tipologia_teste, 'lt002_instrument' AS TABELA, 'rcvd_intrst_24m' AS CAMPO, '2024-09-30' as ref_date, coalesce(NUM_REG_DIF, 0) AS NUM_REG_DIF FROM (SELECT count(*) AS NUM_REG_DIF FROM (SELECT instrmnt_id as instrmnt_id_as_is, rcvd_intrst_24m as rcvd_intrst_24m_as_is FROM cd_loan_tapes_bce.lt002_instrument WHERE ref_date='2024-09-30' AND nome_perimetro='Individual Corporativo' AND segmento='ESTR' AND ambito='PM' AND entidade='00100' ) A  Inner join (SELECT instrmnt_id as instrmnt_id_to_be, rcvd_intrst_24m as rcvd_intrst_24m_to_be FROM bu_loantape_work.lt002_instrument WHERE ref_date='2024-09-30' AND nome_perimetro='Individual Corporativo' AND segmento='ESTR' AND ambito='PM' AND entidade='00100' ) B ON instrmnt_id_as_is = instrmnt_id_to_be WHERE coalesce(cast(rcvd_intrst_24m_as_is as string), '') &lt;&gt; coalesce(cast(rcvd_intrst_24m_to_be as string), '') ) A UNION ALL</v>
      </c>
      <c r="P272" s="17">
        <f t="shared" si="30"/>
        <v>16</v>
      </c>
    </row>
    <row r="273" spans="2:16" s="15" customFormat="1" ht="11.45">
      <c r="B273" s="17" t="s">
        <v>26</v>
      </c>
      <c r="C273" s="17" t="str">
        <f>_xlfn.CONCAT(Instruções!$D$13,".",VLOOKUP(B273,Instruções!$F$12:$H$17,2,0))</f>
        <v>cd_loan_tapes_bce.lt002_instrument</v>
      </c>
      <c r="D273" s="17" t="str">
        <f>_xlfn.CONCAT(Instruções!$D$14,".",VLOOKUP(B273,Instruções!$F$12:$H$17,3,0))</f>
        <v>bu_loantape_work.lt002_instrument</v>
      </c>
      <c r="E273" s="17" t="s">
        <v>317</v>
      </c>
      <c r="F273" s="17" t="str">
        <f t="shared" si="31"/>
        <v>rfnnc_prps_as_is</v>
      </c>
      <c r="G273" s="17" t="str">
        <f t="shared" si="32"/>
        <v>rfnnc_prps_to_be</v>
      </c>
      <c r="H273" s="17" t="str">
        <f>IF(VLOOKUP(B273,Instruções!$F$13:$J$17,5,0)="",
"(SELECT "&amp;VLOOKUP(B273,Instruções!$F$13:$J$17,4,0)&amp;" as "&amp;VLOOKUP(B273,Instruções!$F$13:$J$17,4,0)&amp;"_"&amp;$F$2&amp;", "&amp;E273&amp;" as "&amp;F273&amp;" FROM "&amp;C273&amp;" WHERE "&amp;Instruções!$D$20&amp;") A ",
"(SELECT "&amp;VLOOKUP(B273,Instruções!$F$13:$J$17,4,0)&amp;" as "&amp;VLOOKUP(B273,Instruções!$F$13:$J$17,4,0)&amp;"_"&amp;$F$2&amp;", "&amp;VLOOKUP(B273,Instruções!$F$13:$J$17,5,0)&amp;" as "&amp;VLOOKUP(B273,Instruções!$F$13:$J$17,5,0)&amp;"_"&amp;$F$2&amp;","&amp;E273&amp;" as "&amp;F273&amp;" FROM "&amp;C273&amp;" WHERE "&amp;Instruções!$D$20&amp;") A ")</f>
        <v xml:space="preserve">(SELECT instrmnt_id as instrmnt_id_as_is, rfnnc_prps as rfnnc_prps_as_is FROM cd_loan_tapes_bce.lt002_instrument WHERE ref_date='2024-09-30' AND nome_perimetro='Individual Corporativo' AND segmento='ESTR' AND ambito='PM' AND entidade='00100' ) A </v>
      </c>
      <c r="I273" s="17" t="str">
        <f>IF(VLOOKUP(B273,Instruções!$F$13:$J$17,5,0)="",
"(SELECT "&amp;VLOOKUP(B273,Instruções!$F$13:$J$17,4,0)&amp;" as "&amp;VLOOKUP(B273,Instruções!$F$13:$J$17,4,0)&amp;"_"&amp;$G$2&amp;", "&amp;E273&amp;" as "&amp;G273&amp;" FROM "&amp;D273&amp;" WHERE "&amp;Instruções!$D$21&amp;") B ",
"(SELECT "&amp;VLOOKUP(B273,Instruções!$F$13:$J$17,4,0)&amp;" as "&amp;VLOOKUP(B273,Instruções!$F$13:$J$17,4,0)&amp;"_"&amp;$G$2&amp;", "&amp;VLOOKUP(B273,Instruções!$F$13:$J$17,5,0)&amp;" as "&amp;VLOOKUP(B273,Instruções!$F$13:$J$17,5,0)&amp;"_"&amp;$G$2&amp;","&amp;E273&amp;" as "&amp;G273&amp;" FROM "&amp;D273&amp;" WHERE "&amp;Instruções!$D$21&amp;") B ")</f>
        <v xml:space="preserve">(SELECT instrmnt_id as instrmnt_id_to_be, rfnnc_prps as rfnnc_prps_to_be FROM bu_loantape_work.lt002_instrument WHERE ref_date='2024-09-30' AND nome_perimetro='Individual Corporativo' AND segmento='ESTR' AND ambito='PM' AND entidade='00100' ) B </v>
      </c>
      <c r="J273" s="17" t="str">
        <f>IF(VLOOKUP(B273,Instruções!$F$13:$J$17,5,0)="",
"ON "&amp;VLOOKUP(B273,Instruções!$F$13:$J$17,4,0)&amp;"_"&amp;$F$2&amp;" = "&amp;VLOOKUP(B273,Instruções!$F$13:$J$17,4,0)&amp;"_"&amp;$G$2&amp;" ",
"ON "&amp;VLOOKUP(B273,Instruções!$F$13:$J$17,4,0)&amp;"_"&amp;$F$2&amp;" = "&amp;VLOOKUP(B273,Instruções!$F$13:$J$17,4,0)&amp;"_"&amp;$G$2&amp;" AND "&amp;VLOOKUP(B273,Instruções!$F$13:$J$17,5,0)&amp;"_"&amp;$F$2&amp;" = "&amp;VLOOKUP(B273,Instruções!$F$13:$J$17,5,0)&amp;"_"&amp;$G$2&amp;" ")</f>
        <v xml:space="preserve">ON instrmnt_id_as_is = instrmnt_id_to_be </v>
      </c>
      <c r="K273" s="17" t="str">
        <f t="shared" si="33"/>
        <v xml:space="preserve">WHERE coalesce(cast(rfnnc_prps_as_is as string), '') &lt;&gt; coalesce(cast(rfnnc_prps_to_be as string), '') </v>
      </c>
      <c r="L273" s="17" t="str">
        <f t="shared" si="34"/>
        <v xml:space="preserve">SELECT count(*) AS NUM_REG_DIF FROM (SELECT instrmnt_id as instrmnt_id_as_is, rfnnc_prps as rfnnc_prps_as_is FROM cd_loan_tapes_bce.lt002_instrument WHERE ref_date='2024-09-30' AND nome_perimetro='Individual Corporativo' AND segmento='ESTR' AND ambito='PM' AND entidade='00100' ) A  Inner join (SELECT instrmnt_id as instrmnt_id_to_be, rfnnc_prps as rfnnc_prps_to_be FROM bu_loantape_work.lt002_instrument WHERE ref_date='2024-09-30' AND nome_perimetro='Individual Corporativo' AND segmento='ESTR' AND ambito='PM' AND entidade='00100' ) B ON instrmnt_id_as_is = instrmnt_id_to_be WHERE coalesce(cast(rfnnc_prps_as_is as string), '') &lt;&gt; coalesce(cast(rfnnc_prps_to_be as string), '') </v>
      </c>
      <c r="M273" s="17" t="s">
        <v>55</v>
      </c>
      <c r="N273" s="17" t="str">
        <f>"SELECT 'Validação de campos' as tipologia_teste, '"&amp;VLOOKUP(B273,Instruções!$F$13:$J$17,3,0)&amp;"' AS TABELA, '"&amp;E273&amp;"' AS CAMPO, '"&amp;Instruções!$D$15&amp;"' as ref_date, coalesce(NUM_REG_DIF, 0) AS NUM_REG_DIF FROM ("&amp;L273&amp;") A "</f>
        <v xml:space="preserve">SELECT 'Validação de campos' as tipologia_teste, 'lt002_instrument' AS TABELA, 'rfnnc_prps' AS CAMPO, '2024-09-30' as ref_date, coalesce(NUM_REG_DIF, 0) AS NUM_REG_DIF FROM (SELECT count(*) AS NUM_REG_DIF FROM (SELECT instrmnt_id as instrmnt_id_as_is, rfnnc_prps as rfnnc_prps_as_is FROM cd_loan_tapes_bce.lt002_instrument WHERE ref_date='2024-09-30' AND nome_perimetro='Individual Corporativo' AND segmento='ESTR' AND ambito='PM' AND entidade='00100' ) A  Inner join (SELECT instrmnt_id as instrmnt_id_to_be, rfnnc_prps as rfnnc_prps_to_be FROM bu_loantape_work.lt002_instrument WHERE ref_date='2024-09-30' AND nome_perimetro='Individual Corporativo' AND segmento='ESTR' AND ambito='PM' AND entidade='00100' ) B ON instrmnt_id_as_is = instrmnt_id_to_be WHERE coalesce(cast(rfnnc_prps_as_is as string), '') &lt;&gt; coalesce(cast(rfnnc_prps_to_be as string), '') ) A </v>
      </c>
      <c r="O273" s="19" t="str">
        <f t="shared" si="36"/>
        <v>SELECT 'Validação de campos' as tipologia_teste, 'lt002_instrument' AS TABELA, 'rfnnc_prps' AS CAMPO, '2024-09-30' as ref_date, coalesce(NUM_REG_DIF, 0) AS NUM_REG_DIF FROM (SELECT count(*) AS NUM_REG_DIF FROM (SELECT instrmnt_id as instrmnt_id_as_is, rfnnc_prps as rfnnc_prps_as_is FROM cd_loan_tapes_bce.lt002_instrument WHERE ref_date='2024-09-30' AND nome_perimetro='Individual Corporativo' AND segmento='ESTR' AND ambito='PM' AND entidade='00100' ) A  Inner join (SELECT instrmnt_id as instrmnt_id_to_be, rfnnc_prps as rfnnc_prps_to_be FROM bu_loantape_work.lt002_instrument WHERE ref_date='2024-09-30' AND nome_perimetro='Individual Corporativo' AND segmento='ESTR' AND ambito='PM' AND entidade='00100' ) B ON instrmnt_id_as_is = instrmnt_id_to_be WHERE coalesce(cast(rfnnc_prps_as_is as string), '') &lt;&gt; coalesce(cast(rfnnc_prps_to_be as string), '') ) A UNION ALL</v>
      </c>
      <c r="P273" s="17">
        <f t="shared" si="30"/>
        <v>17</v>
      </c>
    </row>
    <row r="274" spans="2:16" s="15" customFormat="1" ht="11.45">
      <c r="B274" s="17" t="s">
        <v>26</v>
      </c>
      <c r="C274" s="17" t="str">
        <f>_xlfn.CONCAT(Instruções!$D$13,".",VLOOKUP(B274,Instruções!$F$12:$H$17,2,0))</f>
        <v>cd_loan_tapes_bce.lt002_instrument</v>
      </c>
      <c r="D274" s="17" t="str">
        <f>_xlfn.CONCAT(Instruções!$D$14,".",VLOOKUP(B274,Instruções!$F$12:$H$17,3,0))</f>
        <v>bu_loantape_work.lt002_instrument</v>
      </c>
      <c r="E274" s="17" t="s">
        <v>318</v>
      </c>
      <c r="F274" s="17" t="str">
        <f t="shared" si="31"/>
        <v>rfrnc_rt_as_is</v>
      </c>
      <c r="G274" s="17" t="str">
        <f t="shared" si="32"/>
        <v>rfrnc_rt_to_be</v>
      </c>
      <c r="H274" s="17" t="str">
        <f>IF(VLOOKUP(B274,Instruções!$F$13:$J$17,5,0)="",
"(SELECT "&amp;VLOOKUP(B274,Instruções!$F$13:$J$17,4,0)&amp;" as "&amp;VLOOKUP(B274,Instruções!$F$13:$J$17,4,0)&amp;"_"&amp;$F$2&amp;", "&amp;E274&amp;" as "&amp;F274&amp;" FROM "&amp;C274&amp;" WHERE "&amp;Instruções!$D$20&amp;") A ",
"(SELECT "&amp;VLOOKUP(B274,Instruções!$F$13:$J$17,4,0)&amp;" as "&amp;VLOOKUP(B274,Instruções!$F$13:$J$17,4,0)&amp;"_"&amp;$F$2&amp;", "&amp;VLOOKUP(B274,Instruções!$F$13:$J$17,5,0)&amp;" as "&amp;VLOOKUP(B274,Instruções!$F$13:$J$17,5,0)&amp;"_"&amp;$F$2&amp;","&amp;E274&amp;" as "&amp;F274&amp;" FROM "&amp;C274&amp;" WHERE "&amp;Instruções!$D$20&amp;") A ")</f>
        <v xml:space="preserve">(SELECT instrmnt_id as instrmnt_id_as_is, rfrnc_rt as rfrnc_rt_as_is FROM cd_loan_tapes_bce.lt002_instrument WHERE ref_date='2024-09-30' AND nome_perimetro='Individual Corporativo' AND segmento='ESTR' AND ambito='PM' AND entidade='00100' ) A </v>
      </c>
      <c r="I274" s="17" t="str">
        <f>IF(VLOOKUP(B274,Instruções!$F$13:$J$17,5,0)="",
"(SELECT "&amp;VLOOKUP(B274,Instruções!$F$13:$J$17,4,0)&amp;" as "&amp;VLOOKUP(B274,Instruções!$F$13:$J$17,4,0)&amp;"_"&amp;$G$2&amp;", "&amp;E274&amp;" as "&amp;G274&amp;" FROM "&amp;D274&amp;" WHERE "&amp;Instruções!$D$21&amp;") B ",
"(SELECT "&amp;VLOOKUP(B274,Instruções!$F$13:$J$17,4,0)&amp;" as "&amp;VLOOKUP(B274,Instruções!$F$13:$J$17,4,0)&amp;"_"&amp;$G$2&amp;", "&amp;VLOOKUP(B274,Instruções!$F$13:$J$17,5,0)&amp;" as "&amp;VLOOKUP(B274,Instruções!$F$13:$J$17,5,0)&amp;"_"&amp;$G$2&amp;","&amp;E274&amp;" as "&amp;G274&amp;" FROM "&amp;D274&amp;" WHERE "&amp;Instruções!$D$21&amp;") B ")</f>
        <v xml:space="preserve">(SELECT instrmnt_id as instrmnt_id_to_be, rfrnc_rt as rfrnc_rt_to_be FROM bu_loantape_work.lt002_instrument WHERE ref_date='2024-09-30' AND nome_perimetro='Individual Corporativo' AND segmento='ESTR' AND ambito='PM' AND entidade='00100' ) B </v>
      </c>
      <c r="J274" s="17" t="str">
        <f>IF(VLOOKUP(B274,Instruções!$F$13:$J$17,5,0)="",
"ON "&amp;VLOOKUP(B274,Instruções!$F$13:$J$17,4,0)&amp;"_"&amp;$F$2&amp;" = "&amp;VLOOKUP(B274,Instruções!$F$13:$J$17,4,0)&amp;"_"&amp;$G$2&amp;" ",
"ON "&amp;VLOOKUP(B274,Instruções!$F$13:$J$17,4,0)&amp;"_"&amp;$F$2&amp;" = "&amp;VLOOKUP(B274,Instruções!$F$13:$J$17,4,0)&amp;"_"&amp;$G$2&amp;" AND "&amp;VLOOKUP(B274,Instruções!$F$13:$J$17,5,0)&amp;"_"&amp;$F$2&amp;" = "&amp;VLOOKUP(B274,Instruções!$F$13:$J$17,5,0)&amp;"_"&amp;$G$2&amp;" ")</f>
        <v xml:space="preserve">ON instrmnt_id_as_is = instrmnt_id_to_be </v>
      </c>
      <c r="K274" s="17" t="str">
        <f t="shared" si="33"/>
        <v xml:space="preserve">WHERE coalesce(cast(rfrnc_rt_as_is as string), '') &lt;&gt; coalesce(cast(rfrnc_rt_to_be as string), '') </v>
      </c>
      <c r="L274" s="17" t="str">
        <f t="shared" si="34"/>
        <v xml:space="preserve">SELECT count(*) AS NUM_REG_DIF FROM (SELECT instrmnt_id as instrmnt_id_as_is, rfrnc_rt as rfrnc_rt_as_is FROM cd_loan_tapes_bce.lt002_instrument WHERE ref_date='2024-09-30' AND nome_perimetro='Individual Corporativo' AND segmento='ESTR' AND ambito='PM' AND entidade='00100' ) A  Inner join (SELECT instrmnt_id as instrmnt_id_to_be, rfrnc_rt as rfrnc_rt_to_be FROM bu_loantape_work.lt002_instrument WHERE ref_date='2024-09-30' AND nome_perimetro='Individual Corporativo' AND segmento='ESTR' AND ambito='PM' AND entidade='00100' ) B ON instrmnt_id_as_is = instrmnt_id_to_be WHERE coalesce(cast(rfrnc_rt_as_is as string), '') &lt;&gt; coalesce(cast(rfrnc_rt_to_be as string), '') </v>
      </c>
      <c r="M274" s="17" t="s">
        <v>55</v>
      </c>
      <c r="N274" s="17" t="str">
        <f>"SELECT 'Validação de campos' as tipologia_teste, '"&amp;VLOOKUP(B274,Instruções!$F$13:$J$17,3,0)&amp;"' AS TABELA, '"&amp;E274&amp;"' AS CAMPO, '"&amp;Instruções!$D$15&amp;"' as ref_date, coalesce(NUM_REG_DIF, 0) AS NUM_REG_DIF FROM ("&amp;L274&amp;") A "</f>
        <v xml:space="preserve">SELECT 'Validação de campos' as tipologia_teste, 'lt002_instrument' AS TABELA, 'rfrnc_rt' AS CAMPO, '2024-09-30' as ref_date, coalesce(NUM_REG_DIF, 0) AS NUM_REG_DIF FROM (SELECT count(*) AS NUM_REG_DIF FROM (SELECT instrmnt_id as instrmnt_id_as_is, rfrnc_rt as rfrnc_rt_as_is FROM cd_loan_tapes_bce.lt002_instrument WHERE ref_date='2024-09-30' AND nome_perimetro='Individual Corporativo' AND segmento='ESTR' AND ambito='PM' AND entidade='00100' ) A  Inner join (SELECT instrmnt_id as instrmnt_id_to_be, rfrnc_rt as rfrnc_rt_to_be FROM bu_loantape_work.lt002_instrument WHERE ref_date='2024-09-30' AND nome_perimetro='Individual Corporativo' AND segmento='ESTR' AND ambito='PM' AND entidade='00100' ) B ON instrmnt_id_as_is = instrmnt_id_to_be WHERE coalesce(cast(rfrnc_rt_as_is as string), '') &lt;&gt; coalesce(cast(rfrnc_rt_to_be as string), '') ) A </v>
      </c>
      <c r="O274" s="19" t="str">
        <f t="shared" si="36"/>
        <v>SELECT 'Validação de campos' as tipologia_teste, 'lt002_instrument' AS TABELA, 'rfrnc_rt' AS CAMPO, '2024-09-30' as ref_date, coalesce(NUM_REG_DIF, 0) AS NUM_REG_DIF FROM (SELECT count(*) AS NUM_REG_DIF FROM (SELECT instrmnt_id as instrmnt_id_as_is, rfrnc_rt as rfrnc_rt_as_is FROM cd_loan_tapes_bce.lt002_instrument WHERE ref_date='2024-09-30' AND nome_perimetro='Individual Corporativo' AND segmento='ESTR' AND ambito='PM' AND entidade='00100' ) A  Inner join (SELECT instrmnt_id as instrmnt_id_to_be, rfrnc_rt as rfrnc_rt_to_be FROM bu_loantape_work.lt002_instrument WHERE ref_date='2024-09-30' AND nome_perimetro='Individual Corporativo' AND segmento='ESTR' AND ambito='PM' AND entidade='00100' ) B ON instrmnt_id_as_is = instrmnt_id_to_be WHERE coalesce(cast(rfrnc_rt_as_is as string), '') &lt;&gt; coalesce(cast(rfrnc_rt_to_be as string), '') ) A UNION ALL</v>
      </c>
      <c r="P274" s="17">
        <f t="shared" si="30"/>
        <v>18</v>
      </c>
    </row>
    <row r="275" spans="2:16" s="15" customFormat="1" ht="11.45">
      <c r="B275" s="17" t="s">
        <v>26</v>
      </c>
      <c r="C275" s="17" t="str">
        <f>_xlfn.CONCAT(Instruções!$D$13,".",VLOOKUP(B275,Instruções!$F$12:$H$17,2,0))</f>
        <v>cd_loan_tapes_bce.lt002_instrument</v>
      </c>
      <c r="D275" s="17" t="str">
        <f>_xlfn.CONCAT(Instruções!$D$14,".",VLOOKUP(B275,Instruções!$F$12:$H$17,3,0))</f>
        <v>bu_loantape_work.lt002_instrument</v>
      </c>
      <c r="E275" s="17" t="s">
        <v>319</v>
      </c>
      <c r="F275" s="17" t="str">
        <f t="shared" si="31"/>
        <v>rre_fnrp18_as_is</v>
      </c>
      <c r="G275" s="17" t="str">
        <f t="shared" si="32"/>
        <v>rre_fnrp18_to_be</v>
      </c>
      <c r="H275" s="17" t="str">
        <f>IF(VLOOKUP(B275,Instruções!$F$13:$J$17,5,0)="",
"(SELECT "&amp;VLOOKUP(B275,Instruções!$F$13:$J$17,4,0)&amp;" as "&amp;VLOOKUP(B275,Instruções!$F$13:$J$17,4,0)&amp;"_"&amp;$F$2&amp;", "&amp;E275&amp;" as "&amp;F275&amp;" FROM "&amp;C275&amp;" WHERE "&amp;Instruções!$D$20&amp;") A ",
"(SELECT "&amp;VLOOKUP(B275,Instruções!$F$13:$J$17,4,0)&amp;" as "&amp;VLOOKUP(B275,Instruções!$F$13:$J$17,4,0)&amp;"_"&amp;$F$2&amp;", "&amp;VLOOKUP(B275,Instruções!$F$13:$J$17,5,0)&amp;" as "&amp;VLOOKUP(B275,Instruções!$F$13:$J$17,5,0)&amp;"_"&amp;$F$2&amp;","&amp;E275&amp;" as "&amp;F275&amp;" FROM "&amp;C275&amp;" WHERE "&amp;Instruções!$D$20&amp;") A ")</f>
        <v xml:space="preserve">(SELECT instrmnt_id as instrmnt_id_as_is, rre_fnrp18 as rre_fnrp18_as_is FROM cd_loan_tapes_bce.lt002_instrument WHERE ref_date='2024-09-30' AND nome_perimetro='Individual Corporativo' AND segmento='ESTR' AND ambito='PM' AND entidade='00100' ) A </v>
      </c>
      <c r="I275" s="17" t="str">
        <f>IF(VLOOKUP(B275,Instruções!$F$13:$J$17,5,0)="",
"(SELECT "&amp;VLOOKUP(B275,Instruções!$F$13:$J$17,4,0)&amp;" as "&amp;VLOOKUP(B275,Instruções!$F$13:$J$17,4,0)&amp;"_"&amp;$G$2&amp;", "&amp;E275&amp;" as "&amp;G275&amp;" FROM "&amp;D275&amp;" WHERE "&amp;Instruções!$D$21&amp;") B ",
"(SELECT "&amp;VLOOKUP(B275,Instruções!$F$13:$J$17,4,0)&amp;" as "&amp;VLOOKUP(B275,Instruções!$F$13:$J$17,4,0)&amp;"_"&amp;$G$2&amp;", "&amp;VLOOKUP(B275,Instruções!$F$13:$J$17,5,0)&amp;" as "&amp;VLOOKUP(B275,Instruções!$F$13:$J$17,5,0)&amp;"_"&amp;$G$2&amp;","&amp;E275&amp;" as "&amp;G275&amp;" FROM "&amp;D275&amp;" WHERE "&amp;Instruções!$D$21&amp;") B ")</f>
        <v xml:space="preserve">(SELECT instrmnt_id as instrmnt_id_to_be, rre_fnrp18 as rre_fnrp18_to_be FROM bu_loantape_work.lt002_instrument WHERE ref_date='2024-09-30' AND nome_perimetro='Individual Corporativo' AND segmento='ESTR' AND ambito='PM' AND entidade='00100' ) B </v>
      </c>
      <c r="J275" s="17" t="str">
        <f>IF(VLOOKUP(B275,Instruções!$F$13:$J$17,5,0)="",
"ON "&amp;VLOOKUP(B275,Instruções!$F$13:$J$17,4,0)&amp;"_"&amp;$F$2&amp;" = "&amp;VLOOKUP(B275,Instruções!$F$13:$J$17,4,0)&amp;"_"&amp;$G$2&amp;" ",
"ON "&amp;VLOOKUP(B275,Instruções!$F$13:$J$17,4,0)&amp;"_"&amp;$F$2&amp;" = "&amp;VLOOKUP(B275,Instruções!$F$13:$J$17,4,0)&amp;"_"&amp;$G$2&amp;" AND "&amp;VLOOKUP(B275,Instruções!$F$13:$J$17,5,0)&amp;"_"&amp;$F$2&amp;" = "&amp;VLOOKUP(B275,Instruções!$F$13:$J$17,5,0)&amp;"_"&amp;$G$2&amp;" ")</f>
        <v xml:space="preserve">ON instrmnt_id_as_is = instrmnt_id_to_be </v>
      </c>
      <c r="K275" s="17" t="str">
        <f t="shared" si="33"/>
        <v xml:space="preserve">WHERE coalesce(cast(rre_fnrp18_as_is as string), '') &lt;&gt; coalesce(cast(rre_fnrp18_to_be as string), '') </v>
      </c>
      <c r="L275" s="17" t="str">
        <f t="shared" si="34"/>
        <v xml:space="preserve">SELECT count(*) AS NUM_REG_DIF FROM (SELECT instrmnt_id as instrmnt_id_as_is, rre_fnrp18 as rre_fnrp18_as_is FROM cd_loan_tapes_bce.lt002_instrument WHERE ref_date='2024-09-30' AND nome_perimetro='Individual Corporativo' AND segmento='ESTR' AND ambito='PM' AND entidade='00100' ) A  Inner join (SELECT instrmnt_id as instrmnt_id_to_be, rre_fnrp18 as rre_fnrp18_to_be FROM bu_loantape_work.lt002_instrument WHERE ref_date='2024-09-30' AND nome_perimetro='Individual Corporativo' AND segmento='ESTR' AND ambito='PM' AND entidade='00100' ) B ON instrmnt_id_as_is = instrmnt_id_to_be WHERE coalesce(cast(rre_fnrp18_as_is as string), '') &lt;&gt; coalesce(cast(rre_fnrp18_to_be as string), '') </v>
      </c>
      <c r="M275" s="17" t="s">
        <v>55</v>
      </c>
      <c r="N275" s="17" t="str">
        <f>"SELECT 'Validação de campos' as tipologia_teste, '"&amp;VLOOKUP(B275,Instruções!$F$13:$J$17,3,0)&amp;"' AS TABELA, '"&amp;E275&amp;"' AS CAMPO, '"&amp;Instruções!$D$15&amp;"' as ref_date, coalesce(NUM_REG_DIF, 0) AS NUM_REG_DIF FROM ("&amp;L275&amp;") A "</f>
        <v xml:space="preserve">SELECT 'Validação de campos' as tipologia_teste, 'lt002_instrument' AS TABELA, 'rre_fnrp18' AS CAMPO, '2024-09-30' as ref_date, coalesce(NUM_REG_DIF, 0) AS NUM_REG_DIF FROM (SELECT count(*) AS NUM_REG_DIF FROM (SELECT instrmnt_id as instrmnt_id_as_is, rre_fnrp18 as rre_fnrp18_as_is FROM cd_loan_tapes_bce.lt002_instrument WHERE ref_date='2024-09-30' AND nome_perimetro='Individual Corporativo' AND segmento='ESTR' AND ambito='PM' AND entidade='00100' ) A  Inner join (SELECT instrmnt_id as instrmnt_id_to_be, rre_fnrp18 as rre_fnrp18_to_be FROM bu_loantape_work.lt002_instrument WHERE ref_date='2024-09-30' AND nome_perimetro='Individual Corporativo' AND segmento='ESTR' AND ambito='PM' AND entidade='00100' ) B ON instrmnt_id_as_is = instrmnt_id_to_be WHERE coalesce(cast(rre_fnrp18_as_is as string), '') &lt;&gt; coalesce(cast(rre_fnrp18_to_be as string), '') ) A </v>
      </c>
      <c r="O275" s="19" t="str">
        <f t="shared" si="36"/>
        <v>SELECT 'Validação de campos' as tipologia_teste, 'lt002_instrument' AS TABELA, 'rre_fnrp18' AS CAMPO, '2024-09-30' as ref_date, coalesce(NUM_REG_DIF, 0) AS NUM_REG_DIF FROM (SELECT count(*) AS NUM_REG_DIF FROM (SELECT instrmnt_id as instrmnt_id_as_is, rre_fnrp18 as rre_fnrp18_as_is FROM cd_loan_tapes_bce.lt002_instrument WHERE ref_date='2024-09-30' AND nome_perimetro='Individual Corporativo' AND segmento='ESTR' AND ambito='PM' AND entidade='00100' ) A  Inner join (SELECT instrmnt_id as instrmnt_id_to_be, rre_fnrp18 as rre_fnrp18_to_be FROM bu_loantape_work.lt002_instrument WHERE ref_date='2024-09-30' AND nome_perimetro='Individual Corporativo' AND segmento='ESTR' AND ambito='PM' AND entidade='00100' ) B ON instrmnt_id_as_is = instrmnt_id_to_be WHERE coalesce(cast(rre_fnrp18_as_is as string), '') &lt;&gt; coalesce(cast(rre_fnrp18_to_be as string), '') ) A UNION ALL</v>
      </c>
      <c r="P275" s="17">
        <f t="shared" si="30"/>
        <v>19</v>
      </c>
    </row>
    <row r="276" spans="2:16" s="15" customFormat="1" ht="11.45">
      <c r="B276" s="17" t="s">
        <v>26</v>
      </c>
      <c r="C276" s="17" t="str">
        <f>_xlfn.CONCAT(Instruções!$D$13,".",VLOOKUP(B276,Instruções!$F$12:$H$17,2,0))</f>
        <v>cd_loan_tapes_bce.lt002_instrument</v>
      </c>
      <c r="D276" s="17" t="str">
        <f>_xlfn.CONCAT(Instruções!$D$14,".",VLOOKUP(B276,Instruções!$F$12:$H$17,3,0))</f>
        <v>bu_loantape_work.lt002_instrument</v>
      </c>
      <c r="E276" s="17" t="s">
        <v>145</v>
      </c>
      <c r="F276" s="17" t="str">
        <f t="shared" si="31"/>
        <v>rtng_mthd_as_is</v>
      </c>
      <c r="G276" s="17" t="str">
        <f t="shared" si="32"/>
        <v>rtng_mthd_to_be</v>
      </c>
      <c r="H276" s="17" t="str">
        <f>IF(VLOOKUP(B276,Instruções!$F$13:$J$17,5,0)="",
"(SELECT "&amp;VLOOKUP(B276,Instruções!$F$13:$J$17,4,0)&amp;" as "&amp;VLOOKUP(B276,Instruções!$F$13:$J$17,4,0)&amp;"_"&amp;$F$2&amp;", "&amp;E276&amp;" as "&amp;F276&amp;" FROM "&amp;C276&amp;" WHERE "&amp;Instruções!$D$20&amp;") A ",
"(SELECT "&amp;VLOOKUP(B276,Instruções!$F$13:$J$17,4,0)&amp;" as "&amp;VLOOKUP(B276,Instruções!$F$13:$J$17,4,0)&amp;"_"&amp;$F$2&amp;", "&amp;VLOOKUP(B276,Instruções!$F$13:$J$17,5,0)&amp;" as "&amp;VLOOKUP(B276,Instruções!$F$13:$J$17,5,0)&amp;"_"&amp;$F$2&amp;","&amp;E276&amp;" as "&amp;F276&amp;" FROM "&amp;C276&amp;" WHERE "&amp;Instruções!$D$20&amp;") A ")</f>
        <v xml:space="preserve">(SELECT instrmnt_id as instrmnt_id_as_is, rtng_mthd as rtng_mthd_as_is FROM cd_loan_tapes_bce.lt002_instrument WHERE ref_date='2024-09-30' AND nome_perimetro='Individual Corporativo' AND segmento='ESTR' AND ambito='PM' AND entidade='00100' ) A </v>
      </c>
      <c r="I276" s="17" t="str">
        <f>IF(VLOOKUP(B276,Instruções!$F$13:$J$17,5,0)="",
"(SELECT "&amp;VLOOKUP(B276,Instruções!$F$13:$J$17,4,0)&amp;" as "&amp;VLOOKUP(B276,Instruções!$F$13:$J$17,4,0)&amp;"_"&amp;$G$2&amp;", "&amp;E276&amp;" as "&amp;G276&amp;" FROM "&amp;D276&amp;" WHERE "&amp;Instruções!$D$21&amp;") B ",
"(SELECT "&amp;VLOOKUP(B276,Instruções!$F$13:$J$17,4,0)&amp;" as "&amp;VLOOKUP(B276,Instruções!$F$13:$J$17,4,0)&amp;"_"&amp;$G$2&amp;", "&amp;VLOOKUP(B276,Instruções!$F$13:$J$17,5,0)&amp;" as "&amp;VLOOKUP(B276,Instruções!$F$13:$J$17,5,0)&amp;"_"&amp;$G$2&amp;","&amp;E276&amp;" as "&amp;G276&amp;" FROM "&amp;D276&amp;" WHERE "&amp;Instruções!$D$21&amp;") B ")</f>
        <v xml:space="preserve">(SELECT instrmnt_id as instrmnt_id_to_be, rtng_mthd as rtng_mthd_to_be FROM bu_loantape_work.lt002_instrument WHERE ref_date='2024-09-30' AND nome_perimetro='Individual Corporativo' AND segmento='ESTR' AND ambito='PM' AND entidade='00100' ) B </v>
      </c>
      <c r="J276" s="17" t="str">
        <f>IF(VLOOKUP(B276,Instruções!$F$13:$J$17,5,0)="",
"ON "&amp;VLOOKUP(B276,Instruções!$F$13:$J$17,4,0)&amp;"_"&amp;$F$2&amp;" = "&amp;VLOOKUP(B276,Instruções!$F$13:$J$17,4,0)&amp;"_"&amp;$G$2&amp;" ",
"ON "&amp;VLOOKUP(B276,Instruções!$F$13:$J$17,4,0)&amp;"_"&amp;$F$2&amp;" = "&amp;VLOOKUP(B276,Instruções!$F$13:$J$17,4,0)&amp;"_"&amp;$G$2&amp;" AND "&amp;VLOOKUP(B276,Instruções!$F$13:$J$17,5,0)&amp;"_"&amp;$F$2&amp;" = "&amp;VLOOKUP(B276,Instruções!$F$13:$J$17,5,0)&amp;"_"&amp;$G$2&amp;" ")</f>
        <v xml:space="preserve">ON instrmnt_id_as_is = instrmnt_id_to_be </v>
      </c>
      <c r="K276" s="17" t="str">
        <f t="shared" si="33"/>
        <v xml:space="preserve">WHERE coalesce(cast(rtng_mthd_as_is as string), '') &lt;&gt; coalesce(cast(rtng_mthd_to_be as string), '') </v>
      </c>
      <c r="L276" s="17" t="str">
        <f t="shared" si="34"/>
        <v xml:space="preserve">SELECT count(*) AS NUM_REG_DIF FROM (SELECT instrmnt_id as instrmnt_id_as_is, rtng_mthd as rtng_mthd_as_is FROM cd_loan_tapes_bce.lt002_instrument WHERE ref_date='2024-09-30' AND nome_perimetro='Individual Corporativo' AND segmento='ESTR' AND ambito='PM' AND entidade='00100' ) A  Inner join (SELECT instrmnt_id as instrmnt_id_to_be, rtng_mthd as rtng_mthd_to_be FROM bu_loantape_work.lt002_instrument WHERE ref_date='2024-09-30' AND nome_perimetro='Individual Corporativo' AND segmento='ESTR' AND ambito='PM' AND entidade='00100' ) B ON instrmnt_id_as_is = instrmnt_id_to_be WHERE coalesce(cast(rtng_mthd_as_is as string), '') &lt;&gt; coalesce(cast(rtng_mthd_to_be as string), '') </v>
      </c>
      <c r="M276" s="17" t="s">
        <v>55</v>
      </c>
      <c r="N276" s="17" t="str">
        <f>"SELECT 'Validação de campos' as tipologia_teste, '"&amp;VLOOKUP(B276,Instruções!$F$13:$J$17,3,0)&amp;"' AS TABELA, '"&amp;E276&amp;"' AS CAMPO, '"&amp;Instruções!$D$15&amp;"' as ref_date, coalesce(NUM_REG_DIF, 0) AS NUM_REG_DIF FROM ("&amp;L276&amp;") A "</f>
        <v xml:space="preserve">SELECT 'Validação de campos' as tipologia_teste, 'lt002_instrument' AS TABELA, 'rtng_mthd' AS CAMPO, '2024-09-30' as ref_date, coalesce(NUM_REG_DIF, 0) AS NUM_REG_DIF FROM (SELECT count(*) AS NUM_REG_DIF FROM (SELECT instrmnt_id as instrmnt_id_as_is, rtng_mthd as rtng_mthd_as_is FROM cd_loan_tapes_bce.lt002_instrument WHERE ref_date='2024-09-30' AND nome_perimetro='Individual Corporativo' AND segmento='ESTR' AND ambito='PM' AND entidade='00100' ) A  Inner join (SELECT instrmnt_id as instrmnt_id_to_be, rtng_mthd as rtng_mthd_to_be FROM bu_loantape_work.lt002_instrument WHERE ref_date='2024-09-30' AND nome_perimetro='Individual Corporativo' AND segmento='ESTR' AND ambito='PM' AND entidade='00100' ) B ON instrmnt_id_as_is = instrmnt_id_to_be WHERE coalesce(cast(rtng_mthd_as_is as string), '') &lt;&gt; coalesce(cast(rtng_mthd_to_be as string), '') ) A </v>
      </c>
      <c r="O276" s="19" t="str">
        <f t="shared" si="36"/>
        <v>SELECT 'Validação de campos' as tipologia_teste, 'lt002_instrument' AS TABELA, 'rtng_mthd' AS CAMPO, '2024-09-30' as ref_date, coalesce(NUM_REG_DIF, 0) AS NUM_REG_DIF FROM (SELECT count(*) AS NUM_REG_DIF FROM (SELECT instrmnt_id as instrmnt_id_as_is, rtng_mthd as rtng_mthd_as_is FROM cd_loan_tapes_bce.lt002_instrument WHERE ref_date='2024-09-30' AND nome_perimetro='Individual Corporativo' AND segmento='ESTR' AND ambito='PM' AND entidade='00100' ) A  Inner join (SELECT instrmnt_id as instrmnt_id_to_be, rtng_mthd as rtng_mthd_to_be FROM bu_loantape_work.lt002_instrument WHERE ref_date='2024-09-30' AND nome_perimetro='Individual Corporativo' AND segmento='ESTR' AND ambito='PM' AND entidade='00100' ) B ON instrmnt_id_as_is = instrmnt_id_to_be WHERE coalesce(cast(rtng_mthd_as_is as string), '') &lt;&gt; coalesce(cast(rtng_mthd_to_be as string), '') ) A UNION ALL</v>
      </c>
      <c r="P276" s="17">
        <f t="shared" si="30"/>
        <v>20</v>
      </c>
    </row>
    <row r="277" spans="2:16" s="15" customFormat="1" ht="11.45">
      <c r="B277" s="17" t="s">
        <v>26</v>
      </c>
      <c r="C277" s="17" t="str">
        <f>_xlfn.CONCAT(Instruções!$D$13,".",VLOOKUP(B277,Instruções!$F$12:$H$17,2,0))</f>
        <v>cd_loan_tapes_bce.lt002_instrument</v>
      </c>
      <c r="D277" s="17" t="str">
        <f>_xlfn.CONCAT(Instruções!$D$14,".",VLOOKUP(B277,Instruções!$F$12:$H$17,3,0))</f>
        <v>bu_loantape_work.lt002_instrument</v>
      </c>
      <c r="E277" s="17" t="s">
        <v>146</v>
      </c>
      <c r="F277" s="17" t="str">
        <f t="shared" si="31"/>
        <v>rtng_scl_as_is</v>
      </c>
      <c r="G277" s="17" t="str">
        <f t="shared" si="32"/>
        <v>rtng_scl_to_be</v>
      </c>
      <c r="H277" s="17" t="str">
        <f>IF(VLOOKUP(B277,Instruções!$F$13:$J$17,5,0)="",
"(SELECT "&amp;VLOOKUP(B277,Instruções!$F$13:$J$17,4,0)&amp;" as "&amp;VLOOKUP(B277,Instruções!$F$13:$J$17,4,0)&amp;"_"&amp;$F$2&amp;", "&amp;E277&amp;" as "&amp;F277&amp;" FROM "&amp;C277&amp;" WHERE "&amp;Instruções!$D$20&amp;") A ",
"(SELECT "&amp;VLOOKUP(B277,Instruções!$F$13:$J$17,4,0)&amp;" as "&amp;VLOOKUP(B277,Instruções!$F$13:$J$17,4,0)&amp;"_"&amp;$F$2&amp;", "&amp;VLOOKUP(B277,Instruções!$F$13:$J$17,5,0)&amp;" as "&amp;VLOOKUP(B277,Instruções!$F$13:$J$17,5,0)&amp;"_"&amp;$F$2&amp;","&amp;E277&amp;" as "&amp;F277&amp;" FROM "&amp;C277&amp;" WHERE "&amp;Instruções!$D$20&amp;") A ")</f>
        <v xml:space="preserve">(SELECT instrmnt_id as instrmnt_id_as_is, rtng_scl as rtng_scl_as_is FROM cd_loan_tapes_bce.lt002_instrument WHERE ref_date='2024-09-30' AND nome_perimetro='Individual Corporativo' AND segmento='ESTR' AND ambito='PM' AND entidade='00100' ) A </v>
      </c>
      <c r="I277" s="17" t="str">
        <f>IF(VLOOKUP(B277,Instruções!$F$13:$J$17,5,0)="",
"(SELECT "&amp;VLOOKUP(B277,Instruções!$F$13:$J$17,4,0)&amp;" as "&amp;VLOOKUP(B277,Instruções!$F$13:$J$17,4,0)&amp;"_"&amp;$G$2&amp;", "&amp;E277&amp;" as "&amp;G277&amp;" FROM "&amp;D277&amp;" WHERE "&amp;Instruções!$D$21&amp;") B ",
"(SELECT "&amp;VLOOKUP(B277,Instruções!$F$13:$J$17,4,0)&amp;" as "&amp;VLOOKUP(B277,Instruções!$F$13:$J$17,4,0)&amp;"_"&amp;$G$2&amp;", "&amp;VLOOKUP(B277,Instruções!$F$13:$J$17,5,0)&amp;" as "&amp;VLOOKUP(B277,Instruções!$F$13:$J$17,5,0)&amp;"_"&amp;$G$2&amp;","&amp;E277&amp;" as "&amp;G277&amp;" FROM "&amp;D277&amp;" WHERE "&amp;Instruções!$D$21&amp;") B ")</f>
        <v xml:space="preserve">(SELECT instrmnt_id as instrmnt_id_to_be, rtng_scl as rtng_scl_to_be FROM bu_loantape_work.lt002_instrument WHERE ref_date='2024-09-30' AND nome_perimetro='Individual Corporativo' AND segmento='ESTR' AND ambito='PM' AND entidade='00100' ) B </v>
      </c>
      <c r="J277" s="17" t="str">
        <f>IF(VLOOKUP(B277,Instruções!$F$13:$J$17,5,0)="",
"ON "&amp;VLOOKUP(B277,Instruções!$F$13:$J$17,4,0)&amp;"_"&amp;$F$2&amp;" = "&amp;VLOOKUP(B277,Instruções!$F$13:$J$17,4,0)&amp;"_"&amp;$G$2&amp;" ",
"ON "&amp;VLOOKUP(B277,Instruções!$F$13:$J$17,4,0)&amp;"_"&amp;$F$2&amp;" = "&amp;VLOOKUP(B277,Instruções!$F$13:$J$17,4,0)&amp;"_"&amp;$G$2&amp;" AND "&amp;VLOOKUP(B277,Instruções!$F$13:$J$17,5,0)&amp;"_"&amp;$F$2&amp;" = "&amp;VLOOKUP(B277,Instruções!$F$13:$J$17,5,0)&amp;"_"&amp;$G$2&amp;" ")</f>
        <v xml:space="preserve">ON instrmnt_id_as_is = instrmnt_id_to_be </v>
      </c>
      <c r="K277" s="17" t="str">
        <f t="shared" si="33"/>
        <v xml:space="preserve">WHERE coalesce(cast(rtng_scl_as_is as string), '') &lt;&gt; coalesce(cast(rtng_scl_to_be as string), '') </v>
      </c>
      <c r="L277" s="17" t="str">
        <f t="shared" si="34"/>
        <v xml:space="preserve">SELECT count(*) AS NUM_REG_DIF FROM (SELECT instrmnt_id as instrmnt_id_as_is, rtng_scl as rtng_scl_as_is FROM cd_loan_tapes_bce.lt002_instrument WHERE ref_date='2024-09-30' AND nome_perimetro='Individual Corporativo' AND segmento='ESTR' AND ambito='PM' AND entidade='00100' ) A  Inner join (SELECT instrmnt_id as instrmnt_id_to_be, rtng_scl as rtng_scl_to_be FROM bu_loantape_work.lt002_instrument WHERE ref_date='2024-09-30' AND nome_perimetro='Individual Corporativo' AND segmento='ESTR' AND ambito='PM' AND entidade='00100' ) B ON instrmnt_id_as_is = instrmnt_id_to_be WHERE coalesce(cast(rtng_scl_as_is as string), '') &lt;&gt; coalesce(cast(rtng_scl_to_be as string), '') </v>
      </c>
      <c r="M277" s="17" t="s">
        <v>55</v>
      </c>
      <c r="N277" s="17" t="str">
        <f>"SELECT 'Validação de campos' as tipologia_teste, '"&amp;VLOOKUP(B277,Instruções!$F$13:$J$17,3,0)&amp;"' AS TABELA, '"&amp;E277&amp;"' AS CAMPO, '"&amp;Instruções!$D$15&amp;"' as ref_date, coalesce(NUM_REG_DIF, 0) AS NUM_REG_DIF FROM ("&amp;L277&amp;") A "</f>
        <v xml:space="preserve">SELECT 'Validação de campos' as tipologia_teste, 'lt002_instrument' AS TABELA, 'rtng_scl' AS CAMPO, '2024-09-30' as ref_date, coalesce(NUM_REG_DIF, 0) AS NUM_REG_DIF FROM (SELECT count(*) AS NUM_REG_DIF FROM (SELECT instrmnt_id as instrmnt_id_as_is, rtng_scl as rtng_scl_as_is FROM cd_loan_tapes_bce.lt002_instrument WHERE ref_date='2024-09-30' AND nome_perimetro='Individual Corporativo' AND segmento='ESTR' AND ambito='PM' AND entidade='00100' ) A  Inner join (SELECT instrmnt_id as instrmnt_id_to_be, rtng_scl as rtng_scl_to_be FROM bu_loantape_work.lt002_instrument WHERE ref_date='2024-09-30' AND nome_perimetro='Individual Corporativo' AND segmento='ESTR' AND ambito='PM' AND entidade='00100' ) B ON instrmnt_id_as_is = instrmnt_id_to_be WHERE coalesce(cast(rtng_scl_as_is as string), '') &lt;&gt; coalesce(cast(rtng_scl_to_be as string), '') ) A </v>
      </c>
      <c r="O277" s="19" t="str">
        <f t="shared" si="36"/>
        <v>SELECT 'Validação de campos' as tipologia_teste, 'lt002_instrument' AS TABELA, 'rtng_scl' AS CAMPO, '2024-09-30' as ref_date, coalesce(NUM_REG_DIF, 0) AS NUM_REG_DIF FROM (SELECT count(*) AS NUM_REG_DIF FROM (SELECT instrmnt_id as instrmnt_id_as_is, rtng_scl as rtng_scl_as_is FROM cd_loan_tapes_bce.lt002_instrument WHERE ref_date='2024-09-30' AND nome_perimetro='Individual Corporativo' AND segmento='ESTR' AND ambito='PM' AND entidade='00100' ) A  Inner join (SELECT instrmnt_id as instrmnt_id_to_be, rtng_scl as rtng_scl_to_be FROM bu_loantape_work.lt002_instrument WHERE ref_date='2024-09-30' AND nome_perimetro='Individual Corporativo' AND segmento='ESTR' AND ambito='PM' AND entidade='00100' ) B ON instrmnt_id_as_is = instrmnt_id_to_be WHERE coalesce(cast(rtng_scl_as_is as string), '') &lt;&gt; coalesce(cast(rtng_scl_to_be as string), '') ) A UNION ALL</v>
      </c>
      <c r="P277" s="17">
        <f t="shared" si="30"/>
        <v>21</v>
      </c>
    </row>
    <row r="278" spans="2:16" s="15" customFormat="1" ht="11.45">
      <c r="B278" s="17" t="s">
        <v>26</v>
      </c>
      <c r="C278" s="17" t="str">
        <f>_xlfn.CONCAT(Instruções!$D$13,".",VLOOKUP(B278,Instruções!$F$12:$H$17,2,0))</f>
        <v>cd_loan_tapes_bce.lt002_instrument</v>
      </c>
      <c r="D278" s="17" t="str">
        <f>_xlfn.CONCAT(Instruções!$D$14,".",VLOOKUP(B278,Instruções!$F$12:$H$17,3,0))</f>
        <v>bu_loantape_work.lt002_instrument</v>
      </c>
      <c r="E278" s="17" t="s">
        <v>320</v>
      </c>
      <c r="F278" s="17" t="str">
        <f t="shared" si="31"/>
        <v>rtntn_shr_as_is</v>
      </c>
      <c r="G278" s="17" t="str">
        <f t="shared" si="32"/>
        <v>rtntn_shr_to_be</v>
      </c>
      <c r="H278" s="17" t="str">
        <f>IF(VLOOKUP(B278,Instruções!$F$13:$J$17,5,0)="",
"(SELECT "&amp;VLOOKUP(B278,Instruções!$F$13:$J$17,4,0)&amp;" as "&amp;VLOOKUP(B278,Instruções!$F$13:$J$17,4,0)&amp;"_"&amp;$F$2&amp;", "&amp;E278&amp;" as "&amp;F278&amp;" FROM "&amp;C278&amp;" WHERE "&amp;Instruções!$D$20&amp;") A ",
"(SELECT "&amp;VLOOKUP(B278,Instruções!$F$13:$J$17,4,0)&amp;" as "&amp;VLOOKUP(B278,Instruções!$F$13:$J$17,4,0)&amp;"_"&amp;$F$2&amp;", "&amp;VLOOKUP(B278,Instruções!$F$13:$J$17,5,0)&amp;" as "&amp;VLOOKUP(B278,Instruções!$F$13:$J$17,5,0)&amp;"_"&amp;$F$2&amp;","&amp;E278&amp;" as "&amp;F278&amp;" FROM "&amp;C278&amp;" WHERE "&amp;Instruções!$D$20&amp;") A ")</f>
        <v xml:space="preserve">(SELECT instrmnt_id as instrmnt_id_as_is, rtntn_shr as rtntn_shr_as_is FROM cd_loan_tapes_bce.lt002_instrument WHERE ref_date='2024-09-30' AND nome_perimetro='Individual Corporativo' AND segmento='ESTR' AND ambito='PM' AND entidade='00100' ) A </v>
      </c>
      <c r="I278" s="17" t="str">
        <f>IF(VLOOKUP(B278,Instruções!$F$13:$J$17,5,0)="",
"(SELECT "&amp;VLOOKUP(B278,Instruções!$F$13:$J$17,4,0)&amp;" as "&amp;VLOOKUP(B278,Instruções!$F$13:$J$17,4,0)&amp;"_"&amp;$G$2&amp;", "&amp;E278&amp;" as "&amp;G278&amp;" FROM "&amp;D278&amp;" WHERE "&amp;Instruções!$D$21&amp;") B ",
"(SELECT "&amp;VLOOKUP(B278,Instruções!$F$13:$J$17,4,0)&amp;" as "&amp;VLOOKUP(B278,Instruções!$F$13:$J$17,4,0)&amp;"_"&amp;$G$2&amp;", "&amp;VLOOKUP(B278,Instruções!$F$13:$J$17,5,0)&amp;" as "&amp;VLOOKUP(B278,Instruções!$F$13:$J$17,5,0)&amp;"_"&amp;$G$2&amp;","&amp;E278&amp;" as "&amp;G278&amp;" FROM "&amp;D278&amp;" WHERE "&amp;Instruções!$D$21&amp;") B ")</f>
        <v xml:space="preserve">(SELECT instrmnt_id as instrmnt_id_to_be, rtntn_shr as rtntn_shr_to_be FROM bu_loantape_work.lt002_instrument WHERE ref_date='2024-09-30' AND nome_perimetro='Individual Corporativo' AND segmento='ESTR' AND ambito='PM' AND entidade='00100' ) B </v>
      </c>
      <c r="J278" s="17" t="str">
        <f>IF(VLOOKUP(B278,Instruções!$F$13:$J$17,5,0)="",
"ON "&amp;VLOOKUP(B278,Instruções!$F$13:$J$17,4,0)&amp;"_"&amp;$F$2&amp;" = "&amp;VLOOKUP(B278,Instruções!$F$13:$J$17,4,0)&amp;"_"&amp;$G$2&amp;" ",
"ON "&amp;VLOOKUP(B278,Instruções!$F$13:$J$17,4,0)&amp;"_"&amp;$F$2&amp;" = "&amp;VLOOKUP(B278,Instruções!$F$13:$J$17,4,0)&amp;"_"&amp;$G$2&amp;" AND "&amp;VLOOKUP(B278,Instruções!$F$13:$J$17,5,0)&amp;"_"&amp;$F$2&amp;" = "&amp;VLOOKUP(B278,Instruções!$F$13:$J$17,5,0)&amp;"_"&amp;$G$2&amp;" ")</f>
        <v xml:space="preserve">ON instrmnt_id_as_is = instrmnt_id_to_be </v>
      </c>
      <c r="K278" s="17" t="str">
        <f t="shared" si="33"/>
        <v xml:space="preserve">WHERE coalesce(cast(rtntn_shr_as_is as string), '') &lt;&gt; coalesce(cast(rtntn_shr_to_be as string), '') </v>
      </c>
      <c r="L278" s="17" t="str">
        <f t="shared" si="34"/>
        <v xml:space="preserve">SELECT count(*) AS NUM_REG_DIF FROM (SELECT instrmnt_id as instrmnt_id_as_is, rtntn_shr as rtntn_shr_as_is FROM cd_loan_tapes_bce.lt002_instrument WHERE ref_date='2024-09-30' AND nome_perimetro='Individual Corporativo' AND segmento='ESTR' AND ambito='PM' AND entidade='00100' ) A  Inner join (SELECT instrmnt_id as instrmnt_id_to_be, rtntn_shr as rtntn_shr_to_be FROM bu_loantape_work.lt002_instrument WHERE ref_date='2024-09-30' AND nome_perimetro='Individual Corporativo' AND segmento='ESTR' AND ambito='PM' AND entidade='00100' ) B ON instrmnt_id_as_is = instrmnt_id_to_be WHERE coalesce(cast(rtntn_shr_as_is as string), '') &lt;&gt; coalesce(cast(rtntn_shr_to_be as string), '') </v>
      </c>
      <c r="M278" s="17" t="s">
        <v>55</v>
      </c>
      <c r="N278" s="17" t="str">
        <f>"SELECT 'Validação de campos' as tipologia_teste, '"&amp;VLOOKUP(B278,Instruções!$F$13:$J$17,3,0)&amp;"' AS TABELA, '"&amp;E278&amp;"' AS CAMPO, '"&amp;Instruções!$D$15&amp;"' as ref_date, coalesce(NUM_REG_DIF, 0) AS NUM_REG_DIF FROM ("&amp;L278&amp;") A "</f>
        <v xml:space="preserve">SELECT 'Validação de campos' as tipologia_teste, 'lt002_instrument' AS TABELA, 'rtntn_shr' AS CAMPO, '2024-09-30' as ref_date, coalesce(NUM_REG_DIF, 0) AS NUM_REG_DIF FROM (SELECT count(*) AS NUM_REG_DIF FROM (SELECT instrmnt_id as instrmnt_id_as_is, rtntn_shr as rtntn_shr_as_is FROM cd_loan_tapes_bce.lt002_instrument WHERE ref_date='2024-09-30' AND nome_perimetro='Individual Corporativo' AND segmento='ESTR' AND ambito='PM' AND entidade='00100' ) A  Inner join (SELECT instrmnt_id as instrmnt_id_to_be, rtntn_shr as rtntn_shr_to_be FROM bu_loantape_work.lt002_instrument WHERE ref_date='2024-09-30' AND nome_perimetro='Individual Corporativo' AND segmento='ESTR' AND ambito='PM' AND entidade='00100' ) B ON instrmnt_id_as_is = instrmnt_id_to_be WHERE coalesce(cast(rtntn_shr_as_is as string), '') &lt;&gt; coalesce(cast(rtntn_shr_to_be as string), '') ) A </v>
      </c>
      <c r="O278" s="19" t="str">
        <f>IF(O279="",N278,N278&amp;$O$3)</f>
        <v>SELECT 'Validação de campos' as tipologia_teste, 'lt002_instrument' AS TABELA, 'rtntn_shr' AS CAMPO, '2024-09-30' as ref_date, coalesce(NUM_REG_DIF, 0) AS NUM_REG_DIF FROM (SELECT count(*) AS NUM_REG_DIF FROM (SELECT instrmnt_id as instrmnt_id_as_is, rtntn_shr as rtntn_shr_as_is FROM cd_loan_tapes_bce.lt002_instrument WHERE ref_date='2024-09-30' AND nome_perimetro='Individual Corporativo' AND segmento='ESTR' AND ambito='PM' AND entidade='00100' ) A  Inner join (SELECT instrmnt_id as instrmnt_id_to_be, rtntn_shr as rtntn_shr_to_be FROM bu_loantape_work.lt002_instrument WHERE ref_date='2024-09-30' AND nome_perimetro='Individual Corporativo' AND segmento='ESTR' AND ambito='PM' AND entidade='00100' ) B ON instrmnt_id_as_is = instrmnt_id_to_be WHERE coalesce(cast(rtntn_shr_as_is as string), '') &lt;&gt; coalesce(cast(rtntn_shr_to_be as string), '') ) A UNION ALL</v>
      </c>
      <c r="P278" s="17">
        <f t="shared" si="30"/>
        <v>22</v>
      </c>
    </row>
    <row r="279" spans="2:16" s="15" customFormat="1" ht="11.45">
      <c r="B279" s="17" t="s">
        <v>26</v>
      </c>
      <c r="C279" s="17" t="str">
        <f>_xlfn.CONCAT(Instruções!$D$13,".",VLOOKUP(B279,Instruções!$F$12:$H$17,2,0))</f>
        <v>cd_loan_tapes_bce.lt002_instrument</v>
      </c>
      <c r="D279" s="17" t="str">
        <f>_xlfn.CONCAT(Instruções!$D$14,".",VLOOKUP(B279,Instruções!$F$12:$H$17,3,0))</f>
        <v>bu_loantape_work.lt002_instrument</v>
      </c>
      <c r="E279" s="17" t="s">
        <v>321</v>
      </c>
      <c r="F279" s="17" t="str">
        <f t="shared" si="31"/>
        <v>rwa_as_is</v>
      </c>
      <c r="G279" s="17" t="str">
        <f t="shared" si="32"/>
        <v>rwa_to_be</v>
      </c>
      <c r="H279" s="17" t="str">
        <f>IF(VLOOKUP(B279,Instruções!$F$13:$J$17,5,0)="",
"(SELECT "&amp;VLOOKUP(B279,Instruções!$F$13:$J$17,4,0)&amp;" as "&amp;VLOOKUP(B279,Instruções!$F$13:$J$17,4,0)&amp;"_"&amp;$F$2&amp;", "&amp;E279&amp;" as "&amp;F279&amp;" FROM "&amp;C279&amp;" WHERE "&amp;Instruções!$D$20&amp;") A ",
"(SELECT "&amp;VLOOKUP(B279,Instruções!$F$13:$J$17,4,0)&amp;" as "&amp;VLOOKUP(B279,Instruções!$F$13:$J$17,4,0)&amp;"_"&amp;$F$2&amp;", "&amp;VLOOKUP(B279,Instruções!$F$13:$J$17,5,0)&amp;" as "&amp;VLOOKUP(B279,Instruções!$F$13:$J$17,5,0)&amp;"_"&amp;$F$2&amp;","&amp;E279&amp;" as "&amp;F279&amp;" FROM "&amp;C279&amp;" WHERE "&amp;Instruções!$D$20&amp;") A ")</f>
        <v xml:space="preserve">(SELECT instrmnt_id as instrmnt_id_as_is, rwa as rwa_as_is FROM cd_loan_tapes_bce.lt002_instrument WHERE ref_date='2024-09-30' AND nome_perimetro='Individual Corporativo' AND segmento='ESTR' AND ambito='PM' AND entidade='00100' ) A </v>
      </c>
      <c r="I279" s="17" t="str">
        <f>IF(VLOOKUP(B279,Instruções!$F$13:$J$17,5,0)="",
"(SELECT "&amp;VLOOKUP(B279,Instruções!$F$13:$J$17,4,0)&amp;" as "&amp;VLOOKUP(B279,Instruções!$F$13:$J$17,4,0)&amp;"_"&amp;$G$2&amp;", "&amp;E279&amp;" as "&amp;G279&amp;" FROM "&amp;D279&amp;" WHERE "&amp;Instruções!$D$21&amp;") B ",
"(SELECT "&amp;VLOOKUP(B279,Instruções!$F$13:$J$17,4,0)&amp;" as "&amp;VLOOKUP(B279,Instruções!$F$13:$J$17,4,0)&amp;"_"&amp;$G$2&amp;", "&amp;VLOOKUP(B279,Instruções!$F$13:$J$17,5,0)&amp;" as "&amp;VLOOKUP(B279,Instruções!$F$13:$J$17,5,0)&amp;"_"&amp;$G$2&amp;","&amp;E279&amp;" as "&amp;G279&amp;" FROM "&amp;D279&amp;" WHERE "&amp;Instruções!$D$21&amp;") B ")</f>
        <v xml:space="preserve">(SELECT instrmnt_id as instrmnt_id_to_be, rwa as rwa_to_be FROM bu_loantape_work.lt002_instrument WHERE ref_date='2024-09-30' AND nome_perimetro='Individual Corporativo' AND segmento='ESTR' AND ambito='PM' AND entidade='00100' ) B </v>
      </c>
      <c r="J279" s="17" t="str">
        <f>IF(VLOOKUP(B279,Instruções!$F$13:$J$17,5,0)="",
"ON "&amp;VLOOKUP(B279,Instruções!$F$13:$J$17,4,0)&amp;"_"&amp;$F$2&amp;" = "&amp;VLOOKUP(B279,Instruções!$F$13:$J$17,4,0)&amp;"_"&amp;$G$2&amp;" ",
"ON "&amp;VLOOKUP(B279,Instruções!$F$13:$J$17,4,0)&amp;"_"&amp;$F$2&amp;" = "&amp;VLOOKUP(B279,Instruções!$F$13:$J$17,4,0)&amp;"_"&amp;$G$2&amp;" AND "&amp;VLOOKUP(B279,Instruções!$F$13:$J$17,5,0)&amp;"_"&amp;$F$2&amp;" = "&amp;VLOOKUP(B279,Instruções!$F$13:$J$17,5,0)&amp;"_"&amp;$G$2&amp;" ")</f>
        <v xml:space="preserve">ON instrmnt_id_as_is = instrmnt_id_to_be </v>
      </c>
      <c r="K279" s="17" t="str">
        <f t="shared" si="33"/>
        <v xml:space="preserve">WHERE coalesce(cast(rwa_as_is as string), '') &lt;&gt; coalesce(cast(rwa_to_be as string), '') </v>
      </c>
      <c r="L279" s="17" t="str">
        <f t="shared" si="34"/>
        <v xml:space="preserve">SELECT count(*) AS NUM_REG_DIF FROM (SELECT instrmnt_id as instrmnt_id_as_is, rwa as rwa_as_is FROM cd_loan_tapes_bce.lt002_instrument WHERE ref_date='2024-09-30' AND nome_perimetro='Individual Corporativo' AND segmento='ESTR' AND ambito='PM' AND entidade='00100' ) A  Inner join (SELECT instrmnt_id as instrmnt_id_to_be, rwa as rwa_to_be FROM bu_loantape_work.lt002_instrument WHERE ref_date='2024-09-30' AND nome_perimetro='Individual Corporativo' AND segmento='ESTR' AND ambito='PM' AND entidade='00100' ) B ON instrmnt_id_as_is = instrmnt_id_to_be WHERE coalesce(cast(rwa_as_is as string), '') &lt;&gt; coalesce(cast(rwa_to_be as string), '') </v>
      </c>
      <c r="M279" s="17" t="s">
        <v>55</v>
      </c>
      <c r="N279" s="17" t="str">
        <f>"SELECT 'Validação de campos' as tipologia_teste, '"&amp;VLOOKUP(B279,Instruções!$F$13:$J$17,3,0)&amp;"' AS TABELA, '"&amp;E279&amp;"' AS CAMPO, '"&amp;Instruções!$D$15&amp;"' as ref_date, coalesce(NUM_REG_DIF, 0) AS NUM_REG_DIF FROM ("&amp;L279&amp;") A "</f>
        <v xml:space="preserve">SELECT 'Validação de campos' as tipologia_teste, 'lt002_instrument' AS TABELA, 'rwa' AS CAMPO, '2024-09-30' as ref_date, coalesce(NUM_REG_DIF, 0) AS NUM_REG_DIF FROM (SELECT count(*) AS NUM_REG_DIF FROM (SELECT instrmnt_id as instrmnt_id_as_is, rwa as rwa_as_is FROM cd_loan_tapes_bce.lt002_instrument WHERE ref_date='2024-09-30' AND nome_perimetro='Individual Corporativo' AND segmento='ESTR' AND ambito='PM' AND entidade='00100' ) A  Inner join (SELECT instrmnt_id as instrmnt_id_to_be, rwa as rwa_to_be FROM bu_loantape_work.lt002_instrument WHERE ref_date='2024-09-30' AND nome_perimetro='Individual Corporativo' AND segmento='ESTR' AND ambito='PM' AND entidade='00100' ) B ON instrmnt_id_as_is = instrmnt_id_to_be WHERE coalesce(cast(rwa_as_is as string), '') &lt;&gt; coalesce(cast(rwa_to_be as string), '') ) A </v>
      </c>
      <c r="O279" s="19" t="str">
        <f t="shared" si="36"/>
        <v>SELECT 'Validação de campos' as tipologia_teste, 'lt002_instrument' AS TABELA, 'rwa' AS CAMPO, '2024-09-30' as ref_date, coalesce(NUM_REG_DIF, 0) AS NUM_REG_DIF FROM (SELECT count(*) AS NUM_REG_DIF FROM (SELECT instrmnt_id as instrmnt_id_as_is, rwa as rwa_as_is FROM cd_loan_tapes_bce.lt002_instrument WHERE ref_date='2024-09-30' AND nome_perimetro='Individual Corporativo' AND segmento='ESTR' AND ambito='PM' AND entidade='00100' ) A  Inner join (SELECT instrmnt_id as instrmnt_id_to_be, rwa as rwa_to_be FROM bu_loantape_work.lt002_instrument WHERE ref_date='2024-09-30' AND nome_perimetro='Individual Corporativo' AND segmento='ESTR' AND ambito='PM' AND entidade='00100' ) B ON instrmnt_id_as_is = instrmnt_id_to_be WHERE coalesce(cast(rwa_as_is as string), '') &lt;&gt; coalesce(cast(rwa_to_be as string), '') ) A UNION ALL</v>
      </c>
      <c r="P279" s="17">
        <f t="shared" si="30"/>
        <v>23</v>
      </c>
    </row>
    <row r="280" spans="2:16" s="15" customFormat="1" ht="11.45">
      <c r="B280" s="17" t="s">
        <v>26</v>
      </c>
      <c r="C280" s="17" t="str">
        <f>_xlfn.CONCAT(Instruções!$D$13,".",VLOOKUP(B280,Instruções!$F$12:$H$17,2,0))</f>
        <v>cd_loan_tapes_bce.lt002_instrument</v>
      </c>
      <c r="D280" s="17" t="str">
        <f>_xlfn.CONCAT(Instruções!$D$14,".",VLOOKUP(B280,Instruções!$F$12:$H$17,3,0))</f>
        <v>bu_loantape_work.lt002_instrument</v>
      </c>
      <c r="E280" s="17" t="s">
        <v>218</v>
      </c>
      <c r="F280" s="17" t="str">
        <f t="shared" si="31"/>
        <v>dt_lgl_fnl_mtrty_as_is</v>
      </c>
      <c r="G280" s="17" t="str">
        <f t="shared" si="32"/>
        <v>dt_lgl_fnl_mtrty_to_be</v>
      </c>
      <c r="H280" s="17" t="str">
        <f>IF(VLOOKUP(B280,Instruções!$F$13:$J$17,5,0)="",
"(SELECT "&amp;VLOOKUP(B280,Instruções!$F$13:$J$17,4,0)&amp;" as "&amp;VLOOKUP(B280,Instruções!$F$13:$J$17,4,0)&amp;"_"&amp;$F$2&amp;", "&amp;E280&amp;" as "&amp;F280&amp;" FROM "&amp;C280&amp;" WHERE "&amp;Instruções!$D$20&amp;") A ",
"(SELECT "&amp;VLOOKUP(B280,Instruções!$F$13:$J$17,4,0)&amp;" as "&amp;VLOOKUP(B280,Instruções!$F$13:$J$17,4,0)&amp;"_"&amp;$F$2&amp;", "&amp;VLOOKUP(B280,Instruções!$F$13:$J$17,5,0)&amp;" as "&amp;VLOOKUP(B280,Instruções!$F$13:$J$17,5,0)&amp;"_"&amp;$F$2&amp;","&amp;E280&amp;" as "&amp;F280&amp;" FROM "&amp;C280&amp;" WHERE "&amp;Instruções!$D$20&amp;") A ")</f>
        <v xml:space="preserve">(SELECT instrmnt_id as instrmnt_id_as_is, dt_lgl_fnl_mtrty as dt_lgl_fnl_mtrty_as_is FROM cd_loan_tapes_bce.lt002_instrument WHERE ref_date='2024-09-30' AND nome_perimetro='Individual Corporativo' AND segmento='ESTR' AND ambito='PM' AND entidade='00100' ) A </v>
      </c>
      <c r="I280" s="17" t="str">
        <f>IF(VLOOKUP(B280,Instruções!$F$13:$J$17,5,0)="",
"(SELECT "&amp;VLOOKUP(B280,Instruções!$F$13:$J$17,4,0)&amp;" as "&amp;VLOOKUP(B280,Instruções!$F$13:$J$17,4,0)&amp;"_"&amp;$G$2&amp;", "&amp;E280&amp;" as "&amp;G280&amp;" FROM "&amp;D280&amp;" WHERE "&amp;Instruções!$D$21&amp;") B ",
"(SELECT "&amp;VLOOKUP(B280,Instruções!$F$13:$J$17,4,0)&amp;" as "&amp;VLOOKUP(B280,Instruções!$F$13:$J$17,4,0)&amp;"_"&amp;$G$2&amp;", "&amp;VLOOKUP(B280,Instruções!$F$13:$J$17,5,0)&amp;" as "&amp;VLOOKUP(B280,Instruções!$F$13:$J$17,5,0)&amp;"_"&amp;$G$2&amp;","&amp;E280&amp;" as "&amp;G280&amp;" FROM "&amp;D280&amp;" WHERE "&amp;Instruções!$D$21&amp;") B ")</f>
        <v xml:space="preserve">(SELECT instrmnt_id as instrmnt_id_to_be, dt_lgl_fnl_mtrty as dt_lgl_fnl_mtrty_to_be FROM bu_loantape_work.lt002_instrument WHERE ref_date='2024-09-30' AND nome_perimetro='Individual Corporativo' AND segmento='ESTR' AND ambito='PM' AND entidade='00100' ) B </v>
      </c>
      <c r="J280" s="17" t="str">
        <f>IF(VLOOKUP(B280,Instruções!$F$13:$J$17,5,0)="",
"ON "&amp;VLOOKUP(B280,Instruções!$F$13:$J$17,4,0)&amp;"_"&amp;$F$2&amp;" = "&amp;VLOOKUP(B280,Instruções!$F$13:$J$17,4,0)&amp;"_"&amp;$G$2&amp;" ",
"ON "&amp;VLOOKUP(B280,Instruções!$F$13:$J$17,4,0)&amp;"_"&amp;$F$2&amp;" = "&amp;VLOOKUP(B280,Instruções!$F$13:$J$17,4,0)&amp;"_"&amp;$G$2&amp;" AND "&amp;VLOOKUP(B280,Instruções!$F$13:$J$17,5,0)&amp;"_"&amp;$F$2&amp;" = "&amp;VLOOKUP(B280,Instruções!$F$13:$J$17,5,0)&amp;"_"&amp;$G$2&amp;" ")</f>
        <v xml:space="preserve">ON instrmnt_id_as_is = instrmnt_id_to_be </v>
      </c>
      <c r="K280" s="17" t="str">
        <f t="shared" si="33"/>
        <v xml:space="preserve">WHERE coalesce(cast(dt_lgl_fnl_mtrty_as_is as string), '') &lt;&gt; coalesce(cast(dt_lgl_fnl_mtrty_to_be as string), '') </v>
      </c>
      <c r="L280" s="17" t="str">
        <f t="shared" si="34"/>
        <v xml:space="preserve">SELECT count(*) AS NUM_REG_DIF FROM (SELECT instrmnt_id as instrmnt_id_as_is, dt_lgl_fnl_mtrty as dt_lgl_fnl_mtrty_as_is FROM cd_loan_tapes_bce.lt002_instrument WHERE ref_date='2024-09-30' AND nome_perimetro='Individual Corporativo' AND segmento='ESTR' AND ambito='PM' AND entidade='00100' ) A  Inner join (SELECT instrmnt_id as instrmnt_id_to_be, dt_lgl_fnl_mtrty as dt_lgl_fnl_mtrty_to_be FROM bu_loantape_work.lt002_instrument WHERE ref_date='2024-09-30' AND nome_perimetro='Individual Corporativo' AND segmento='ESTR' AND ambito='PM' AND entidade='00100' ) B ON instrmnt_id_as_is = instrmnt_id_to_be WHERE coalesce(cast(dt_lgl_fnl_mtrty_as_is as string), '') &lt;&gt; coalesce(cast(dt_lgl_fnl_mtrty_to_be as string), '') </v>
      </c>
      <c r="M280" s="17" t="s">
        <v>55</v>
      </c>
      <c r="N280" s="17" t="str">
        <f>"SELECT 'Validação de campos' as tipologia_teste, '"&amp;VLOOKUP(B280,Instruções!$F$13:$J$17,3,0)&amp;"' AS TABELA, '"&amp;E280&amp;"' AS CAMPO, '"&amp;Instruções!$D$15&amp;"' as ref_date, coalesce(NUM_REG_DIF, 0) AS NUM_REG_DIF FROM ("&amp;L280&amp;") A "</f>
        <v xml:space="preserve">SELECT 'Validação de campos' as tipologia_teste, 'lt002_instrument' AS TABELA, 'dt_lgl_fnl_mtrty' AS CAMPO, '2024-09-30' as ref_date, coalesce(NUM_REG_DIF, 0) AS NUM_REG_DIF FROM (SELECT count(*) AS NUM_REG_DIF FROM (SELECT instrmnt_id as instrmnt_id_as_is, dt_lgl_fnl_mtrty as dt_lgl_fnl_mtrty_as_is FROM cd_loan_tapes_bce.lt002_instrument WHERE ref_date='2024-09-30' AND nome_perimetro='Individual Corporativo' AND segmento='ESTR' AND ambito='PM' AND entidade='00100' ) A  Inner join (SELECT instrmnt_id as instrmnt_id_to_be, dt_lgl_fnl_mtrty as dt_lgl_fnl_mtrty_to_be FROM bu_loantape_work.lt002_instrument WHERE ref_date='2024-09-30' AND nome_perimetro='Individual Corporativo' AND segmento='ESTR' AND ambito='PM' AND entidade='00100' ) B ON instrmnt_id_as_is = instrmnt_id_to_be WHERE coalesce(cast(dt_lgl_fnl_mtrty_as_is as string), '') &lt;&gt; coalesce(cast(dt_lgl_fnl_mtrty_to_be as string), '') ) A </v>
      </c>
      <c r="O280" s="19" t="str">
        <f t="shared" si="36"/>
        <v>SELECT 'Validação de campos' as tipologia_teste, 'lt002_instrument' AS TABELA, 'dt_lgl_fnl_mtrty' AS CAMPO, '2024-09-30' as ref_date, coalesce(NUM_REG_DIF, 0) AS NUM_REG_DIF FROM (SELECT count(*) AS NUM_REG_DIF FROM (SELECT instrmnt_id as instrmnt_id_as_is, dt_lgl_fnl_mtrty as dt_lgl_fnl_mtrty_as_is FROM cd_loan_tapes_bce.lt002_instrument WHERE ref_date='2024-09-30' AND nome_perimetro='Individual Corporativo' AND segmento='ESTR' AND ambito='PM' AND entidade='00100' ) A  Inner join (SELECT instrmnt_id as instrmnt_id_to_be, dt_lgl_fnl_mtrty as dt_lgl_fnl_mtrty_to_be FROM bu_loantape_work.lt002_instrument WHERE ref_date='2024-09-30' AND nome_perimetro='Individual Corporativo' AND segmento='ESTR' AND ambito='PM' AND entidade='00100' ) B ON instrmnt_id_as_is = instrmnt_id_to_be WHERE coalesce(cast(dt_lgl_fnl_mtrty_as_is as string), '') &lt;&gt; coalesce(cast(dt_lgl_fnl_mtrty_to_be as string), '') ) A UNION ALL</v>
      </c>
      <c r="P280" s="17">
        <f t="shared" si="30"/>
        <v>24</v>
      </c>
    </row>
    <row r="281" spans="2:16" s="15" customFormat="1" ht="11.45">
      <c r="B281" s="17" t="s">
        <v>26</v>
      </c>
      <c r="C281" s="17" t="str">
        <f>_xlfn.CONCAT(Instruções!$D$13,".",VLOOKUP(B281,Instruções!$F$12:$H$17,2,0))</f>
        <v>cd_loan_tapes_bce.lt002_instrument</v>
      </c>
      <c r="D281" s="17" t="str">
        <f>_xlfn.CONCAT(Instruções!$D$14,".",VLOOKUP(B281,Instruções!$F$12:$H$17,3,0))</f>
        <v>bu_loantape_work.lt002_instrument</v>
      </c>
      <c r="E281" s="17" t="s">
        <v>325</v>
      </c>
      <c r="F281" s="17" t="str">
        <f t="shared" si="31"/>
        <v>sbjct_pblc_grnt_schm_c19_as_is</v>
      </c>
      <c r="G281" s="17" t="str">
        <f t="shared" si="32"/>
        <v>sbjct_pblc_grnt_schm_c19_to_be</v>
      </c>
      <c r="H281" s="17" t="str">
        <f>IF(VLOOKUP(B281,Instruções!$F$13:$J$17,5,0)="",
"(SELECT "&amp;VLOOKUP(B281,Instruções!$F$13:$J$17,4,0)&amp;" as "&amp;VLOOKUP(B281,Instruções!$F$13:$J$17,4,0)&amp;"_"&amp;$F$2&amp;", "&amp;E281&amp;" as "&amp;F281&amp;" FROM "&amp;C281&amp;" WHERE "&amp;Instruções!$D$20&amp;") A ",
"(SELECT "&amp;VLOOKUP(B281,Instruções!$F$13:$J$17,4,0)&amp;" as "&amp;VLOOKUP(B281,Instruções!$F$13:$J$17,4,0)&amp;"_"&amp;$F$2&amp;", "&amp;VLOOKUP(B281,Instruções!$F$13:$J$17,5,0)&amp;" as "&amp;VLOOKUP(B281,Instruções!$F$13:$J$17,5,0)&amp;"_"&amp;$F$2&amp;","&amp;E281&amp;" as "&amp;F281&amp;" FROM "&amp;C281&amp;" WHERE "&amp;Instruções!$D$20&amp;") A ")</f>
        <v xml:space="preserve">(SELECT instrmnt_id as instrmnt_id_as_is, sbjct_pblc_grnt_schm_c19 as sbjct_pblc_grnt_schm_c19_as_is FROM cd_loan_tapes_bce.lt002_instrument WHERE ref_date='2024-09-30' AND nome_perimetro='Individual Corporativo' AND segmento='ESTR' AND ambito='PM' AND entidade='00100' ) A </v>
      </c>
      <c r="I281" s="17" t="str">
        <f>IF(VLOOKUP(B281,Instruções!$F$13:$J$17,5,0)="",
"(SELECT "&amp;VLOOKUP(B281,Instruções!$F$13:$J$17,4,0)&amp;" as "&amp;VLOOKUP(B281,Instruções!$F$13:$J$17,4,0)&amp;"_"&amp;$G$2&amp;", "&amp;E281&amp;" as "&amp;G281&amp;" FROM "&amp;D281&amp;" WHERE "&amp;Instruções!$D$21&amp;") B ",
"(SELECT "&amp;VLOOKUP(B281,Instruções!$F$13:$J$17,4,0)&amp;" as "&amp;VLOOKUP(B281,Instruções!$F$13:$J$17,4,0)&amp;"_"&amp;$G$2&amp;", "&amp;VLOOKUP(B281,Instruções!$F$13:$J$17,5,0)&amp;" as "&amp;VLOOKUP(B281,Instruções!$F$13:$J$17,5,0)&amp;"_"&amp;$G$2&amp;","&amp;E281&amp;" as "&amp;G281&amp;" FROM "&amp;D281&amp;" WHERE "&amp;Instruções!$D$21&amp;") B ")</f>
        <v xml:space="preserve">(SELECT instrmnt_id as instrmnt_id_to_be, sbjct_pblc_grnt_schm_c19 as sbjct_pblc_grnt_schm_c19_to_be FROM bu_loantape_work.lt002_instrument WHERE ref_date='2024-09-30' AND nome_perimetro='Individual Corporativo' AND segmento='ESTR' AND ambito='PM' AND entidade='00100' ) B </v>
      </c>
      <c r="J281" s="17" t="str">
        <f>IF(VLOOKUP(B281,Instruções!$F$13:$J$17,5,0)="",
"ON "&amp;VLOOKUP(B281,Instruções!$F$13:$J$17,4,0)&amp;"_"&amp;$F$2&amp;" = "&amp;VLOOKUP(B281,Instruções!$F$13:$J$17,4,0)&amp;"_"&amp;$G$2&amp;" ",
"ON "&amp;VLOOKUP(B281,Instruções!$F$13:$J$17,4,0)&amp;"_"&amp;$F$2&amp;" = "&amp;VLOOKUP(B281,Instruções!$F$13:$J$17,4,0)&amp;"_"&amp;$G$2&amp;" AND "&amp;VLOOKUP(B281,Instruções!$F$13:$J$17,5,0)&amp;"_"&amp;$F$2&amp;" = "&amp;VLOOKUP(B281,Instruções!$F$13:$J$17,5,0)&amp;"_"&amp;$G$2&amp;" ")</f>
        <v xml:space="preserve">ON instrmnt_id_as_is = instrmnt_id_to_be </v>
      </c>
      <c r="K281" s="17" t="str">
        <f t="shared" si="33"/>
        <v xml:space="preserve">WHERE coalesce(cast(sbjct_pblc_grnt_schm_c19_as_is as string), '') &lt;&gt; coalesce(cast(sbjct_pblc_grnt_schm_c19_to_be as string), '') </v>
      </c>
      <c r="L281" s="17" t="str">
        <f t="shared" si="34"/>
        <v xml:space="preserve">SELECT count(*) AS NUM_REG_DIF FROM (SELECT instrmnt_id as instrmnt_id_as_is,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instrmnt_id_to_be, sbjct_pblc_grnt_schm_c19 as sbjct_pblc_grnt_schm_c19_to_be FROM bu_loantape_work.lt002_instrument WHERE ref_date='2024-09-30' AND nome_perimetro='Individual Corporativo' AND segmento='ESTR' AND ambito='PM' AND entidade='00100' ) B ON instrmnt_id_as_is = instrmnt_id_to_be WHERE coalesce(cast(sbjct_pblc_grnt_schm_c19_as_is as string), '') &lt;&gt; coalesce(cast(sbjct_pblc_grnt_schm_c19_to_be as string), '') </v>
      </c>
      <c r="M281" s="17" t="s">
        <v>55</v>
      </c>
      <c r="N281" s="17" t="str">
        <f>"SELECT 'Validação de campos' as tipologia_teste, '"&amp;VLOOKUP(B281,Instruções!$F$13:$J$17,3,0)&amp;"' AS TABELA, '"&amp;E281&amp;"' AS CAMPO, '"&amp;Instruções!$D$15&amp;"' as ref_date, coalesce(NUM_REG_DIF, 0) AS NUM_REG_DIF FROM ("&amp;L281&amp;") A "</f>
        <v xml:space="preserve">SELECT 'Validação de campos' as tipologia_teste, 'lt002_instrument' AS TABELA, 'sbjct_pblc_grnt_schm_c19' AS CAMPO, '2024-09-30' as ref_date, coalesce(NUM_REG_DIF, 0) AS NUM_REG_DIF FROM (SELECT count(*) AS NUM_REG_DIF FROM (SELECT instrmnt_id as instrmnt_id_as_is,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instrmnt_id_to_be, sbjct_pblc_grnt_schm_c19 as sbjct_pblc_grnt_schm_c19_to_be FROM bu_loantape_work.lt002_instrument WHERE ref_date='2024-09-30' AND nome_perimetro='Individual Corporativo' AND segmento='ESTR' AND ambito='PM' AND entidade='00100' ) B ON instrmnt_id_as_is = instrmnt_id_to_be WHERE coalesce(cast(sbjct_pblc_grnt_schm_c19_as_is as string), '') &lt;&gt; coalesce(cast(sbjct_pblc_grnt_schm_c19_to_be as string), '') ) A </v>
      </c>
      <c r="O281" s="19" t="str">
        <f t="shared" si="36"/>
        <v>SELECT 'Validação de campos' as tipologia_teste, 'lt002_instrument' AS TABELA, 'sbjct_pblc_grnt_schm_c19' AS CAMPO, '2024-09-30' as ref_date, coalesce(NUM_REG_DIF, 0) AS NUM_REG_DIF FROM (SELECT count(*) AS NUM_REG_DIF FROM (SELECT instrmnt_id as instrmnt_id_as_is, sbjct_pblc_grnt_schm_c19 as sbjct_pblc_grnt_schm_c19_as_is FROM cd_loan_tapes_bce.lt002_instrument WHERE ref_date='2024-09-30' AND nome_perimetro='Individual Corporativo' AND segmento='ESTR' AND ambito='PM' AND entidade='00100' ) A  Inner join (SELECT instrmnt_id as instrmnt_id_to_be, sbjct_pblc_grnt_schm_c19 as sbjct_pblc_grnt_schm_c19_to_be FROM bu_loantape_work.lt002_instrument WHERE ref_date='2024-09-30' AND nome_perimetro='Individual Corporativo' AND segmento='ESTR' AND ambito='PM' AND entidade='00100' ) B ON instrmnt_id_as_is = instrmnt_id_to_be WHERE coalesce(cast(sbjct_pblc_grnt_schm_c19_as_is as string), '') &lt;&gt; coalesce(cast(sbjct_pblc_grnt_schm_c19_to_be as string), '') ) A UNION ALL</v>
      </c>
      <c r="P281" s="17">
        <f t="shared" si="30"/>
        <v>25</v>
      </c>
    </row>
    <row r="282" spans="2:16" s="15" customFormat="1" ht="11.45">
      <c r="B282" s="17" t="s">
        <v>26</v>
      </c>
      <c r="C282" s="17" t="str">
        <f>_xlfn.CONCAT(Instruções!$D$13,".",VLOOKUP(B282,Instruções!$F$12:$H$17,2,0))</f>
        <v>cd_loan_tapes_bce.lt002_instrument</v>
      </c>
      <c r="D282" s="17" t="str">
        <f>_xlfn.CONCAT(Instruções!$D$14,".",VLOOKUP(B282,Instruções!$F$12:$H$17,3,0))</f>
        <v>bu_loantape_work.lt002_instrument</v>
      </c>
      <c r="E282" s="17" t="s">
        <v>219</v>
      </c>
      <c r="F282" s="17" t="str">
        <f t="shared" si="31"/>
        <v>dt_nxt_intrst_rt_rst_as_is</v>
      </c>
      <c r="G282" s="17" t="str">
        <f t="shared" si="32"/>
        <v>dt_nxt_intrst_rt_rst_to_be</v>
      </c>
      <c r="H282" s="17" t="str">
        <f>IF(VLOOKUP(B282,Instruções!$F$13:$J$17,5,0)="",
"(SELECT "&amp;VLOOKUP(B282,Instruções!$F$13:$J$17,4,0)&amp;" as "&amp;VLOOKUP(B282,Instruções!$F$13:$J$17,4,0)&amp;"_"&amp;$F$2&amp;", "&amp;E282&amp;" as "&amp;F282&amp;" FROM "&amp;C282&amp;" WHERE "&amp;Instruções!$D$20&amp;") A ",
"(SELECT "&amp;VLOOKUP(B282,Instruções!$F$13:$J$17,4,0)&amp;" as "&amp;VLOOKUP(B282,Instruções!$F$13:$J$17,4,0)&amp;"_"&amp;$F$2&amp;", "&amp;VLOOKUP(B282,Instruções!$F$13:$J$17,5,0)&amp;" as "&amp;VLOOKUP(B282,Instruções!$F$13:$J$17,5,0)&amp;"_"&amp;$F$2&amp;","&amp;E282&amp;" as "&amp;F282&amp;" FROM "&amp;C282&amp;" WHERE "&amp;Instruções!$D$20&amp;") A ")</f>
        <v xml:space="preserve">(SELECT instrmnt_id as instrmnt_id_as_is, dt_nxt_intrst_rt_rst as dt_nxt_intrst_rt_rst_as_is FROM cd_loan_tapes_bce.lt002_instrument WHERE ref_date='2024-09-30' AND nome_perimetro='Individual Corporativo' AND segmento='ESTR' AND ambito='PM' AND entidade='00100' ) A </v>
      </c>
      <c r="I282" s="17" t="str">
        <f>IF(VLOOKUP(B282,Instruções!$F$13:$J$17,5,0)="",
"(SELECT "&amp;VLOOKUP(B282,Instruções!$F$13:$J$17,4,0)&amp;" as "&amp;VLOOKUP(B282,Instruções!$F$13:$J$17,4,0)&amp;"_"&amp;$G$2&amp;", "&amp;E282&amp;" as "&amp;G282&amp;" FROM "&amp;D282&amp;" WHERE "&amp;Instruções!$D$21&amp;") B ",
"(SELECT "&amp;VLOOKUP(B282,Instruções!$F$13:$J$17,4,0)&amp;" as "&amp;VLOOKUP(B282,Instruções!$F$13:$J$17,4,0)&amp;"_"&amp;$G$2&amp;", "&amp;VLOOKUP(B282,Instruções!$F$13:$J$17,5,0)&amp;" as "&amp;VLOOKUP(B282,Instruções!$F$13:$J$17,5,0)&amp;"_"&amp;$G$2&amp;","&amp;E282&amp;" as "&amp;G282&amp;" FROM "&amp;D282&amp;" WHERE "&amp;Instruções!$D$21&amp;") B ")</f>
        <v xml:space="preserve">(SELECT instrmnt_id as instrmnt_id_to_be, dt_nxt_intrst_rt_rst as dt_nxt_intrst_rt_rst_to_be FROM bu_loantape_work.lt002_instrument WHERE ref_date='2024-09-30' AND nome_perimetro='Individual Corporativo' AND segmento='ESTR' AND ambito='PM' AND entidade='00100' ) B </v>
      </c>
      <c r="J282" s="17" t="str">
        <f>IF(VLOOKUP(B282,Instruções!$F$13:$J$17,5,0)="",
"ON "&amp;VLOOKUP(B282,Instruções!$F$13:$J$17,4,0)&amp;"_"&amp;$F$2&amp;" = "&amp;VLOOKUP(B282,Instruções!$F$13:$J$17,4,0)&amp;"_"&amp;$G$2&amp;" ",
"ON "&amp;VLOOKUP(B282,Instruções!$F$13:$J$17,4,0)&amp;"_"&amp;$F$2&amp;" = "&amp;VLOOKUP(B282,Instruções!$F$13:$J$17,4,0)&amp;"_"&amp;$G$2&amp;" AND "&amp;VLOOKUP(B282,Instruções!$F$13:$J$17,5,0)&amp;"_"&amp;$F$2&amp;" = "&amp;VLOOKUP(B282,Instruções!$F$13:$J$17,5,0)&amp;"_"&amp;$G$2&amp;" ")</f>
        <v xml:space="preserve">ON instrmnt_id_as_is = instrmnt_id_to_be </v>
      </c>
      <c r="K282" s="17" t="str">
        <f t="shared" si="33"/>
        <v xml:space="preserve">WHERE coalesce(cast(dt_nxt_intrst_rt_rst_as_is as string), '') &lt;&gt; coalesce(cast(dt_nxt_intrst_rt_rst_to_be as string), '') </v>
      </c>
      <c r="L282" s="17" t="str">
        <f t="shared" si="34"/>
        <v xml:space="preserve">SELECT count(*) AS NUM_REG_DIF FROM (SELECT instrmnt_id as instrmnt_id_as_is, dt_nxt_intrst_rt_rst as dt_nxt_intrst_rt_rst_as_is FROM cd_loan_tapes_bce.lt002_instrument WHERE ref_date='2024-09-30' AND nome_perimetro='Individual Corporativo' AND segmento='ESTR' AND ambito='PM' AND entidade='00100' ) A  Inner join (SELECT instrmnt_id as instrmnt_id_to_be, dt_nxt_intrst_rt_rst as dt_nxt_intrst_rt_rst_to_be FROM bu_loantape_work.lt002_instrument WHERE ref_date='2024-09-30' AND nome_perimetro='Individual Corporativo' AND segmento='ESTR' AND ambito='PM' AND entidade='00100' ) B ON instrmnt_id_as_is = instrmnt_id_to_be WHERE coalesce(cast(dt_nxt_intrst_rt_rst_as_is as string), '') &lt;&gt; coalesce(cast(dt_nxt_intrst_rt_rst_to_be as string), '') </v>
      </c>
      <c r="M282" s="17" t="s">
        <v>55</v>
      </c>
      <c r="N282" s="17" t="str">
        <f>"SELECT 'Validação de campos' as tipologia_teste, '"&amp;VLOOKUP(B282,Instruções!$F$13:$J$17,3,0)&amp;"' AS TABELA, '"&amp;E282&amp;"' AS CAMPO, '"&amp;Instruções!$D$15&amp;"' as ref_date, coalesce(NUM_REG_DIF, 0) AS NUM_REG_DIF FROM ("&amp;L282&amp;") A "</f>
        <v xml:space="preserve">SELECT 'Validação de campos' as tipologia_teste, 'lt002_instrument' AS TABELA, 'dt_nxt_intrst_rt_rst' AS CAMPO, '2024-09-30' as ref_date, coalesce(NUM_REG_DIF, 0) AS NUM_REG_DIF FROM (SELECT count(*) AS NUM_REG_DIF FROM (SELECT instrmnt_id as instrmnt_id_as_is, dt_nxt_intrst_rt_rst as dt_nxt_intrst_rt_rst_as_is FROM cd_loan_tapes_bce.lt002_instrument WHERE ref_date='2024-09-30' AND nome_perimetro='Individual Corporativo' AND segmento='ESTR' AND ambito='PM' AND entidade='00100' ) A  Inner join (SELECT instrmnt_id as instrmnt_id_to_be, dt_nxt_intrst_rt_rst as dt_nxt_intrst_rt_rst_to_be FROM bu_loantape_work.lt002_instrument WHERE ref_date='2024-09-30' AND nome_perimetro='Individual Corporativo' AND segmento='ESTR' AND ambito='PM' AND entidade='00100' ) B ON instrmnt_id_as_is = instrmnt_id_to_be WHERE coalesce(cast(dt_nxt_intrst_rt_rst_as_is as string), '') &lt;&gt; coalesce(cast(dt_nxt_intrst_rt_rst_to_be as string), '') ) A </v>
      </c>
      <c r="O282" s="19" t="str">
        <f t="shared" si="36"/>
        <v>SELECT 'Validação de campos' as tipologia_teste, 'lt002_instrument' AS TABELA, 'dt_nxt_intrst_rt_rst' AS CAMPO, '2024-09-30' as ref_date, coalesce(NUM_REG_DIF, 0) AS NUM_REG_DIF FROM (SELECT count(*) AS NUM_REG_DIF FROM (SELECT instrmnt_id as instrmnt_id_as_is, dt_nxt_intrst_rt_rst as dt_nxt_intrst_rt_rst_as_is FROM cd_loan_tapes_bce.lt002_instrument WHERE ref_date='2024-09-30' AND nome_perimetro='Individual Corporativo' AND segmento='ESTR' AND ambito='PM' AND entidade='00100' ) A  Inner join (SELECT instrmnt_id as instrmnt_id_to_be, dt_nxt_intrst_rt_rst as dt_nxt_intrst_rt_rst_to_be FROM bu_loantape_work.lt002_instrument WHERE ref_date='2024-09-30' AND nome_perimetro='Individual Corporativo' AND segmento='ESTR' AND ambito='PM' AND entidade='00100' ) B ON instrmnt_id_as_is = instrmnt_id_to_be WHERE coalesce(cast(dt_nxt_intrst_rt_rst_as_is as string), '') &lt;&gt; coalesce(cast(dt_nxt_intrst_rt_rst_to_be as string), '') ) A UNION ALL</v>
      </c>
      <c r="P282" s="17">
        <f t="shared" si="30"/>
        <v>26</v>
      </c>
    </row>
    <row r="283" spans="2:16" s="15" customFormat="1" ht="11.45">
      <c r="B283" s="17" t="s">
        <v>26</v>
      </c>
      <c r="C283" s="17" t="str">
        <f>_xlfn.CONCAT(Instruções!$D$13,".",VLOOKUP(B283,Instruções!$F$12:$H$17,2,0))</f>
        <v>cd_loan_tapes_bce.lt002_instrument</v>
      </c>
      <c r="D283" s="17" t="str">
        <f>_xlfn.CONCAT(Instruções!$D$14,".",VLOOKUP(B283,Instruções!$F$12:$H$17,3,0))</f>
        <v>bu_loantape_work.lt002_instrument</v>
      </c>
      <c r="E283" s="17" t="s">
        <v>327</v>
      </c>
      <c r="F283" s="17" t="str">
        <f t="shared" si="31"/>
        <v>sme_fnrp18_as_is</v>
      </c>
      <c r="G283" s="17" t="str">
        <f t="shared" si="32"/>
        <v>sme_fnrp18_to_be</v>
      </c>
      <c r="H283" s="17" t="str">
        <f>IF(VLOOKUP(B283,Instruções!$F$13:$J$17,5,0)="",
"(SELECT "&amp;VLOOKUP(B283,Instruções!$F$13:$J$17,4,0)&amp;" as "&amp;VLOOKUP(B283,Instruções!$F$13:$J$17,4,0)&amp;"_"&amp;$F$2&amp;", "&amp;E283&amp;" as "&amp;F283&amp;" FROM "&amp;C283&amp;" WHERE "&amp;Instruções!$D$20&amp;") A ",
"(SELECT "&amp;VLOOKUP(B283,Instruções!$F$13:$J$17,4,0)&amp;" as "&amp;VLOOKUP(B283,Instruções!$F$13:$J$17,4,0)&amp;"_"&amp;$F$2&amp;", "&amp;VLOOKUP(B283,Instruções!$F$13:$J$17,5,0)&amp;" as "&amp;VLOOKUP(B283,Instruções!$F$13:$J$17,5,0)&amp;"_"&amp;$F$2&amp;","&amp;E283&amp;" as "&amp;F283&amp;" FROM "&amp;C283&amp;" WHERE "&amp;Instruções!$D$20&amp;") A ")</f>
        <v xml:space="preserve">(SELECT instrmnt_id as instrmnt_id_as_is, sme_fnrp18 as sme_fnrp18_as_is FROM cd_loan_tapes_bce.lt002_instrument WHERE ref_date='2024-09-30' AND nome_perimetro='Individual Corporativo' AND segmento='ESTR' AND ambito='PM' AND entidade='00100' ) A </v>
      </c>
      <c r="I283" s="17" t="str">
        <f>IF(VLOOKUP(B283,Instruções!$F$13:$J$17,5,0)="",
"(SELECT "&amp;VLOOKUP(B283,Instruções!$F$13:$J$17,4,0)&amp;" as "&amp;VLOOKUP(B283,Instruções!$F$13:$J$17,4,0)&amp;"_"&amp;$G$2&amp;", "&amp;E283&amp;" as "&amp;G283&amp;" FROM "&amp;D283&amp;" WHERE "&amp;Instruções!$D$21&amp;") B ",
"(SELECT "&amp;VLOOKUP(B283,Instruções!$F$13:$J$17,4,0)&amp;" as "&amp;VLOOKUP(B283,Instruções!$F$13:$J$17,4,0)&amp;"_"&amp;$G$2&amp;", "&amp;VLOOKUP(B283,Instruções!$F$13:$J$17,5,0)&amp;" as "&amp;VLOOKUP(B283,Instruções!$F$13:$J$17,5,0)&amp;"_"&amp;$G$2&amp;","&amp;E283&amp;" as "&amp;G283&amp;" FROM "&amp;D283&amp;" WHERE "&amp;Instruções!$D$21&amp;") B ")</f>
        <v xml:space="preserve">(SELECT instrmnt_id as instrmnt_id_to_be, sme_fnrp18 as sme_fnrp18_to_be FROM bu_loantape_work.lt002_instrument WHERE ref_date='2024-09-30' AND nome_perimetro='Individual Corporativo' AND segmento='ESTR' AND ambito='PM' AND entidade='00100' ) B </v>
      </c>
      <c r="J283" s="17" t="str">
        <f>IF(VLOOKUP(B283,Instruções!$F$13:$J$17,5,0)="",
"ON "&amp;VLOOKUP(B283,Instruções!$F$13:$J$17,4,0)&amp;"_"&amp;$F$2&amp;" = "&amp;VLOOKUP(B283,Instruções!$F$13:$J$17,4,0)&amp;"_"&amp;$G$2&amp;" ",
"ON "&amp;VLOOKUP(B283,Instruções!$F$13:$J$17,4,0)&amp;"_"&amp;$F$2&amp;" = "&amp;VLOOKUP(B283,Instruções!$F$13:$J$17,4,0)&amp;"_"&amp;$G$2&amp;" AND "&amp;VLOOKUP(B283,Instruções!$F$13:$J$17,5,0)&amp;"_"&amp;$F$2&amp;" = "&amp;VLOOKUP(B283,Instruções!$F$13:$J$17,5,0)&amp;"_"&amp;$G$2&amp;" ")</f>
        <v xml:space="preserve">ON instrmnt_id_as_is = instrmnt_id_to_be </v>
      </c>
      <c r="K283" s="17" t="str">
        <f t="shared" si="33"/>
        <v xml:space="preserve">WHERE coalesce(cast(sme_fnrp18_as_is as string), '') &lt;&gt; coalesce(cast(sme_fnrp18_to_be as string), '') </v>
      </c>
      <c r="L283" s="17" t="str">
        <f t="shared" si="34"/>
        <v xml:space="preserve">SELECT count(*) AS NUM_REG_DIF FROM (SELECT instrmnt_id as instrmnt_id_as_is, sme_fnrp18 as sme_fnrp18_as_is FROM cd_loan_tapes_bce.lt002_instrument WHERE ref_date='2024-09-30' AND nome_perimetro='Individual Corporativo' AND segmento='ESTR' AND ambito='PM' AND entidade='00100' ) A  Inner join (SELECT instrmnt_id as instrmnt_id_to_be, sme_fnrp18 as sme_fnrp18_to_be FROM bu_loantape_work.lt002_instrument WHERE ref_date='2024-09-30' AND nome_perimetro='Individual Corporativo' AND segmento='ESTR' AND ambito='PM' AND entidade='00100' ) B ON instrmnt_id_as_is = instrmnt_id_to_be WHERE coalesce(cast(sme_fnrp18_as_is as string), '') &lt;&gt; coalesce(cast(sme_fnrp18_to_be as string), '') </v>
      </c>
      <c r="M283" s="17" t="s">
        <v>55</v>
      </c>
      <c r="N283" s="17" t="str">
        <f>"SELECT 'Validação de campos' as tipologia_teste, '"&amp;VLOOKUP(B283,Instruções!$F$13:$J$17,3,0)&amp;"' AS TABELA, '"&amp;E283&amp;"' AS CAMPO, '"&amp;Instruções!$D$15&amp;"' as ref_date, coalesce(NUM_REG_DIF, 0) AS NUM_REG_DIF FROM ("&amp;L283&amp;") A "</f>
        <v xml:space="preserve">SELECT 'Validação de campos' as tipologia_teste, 'lt002_instrument' AS TABELA, 'sme_fnrp18' AS CAMPO, '2024-09-30' as ref_date, coalesce(NUM_REG_DIF, 0) AS NUM_REG_DIF FROM (SELECT count(*) AS NUM_REG_DIF FROM (SELECT instrmnt_id as instrmnt_id_as_is, sme_fnrp18 as sme_fnrp18_as_is FROM cd_loan_tapes_bce.lt002_instrument WHERE ref_date='2024-09-30' AND nome_perimetro='Individual Corporativo' AND segmento='ESTR' AND ambito='PM' AND entidade='00100' ) A  Inner join (SELECT instrmnt_id as instrmnt_id_to_be, sme_fnrp18 as sme_fnrp18_to_be FROM bu_loantape_work.lt002_instrument WHERE ref_date='2024-09-30' AND nome_perimetro='Individual Corporativo' AND segmento='ESTR' AND ambito='PM' AND entidade='00100' ) B ON instrmnt_id_as_is = instrmnt_id_to_be WHERE coalesce(cast(sme_fnrp18_as_is as string), '') &lt;&gt; coalesce(cast(sme_fnrp18_to_be as string), '') ) A </v>
      </c>
      <c r="O283" s="19" t="str">
        <f t="shared" si="36"/>
        <v>SELECT 'Validação de campos' as tipologia_teste, 'lt002_instrument' AS TABELA, 'sme_fnrp18' AS CAMPO, '2024-09-30' as ref_date, coalesce(NUM_REG_DIF, 0) AS NUM_REG_DIF FROM (SELECT count(*) AS NUM_REG_DIF FROM (SELECT instrmnt_id as instrmnt_id_as_is, sme_fnrp18 as sme_fnrp18_as_is FROM cd_loan_tapes_bce.lt002_instrument WHERE ref_date='2024-09-30' AND nome_perimetro='Individual Corporativo' AND segmento='ESTR' AND ambito='PM' AND entidade='00100' ) A  Inner join (SELECT instrmnt_id as instrmnt_id_to_be, sme_fnrp18 as sme_fnrp18_to_be FROM bu_loantape_work.lt002_instrument WHERE ref_date='2024-09-30' AND nome_perimetro='Individual Corporativo' AND segmento='ESTR' AND ambito='PM' AND entidade='00100' ) B ON instrmnt_id_as_is = instrmnt_id_to_be WHERE coalesce(cast(sme_fnrp18_as_is as string), '') &lt;&gt; coalesce(cast(sme_fnrp18_to_be as string), '') ) A UNION ALL</v>
      </c>
      <c r="P283" s="17">
        <f t="shared" ref="P283:P343" si="37">P282+1</f>
        <v>27</v>
      </c>
    </row>
    <row r="284" spans="2:16" s="15" customFormat="1" ht="11.45">
      <c r="B284" s="17" t="s">
        <v>26</v>
      </c>
      <c r="C284" s="17" t="str">
        <f>_xlfn.CONCAT(Instruções!$D$13,".",VLOOKUP(B284,Instruções!$F$12:$H$17,2,0))</f>
        <v>cd_loan_tapes_bce.lt002_instrument</v>
      </c>
      <c r="D284" s="17" t="str">
        <f>_xlfn.CONCAT(Instruções!$D$14,".",VLOOKUP(B284,Instruções!$F$12:$H$17,3,0))</f>
        <v>bu_loantape_work.lt002_instrument</v>
      </c>
      <c r="E284" s="17" t="s">
        <v>328</v>
      </c>
      <c r="F284" s="17" t="str">
        <f t="shared" si="31"/>
        <v>spcltv_lndng_as_is</v>
      </c>
      <c r="G284" s="17" t="str">
        <f t="shared" si="32"/>
        <v>spcltv_lndng_to_be</v>
      </c>
      <c r="H284" s="17" t="str">
        <f>IF(VLOOKUP(B284,Instruções!$F$13:$J$17,5,0)="",
"(SELECT "&amp;VLOOKUP(B284,Instruções!$F$13:$J$17,4,0)&amp;" as "&amp;VLOOKUP(B284,Instruções!$F$13:$J$17,4,0)&amp;"_"&amp;$F$2&amp;", "&amp;E284&amp;" as "&amp;F284&amp;" FROM "&amp;C284&amp;" WHERE "&amp;Instruções!$D$20&amp;") A ",
"(SELECT "&amp;VLOOKUP(B284,Instruções!$F$13:$J$17,4,0)&amp;" as "&amp;VLOOKUP(B284,Instruções!$F$13:$J$17,4,0)&amp;"_"&amp;$F$2&amp;", "&amp;VLOOKUP(B284,Instruções!$F$13:$J$17,5,0)&amp;" as "&amp;VLOOKUP(B284,Instruções!$F$13:$J$17,5,0)&amp;"_"&amp;$F$2&amp;","&amp;E284&amp;" as "&amp;F284&amp;" FROM "&amp;C284&amp;" WHERE "&amp;Instruções!$D$20&amp;") A ")</f>
        <v xml:space="preserve">(SELECT instrmnt_id as instrmnt_id_as_is, spcltv_lndng as spcltv_lndng_as_is FROM cd_loan_tapes_bce.lt002_instrument WHERE ref_date='2024-09-30' AND nome_perimetro='Individual Corporativo' AND segmento='ESTR' AND ambito='PM' AND entidade='00100' ) A </v>
      </c>
      <c r="I284" s="17" t="str">
        <f>IF(VLOOKUP(B284,Instruções!$F$13:$J$17,5,0)="",
"(SELECT "&amp;VLOOKUP(B284,Instruções!$F$13:$J$17,4,0)&amp;" as "&amp;VLOOKUP(B284,Instruções!$F$13:$J$17,4,0)&amp;"_"&amp;$G$2&amp;", "&amp;E284&amp;" as "&amp;G284&amp;" FROM "&amp;D284&amp;" WHERE "&amp;Instruções!$D$21&amp;") B ",
"(SELECT "&amp;VLOOKUP(B284,Instruções!$F$13:$J$17,4,0)&amp;" as "&amp;VLOOKUP(B284,Instruções!$F$13:$J$17,4,0)&amp;"_"&amp;$G$2&amp;", "&amp;VLOOKUP(B284,Instruções!$F$13:$J$17,5,0)&amp;" as "&amp;VLOOKUP(B284,Instruções!$F$13:$J$17,5,0)&amp;"_"&amp;$G$2&amp;","&amp;E284&amp;" as "&amp;G284&amp;" FROM "&amp;D284&amp;" WHERE "&amp;Instruções!$D$21&amp;") B ")</f>
        <v xml:space="preserve">(SELECT instrmnt_id as instrmnt_id_to_be, spcltv_lndng as spcltv_lndng_to_be FROM bu_loantape_work.lt002_instrument WHERE ref_date='2024-09-30' AND nome_perimetro='Individual Corporativo' AND segmento='ESTR' AND ambito='PM' AND entidade='00100' ) B </v>
      </c>
      <c r="J284" s="17" t="str">
        <f>IF(VLOOKUP(B284,Instruções!$F$13:$J$17,5,0)="",
"ON "&amp;VLOOKUP(B284,Instruções!$F$13:$J$17,4,0)&amp;"_"&amp;$F$2&amp;" = "&amp;VLOOKUP(B284,Instruções!$F$13:$J$17,4,0)&amp;"_"&amp;$G$2&amp;" ",
"ON "&amp;VLOOKUP(B284,Instruções!$F$13:$J$17,4,0)&amp;"_"&amp;$F$2&amp;" = "&amp;VLOOKUP(B284,Instruções!$F$13:$J$17,4,0)&amp;"_"&amp;$G$2&amp;" AND "&amp;VLOOKUP(B284,Instruções!$F$13:$J$17,5,0)&amp;"_"&amp;$F$2&amp;" = "&amp;VLOOKUP(B284,Instruções!$F$13:$J$17,5,0)&amp;"_"&amp;$G$2&amp;" ")</f>
        <v xml:space="preserve">ON instrmnt_id_as_is = instrmnt_id_to_be </v>
      </c>
      <c r="K284" s="17" t="str">
        <f t="shared" si="33"/>
        <v xml:space="preserve">WHERE coalesce(cast(spcltv_lndng_as_is as string), '') &lt;&gt; coalesce(cast(spcltv_lndng_to_be as string), '') </v>
      </c>
      <c r="L284" s="17" t="str">
        <f t="shared" si="34"/>
        <v xml:space="preserve">SELECT count(*) AS NUM_REG_DIF FROM (SELECT instrmnt_id as instrmnt_id_as_is, spcltv_lndng as spcltv_lndng_as_is FROM cd_loan_tapes_bce.lt002_instrument WHERE ref_date='2024-09-30' AND nome_perimetro='Individual Corporativo' AND segmento='ESTR' AND ambito='PM' AND entidade='00100' ) A  Inner join (SELECT instrmnt_id as instrmnt_id_to_be, spcltv_lndng as spcltv_lndng_to_be FROM bu_loantape_work.lt002_instrument WHERE ref_date='2024-09-30' AND nome_perimetro='Individual Corporativo' AND segmento='ESTR' AND ambito='PM' AND entidade='00100' ) B ON instrmnt_id_as_is = instrmnt_id_to_be WHERE coalesce(cast(spcltv_lndng_as_is as string), '') &lt;&gt; coalesce(cast(spcltv_lndng_to_be as string), '') </v>
      </c>
      <c r="M284" s="17" t="s">
        <v>55</v>
      </c>
      <c r="N284" s="17" t="str">
        <f>"SELECT 'Validação de campos' as tipologia_teste, '"&amp;VLOOKUP(B284,Instruções!$F$13:$J$17,3,0)&amp;"' AS TABELA, '"&amp;E284&amp;"' AS CAMPO, '"&amp;Instruções!$D$15&amp;"' as ref_date, coalesce(NUM_REG_DIF, 0) AS NUM_REG_DIF FROM ("&amp;L284&amp;") A "</f>
        <v xml:space="preserve">SELECT 'Validação de campos' as tipologia_teste, 'lt002_instrument' AS TABELA, 'spcltv_lndng' AS CAMPO, '2024-09-30' as ref_date, coalesce(NUM_REG_DIF, 0) AS NUM_REG_DIF FROM (SELECT count(*) AS NUM_REG_DIF FROM (SELECT instrmnt_id as instrmnt_id_as_is, spcltv_lndng as spcltv_lndng_as_is FROM cd_loan_tapes_bce.lt002_instrument WHERE ref_date='2024-09-30' AND nome_perimetro='Individual Corporativo' AND segmento='ESTR' AND ambito='PM' AND entidade='00100' ) A  Inner join (SELECT instrmnt_id as instrmnt_id_to_be, spcltv_lndng as spcltv_lndng_to_be FROM bu_loantape_work.lt002_instrument WHERE ref_date='2024-09-30' AND nome_perimetro='Individual Corporativo' AND segmento='ESTR' AND ambito='PM' AND entidade='00100' ) B ON instrmnt_id_as_is = instrmnt_id_to_be WHERE coalesce(cast(spcltv_lndng_as_is as string), '') &lt;&gt; coalesce(cast(spcltv_lndng_to_be as string), '') ) A </v>
      </c>
      <c r="O284" s="19" t="str">
        <f t="shared" si="36"/>
        <v>SELECT 'Validação de campos' as tipologia_teste, 'lt002_instrument' AS TABELA, 'spcltv_lndng' AS CAMPO, '2024-09-30' as ref_date, coalesce(NUM_REG_DIF, 0) AS NUM_REG_DIF FROM (SELECT count(*) AS NUM_REG_DIF FROM (SELECT instrmnt_id as instrmnt_id_as_is, spcltv_lndng as spcltv_lndng_as_is FROM cd_loan_tapes_bce.lt002_instrument WHERE ref_date='2024-09-30' AND nome_perimetro='Individual Corporativo' AND segmento='ESTR' AND ambito='PM' AND entidade='00100' ) A  Inner join (SELECT instrmnt_id as instrmnt_id_to_be, spcltv_lndng as spcltv_lndng_to_be FROM bu_loantape_work.lt002_instrument WHERE ref_date='2024-09-30' AND nome_perimetro='Individual Corporativo' AND segmento='ESTR' AND ambito='PM' AND entidade='00100' ) B ON instrmnt_id_as_is = instrmnt_id_to_be WHERE coalesce(cast(spcltv_lndng_as_is as string), '') &lt;&gt; coalesce(cast(spcltv_lndng_to_be as string), '') ) A UNION ALL</v>
      </c>
      <c r="P284" s="17">
        <f t="shared" si="37"/>
        <v>28</v>
      </c>
    </row>
    <row r="285" spans="2:16" s="15" customFormat="1" ht="11.45">
      <c r="B285" s="17" t="s">
        <v>26</v>
      </c>
      <c r="C285" s="17" t="str">
        <f>_xlfn.CONCAT(Instruções!$D$13,".",VLOOKUP(B285,Instruções!$F$12:$H$17,2,0))</f>
        <v>cd_loan_tapes_bce.lt002_instrument</v>
      </c>
      <c r="D285" s="17" t="str">
        <f>_xlfn.CONCAT(Instruções!$D$14,".",VLOOKUP(B285,Instruções!$F$12:$H$17,3,0))</f>
        <v>bu_loantape_work.lt002_instrument</v>
      </c>
      <c r="E285" s="17" t="s">
        <v>329</v>
      </c>
      <c r="F285" s="17" t="str">
        <f t="shared" si="31"/>
        <v>spnsr_nm_as_is</v>
      </c>
      <c r="G285" s="17" t="str">
        <f t="shared" si="32"/>
        <v>spnsr_nm_to_be</v>
      </c>
      <c r="H285" s="17" t="str">
        <f>IF(VLOOKUP(B285,Instruções!$F$13:$J$17,5,0)="",
"(SELECT "&amp;VLOOKUP(B285,Instruções!$F$13:$J$17,4,0)&amp;" as "&amp;VLOOKUP(B285,Instruções!$F$13:$J$17,4,0)&amp;"_"&amp;$F$2&amp;", "&amp;E285&amp;" as "&amp;F285&amp;" FROM "&amp;C285&amp;" WHERE "&amp;Instruções!$D$20&amp;") A ",
"(SELECT "&amp;VLOOKUP(B285,Instruções!$F$13:$J$17,4,0)&amp;" as "&amp;VLOOKUP(B285,Instruções!$F$13:$J$17,4,0)&amp;"_"&amp;$F$2&amp;", "&amp;VLOOKUP(B285,Instruções!$F$13:$J$17,5,0)&amp;" as "&amp;VLOOKUP(B285,Instruções!$F$13:$J$17,5,0)&amp;"_"&amp;$F$2&amp;","&amp;E285&amp;" as "&amp;F285&amp;" FROM "&amp;C285&amp;" WHERE "&amp;Instruções!$D$20&amp;") A ")</f>
        <v xml:space="preserve">(SELECT instrmnt_id as instrmnt_id_as_is, spnsr_nm as spnsr_nm_as_is FROM cd_loan_tapes_bce.lt002_instrument WHERE ref_date='2024-09-30' AND nome_perimetro='Individual Corporativo' AND segmento='ESTR' AND ambito='PM' AND entidade='00100' ) A </v>
      </c>
      <c r="I285" s="17" t="str">
        <f>IF(VLOOKUP(B285,Instruções!$F$13:$J$17,5,0)="",
"(SELECT "&amp;VLOOKUP(B285,Instruções!$F$13:$J$17,4,0)&amp;" as "&amp;VLOOKUP(B285,Instruções!$F$13:$J$17,4,0)&amp;"_"&amp;$G$2&amp;", "&amp;E285&amp;" as "&amp;G285&amp;" FROM "&amp;D285&amp;" WHERE "&amp;Instruções!$D$21&amp;") B ",
"(SELECT "&amp;VLOOKUP(B285,Instruções!$F$13:$J$17,4,0)&amp;" as "&amp;VLOOKUP(B285,Instruções!$F$13:$J$17,4,0)&amp;"_"&amp;$G$2&amp;", "&amp;VLOOKUP(B285,Instruções!$F$13:$J$17,5,0)&amp;" as "&amp;VLOOKUP(B285,Instruções!$F$13:$J$17,5,0)&amp;"_"&amp;$G$2&amp;","&amp;E285&amp;" as "&amp;G285&amp;" FROM "&amp;D285&amp;" WHERE "&amp;Instruções!$D$21&amp;") B ")</f>
        <v xml:space="preserve">(SELECT instrmnt_id as instrmnt_id_to_be, spnsr_nm as spnsr_nm_to_be FROM bu_loantape_work.lt002_instrument WHERE ref_date='2024-09-30' AND nome_perimetro='Individual Corporativo' AND segmento='ESTR' AND ambito='PM' AND entidade='00100' ) B </v>
      </c>
      <c r="J285" s="17" t="str">
        <f>IF(VLOOKUP(B285,Instruções!$F$13:$J$17,5,0)="",
"ON "&amp;VLOOKUP(B285,Instruções!$F$13:$J$17,4,0)&amp;"_"&amp;$F$2&amp;" = "&amp;VLOOKUP(B285,Instruções!$F$13:$J$17,4,0)&amp;"_"&amp;$G$2&amp;" ",
"ON "&amp;VLOOKUP(B285,Instruções!$F$13:$J$17,4,0)&amp;"_"&amp;$F$2&amp;" = "&amp;VLOOKUP(B285,Instruções!$F$13:$J$17,4,0)&amp;"_"&amp;$G$2&amp;" AND "&amp;VLOOKUP(B285,Instruções!$F$13:$J$17,5,0)&amp;"_"&amp;$F$2&amp;" = "&amp;VLOOKUP(B285,Instruções!$F$13:$J$17,5,0)&amp;"_"&amp;$G$2&amp;" ")</f>
        <v xml:space="preserve">ON instrmnt_id_as_is = instrmnt_id_to_be </v>
      </c>
      <c r="K285" s="17" t="str">
        <f t="shared" si="33"/>
        <v xml:space="preserve">WHERE coalesce(cast(spnsr_nm_as_is as string), '') &lt;&gt; coalesce(cast(spnsr_nm_to_be as string), '') </v>
      </c>
      <c r="L285" s="17" t="str">
        <f t="shared" si="34"/>
        <v xml:space="preserve">SELECT count(*) AS NUM_REG_DIF FROM (SELECT instrmnt_id as instrmnt_id_as_is, spnsr_nm as spnsr_nm_as_is FROM cd_loan_tapes_bce.lt002_instrument WHERE ref_date='2024-09-30' AND nome_perimetro='Individual Corporativo' AND segmento='ESTR' AND ambito='PM' AND entidade='00100' ) A  Inner join (SELECT instrmnt_id as instrmnt_id_to_be, spnsr_nm as spnsr_nm_to_be FROM bu_loantape_work.lt002_instrument WHERE ref_date='2024-09-30' AND nome_perimetro='Individual Corporativo' AND segmento='ESTR' AND ambito='PM' AND entidade='00100' ) B ON instrmnt_id_as_is = instrmnt_id_to_be WHERE coalesce(cast(spnsr_nm_as_is as string), '') &lt;&gt; coalesce(cast(spnsr_nm_to_be as string), '') </v>
      </c>
      <c r="M285" s="17" t="s">
        <v>55</v>
      </c>
      <c r="N285" s="17" t="str">
        <f>"SELECT 'Validação de campos' as tipologia_teste, '"&amp;VLOOKUP(B285,Instruções!$F$13:$J$17,3,0)&amp;"' AS TABELA, '"&amp;E285&amp;"' AS CAMPO, '"&amp;Instruções!$D$15&amp;"' as ref_date, coalesce(NUM_REG_DIF, 0) AS NUM_REG_DIF FROM ("&amp;L285&amp;") A "</f>
        <v xml:space="preserve">SELECT 'Validação de campos' as tipologia_teste, 'lt002_instrument' AS TABELA, 'spnsr_nm' AS CAMPO, '2024-09-30' as ref_date, coalesce(NUM_REG_DIF, 0) AS NUM_REG_DIF FROM (SELECT count(*) AS NUM_REG_DIF FROM (SELECT instrmnt_id as instrmnt_id_as_is, spnsr_nm as spnsr_nm_as_is FROM cd_loan_tapes_bce.lt002_instrument WHERE ref_date='2024-09-30' AND nome_perimetro='Individual Corporativo' AND segmento='ESTR' AND ambito='PM' AND entidade='00100' ) A  Inner join (SELECT instrmnt_id as instrmnt_id_to_be, spnsr_nm as spnsr_nm_to_be FROM bu_loantape_work.lt002_instrument WHERE ref_date='2024-09-30' AND nome_perimetro='Individual Corporativo' AND segmento='ESTR' AND ambito='PM' AND entidade='00100' ) B ON instrmnt_id_as_is = instrmnt_id_to_be WHERE coalesce(cast(spnsr_nm_as_is as string), '') &lt;&gt; coalesce(cast(spnsr_nm_to_be as string), '') ) A </v>
      </c>
      <c r="O285" s="19" t="str">
        <f t="shared" si="36"/>
        <v>SELECT 'Validação de campos' as tipologia_teste, 'lt002_instrument' AS TABELA, 'spnsr_nm' AS CAMPO, '2024-09-30' as ref_date, coalesce(NUM_REG_DIF, 0) AS NUM_REG_DIF FROM (SELECT count(*) AS NUM_REG_DIF FROM (SELECT instrmnt_id as instrmnt_id_as_is, spnsr_nm as spnsr_nm_as_is FROM cd_loan_tapes_bce.lt002_instrument WHERE ref_date='2024-09-30' AND nome_perimetro='Individual Corporativo' AND segmento='ESTR' AND ambito='PM' AND entidade='00100' ) A  Inner join (SELECT instrmnt_id as instrmnt_id_to_be, spnsr_nm as spnsr_nm_to_be FROM bu_loantape_work.lt002_instrument WHERE ref_date='2024-09-30' AND nome_perimetro='Individual Corporativo' AND segmento='ESTR' AND ambito='PM' AND entidade='00100' ) B ON instrmnt_id_as_is = instrmnt_id_to_be WHERE coalesce(cast(spnsr_nm_as_is as string), '') &lt;&gt; coalesce(cast(spnsr_nm_to_be as string), '') ) A UNION ALL</v>
      </c>
      <c r="P285" s="17">
        <f t="shared" si="37"/>
        <v>29</v>
      </c>
    </row>
    <row r="286" spans="2:16" s="15" customFormat="1" ht="11.45">
      <c r="B286" s="17" t="s">
        <v>26</v>
      </c>
      <c r="C286" s="17" t="str">
        <f>_xlfn.CONCAT(Instruções!$D$13,".",VLOOKUP(B286,Instruções!$F$12:$H$17,2,0))</f>
        <v>cd_loan_tapes_bce.lt002_instrument</v>
      </c>
      <c r="D286" s="17" t="str">
        <f>_xlfn.CONCAT(Instruções!$D$14,".",VLOOKUP(B286,Instruções!$F$12:$H$17,3,0))</f>
        <v>bu_loantape_work.lt002_instrument</v>
      </c>
      <c r="E286" s="17" t="s">
        <v>330</v>
      </c>
      <c r="F286" s="17" t="str">
        <f t="shared" si="31"/>
        <v>sprd_as_is</v>
      </c>
      <c r="G286" s="17" t="str">
        <f t="shared" si="32"/>
        <v>sprd_to_be</v>
      </c>
      <c r="H286" s="17" t="str">
        <f>IF(VLOOKUP(B286,Instruções!$F$13:$J$17,5,0)="",
"(SELECT "&amp;VLOOKUP(B286,Instruções!$F$13:$J$17,4,0)&amp;" as "&amp;VLOOKUP(B286,Instruções!$F$13:$J$17,4,0)&amp;"_"&amp;$F$2&amp;", "&amp;E286&amp;" as "&amp;F286&amp;" FROM "&amp;C286&amp;" WHERE "&amp;Instruções!$D$20&amp;") A ",
"(SELECT "&amp;VLOOKUP(B286,Instruções!$F$13:$J$17,4,0)&amp;" as "&amp;VLOOKUP(B286,Instruções!$F$13:$J$17,4,0)&amp;"_"&amp;$F$2&amp;", "&amp;VLOOKUP(B286,Instruções!$F$13:$J$17,5,0)&amp;" as "&amp;VLOOKUP(B286,Instruções!$F$13:$J$17,5,0)&amp;"_"&amp;$F$2&amp;","&amp;E286&amp;" as "&amp;F286&amp;" FROM "&amp;C286&amp;" WHERE "&amp;Instruções!$D$20&amp;") A ")</f>
        <v xml:space="preserve">(SELECT instrmnt_id as instrmnt_id_as_is, sprd as sprd_as_is FROM cd_loan_tapes_bce.lt002_instrument WHERE ref_date='2024-09-30' AND nome_perimetro='Individual Corporativo' AND segmento='ESTR' AND ambito='PM' AND entidade='00100' ) A </v>
      </c>
      <c r="I286" s="17" t="str">
        <f>IF(VLOOKUP(B286,Instruções!$F$13:$J$17,5,0)="",
"(SELECT "&amp;VLOOKUP(B286,Instruções!$F$13:$J$17,4,0)&amp;" as "&amp;VLOOKUP(B286,Instruções!$F$13:$J$17,4,0)&amp;"_"&amp;$G$2&amp;", "&amp;E286&amp;" as "&amp;G286&amp;" FROM "&amp;D286&amp;" WHERE "&amp;Instruções!$D$21&amp;") B ",
"(SELECT "&amp;VLOOKUP(B286,Instruções!$F$13:$J$17,4,0)&amp;" as "&amp;VLOOKUP(B286,Instruções!$F$13:$J$17,4,0)&amp;"_"&amp;$G$2&amp;", "&amp;VLOOKUP(B286,Instruções!$F$13:$J$17,5,0)&amp;" as "&amp;VLOOKUP(B286,Instruções!$F$13:$J$17,5,0)&amp;"_"&amp;$G$2&amp;","&amp;E286&amp;" as "&amp;G286&amp;" FROM "&amp;D286&amp;" WHERE "&amp;Instruções!$D$21&amp;") B ")</f>
        <v xml:space="preserve">(SELECT instrmnt_id as instrmnt_id_to_be, sprd as sprd_to_be FROM bu_loantape_work.lt002_instrument WHERE ref_date='2024-09-30' AND nome_perimetro='Individual Corporativo' AND segmento='ESTR' AND ambito='PM' AND entidade='00100' ) B </v>
      </c>
      <c r="J286" s="17" t="str">
        <f>IF(VLOOKUP(B286,Instruções!$F$13:$J$17,5,0)="",
"ON "&amp;VLOOKUP(B286,Instruções!$F$13:$J$17,4,0)&amp;"_"&amp;$F$2&amp;" = "&amp;VLOOKUP(B286,Instruções!$F$13:$J$17,4,0)&amp;"_"&amp;$G$2&amp;" ",
"ON "&amp;VLOOKUP(B286,Instruções!$F$13:$J$17,4,0)&amp;"_"&amp;$F$2&amp;" = "&amp;VLOOKUP(B286,Instruções!$F$13:$J$17,4,0)&amp;"_"&amp;$G$2&amp;" AND "&amp;VLOOKUP(B286,Instruções!$F$13:$J$17,5,0)&amp;"_"&amp;$F$2&amp;" = "&amp;VLOOKUP(B286,Instruções!$F$13:$J$17,5,0)&amp;"_"&amp;$G$2&amp;" ")</f>
        <v xml:space="preserve">ON instrmnt_id_as_is = instrmnt_id_to_be </v>
      </c>
      <c r="K286" s="17" t="str">
        <f t="shared" si="33"/>
        <v xml:space="preserve">WHERE coalesce(cast(sprd_as_is as string), '') &lt;&gt; coalesce(cast(sprd_to_be as string), '') </v>
      </c>
      <c r="L286" s="17" t="str">
        <f t="shared" si="34"/>
        <v xml:space="preserve">SELECT count(*) AS NUM_REG_DIF FROM (SELECT instrmnt_id as instrmnt_id_as_is, sprd as sprd_as_is FROM cd_loan_tapes_bce.lt002_instrument WHERE ref_date='2024-09-30' AND nome_perimetro='Individual Corporativo' AND segmento='ESTR' AND ambito='PM' AND entidade='00100' ) A  Inner join (SELECT instrmnt_id as instrmnt_id_to_be, sprd as sprd_to_be FROM bu_loantape_work.lt002_instrument WHERE ref_date='2024-09-30' AND nome_perimetro='Individual Corporativo' AND segmento='ESTR' AND ambito='PM' AND entidade='00100' ) B ON instrmnt_id_as_is = instrmnt_id_to_be WHERE coalesce(cast(sprd_as_is as string), '') &lt;&gt; coalesce(cast(sprd_to_be as string), '') </v>
      </c>
      <c r="M286" s="17" t="s">
        <v>55</v>
      </c>
      <c r="N286" s="17" t="str">
        <f>"SELECT 'Validação de campos' as tipologia_teste, '"&amp;VLOOKUP(B286,Instruções!$F$13:$J$17,3,0)&amp;"' AS TABELA, '"&amp;E286&amp;"' AS CAMPO, '"&amp;Instruções!$D$15&amp;"' as ref_date, coalesce(NUM_REG_DIF, 0) AS NUM_REG_DIF FROM ("&amp;L286&amp;") A "</f>
        <v xml:space="preserve">SELECT 'Validação de campos' as tipologia_teste, 'lt002_instrument' AS TABELA, 'sprd' AS CAMPO, '2024-09-30' as ref_date, coalesce(NUM_REG_DIF, 0) AS NUM_REG_DIF FROM (SELECT count(*) AS NUM_REG_DIF FROM (SELECT instrmnt_id as instrmnt_id_as_is, sprd as sprd_as_is FROM cd_loan_tapes_bce.lt002_instrument WHERE ref_date='2024-09-30' AND nome_perimetro='Individual Corporativo' AND segmento='ESTR' AND ambito='PM' AND entidade='00100' ) A  Inner join (SELECT instrmnt_id as instrmnt_id_to_be, sprd as sprd_to_be FROM bu_loantape_work.lt002_instrument WHERE ref_date='2024-09-30' AND nome_perimetro='Individual Corporativo' AND segmento='ESTR' AND ambito='PM' AND entidade='00100' ) B ON instrmnt_id_as_is = instrmnt_id_to_be WHERE coalesce(cast(sprd_as_is as string), '') &lt;&gt; coalesce(cast(sprd_to_be as string), '') ) A </v>
      </c>
      <c r="O286" s="19" t="str">
        <f t="shared" si="36"/>
        <v>SELECT 'Validação de campos' as tipologia_teste, 'lt002_instrument' AS TABELA, 'sprd' AS CAMPO, '2024-09-30' as ref_date, coalesce(NUM_REG_DIF, 0) AS NUM_REG_DIF FROM (SELECT count(*) AS NUM_REG_DIF FROM (SELECT instrmnt_id as instrmnt_id_as_is, sprd as sprd_as_is FROM cd_loan_tapes_bce.lt002_instrument WHERE ref_date='2024-09-30' AND nome_perimetro='Individual Corporativo' AND segmento='ESTR' AND ambito='PM' AND entidade='00100' ) A  Inner join (SELECT instrmnt_id as instrmnt_id_to_be, sprd as sprd_to_be FROM bu_loantape_work.lt002_instrument WHERE ref_date='2024-09-30' AND nome_perimetro='Individual Corporativo' AND segmento='ESTR' AND ambito='PM' AND entidade='00100' ) B ON instrmnt_id_as_is = instrmnt_id_to_be WHERE coalesce(cast(sprd_as_is as string), '') &lt;&gt; coalesce(cast(sprd_to_be as string), '') ) A UNION ALL</v>
      </c>
      <c r="P286" s="17">
        <f t="shared" si="37"/>
        <v>30</v>
      </c>
    </row>
    <row r="287" spans="2:16" s="15" customFormat="1" ht="11.45">
      <c r="B287" s="17" t="s">
        <v>26</v>
      </c>
      <c r="C287" s="17" t="str">
        <f>_xlfn.CONCAT(Instruções!$D$13,".",VLOOKUP(B287,Instruções!$F$12:$H$17,2,0))</f>
        <v>cd_loan_tapes_bce.lt002_instrument</v>
      </c>
      <c r="D287" s="17" t="str">
        <f>_xlfn.CONCAT(Instruções!$D$14,".",VLOOKUP(B287,Instruções!$F$12:$H$17,3,0))</f>
        <v>bu_loantape_work.lt002_instrument</v>
      </c>
      <c r="E287" s="17" t="s">
        <v>331</v>
      </c>
      <c r="F287" s="17" t="str">
        <f t="shared" si="31"/>
        <v>srcs_encmbrnc_as_is</v>
      </c>
      <c r="G287" s="17" t="str">
        <f t="shared" si="32"/>
        <v>srcs_encmbrnc_to_be</v>
      </c>
      <c r="H287" s="17" t="str">
        <f>IF(VLOOKUP(B287,Instruções!$F$13:$J$17,5,0)="",
"(SELECT "&amp;VLOOKUP(B287,Instruções!$F$13:$J$17,4,0)&amp;" as "&amp;VLOOKUP(B287,Instruções!$F$13:$J$17,4,0)&amp;"_"&amp;$F$2&amp;", "&amp;E287&amp;" as "&amp;F287&amp;" FROM "&amp;C287&amp;" WHERE "&amp;Instruções!$D$20&amp;") A ",
"(SELECT "&amp;VLOOKUP(B287,Instruções!$F$13:$J$17,4,0)&amp;" as "&amp;VLOOKUP(B287,Instruções!$F$13:$J$17,4,0)&amp;"_"&amp;$F$2&amp;", "&amp;VLOOKUP(B287,Instruções!$F$13:$J$17,5,0)&amp;" as "&amp;VLOOKUP(B287,Instruções!$F$13:$J$17,5,0)&amp;"_"&amp;$F$2&amp;","&amp;E287&amp;" as "&amp;F287&amp;" FROM "&amp;C287&amp;" WHERE "&amp;Instruções!$D$20&amp;") A ")</f>
        <v xml:space="preserve">(SELECT instrmnt_id as instrmnt_id_as_is, srcs_encmbrnc as srcs_encmbrnc_as_is FROM cd_loan_tapes_bce.lt002_instrument WHERE ref_date='2024-09-30' AND nome_perimetro='Individual Corporativo' AND segmento='ESTR' AND ambito='PM' AND entidade='00100' ) A </v>
      </c>
      <c r="I287" s="17" t="str">
        <f>IF(VLOOKUP(B287,Instruções!$F$13:$J$17,5,0)="",
"(SELECT "&amp;VLOOKUP(B287,Instruções!$F$13:$J$17,4,0)&amp;" as "&amp;VLOOKUP(B287,Instruções!$F$13:$J$17,4,0)&amp;"_"&amp;$G$2&amp;", "&amp;E287&amp;" as "&amp;G287&amp;" FROM "&amp;D287&amp;" WHERE "&amp;Instruções!$D$21&amp;") B ",
"(SELECT "&amp;VLOOKUP(B287,Instruções!$F$13:$J$17,4,0)&amp;" as "&amp;VLOOKUP(B287,Instruções!$F$13:$J$17,4,0)&amp;"_"&amp;$G$2&amp;", "&amp;VLOOKUP(B287,Instruções!$F$13:$J$17,5,0)&amp;" as "&amp;VLOOKUP(B287,Instruções!$F$13:$J$17,5,0)&amp;"_"&amp;$G$2&amp;","&amp;E287&amp;" as "&amp;G287&amp;" FROM "&amp;D287&amp;" WHERE "&amp;Instruções!$D$21&amp;") B ")</f>
        <v xml:space="preserve">(SELECT instrmnt_id as instrmnt_id_to_be, srcs_encmbrnc as srcs_encmbrnc_to_be FROM bu_loantape_work.lt002_instrument WHERE ref_date='2024-09-30' AND nome_perimetro='Individual Corporativo' AND segmento='ESTR' AND ambito='PM' AND entidade='00100' ) B </v>
      </c>
      <c r="J287" s="17" t="str">
        <f>IF(VLOOKUP(B287,Instruções!$F$13:$J$17,5,0)="",
"ON "&amp;VLOOKUP(B287,Instruções!$F$13:$J$17,4,0)&amp;"_"&amp;$F$2&amp;" = "&amp;VLOOKUP(B287,Instruções!$F$13:$J$17,4,0)&amp;"_"&amp;$G$2&amp;" ",
"ON "&amp;VLOOKUP(B287,Instruções!$F$13:$J$17,4,0)&amp;"_"&amp;$F$2&amp;" = "&amp;VLOOKUP(B287,Instruções!$F$13:$J$17,4,0)&amp;"_"&amp;$G$2&amp;" AND "&amp;VLOOKUP(B287,Instruções!$F$13:$J$17,5,0)&amp;"_"&amp;$F$2&amp;" = "&amp;VLOOKUP(B287,Instruções!$F$13:$J$17,5,0)&amp;"_"&amp;$G$2&amp;" ")</f>
        <v xml:space="preserve">ON instrmnt_id_as_is = instrmnt_id_to_be </v>
      </c>
      <c r="K287" s="17" t="str">
        <f t="shared" si="33"/>
        <v xml:space="preserve">WHERE coalesce(cast(srcs_encmbrnc_as_is as string), '') &lt;&gt; coalesce(cast(srcs_encmbrnc_to_be as string), '') </v>
      </c>
      <c r="L287" s="17" t="str">
        <f t="shared" si="34"/>
        <v xml:space="preserve">SELECT count(*) AS NUM_REG_DIF FROM (SELECT instrmnt_id as instrmnt_id_as_is, srcs_encmbrnc as srcs_encmbrnc_as_is FROM cd_loan_tapes_bce.lt002_instrument WHERE ref_date='2024-09-30' AND nome_perimetro='Individual Corporativo' AND segmento='ESTR' AND ambito='PM' AND entidade='00100' ) A  Inner join (SELECT instrmnt_id as instrmnt_id_to_be, srcs_encmbrnc as srcs_encmbrnc_to_be FROM bu_loantape_work.lt002_instrument WHERE ref_date='2024-09-30' AND nome_perimetro='Individual Corporativo' AND segmento='ESTR' AND ambito='PM' AND entidade='00100' ) B ON instrmnt_id_as_is = instrmnt_id_to_be WHERE coalesce(cast(srcs_encmbrnc_as_is as string), '') &lt;&gt; coalesce(cast(srcs_encmbrnc_to_be as string), '') </v>
      </c>
      <c r="M287" s="17" t="s">
        <v>55</v>
      </c>
      <c r="N287" s="17" t="str">
        <f>"SELECT 'Validação de campos' as tipologia_teste, '"&amp;VLOOKUP(B287,Instruções!$F$13:$J$17,3,0)&amp;"' AS TABELA, '"&amp;E287&amp;"' AS CAMPO, '"&amp;Instruções!$D$15&amp;"' as ref_date, coalesce(NUM_REG_DIF, 0) AS NUM_REG_DIF FROM ("&amp;L287&amp;") A "</f>
        <v xml:space="preserve">SELECT 'Validação de campos' as tipologia_teste, 'lt002_instrument' AS TABELA, 'srcs_encmbrnc' AS CAMPO, '2024-09-30' as ref_date, coalesce(NUM_REG_DIF, 0) AS NUM_REG_DIF FROM (SELECT count(*) AS NUM_REG_DIF FROM (SELECT instrmnt_id as instrmnt_id_as_is, srcs_encmbrnc as srcs_encmbrnc_as_is FROM cd_loan_tapes_bce.lt002_instrument WHERE ref_date='2024-09-30' AND nome_perimetro='Individual Corporativo' AND segmento='ESTR' AND ambito='PM' AND entidade='00100' ) A  Inner join (SELECT instrmnt_id as instrmnt_id_to_be, srcs_encmbrnc as srcs_encmbrnc_to_be FROM bu_loantape_work.lt002_instrument WHERE ref_date='2024-09-30' AND nome_perimetro='Individual Corporativo' AND segmento='ESTR' AND ambito='PM' AND entidade='00100' ) B ON instrmnt_id_as_is = instrmnt_id_to_be WHERE coalesce(cast(srcs_encmbrnc_as_is as string), '') &lt;&gt; coalesce(cast(srcs_encmbrnc_to_be as string), '') ) A </v>
      </c>
      <c r="O287" s="19" t="str">
        <f t="shared" si="36"/>
        <v>SELECT 'Validação de campos' as tipologia_teste, 'lt002_instrument' AS TABELA, 'srcs_encmbrnc' AS CAMPO, '2024-09-30' as ref_date, coalesce(NUM_REG_DIF, 0) AS NUM_REG_DIF FROM (SELECT count(*) AS NUM_REG_DIF FROM (SELECT instrmnt_id as instrmnt_id_as_is, srcs_encmbrnc as srcs_encmbrnc_as_is FROM cd_loan_tapes_bce.lt002_instrument WHERE ref_date='2024-09-30' AND nome_perimetro='Individual Corporativo' AND segmento='ESTR' AND ambito='PM' AND entidade='00100' ) A  Inner join (SELECT instrmnt_id as instrmnt_id_to_be, srcs_encmbrnc as srcs_encmbrnc_to_be FROM bu_loantape_work.lt002_instrument WHERE ref_date='2024-09-30' AND nome_perimetro='Individual Corporativo' AND segmento='ESTR' AND ambito='PM' AND entidade='00100' ) B ON instrmnt_id_as_is = instrmnt_id_to_be WHERE coalesce(cast(srcs_encmbrnc_as_is as string), '') &lt;&gt; coalesce(cast(srcs_encmbrnc_to_be as string), '') ) A UNION ALL</v>
      </c>
      <c r="P287" s="17">
        <f t="shared" si="37"/>
        <v>31</v>
      </c>
    </row>
    <row r="288" spans="2:16" s="15" customFormat="1" ht="11.45">
      <c r="B288" s="17" t="s">
        <v>26</v>
      </c>
      <c r="C288" s="17" t="str">
        <f>_xlfn.CONCAT(Instruções!$D$13,".",VLOOKUP(B288,Instruções!$F$12:$H$17,2,0))</f>
        <v>cd_loan_tapes_bce.lt002_instrument</v>
      </c>
      <c r="D288" s="17" t="str">
        <f>_xlfn.CONCAT(Instruções!$D$14,".",VLOOKUP(B288,Instruções!$F$12:$H$17,3,0))</f>
        <v>bu_loantape_work.lt002_instrument</v>
      </c>
      <c r="E288" s="17" t="s">
        <v>332</v>
      </c>
      <c r="F288" s="17" t="str">
        <f t="shared" si="31"/>
        <v>stts_undrwrttn_trnsctn_as_is</v>
      </c>
      <c r="G288" s="17" t="str">
        <f t="shared" si="32"/>
        <v>stts_undrwrttn_trnsctn_to_be</v>
      </c>
      <c r="H288" s="17" t="str">
        <f>IF(VLOOKUP(B288,Instruções!$F$13:$J$17,5,0)="",
"(SELECT "&amp;VLOOKUP(B288,Instruções!$F$13:$J$17,4,0)&amp;" as "&amp;VLOOKUP(B288,Instruções!$F$13:$J$17,4,0)&amp;"_"&amp;$F$2&amp;", "&amp;E288&amp;" as "&amp;F288&amp;" FROM "&amp;C288&amp;" WHERE "&amp;Instruções!$D$20&amp;") A ",
"(SELECT "&amp;VLOOKUP(B288,Instruções!$F$13:$J$17,4,0)&amp;" as "&amp;VLOOKUP(B288,Instruções!$F$13:$J$17,4,0)&amp;"_"&amp;$F$2&amp;", "&amp;VLOOKUP(B288,Instruções!$F$13:$J$17,5,0)&amp;" as "&amp;VLOOKUP(B288,Instruções!$F$13:$J$17,5,0)&amp;"_"&amp;$F$2&amp;","&amp;E288&amp;" as "&amp;F288&amp;" FROM "&amp;C288&amp;" WHERE "&amp;Instruções!$D$20&amp;") A ")</f>
        <v xml:space="preserve">(SELECT instrmnt_id as instrmnt_id_as_is, stts_undrwrttn_trnsctn as stts_undrwrttn_trnsctn_as_is FROM cd_loan_tapes_bce.lt002_instrument WHERE ref_date='2024-09-30' AND nome_perimetro='Individual Corporativo' AND segmento='ESTR' AND ambito='PM' AND entidade='00100' ) A </v>
      </c>
      <c r="I288" s="17" t="str">
        <f>IF(VLOOKUP(B288,Instruções!$F$13:$J$17,5,0)="",
"(SELECT "&amp;VLOOKUP(B288,Instruções!$F$13:$J$17,4,0)&amp;" as "&amp;VLOOKUP(B288,Instruções!$F$13:$J$17,4,0)&amp;"_"&amp;$G$2&amp;", "&amp;E288&amp;" as "&amp;G288&amp;" FROM "&amp;D288&amp;" WHERE "&amp;Instruções!$D$21&amp;") B ",
"(SELECT "&amp;VLOOKUP(B288,Instruções!$F$13:$J$17,4,0)&amp;" as "&amp;VLOOKUP(B288,Instruções!$F$13:$J$17,4,0)&amp;"_"&amp;$G$2&amp;", "&amp;VLOOKUP(B288,Instruções!$F$13:$J$17,5,0)&amp;" as "&amp;VLOOKUP(B288,Instruções!$F$13:$J$17,5,0)&amp;"_"&amp;$G$2&amp;","&amp;E288&amp;" as "&amp;G288&amp;" FROM "&amp;D288&amp;" WHERE "&amp;Instruções!$D$21&amp;") B ")</f>
        <v xml:space="preserve">(SELECT instrmnt_id as instrmnt_id_to_be, stts_undrwrttn_trnsctn as stts_undrwrttn_trnsctn_to_be FROM bu_loantape_work.lt002_instrument WHERE ref_date='2024-09-30' AND nome_perimetro='Individual Corporativo' AND segmento='ESTR' AND ambito='PM' AND entidade='00100' ) B </v>
      </c>
      <c r="J288" s="17" t="str">
        <f>IF(VLOOKUP(B288,Instruções!$F$13:$J$17,5,0)="",
"ON "&amp;VLOOKUP(B288,Instruções!$F$13:$J$17,4,0)&amp;"_"&amp;$F$2&amp;" = "&amp;VLOOKUP(B288,Instruções!$F$13:$J$17,4,0)&amp;"_"&amp;$G$2&amp;" ",
"ON "&amp;VLOOKUP(B288,Instruções!$F$13:$J$17,4,0)&amp;"_"&amp;$F$2&amp;" = "&amp;VLOOKUP(B288,Instruções!$F$13:$J$17,4,0)&amp;"_"&amp;$G$2&amp;" AND "&amp;VLOOKUP(B288,Instruções!$F$13:$J$17,5,0)&amp;"_"&amp;$F$2&amp;" = "&amp;VLOOKUP(B288,Instruções!$F$13:$J$17,5,0)&amp;"_"&amp;$G$2&amp;" ")</f>
        <v xml:space="preserve">ON instrmnt_id_as_is = instrmnt_id_to_be </v>
      </c>
      <c r="K288" s="17" t="str">
        <f t="shared" si="33"/>
        <v xml:space="preserve">WHERE coalesce(cast(stts_undrwrttn_trnsctn_as_is as string), '') &lt;&gt; coalesce(cast(stts_undrwrttn_trnsctn_to_be as string), '') </v>
      </c>
      <c r="L288" s="17" t="str">
        <f t="shared" si="34"/>
        <v xml:space="preserve">SELECT count(*) AS NUM_REG_DIF FROM (SELECT instrmnt_id as instrmnt_id_as_is, stts_undrwrttn_trnsctn as stts_undrwrttn_trnsctn_as_is FROM cd_loan_tapes_bce.lt002_instrument WHERE ref_date='2024-09-30' AND nome_perimetro='Individual Corporativo' AND segmento='ESTR' AND ambito='PM' AND entidade='00100' ) A  Inner join (SELECT instrmnt_id as instrmnt_id_to_be, stts_undrwrttn_trnsctn as stts_undrwrttn_trnsctn_to_be FROM bu_loantape_work.lt002_instrument WHERE ref_date='2024-09-30' AND nome_perimetro='Individual Corporativo' AND segmento='ESTR' AND ambito='PM' AND entidade='00100' ) B ON instrmnt_id_as_is = instrmnt_id_to_be WHERE coalesce(cast(stts_undrwrttn_trnsctn_as_is as string), '') &lt;&gt; coalesce(cast(stts_undrwrttn_trnsctn_to_be as string), '') </v>
      </c>
      <c r="M288" s="17" t="s">
        <v>55</v>
      </c>
      <c r="N288" s="17" t="str">
        <f>"SELECT 'Validação de campos' as tipologia_teste, '"&amp;VLOOKUP(B288,Instruções!$F$13:$J$17,3,0)&amp;"' AS TABELA, '"&amp;E288&amp;"' AS CAMPO, '"&amp;Instruções!$D$15&amp;"' as ref_date, coalesce(NUM_REG_DIF, 0) AS NUM_REG_DIF FROM ("&amp;L288&amp;") A "</f>
        <v xml:space="preserve">SELECT 'Validação de campos' as tipologia_teste, 'lt002_instrument' AS TABELA, 'stts_undrwrttn_trnsctn' AS CAMPO, '2024-09-30' as ref_date, coalesce(NUM_REG_DIF, 0) AS NUM_REG_DIF FROM (SELECT count(*) AS NUM_REG_DIF FROM (SELECT instrmnt_id as instrmnt_id_as_is, stts_undrwrttn_trnsctn as stts_undrwrttn_trnsctn_as_is FROM cd_loan_tapes_bce.lt002_instrument WHERE ref_date='2024-09-30' AND nome_perimetro='Individual Corporativo' AND segmento='ESTR' AND ambito='PM' AND entidade='00100' ) A  Inner join (SELECT instrmnt_id as instrmnt_id_to_be, stts_undrwrttn_trnsctn as stts_undrwrttn_trnsctn_to_be FROM bu_loantape_work.lt002_instrument WHERE ref_date='2024-09-30' AND nome_perimetro='Individual Corporativo' AND segmento='ESTR' AND ambito='PM' AND entidade='00100' ) B ON instrmnt_id_as_is = instrmnt_id_to_be WHERE coalesce(cast(stts_undrwrttn_trnsctn_as_is as string), '') &lt;&gt; coalesce(cast(stts_undrwrttn_trnsctn_to_be as string), '') ) A </v>
      </c>
      <c r="O288" s="19" t="str">
        <f t="shared" si="36"/>
        <v>SELECT 'Validação de campos' as tipologia_teste, 'lt002_instrument' AS TABELA, 'stts_undrwrttn_trnsctn' AS CAMPO, '2024-09-30' as ref_date, coalesce(NUM_REG_DIF, 0) AS NUM_REG_DIF FROM (SELECT count(*) AS NUM_REG_DIF FROM (SELECT instrmnt_id as instrmnt_id_as_is, stts_undrwrttn_trnsctn as stts_undrwrttn_trnsctn_as_is FROM cd_loan_tapes_bce.lt002_instrument WHERE ref_date='2024-09-30' AND nome_perimetro='Individual Corporativo' AND segmento='ESTR' AND ambito='PM' AND entidade='00100' ) A  Inner join (SELECT instrmnt_id as instrmnt_id_to_be, stts_undrwrttn_trnsctn as stts_undrwrttn_trnsctn_to_be FROM bu_loantape_work.lt002_instrument WHERE ref_date='2024-09-30' AND nome_perimetro='Individual Corporativo' AND segmento='ESTR' AND ambito='PM' AND entidade='00100' ) B ON instrmnt_id_as_is = instrmnt_id_to_be WHERE coalesce(cast(stts_undrwrttn_trnsctn_as_is as string), '') &lt;&gt; coalesce(cast(stts_undrwrttn_trnsctn_to_be as string), '') ) A UNION ALL</v>
      </c>
      <c r="P288" s="17">
        <f t="shared" si="37"/>
        <v>32</v>
      </c>
    </row>
    <row r="289" spans="2:16" s="15" customFormat="1" ht="11.45">
      <c r="B289" s="17" t="s">
        <v>26</v>
      </c>
      <c r="C289" s="17" t="str">
        <f>_xlfn.CONCAT(Instruções!$D$13,".",VLOOKUP(B289,Instruções!$F$12:$H$17,2,0))</f>
        <v>cd_loan_tapes_bce.lt002_instrument</v>
      </c>
      <c r="D289" s="17" t="str">
        <f>_xlfn.CONCAT(Instruções!$D$14,".",VLOOKUP(B289,Instruções!$F$12:$H$17,3,0))</f>
        <v>bu_loantape_work.lt002_instrument</v>
      </c>
      <c r="E289" s="17" t="s">
        <v>333</v>
      </c>
      <c r="F289" s="17" t="str">
        <f t="shared" si="31"/>
        <v>subportfolio_id_as_is</v>
      </c>
      <c r="G289" s="17" t="str">
        <f t="shared" si="32"/>
        <v>subportfolio_id_to_be</v>
      </c>
      <c r="H289" s="17" t="str">
        <f>IF(VLOOKUP(B289,Instruções!$F$13:$J$17,5,0)="",
"(SELECT "&amp;VLOOKUP(B289,Instruções!$F$13:$J$17,4,0)&amp;" as "&amp;VLOOKUP(B289,Instruções!$F$13:$J$17,4,0)&amp;"_"&amp;$F$2&amp;", "&amp;E289&amp;" as "&amp;F289&amp;" FROM "&amp;C289&amp;" WHERE "&amp;Instruções!$D$20&amp;") A ",
"(SELECT "&amp;VLOOKUP(B289,Instruções!$F$13:$J$17,4,0)&amp;" as "&amp;VLOOKUP(B289,Instruções!$F$13:$J$17,4,0)&amp;"_"&amp;$F$2&amp;", "&amp;VLOOKUP(B289,Instruções!$F$13:$J$17,5,0)&amp;" as "&amp;VLOOKUP(B289,Instruções!$F$13:$J$17,5,0)&amp;"_"&amp;$F$2&amp;","&amp;E289&amp;" as "&amp;F289&amp;" FROM "&amp;C289&amp;" WHERE "&amp;Instruções!$D$20&amp;") A ")</f>
        <v xml:space="preserve">(SELECT instrmnt_id as instrmnt_id_as_is, subportfolio_id as subportfolio_id_as_is FROM cd_loan_tapes_bce.lt002_instrument WHERE ref_date='2024-09-30' AND nome_perimetro='Individual Corporativo' AND segmento='ESTR' AND ambito='PM' AND entidade='00100' ) A </v>
      </c>
      <c r="I289" s="17" t="str">
        <f>IF(VLOOKUP(B289,Instruções!$F$13:$J$17,5,0)="",
"(SELECT "&amp;VLOOKUP(B289,Instruções!$F$13:$J$17,4,0)&amp;" as "&amp;VLOOKUP(B289,Instruções!$F$13:$J$17,4,0)&amp;"_"&amp;$G$2&amp;", "&amp;E289&amp;" as "&amp;G289&amp;" FROM "&amp;D289&amp;" WHERE "&amp;Instruções!$D$21&amp;") B ",
"(SELECT "&amp;VLOOKUP(B289,Instruções!$F$13:$J$17,4,0)&amp;" as "&amp;VLOOKUP(B289,Instruções!$F$13:$J$17,4,0)&amp;"_"&amp;$G$2&amp;", "&amp;VLOOKUP(B289,Instruções!$F$13:$J$17,5,0)&amp;" as "&amp;VLOOKUP(B289,Instruções!$F$13:$J$17,5,0)&amp;"_"&amp;$G$2&amp;","&amp;E289&amp;" as "&amp;G289&amp;" FROM "&amp;D289&amp;" WHERE "&amp;Instruções!$D$21&amp;") B ")</f>
        <v xml:space="preserve">(SELECT instrmnt_id as instrmnt_id_to_be, subportfolio_id as subportfolio_id_to_be FROM bu_loantape_work.lt002_instrument WHERE ref_date='2024-09-30' AND nome_perimetro='Individual Corporativo' AND segmento='ESTR' AND ambito='PM' AND entidade='00100' ) B </v>
      </c>
      <c r="J289" s="17" t="str">
        <f>IF(VLOOKUP(B289,Instruções!$F$13:$J$17,5,0)="",
"ON "&amp;VLOOKUP(B289,Instruções!$F$13:$J$17,4,0)&amp;"_"&amp;$F$2&amp;" = "&amp;VLOOKUP(B289,Instruções!$F$13:$J$17,4,0)&amp;"_"&amp;$G$2&amp;" ",
"ON "&amp;VLOOKUP(B289,Instruções!$F$13:$J$17,4,0)&amp;"_"&amp;$F$2&amp;" = "&amp;VLOOKUP(B289,Instruções!$F$13:$J$17,4,0)&amp;"_"&amp;$G$2&amp;" AND "&amp;VLOOKUP(B289,Instruções!$F$13:$J$17,5,0)&amp;"_"&amp;$F$2&amp;" = "&amp;VLOOKUP(B289,Instruções!$F$13:$J$17,5,0)&amp;"_"&amp;$G$2&amp;" ")</f>
        <v xml:space="preserve">ON instrmnt_id_as_is = instrmnt_id_to_be </v>
      </c>
      <c r="K289" s="17" t="str">
        <f t="shared" si="33"/>
        <v xml:space="preserve">WHERE coalesce(cast(subportfolio_id_as_is as string), '') &lt;&gt; coalesce(cast(subportfolio_id_to_be as string), '') </v>
      </c>
      <c r="L289" s="17" t="str">
        <f t="shared" si="34"/>
        <v xml:space="preserve">SELECT count(*) AS NUM_REG_DIF FROM (SELECT instrmnt_id as instrmnt_id_as_is, subportfolio_id as subportfolio_id_as_is FROM cd_loan_tapes_bce.lt002_instrument WHERE ref_date='2024-09-30' AND nome_perimetro='Individual Corporativo' AND segmento='ESTR' AND ambito='PM' AND entidade='00100' ) A  Inner join (SELECT instrmnt_id as instrmnt_id_to_be, subportfolio_id as subportfolio_id_to_be FROM bu_loantape_work.lt002_instrument WHERE ref_date='2024-09-30' AND nome_perimetro='Individual Corporativo' AND segmento='ESTR' AND ambito='PM' AND entidade='00100' ) B ON instrmnt_id_as_is = instrmnt_id_to_be WHERE coalesce(cast(subportfolio_id_as_is as string), '') &lt;&gt; coalesce(cast(subportfolio_id_to_be as string), '') </v>
      </c>
      <c r="M289" s="17" t="s">
        <v>55</v>
      </c>
      <c r="N289" s="17" t="str">
        <f>"SELECT 'Validação de campos' as tipologia_teste, '"&amp;VLOOKUP(B289,Instruções!$F$13:$J$17,3,0)&amp;"' AS TABELA, '"&amp;E289&amp;"' AS CAMPO, '"&amp;Instruções!$D$15&amp;"' as ref_date, coalesce(NUM_REG_DIF, 0) AS NUM_REG_DIF FROM ("&amp;L289&amp;") A "</f>
        <v xml:space="preserve">SELECT 'Validação de campos' as tipologia_teste, 'lt002_instrument' AS TABELA, 'subportfolio_id' AS CAMPO, '2024-09-30' as ref_date, coalesce(NUM_REG_DIF, 0) AS NUM_REG_DIF FROM (SELECT count(*) AS NUM_REG_DIF FROM (SELECT instrmnt_id as instrmnt_id_as_is, subportfolio_id as subportfolio_id_as_is FROM cd_loan_tapes_bce.lt002_instrument WHERE ref_date='2024-09-30' AND nome_perimetro='Individual Corporativo' AND segmento='ESTR' AND ambito='PM' AND entidade='00100' ) A  Inner join (SELECT instrmnt_id as instrmnt_id_to_be, subportfolio_id as subportfolio_id_to_be FROM bu_loantape_work.lt002_instrument WHERE ref_date='2024-09-30' AND nome_perimetro='Individual Corporativo' AND segmento='ESTR' AND ambito='PM' AND entidade='00100' ) B ON instrmnt_id_as_is = instrmnt_id_to_be WHERE coalesce(cast(subportfolio_id_as_is as string), '') &lt;&gt; coalesce(cast(subportfolio_id_to_be as string), '') ) A </v>
      </c>
      <c r="O289" s="19" t="str">
        <f t="shared" si="36"/>
        <v>SELECT 'Validação de campos' as tipologia_teste, 'lt002_instrument' AS TABELA, 'subportfolio_id' AS CAMPO, '2024-09-30' as ref_date, coalesce(NUM_REG_DIF, 0) AS NUM_REG_DIF FROM (SELECT count(*) AS NUM_REG_DIF FROM (SELECT instrmnt_id as instrmnt_id_as_is, subportfolio_id as subportfolio_id_as_is FROM cd_loan_tapes_bce.lt002_instrument WHERE ref_date='2024-09-30' AND nome_perimetro='Individual Corporativo' AND segmento='ESTR' AND ambito='PM' AND entidade='00100' ) A  Inner join (SELECT instrmnt_id as instrmnt_id_to_be, subportfolio_id as subportfolio_id_to_be FROM bu_loantape_work.lt002_instrument WHERE ref_date='2024-09-30' AND nome_perimetro='Individual Corporativo' AND segmento='ESTR' AND ambito='PM' AND entidade='00100' ) B ON instrmnt_id_as_is = instrmnt_id_to_be WHERE coalesce(cast(subportfolio_id_as_is as string), '') &lt;&gt; coalesce(cast(subportfolio_id_to_be as string), '') ) A UNION ALL</v>
      </c>
      <c r="P289" s="17">
        <f t="shared" si="37"/>
        <v>33</v>
      </c>
    </row>
    <row r="290" spans="2:16" s="15" customFormat="1" ht="11.45">
      <c r="B290" s="17" t="s">
        <v>26</v>
      </c>
      <c r="C290" s="17" t="str">
        <f>_xlfn.CONCAT(Instruções!$D$13,".",VLOOKUP(B290,Instruções!$F$12:$H$17,2,0))</f>
        <v>cd_loan_tapes_bce.lt002_instrument</v>
      </c>
      <c r="D290" s="17" t="str">
        <f>_xlfn.CONCAT(Instruções!$D$14,".",VLOOKUP(B290,Instruções!$F$12:$H$17,3,0))</f>
        <v>bu_loantape_work.lt002_instrument</v>
      </c>
      <c r="E290" s="17" t="s">
        <v>334</v>
      </c>
      <c r="F290" s="17" t="str">
        <f t="shared" si="31"/>
        <v>syndct_rl_as_is</v>
      </c>
      <c r="G290" s="17" t="str">
        <f t="shared" si="32"/>
        <v>syndct_rl_to_be</v>
      </c>
      <c r="H290" s="17" t="str">
        <f>IF(VLOOKUP(B290,Instruções!$F$13:$J$17,5,0)="",
"(SELECT "&amp;VLOOKUP(B290,Instruções!$F$13:$J$17,4,0)&amp;" as "&amp;VLOOKUP(B290,Instruções!$F$13:$J$17,4,0)&amp;"_"&amp;$F$2&amp;", "&amp;E290&amp;" as "&amp;F290&amp;" FROM "&amp;C290&amp;" WHERE "&amp;Instruções!$D$20&amp;") A ",
"(SELECT "&amp;VLOOKUP(B290,Instruções!$F$13:$J$17,4,0)&amp;" as "&amp;VLOOKUP(B290,Instruções!$F$13:$J$17,4,0)&amp;"_"&amp;$F$2&amp;", "&amp;VLOOKUP(B290,Instruções!$F$13:$J$17,5,0)&amp;" as "&amp;VLOOKUP(B290,Instruções!$F$13:$J$17,5,0)&amp;"_"&amp;$F$2&amp;","&amp;E290&amp;" as "&amp;F290&amp;" FROM "&amp;C290&amp;" WHERE "&amp;Instruções!$D$20&amp;") A ")</f>
        <v xml:space="preserve">(SELECT instrmnt_id as instrmnt_id_as_is, syndct_rl as syndct_rl_as_is FROM cd_loan_tapes_bce.lt002_instrument WHERE ref_date='2024-09-30' AND nome_perimetro='Individual Corporativo' AND segmento='ESTR' AND ambito='PM' AND entidade='00100' ) A </v>
      </c>
      <c r="I290" s="17" t="str">
        <f>IF(VLOOKUP(B290,Instruções!$F$13:$J$17,5,0)="",
"(SELECT "&amp;VLOOKUP(B290,Instruções!$F$13:$J$17,4,0)&amp;" as "&amp;VLOOKUP(B290,Instruções!$F$13:$J$17,4,0)&amp;"_"&amp;$G$2&amp;", "&amp;E290&amp;" as "&amp;G290&amp;" FROM "&amp;D290&amp;" WHERE "&amp;Instruções!$D$21&amp;") B ",
"(SELECT "&amp;VLOOKUP(B290,Instruções!$F$13:$J$17,4,0)&amp;" as "&amp;VLOOKUP(B290,Instruções!$F$13:$J$17,4,0)&amp;"_"&amp;$G$2&amp;", "&amp;VLOOKUP(B290,Instruções!$F$13:$J$17,5,0)&amp;" as "&amp;VLOOKUP(B290,Instruções!$F$13:$J$17,5,0)&amp;"_"&amp;$G$2&amp;","&amp;E290&amp;" as "&amp;G290&amp;" FROM "&amp;D290&amp;" WHERE "&amp;Instruções!$D$21&amp;") B ")</f>
        <v xml:space="preserve">(SELECT instrmnt_id as instrmnt_id_to_be, syndct_rl as syndct_rl_to_be FROM bu_loantape_work.lt002_instrument WHERE ref_date='2024-09-30' AND nome_perimetro='Individual Corporativo' AND segmento='ESTR' AND ambito='PM' AND entidade='00100' ) B </v>
      </c>
      <c r="J290" s="17" t="str">
        <f>IF(VLOOKUP(B290,Instruções!$F$13:$J$17,5,0)="",
"ON "&amp;VLOOKUP(B290,Instruções!$F$13:$J$17,4,0)&amp;"_"&amp;$F$2&amp;" = "&amp;VLOOKUP(B290,Instruções!$F$13:$J$17,4,0)&amp;"_"&amp;$G$2&amp;" ",
"ON "&amp;VLOOKUP(B290,Instruções!$F$13:$J$17,4,0)&amp;"_"&amp;$F$2&amp;" = "&amp;VLOOKUP(B290,Instruções!$F$13:$J$17,4,0)&amp;"_"&amp;$G$2&amp;" AND "&amp;VLOOKUP(B290,Instruções!$F$13:$J$17,5,0)&amp;"_"&amp;$F$2&amp;" = "&amp;VLOOKUP(B290,Instruções!$F$13:$J$17,5,0)&amp;"_"&amp;$G$2&amp;" ")</f>
        <v xml:space="preserve">ON instrmnt_id_as_is = instrmnt_id_to_be </v>
      </c>
      <c r="K290" s="17" t="str">
        <f t="shared" si="33"/>
        <v xml:space="preserve">WHERE coalesce(cast(syndct_rl_as_is as string), '') &lt;&gt; coalesce(cast(syndct_rl_to_be as string), '') </v>
      </c>
      <c r="L290" s="17" t="str">
        <f t="shared" si="34"/>
        <v xml:space="preserve">SELECT count(*) AS NUM_REG_DIF FROM (SELECT instrmnt_id as instrmnt_id_as_is, syndct_rl as syndct_rl_as_is FROM cd_loan_tapes_bce.lt002_instrument WHERE ref_date='2024-09-30' AND nome_perimetro='Individual Corporativo' AND segmento='ESTR' AND ambito='PM' AND entidade='00100' ) A  Inner join (SELECT instrmnt_id as instrmnt_id_to_be, syndct_rl as syndct_rl_to_be FROM bu_loantape_work.lt002_instrument WHERE ref_date='2024-09-30' AND nome_perimetro='Individual Corporativo' AND segmento='ESTR' AND ambito='PM' AND entidade='00100' ) B ON instrmnt_id_as_is = instrmnt_id_to_be WHERE coalesce(cast(syndct_rl_as_is as string), '') &lt;&gt; coalesce(cast(syndct_rl_to_be as string), '') </v>
      </c>
      <c r="M290" s="17" t="s">
        <v>55</v>
      </c>
      <c r="N290" s="17" t="str">
        <f>"SELECT 'Validação de campos' as tipologia_teste, '"&amp;VLOOKUP(B290,Instruções!$F$13:$J$17,3,0)&amp;"' AS TABELA, '"&amp;E290&amp;"' AS CAMPO, '"&amp;Instruções!$D$15&amp;"' as ref_date, coalesce(NUM_REG_DIF, 0) AS NUM_REG_DIF FROM ("&amp;L290&amp;") A "</f>
        <v xml:space="preserve">SELECT 'Validação de campos' as tipologia_teste, 'lt002_instrument' AS TABELA, 'syndct_rl' AS CAMPO, '2024-09-30' as ref_date, coalesce(NUM_REG_DIF, 0) AS NUM_REG_DIF FROM (SELECT count(*) AS NUM_REG_DIF FROM (SELECT instrmnt_id as instrmnt_id_as_is, syndct_rl as syndct_rl_as_is FROM cd_loan_tapes_bce.lt002_instrument WHERE ref_date='2024-09-30' AND nome_perimetro='Individual Corporativo' AND segmento='ESTR' AND ambito='PM' AND entidade='00100' ) A  Inner join (SELECT instrmnt_id as instrmnt_id_to_be, syndct_rl as syndct_rl_to_be FROM bu_loantape_work.lt002_instrument WHERE ref_date='2024-09-30' AND nome_perimetro='Individual Corporativo' AND segmento='ESTR' AND ambito='PM' AND entidade='00100' ) B ON instrmnt_id_as_is = instrmnt_id_to_be WHERE coalesce(cast(syndct_rl_as_is as string), '') &lt;&gt; coalesce(cast(syndct_rl_to_be as string), '') ) A </v>
      </c>
      <c r="O290" s="19" t="str">
        <f t="shared" si="36"/>
        <v>SELECT 'Validação de campos' as tipologia_teste, 'lt002_instrument' AS TABELA, 'syndct_rl' AS CAMPO, '2024-09-30' as ref_date, coalesce(NUM_REG_DIF, 0) AS NUM_REG_DIF FROM (SELECT count(*) AS NUM_REG_DIF FROM (SELECT instrmnt_id as instrmnt_id_as_is, syndct_rl as syndct_rl_as_is FROM cd_loan_tapes_bce.lt002_instrument WHERE ref_date='2024-09-30' AND nome_perimetro='Individual Corporativo' AND segmento='ESTR' AND ambito='PM' AND entidade='00100' ) A  Inner join (SELECT instrmnt_id as instrmnt_id_to_be, syndct_rl as syndct_rl_to_be FROM bu_loantape_work.lt002_instrument WHERE ref_date='2024-09-30' AND nome_perimetro='Individual Corporativo' AND segmento='ESTR' AND ambito='PM' AND entidade='00100' ) B ON instrmnt_id_as_is = instrmnt_id_to_be WHERE coalesce(cast(syndct_rl_as_is as string), '') &lt;&gt; coalesce(cast(syndct_rl_to_be as string), '') ) A UNION ALL</v>
      </c>
      <c r="P290" s="17">
        <f t="shared" si="37"/>
        <v>34</v>
      </c>
    </row>
    <row r="291" spans="2:16" s="15" customFormat="1" ht="11.45">
      <c r="B291" s="17" t="s">
        <v>26</v>
      </c>
      <c r="C291" s="17" t="str">
        <f>_xlfn.CONCAT(Instruções!$D$13,".",VLOOKUP(B291,Instruções!$F$12:$H$17,2,0))</f>
        <v>cd_loan_tapes_bce.lt002_instrument</v>
      </c>
      <c r="D291" s="17" t="str">
        <f>_xlfn.CONCAT(Instruções!$D$14,".",VLOOKUP(B291,Instruções!$F$12:$H$17,3,0))</f>
        <v>bu_loantape_work.lt002_instrument</v>
      </c>
      <c r="E291" s="17" t="s">
        <v>335</v>
      </c>
      <c r="F291" s="17" t="str">
        <f t="shared" si="31"/>
        <v>syndctd_agnt_as_is</v>
      </c>
      <c r="G291" s="17" t="str">
        <f t="shared" si="32"/>
        <v>syndctd_agnt_to_be</v>
      </c>
      <c r="H291" s="17" t="str">
        <f>IF(VLOOKUP(B291,Instruções!$F$13:$J$17,5,0)="",
"(SELECT "&amp;VLOOKUP(B291,Instruções!$F$13:$J$17,4,0)&amp;" as "&amp;VLOOKUP(B291,Instruções!$F$13:$J$17,4,0)&amp;"_"&amp;$F$2&amp;", "&amp;E291&amp;" as "&amp;F291&amp;" FROM "&amp;C291&amp;" WHERE "&amp;Instruções!$D$20&amp;") A ",
"(SELECT "&amp;VLOOKUP(B291,Instruções!$F$13:$J$17,4,0)&amp;" as "&amp;VLOOKUP(B291,Instruções!$F$13:$J$17,4,0)&amp;"_"&amp;$F$2&amp;", "&amp;VLOOKUP(B291,Instruções!$F$13:$J$17,5,0)&amp;" as "&amp;VLOOKUP(B291,Instruções!$F$13:$J$17,5,0)&amp;"_"&amp;$F$2&amp;","&amp;E291&amp;" as "&amp;F291&amp;" FROM "&amp;C291&amp;" WHERE "&amp;Instruções!$D$20&amp;") A ")</f>
        <v xml:space="preserve">(SELECT instrmnt_id as instrmnt_id_as_is, syndctd_agnt as syndctd_agnt_as_is FROM cd_loan_tapes_bce.lt002_instrument WHERE ref_date='2024-09-30' AND nome_perimetro='Individual Corporativo' AND segmento='ESTR' AND ambito='PM' AND entidade='00100' ) A </v>
      </c>
      <c r="I291" s="17" t="str">
        <f>IF(VLOOKUP(B291,Instruções!$F$13:$J$17,5,0)="",
"(SELECT "&amp;VLOOKUP(B291,Instruções!$F$13:$J$17,4,0)&amp;" as "&amp;VLOOKUP(B291,Instruções!$F$13:$J$17,4,0)&amp;"_"&amp;$G$2&amp;", "&amp;E291&amp;" as "&amp;G291&amp;" FROM "&amp;D291&amp;" WHERE "&amp;Instruções!$D$21&amp;") B ",
"(SELECT "&amp;VLOOKUP(B291,Instruções!$F$13:$J$17,4,0)&amp;" as "&amp;VLOOKUP(B291,Instruções!$F$13:$J$17,4,0)&amp;"_"&amp;$G$2&amp;", "&amp;VLOOKUP(B291,Instruções!$F$13:$J$17,5,0)&amp;" as "&amp;VLOOKUP(B291,Instruções!$F$13:$J$17,5,0)&amp;"_"&amp;$G$2&amp;","&amp;E291&amp;" as "&amp;G291&amp;" FROM "&amp;D291&amp;" WHERE "&amp;Instruções!$D$21&amp;") B ")</f>
        <v xml:space="preserve">(SELECT instrmnt_id as instrmnt_id_to_be, syndctd_agnt as syndctd_agnt_to_be FROM bu_loantape_work.lt002_instrument WHERE ref_date='2024-09-30' AND nome_perimetro='Individual Corporativo' AND segmento='ESTR' AND ambito='PM' AND entidade='00100' ) B </v>
      </c>
      <c r="J291" s="17" t="str">
        <f>IF(VLOOKUP(B291,Instruções!$F$13:$J$17,5,0)="",
"ON "&amp;VLOOKUP(B291,Instruções!$F$13:$J$17,4,0)&amp;"_"&amp;$F$2&amp;" = "&amp;VLOOKUP(B291,Instruções!$F$13:$J$17,4,0)&amp;"_"&amp;$G$2&amp;" ",
"ON "&amp;VLOOKUP(B291,Instruções!$F$13:$J$17,4,0)&amp;"_"&amp;$F$2&amp;" = "&amp;VLOOKUP(B291,Instruções!$F$13:$J$17,4,0)&amp;"_"&amp;$G$2&amp;" AND "&amp;VLOOKUP(B291,Instruções!$F$13:$J$17,5,0)&amp;"_"&amp;$F$2&amp;" = "&amp;VLOOKUP(B291,Instruções!$F$13:$J$17,5,0)&amp;"_"&amp;$G$2&amp;" ")</f>
        <v xml:space="preserve">ON instrmnt_id_as_is = instrmnt_id_to_be </v>
      </c>
      <c r="K291" s="17" t="str">
        <f t="shared" si="33"/>
        <v xml:space="preserve">WHERE coalesce(cast(syndctd_agnt_as_is as string), '') &lt;&gt; coalesce(cast(syndctd_agnt_to_be as string), '') </v>
      </c>
      <c r="L291" s="17" t="str">
        <f t="shared" si="34"/>
        <v xml:space="preserve">SELECT count(*) AS NUM_REG_DIF FROM (SELECT instrmnt_id as instrmnt_id_as_is, syndctd_agnt as syndctd_agnt_as_is FROM cd_loan_tapes_bce.lt002_instrument WHERE ref_date='2024-09-30' AND nome_perimetro='Individual Corporativo' AND segmento='ESTR' AND ambito='PM' AND entidade='00100' ) A  Inner join (SELECT instrmnt_id as instrmnt_id_to_be, syndctd_agnt as syndctd_agnt_to_be FROM bu_loantape_work.lt002_instrument WHERE ref_date='2024-09-30' AND nome_perimetro='Individual Corporativo' AND segmento='ESTR' AND ambito='PM' AND entidade='00100' ) B ON instrmnt_id_as_is = instrmnt_id_to_be WHERE coalesce(cast(syndctd_agnt_as_is as string), '') &lt;&gt; coalesce(cast(syndctd_agnt_to_be as string), '') </v>
      </c>
      <c r="M291" s="17" t="s">
        <v>55</v>
      </c>
      <c r="N291" s="17" t="str">
        <f>"SELECT 'Validação de campos' as tipologia_teste, '"&amp;VLOOKUP(B291,Instruções!$F$13:$J$17,3,0)&amp;"' AS TABELA, '"&amp;E291&amp;"' AS CAMPO, '"&amp;Instruções!$D$15&amp;"' as ref_date, coalesce(NUM_REG_DIF, 0) AS NUM_REG_DIF FROM ("&amp;L291&amp;") A "</f>
        <v xml:space="preserve">SELECT 'Validação de campos' as tipologia_teste, 'lt002_instrument' AS TABELA, 'syndctd_agnt' AS CAMPO, '2024-09-30' as ref_date, coalesce(NUM_REG_DIF, 0) AS NUM_REG_DIF FROM (SELECT count(*) AS NUM_REG_DIF FROM (SELECT instrmnt_id as instrmnt_id_as_is, syndctd_agnt as syndctd_agnt_as_is FROM cd_loan_tapes_bce.lt002_instrument WHERE ref_date='2024-09-30' AND nome_perimetro='Individual Corporativo' AND segmento='ESTR' AND ambito='PM' AND entidade='00100' ) A  Inner join (SELECT instrmnt_id as instrmnt_id_to_be, syndctd_agnt as syndctd_agnt_to_be FROM bu_loantape_work.lt002_instrument WHERE ref_date='2024-09-30' AND nome_perimetro='Individual Corporativo' AND segmento='ESTR' AND ambito='PM' AND entidade='00100' ) B ON instrmnt_id_as_is = instrmnt_id_to_be WHERE coalesce(cast(syndctd_agnt_as_is as string), '') &lt;&gt; coalesce(cast(syndctd_agnt_to_be as string), '') ) A </v>
      </c>
      <c r="O291" s="19" t="str">
        <f t="shared" si="36"/>
        <v>SELECT 'Validação de campos' as tipologia_teste, 'lt002_instrument' AS TABELA, 'syndctd_agnt' AS CAMPO, '2024-09-30' as ref_date, coalesce(NUM_REG_DIF, 0) AS NUM_REG_DIF FROM (SELECT count(*) AS NUM_REG_DIF FROM (SELECT instrmnt_id as instrmnt_id_as_is, syndctd_agnt as syndctd_agnt_as_is FROM cd_loan_tapes_bce.lt002_instrument WHERE ref_date='2024-09-30' AND nome_perimetro='Individual Corporativo' AND segmento='ESTR' AND ambito='PM' AND entidade='00100' ) A  Inner join (SELECT instrmnt_id as instrmnt_id_to_be, syndctd_agnt as syndctd_agnt_to_be FROM bu_loantape_work.lt002_instrument WHERE ref_date='2024-09-30' AND nome_perimetro='Individual Corporativo' AND segmento='ESTR' AND ambito='PM' AND entidade='00100' ) B ON instrmnt_id_as_is = instrmnt_id_to_be WHERE coalesce(cast(syndctd_agnt_as_is as string), '') &lt;&gt; coalesce(cast(syndctd_agnt_to_be as string), '') ) A UNION ALL</v>
      </c>
      <c r="P291" s="17">
        <f t="shared" si="37"/>
        <v>35</v>
      </c>
    </row>
    <row r="292" spans="2:16" s="15" customFormat="1" ht="11.45">
      <c r="B292" s="17" t="s">
        <v>26</v>
      </c>
      <c r="C292" s="17" t="str">
        <f>_xlfn.CONCAT(Instruções!$D$13,".",VLOOKUP(B292,Instruções!$F$12:$H$17,2,0))</f>
        <v>cd_loan_tapes_bce.lt002_instrument</v>
      </c>
      <c r="D292" s="17" t="str">
        <f>_xlfn.CONCAT(Instruções!$D$14,".",VLOOKUP(B292,Instruções!$F$12:$H$17,3,0))</f>
        <v>bu_loantape_work.lt002_instrument</v>
      </c>
      <c r="E292" s="17" t="s">
        <v>336</v>
      </c>
      <c r="F292" s="17" t="str">
        <f t="shared" si="31"/>
        <v>syndctd_cntrct_id_as_is</v>
      </c>
      <c r="G292" s="17" t="str">
        <f t="shared" si="32"/>
        <v>syndctd_cntrct_id_to_be</v>
      </c>
      <c r="H292" s="17" t="str">
        <f>IF(VLOOKUP(B292,Instruções!$F$13:$J$17,5,0)="",
"(SELECT "&amp;VLOOKUP(B292,Instruções!$F$13:$J$17,4,0)&amp;" as "&amp;VLOOKUP(B292,Instruções!$F$13:$J$17,4,0)&amp;"_"&amp;$F$2&amp;", "&amp;E292&amp;" as "&amp;F292&amp;" FROM "&amp;C292&amp;" WHERE "&amp;Instruções!$D$20&amp;") A ",
"(SELECT "&amp;VLOOKUP(B292,Instruções!$F$13:$J$17,4,0)&amp;" as "&amp;VLOOKUP(B292,Instruções!$F$13:$J$17,4,0)&amp;"_"&amp;$F$2&amp;", "&amp;VLOOKUP(B292,Instruções!$F$13:$J$17,5,0)&amp;" as "&amp;VLOOKUP(B292,Instruções!$F$13:$J$17,5,0)&amp;"_"&amp;$F$2&amp;","&amp;E292&amp;" as "&amp;F292&amp;" FROM "&amp;C292&amp;" WHERE "&amp;Instruções!$D$20&amp;") A ")</f>
        <v xml:space="preserve">(SELECT instrmnt_id as instrmnt_id_as_is, syndctd_cntrct_id as syndctd_cntrct_id_as_is FROM cd_loan_tapes_bce.lt002_instrument WHERE ref_date='2024-09-30' AND nome_perimetro='Individual Corporativo' AND segmento='ESTR' AND ambito='PM' AND entidade='00100' ) A </v>
      </c>
      <c r="I292" s="17" t="str">
        <f>IF(VLOOKUP(B292,Instruções!$F$13:$J$17,5,0)="",
"(SELECT "&amp;VLOOKUP(B292,Instruções!$F$13:$J$17,4,0)&amp;" as "&amp;VLOOKUP(B292,Instruções!$F$13:$J$17,4,0)&amp;"_"&amp;$G$2&amp;", "&amp;E292&amp;" as "&amp;G292&amp;" FROM "&amp;D292&amp;" WHERE "&amp;Instruções!$D$21&amp;") B ",
"(SELECT "&amp;VLOOKUP(B292,Instruções!$F$13:$J$17,4,0)&amp;" as "&amp;VLOOKUP(B292,Instruções!$F$13:$J$17,4,0)&amp;"_"&amp;$G$2&amp;", "&amp;VLOOKUP(B292,Instruções!$F$13:$J$17,5,0)&amp;" as "&amp;VLOOKUP(B292,Instruções!$F$13:$J$17,5,0)&amp;"_"&amp;$G$2&amp;","&amp;E292&amp;" as "&amp;G292&amp;" FROM "&amp;D292&amp;" WHERE "&amp;Instruções!$D$21&amp;") B ")</f>
        <v xml:space="preserve">(SELECT instrmnt_id as instrmnt_id_to_be, syndctd_cntrct_id as syndctd_cntrct_id_to_be FROM bu_loantape_work.lt002_instrument WHERE ref_date='2024-09-30' AND nome_perimetro='Individual Corporativo' AND segmento='ESTR' AND ambito='PM' AND entidade='00100' ) B </v>
      </c>
      <c r="J292" s="17" t="str">
        <f>IF(VLOOKUP(B292,Instruções!$F$13:$J$17,5,0)="",
"ON "&amp;VLOOKUP(B292,Instruções!$F$13:$J$17,4,0)&amp;"_"&amp;$F$2&amp;" = "&amp;VLOOKUP(B292,Instruções!$F$13:$J$17,4,0)&amp;"_"&amp;$G$2&amp;" ",
"ON "&amp;VLOOKUP(B292,Instruções!$F$13:$J$17,4,0)&amp;"_"&amp;$F$2&amp;" = "&amp;VLOOKUP(B292,Instruções!$F$13:$J$17,4,0)&amp;"_"&amp;$G$2&amp;" AND "&amp;VLOOKUP(B292,Instruções!$F$13:$J$17,5,0)&amp;"_"&amp;$F$2&amp;" = "&amp;VLOOKUP(B292,Instruções!$F$13:$J$17,5,0)&amp;"_"&amp;$G$2&amp;" ")</f>
        <v xml:space="preserve">ON instrmnt_id_as_is = instrmnt_id_to_be </v>
      </c>
      <c r="K292" s="17" t="str">
        <f t="shared" si="33"/>
        <v xml:space="preserve">WHERE coalesce(cast(syndctd_cntrct_id_as_is as string), '') &lt;&gt; coalesce(cast(syndctd_cntrct_id_to_be as string), '') </v>
      </c>
      <c r="L292" s="17" t="str">
        <f t="shared" si="34"/>
        <v xml:space="preserve">SELECT count(*) AS NUM_REG_DIF FROM (SELECT instrmnt_id as instrmnt_id_as_is, syndctd_cntrct_id as syndctd_cntrct_id_as_is FROM cd_loan_tapes_bce.lt002_instrument WHERE ref_date='2024-09-30' AND nome_perimetro='Individual Corporativo' AND segmento='ESTR' AND ambito='PM' AND entidade='00100' ) A  Inner join (SELECT instrmnt_id as instrmnt_id_to_be, syndctd_cntrct_id as syndctd_cntrct_id_to_be FROM bu_loantape_work.lt002_instrument WHERE ref_date='2024-09-30' AND nome_perimetro='Individual Corporativo' AND segmento='ESTR' AND ambito='PM' AND entidade='00100' ) B ON instrmnt_id_as_is = instrmnt_id_to_be WHERE coalesce(cast(syndctd_cntrct_id_as_is as string), '') &lt;&gt; coalesce(cast(syndctd_cntrct_id_to_be as string), '') </v>
      </c>
      <c r="M292" s="17" t="s">
        <v>55</v>
      </c>
      <c r="N292" s="17" t="str">
        <f>"SELECT 'Validação de campos' as tipologia_teste, '"&amp;VLOOKUP(B292,Instruções!$F$13:$J$17,3,0)&amp;"' AS TABELA, '"&amp;E292&amp;"' AS CAMPO, '"&amp;Instruções!$D$15&amp;"' as ref_date, coalesce(NUM_REG_DIF, 0) AS NUM_REG_DIF FROM ("&amp;L292&amp;") A "</f>
        <v xml:space="preserve">SELECT 'Validação de campos' as tipologia_teste, 'lt002_instrument' AS TABELA, 'syndctd_cntrct_id' AS CAMPO, '2024-09-30' as ref_date, coalesce(NUM_REG_DIF, 0) AS NUM_REG_DIF FROM (SELECT count(*) AS NUM_REG_DIF FROM (SELECT instrmnt_id as instrmnt_id_as_is, syndctd_cntrct_id as syndctd_cntrct_id_as_is FROM cd_loan_tapes_bce.lt002_instrument WHERE ref_date='2024-09-30' AND nome_perimetro='Individual Corporativo' AND segmento='ESTR' AND ambito='PM' AND entidade='00100' ) A  Inner join (SELECT instrmnt_id as instrmnt_id_to_be, syndctd_cntrct_id as syndctd_cntrct_id_to_be FROM bu_loantape_work.lt002_instrument WHERE ref_date='2024-09-30' AND nome_perimetro='Individual Corporativo' AND segmento='ESTR' AND ambito='PM' AND entidade='00100' ) B ON instrmnt_id_as_is = instrmnt_id_to_be WHERE coalesce(cast(syndctd_cntrct_id_as_is as string), '') &lt;&gt; coalesce(cast(syndctd_cntrct_id_to_be as string), '') ) A </v>
      </c>
      <c r="O292" s="19" t="str">
        <f t="shared" si="36"/>
        <v>SELECT 'Validação de campos' as tipologia_teste, 'lt002_instrument' AS TABELA, 'syndctd_cntrct_id' AS CAMPO, '2024-09-30' as ref_date, coalesce(NUM_REG_DIF, 0) AS NUM_REG_DIF FROM (SELECT count(*) AS NUM_REG_DIF FROM (SELECT instrmnt_id as instrmnt_id_as_is, syndctd_cntrct_id as syndctd_cntrct_id_as_is FROM cd_loan_tapes_bce.lt002_instrument WHERE ref_date='2024-09-30' AND nome_perimetro='Individual Corporativo' AND segmento='ESTR' AND ambito='PM' AND entidade='00100' ) A  Inner join (SELECT instrmnt_id as instrmnt_id_to_be, syndctd_cntrct_id as syndctd_cntrct_id_to_be FROM bu_loantape_work.lt002_instrument WHERE ref_date='2024-09-30' AND nome_perimetro='Individual Corporativo' AND segmento='ESTR' AND ambito='PM' AND entidade='00100' ) B ON instrmnt_id_as_is = instrmnt_id_to_be WHERE coalesce(cast(syndctd_cntrct_id_as_is as string), '') &lt;&gt; coalesce(cast(syndctd_cntrct_id_to_be as string), '') ) A UNION ALL</v>
      </c>
      <c r="P292" s="17">
        <f t="shared" si="37"/>
        <v>36</v>
      </c>
    </row>
    <row r="293" spans="2:16" s="15" customFormat="1" ht="11.45">
      <c r="B293" s="17" t="s">
        <v>26</v>
      </c>
      <c r="C293" s="17" t="str">
        <f>_xlfn.CONCAT(Instruções!$D$13,".",VLOOKUP(B293,Instruções!$F$12:$H$17,2,0))</f>
        <v>cd_loan_tapes_bce.lt002_instrument</v>
      </c>
      <c r="D293" s="17" t="str">
        <f>_xlfn.CONCAT(Instruções!$D$14,".",VLOOKUP(B293,Instruções!$F$12:$H$17,3,0))</f>
        <v>bu_loantape_work.lt002_instrument</v>
      </c>
      <c r="E293" s="17" t="s">
        <v>337</v>
      </c>
      <c r="F293" s="17" t="str">
        <f t="shared" si="31"/>
        <v>syndctd_lndrs_as_is</v>
      </c>
      <c r="G293" s="17" t="str">
        <f t="shared" si="32"/>
        <v>syndctd_lndrs_to_be</v>
      </c>
      <c r="H293" s="17" t="str">
        <f>IF(VLOOKUP(B293,Instruções!$F$13:$J$17,5,0)="",
"(SELECT "&amp;VLOOKUP(B293,Instruções!$F$13:$J$17,4,0)&amp;" as "&amp;VLOOKUP(B293,Instruções!$F$13:$J$17,4,0)&amp;"_"&amp;$F$2&amp;", "&amp;E293&amp;" as "&amp;F293&amp;" FROM "&amp;C293&amp;" WHERE "&amp;Instruções!$D$20&amp;") A ",
"(SELECT "&amp;VLOOKUP(B293,Instruções!$F$13:$J$17,4,0)&amp;" as "&amp;VLOOKUP(B293,Instruções!$F$13:$J$17,4,0)&amp;"_"&amp;$F$2&amp;", "&amp;VLOOKUP(B293,Instruções!$F$13:$J$17,5,0)&amp;" as "&amp;VLOOKUP(B293,Instruções!$F$13:$J$17,5,0)&amp;"_"&amp;$F$2&amp;","&amp;E293&amp;" as "&amp;F293&amp;" FROM "&amp;C293&amp;" WHERE "&amp;Instruções!$D$20&amp;") A ")</f>
        <v xml:space="preserve">(SELECT instrmnt_id as instrmnt_id_as_is, syndctd_lndrs as syndctd_lndrs_as_is FROM cd_loan_tapes_bce.lt002_instrument WHERE ref_date='2024-09-30' AND nome_perimetro='Individual Corporativo' AND segmento='ESTR' AND ambito='PM' AND entidade='00100' ) A </v>
      </c>
      <c r="I293" s="17" t="str">
        <f>IF(VLOOKUP(B293,Instruções!$F$13:$J$17,5,0)="",
"(SELECT "&amp;VLOOKUP(B293,Instruções!$F$13:$J$17,4,0)&amp;" as "&amp;VLOOKUP(B293,Instruções!$F$13:$J$17,4,0)&amp;"_"&amp;$G$2&amp;", "&amp;E293&amp;" as "&amp;G293&amp;" FROM "&amp;D293&amp;" WHERE "&amp;Instruções!$D$21&amp;") B ",
"(SELECT "&amp;VLOOKUP(B293,Instruções!$F$13:$J$17,4,0)&amp;" as "&amp;VLOOKUP(B293,Instruções!$F$13:$J$17,4,0)&amp;"_"&amp;$G$2&amp;", "&amp;VLOOKUP(B293,Instruções!$F$13:$J$17,5,0)&amp;" as "&amp;VLOOKUP(B293,Instruções!$F$13:$J$17,5,0)&amp;"_"&amp;$G$2&amp;","&amp;E293&amp;" as "&amp;G293&amp;" FROM "&amp;D293&amp;" WHERE "&amp;Instruções!$D$21&amp;") B ")</f>
        <v xml:space="preserve">(SELECT instrmnt_id as instrmnt_id_to_be, syndctd_lndrs as syndctd_lndrs_to_be FROM bu_loantape_work.lt002_instrument WHERE ref_date='2024-09-30' AND nome_perimetro='Individual Corporativo' AND segmento='ESTR' AND ambito='PM' AND entidade='00100' ) B </v>
      </c>
      <c r="J293" s="17" t="str">
        <f>IF(VLOOKUP(B293,Instruções!$F$13:$J$17,5,0)="",
"ON "&amp;VLOOKUP(B293,Instruções!$F$13:$J$17,4,0)&amp;"_"&amp;$F$2&amp;" = "&amp;VLOOKUP(B293,Instruções!$F$13:$J$17,4,0)&amp;"_"&amp;$G$2&amp;" ",
"ON "&amp;VLOOKUP(B293,Instruções!$F$13:$J$17,4,0)&amp;"_"&amp;$F$2&amp;" = "&amp;VLOOKUP(B293,Instruções!$F$13:$J$17,4,0)&amp;"_"&amp;$G$2&amp;" AND "&amp;VLOOKUP(B293,Instruções!$F$13:$J$17,5,0)&amp;"_"&amp;$F$2&amp;" = "&amp;VLOOKUP(B293,Instruções!$F$13:$J$17,5,0)&amp;"_"&amp;$G$2&amp;" ")</f>
        <v xml:space="preserve">ON instrmnt_id_as_is = instrmnt_id_to_be </v>
      </c>
      <c r="K293" s="17" t="str">
        <f t="shared" si="33"/>
        <v xml:space="preserve">WHERE coalesce(cast(syndctd_lndrs_as_is as string), '') &lt;&gt; coalesce(cast(syndctd_lndrs_to_be as string), '') </v>
      </c>
      <c r="L293" s="17" t="str">
        <f t="shared" si="34"/>
        <v xml:space="preserve">SELECT count(*) AS NUM_REG_DIF FROM (SELECT instrmnt_id as instrmnt_id_as_is, syndctd_lndrs as syndctd_lndrs_as_is FROM cd_loan_tapes_bce.lt002_instrument WHERE ref_date='2024-09-30' AND nome_perimetro='Individual Corporativo' AND segmento='ESTR' AND ambito='PM' AND entidade='00100' ) A  Inner join (SELECT instrmnt_id as instrmnt_id_to_be, syndctd_lndrs as syndctd_lndrs_to_be FROM bu_loantape_work.lt002_instrument WHERE ref_date='2024-09-30' AND nome_perimetro='Individual Corporativo' AND segmento='ESTR' AND ambito='PM' AND entidade='00100' ) B ON instrmnt_id_as_is = instrmnt_id_to_be WHERE coalesce(cast(syndctd_lndrs_as_is as string), '') &lt;&gt; coalesce(cast(syndctd_lndrs_to_be as string), '') </v>
      </c>
      <c r="M293" s="17" t="s">
        <v>55</v>
      </c>
      <c r="N293" s="17" t="str">
        <f>"SELECT 'Validação de campos' as tipologia_teste, '"&amp;VLOOKUP(B293,Instruções!$F$13:$J$17,3,0)&amp;"' AS TABELA, '"&amp;E293&amp;"' AS CAMPO, '"&amp;Instruções!$D$15&amp;"' as ref_date, coalesce(NUM_REG_DIF, 0) AS NUM_REG_DIF FROM ("&amp;L293&amp;") A "</f>
        <v xml:space="preserve">SELECT 'Validação de campos' as tipologia_teste, 'lt002_instrument' AS TABELA, 'syndctd_lndrs' AS CAMPO, '2024-09-30' as ref_date, coalesce(NUM_REG_DIF, 0) AS NUM_REG_DIF FROM (SELECT count(*) AS NUM_REG_DIF FROM (SELECT instrmnt_id as instrmnt_id_as_is, syndctd_lndrs as syndctd_lndrs_as_is FROM cd_loan_tapes_bce.lt002_instrument WHERE ref_date='2024-09-30' AND nome_perimetro='Individual Corporativo' AND segmento='ESTR' AND ambito='PM' AND entidade='00100' ) A  Inner join (SELECT instrmnt_id as instrmnt_id_to_be, syndctd_lndrs as syndctd_lndrs_to_be FROM bu_loantape_work.lt002_instrument WHERE ref_date='2024-09-30' AND nome_perimetro='Individual Corporativo' AND segmento='ESTR' AND ambito='PM' AND entidade='00100' ) B ON instrmnt_id_as_is = instrmnt_id_to_be WHERE coalesce(cast(syndctd_lndrs_as_is as string), '') &lt;&gt; coalesce(cast(syndctd_lndrs_to_be as string), '') ) A </v>
      </c>
      <c r="O293" s="19" t="str">
        <f t="shared" si="36"/>
        <v>SELECT 'Validação de campos' as tipologia_teste, 'lt002_instrument' AS TABELA, 'syndctd_lndrs' AS CAMPO, '2024-09-30' as ref_date, coalesce(NUM_REG_DIF, 0) AS NUM_REG_DIF FROM (SELECT count(*) AS NUM_REG_DIF FROM (SELECT instrmnt_id as instrmnt_id_as_is, syndctd_lndrs as syndctd_lndrs_as_is FROM cd_loan_tapes_bce.lt002_instrument WHERE ref_date='2024-09-30' AND nome_perimetro='Individual Corporativo' AND segmento='ESTR' AND ambito='PM' AND entidade='00100' ) A  Inner join (SELECT instrmnt_id as instrmnt_id_to_be, syndctd_lndrs as syndctd_lndrs_to_be FROM bu_loantape_work.lt002_instrument WHERE ref_date='2024-09-30' AND nome_perimetro='Individual Corporativo' AND segmento='ESTR' AND ambito='PM' AND entidade='00100' ) B ON instrmnt_id_as_is = instrmnt_id_to_be WHERE coalesce(cast(syndctd_lndrs_as_is as string), '') &lt;&gt; coalesce(cast(syndctd_lndrs_to_be as string), '') ) A UNION ALL</v>
      </c>
      <c r="P293" s="17">
        <f t="shared" si="37"/>
        <v>37</v>
      </c>
    </row>
    <row r="294" spans="2:16" s="15" customFormat="1" ht="11.45">
      <c r="B294" s="17" t="s">
        <v>26</v>
      </c>
      <c r="C294" s="17" t="str">
        <f>_xlfn.CONCAT(Instruções!$D$13,".",VLOOKUP(B294,Instruções!$F$12:$H$17,2,0))</f>
        <v>cd_loan_tapes_bce.lt002_instrument</v>
      </c>
      <c r="D294" s="17" t="str">
        <f>_xlfn.CONCAT(Instruções!$D$14,".",VLOOKUP(B294,Instruções!$F$12:$H$17,3,0))</f>
        <v>bu_loantape_work.lt002_instrument</v>
      </c>
      <c r="E294" s="17" t="s">
        <v>338</v>
      </c>
      <c r="F294" s="17" t="str">
        <f t="shared" si="31"/>
        <v>syndctd_shr_as_is</v>
      </c>
      <c r="G294" s="17" t="str">
        <f t="shared" si="32"/>
        <v>syndctd_shr_to_be</v>
      </c>
      <c r="H294" s="17" t="str">
        <f>IF(VLOOKUP(B294,Instruções!$F$13:$J$17,5,0)="",
"(SELECT "&amp;VLOOKUP(B294,Instruções!$F$13:$J$17,4,0)&amp;" as "&amp;VLOOKUP(B294,Instruções!$F$13:$J$17,4,0)&amp;"_"&amp;$F$2&amp;", "&amp;E294&amp;" as "&amp;F294&amp;" FROM "&amp;C294&amp;" WHERE "&amp;Instruções!$D$20&amp;") A ",
"(SELECT "&amp;VLOOKUP(B294,Instruções!$F$13:$J$17,4,0)&amp;" as "&amp;VLOOKUP(B294,Instruções!$F$13:$J$17,4,0)&amp;"_"&amp;$F$2&amp;", "&amp;VLOOKUP(B294,Instruções!$F$13:$J$17,5,0)&amp;" as "&amp;VLOOKUP(B294,Instruções!$F$13:$J$17,5,0)&amp;"_"&amp;$F$2&amp;","&amp;E294&amp;" as "&amp;F294&amp;" FROM "&amp;C294&amp;" WHERE "&amp;Instruções!$D$20&amp;") A ")</f>
        <v xml:space="preserve">(SELECT instrmnt_id as instrmnt_id_as_is, syndctd_shr as syndctd_shr_as_is FROM cd_loan_tapes_bce.lt002_instrument WHERE ref_date='2024-09-30' AND nome_perimetro='Individual Corporativo' AND segmento='ESTR' AND ambito='PM' AND entidade='00100' ) A </v>
      </c>
      <c r="I294" s="17" t="str">
        <f>IF(VLOOKUP(B294,Instruções!$F$13:$J$17,5,0)="",
"(SELECT "&amp;VLOOKUP(B294,Instruções!$F$13:$J$17,4,0)&amp;" as "&amp;VLOOKUP(B294,Instruções!$F$13:$J$17,4,0)&amp;"_"&amp;$G$2&amp;", "&amp;E294&amp;" as "&amp;G294&amp;" FROM "&amp;D294&amp;" WHERE "&amp;Instruções!$D$21&amp;") B ",
"(SELECT "&amp;VLOOKUP(B294,Instruções!$F$13:$J$17,4,0)&amp;" as "&amp;VLOOKUP(B294,Instruções!$F$13:$J$17,4,0)&amp;"_"&amp;$G$2&amp;", "&amp;VLOOKUP(B294,Instruções!$F$13:$J$17,5,0)&amp;" as "&amp;VLOOKUP(B294,Instruções!$F$13:$J$17,5,0)&amp;"_"&amp;$G$2&amp;","&amp;E294&amp;" as "&amp;G294&amp;" FROM "&amp;D294&amp;" WHERE "&amp;Instruções!$D$21&amp;") B ")</f>
        <v xml:space="preserve">(SELECT instrmnt_id as instrmnt_id_to_be, syndctd_shr as syndctd_shr_to_be FROM bu_loantape_work.lt002_instrument WHERE ref_date='2024-09-30' AND nome_perimetro='Individual Corporativo' AND segmento='ESTR' AND ambito='PM' AND entidade='00100' ) B </v>
      </c>
      <c r="J294" s="17" t="str">
        <f>IF(VLOOKUP(B294,Instruções!$F$13:$J$17,5,0)="",
"ON "&amp;VLOOKUP(B294,Instruções!$F$13:$J$17,4,0)&amp;"_"&amp;$F$2&amp;" = "&amp;VLOOKUP(B294,Instruções!$F$13:$J$17,4,0)&amp;"_"&amp;$G$2&amp;" ",
"ON "&amp;VLOOKUP(B294,Instruções!$F$13:$J$17,4,0)&amp;"_"&amp;$F$2&amp;" = "&amp;VLOOKUP(B294,Instruções!$F$13:$J$17,4,0)&amp;"_"&amp;$G$2&amp;" AND "&amp;VLOOKUP(B294,Instruções!$F$13:$J$17,5,0)&amp;"_"&amp;$F$2&amp;" = "&amp;VLOOKUP(B294,Instruções!$F$13:$J$17,5,0)&amp;"_"&amp;$G$2&amp;" ")</f>
        <v xml:space="preserve">ON instrmnt_id_as_is = instrmnt_id_to_be </v>
      </c>
      <c r="K294" s="17" t="str">
        <f t="shared" si="33"/>
        <v xml:space="preserve">WHERE coalesce(cast(syndctd_shr_as_is as string), '') &lt;&gt; coalesce(cast(syndctd_shr_to_be as string), '') </v>
      </c>
      <c r="L294" s="17" t="str">
        <f t="shared" si="34"/>
        <v xml:space="preserve">SELECT count(*) AS NUM_REG_DIF FROM (SELECT instrmnt_id as instrmnt_id_as_is, syndctd_shr as syndctd_shr_as_is FROM cd_loan_tapes_bce.lt002_instrument WHERE ref_date='2024-09-30' AND nome_perimetro='Individual Corporativo' AND segmento='ESTR' AND ambito='PM' AND entidade='00100' ) A  Inner join (SELECT instrmnt_id as instrmnt_id_to_be, syndctd_shr as syndctd_shr_to_be FROM bu_loantape_work.lt002_instrument WHERE ref_date='2024-09-30' AND nome_perimetro='Individual Corporativo' AND segmento='ESTR' AND ambito='PM' AND entidade='00100' ) B ON instrmnt_id_as_is = instrmnt_id_to_be WHERE coalesce(cast(syndctd_shr_as_is as string), '') &lt;&gt; coalesce(cast(syndctd_shr_to_be as string), '') </v>
      </c>
      <c r="M294" s="17" t="s">
        <v>55</v>
      </c>
      <c r="N294" s="17" t="str">
        <f>"SELECT 'Validação de campos' as tipologia_teste, '"&amp;VLOOKUP(B294,Instruções!$F$13:$J$17,3,0)&amp;"' AS TABELA, '"&amp;E294&amp;"' AS CAMPO, '"&amp;Instruções!$D$15&amp;"' as ref_date, coalesce(NUM_REG_DIF, 0) AS NUM_REG_DIF FROM ("&amp;L294&amp;") A "</f>
        <v xml:space="preserve">SELECT 'Validação de campos' as tipologia_teste, 'lt002_instrument' AS TABELA, 'syndctd_shr' AS CAMPO, '2024-09-30' as ref_date, coalesce(NUM_REG_DIF, 0) AS NUM_REG_DIF FROM (SELECT count(*) AS NUM_REG_DIF FROM (SELECT instrmnt_id as instrmnt_id_as_is, syndctd_shr as syndctd_shr_as_is FROM cd_loan_tapes_bce.lt002_instrument WHERE ref_date='2024-09-30' AND nome_perimetro='Individual Corporativo' AND segmento='ESTR' AND ambito='PM' AND entidade='00100' ) A  Inner join (SELECT instrmnt_id as instrmnt_id_to_be, syndctd_shr as syndctd_shr_to_be FROM bu_loantape_work.lt002_instrument WHERE ref_date='2024-09-30' AND nome_perimetro='Individual Corporativo' AND segmento='ESTR' AND ambito='PM' AND entidade='00100' ) B ON instrmnt_id_as_is = instrmnt_id_to_be WHERE coalesce(cast(syndctd_shr_as_is as string), '') &lt;&gt; coalesce(cast(syndctd_shr_to_be as string), '') ) A </v>
      </c>
      <c r="O294" s="19" t="str">
        <f t="shared" si="36"/>
        <v>SELECT 'Validação de campos' as tipologia_teste, 'lt002_instrument' AS TABELA, 'syndctd_shr' AS CAMPO, '2024-09-30' as ref_date, coalesce(NUM_REG_DIF, 0) AS NUM_REG_DIF FROM (SELECT count(*) AS NUM_REG_DIF FROM (SELECT instrmnt_id as instrmnt_id_as_is, syndctd_shr as syndctd_shr_as_is FROM cd_loan_tapes_bce.lt002_instrument WHERE ref_date='2024-09-30' AND nome_perimetro='Individual Corporativo' AND segmento='ESTR' AND ambito='PM' AND entidade='00100' ) A  Inner join (SELECT instrmnt_id as instrmnt_id_to_be, syndctd_shr as syndctd_shr_to_be FROM bu_loantape_work.lt002_instrument WHERE ref_date='2024-09-30' AND nome_perimetro='Individual Corporativo' AND segmento='ESTR' AND ambito='PM' AND entidade='00100' ) B ON instrmnt_id_as_is = instrmnt_id_to_be WHERE coalesce(cast(syndctd_shr_as_is as string), '') &lt;&gt; coalesce(cast(syndctd_shr_to_be as string), '') ) A UNION ALL</v>
      </c>
      <c r="P294" s="17">
        <f t="shared" si="37"/>
        <v>38</v>
      </c>
    </row>
    <row r="295" spans="2:16" s="15" customFormat="1" ht="11.45">
      <c r="B295" s="17" t="s">
        <v>26</v>
      </c>
      <c r="C295" s="17" t="str">
        <f>_xlfn.CONCAT(Instruções!$D$13,".",VLOOKUP(B295,Instruções!$F$12:$H$17,2,0))</f>
        <v>cd_loan_tapes_bce.lt002_instrument</v>
      </c>
      <c r="D295" s="17" t="str">
        <f>_xlfn.CONCAT(Instruções!$D$14,".",VLOOKUP(B295,Instruções!$F$12:$H$17,3,0))</f>
        <v>bu_loantape_work.lt002_instrument</v>
      </c>
      <c r="E295" s="17" t="s">
        <v>339</v>
      </c>
      <c r="F295" s="17" t="str">
        <f t="shared" si="31"/>
        <v>syndctn_typ_as_is</v>
      </c>
      <c r="G295" s="17" t="str">
        <f t="shared" si="32"/>
        <v>syndctn_typ_to_be</v>
      </c>
      <c r="H295" s="17" t="str">
        <f>IF(VLOOKUP(B295,Instruções!$F$13:$J$17,5,0)="",
"(SELECT "&amp;VLOOKUP(B295,Instruções!$F$13:$J$17,4,0)&amp;" as "&amp;VLOOKUP(B295,Instruções!$F$13:$J$17,4,0)&amp;"_"&amp;$F$2&amp;", "&amp;E295&amp;" as "&amp;F295&amp;" FROM "&amp;C295&amp;" WHERE "&amp;Instruções!$D$20&amp;") A ",
"(SELECT "&amp;VLOOKUP(B295,Instruções!$F$13:$J$17,4,0)&amp;" as "&amp;VLOOKUP(B295,Instruções!$F$13:$J$17,4,0)&amp;"_"&amp;$F$2&amp;", "&amp;VLOOKUP(B295,Instruções!$F$13:$J$17,5,0)&amp;" as "&amp;VLOOKUP(B295,Instruções!$F$13:$J$17,5,0)&amp;"_"&amp;$F$2&amp;","&amp;E295&amp;" as "&amp;F295&amp;" FROM "&amp;C295&amp;" WHERE "&amp;Instruções!$D$20&amp;") A ")</f>
        <v xml:space="preserve">(SELECT instrmnt_id as instrmnt_id_as_is, syndctn_typ as syndctn_typ_as_is FROM cd_loan_tapes_bce.lt002_instrument WHERE ref_date='2024-09-30' AND nome_perimetro='Individual Corporativo' AND segmento='ESTR' AND ambito='PM' AND entidade='00100' ) A </v>
      </c>
      <c r="I295" s="17" t="str">
        <f>IF(VLOOKUP(B295,Instruções!$F$13:$J$17,5,0)="",
"(SELECT "&amp;VLOOKUP(B295,Instruções!$F$13:$J$17,4,0)&amp;" as "&amp;VLOOKUP(B295,Instruções!$F$13:$J$17,4,0)&amp;"_"&amp;$G$2&amp;", "&amp;E295&amp;" as "&amp;G295&amp;" FROM "&amp;D295&amp;" WHERE "&amp;Instruções!$D$21&amp;") B ",
"(SELECT "&amp;VLOOKUP(B295,Instruções!$F$13:$J$17,4,0)&amp;" as "&amp;VLOOKUP(B295,Instruções!$F$13:$J$17,4,0)&amp;"_"&amp;$G$2&amp;", "&amp;VLOOKUP(B295,Instruções!$F$13:$J$17,5,0)&amp;" as "&amp;VLOOKUP(B295,Instruções!$F$13:$J$17,5,0)&amp;"_"&amp;$G$2&amp;","&amp;E295&amp;" as "&amp;G295&amp;" FROM "&amp;D295&amp;" WHERE "&amp;Instruções!$D$21&amp;") B ")</f>
        <v xml:space="preserve">(SELECT instrmnt_id as instrmnt_id_to_be, syndctn_typ as syndctn_typ_to_be FROM bu_loantape_work.lt002_instrument WHERE ref_date='2024-09-30' AND nome_perimetro='Individual Corporativo' AND segmento='ESTR' AND ambito='PM' AND entidade='00100' ) B </v>
      </c>
      <c r="J295" s="17" t="str">
        <f>IF(VLOOKUP(B295,Instruções!$F$13:$J$17,5,0)="",
"ON "&amp;VLOOKUP(B295,Instruções!$F$13:$J$17,4,0)&amp;"_"&amp;$F$2&amp;" = "&amp;VLOOKUP(B295,Instruções!$F$13:$J$17,4,0)&amp;"_"&amp;$G$2&amp;" ",
"ON "&amp;VLOOKUP(B295,Instruções!$F$13:$J$17,4,0)&amp;"_"&amp;$F$2&amp;" = "&amp;VLOOKUP(B295,Instruções!$F$13:$J$17,4,0)&amp;"_"&amp;$G$2&amp;" AND "&amp;VLOOKUP(B295,Instruções!$F$13:$J$17,5,0)&amp;"_"&amp;$F$2&amp;" = "&amp;VLOOKUP(B295,Instruções!$F$13:$J$17,5,0)&amp;"_"&amp;$G$2&amp;" ")</f>
        <v xml:space="preserve">ON instrmnt_id_as_is = instrmnt_id_to_be </v>
      </c>
      <c r="K295" s="17" t="str">
        <f t="shared" si="33"/>
        <v xml:space="preserve">WHERE coalesce(cast(syndctn_typ_as_is as string), '') &lt;&gt; coalesce(cast(syndctn_typ_to_be as string), '') </v>
      </c>
      <c r="L295" s="17" t="str">
        <f t="shared" si="34"/>
        <v xml:space="preserve">SELECT count(*) AS NUM_REG_DIF FROM (SELECT instrmnt_id as instrmnt_id_as_is, syndctn_typ as syndctn_typ_as_is FROM cd_loan_tapes_bce.lt002_instrument WHERE ref_date='2024-09-30' AND nome_perimetro='Individual Corporativo' AND segmento='ESTR' AND ambito='PM' AND entidade='00100' ) A  Inner join (SELECT instrmnt_id as instrmnt_id_to_be, syndctn_typ as syndctn_typ_to_be FROM bu_loantape_work.lt002_instrument WHERE ref_date='2024-09-30' AND nome_perimetro='Individual Corporativo' AND segmento='ESTR' AND ambito='PM' AND entidade='00100' ) B ON instrmnt_id_as_is = instrmnt_id_to_be WHERE coalesce(cast(syndctn_typ_as_is as string), '') &lt;&gt; coalesce(cast(syndctn_typ_to_be as string), '') </v>
      </c>
      <c r="M295" s="17" t="s">
        <v>55</v>
      </c>
      <c r="N295" s="17" t="str">
        <f>"SELECT 'Validação de campos' as tipologia_teste, '"&amp;VLOOKUP(B295,Instruções!$F$13:$J$17,3,0)&amp;"' AS TABELA, '"&amp;E295&amp;"' AS CAMPO, '"&amp;Instruções!$D$15&amp;"' as ref_date, coalesce(NUM_REG_DIF, 0) AS NUM_REG_DIF FROM ("&amp;L295&amp;") A "</f>
        <v xml:space="preserve">SELECT 'Validação de campos' as tipologia_teste, 'lt002_instrument' AS TABELA, 'syndctn_typ' AS CAMPO, '2024-09-30' as ref_date, coalesce(NUM_REG_DIF, 0) AS NUM_REG_DIF FROM (SELECT count(*) AS NUM_REG_DIF FROM (SELECT instrmnt_id as instrmnt_id_as_is, syndctn_typ as syndctn_typ_as_is FROM cd_loan_tapes_bce.lt002_instrument WHERE ref_date='2024-09-30' AND nome_perimetro='Individual Corporativo' AND segmento='ESTR' AND ambito='PM' AND entidade='00100' ) A  Inner join (SELECT instrmnt_id as instrmnt_id_to_be, syndctn_typ as syndctn_typ_to_be FROM bu_loantape_work.lt002_instrument WHERE ref_date='2024-09-30' AND nome_perimetro='Individual Corporativo' AND segmento='ESTR' AND ambito='PM' AND entidade='00100' ) B ON instrmnt_id_as_is = instrmnt_id_to_be WHERE coalesce(cast(syndctn_typ_as_is as string), '') &lt;&gt; coalesce(cast(syndctn_typ_to_be as string), '') ) A </v>
      </c>
      <c r="O295" s="19" t="str">
        <f t="shared" si="36"/>
        <v>SELECT 'Validação de campos' as tipologia_teste, 'lt002_instrument' AS TABELA, 'syndctn_typ' AS CAMPO, '2024-09-30' as ref_date, coalesce(NUM_REG_DIF, 0) AS NUM_REG_DIF FROM (SELECT count(*) AS NUM_REG_DIF FROM (SELECT instrmnt_id as instrmnt_id_as_is, syndctn_typ as syndctn_typ_as_is FROM cd_loan_tapes_bce.lt002_instrument WHERE ref_date='2024-09-30' AND nome_perimetro='Individual Corporativo' AND segmento='ESTR' AND ambito='PM' AND entidade='00100' ) A  Inner join (SELECT instrmnt_id as instrmnt_id_to_be, syndctn_typ as syndctn_typ_to_be FROM bu_loantape_work.lt002_instrument WHERE ref_date='2024-09-30' AND nome_perimetro='Individual Corporativo' AND segmento='ESTR' AND ambito='PM' AND entidade='00100' ) B ON instrmnt_id_as_is = instrmnt_id_to_be WHERE coalesce(cast(syndctn_typ_as_is as string), '') &lt;&gt; coalesce(cast(syndctn_typ_to_be as string), '') ) A UNION ALL</v>
      </c>
      <c r="P295" s="17">
        <f t="shared" si="37"/>
        <v>39</v>
      </c>
    </row>
    <row r="296" spans="2:16" s="15" customFormat="1" ht="11.45">
      <c r="B296" s="17" t="s">
        <v>26</v>
      </c>
      <c r="C296" s="17" t="str">
        <f>_xlfn.CONCAT(Instruções!$D$13,".",VLOOKUP(B296,Instruções!$F$12:$H$17,2,0))</f>
        <v>cd_loan_tapes_bce.lt002_instrument</v>
      </c>
      <c r="D296" s="17" t="str">
        <f>_xlfn.CONCAT(Instruções!$D$14,".",VLOOKUP(B296,Instruções!$F$12:$H$17,3,0))</f>
        <v>bu_loantape_work.lt002_instrument</v>
      </c>
      <c r="E296" s="17" t="s">
        <v>340</v>
      </c>
      <c r="F296" s="17" t="str">
        <f t="shared" si="31"/>
        <v>trnch_as_is</v>
      </c>
      <c r="G296" s="17" t="str">
        <f t="shared" si="32"/>
        <v>trnch_to_be</v>
      </c>
      <c r="H296" s="17" t="str">
        <f>IF(VLOOKUP(B296,Instruções!$F$13:$J$17,5,0)="",
"(SELECT "&amp;VLOOKUP(B296,Instruções!$F$13:$J$17,4,0)&amp;" as "&amp;VLOOKUP(B296,Instruções!$F$13:$J$17,4,0)&amp;"_"&amp;$F$2&amp;", "&amp;E296&amp;" as "&amp;F296&amp;" FROM "&amp;C296&amp;" WHERE "&amp;Instruções!$D$20&amp;") A ",
"(SELECT "&amp;VLOOKUP(B296,Instruções!$F$13:$J$17,4,0)&amp;" as "&amp;VLOOKUP(B296,Instruções!$F$13:$J$17,4,0)&amp;"_"&amp;$F$2&amp;", "&amp;VLOOKUP(B296,Instruções!$F$13:$J$17,5,0)&amp;" as "&amp;VLOOKUP(B296,Instruções!$F$13:$J$17,5,0)&amp;"_"&amp;$F$2&amp;","&amp;E296&amp;" as "&amp;F296&amp;" FROM "&amp;C296&amp;" WHERE "&amp;Instruções!$D$20&amp;") A ")</f>
        <v xml:space="preserve">(SELECT instrmnt_id as instrmnt_id_as_is, trnch as trnch_as_is FROM cd_loan_tapes_bce.lt002_instrument WHERE ref_date='2024-09-30' AND nome_perimetro='Individual Corporativo' AND segmento='ESTR' AND ambito='PM' AND entidade='00100' ) A </v>
      </c>
      <c r="I296" s="17" t="str">
        <f>IF(VLOOKUP(B296,Instruções!$F$13:$J$17,5,0)="",
"(SELECT "&amp;VLOOKUP(B296,Instruções!$F$13:$J$17,4,0)&amp;" as "&amp;VLOOKUP(B296,Instruções!$F$13:$J$17,4,0)&amp;"_"&amp;$G$2&amp;", "&amp;E296&amp;" as "&amp;G296&amp;" FROM "&amp;D296&amp;" WHERE "&amp;Instruções!$D$21&amp;") B ",
"(SELECT "&amp;VLOOKUP(B296,Instruções!$F$13:$J$17,4,0)&amp;" as "&amp;VLOOKUP(B296,Instruções!$F$13:$J$17,4,0)&amp;"_"&amp;$G$2&amp;", "&amp;VLOOKUP(B296,Instruções!$F$13:$J$17,5,0)&amp;" as "&amp;VLOOKUP(B296,Instruções!$F$13:$J$17,5,0)&amp;"_"&amp;$G$2&amp;","&amp;E296&amp;" as "&amp;G296&amp;" FROM "&amp;D296&amp;" WHERE "&amp;Instruções!$D$21&amp;") B ")</f>
        <v xml:space="preserve">(SELECT instrmnt_id as instrmnt_id_to_be, trnch as trnch_to_be FROM bu_loantape_work.lt002_instrument WHERE ref_date='2024-09-30' AND nome_perimetro='Individual Corporativo' AND segmento='ESTR' AND ambito='PM' AND entidade='00100' ) B </v>
      </c>
      <c r="J296" s="17" t="str">
        <f>IF(VLOOKUP(B296,Instruções!$F$13:$J$17,5,0)="",
"ON "&amp;VLOOKUP(B296,Instruções!$F$13:$J$17,4,0)&amp;"_"&amp;$F$2&amp;" = "&amp;VLOOKUP(B296,Instruções!$F$13:$J$17,4,0)&amp;"_"&amp;$G$2&amp;" ",
"ON "&amp;VLOOKUP(B296,Instruções!$F$13:$J$17,4,0)&amp;"_"&amp;$F$2&amp;" = "&amp;VLOOKUP(B296,Instruções!$F$13:$J$17,4,0)&amp;"_"&amp;$G$2&amp;" AND "&amp;VLOOKUP(B296,Instruções!$F$13:$J$17,5,0)&amp;"_"&amp;$F$2&amp;" = "&amp;VLOOKUP(B296,Instruções!$F$13:$J$17,5,0)&amp;"_"&amp;$G$2&amp;" ")</f>
        <v xml:space="preserve">ON instrmnt_id_as_is = instrmnt_id_to_be </v>
      </c>
      <c r="K296" s="17" t="str">
        <f t="shared" si="33"/>
        <v xml:space="preserve">WHERE coalesce(cast(trnch_as_is as string), '') &lt;&gt; coalesce(cast(trnch_to_be as string), '') </v>
      </c>
      <c r="L296" s="17" t="str">
        <f t="shared" si="34"/>
        <v xml:space="preserve">SELECT count(*) AS NUM_REG_DIF FROM (SELECT instrmnt_id as instrmnt_id_as_is, trnch as trnch_as_is FROM cd_loan_tapes_bce.lt002_instrument WHERE ref_date='2024-09-30' AND nome_perimetro='Individual Corporativo' AND segmento='ESTR' AND ambito='PM' AND entidade='00100' ) A  Inner join (SELECT instrmnt_id as instrmnt_id_to_be, trnch as trnch_to_be FROM bu_loantape_work.lt002_instrument WHERE ref_date='2024-09-30' AND nome_perimetro='Individual Corporativo' AND segmento='ESTR' AND ambito='PM' AND entidade='00100' ) B ON instrmnt_id_as_is = instrmnt_id_to_be WHERE coalesce(cast(trnch_as_is as string), '') &lt;&gt; coalesce(cast(trnch_to_be as string), '') </v>
      </c>
      <c r="M296" s="17" t="s">
        <v>55</v>
      </c>
      <c r="N296" s="17" t="str">
        <f>"SELECT 'Validação de campos' as tipologia_teste, '"&amp;VLOOKUP(B296,Instruções!$F$13:$J$17,3,0)&amp;"' AS TABELA, '"&amp;E296&amp;"' AS CAMPO, '"&amp;Instruções!$D$15&amp;"' as ref_date, coalesce(NUM_REG_DIF, 0) AS NUM_REG_DIF FROM ("&amp;L296&amp;") A "</f>
        <v xml:space="preserve">SELECT 'Validação de campos' as tipologia_teste, 'lt002_instrument' AS TABELA, 'trnch' AS CAMPO, '2024-09-30' as ref_date, coalesce(NUM_REG_DIF, 0) AS NUM_REG_DIF FROM (SELECT count(*) AS NUM_REG_DIF FROM (SELECT instrmnt_id as instrmnt_id_as_is, trnch as trnch_as_is FROM cd_loan_tapes_bce.lt002_instrument WHERE ref_date='2024-09-30' AND nome_perimetro='Individual Corporativo' AND segmento='ESTR' AND ambito='PM' AND entidade='00100' ) A  Inner join (SELECT instrmnt_id as instrmnt_id_to_be, trnch as trnch_to_be FROM bu_loantape_work.lt002_instrument WHERE ref_date='2024-09-30' AND nome_perimetro='Individual Corporativo' AND segmento='ESTR' AND ambito='PM' AND entidade='00100' ) B ON instrmnt_id_as_is = instrmnt_id_to_be WHERE coalesce(cast(trnch_as_is as string), '') &lt;&gt; coalesce(cast(trnch_to_be as string), '') ) A </v>
      </c>
      <c r="O296" s="19" t="str">
        <f t="shared" si="36"/>
        <v>SELECT 'Validação de campos' as tipologia_teste, 'lt002_instrument' AS TABELA, 'trnch' AS CAMPO, '2024-09-30' as ref_date, coalesce(NUM_REG_DIF, 0) AS NUM_REG_DIF FROM (SELECT count(*) AS NUM_REG_DIF FROM (SELECT instrmnt_id as instrmnt_id_as_is, trnch as trnch_as_is FROM cd_loan_tapes_bce.lt002_instrument WHERE ref_date='2024-09-30' AND nome_perimetro='Individual Corporativo' AND segmento='ESTR' AND ambito='PM' AND entidade='00100' ) A  Inner join (SELECT instrmnt_id as instrmnt_id_to_be, trnch as trnch_to_be FROM bu_loantape_work.lt002_instrument WHERE ref_date='2024-09-30' AND nome_perimetro='Individual Corporativo' AND segmento='ESTR' AND ambito='PM' AND entidade='00100' ) B ON instrmnt_id_as_is = instrmnt_id_to_be WHERE coalesce(cast(trnch_as_is as string), '') &lt;&gt; coalesce(cast(trnch_to_be as string), '') ) A UNION ALL</v>
      </c>
      <c r="P296" s="17">
        <f t="shared" si="37"/>
        <v>40</v>
      </c>
    </row>
    <row r="297" spans="2:16" s="15" customFormat="1" ht="11.45">
      <c r="B297" s="17" t="s">
        <v>26</v>
      </c>
      <c r="C297" s="17" t="str">
        <f>_xlfn.CONCAT(Instruções!$D$13,".",VLOOKUP(B297,Instruções!$F$12:$H$17,2,0))</f>
        <v>cd_loan_tapes_bce.lt002_instrument</v>
      </c>
      <c r="D297" s="17" t="str">
        <f>_xlfn.CONCAT(Instruções!$D$14,".",VLOOKUP(B297,Instruções!$F$12:$H$17,3,0))</f>
        <v>bu_loantape_work.lt002_instrument</v>
      </c>
      <c r="E297" s="17" t="s">
        <v>342</v>
      </c>
      <c r="F297" s="17" t="str">
        <f t="shared" si="31"/>
        <v>typ_amrtstn_as_is</v>
      </c>
      <c r="G297" s="17" t="str">
        <f t="shared" si="32"/>
        <v>typ_amrtstn_to_be</v>
      </c>
      <c r="H297" s="17" t="str">
        <f>IF(VLOOKUP(B297,Instruções!$F$13:$J$17,5,0)="",
"(SELECT "&amp;VLOOKUP(B297,Instruções!$F$13:$J$17,4,0)&amp;" as "&amp;VLOOKUP(B297,Instruções!$F$13:$J$17,4,0)&amp;"_"&amp;$F$2&amp;", "&amp;E297&amp;" as "&amp;F297&amp;" FROM "&amp;C297&amp;" WHERE "&amp;Instruções!$D$20&amp;") A ",
"(SELECT "&amp;VLOOKUP(B297,Instruções!$F$13:$J$17,4,0)&amp;" as "&amp;VLOOKUP(B297,Instruções!$F$13:$J$17,4,0)&amp;"_"&amp;$F$2&amp;", "&amp;VLOOKUP(B297,Instruções!$F$13:$J$17,5,0)&amp;" as "&amp;VLOOKUP(B297,Instruções!$F$13:$J$17,5,0)&amp;"_"&amp;$F$2&amp;","&amp;E297&amp;" as "&amp;F297&amp;" FROM "&amp;C297&amp;" WHERE "&amp;Instruções!$D$20&amp;") A ")</f>
        <v xml:space="preserve">(SELECT instrmnt_id as instrmnt_id_as_is, typ_amrtstn as typ_amrtstn_as_is FROM cd_loan_tapes_bce.lt002_instrument WHERE ref_date='2024-09-30' AND nome_perimetro='Individual Corporativo' AND segmento='ESTR' AND ambito='PM' AND entidade='00100' ) A </v>
      </c>
      <c r="I297" s="17" t="str">
        <f>IF(VLOOKUP(B297,Instruções!$F$13:$J$17,5,0)="",
"(SELECT "&amp;VLOOKUP(B297,Instruções!$F$13:$J$17,4,0)&amp;" as "&amp;VLOOKUP(B297,Instruções!$F$13:$J$17,4,0)&amp;"_"&amp;$G$2&amp;", "&amp;E297&amp;" as "&amp;G297&amp;" FROM "&amp;D297&amp;" WHERE "&amp;Instruções!$D$21&amp;") B ",
"(SELECT "&amp;VLOOKUP(B297,Instruções!$F$13:$J$17,4,0)&amp;" as "&amp;VLOOKUP(B297,Instruções!$F$13:$J$17,4,0)&amp;"_"&amp;$G$2&amp;", "&amp;VLOOKUP(B297,Instruções!$F$13:$J$17,5,0)&amp;" as "&amp;VLOOKUP(B297,Instruções!$F$13:$J$17,5,0)&amp;"_"&amp;$G$2&amp;","&amp;E297&amp;" as "&amp;G297&amp;" FROM "&amp;D297&amp;" WHERE "&amp;Instruções!$D$21&amp;") B ")</f>
        <v xml:space="preserve">(SELECT instrmnt_id as instrmnt_id_to_be, typ_amrtstn as typ_amrtstn_to_be FROM bu_loantape_work.lt002_instrument WHERE ref_date='2024-09-30' AND nome_perimetro='Individual Corporativo' AND segmento='ESTR' AND ambito='PM' AND entidade='00100' ) B </v>
      </c>
      <c r="J297" s="17" t="str">
        <f>IF(VLOOKUP(B297,Instruções!$F$13:$J$17,5,0)="",
"ON "&amp;VLOOKUP(B297,Instruções!$F$13:$J$17,4,0)&amp;"_"&amp;$F$2&amp;" = "&amp;VLOOKUP(B297,Instruções!$F$13:$J$17,4,0)&amp;"_"&amp;$G$2&amp;" ",
"ON "&amp;VLOOKUP(B297,Instruções!$F$13:$J$17,4,0)&amp;"_"&amp;$F$2&amp;" = "&amp;VLOOKUP(B297,Instruções!$F$13:$J$17,4,0)&amp;"_"&amp;$G$2&amp;" AND "&amp;VLOOKUP(B297,Instruções!$F$13:$J$17,5,0)&amp;"_"&amp;$F$2&amp;" = "&amp;VLOOKUP(B297,Instruções!$F$13:$J$17,5,0)&amp;"_"&amp;$G$2&amp;" ")</f>
        <v xml:space="preserve">ON instrmnt_id_as_is = instrmnt_id_to_be </v>
      </c>
      <c r="K297" s="17" t="str">
        <f t="shared" si="33"/>
        <v xml:space="preserve">WHERE coalesce(cast(typ_amrtstn_as_is as string), '') &lt;&gt; coalesce(cast(typ_amrtstn_to_be as string), '') </v>
      </c>
      <c r="L297" s="17" t="str">
        <f t="shared" si="34"/>
        <v xml:space="preserve">SELECT count(*) AS NUM_REG_DIF FROM (SELECT instrmnt_id as instrmnt_id_as_is, typ_amrtstn as typ_amrtstn_as_is FROM cd_loan_tapes_bce.lt002_instrument WHERE ref_date='2024-09-30' AND nome_perimetro='Individual Corporativo' AND segmento='ESTR' AND ambito='PM' AND entidade='00100' ) A  Inner join (SELECT instrmnt_id as instrmnt_id_to_be, typ_amrtstn as typ_amrtstn_to_be FROM bu_loantape_work.lt002_instrument WHERE ref_date='2024-09-30' AND nome_perimetro='Individual Corporativo' AND segmento='ESTR' AND ambito='PM' AND entidade='00100' ) B ON instrmnt_id_as_is = instrmnt_id_to_be WHERE coalesce(cast(typ_amrtstn_as_is as string), '') &lt;&gt; coalesce(cast(typ_amrtstn_to_be as string), '') </v>
      </c>
      <c r="M297" s="17" t="s">
        <v>55</v>
      </c>
      <c r="N297" s="17" t="str">
        <f>"SELECT 'Validação de campos' as tipologia_teste, '"&amp;VLOOKUP(B297,Instruções!$F$13:$J$17,3,0)&amp;"' AS TABELA, '"&amp;E297&amp;"' AS CAMPO, '"&amp;Instruções!$D$15&amp;"' as ref_date, coalesce(NUM_REG_DIF, 0) AS NUM_REG_DIF FROM ("&amp;L297&amp;") A "</f>
        <v xml:space="preserve">SELECT 'Validação de campos' as tipologia_teste, 'lt002_instrument' AS TABELA, 'typ_amrtstn' AS CAMPO, '2024-09-30' as ref_date, coalesce(NUM_REG_DIF, 0) AS NUM_REG_DIF FROM (SELECT count(*) AS NUM_REG_DIF FROM (SELECT instrmnt_id as instrmnt_id_as_is, typ_amrtstn as typ_amrtstn_as_is FROM cd_loan_tapes_bce.lt002_instrument WHERE ref_date='2024-09-30' AND nome_perimetro='Individual Corporativo' AND segmento='ESTR' AND ambito='PM' AND entidade='00100' ) A  Inner join (SELECT instrmnt_id as instrmnt_id_to_be, typ_amrtstn as typ_amrtstn_to_be FROM bu_loantape_work.lt002_instrument WHERE ref_date='2024-09-30' AND nome_perimetro='Individual Corporativo' AND segmento='ESTR' AND ambito='PM' AND entidade='00100' ) B ON instrmnt_id_as_is = instrmnt_id_to_be WHERE coalesce(cast(typ_amrtstn_as_is as string), '') &lt;&gt; coalesce(cast(typ_amrtstn_to_be as string), '') ) A </v>
      </c>
      <c r="O297" s="19" t="str">
        <f t="shared" si="36"/>
        <v>SELECT 'Validação de campos' as tipologia_teste, 'lt002_instrument' AS TABELA, 'typ_amrtstn' AS CAMPO, '2024-09-30' as ref_date, coalesce(NUM_REG_DIF, 0) AS NUM_REG_DIF FROM (SELECT count(*) AS NUM_REG_DIF FROM (SELECT instrmnt_id as instrmnt_id_as_is, typ_amrtstn as typ_amrtstn_as_is FROM cd_loan_tapes_bce.lt002_instrument WHERE ref_date='2024-09-30' AND nome_perimetro='Individual Corporativo' AND segmento='ESTR' AND ambito='PM' AND entidade='00100' ) A  Inner join (SELECT instrmnt_id as instrmnt_id_to_be, typ_amrtstn as typ_amrtstn_to_be FROM bu_loantape_work.lt002_instrument WHERE ref_date='2024-09-30' AND nome_perimetro='Individual Corporativo' AND segmento='ESTR' AND ambito='PM' AND entidade='00100' ) B ON instrmnt_id_as_is = instrmnt_id_to_be WHERE coalesce(cast(typ_amrtstn_as_is as string), '') &lt;&gt; coalesce(cast(typ_amrtstn_to_be as string), '') ) A UNION ALL</v>
      </c>
      <c r="P297" s="17">
        <f t="shared" si="37"/>
        <v>41</v>
      </c>
    </row>
    <row r="298" spans="2:16" s="15" customFormat="1" ht="11.45">
      <c r="B298" s="17" t="s">
        <v>26</v>
      </c>
      <c r="C298" s="17" t="str">
        <f>_xlfn.CONCAT(Instruções!$D$13,".",VLOOKUP(B298,Instruções!$F$12:$H$17,2,0))</f>
        <v>cd_loan_tapes_bce.lt002_instrument</v>
      </c>
      <c r="D298" s="17" t="str">
        <f>_xlfn.CONCAT(Instruções!$D$14,".",VLOOKUP(B298,Instruções!$F$12:$H$17,3,0))</f>
        <v>bu_loantape_work.lt002_instrument</v>
      </c>
      <c r="E298" s="17" t="s">
        <v>344</v>
      </c>
      <c r="F298" s="17" t="str">
        <f t="shared" si="31"/>
        <v>typ_cmplnt_mrtr_c19_as_is</v>
      </c>
      <c r="G298" s="17" t="str">
        <f t="shared" si="32"/>
        <v>typ_cmplnt_mrtr_c19_to_be</v>
      </c>
      <c r="H298" s="17" t="str">
        <f>IF(VLOOKUP(B298,Instruções!$F$13:$J$17,5,0)="",
"(SELECT "&amp;VLOOKUP(B298,Instruções!$F$13:$J$17,4,0)&amp;" as "&amp;VLOOKUP(B298,Instruções!$F$13:$J$17,4,0)&amp;"_"&amp;$F$2&amp;", "&amp;E298&amp;" as "&amp;F298&amp;" FROM "&amp;C298&amp;" WHERE "&amp;Instruções!$D$20&amp;") A ",
"(SELECT "&amp;VLOOKUP(B298,Instruções!$F$13:$J$17,4,0)&amp;" as "&amp;VLOOKUP(B298,Instruções!$F$13:$J$17,4,0)&amp;"_"&amp;$F$2&amp;", "&amp;VLOOKUP(B298,Instruções!$F$13:$J$17,5,0)&amp;" as "&amp;VLOOKUP(B298,Instruções!$F$13:$J$17,5,0)&amp;"_"&amp;$F$2&amp;","&amp;E298&amp;" as "&amp;F298&amp;" FROM "&amp;C298&amp;" WHERE "&amp;Instruções!$D$20&amp;") A ")</f>
        <v xml:space="preserve">(SELECT instrmnt_id as instrmnt_id_as_is, typ_cmplnt_mrtr_c19 as typ_cmplnt_mrtr_c19_as_is FROM cd_loan_tapes_bce.lt002_instrument WHERE ref_date='2024-09-30' AND nome_perimetro='Individual Corporativo' AND segmento='ESTR' AND ambito='PM' AND entidade='00100' ) A </v>
      </c>
      <c r="I298" s="17" t="str">
        <f>IF(VLOOKUP(B298,Instruções!$F$13:$J$17,5,0)="",
"(SELECT "&amp;VLOOKUP(B298,Instruções!$F$13:$J$17,4,0)&amp;" as "&amp;VLOOKUP(B298,Instruções!$F$13:$J$17,4,0)&amp;"_"&amp;$G$2&amp;", "&amp;E298&amp;" as "&amp;G298&amp;" FROM "&amp;D298&amp;" WHERE "&amp;Instruções!$D$21&amp;") B ",
"(SELECT "&amp;VLOOKUP(B298,Instruções!$F$13:$J$17,4,0)&amp;" as "&amp;VLOOKUP(B298,Instruções!$F$13:$J$17,4,0)&amp;"_"&amp;$G$2&amp;", "&amp;VLOOKUP(B298,Instruções!$F$13:$J$17,5,0)&amp;" as "&amp;VLOOKUP(B298,Instruções!$F$13:$J$17,5,0)&amp;"_"&amp;$G$2&amp;","&amp;E298&amp;" as "&amp;G298&amp;" FROM "&amp;D298&amp;" WHERE "&amp;Instruções!$D$21&amp;") B ")</f>
        <v xml:space="preserve">(SELECT instrmnt_id as instrmnt_id_to_be, typ_cmplnt_mrtr_c19 as typ_cmplnt_mrtr_c19_to_be FROM bu_loantape_work.lt002_instrument WHERE ref_date='2024-09-30' AND nome_perimetro='Individual Corporativo' AND segmento='ESTR' AND ambito='PM' AND entidade='00100' ) B </v>
      </c>
      <c r="J298" s="17" t="str">
        <f>IF(VLOOKUP(B298,Instruções!$F$13:$J$17,5,0)="",
"ON "&amp;VLOOKUP(B298,Instruções!$F$13:$J$17,4,0)&amp;"_"&amp;$F$2&amp;" = "&amp;VLOOKUP(B298,Instruções!$F$13:$J$17,4,0)&amp;"_"&amp;$G$2&amp;" ",
"ON "&amp;VLOOKUP(B298,Instruções!$F$13:$J$17,4,0)&amp;"_"&amp;$F$2&amp;" = "&amp;VLOOKUP(B298,Instruções!$F$13:$J$17,4,0)&amp;"_"&amp;$G$2&amp;" AND "&amp;VLOOKUP(B298,Instruções!$F$13:$J$17,5,0)&amp;"_"&amp;$F$2&amp;" = "&amp;VLOOKUP(B298,Instruções!$F$13:$J$17,5,0)&amp;"_"&amp;$G$2&amp;" ")</f>
        <v xml:space="preserve">ON instrmnt_id_as_is = instrmnt_id_to_be </v>
      </c>
      <c r="K298" s="17" t="str">
        <f t="shared" si="33"/>
        <v xml:space="preserve">WHERE coalesce(cast(typ_cmplnt_mrtr_c19_as_is as string), '') &lt;&gt; coalesce(cast(typ_cmplnt_mrtr_c19_to_be as string), '') </v>
      </c>
      <c r="L298" s="17" t="str">
        <f t="shared" si="34"/>
        <v xml:space="preserve">SELECT count(*) AS NUM_REG_DIF FROM (SELECT instrmnt_id as instrmnt_id_as_is, typ_cmplnt_mrtr_c19 as typ_cmplnt_mrtr_c19_as_is FROM cd_loan_tapes_bce.lt002_instrument WHERE ref_date='2024-09-30' AND nome_perimetro='Individual Corporativo' AND segmento='ESTR' AND ambito='PM' AND entidade='00100' ) A  Inner join (SELECT instrmnt_id as instrmnt_id_to_be, typ_cmplnt_mrtr_c19 as typ_cmplnt_mrtr_c19_to_be FROM bu_loantape_work.lt002_instrument WHERE ref_date='2024-09-30' AND nome_perimetro='Individual Corporativo' AND segmento='ESTR' AND ambito='PM' AND entidade='00100' ) B ON instrmnt_id_as_is = instrmnt_id_to_be WHERE coalesce(cast(typ_cmplnt_mrtr_c19_as_is as string), '') &lt;&gt; coalesce(cast(typ_cmplnt_mrtr_c19_to_be as string), '') </v>
      </c>
      <c r="M298" s="17" t="s">
        <v>55</v>
      </c>
      <c r="N298" s="17" t="str">
        <f>"SELECT 'Validação de campos' as tipologia_teste, '"&amp;VLOOKUP(B298,Instruções!$F$13:$J$17,3,0)&amp;"' AS TABELA, '"&amp;E298&amp;"' AS CAMPO, '"&amp;Instruções!$D$15&amp;"' as ref_date, coalesce(NUM_REG_DIF, 0) AS NUM_REG_DIF FROM ("&amp;L298&amp;") A "</f>
        <v xml:space="preserve">SELECT 'Validação de campos' as tipologia_teste, 'lt002_instrument' AS TABELA, 'typ_cmplnt_mrtr_c19' AS CAMPO, '2024-09-30' as ref_date, coalesce(NUM_REG_DIF, 0) AS NUM_REG_DIF FROM (SELECT count(*) AS NUM_REG_DIF FROM (SELECT instrmnt_id as instrmnt_id_as_is, typ_cmplnt_mrtr_c19 as typ_cmplnt_mrtr_c19_as_is FROM cd_loan_tapes_bce.lt002_instrument WHERE ref_date='2024-09-30' AND nome_perimetro='Individual Corporativo' AND segmento='ESTR' AND ambito='PM' AND entidade='00100' ) A  Inner join (SELECT instrmnt_id as instrmnt_id_to_be, typ_cmplnt_mrtr_c19 as typ_cmplnt_mrtr_c19_to_be FROM bu_loantape_work.lt002_instrument WHERE ref_date='2024-09-30' AND nome_perimetro='Individual Corporativo' AND segmento='ESTR' AND ambito='PM' AND entidade='00100' ) B ON instrmnt_id_as_is = instrmnt_id_to_be WHERE coalesce(cast(typ_cmplnt_mrtr_c19_as_is as string), '') &lt;&gt; coalesce(cast(typ_cmplnt_mrtr_c19_to_be as string), '') ) A </v>
      </c>
      <c r="O298" s="19" t="str">
        <f t="shared" si="36"/>
        <v>SELECT 'Validação de campos' as tipologia_teste, 'lt002_instrument' AS TABELA, 'typ_cmplnt_mrtr_c19' AS CAMPO, '2024-09-30' as ref_date, coalesce(NUM_REG_DIF, 0) AS NUM_REG_DIF FROM (SELECT count(*) AS NUM_REG_DIF FROM (SELECT instrmnt_id as instrmnt_id_as_is, typ_cmplnt_mrtr_c19 as typ_cmplnt_mrtr_c19_as_is FROM cd_loan_tapes_bce.lt002_instrument WHERE ref_date='2024-09-30' AND nome_perimetro='Individual Corporativo' AND segmento='ESTR' AND ambito='PM' AND entidade='00100' ) A  Inner join (SELECT instrmnt_id as instrmnt_id_to_be, typ_cmplnt_mrtr_c19 as typ_cmplnt_mrtr_c19_to_be FROM bu_loantape_work.lt002_instrument WHERE ref_date='2024-09-30' AND nome_perimetro='Individual Corporativo' AND segmento='ESTR' AND ambito='PM' AND entidade='00100' ) B ON instrmnt_id_as_is = instrmnt_id_to_be WHERE coalesce(cast(typ_cmplnt_mrtr_c19_as_is as string), '') &lt;&gt; coalesce(cast(typ_cmplnt_mrtr_c19_to_be as string), '') ) A UNION ALL</v>
      </c>
      <c r="P298" s="17">
        <f t="shared" si="37"/>
        <v>42</v>
      </c>
    </row>
    <row r="299" spans="2:16" s="15" customFormat="1" ht="11.45">
      <c r="B299" s="17" t="s">
        <v>26</v>
      </c>
      <c r="C299" s="17" t="str">
        <f>_xlfn.CONCAT(Instruções!$D$13,".",VLOOKUP(B299,Instruções!$F$12:$H$17,2,0))</f>
        <v>cd_loan_tapes_bce.lt002_instrument</v>
      </c>
      <c r="D299" s="17" t="str">
        <f>_xlfn.CONCAT(Instruções!$D$14,".",VLOOKUP(B299,Instruções!$F$12:$H$17,3,0))</f>
        <v>bu_loantape_work.lt002_instrument</v>
      </c>
      <c r="E299" s="17" t="s">
        <v>345</v>
      </c>
      <c r="F299" s="17" t="str">
        <f t="shared" si="31"/>
        <v>typ_cre_oprtn_as_is</v>
      </c>
      <c r="G299" s="17" t="str">
        <f t="shared" si="32"/>
        <v>typ_cre_oprtn_to_be</v>
      </c>
      <c r="H299" s="17" t="str">
        <f>IF(VLOOKUP(B299,Instruções!$F$13:$J$17,5,0)="",
"(SELECT "&amp;VLOOKUP(B299,Instruções!$F$13:$J$17,4,0)&amp;" as "&amp;VLOOKUP(B299,Instruções!$F$13:$J$17,4,0)&amp;"_"&amp;$F$2&amp;", "&amp;E299&amp;" as "&amp;F299&amp;" FROM "&amp;C299&amp;" WHERE "&amp;Instruções!$D$20&amp;") A ",
"(SELECT "&amp;VLOOKUP(B299,Instruções!$F$13:$J$17,4,0)&amp;" as "&amp;VLOOKUP(B299,Instruções!$F$13:$J$17,4,0)&amp;"_"&amp;$F$2&amp;", "&amp;VLOOKUP(B299,Instruções!$F$13:$J$17,5,0)&amp;" as "&amp;VLOOKUP(B299,Instruções!$F$13:$J$17,5,0)&amp;"_"&amp;$F$2&amp;","&amp;E299&amp;" as "&amp;F299&amp;" FROM "&amp;C299&amp;" WHERE "&amp;Instruções!$D$20&amp;") A ")</f>
        <v xml:space="preserve">(SELECT instrmnt_id as instrmnt_id_as_is, typ_cre_oprtn as typ_cre_oprtn_as_is FROM cd_loan_tapes_bce.lt002_instrument WHERE ref_date='2024-09-30' AND nome_perimetro='Individual Corporativo' AND segmento='ESTR' AND ambito='PM' AND entidade='00100' ) A </v>
      </c>
      <c r="I299" s="17" t="str">
        <f>IF(VLOOKUP(B299,Instruções!$F$13:$J$17,5,0)="",
"(SELECT "&amp;VLOOKUP(B299,Instruções!$F$13:$J$17,4,0)&amp;" as "&amp;VLOOKUP(B299,Instruções!$F$13:$J$17,4,0)&amp;"_"&amp;$G$2&amp;", "&amp;E299&amp;" as "&amp;G299&amp;" FROM "&amp;D299&amp;" WHERE "&amp;Instruções!$D$21&amp;") B ",
"(SELECT "&amp;VLOOKUP(B299,Instruções!$F$13:$J$17,4,0)&amp;" as "&amp;VLOOKUP(B299,Instruções!$F$13:$J$17,4,0)&amp;"_"&amp;$G$2&amp;", "&amp;VLOOKUP(B299,Instruções!$F$13:$J$17,5,0)&amp;" as "&amp;VLOOKUP(B299,Instruções!$F$13:$J$17,5,0)&amp;"_"&amp;$G$2&amp;","&amp;E299&amp;" as "&amp;G299&amp;" FROM "&amp;D299&amp;" WHERE "&amp;Instruções!$D$21&amp;") B ")</f>
        <v xml:space="preserve">(SELECT instrmnt_id as instrmnt_id_to_be, typ_cre_oprtn as typ_cre_oprtn_to_be FROM bu_loantape_work.lt002_instrument WHERE ref_date='2024-09-30' AND nome_perimetro='Individual Corporativo' AND segmento='ESTR' AND ambito='PM' AND entidade='00100' ) B </v>
      </c>
      <c r="J299" s="17" t="str">
        <f>IF(VLOOKUP(B299,Instruções!$F$13:$J$17,5,0)="",
"ON "&amp;VLOOKUP(B299,Instruções!$F$13:$J$17,4,0)&amp;"_"&amp;$F$2&amp;" = "&amp;VLOOKUP(B299,Instruções!$F$13:$J$17,4,0)&amp;"_"&amp;$G$2&amp;" ",
"ON "&amp;VLOOKUP(B299,Instruções!$F$13:$J$17,4,0)&amp;"_"&amp;$F$2&amp;" = "&amp;VLOOKUP(B299,Instruções!$F$13:$J$17,4,0)&amp;"_"&amp;$G$2&amp;" AND "&amp;VLOOKUP(B299,Instruções!$F$13:$J$17,5,0)&amp;"_"&amp;$F$2&amp;" = "&amp;VLOOKUP(B299,Instruções!$F$13:$J$17,5,0)&amp;"_"&amp;$G$2&amp;" ")</f>
        <v xml:space="preserve">ON instrmnt_id_as_is = instrmnt_id_to_be </v>
      </c>
      <c r="K299" s="17" t="str">
        <f t="shared" si="33"/>
        <v xml:space="preserve">WHERE coalesce(cast(typ_cre_oprtn_as_is as string), '') &lt;&gt; coalesce(cast(typ_cre_oprtn_to_be as string), '') </v>
      </c>
      <c r="L299" s="17" t="str">
        <f t="shared" si="34"/>
        <v xml:space="preserve">SELECT count(*) AS NUM_REG_DIF FROM (SELECT instrmnt_id as instrmnt_id_as_is, typ_cre_oprtn as typ_cre_oprtn_as_is FROM cd_loan_tapes_bce.lt002_instrument WHERE ref_date='2024-09-30' AND nome_perimetro='Individual Corporativo' AND segmento='ESTR' AND ambito='PM' AND entidade='00100' ) A  Inner join (SELECT instrmnt_id as instrmnt_id_to_be, typ_cre_oprtn as typ_cre_oprtn_to_be FROM bu_loantape_work.lt002_instrument WHERE ref_date='2024-09-30' AND nome_perimetro='Individual Corporativo' AND segmento='ESTR' AND ambito='PM' AND entidade='00100' ) B ON instrmnt_id_as_is = instrmnt_id_to_be WHERE coalesce(cast(typ_cre_oprtn_as_is as string), '') &lt;&gt; coalesce(cast(typ_cre_oprtn_to_be as string), '') </v>
      </c>
      <c r="M299" s="17" t="s">
        <v>55</v>
      </c>
      <c r="N299" s="17" t="str">
        <f>"SELECT 'Validação de campos' as tipologia_teste, '"&amp;VLOOKUP(B299,Instruções!$F$13:$J$17,3,0)&amp;"' AS TABELA, '"&amp;E299&amp;"' AS CAMPO, '"&amp;Instruções!$D$15&amp;"' as ref_date, coalesce(NUM_REG_DIF, 0) AS NUM_REG_DIF FROM ("&amp;L299&amp;") A "</f>
        <v xml:space="preserve">SELECT 'Validação de campos' as tipologia_teste, 'lt002_instrument' AS TABELA, 'typ_cre_oprtn' AS CAMPO, '2024-09-30' as ref_date, coalesce(NUM_REG_DIF, 0) AS NUM_REG_DIF FROM (SELECT count(*) AS NUM_REG_DIF FROM (SELECT instrmnt_id as instrmnt_id_as_is, typ_cre_oprtn as typ_cre_oprtn_as_is FROM cd_loan_tapes_bce.lt002_instrument WHERE ref_date='2024-09-30' AND nome_perimetro='Individual Corporativo' AND segmento='ESTR' AND ambito='PM' AND entidade='00100' ) A  Inner join (SELECT instrmnt_id as instrmnt_id_to_be, typ_cre_oprtn as typ_cre_oprtn_to_be FROM bu_loantape_work.lt002_instrument WHERE ref_date='2024-09-30' AND nome_perimetro='Individual Corporativo' AND segmento='ESTR' AND ambito='PM' AND entidade='00100' ) B ON instrmnt_id_as_is = instrmnt_id_to_be WHERE coalesce(cast(typ_cre_oprtn_as_is as string), '') &lt;&gt; coalesce(cast(typ_cre_oprtn_to_be as string), '') ) A </v>
      </c>
      <c r="O299" s="19" t="str">
        <f t="shared" si="36"/>
        <v>SELECT 'Validação de campos' as tipologia_teste, 'lt002_instrument' AS TABELA, 'typ_cre_oprtn' AS CAMPO, '2024-09-30' as ref_date, coalesce(NUM_REG_DIF, 0) AS NUM_REG_DIF FROM (SELECT count(*) AS NUM_REG_DIF FROM (SELECT instrmnt_id as instrmnt_id_as_is, typ_cre_oprtn as typ_cre_oprtn_as_is FROM cd_loan_tapes_bce.lt002_instrument WHERE ref_date='2024-09-30' AND nome_perimetro='Individual Corporativo' AND segmento='ESTR' AND ambito='PM' AND entidade='00100' ) A  Inner join (SELECT instrmnt_id as instrmnt_id_to_be, typ_cre_oprtn as typ_cre_oprtn_to_be FROM bu_loantape_work.lt002_instrument WHERE ref_date='2024-09-30' AND nome_perimetro='Individual Corporativo' AND segmento='ESTR' AND ambito='PM' AND entidade='00100' ) B ON instrmnt_id_as_is = instrmnt_id_to_be WHERE coalesce(cast(typ_cre_oprtn_as_is as string), '') &lt;&gt; coalesce(cast(typ_cre_oprtn_to_be as string), '') ) A UNION ALL</v>
      </c>
      <c r="P299" s="17">
        <f t="shared" si="37"/>
        <v>43</v>
      </c>
    </row>
    <row r="300" spans="2:16" s="15" customFormat="1" ht="11.45">
      <c r="B300" s="17" t="s">
        <v>26</v>
      </c>
      <c r="C300" s="17" t="str">
        <f>_xlfn.CONCAT(Instruções!$D$13,".",VLOOKUP(B300,Instruções!$F$12:$H$17,2,0))</f>
        <v>cd_loan_tapes_bce.lt002_instrument</v>
      </c>
      <c r="D300" s="17" t="str">
        <f>_xlfn.CONCAT(Instruções!$D$14,".",VLOOKUP(B300,Instruções!$F$12:$H$17,3,0))</f>
        <v>bu_loantape_work.lt002_instrument</v>
      </c>
      <c r="E300" s="17" t="s">
        <v>348</v>
      </c>
      <c r="F300" s="17" t="str">
        <f t="shared" si="31"/>
        <v>typ_instrmnt_as_is</v>
      </c>
      <c r="G300" s="17" t="str">
        <f t="shared" si="32"/>
        <v>typ_instrmnt_to_be</v>
      </c>
      <c r="H300" s="17" t="str">
        <f>IF(VLOOKUP(B300,Instruções!$F$13:$J$17,5,0)="",
"(SELECT "&amp;VLOOKUP(B300,Instruções!$F$13:$J$17,4,0)&amp;" as "&amp;VLOOKUP(B300,Instruções!$F$13:$J$17,4,0)&amp;"_"&amp;$F$2&amp;", "&amp;E300&amp;" as "&amp;F300&amp;" FROM "&amp;C300&amp;" WHERE "&amp;Instruções!$D$20&amp;") A ",
"(SELECT "&amp;VLOOKUP(B300,Instruções!$F$13:$J$17,4,0)&amp;" as "&amp;VLOOKUP(B300,Instruções!$F$13:$J$17,4,0)&amp;"_"&amp;$F$2&amp;", "&amp;VLOOKUP(B300,Instruções!$F$13:$J$17,5,0)&amp;" as "&amp;VLOOKUP(B300,Instruções!$F$13:$J$17,5,0)&amp;"_"&amp;$F$2&amp;","&amp;E300&amp;" as "&amp;F300&amp;" FROM "&amp;C300&amp;" WHERE "&amp;Instruções!$D$20&amp;") A ")</f>
        <v xml:space="preserve">(SELECT instrmnt_id as instrmnt_id_as_is, typ_instrmnt as typ_instrmnt_as_is FROM cd_loan_tapes_bce.lt002_instrument WHERE ref_date='2024-09-30' AND nome_perimetro='Individual Corporativo' AND segmento='ESTR' AND ambito='PM' AND entidade='00100' ) A </v>
      </c>
      <c r="I300" s="17" t="str">
        <f>IF(VLOOKUP(B300,Instruções!$F$13:$J$17,5,0)="",
"(SELECT "&amp;VLOOKUP(B300,Instruções!$F$13:$J$17,4,0)&amp;" as "&amp;VLOOKUP(B300,Instruções!$F$13:$J$17,4,0)&amp;"_"&amp;$G$2&amp;", "&amp;E300&amp;" as "&amp;G300&amp;" FROM "&amp;D300&amp;" WHERE "&amp;Instruções!$D$21&amp;") B ",
"(SELECT "&amp;VLOOKUP(B300,Instruções!$F$13:$J$17,4,0)&amp;" as "&amp;VLOOKUP(B300,Instruções!$F$13:$J$17,4,0)&amp;"_"&amp;$G$2&amp;", "&amp;VLOOKUP(B300,Instruções!$F$13:$J$17,5,0)&amp;" as "&amp;VLOOKUP(B300,Instruções!$F$13:$J$17,5,0)&amp;"_"&amp;$G$2&amp;","&amp;E300&amp;" as "&amp;G300&amp;" FROM "&amp;D300&amp;" WHERE "&amp;Instruções!$D$21&amp;") B ")</f>
        <v xml:space="preserve">(SELECT instrmnt_id as instrmnt_id_to_be, typ_instrmnt as typ_instrmnt_to_be FROM bu_loantape_work.lt002_instrument WHERE ref_date='2024-09-30' AND nome_perimetro='Individual Corporativo' AND segmento='ESTR' AND ambito='PM' AND entidade='00100' ) B </v>
      </c>
      <c r="J300" s="17" t="str">
        <f>IF(VLOOKUP(B300,Instruções!$F$13:$J$17,5,0)="",
"ON "&amp;VLOOKUP(B300,Instruções!$F$13:$J$17,4,0)&amp;"_"&amp;$F$2&amp;" = "&amp;VLOOKUP(B300,Instruções!$F$13:$J$17,4,0)&amp;"_"&amp;$G$2&amp;" ",
"ON "&amp;VLOOKUP(B300,Instruções!$F$13:$J$17,4,0)&amp;"_"&amp;$F$2&amp;" = "&amp;VLOOKUP(B300,Instruções!$F$13:$J$17,4,0)&amp;"_"&amp;$G$2&amp;" AND "&amp;VLOOKUP(B300,Instruções!$F$13:$J$17,5,0)&amp;"_"&amp;$F$2&amp;" = "&amp;VLOOKUP(B300,Instruções!$F$13:$J$17,5,0)&amp;"_"&amp;$G$2&amp;" ")</f>
        <v xml:space="preserve">ON instrmnt_id_as_is = instrmnt_id_to_be </v>
      </c>
      <c r="K300" s="17" t="str">
        <f t="shared" si="33"/>
        <v xml:space="preserve">WHERE coalesce(cast(typ_instrmnt_as_is as string), '') &lt;&gt; coalesce(cast(typ_instrmnt_to_be as string), '') </v>
      </c>
      <c r="L300" s="17" t="str">
        <f t="shared" si="34"/>
        <v xml:space="preserve">SELECT count(*) AS NUM_REG_DIF FROM (SELECT instrmnt_id as instrmnt_id_as_is, typ_instrmnt as typ_instrmnt_as_is FROM cd_loan_tapes_bce.lt002_instrument WHERE ref_date='2024-09-30' AND nome_perimetro='Individual Corporativo' AND segmento='ESTR' AND ambito='PM' AND entidade='00100' ) A  Inner join (SELECT instrmnt_id as instrmnt_id_to_be, typ_instrmnt as typ_instrmnt_to_be FROM bu_loantape_work.lt002_instrument WHERE ref_date='2024-09-30' AND nome_perimetro='Individual Corporativo' AND segmento='ESTR' AND ambito='PM' AND entidade='00100' ) B ON instrmnt_id_as_is = instrmnt_id_to_be WHERE coalesce(cast(typ_instrmnt_as_is as string), '') &lt;&gt; coalesce(cast(typ_instrmnt_to_be as string), '') </v>
      </c>
      <c r="M300" s="17" t="s">
        <v>55</v>
      </c>
      <c r="N300" s="17" t="str">
        <f>"SELECT 'Validação de campos' as tipologia_teste, '"&amp;VLOOKUP(B300,Instruções!$F$13:$J$17,3,0)&amp;"' AS TABELA, '"&amp;E300&amp;"' AS CAMPO, '"&amp;Instruções!$D$15&amp;"' as ref_date, coalesce(NUM_REG_DIF, 0) AS NUM_REG_DIF FROM ("&amp;L300&amp;") A "</f>
        <v xml:space="preserve">SELECT 'Validação de campos' as tipologia_teste, 'lt002_instrument' AS TABELA, 'typ_instrmnt' AS CAMPO, '2024-09-30' as ref_date, coalesce(NUM_REG_DIF, 0) AS NUM_REG_DIF FROM (SELECT count(*) AS NUM_REG_DIF FROM (SELECT instrmnt_id as instrmnt_id_as_is, typ_instrmnt as typ_instrmnt_as_is FROM cd_loan_tapes_bce.lt002_instrument WHERE ref_date='2024-09-30' AND nome_perimetro='Individual Corporativo' AND segmento='ESTR' AND ambito='PM' AND entidade='00100' ) A  Inner join (SELECT instrmnt_id as instrmnt_id_to_be, typ_instrmnt as typ_instrmnt_to_be FROM bu_loantape_work.lt002_instrument WHERE ref_date='2024-09-30' AND nome_perimetro='Individual Corporativo' AND segmento='ESTR' AND ambito='PM' AND entidade='00100' ) B ON instrmnt_id_as_is = instrmnt_id_to_be WHERE coalesce(cast(typ_instrmnt_as_is as string), '') &lt;&gt; coalesce(cast(typ_instrmnt_to_be as string), '') ) A </v>
      </c>
      <c r="O300" s="19" t="str">
        <f t="shared" si="36"/>
        <v>SELECT 'Validação de campos' as tipologia_teste, 'lt002_instrument' AS TABELA, 'typ_instrmnt' AS CAMPO, '2024-09-30' as ref_date, coalesce(NUM_REG_DIF, 0) AS NUM_REG_DIF FROM (SELECT count(*) AS NUM_REG_DIF FROM (SELECT instrmnt_id as instrmnt_id_as_is, typ_instrmnt as typ_instrmnt_as_is FROM cd_loan_tapes_bce.lt002_instrument WHERE ref_date='2024-09-30' AND nome_perimetro='Individual Corporativo' AND segmento='ESTR' AND ambito='PM' AND entidade='00100' ) A  Inner join (SELECT instrmnt_id as instrmnt_id_to_be, typ_instrmnt as typ_instrmnt_to_be FROM bu_loantape_work.lt002_instrument WHERE ref_date='2024-09-30' AND nome_perimetro='Individual Corporativo' AND segmento='ESTR' AND ambito='PM' AND entidade='00100' ) B ON instrmnt_id_as_is = instrmnt_id_to_be WHERE coalesce(cast(typ_instrmnt_as_is as string), '') &lt;&gt; coalesce(cast(typ_instrmnt_to_be as string), '') ) A UNION ALL</v>
      </c>
      <c r="P300" s="17">
        <f t="shared" si="37"/>
        <v>44</v>
      </c>
    </row>
    <row r="301" spans="2:16" s="15" customFormat="1" ht="11.45">
      <c r="B301" s="17" t="s">
        <v>26</v>
      </c>
      <c r="C301" s="17" t="str">
        <f>_xlfn.CONCAT(Instruções!$D$13,".",VLOOKUP(B301,Instruções!$F$12:$H$17,2,0))</f>
        <v>cd_loan_tapes_bce.lt002_instrument</v>
      </c>
      <c r="D301" s="17" t="str">
        <f>_xlfn.CONCAT(Instruções!$D$14,".",VLOOKUP(B301,Instruções!$F$12:$H$17,3,0))</f>
        <v>bu_loantape_work.lt002_instrument</v>
      </c>
      <c r="E301" s="17" t="s">
        <v>349</v>
      </c>
      <c r="F301" s="17" t="str">
        <f t="shared" si="31"/>
        <v>typ_intrst_rt_as_is</v>
      </c>
      <c r="G301" s="17" t="str">
        <f t="shared" si="32"/>
        <v>typ_intrst_rt_to_be</v>
      </c>
      <c r="H301" s="17" t="str">
        <f>IF(VLOOKUP(B301,Instruções!$F$13:$J$17,5,0)="",
"(SELECT "&amp;VLOOKUP(B301,Instruções!$F$13:$J$17,4,0)&amp;" as "&amp;VLOOKUP(B301,Instruções!$F$13:$J$17,4,0)&amp;"_"&amp;$F$2&amp;", "&amp;E301&amp;" as "&amp;F301&amp;" FROM "&amp;C301&amp;" WHERE "&amp;Instruções!$D$20&amp;") A ",
"(SELECT "&amp;VLOOKUP(B301,Instruções!$F$13:$J$17,4,0)&amp;" as "&amp;VLOOKUP(B301,Instruções!$F$13:$J$17,4,0)&amp;"_"&amp;$F$2&amp;", "&amp;VLOOKUP(B301,Instruções!$F$13:$J$17,5,0)&amp;" as "&amp;VLOOKUP(B301,Instruções!$F$13:$J$17,5,0)&amp;"_"&amp;$F$2&amp;","&amp;E301&amp;" as "&amp;F301&amp;" FROM "&amp;C301&amp;" WHERE "&amp;Instruções!$D$20&amp;") A ")</f>
        <v xml:space="preserve">(SELECT instrmnt_id as instrmnt_id_as_is, typ_intrst_rt as typ_intrst_rt_as_is FROM cd_loan_tapes_bce.lt002_instrument WHERE ref_date='2024-09-30' AND nome_perimetro='Individual Corporativo' AND segmento='ESTR' AND ambito='PM' AND entidade='00100' ) A </v>
      </c>
      <c r="I301" s="17" t="str">
        <f>IF(VLOOKUP(B301,Instruções!$F$13:$J$17,5,0)="",
"(SELECT "&amp;VLOOKUP(B301,Instruções!$F$13:$J$17,4,0)&amp;" as "&amp;VLOOKUP(B301,Instruções!$F$13:$J$17,4,0)&amp;"_"&amp;$G$2&amp;", "&amp;E301&amp;" as "&amp;G301&amp;" FROM "&amp;D301&amp;" WHERE "&amp;Instruções!$D$21&amp;") B ",
"(SELECT "&amp;VLOOKUP(B301,Instruções!$F$13:$J$17,4,0)&amp;" as "&amp;VLOOKUP(B301,Instruções!$F$13:$J$17,4,0)&amp;"_"&amp;$G$2&amp;", "&amp;VLOOKUP(B301,Instruções!$F$13:$J$17,5,0)&amp;" as "&amp;VLOOKUP(B301,Instruções!$F$13:$J$17,5,0)&amp;"_"&amp;$G$2&amp;","&amp;E301&amp;" as "&amp;G301&amp;" FROM "&amp;D301&amp;" WHERE "&amp;Instruções!$D$21&amp;") B ")</f>
        <v xml:space="preserve">(SELECT instrmnt_id as instrmnt_id_to_be, typ_intrst_rt as typ_intrst_rt_to_be FROM bu_loantape_work.lt002_instrument WHERE ref_date='2024-09-30' AND nome_perimetro='Individual Corporativo' AND segmento='ESTR' AND ambito='PM' AND entidade='00100' ) B </v>
      </c>
      <c r="J301" s="17" t="str">
        <f>IF(VLOOKUP(B301,Instruções!$F$13:$J$17,5,0)="",
"ON "&amp;VLOOKUP(B301,Instruções!$F$13:$J$17,4,0)&amp;"_"&amp;$F$2&amp;" = "&amp;VLOOKUP(B301,Instruções!$F$13:$J$17,4,0)&amp;"_"&amp;$G$2&amp;" ",
"ON "&amp;VLOOKUP(B301,Instruções!$F$13:$J$17,4,0)&amp;"_"&amp;$F$2&amp;" = "&amp;VLOOKUP(B301,Instruções!$F$13:$J$17,4,0)&amp;"_"&amp;$G$2&amp;" AND "&amp;VLOOKUP(B301,Instruções!$F$13:$J$17,5,0)&amp;"_"&amp;$F$2&amp;" = "&amp;VLOOKUP(B301,Instruções!$F$13:$J$17,5,0)&amp;"_"&amp;$G$2&amp;" ")</f>
        <v xml:space="preserve">ON instrmnt_id_as_is = instrmnt_id_to_be </v>
      </c>
      <c r="K301" s="17" t="str">
        <f t="shared" si="33"/>
        <v xml:space="preserve">WHERE coalesce(cast(typ_intrst_rt_as_is as string), '') &lt;&gt; coalesce(cast(typ_intrst_rt_to_be as string), '') </v>
      </c>
      <c r="L301" s="17" t="str">
        <f t="shared" si="34"/>
        <v xml:space="preserve">SELECT count(*) AS NUM_REG_DIF FROM (SELECT instrmnt_id as instrmnt_id_as_is, typ_intrst_rt as typ_intrst_rt_as_is FROM cd_loan_tapes_bce.lt002_instrument WHERE ref_date='2024-09-30' AND nome_perimetro='Individual Corporativo' AND segmento='ESTR' AND ambito='PM' AND entidade='00100' ) A  Inner join (SELECT instrmnt_id as instrmnt_id_to_be, typ_intrst_rt as typ_intrst_rt_to_be FROM bu_loantape_work.lt002_instrument WHERE ref_date='2024-09-30' AND nome_perimetro='Individual Corporativo' AND segmento='ESTR' AND ambito='PM' AND entidade='00100' ) B ON instrmnt_id_as_is = instrmnt_id_to_be WHERE coalesce(cast(typ_intrst_rt_as_is as string), '') &lt;&gt; coalesce(cast(typ_intrst_rt_to_be as string), '') </v>
      </c>
      <c r="M301" s="17" t="s">
        <v>55</v>
      </c>
      <c r="N301" s="17" t="str">
        <f>"SELECT 'Validação de campos' as tipologia_teste, '"&amp;VLOOKUP(B301,Instruções!$F$13:$J$17,3,0)&amp;"' AS TABELA, '"&amp;E301&amp;"' AS CAMPO, '"&amp;Instruções!$D$15&amp;"' as ref_date, coalesce(NUM_REG_DIF, 0) AS NUM_REG_DIF FROM ("&amp;L301&amp;") A "</f>
        <v xml:space="preserve">SELECT 'Validação de campos' as tipologia_teste, 'lt002_instrument' AS TABELA, 'typ_intrst_rt' AS CAMPO, '2024-09-30' as ref_date, coalesce(NUM_REG_DIF, 0) AS NUM_REG_DIF FROM (SELECT count(*) AS NUM_REG_DIF FROM (SELECT instrmnt_id as instrmnt_id_as_is, typ_intrst_rt as typ_intrst_rt_as_is FROM cd_loan_tapes_bce.lt002_instrument WHERE ref_date='2024-09-30' AND nome_perimetro='Individual Corporativo' AND segmento='ESTR' AND ambito='PM' AND entidade='00100' ) A  Inner join (SELECT instrmnt_id as instrmnt_id_to_be, typ_intrst_rt as typ_intrst_rt_to_be FROM bu_loantape_work.lt002_instrument WHERE ref_date='2024-09-30' AND nome_perimetro='Individual Corporativo' AND segmento='ESTR' AND ambito='PM' AND entidade='00100' ) B ON instrmnt_id_as_is = instrmnt_id_to_be WHERE coalesce(cast(typ_intrst_rt_as_is as string), '') &lt;&gt; coalesce(cast(typ_intrst_rt_to_be as string), '') ) A </v>
      </c>
      <c r="O301" s="19" t="str">
        <f t="shared" si="36"/>
        <v>SELECT 'Validação de campos' as tipologia_teste, 'lt002_instrument' AS TABELA, 'typ_intrst_rt' AS CAMPO, '2024-09-30' as ref_date, coalesce(NUM_REG_DIF, 0) AS NUM_REG_DIF FROM (SELECT count(*) AS NUM_REG_DIF FROM (SELECT instrmnt_id as instrmnt_id_as_is, typ_intrst_rt as typ_intrst_rt_as_is FROM cd_loan_tapes_bce.lt002_instrument WHERE ref_date='2024-09-30' AND nome_perimetro='Individual Corporativo' AND segmento='ESTR' AND ambito='PM' AND entidade='00100' ) A  Inner join (SELECT instrmnt_id as instrmnt_id_to_be, typ_intrst_rt as typ_intrst_rt_to_be FROM bu_loantape_work.lt002_instrument WHERE ref_date='2024-09-30' AND nome_perimetro='Individual Corporativo' AND segmento='ESTR' AND ambito='PM' AND entidade='00100' ) B ON instrmnt_id_as_is = instrmnt_id_to_be WHERE coalesce(cast(typ_intrst_rt_as_is as string), '') &lt;&gt; coalesce(cast(typ_intrst_rt_to_be as string), '') ) A UNION ALL</v>
      </c>
      <c r="P301" s="17">
        <f t="shared" si="37"/>
        <v>45</v>
      </c>
    </row>
    <row r="302" spans="2:16" s="15" customFormat="1" ht="11.45">
      <c r="B302" s="17" t="s">
        <v>26</v>
      </c>
      <c r="C302" s="17" t="str">
        <f>_xlfn.CONCAT(Instruções!$D$13,".",VLOOKUP(B302,Instruções!$F$12:$H$17,2,0))</f>
        <v>cd_loan_tapes_bce.lt002_instrument</v>
      </c>
      <c r="D302" s="17" t="str">
        <f>_xlfn.CONCAT(Instruções!$D$14,".",VLOOKUP(B302,Instruções!$F$12:$H$17,3,0))</f>
        <v>bu_loantape_work.lt002_instrument</v>
      </c>
      <c r="E302" s="17" t="s">
        <v>351</v>
      </c>
      <c r="F302" s="17" t="str">
        <f t="shared" si="31"/>
        <v>type_of_plcmnt_as_is</v>
      </c>
      <c r="G302" s="17" t="str">
        <f t="shared" si="32"/>
        <v>type_of_plcmnt_to_be</v>
      </c>
      <c r="H302" s="17" t="str">
        <f>IF(VLOOKUP(B302,Instruções!$F$13:$J$17,5,0)="",
"(SELECT "&amp;VLOOKUP(B302,Instruções!$F$13:$J$17,4,0)&amp;" as "&amp;VLOOKUP(B302,Instruções!$F$13:$J$17,4,0)&amp;"_"&amp;$F$2&amp;", "&amp;E302&amp;" as "&amp;F302&amp;" FROM "&amp;C302&amp;" WHERE "&amp;Instruções!$D$20&amp;") A ",
"(SELECT "&amp;VLOOKUP(B302,Instruções!$F$13:$J$17,4,0)&amp;" as "&amp;VLOOKUP(B302,Instruções!$F$13:$J$17,4,0)&amp;"_"&amp;$F$2&amp;", "&amp;VLOOKUP(B302,Instruções!$F$13:$J$17,5,0)&amp;" as "&amp;VLOOKUP(B302,Instruções!$F$13:$J$17,5,0)&amp;"_"&amp;$F$2&amp;","&amp;E302&amp;" as "&amp;F302&amp;" FROM "&amp;C302&amp;" WHERE "&amp;Instruções!$D$20&amp;") A ")</f>
        <v xml:space="preserve">(SELECT instrmnt_id as instrmnt_id_as_is, type_of_plcmnt as type_of_plcmnt_as_is FROM cd_loan_tapes_bce.lt002_instrument WHERE ref_date='2024-09-30' AND nome_perimetro='Individual Corporativo' AND segmento='ESTR' AND ambito='PM' AND entidade='00100' ) A </v>
      </c>
      <c r="I302" s="17" t="str">
        <f>IF(VLOOKUP(B302,Instruções!$F$13:$J$17,5,0)="",
"(SELECT "&amp;VLOOKUP(B302,Instruções!$F$13:$J$17,4,0)&amp;" as "&amp;VLOOKUP(B302,Instruções!$F$13:$J$17,4,0)&amp;"_"&amp;$G$2&amp;", "&amp;E302&amp;" as "&amp;G302&amp;" FROM "&amp;D302&amp;" WHERE "&amp;Instruções!$D$21&amp;") B ",
"(SELECT "&amp;VLOOKUP(B302,Instruções!$F$13:$J$17,4,0)&amp;" as "&amp;VLOOKUP(B302,Instruções!$F$13:$J$17,4,0)&amp;"_"&amp;$G$2&amp;", "&amp;VLOOKUP(B302,Instruções!$F$13:$J$17,5,0)&amp;" as "&amp;VLOOKUP(B302,Instruções!$F$13:$J$17,5,0)&amp;"_"&amp;$G$2&amp;","&amp;E302&amp;" as "&amp;G302&amp;" FROM "&amp;D302&amp;" WHERE "&amp;Instruções!$D$21&amp;") B ")</f>
        <v xml:space="preserve">(SELECT instrmnt_id as instrmnt_id_to_be, type_of_plcmnt as type_of_plcmnt_to_be FROM bu_loantape_work.lt002_instrument WHERE ref_date='2024-09-30' AND nome_perimetro='Individual Corporativo' AND segmento='ESTR' AND ambito='PM' AND entidade='00100' ) B </v>
      </c>
      <c r="J302" s="17" t="str">
        <f>IF(VLOOKUP(B302,Instruções!$F$13:$J$17,5,0)="",
"ON "&amp;VLOOKUP(B302,Instruções!$F$13:$J$17,4,0)&amp;"_"&amp;$F$2&amp;" = "&amp;VLOOKUP(B302,Instruções!$F$13:$J$17,4,0)&amp;"_"&amp;$G$2&amp;" ",
"ON "&amp;VLOOKUP(B302,Instruções!$F$13:$J$17,4,0)&amp;"_"&amp;$F$2&amp;" = "&amp;VLOOKUP(B302,Instruções!$F$13:$J$17,4,0)&amp;"_"&amp;$G$2&amp;" AND "&amp;VLOOKUP(B302,Instruções!$F$13:$J$17,5,0)&amp;"_"&amp;$F$2&amp;" = "&amp;VLOOKUP(B302,Instruções!$F$13:$J$17,5,0)&amp;"_"&amp;$G$2&amp;" ")</f>
        <v xml:space="preserve">ON instrmnt_id_as_is = instrmnt_id_to_be </v>
      </c>
      <c r="K302" s="17" t="str">
        <f t="shared" si="33"/>
        <v xml:space="preserve">WHERE coalesce(cast(type_of_plcmnt_as_is as string), '') &lt;&gt; coalesce(cast(type_of_plcmnt_to_be as string), '') </v>
      </c>
      <c r="L302" s="17" t="str">
        <f t="shared" si="34"/>
        <v xml:space="preserve">SELECT count(*) AS NUM_REG_DIF FROM (SELECT instrmnt_id as instrmnt_id_as_is, type_of_plcmnt as type_of_plcmnt_as_is FROM cd_loan_tapes_bce.lt002_instrument WHERE ref_date='2024-09-30' AND nome_perimetro='Individual Corporativo' AND segmento='ESTR' AND ambito='PM' AND entidade='00100' ) A  Inner join (SELECT instrmnt_id as instrmnt_id_to_be, type_of_plcmnt as type_of_plcmnt_to_be FROM bu_loantape_work.lt002_instrument WHERE ref_date='2024-09-30' AND nome_perimetro='Individual Corporativo' AND segmento='ESTR' AND ambito='PM' AND entidade='00100' ) B ON instrmnt_id_as_is = instrmnt_id_to_be WHERE coalesce(cast(type_of_plcmnt_as_is as string), '') &lt;&gt; coalesce(cast(type_of_plcmnt_to_be as string), '') </v>
      </c>
      <c r="M302" s="17" t="s">
        <v>55</v>
      </c>
      <c r="N302" s="17" t="str">
        <f>"SELECT 'Validação de campos' as tipologia_teste, '"&amp;VLOOKUP(B302,Instruções!$F$13:$J$17,3,0)&amp;"' AS TABELA, '"&amp;E302&amp;"' AS CAMPO, '"&amp;Instruções!$D$15&amp;"' as ref_date, coalesce(NUM_REG_DIF, 0) AS NUM_REG_DIF FROM ("&amp;L302&amp;") A "</f>
        <v xml:space="preserve">SELECT 'Validação de campos' as tipologia_teste, 'lt002_instrument' AS TABELA, 'type_of_plcmnt' AS CAMPO, '2024-09-30' as ref_date, coalesce(NUM_REG_DIF, 0) AS NUM_REG_DIF FROM (SELECT count(*) AS NUM_REG_DIF FROM (SELECT instrmnt_id as instrmnt_id_as_is, type_of_plcmnt as type_of_plcmnt_as_is FROM cd_loan_tapes_bce.lt002_instrument WHERE ref_date='2024-09-30' AND nome_perimetro='Individual Corporativo' AND segmento='ESTR' AND ambito='PM' AND entidade='00100' ) A  Inner join (SELECT instrmnt_id as instrmnt_id_to_be, type_of_plcmnt as type_of_plcmnt_to_be FROM bu_loantape_work.lt002_instrument WHERE ref_date='2024-09-30' AND nome_perimetro='Individual Corporativo' AND segmento='ESTR' AND ambito='PM' AND entidade='00100' ) B ON instrmnt_id_as_is = instrmnt_id_to_be WHERE coalesce(cast(type_of_plcmnt_as_is as string), '') &lt;&gt; coalesce(cast(type_of_plcmnt_to_be as string), '') ) A </v>
      </c>
      <c r="O302" s="19" t="str">
        <f t="shared" si="36"/>
        <v>SELECT 'Validação de campos' as tipologia_teste, 'lt002_instrument' AS TABELA, 'type_of_plcmnt' AS CAMPO, '2024-09-30' as ref_date, coalesce(NUM_REG_DIF, 0) AS NUM_REG_DIF FROM (SELECT count(*) AS NUM_REG_DIF FROM (SELECT instrmnt_id as instrmnt_id_as_is, type_of_plcmnt as type_of_plcmnt_as_is FROM cd_loan_tapes_bce.lt002_instrument WHERE ref_date='2024-09-30' AND nome_perimetro='Individual Corporativo' AND segmento='ESTR' AND ambito='PM' AND entidade='00100' ) A  Inner join (SELECT instrmnt_id as instrmnt_id_to_be, type_of_plcmnt as type_of_plcmnt_to_be FROM bu_loantape_work.lt002_instrument WHERE ref_date='2024-09-30' AND nome_perimetro='Individual Corporativo' AND segmento='ESTR' AND ambito='PM' AND entidade='00100' ) B ON instrmnt_id_as_is = instrmnt_id_to_be WHERE coalesce(cast(type_of_plcmnt_as_is as string), '') &lt;&gt; coalesce(cast(type_of_plcmnt_to_be as string), '') ) A UNION ALL</v>
      </c>
      <c r="P302" s="17">
        <f t="shared" si="37"/>
        <v>46</v>
      </c>
    </row>
    <row r="303" spans="2:16" s="15" customFormat="1" ht="11.45">
      <c r="B303" s="17" t="s">
        <v>26</v>
      </c>
      <c r="C303" s="17" t="str">
        <f>_xlfn.CONCAT(Instruções!$D$13,".",VLOOKUP(B303,Instruções!$F$12:$H$17,2,0))</f>
        <v>cd_loan_tapes_bce.lt002_instrument</v>
      </c>
      <c r="D303" s="17" t="str">
        <f>_xlfn.CONCAT(Instruções!$D$14,".",VLOOKUP(B303,Instruções!$F$12:$H$17,3,0))</f>
        <v>bu_loantape_work.lt002_instrument</v>
      </c>
      <c r="E303" s="17" t="s">
        <v>354</v>
      </c>
      <c r="F303" s="17" t="str">
        <f t="shared" si="31"/>
        <v>vltn_crrncy_as_is</v>
      </c>
      <c r="G303" s="17" t="str">
        <f t="shared" si="32"/>
        <v>vltn_crrncy_to_be</v>
      </c>
      <c r="H303" s="17" t="str">
        <f>IF(VLOOKUP(B303,Instruções!$F$13:$J$17,5,0)="",
"(SELECT "&amp;VLOOKUP(B303,Instruções!$F$13:$J$17,4,0)&amp;" as "&amp;VLOOKUP(B303,Instruções!$F$13:$J$17,4,0)&amp;"_"&amp;$F$2&amp;", "&amp;E303&amp;" as "&amp;F303&amp;" FROM "&amp;C303&amp;" WHERE "&amp;Instruções!$D$20&amp;") A ",
"(SELECT "&amp;VLOOKUP(B303,Instruções!$F$13:$J$17,4,0)&amp;" as "&amp;VLOOKUP(B303,Instruções!$F$13:$J$17,4,0)&amp;"_"&amp;$F$2&amp;", "&amp;VLOOKUP(B303,Instruções!$F$13:$J$17,5,0)&amp;" as "&amp;VLOOKUP(B303,Instruções!$F$13:$J$17,5,0)&amp;"_"&amp;$F$2&amp;","&amp;E303&amp;" as "&amp;F303&amp;" FROM "&amp;C303&amp;" WHERE "&amp;Instruções!$D$20&amp;") A ")</f>
        <v xml:space="preserve">(SELECT instrmnt_id as instrmnt_id_as_is, vltn_crrncy as vltn_crrncy_as_is FROM cd_loan_tapes_bce.lt002_instrument WHERE ref_date='2024-09-30' AND nome_perimetro='Individual Corporativo' AND segmento='ESTR' AND ambito='PM' AND entidade='00100' ) A </v>
      </c>
      <c r="I303" s="17" t="str">
        <f>IF(VLOOKUP(B303,Instruções!$F$13:$J$17,5,0)="",
"(SELECT "&amp;VLOOKUP(B303,Instruções!$F$13:$J$17,4,0)&amp;" as "&amp;VLOOKUP(B303,Instruções!$F$13:$J$17,4,0)&amp;"_"&amp;$G$2&amp;", "&amp;E303&amp;" as "&amp;G303&amp;" FROM "&amp;D303&amp;" WHERE "&amp;Instruções!$D$21&amp;") B ",
"(SELECT "&amp;VLOOKUP(B303,Instruções!$F$13:$J$17,4,0)&amp;" as "&amp;VLOOKUP(B303,Instruções!$F$13:$J$17,4,0)&amp;"_"&amp;$G$2&amp;", "&amp;VLOOKUP(B303,Instruções!$F$13:$J$17,5,0)&amp;" as "&amp;VLOOKUP(B303,Instruções!$F$13:$J$17,5,0)&amp;"_"&amp;$G$2&amp;","&amp;E303&amp;" as "&amp;G303&amp;" FROM "&amp;D303&amp;" WHERE "&amp;Instruções!$D$21&amp;") B ")</f>
        <v xml:space="preserve">(SELECT instrmnt_id as instrmnt_id_to_be, vltn_crrncy as vltn_crrncy_to_be FROM bu_loantape_work.lt002_instrument WHERE ref_date='2024-09-30' AND nome_perimetro='Individual Corporativo' AND segmento='ESTR' AND ambito='PM' AND entidade='00100' ) B </v>
      </c>
      <c r="J303" s="17" t="str">
        <f>IF(VLOOKUP(B303,Instruções!$F$13:$J$17,5,0)="",
"ON "&amp;VLOOKUP(B303,Instruções!$F$13:$J$17,4,0)&amp;"_"&amp;$F$2&amp;" = "&amp;VLOOKUP(B303,Instruções!$F$13:$J$17,4,0)&amp;"_"&amp;$G$2&amp;" ",
"ON "&amp;VLOOKUP(B303,Instruções!$F$13:$J$17,4,0)&amp;"_"&amp;$F$2&amp;" = "&amp;VLOOKUP(B303,Instruções!$F$13:$J$17,4,0)&amp;"_"&amp;$G$2&amp;" AND "&amp;VLOOKUP(B303,Instruções!$F$13:$J$17,5,0)&amp;"_"&amp;$F$2&amp;" = "&amp;VLOOKUP(B303,Instruções!$F$13:$J$17,5,0)&amp;"_"&amp;$G$2&amp;" ")</f>
        <v xml:space="preserve">ON instrmnt_id_as_is = instrmnt_id_to_be </v>
      </c>
      <c r="K303" s="17" t="str">
        <f t="shared" si="33"/>
        <v xml:space="preserve">WHERE coalesce(cast(vltn_crrncy_as_is as string), '') &lt;&gt; coalesce(cast(vltn_crrncy_to_be as string), '') </v>
      </c>
      <c r="L303" s="17" t="str">
        <f t="shared" si="34"/>
        <v xml:space="preserve">SELECT count(*) AS NUM_REG_DIF FROM (SELECT instrmnt_id as instrmnt_id_as_is, vltn_crrncy as vltn_crrncy_as_is FROM cd_loan_tapes_bce.lt002_instrument WHERE ref_date='2024-09-30' AND nome_perimetro='Individual Corporativo' AND segmento='ESTR' AND ambito='PM' AND entidade='00100' ) A  Inner join (SELECT instrmnt_id as instrmnt_id_to_be, vltn_crrncy as vltn_crrncy_to_be FROM bu_loantape_work.lt002_instrument WHERE ref_date='2024-09-30' AND nome_perimetro='Individual Corporativo' AND segmento='ESTR' AND ambito='PM' AND entidade='00100' ) B ON instrmnt_id_as_is = instrmnt_id_to_be WHERE coalesce(cast(vltn_crrncy_as_is as string), '') &lt;&gt; coalesce(cast(vltn_crrncy_to_be as string), '') </v>
      </c>
      <c r="M303" s="17" t="s">
        <v>55</v>
      </c>
      <c r="N303" s="17" t="str">
        <f>"SELECT 'Validação de campos' as tipologia_teste, '"&amp;VLOOKUP(B303,Instruções!$F$13:$J$17,3,0)&amp;"' AS TABELA, '"&amp;E303&amp;"' AS CAMPO, '"&amp;Instruções!$D$15&amp;"' as ref_date, coalesce(NUM_REG_DIF, 0) AS NUM_REG_DIF FROM ("&amp;L303&amp;") A "</f>
        <v xml:space="preserve">SELECT 'Validação de campos' as tipologia_teste, 'lt002_instrument' AS TABELA, 'vltn_crrncy' AS CAMPO, '2024-09-30' as ref_date, coalesce(NUM_REG_DIF, 0) AS NUM_REG_DIF FROM (SELECT count(*) AS NUM_REG_DIF FROM (SELECT instrmnt_id as instrmnt_id_as_is, vltn_crrncy as vltn_crrncy_as_is FROM cd_loan_tapes_bce.lt002_instrument WHERE ref_date='2024-09-30' AND nome_perimetro='Individual Corporativo' AND segmento='ESTR' AND ambito='PM' AND entidade='00100' ) A  Inner join (SELECT instrmnt_id as instrmnt_id_to_be, vltn_crrncy as vltn_crrncy_to_be FROM bu_loantape_work.lt002_instrument WHERE ref_date='2024-09-30' AND nome_perimetro='Individual Corporativo' AND segmento='ESTR' AND ambito='PM' AND entidade='00100' ) B ON instrmnt_id_as_is = instrmnt_id_to_be WHERE coalesce(cast(vltn_crrncy_as_is as string), '') &lt;&gt; coalesce(cast(vltn_crrncy_to_be as string), '') ) A </v>
      </c>
      <c r="O303" s="19" t="str">
        <f t="shared" si="36"/>
        <v>SELECT 'Validação de campos' as tipologia_teste, 'lt002_instrument' AS TABELA, 'vltn_crrncy' AS CAMPO, '2024-09-30' as ref_date, coalesce(NUM_REG_DIF, 0) AS NUM_REG_DIF FROM (SELECT count(*) AS NUM_REG_DIF FROM (SELECT instrmnt_id as instrmnt_id_as_is, vltn_crrncy as vltn_crrncy_as_is FROM cd_loan_tapes_bce.lt002_instrument WHERE ref_date='2024-09-30' AND nome_perimetro='Individual Corporativo' AND segmento='ESTR' AND ambito='PM' AND entidade='00100' ) A  Inner join (SELECT instrmnt_id as instrmnt_id_to_be, vltn_crrncy as vltn_crrncy_to_be FROM bu_loantape_work.lt002_instrument WHERE ref_date='2024-09-30' AND nome_perimetro='Individual Corporativo' AND segmento='ESTR' AND ambito='PM' AND entidade='00100' ) B ON instrmnt_id_as_is = instrmnt_id_to_be WHERE coalesce(cast(vltn_crrncy_as_is as string), '') &lt;&gt; coalesce(cast(vltn_crrncy_to_be as string), '') ) A UNION ALL</v>
      </c>
      <c r="P303" s="17">
        <f t="shared" si="37"/>
        <v>47</v>
      </c>
    </row>
    <row r="304" spans="2:16" s="15" customFormat="1" ht="11.45">
      <c r="B304" s="17" t="s">
        <v>26</v>
      </c>
      <c r="C304" s="17" t="str">
        <f>_xlfn.CONCAT(Instruções!$D$13,".",VLOOKUP(B304,Instruções!$F$12:$H$17,2,0))</f>
        <v>cd_loan_tapes_bce.lt002_instrument</v>
      </c>
      <c r="D304" s="17" t="str">
        <f>_xlfn.CONCAT(Instruções!$D$14,".",VLOOKUP(B304,Instruções!$F$12:$H$17,3,0))</f>
        <v>bu_loantape_work.lt002_instrument</v>
      </c>
      <c r="E304" s="17" t="s">
        <v>355</v>
      </c>
      <c r="F304" s="17" t="str">
        <f t="shared" si="31"/>
        <v>vltn_typ_as_is</v>
      </c>
      <c r="G304" s="17" t="str">
        <f t="shared" si="32"/>
        <v>vltn_typ_to_be</v>
      </c>
      <c r="H304" s="17" t="str">
        <f>IF(VLOOKUP(B304,Instruções!$F$13:$J$17,5,0)="",
"(SELECT "&amp;VLOOKUP(B304,Instruções!$F$13:$J$17,4,0)&amp;" as "&amp;VLOOKUP(B304,Instruções!$F$13:$J$17,4,0)&amp;"_"&amp;$F$2&amp;", "&amp;E304&amp;" as "&amp;F304&amp;" FROM "&amp;C304&amp;" WHERE "&amp;Instruções!$D$20&amp;") A ",
"(SELECT "&amp;VLOOKUP(B304,Instruções!$F$13:$J$17,4,0)&amp;" as "&amp;VLOOKUP(B304,Instruções!$F$13:$J$17,4,0)&amp;"_"&amp;$F$2&amp;", "&amp;VLOOKUP(B304,Instruções!$F$13:$J$17,5,0)&amp;" as "&amp;VLOOKUP(B304,Instruções!$F$13:$J$17,5,0)&amp;"_"&amp;$F$2&amp;","&amp;E304&amp;" as "&amp;F304&amp;" FROM "&amp;C304&amp;" WHERE "&amp;Instruções!$D$20&amp;") A ")</f>
        <v xml:space="preserve">(SELECT instrmnt_id as instrmnt_id_as_is, vltn_typ as vltn_typ_as_is FROM cd_loan_tapes_bce.lt002_instrument WHERE ref_date='2024-09-30' AND nome_perimetro='Individual Corporativo' AND segmento='ESTR' AND ambito='PM' AND entidade='00100' ) A </v>
      </c>
      <c r="I304" s="17" t="str">
        <f>IF(VLOOKUP(B304,Instruções!$F$13:$J$17,5,0)="",
"(SELECT "&amp;VLOOKUP(B304,Instruções!$F$13:$J$17,4,0)&amp;" as "&amp;VLOOKUP(B304,Instruções!$F$13:$J$17,4,0)&amp;"_"&amp;$G$2&amp;", "&amp;E304&amp;" as "&amp;G304&amp;" FROM "&amp;D304&amp;" WHERE "&amp;Instruções!$D$21&amp;") B ",
"(SELECT "&amp;VLOOKUP(B304,Instruções!$F$13:$J$17,4,0)&amp;" as "&amp;VLOOKUP(B304,Instruções!$F$13:$J$17,4,0)&amp;"_"&amp;$G$2&amp;", "&amp;VLOOKUP(B304,Instruções!$F$13:$J$17,5,0)&amp;" as "&amp;VLOOKUP(B304,Instruções!$F$13:$J$17,5,0)&amp;"_"&amp;$G$2&amp;","&amp;E304&amp;" as "&amp;G304&amp;" FROM "&amp;D304&amp;" WHERE "&amp;Instruções!$D$21&amp;") B ")</f>
        <v xml:space="preserve">(SELECT instrmnt_id as instrmnt_id_to_be, vltn_typ as vltn_typ_to_be FROM bu_loantape_work.lt002_instrument WHERE ref_date='2024-09-30' AND nome_perimetro='Individual Corporativo' AND segmento='ESTR' AND ambito='PM' AND entidade='00100' ) B </v>
      </c>
      <c r="J304" s="17" t="str">
        <f>IF(VLOOKUP(B304,Instruções!$F$13:$J$17,5,0)="",
"ON "&amp;VLOOKUP(B304,Instruções!$F$13:$J$17,4,0)&amp;"_"&amp;$F$2&amp;" = "&amp;VLOOKUP(B304,Instruções!$F$13:$J$17,4,0)&amp;"_"&amp;$G$2&amp;" ",
"ON "&amp;VLOOKUP(B304,Instruções!$F$13:$J$17,4,0)&amp;"_"&amp;$F$2&amp;" = "&amp;VLOOKUP(B304,Instruções!$F$13:$J$17,4,0)&amp;"_"&amp;$G$2&amp;" AND "&amp;VLOOKUP(B304,Instruções!$F$13:$J$17,5,0)&amp;"_"&amp;$F$2&amp;" = "&amp;VLOOKUP(B304,Instruções!$F$13:$J$17,5,0)&amp;"_"&amp;$G$2&amp;" ")</f>
        <v xml:space="preserve">ON instrmnt_id_as_is = instrmnt_id_to_be </v>
      </c>
      <c r="K304" s="17" t="str">
        <f t="shared" si="33"/>
        <v xml:space="preserve">WHERE coalesce(cast(vltn_typ_as_is as string), '') &lt;&gt; coalesce(cast(vltn_typ_to_be as string), '') </v>
      </c>
      <c r="L304" s="17" t="str">
        <f t="shared" si="34"/>
        <v xml:space="preserve">SELECT count(*) AS NUM_REG_DIF FROM (SELECT instrmnt_id as instrmnt_id_as_is, vltn_typ as vltn_typ_as_is FROM cd_loan_tapes_bce.lt002_instrument WHERE ref_date='2024-09-30' AND nome_perimetro='Individual Corporativo' AND segmento='ESTR' AND ambito='PM' AND entidade='00100' ) A  Inner join (SELECT instrmnt_id as instrmnt_id_to_be, vltn_typ as vltn_typ_to_be FROM bu_loantape_work.lt002_instrument WHERE ref_date='2024-09-30' AND nome_perimetro='Individual Corporativo' AND segmento='ESTR' AND ambito='PM' AND entidade='00100' ) B ON instrmnt_id_as_is = instrmnt_id_to_be WHERE coalesce(cast(vltn_typ_as_is as string), '') &lt;&gt; coalesce(cast(vltn_typ_to_be as string), '') </v>
      </c>
      <c r="M304" s="17" t="s">
        <v>55</v>
      </c>
      <c r="N304" s="17" t="str">
        <f>"SELECT 'Validação de campos' as tipologia_teste, '"&amp;VLOOKUP(B304,Instruções!$F$13:$J$17,3,0)&amp;"' AS TABELA, '"&amp;E304&amp;"' AS CAMPO, '"&amp;Instruções!$D$15&amp;"' as ref_date, coalesce(NUM_REG_DIF, 0) AS NUM_REG_DIF FROM ("&amp;L304&amp;") A "</f>
        <v xml:space="preserve">SELECT 'Validação de campos' as tipologia_teste, 'lt002_instrument' AS TABELA, 'vltn_typ' AS CAMPO, '2024-09-30' as ref_date, coalesce(NUM_REG_DIF, 0) AS NUM_REG_DIF FROM (SELECT count(*) AS NUM_REG_DIF FROM (SELECT instrmnt_id as instrmnt_id_as_is, vltn_typ as vltn_typ_as_is FROM cd_loan_tapes_bce.lt002_instrument WHERE ref_date='2024-09-30' AND nome_perimetro='Individual Corporativo' AND segmento='ESTR' AND ambito='PM' AND entidade='00100' ) A  Inner join (SELECT instrmnt_id as instrmnt_id_to_be, vltn_typ as vltn_typ_to_be FROM bu_loantape_work.lt002_instrument WHERE ref_date='2024-09-30' AND nome_perimetro='Individual Corporativo' AND segmento='ESTR' AND ambito='PM' AND entidade='00100' ) B ON instrmnt_id_as_is = instrmnt_id_to_be WHERE coalesce(cast(vltn_typ_as_is as string), '') &lt;&gt; coalesce(cast(vltn_typ_to_be as string), '') ) A </v>
      </c>
      <c r="O304" s="19" t="str">
        <f>IF(O305="",N304,N304&amp;$O$3)</f>
        <v>SELECT 'Validação de campos' as tipologia_teste, 'lt002_instrument' AS TABELA, 'vltn_typ' AS CAMPO, '2024-09-30' as ref_date, coalesce(NUM_REG_DIF, 0) AS NUM_REG_DIF FROM (SELECT count(*) AS NUM_REG_DIF FROM (SELECT instrmnt_id as instrmnt_id_as_is, vltn_typ as vltn_typ_as_is FROM cd_loan_tapes_bce.lt002_instrument WHERE ref_date='2024-09-30' AND nome_perimetro='Individual Corporativo' AND segmento='ESTR' AND ambito='PM' AND entidade='00100' ) A  Inner join (SELECT instrmnt_id as instrmnt_id_to_be, vltn_typ as vltn_typ_to_be FROM bu_loantape_work.lt002_instrument WHERE ref_date='2024-09-30' AND nome_perimetro='Individual Corporativo' AND segmento='ESTR' AND ambito='PM' AND entidade='00100' ) B ON instrmnt_id_as_is = instrmnt_id_to_be WHERE coalesce(cast(vltn_typ_as_is as string), '') &lt;&gt; coalesce(cast(vltn_typ_to_be as string), '') ) A UNION ALL</v>
      </c>
      <c r="P304" s="17">
        <f t="shared" si="37"/>
        <v>48</v>
      </c>
    </row>
    <row r="305" spans="2:16" s="15" customFormat="1" ht="11.45">
      <c r="B305" s="17" t="s">
        <v>30</v>
      </c>
      <c r="C305" s="17" t="str">
        <f>_xlfn.CONCAT(Instruções!$D$13,".",VLOOKUP(B305,Instruções!$F$12:$H$17,2,0))</f>
        <v>cd_loan_tapes_bce.lt004_protection</v>
      </c>
      <c r="D305" s="17" t="str">
        <f>_xlfn.CONCAT(Instruções!$D$14,".",VLOOKUP(B305,Instruções!$F$12:$H$17,3,0))</f>
        <v>bu_loantape_work.lt004_protection</v>
      </c>
      <c r="E305" s="17" t="s">
        <v>356</v>
      </c>
      <c r="F305" s="17" t="str">
        <f t="shared" si="31"/>
        <v>apprsl_crrncy_as_is</v>
      </c>
      <c r="G305" s="17" t="str">
        <f t="shared" si="32"/>
        <v>apprsl_crrncy_to_be</v>
      </c>
      <c r="H305" s="17" t="str">
        <f>IF(VLOOKUP(B305,Instruções!$F$13:$J$17,5,0)="",
"(SELECT "&amp;VLOOKUP(B305,Instruções!$F$13:$J$17,4,0)&amp;" as "&amp;VLOOKUP(B305,Instruções!$F$13:$J$17,4,0)&amp;"_"&amp;$F$2&amp;", "&amp;E305&amp;" as "&amp;F305&amp;" FROM "&amp;C305&amp;" WHERE "&amp;Instruções!$D$20&amp;") A ",
"(SELECT "&amp;VLOOKUP(B305,Instruções!$F$13:$J$17,4,0)&amp;" as "&amp;VLOOKUP(B305,Instruções!$F$13:$J$17,4,0)&amp;"_"&amp;$F$2&amp;", "&amp;VLOOKUP(B305,Instruções!$F$13:$J$17,5,0)&amp;" as "&amp;VLOOKUP(B305,Instruções!$F$13:$J$17,5,0)&amp;"_"&amp;$F$2&amp;","&amp;E305&amp;" as "&amp;F305&amp;" FROM "&amp;C305&amp;" WHERE "&amp;Instruções!$D$20&amp;") A ")</f>
        <v xml:space="preserve">(SELECT prtctn_id as prtctn_id_as_is, apprsl_crrncy as apprsl_crrncy_as_is FROM cd_loan_tapes_bce.lt004_protection WHERE ref_date='2024-09-30' AND nome_perimetro='Individual Corporativo' AND segmento='ESTR' AND ambito='PM' AND entidade='00100' ) A </v>
      </c>
      <c r="I305" s="17" t="str">
        <f>IF(VLOOKUP(B305,Instruções!$F$13:$J$17,5,0)="",
"(SELECT "&amp;VLOOKUP(B305,Instruções!$F$13:$J$17,4,0)&amp;" as "&amp;VLOOKUP(B305,Instruções!$F$13:$J$17,4,0)&amp;"_"&amp;$G$2&amp;", "&amp;E305&amp;" as "&amp;G305&amp;" FROM "&amp;D305&amp;" WHERE "&amp;Instruções!$D$21&amp;") B ",
"(SELECT "&amp;VLOOKUP(B305,Instruções!$F$13:$J$17,4,0)&amp;" as "&amp;VLOOKUP(B305,Instruções!$F$13:$J$17,4,0)&amp;"_"&amp;$G$2&amp;", "&amp;VLOOKUP(B305,Instruções!$F$13:$J$17,5,0)&amp;" as "&amp;VLOOKUP(B305,Instruções!$F$13:$J$17,5,0)&amp;"_"&amp;$G$2&amp;","&amp;E305&amp;" as "&amp;G305&amp;" FROM "&amp;D305&amp;" WHERE "&amp;Instruções!$D$21&amp;") B ")</f>
        <v xml:space="preserve">(SELECT prtctn_id as prtctn_id_to_be, apprsl_crrncy as apprsl_crrncy_to_be FROM bu_loantape_work.lt004_protection WHERE ref_date='2024-09-30' AND nome_perimetro='Individual Corporativo' AND segmento='ESTR' AND ambito='PM' AND entidade='00100' ) B </v>
      </c>
      <c r="J305" s="17" t="str">
        <f>IF(VLOOKUP(B305,Instruções!$F$13:$J$17,5,0)="",
"ON "&amp;VLOOKUP(B305,Instruções!$F$13:$J$17,4,0)&amp;"_"&amp;$F$2&amp;" = "&amp;VLOOKUP(B305,Instruções!$F$13:$J$17,4,0)&amp;"_"&amp;$G$2&amp;" ",
"ON "&amp;VLOOKUP(B305,Instruções!$F$13:$J$17,4,0)&amp;"_"&amp;$F$2&amp;" = "&amp;VLOOKUP(B305,Instruções!$F$13:$J$17,4,0)&amp;"_"&amp;$G$2&amp;" AND "&amp;VLOOKUP(B305,Instruções!$F$13:$J$17,5,0)&amp;"_"&amp;$F$2&amp;" = "&amp;VLOOKUP(B305,Instruções!$F$13:$J$17,5,0)&amp;"_"&amp;$G$2&amp;" ")</f>
        <v xml:space="preserve">ON prtctn_id_as_is = prtctn_id_to_be </v>
      </c>
      <c r="K305" s="17" t="str">
        <f t="shared" si="33"/>
        <v xml:space="preserve">WHERE coalesce(cast(apprsl_crrncy_as_is as string), '') &lt;&gt; coalesce(cast(apprsl_crrncy_to_be as string), '') </v>
      </c>
      <c r="L305" s="17" t="str">
        <f t="shared" si="34"/>
        <v xml:space="preserve">SELECT count(*) AS NUM_REG_DIF FROM (SELECT prtctn_id as prtctn_id_as_is, apprsl_crrncy as apprsl_crrncy_as_is FROM cd_loan_tapes_bce.lt004_protection WHERE ref_date='2024-09-30' AND nome_perimetro='Individual Corporativo' AND segmento='ESTR' AND ambito='PM' AND entidade='00100' ) A  Inner join (SELECT prtctn_id as prtctn_id_to_be, apprsl_crrncy as apprsl_crrncy_to_be FROM bu_loantape_work.lt004_protection WHERE ref_date='2024-09-30' AND nome_perimetro='Individual Corporativo' AND segmento='ESTR' AND ambito='PM' AND entidade='00100' ) B ON prtctn_id_as_is = prtctn_id_to_be WHERE coalesce(cast(apprsl_crrncy_as_is as string), '') &lt;&gt; coalesce(cast(apprsl_crrncy_to_be as string), '') </v>
      </c>
      <c r="M305" s="17" t="s">
        <v>55</v>
      </c>
      <c r="N305" s="17" t="str">
        <f>"SELECT 'Validação de campos' as tipologia_teste, '"&amp;VLOOKUP(B305,Instruções!$F$13:$J$17,3,0)&amp;"' AS TABELA, '"&amp;E305&amp;"' AS CAMPO, '"&amp;Instruções!$D$15&amp;"' as ref_date, coalesce(NUM_REG_DIF, 0) AS NUM_REG_DIF FROM ("&amp;L305&amp;") A "</f>
        <v xml:space="preserve">SELECT 'Validação de campos' as tipologia_teste, 'lt004_protection' AS TABELA, 'apprsl_crrncy' AS CAMPO, '2024-09-30' as ref_date, coalesce(NUM_REG_DIF, 0) AS NUM_REG_DIF FROM (SELECT count(*) AS NUM_REG_DIF FROM (SELECT prtctn_id as prtctn_id_as_is, apprsl_crrncy as apprsl_crrncy_as_is FROM cd_loan_tapes_bce.lt004_protection WHERE ref_date='2024-09-30' AND nome_perimetro='Individual Corporativo' AND segmento='ESTR' AND ambito='PM' AND entidade='00100' ) A  Inner join (SELECT prtctn_id as prtctn_id_to_be, apprsl_crrncy as apprsl_crrncy_to_be FROM bu_loantape_work.lt004_protection WHERE ref_date='2024-09-30' AND nome_perimetro='Individual Corporativo' AND segmento='ESTR' AND ambito='PM' AND entidade='00100' ) B ON prtctn_id_as_is = prtctn_id_to_be WHERE coalesce(cast(apprsl_crrncy_as_is as string), '') &lt;&gt; coalesce(cast(apprsl_crrncy_to_be as string), '') ) A </v>
      </c>
      <c r="O305" s="19" t="str">
        <f t="shared" si="36"/>
        <v>SELECT 'Validação de campos' as tipologia_teste, 'lt004_protection' AS TABELA, 'apprsl_crrncy' AS CAMPO, '2024-09-30' as ref_date, coalesce(NUM_REG_DIF, 0) AS NUM_REG_DIF FROM (SELECT count(*) AS NUM_REG_DIF FROM (SELECT prtctn_id as prtctn_id_as_is, apprsl_crrncy as apprsl_crrncy_as_is FROM cd_loan_tapes_bce.lt004_protection WHERE ref_date='2024-09-30' AND nome_perimetro='Individual Corporativo' AND segmento='ESTR' AND ambito='PM' AND entidade='00100' ) A  Inner join (SELECT prtctn_id as prtctn_id_to_be, apprsl_crrncy as apprsl_crrncy_to_be FROM bu_loantape_work.lt004_protection WHERE ref_date='2024-09-30' AND nome_perimetro='Individual Corporativo' AND segmento='ESTR' AND ambito='PM' AND entidade='00100' ) B ON prtctn_id_as_is = prtctn_id_to_be WHERE coalesce(cast(apprsl_crrncy_as_is as string), '') &lt;&gt; coalesce(cast(apprsl_crrncy_to_be as string), '') ) A UNION ALL</v>
      </c>
      <c r="P305" s="17">
        <f t="shared" si="37"/>
        <v>49</v>
      </c>
    </row>
    <row r="306" spans="2:16" s="15" customFormat="1" ht="11.45">
      <c r="B306" s="17" t="s">
        <v>30</v>
      </c>
      <c r="C306" s="17" t="str">
        <f>_xlfn.CONCAT(Instruções!$D$13,".",VLOOKUP(B306,Instruções!$F$12:$H$17,2,0))</f>
        <v>cd_loan_tapes_bce.lt004_protection</v>
      </c>
      <c r="D306" s="17" t="str">
        <f>_xlfn.CONCAT(Instruções!$D$14,".",VLOOKUP(B306,Instruções!$F$12:$H$17,3,0))</f>
        <v>bu_loantape_work.lt004_protection</v>
      </c>
      <c r="E306" s="17" t="s">
        <v>357</v>
      </c>
      <c r="F306" s="17" t="str">
        <f t="shared" si="31"/>
        <v>apprsr_as_is</v>
      </c>
      <c r="G306" s="17" t="str">
        <f t="shared" si="32"/>
        <v>apprsr_to_be</v>
      </c>
      <c r="H306" s="17" t="str">
        <f>IF(VLOOKUP(B306,Instruções!$F$13:$J$17,5,0)="",
"(SELECT "&amp;VLOOKUP(B306,Instruções!$F$13:$J$17,4,0)&amp;" as "&amp;VLOOKUP(B306,Instruções!$F$13:$J$17,4,0)&amp;"_"&amp;$F$2&amp;", "&amp;E306&amp;" as "&amp;F306&amp;" FROM "&amp;C306&amp;" WHERE "&amp;Instruções!$D$20&amp;") A ",
"(SELECT "&amp;VLOOKUP(B306,Instruções!$F$13:$J$17,4,0)&amp;" as "&amp;VLOOKUP(B306,Instruções!$F$13:$J$17,4,0)&amp;"_"&amp;$F$2&amp;", "&amp;VLOOKUP(B306,Instruções!$F$13:$J$17,5,0)&amp;" as "&amp;VLOOKUP(B306,Instruções!$F$13:$J$17,5,0)&amp;"_"&amp;$F$2&amp;","&amp;E306&amp;" as "&amp;F306&amp;" FROM "&amp;C306&amp;" WHERE "&amp;Instruções!$D$20&amp;") A ")</f>
        <v xml:space="preserve">(SELECT prtctn_id as prtctn_id_as_is, apprsr as apprsr_as_is FROM cd_loan_tapes_bce.lt004_protection WHERE ref_date='2024-09-30' AND nome_perimetro='Individual Corporativo' AND segmento='ESTR' AND ambito='PM' AND entidade='00100' ) A </v>
      </c>
      <c r="I306" s="17" t="str">
        <f>IF(VLOOKUP(B306,Instruções!$F$13:$J$17,5,0)="",
"(SELECT "&amp;VLOOKUP(B306,Instruções!$F$13:$J$17,4,0)&amp;" as "&amp;VLOOKUP(B306,Instruções!$F$13:$J$17,4,0)&amp;"_"&amp;$G$2&amp;", "&amp;E306&amp;" as "&amp;G306&amp;" FROM "&amp;D306&amp;" WHERE "&amp;Instruções!$D$21&amp;") B ",
"(SELECT "&amp;VLOOKUP(B306,Instruções!$F$13:$J$17,4,0)&amp;" as "&amp;VLOOKUP(B306,Instruções!$F$13:$J$17,4,0)&amp;"_"&amp;$G$2&amp;", "&amp;VLOOKUP(B306,Instruções!$F$13:$J$17,5,0)&amp;" as "&amp;VLOOKUP(B306,Instruções!$F$13:$J$17,5,0)&amp;"_"&amp;$G$2&amp;","&amp;E306&amp;" as "&amp;G306&amp;" FROM "&amp;D306&amp;" WHERE "&amp;Instruções!$D$21&amp;") B ")</f>
        <v xml:space="preserve">(SELECT prtctn_id as prtctn_id_to_be, apprsr as apprsr_to_be FROM bu_loantape_work.lt004_protection WHERE ref_date='2024-09-30' AND nome_perimetro='Individual Corporativo' AND segmento='ESTR' AND ambito='PM' AND entidade='00100' ) B </v>
      </c>
      <c r="J306" s="17" t="str">
        <f>IF(VLOOKUP(B306,Instruções!$F$13:$J$17,5,0)="",
"ON "&amp;VLOOKUP(B306,Instruções!$F$13:$J$17,4,0)&amp;"_"&amp;$F$2&amp;" = "&amp;VLOOKUP(B306,Instruções!$F$13:$J$17,4,0)&amp;"_"&amp;$G$2&amp;" ",
"ON "&amp;VLOOKUP(B306,Instruções!$F$13:$J$17,4,0)&amp;"_"&amp;$F$2&amp;" = "&amp;VLOOKUP(B306,Instruções!$F$13:$J$17,4,0)&amp;"_"&amp;$G$2&amp;" AND "&amp;VLOOKUP(B306,Instruções!$F$13:$J$17,5,0)&amp;"_"&amp;$F$2&amp;" = "&amp;VLOOKUP(B306,Instruções!$F$13:$J$17,5,0)&amp;"_"&amp;$G$2&amp;" ")</f>
        <v xml:space="preserve">ON prtctn_id_as_is = prtctn_id_to_be </v>
      </c>
      <c r="K306" s="17" t="str">
        <f t="shared" si="33"/>
        <v xml:space="preserve">WHERE coalesce(cast(apprsr_as_is as string), '') &lt;&gt; coalesce(cast(apprsr_to_be as string), '') </v>
      </c>
      <c r="L306" s="17" t="str">
        <f t="shared" si="34"/>
        <v xml:space="preserve">SELECT count(*) AS NUM_REG_DIF FROM (SELECT prtctn_id as prtctn_id_as_is, apprsr as apprsr_as_is FROM cd_loan_tapes_bce.lt004_protection WHERE ref_date='2024-09-30' AND nome_perimetro='Individual Corporativo' AND segmento='ESTR' AND ambito='PM' AND entidade='00100' ) A  Inner join (SELECT prtctn_id as prtctn_id_to_be, apprsr as apprsr_to_be FROM bu_loantape_work.lt004_protection WHERE ref_date='2024-09-30' AND nome_perimetro='Individual Corporativo' AND segmento='ESTR' AND ambito='PM' AND entidade='00100' ) B ON prtctn_id_as_is = prtctn_id_to_be WHERE coalesce(cast(apprsr_as_is as string), '') &lt;&gt; coalesce(cast(apprsr_to_be as string), '') </v>
      </c>
      <c r="M306" s="17" t="s">
        <v>55</v>
      </c>
      <c r="N306" s="17" t="str">
        <f>"SELECT 'Validação de campos' as tipologia_teste, '"&amp;VLOOKUP(B306,Instruções!$F$13:$J$17,3,0)&amp;"' AS TABELA, '"&amp;E306&amp;"' AS CAMPO, '"&amp;Instruções!$D$15&amp;"' as ref_date, coalesce(NUM_REG_DIF, 0) AS NUM_REG_DIF FROM ("&amp;L306&amp;") A "</f>
        <v xml:space="preserve">SELECT 'Validação de campos' as tipologia_teste, 'lt004_protection' AS TABELA, 'apprsr' AS CAMPO, '2024-09-30' as ref_date, coalesce(NUM_REG_DIF, 0) AS NUM_REG_DIF FROM (SELECT count(*) AS NUM_REG_DIF FROM (SELECT prtctn_id as prtctn_id_as_is, apprsr as apprsr_as_is FROM cd_loan_tapes_bce.lt004_protection WHERE ref_date='2024-09-30' AND nome_perimetro='Individual Corporativo' AND segmento='ESTR' AND ambito='PM' AND entidade='00100' ) A  Inner join (SELECT prtctn_id as prtctn_id_to_be, apprsr as apprsr_to_be FROM bu_loantape_work.lt004_protection WHERE ref_date='2024-09-30' AND nome_perimetro='Individual Corporativo' AND segmento='ESTR' AND ambito='PM' AND entidade='00100' ) B ON prtctn_id_as_is = prtctn_id_to_be WHERE coalesce(cast(apprsr_as_is as string), '') &lt;&gt; coalesce(cast(apprsr_to_be as string), '') ) A </v>
      </c>
      <c r="O306" s="19" t="str">
        <f>IF(O309="",N306,N306&amp;$O$3)</f>
        <v>SELECT 'Validação de campos' as tipologia_teste, 'lt004_protection' AS TABELA, 'apprsr' AS CAMPO, '2024-09-30' as ref_date, coalesce(NUM_REG_DIF, 0) AS NUM_REG_DIF FROM (SELECT count(*) AS NUM_REG_DIF FROM (SELECT prtctn_id as prtctn_id_as_is, apprsr as apprsr_as_is FROM cd_loan_tapes_bce.lt004_protection WHERE ref_date='2024-09-30' AND nome_perimetro='Individual Corporativo' AND segmento='ESTR' AND ambito='PM' AND entidade='00100' ) A  Inner join (SELECT prtctn_id as prtctn_id_to_be, apprsr as apprsr_to_be FROM bu_loantape_work.lt004_protection WHERE ref_date='2024-09-30' AND nome_perimetro='Individual Corporativo' AND segmento='ESTR' AND ambito='PM' AND entidade='00100' ) B ON prtctn_id_as_is = prtctn_id_to_be WHERE coalesce(cast(apprsr_as_is as string), '') &lt;&gt; coalesce(cast(apprsr_to_be as string), '') ) A UNION ALL</v>
      </c>
      <c r="P306" s="17">
        <f t="shared" si="37"/>
        <v>50</v>
      </c>
    </row>
    <row r="307" spans="2:16" s="15" customFormat="1" ht="11.45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9"/>
      <c r="P307" s="18"/>
    </row>
    <row r="308" spans="2:16" s="15" customFormat="1" ht="11.45">
      <c r="B308" s="17" t="s">
        <v>30</v>
      </c>
      <c r="C308" s="17" t="str">
        <f>_xlfn.CONCAT(Instruções!$D$13,".",VLOOKUP(B308,Instruções!$F$12:$H$17,2,0))</f>
        <v>cd_loan_tapes_bce.lt004_protection</v>
      </c>
      <c r="D308" s="17" t="str">
        <f>_xlfn.CONCAT(Instruções!$D$14,".",VLOOKUP(B308,Instruções!$F$12:$H$17,3,0))</f>
        <v>bu_loantape_work.lt004_protection</v>
      </c>
      <c r="E308" s="17" t="s">
        <v>358</v>
      </c>
      <c r="F308" s="17" t="str">
        <f t="shared" ref="F308:F343" si="38">E308&amp;"_"&amp;$F$2</f>
        <v>cnstrctn_stts_as_is</v>
      </c>
      <c r="G308" s="17" t="str">
        <f t="shared" ref="G308:G343" si="39">E308&amp;"_"&amp;$G$2</f>
        <v>cnstrctn_stts_to_be</v>
      </c>
      <c r="H308" s="17" t="str">
        <f>IF(VLOOKUP(B308,Instruções!$F$13:$J$17,5,0)="",
"(SELECT "&amp;VLOOKUP(B308,Instruções!$F$13:$J$17,4,0)&amp;" as "&amp;VLOOKUP(B308,Instruções!$F$13:$J$17,4,0)&amp;"_"&amp;$F$2&amp;", "&amp;E308&amp;" as "&amp;F308&amp;" FROM "&amp;C308&amp;" WHERE "&amp;Instruções!$D$20&amp;") A ",
"(SELECT "&amp;VLOOKUP(B308,Instruções!$F$13:$J$17,4,0)&amp;" as "&amp;VLOOKUP(B308,Instruções!$F$13:$J$17,4,0)&amp;"_"&amp;$F$2&amp;", "&amp;VLOOKUP(B308,Instruções!$F$13:$J$17,5,0)&amp;" as "&amp;VLOOKUP(B308,Instruções!$F$13:$J$17,5,0)&amp;"_"&amp;$F$2&amp;","&amp;E308&amp;" as "&amp;F308&amp;" FROM "&amp;C308&amp;" WHERE "&amp;Instruções!$D$20&amp;") A ")</f>
        <v xml:space="preserve">(SELECT prtctn_id as prtctn_id_as_is, cnstrctn_stts as cnstrctn_stts_as_is FROM cd_loan_tapes_bce.lt004_protection WHERE ref_date='2024-09-30' AND nome_perimetro='Individual Corporativo' AND segmento='ESTR' AND ambito='PM' AND entidade='00100' ) A </v>
      </c>
      <c r="I308" s="17" t="str">
        <f>IF(VLOOKUP(B308,Instruções!$F$13:$J$17,5,0)="",
"(SELECT "&amp;VLOOKUP(B308,Instruções!$F$13:$J$17,4,0)&amp;" as "&amp;VLOOKUP(B308,Instruções!$F$13:$J$17,4,0)&amp;"_"&amp;$G$2&amp;", "&amp;E308&amp;" as "&amp;G308&amp;" FROM "&amp;D308&amp;" WHERE "&amp;Instruções!$D$21&amp;") B ",
"(SELECT "&amp;VLOOKUP(B308,Instruções!$F$13:$J$17,4,0)&amp;" as "&amp;VLOOKUP(B308,Instruções!$F$13:$J$17,4,0)&amp;"_"&amp;$G$2&amp;", "&amp;VLOOKUP(B308,Instruções!$F$13:$J$17,5,0)&amp;" as "&amp;VLOOKUP(B308,Instruções!$F$13:$J$17,5,0)&amp;"_"&amp;$G$2&amp;","&amp;E308&amp;" as "&amp;G308&amp;" FROM "&amp;D308&amp;" WHERE "&amp;Instruções!$D$21&amp;") B ")</f>
        <v xml:space="preserve">(SELECT prtctn_id as prtctn_id_to_be, cnstrctn_stts as cnstrctn_stts_to_be FROM bu_loantape_work.lt004_protection WHERE ref_date='2024-09-30' AND nome_perimetro='Individual Corporativo' AND segmento='ESTR' AND ambito='PM' AND entidade='00100' ) B </v>
      </c>
      <c r="J308" s="17" t="str">
        <f>IF(VLOOKUP(B308,Instruções!$F$13:$J$17,5,0)="",
"ON "&amp;VLOOKUP(B308,Instruções!$F$13:$J$17,4,0)&amp;"_"&amp;$F$2&amp;" = "&amp;VLOOKUP(B308,Instruções!$F$13:$J$17,4,0)&amp;"_"&amp;$G$2&amp;" ",
"ON "&amp;VLOOKUP(B308,Instruções!$F$13:$J$17,4,0)&amp;"_"&amp;$F$2&amp;" = "&amp;VLOOKUP(B308,Instruções!$F$13:$J$17,4,0)&amp;"_"&amp;$G$2&amp;" AND "&amp;VLOOKUP(B308,Instruções!$F$13:$J$17,5,0)&amp;"_"&amp;$F$2&amp;" = "&amp;VLOOKUP(B308,Instruções!$F$13:$J$17,5,0)&amp;"_"&amp;$G$2&amp;" ")</f>
        <v xml:space="preserve">ON prtctn_id_as_is = prtctn_id_to_be </v>
      </c>
      <c r="K308" s="17" t="str">
        <f t="shared" ref="K308:K343" si="40">"WHERE coalesce(cast("&amp;F308&amp;" as string), '') &lt;&gt; coalesce(cast("&amp;G308&amp;" as string), '') "</f>
        <v xml:space="preserve">WHERE coalesce(cast(cnstrctn_stts_as_is as string), '') &lt;&gt; coalesce(cast(cnstrctn_stts_to_be as string), '') </v>
      </c>
      <c r="L308" s="17" t="str">
        <f t="shared" ref="L308:L343" si="41">"SELECT count(*) AS NUM_REG_DIF FROM "&amp;H308&amp;" Inner join "&amp;I308&amp;J308&amp;K308</f>
        <v xml:space="preserve">SELECT count(*) AS NUM_REG_DIF FROM (SELECT prtctn_id as prtctn_id_as_is, cnstrctn_stts as cnstrctn_stts_as_is FROM cd_loan_tapes_bce.lt004_protection WHERE ref_date='2024-09-30' AND nome_perimetro='Individual Corporativo' AND segmento='ESTR' AND ambito='PM' AND entidade='00100' ) A  Inner join (SELECT prtctn_id as prtctn_id_to_be, cnstrctn_stts as cnstrctn_stts_to_be FROM bu_loantape_work.lt004_protection WHERE ref_date='2024-09-30' AND nome_perimetro='Individual Corporativo' AND segmento='ESTR' AND ambito='PM' AND entidade='00100' ) B ON prtctn_id_as_is = prtctn_id_to_be WHERE coalesce(cast(cnstrctn_stts_as_is as string), '') &lt;&gt; coalesce(cast(cnstrctn_stts_to_be as string), '') </v>
      </c>
      <c r="M308" s="17" t="s">
        <v>55</v>
      </c>
      <c r="N308" s="17" t="str">
        <f>"SELECT 'Validação de campos' as tipologia_teste, '"&amp;VLOOKUP(B308,Instruções!$F$13:$J$17,3,0)&amp;"' AS TABELA, '"&amp;E308&amp;"' AS CAMPO, '"&amp;Instruções!$D$15&amp;"' as ref_date, coalesce(NUM_REG_DIF, 0) AS NUM_REG_DIF FROM ("&amp;L308&amp;") A "</f>
        <v xml:space="preserve">SELECT 'Validação de campos' as tipologia_teste, 'lt004_protection' AS TABELA, 'cnstrctn_stts' AS CAMPO, '2024-09-30' as ref_date, coalesce(NUM_REG_DIF, 0) AS NUM_REG_DIF FROM (SELECT count(*) AS NUM_REG_DIF FROM (SELECT prtctn_id as prtctn_id_as_is, cnstrctn_stts as cnstrctn_stts_as_is FROM cd_loan_tapes_bce.lt004_protection WHERE ref_date='2024-09-30' AND nome_perimetro='Individual Corporativo' AND segmento='ESTR' AND ambito='PM' AND entidade='00100' ) A  Inner join (SELECT prtctn_id as prtctn_id_to_be, cnstrctn_stts as cnstrctn_stts_to_be FROM bu_loantape_work.lt004_protection WHERE ref_date='2024-09-30' AND nome_perimetro='Individual Corporativo' AND segmento='ESTR' AND ambito='PM' AND entidade='00100' ) B ON prtctn_id_as_is = prtctn_id_to_be WHERE coalesce(cast(cnstrctn_stts_as_is as string), '') &lt;&gt; coalesce(cast(cnstrctn_stts_to_be as string), '') ) A </v>
      </c>
      <c r="O308" s="19" t="str">
        <f>IF(O309="",N308,N308&amp;$O$3)</f>
        <v>SELECT 'Validação de campos' as tipologia_teste, 'lt004_protection' AS TABELA, 'cnstrctn_stts' AS CAMPO, '2024-09-30' as ref_date, coalesce(NUM_REG_DIF, 0) AS NUM_REG_DIF FROM (SELECT count(*) AS NUM_REG_DIF FROM (SELECT prtctn_id as prtctn_id_as_is, cnstrctn_stts as cnstrctn_stts_as_is FROM cd_loan_tapes_bce.lt004_protection WHERE ref_date='2024-09-30' AND nome_perimetro='Individual Corporativo' AND segmento='ESTR' AND ambito='PM' AND entidade='00100' ) A  Inner join (SELECT prtctn_id as prtctn_id_to_be, cnstrctn_stts as cnstrctn_stts_to_be FROM bu_loantape_work.lt004_protection WHERE ref_date='2024-09-30' AND nome_perimetro='Individual Corporativo' AND segmento='ESTR' AND ambito='PM' AND entidade='00100' ) B ON prtctn_id_as_is = prtctn_id_to_be WHERE coalesce(cast(cnstrctn_stts_as_is as string), '') &lt;&gt; coalesce(cast(cnstrctn_stts_to_be as string), '') ) A UNION ALL</v>
      </c>
      <c r="P308" s="17">
        <f t="shared" ref="P308" si="42">P307+1</f>
        <v>1</v>
      </c>
    </row>
    <row r="309" spans="2:16" s="15" customFormat="1" ht="11.45">
      <c r="B309" s="17" t="s">
        <v>30</v>
      </c>
      <c r="C309" s="17" t="str">
        <f>_xlfn.CONCAT(Instruções!$D$13,".",VLOOKUP(B309,Instruções!$F$12:$H$17,2,0))</f>
        <v>cd_loan_tapes_bce.lt004_protection</v>
      </c>
      <c r="D309" s="17" t="str">
        <f>_xlfn.CONCAT(Instruções!$D$14,".",VLOOKUP(B309,Instruções!$F$12:$H$17,3,0))</f>
        <v>bu_loantape_work.lt004_protection</v>
      </c>
      <c r="E309" s="17" t="s">
        <v>64</v>
      </c>
      <c r="F309" s="17" t="str">
        <f t="shared" si="38"/>
        <v>cod_soc_as_is</v>
      </c>
      <c r="G309" s="17" t="str">
        <f t="shared" si="39"/>
        <v>cod_soc_to_be</v>
      </c>
      <c r="H309" s="17" t="str">
        <f>IF(VLOOKUP(B309,Instruções!$F$13:$J$17,5,0)="",
"(SELECT "&amp;VLOOKUP(B309,Instruções!$F$13:$J$17,4,0)&amp;" as "&amp;VLOOKUP(B309,Instruções!$F$13:$J$17,4,0)&amp;"_"&amp;$F$2&amp;", "&amp;E309&amp;" as "&amp;F309&amp;" FROM "&amp;C309&amp;" WHERE "&amp;Instruções!$D$20&amp;") A ",
"(SELECT "&amp;VLOOKUP(B309,Instruções!$F$13:$J$17,4,0)&amp;" as "&amp;VLOOKUP(B309,Instruções!$F$13:$J$17,4,0)&amp;"_"&amp;$F$2&amp;", "&amp;VLOOKUP(B309,Instruções!$F$13:$J$17,5,0)&amp;" as "&amp;VLOOKUP(B309,Instruções!$F$13:$J$17,5,0)&amp;"_"&amp;$F$2&amp;","&amp;E309&amp;" as "&amp;F309&amp;" FROM "&amp;C309&amp;" WHERE "&amp;Instruções!$D$20&amp;") A ")</f>
        <v xml:space="preserve">(SELECT prtctn_id as prtctn_id_as_is, cod_soc as cod_soc_as_is FROM cd_loan_tapes_bce.lt004_protection WHERE ref_date='2024-09-30' AND nome_perimetro='Individual Corporativo' AND segmento='ESTR' AND ambito='PM' AND entidade='00100' ) A </v>
      </c>
      <c r="I309" s="17" t="str">
        <f>IF(VLOOKUP(B309,Instruções!$F$13:$J$17,5,0)="",
"(SELECT "&amp;VLOOKUP(B309,Instruções!$F$13:$J$17,4,0)&amp;" as "&amp;VLOOKUP(B309,Instruções!$F$13:$J$17,4,0)&amp;"_"&amp;$G$2&amp;", "&amp;E309&amp;" as "&amp;G309&amp;" FROM "&amp;D309&amp;" WHERE "&amp;Instruções!$D$21&amp;") B ",
"(SELECT "&amp;VLOOKUP(B309,Instruções!$F$13:$J$17,4,0)&amp;" as "&amp;VLOOKUP(B309,Instruções!$F$13:$J$17,4,0)&amp;"_"&amp;$G$2&amp;", "&amp;VLOOKUP(B309,Instruções!$F$13:$J$17,5,0)&amp;" as "&amp;VLOOKUP(B309,Instruções!$F$13:$J$17,5,0)&amp;"_"&amp;$G$2&amp;","&amp;E309&amp;" as "&amp;G309&amp;" FROM "&amp;D309&amp;" WHERE "&amp;Instruções!$D$21&amp;") B ")</f>
        <v xml:space="preserve">(SELECT prtctn_id as prtctn_id_to_be, cod_soc as cod_soc_to_be FROM bu_loantape_work.lt004_protection WHERE ref_date='2024-09-30' AND nome_perimetro='Individual Corporativo' AND segmento='ESTR' AND ambito='PM' AND entidade='00100' ) B </v>
      </c>
      <c r="J309" s="17" t="str">
        <f>IF(VLOOKUP(B309,Instruções!$F$13:$J$17,5,0)="",
"ON "&amp;VLOOKUP(B309,Instruções!$F$13:$J$17,4,0)&amp;"_"&amp;$F$2&amp;" = "&amp;VLOOKUP(B309,Instruções!$F$13:$J$17,4,0)&amp;"_"&amp;$G$2&amp;" ",
"ON "&amp;VLOOKUP(B309,Instruções!$F$13:$J$17,4,0)&amp;"_"&amp;$F$2&amp;" = "&amp;VLOOKUP(B309,Instruções!$F$13:$J$17,4,0)&amp;"_"&amp;$G$2&amp;" AND "&amp;VLOOKUP(B309,Instruções!$F$13:$J$17,5,0)&amp;"_"&amp;$F$2&amp;" = "&amp;VLOOKUP(B309,Instruções!$F$13:$J$17,5,0)&amp;"_"&amp;$G$2&amp;" ")</f>
        <v xml:space="preserve">ON prtctn_id_as_is = prtctn_id_to_be </v>
      </c>
      <c r="K309" s="17" t="str">
        <f t="shared" si="40"/>
        <v xml:space="preserve">WHERE coalesce(cast(cod_soc_as_is as string), '') &lt;&gt; coalesce(cast(cod_soc_to_be as string), '') </v>
      </c>
      <c r="L309" s="17" t="str">
        <f t="shared" si="41"/>
        <v xml:space="preserve">SELECT count(*) AS NUM_REG_DIF FROM (SELECT prtctn_id as prtctn_id_as_is, cod_soc as cod_soc_as_is FROM cd_loan_tapes_bce.lt004_protection WHERE ref_date='2024-09-30' AND nome_perimetro='Individual Corporativo' AND segmento='ESTR' AND ambito='PM' AND entidade='00100' ) A  Inner join (SELECT prtctn_id as prtctn_id_to_be, cod_soc as cod_soc_to_be FROM bu_loantape_work.lt004_protection WHERE ref_date='2024-09-30' AND nome_perimetro='Individual Corporativo' AND segmento='ESTR' AND ambito='PM' AND entidade='00100' ) B ON prtctn_id_as_is = prtctn_id_to_be WHERE coalesce(cast(cod_soc_as_is as string), '') &lt;&gt; coalesce(cast(cod_soc_to_be as string), '') </v>
      </c>
      <c r="M309" s="17" t="s">
        <v>55</v>
      </c>
      <c r="N309" s="17" t="str">
        <f>"SELECT 'Validação de campos' as tipologia_teste, '"&amp;VLOOKUP(B309,Instruções!$F$13:$J$17,3,0)&amp;"' AS TABELA, '"&amp;E309&amp;"' AS CAMPO, '"&amp;Instruções!$D$15&amp;"' as ref_date, coalesce(NUM_REG_DIF, 0) AS NUM_REG_DIF FROM ("&amp;L309&amp;") A "</f>
        <v xml:space="preserve">SELECT 'Validação de campos' as tipologia_teste, 'lt004_protection' AS TABELA, 'cod_soc' AS CAMPO, '2024-09-30' as ref_date, coalesce(NUM_REG_DIF, 0) AS NUM_REG_DIF FROM (SELECT count(*) AS NUM_REG_DIF FROM (SELECT prtctn_id as prtctn_id_as_is, cod_soc as cod_soc_as_is FROM cd_loan_tapes_bce.lt004_protection WHERE ref_date='2024-09-30' AND nome_perimetro='Individual Corporativo' AND segmento='ESTR' AND ambito='PM' AND entidade='00100' ) A  Inner join (SELECT prtctn_id as prtctn_id_to_be, cod_soc as cod_soc_to_be FROM bu_loantape_work.lt004_protection WHERE ref_date='2024-09-30' AND nome_perimetro='Individual Corporativo' AND segmento='ESTR' AND ambito='PM' AND entidade='00100' ) B ON prtctn_id_as_is = prtctn_id_to_be WHERE coalesce(cast(cod_soc_as_is as string), '') &lt;&gt; coalesce(cast(cod_soc_to_be as string), '') ) A </v>
      </c>
      <c r="O309" s="19" t="str">
        <f>IF(O310="",N309,N309&amp;$O$3)</f>
        <v>SELECT 'Validação de campos' as tipologia_teste, 'lt004_protection' AS TABELA, 'cod_soc' AS CAMPO, '2024-09-30' as ref_date, coalesce(NUM_REG_DIF, 0) AS NUM_REG_DIF FROM (SELECT count(*) AS NUM_REG_DIF FROM (SELECT prtctn_id as prtctn_id_as_is, cod_soc as cod_soc_as_is FROM cd_loan_tapes_bce.lt004_protection WHERE ref_date='2024-09-30' AND nome_perimetro='Individual Corporativo' AND segmento='ESTR' AND ambito='PM' AND entidade='00100' ) A  Inner join (SELECT prtctn_id as prtctn_id_to_be, cod_soc as cod_soc_to_be FROM bu_loantape_work.lt004_protection WHERE ref_date='2024-09-30' AND nome_perimetro='Individual Corporativo' AND segmento='ESTR' AND ambito='PM' AND entidade='00100' ) B ON prtctn_id_as_is = prtctn_id_to_be WHERE coalesce(cast(cod_soc_as_is as string), '') &lt;&gt; coalesce(cast(cod_soc_to_be as string), '') ) A UNION ALL</v>
      </c>
      <c r="P309" s="17">
        <f t="shared" si="37"/>
        <v>2</v>
      </c>
    </row>
    <row r="310" spans="2:16" s="15" customFormat="1" ht="11.45">
      <c r="B310" s="17" t="s">
        <v>30</v>
      </c>
      <c r="C310" s="17" t="str">
        <f>_xlfn.CONCAT(Instruções!$D$13,".",VLOOKUP(B310,Instruções!$F$12:$H$17,2,0))</f>
        <v>cd_loan_tapes_bce.lt004_protection</v>
      </c>
      <c r="D310" s="17" t="str">
        <f>_xlfn.CONCAT(Instruções!$D$14,".",VLOOKUP(B310,Instruções!$F$12:$H$17,3,0))</f>
        <v>bu_loantape_work.lt004_protection</v>
      </c>
      <c r="E310" s="17" t="s">
        <v>359</v>
      </c>
      <c r="F310" s="17" t="str">
        <f t="shared" si="38"/>
        <v>cre_incm_crrncy_as_is</v>
      </c>
      <c r="G310" s="17" t="str">
        <f t="shared" si="39"/>
        <v>cre_incm_crrncy_to_be</v>
      </c>
      <c r="H310" s="17" t="str">
        <f>IF(VLOOKUP(B310,Instruções!$F$13:$J$17,5,0)="",
"(SELECT "&amp;VLOOKUP(B310,Instruções!$F$13:$J$17,4,0)&amp;" as "&amp;VLOOKUP(B310,Instruções!$F$13:$J$17,4,0)&amp;"_"&amp;$F$2&amp;", "&amp;E310&amp;" as "&amp;F310&amp;" FROM "&amp;C310&amp;" WHERE "&amp;Instruções!$D$20&amp;") A ",
"(SELECT "&amp;VLOOKUP(B310,Instruções!$F$13:$J$17,4,0)&amp;" as "&amp;VLOOKUP(B310,Instruções!$F$13:$J$17,4,0)&amp;"_"&amp;$F$2&amp;", "&amp;VLOOKUP(B310,Instruções!$F$13:$J$17,5,0)&amp;" as "&amp;VLOOKUP(B310,Instruções!$F$13:$J$17,5,0)&amp;"_"&amp;$F$2&amp;","&amp;E310&amp;" as "&amp;F310&amp;" FROM "&amp;C310&amp;" WHERE "&amp;Instruções!$D$20&amp;") A ")</f>
        <v xml:space="preserve">(SELECT prtctn_id as prtctn_id_as_is, cre_incm_crrncy as cre_incm_crrncy_as_is FROM cd_loan_tapes_bce.lt004_protection WHERE ref_date='2024-09-30' AND nome_perimetro='Individual Corporativo' AND segmento='ESTR' AND ambito='PM' AND entidade='00100' ) A </v>
      </c>
      <c r="I310" s="17" t="str">
        <f>IF(VLOOKUP(B310,Instruções!$F$13:$J$17,5,0)="",
"(SELECT "&amp;VLOOKUP(B310,Instruções!$F$13:$J$17,4,0)&amp;" as "&amp;VLOOKUP(B310,Instruções!$F$13:$J$17,4,0)&amp;"_"&amp;$G$2&amp;", "&amp;E310&amp;" as "&amp;G310&amp;" FROM "&amp;D310&amp;" WHERE "&amp;Instruções!$D$21&amp;") B ",
"(SELECT "&amp;VLOOKUP(B310,Instruções!$F$13:$J$17,4,0)&amp;" as "&amp;VLOOKUP(B310,Instruções!$F$13:$J$17,4,0)&amp;"_"&amp;$G$2&amp;", "&amp;VLOOKUP(B310,Instruções!$F$13:$J$17,5,0)&amp;" as "&amp;VLOOKUP(B310,Instruções!$F$13:$J$17,5,0)&amp;"_"&amp;$G$2&amp;","&amp;E310&amp;" as "&amp;G310&amp;" FROM "&amp;D310&amp;" WHERE "&amp;Instruções!$D$21&amp;") B ")</f>
        <v xml:space="preserve">(SELECT prtctn_id as prtctn_id_to_be, cre_incm_crrncy as cre_incm_crrncy_to_be FROM bu_loantape_work.lt004_protection WHERE ref_date='2024-09-30' AND nome_perimetro='Individual Corporativo' AND segmento='ESTR' AND ambito='PM' AND entidade='00100' ) B </v>
      </c>
      <c r="J310" s="17" t="str">
        <f>IF(VLOOKUP(B310,Instruções!$F$13:$J$17,5,0)="",
"ON "&amp;VLOOKUP(B310,Instruções!$F$13:$J$17,4,0)&amp;"_"&amp;$F$2&amp;" = "&amp;VLOOKUP(B310,Instruções!$F$13:$J$17,4,0)&amp;"_"&amp;$G$2&amp;" ",
"ON "&amp;VLOOKUP(B310,Instruções!$F$13:$J$17,4,0)&amp;"_"&amp;$F$2&amp;" = "&amp;VLOOKUP(B310,Instruções!$F$13:$J$17,4,0)&amp;"_"&amp;$G$2&amp;" AND "&amp;VLOOKUP(B310,Instruções!$F$13:$J$17,5,0)&amp;"_"&amp;$F$2&amp;" = "&amp;VLOOKUP(B310,Instruções!$F$13:$J$17,5,0)&amp;"_"&amp;$G$2&amp;" ")</f>
        <v xml:space="preserve">ON prtctn_id_as_is = prtctn_id_to_be </v>
      </c>
      <c r="K310" s="17" t="str">
        <f t="shared" si="40"/>
        <v xml:space="preserve">WHERE coalesce(cast(cre_incm_crrncy_as_is as string), '') &lt;&gt; coalesce(cast(cre_incm_crrncy_to_be as string), '') </v>
      </c>
      <c r="L310" s="17" t="str">
        <f t="shared" si="41"/>
        <v xml:space="preserve">SELECT count(*) AS NUM_REG_DIF FROM (SELECT prtctn_id as prtctn_id_as_is, cre_incm_crrncy as cre_incm_crrncy_as_is FROM cd_loan_tapes_bce.lt004_protection WHERE ref_date='2024-09-30' AND nome_perimetro='Individual Corporativo' AND segmento='ESTR' AND ambito='PM' AND entidade='00100' ) A  Inner join (SELECT prtctn_id as prtctn_id_to_be, cre_incm_crrncy as cre_incm_crrncy_to_be FROM bu_loantape_work.lt004_protection WHERE ref_date='2024-09-30' AND nome_perimetro='Individual Corporativo' AND segmento='ESTR' AND ambito='PM' AND entidade='00100' ) B ON prtctn_id_as_is = prtctn_id_to_be WHERE coalesce(cast(cre_incm_crrncy_as_is as string), '') &lt;&gt; coalesce(cast(cre_incm_crrncy_to_be as string), '') </v>
      </c>
      <c r="M310" s="17" t="s">
        <v>55</v>
      </c>
      <c r="N310" s="17" t="str">
        <f>"SELECT 'Validação de campos' as tipologia_teste, '"&amp;VLOOKUP(B310,Instruções!$F$13:$J$17,3,0)&amp;"' AS TABELA, '"&amp;E310&amp;"' AS CAMPO, '"&amp;Instruções!$D$15&amp;"' as ref_date, coalesce(NUM_REG_DIF, 0) AS NUM_REG_DIF FROM ("&amp;L310&amp;") A "</f>
        <v xml:space="preserve">SELECT 'Validação de campos' as tipologia_teste, 'lt004_protection' AS TABELA, 'cre_incm_crrncy' AS CAMPO, '2024-09-30' as ref_date, coalesce(NUM_REG_DIF, 0) AS NUM_REG_DIF FROM (SELECT count(*) AS NUM_REG_DIF FROM (SELECT prtctn_id as prtctn_id_as_is, cre_incm_crrncy as cre_incm_crrncy_as_is FROM cd_loan_tapes_bce.lt004_protection WHERE ref_date='2024-09-30' AND nome_perimetro='Individual Corporativo' AND segmento='ESTR' AND ambito='PM' AND entidade='00100' ) A  Inner join (SELECT prtctn_id as prtctn_id_to_be, cre_incm_crrncy as cre_incm_crrncy_to_be FROM bu_loantape_work.lt004_protection WHERE ref_date='2024-09-30' AND nome_perimetro='Individual Corporativo' AND segmento='ESTR' AND ambito='PM' AND entidade='00100' ) B ON prtctn_id_as_is = prtctn_id_to_be WHERE coalesce(cast(cre_incm_crrncy_as_is as string), '') &lt;&gt; coalesce(cast(cre_incm_crrncy_to_be as string), '') ) A </v>
      </c>
      <c r="O310" s="19" t="str">
        <f t="shared" ref="O310:O343" si="43">IF(O311="",N310,N310&amp;$O$3)</f>
        <v>SELECT 'Validação de campos' as tipologia_teste, 'lt004_protection' AS TABELA, 'cre_incm_crrncy' AS CAMPO, '2024-09-30' as ref_date, coalesce(NUM_REG_DIF, 0) AS NUM_REG_DIF FROM (SELECT count(*) AS NUM_REG_DIF FROM (SELECT prtctn_id as prtctn_id_as_is, cre_incm_crrncy as cre_incm_crrncy_as_is FROM cd_loan_tapes_bce.lt004_protection WHERE ref_date='2024-09-30' AND nome_perimetro='Individual Corporativo' AND segmento='ESTR' AND ambito='PM' AND entidade='00100' ) A  Inner join (SELECT prtctn_id as prtctn_id_to_be, cre_incm_crrncy as cre_incm_crrncy_to_be FROM bu_loantape_work.lt004_protection WHERE ref_date='2024-09-30' AND nome_perimetro='Individual Corporativo' AND segmento='ESTR' AND ambito='PM' AND entidade='00100' ) B ON prtctn_id_as_is = prtctn_id_to_be WHERE coalesce(cast(cre_incm_crrncy_as_is as string), '') &lt;&gt; coalesce(cast(cre_incm_crrncy_to_be as string), '') ) A UNION ALL</v>
      </c>
      <c r="P310" s="17">
        <f t="shared" si="37"/>
        <v>3</v>
      </c>
    </row>
    <row r="311" spans="2:16" s="15" customFormat="1" ht="11.45">
      <c r="B311" s="17" t="s">
        <v>30</v>
      </c>
      <c r="C311" s="17" t="str">
        <f>_xlfn.CONCAT(Instruções!$D$13,".",VLOOKUP(B311,Instruções!$F$12:$H$17,2,0))</f>
        <v>cd_loan_tapes_bce.lt004_protection</v>
      </c>
      <c r="D311" s="17" t="str">
        <f>_xlfn.CONCAT(Instruções!$D$14,".",VLOOKUP(B311,Instruções!$F$12:$H$17,3,0))</f>
        <v>bu_loantape_work.lt004_protection</v>
      </c>
      <c r="E311" s="17" t="s">
        <v>360</v>
      </c>
      <c r="F311" s="17" t="str">
        <f t="shared" si="38"/>
        <v>cre_yrly_expnss_as_is</v>
      </c>
      <c r="G311" s="17" t="str">
        <f t="shared" si="39"/>
        <v>cre_yrly_expnss_to_be</v>
      </c>
      <c r="H311" s="17" t="str">
        <f>IF(VLOOKUP(B311,Instruções!$F$13:$J$17,5,0)="",
"(SELECT "&amp;VLOOKUP(B311,Instruções!$F$13:$J$17,4,0)&amp;" as "&amp;VLOOKUP(B311,Instruções!$F$13:$J$17,4,0)&amp;"_"&amp;$F$2&amp;", "&amp;E311&amp;" as "&amp;F311&amp;" FROM "&amp;C311&amp;" WHERE "&amp;Instruções!$D$20&amp;") A ",
"(SELECT "&amp;VLOOKUP(B311,Instruções!$F$13:$J$17,4,0)&amp;" as "&amp;VLOOKUP(B311,Instruções!$F$13:$J$17,4,0)&amp;"_"&amp;$F$2&amp;", "&amp;VLOOKUP(B311,Instruções!$F$13:$J$17,5,0)&amp;" as "&amp;VLOOKUP(B311,Instruções!$F$13:$J$17,5,0)&amp;"_"&amp;$F$2&amp;","&amp;E311&amp;" as "&amp;F311&amp;" FROM "&amp;C311&amp;" WHERE "&amp;Instruções!$D$20&amp;") A ")</f>
        <v xml:space="preserve">(SELECT prtctn_id as prtctn_id_as_is, cre_yrly_expnss as cre_yrly_expnss_as_is FROM cd_loan_tapes_bce.lt004_protection WHERE ref_date='2024-09-30' AND nome_perimetro='Individual Corporativo' AND segmento='ESTR' AND ambito='PM' AND entidade='00100' ) A </v>
      </c>
      <c r="I311" s="17" t="str">
        <f>IF(VLOOKUP(B311,Instruções!$F$13:$J$17,5,0)="",
"(SELECT "&amp;VLOOKUP(B311,Instruções!$F$13:$J$17,4,0)&amp;" as "&amp;VLOOKUP(B311,Instruções!$F$13:$J$17,4,0)&amp;"_"&amp;$G$2&amp;", "&amp;E311&amp;" as "&amp;G311&amp;" FROM "&amp;D311&amp;" WHERE "&amp;Instruções!$D$21&amp;") B ",
"(SELECT "&amp;VLOOKUP(B311,Instruções!$F$13:$J$17,4,0)&amp;" as "&amp;VLOOKUP(B311,Instruções!$F$13:$J$17,4,0)&amp;"_"&amp;$G$2&amp;", "&amp;VLOOKUP(B311,Instruções!$F$13:$J$17,5,0)&amp;" as "&amp;VLOOKUP(B311,Instruções!$F$13:$J$17,5,0)&amp;"_"&amp;$G$2&amp;","&amp;E311&amp;" as "&amp;G311&amp;" FROM "&amp;D311&amp;" WHERE "&amp;Instruções!$D$21&amp;") B ")</f>
        <v xml:space="preserve">(SELECT prtctn_id as prtctn_id_to_be, cre_yrly_expnss as cre_yrly_expnss_to_be FROM bu_loantape_work.lt004_protection WHERE ref_date='2024-09-30' AND nome_perimetro='Individual Corporativo' AND segmento='ESTR' AND ambito='PM' AND entidade='00100' ) B </v>
      </c>
      <c r="J311" s="17" t="str">
        <f>IF(VLOOKUP(B311,Instruções!$F$13:$J$17,5,0)="",
"ON "&amp;VLOOKUP(B311,Instruções!$F$13:$J$17,4,0)&amp;"_"&amp;$F$2&amp;" = "&amp;VLOOKUP(B311,Instruções!$F$13:$J$17,4,0)&amp;"_"&amp;$G$2&amp;" ",
"ON "&amp;VLOOKUP(B311,Instruções!$F$13:$J$17,4,0)&amp;"_"&amp;$F$2&amp;" = "&amp;VLOOKUP(B311,Instruções!$F$13:$J$17,4,0)&amp;"_"&amp;$G$2&amp;" AND "&amp;VLOOKUP(B311,Instruções!$F$13:$J$17,5,0)&amp;"_"&amp;$F$2&amp;" = "&amp;VLOOKUP(B311,Instruções!$F$13:$J$17,5,0)&amp;"_"&amp;$G$2&amp;" ")</f>
        <v xml:space="preserve">ON prtctn_id_as_is = prtctn_id_to_be </v>
      </c>
      <c r="K311" s="17" t="str">
        <f t="shared" si="40"/>
        <v xml:space="preserve">WHERE coalesce(cast(cre_yrly_expnss_as_is as string), '') &lt;&gt; coalesce(cast(cre_yrly_expnss_to_be as string), '') </v>
      </c>
      <c r="L311" s="17" t="str">
        <f t="shared" si="41"/>
        <v xml:space="preserve">SELECT count(*) AS NUM_REG_DIF FROM (SELECT prtctn_id as prtctn_id_as_is, cre_yrly_expnss as cre_yrly_expnss_as_is FROM cd_loan_tapes_bce.lt004_protection WHERE ref_date='2024-09-30' AND nome_perimetro='Individual Corporativo' AND segmento='ESTR' AND ambito='PM' AND entidade='00100' ) A  Inner join (SELECT prtctn_id as prtctn_id_to_be, cre_yrly_expnss as cre_yrly_expnss_to_be FROM bu_loantape_work.lt004_protection WHERE ref_date='2024-09-30' AND nome_perimetro='Individual Corporativo' AND segmento='ESTR' AND ambito='PM' AND entidade='00100' ) B ON prtctn_id_as_is = prtctn_id_to_be WHERE coalesce(cast(cre_yrly_expnss_as_is as string), '') &lt;&gt; coalesce(cast(cre_yrly_expnss_to_be as string), '') </v>
      </c>
      <c r="M311" s="17" t="s">
        <v>55</v>
      </c>
      <c r="N311" s="17" t="str">
        <f>"SELECT 'Validação de campos' as tipologia_teste, '"&amp;VLOOKUP(B311,Instruções!$F$13:$J$17,3,0)&amp;"' AS TABELA, '"&amp;E311&amp;"' AS CAMPO, '"&amp;Instruções!$D$15&amp;"' as ref_date, coalesce(NUM_REG_DIF, 0) AS NUM_REG_DIF FROM ("&amp;L311&amp;") A "</f>
        <v xml:space="preserve">SELECT 'Validação de campos' as tipologia_teste, 'lt004_protection' AS TABELA, 'cre_yrly_expnss' AS CAMPO, '2024-09-30' as ref_date, coalesce(NUM_REG_DIF, 0) AS NUM_REG_DIF FROM (SELECT count(*) AS NUM_REG_DIF FROM (SELECT prtctn_id as prtctn_id_as_is, cre_yrly_expnss as cre_yrly_expnss_as_is FROM cd_loan_tapes_bce.lt004_protection WHERE ref_date='2024-09-30' AND nome_perimetro='Individual Corporativo' AND segmento='ESTR' AND ambito='PM' AND entidade='00100' ) A  Inner join (SELECT prtctn_id as prtctn_id_to_be, cre_yrly_expnss as cre_yrly_expnss_to_be FROM bu_loantape_work.lt004_protection WHERE ref_date='2024-09-30' AND nome_perimetro='Individual Corporativo' AND segmento='ESTR' AND ambito='PM' AND entidade='00100' ) B ON prtctn_id_as_is = prtctn_id_to_be WHERE coalesce(cast(cre_yrly_expnss_as_is as string), '') &lt;&gt; coalesce(cast(cre_yrly_expnss_to_be as string), '') ) A </v>
      </c>
      <c r="O311" s="19" t="str">
        <f t="shared" si="43"/>
        <v>SELECT 'Validação de campos' as tipologia_teste, 'lt004_protection' AS TABELA, 'cre_yrly_expnss' AS CAMPO, '2024-09-30' as ref_date, coalesce(NUM_REG_DIF, 0) AS NUM_REG_DIF FROM (SELECT count(*) AS NUM_REG_DIF FROM (SELECT prtctn_id as prtctn_id_as_is, cre_yrly_expnss as cre_yrly_expnss_as_is FROM cd_loan_tapes_bce.lt004_protection WHERE ref_date='2024-09-30' AND nome_perimetro='Individual Corporativo' AND segmento='ESTR' AND ambito='PM' AND entidade='00100' ) A  Inner join (SELECT prtctn_id as prtctn_id_to_be, cre_yrly_expnss as cre_yrly_expnss_to_be FROM bu_loantape_work.lt004_protection WHERE ref_date='2024-09-30' AND nome_perimetro='Individual Corporativo' AND segmento='ESTR' AND ambito='PM' AND entidade='00100' ) B ON prtctn_id_as_is = prtctn_id_to_be WHERE coalesce(cast(cre_yrly_expnss_as_is as string), '') &lt;&gt; coalesce(cast(cre_yrly_expnss_to_be as string), '') ) A UNION ALL</v>
      </c>
      <c r="P311" s="17">
        <f t="shared" si="37"/>
        <v>4</v>
      </c>
    </row>
    <row r="312" spans="2:16" s="15" customFormat="1" ht="11.45">
      <c r="B312" s="17" t="s">
        <v>30</v>
      </c>
      <c r="C312" s="17" t="str">
        <f>_xlfn.CONCAT(Instruções!$D$13,".",VLOOKUP(B312,Instruções!$F$12:$H$17,2,0))</f>
        <v>cd_loan_tapes_bce.lt004_protection</v>
      </c>
      <c r="D312" s="17" t="str">
        <f>_xlfn.CONCAT(Instruções!$D$14,".",VLOOKUP(B312,Instruções!$F$12:$H$17,3,0))</f>
        <v>bu_loantape_work.lt004_protection</v>
      </c>
      <c r="E312" s="17" t="s">
        <v>361</v>
      </c>
      <c r="F312" s="17" t="str">
        <f t="shared" si="38"/>
        <v>cre_yrly_incm_as_is</v>
      </c>
      <c r="G312" s="17" t="str">
        <f t="shared" si="39"/>
        <v>cre_yrly_incm_to_be</v>
      </c>
      <c r="H312" s="17" t="str">
        <f>IF(VLOOKUP(B312,Instruções!$F$13:$J$17,5,0)="",
"(SELECT "&amp;VLOOKUP(B312,Instruções!$F$13:$J$17,4,0)&amp;" as "&amp;VLOOKUP(B312,Instruções!$F$13:$J$17,4,0)&amp;"_"&amp;$F$2&amp;", "&amp;E312&amp;" as "&amp;F312&amp;" FROM "&amp;C312&amp;" WHERE "&amp;Instruções!$D$20&amp;") A ",
"(SELECT "&amp;VLOOKUP(B312,Instruções!$F$13:$J$17,4,0)&amp;" as "&amp;VLOOKUP(B312,Instruções!$F$13:$J$17,4,0)&amp;"_"&amp;$F$2&amp;", "&amp;VLOOKUP(B312,Instruções!$F$13:$J$17,5,0)&amp;" as "&amp;VLOOKUP(B312,Instruções!$F$13:$J$17,5,0)&amp;"_"&amp;$F$2&amp;","&amp;E312&amp;" as "&amp;F312&amp;" FROM "&amp;C312&amp;" WHERE "&amp;Instruções!$D$20&amp;") A ")</f>
        <v xml:space="preserve">(SELECT prtctn_id as prtctn_id_as_is, cre_yrly_incm as cre_yrly_incm_as_is FROM cd_loan_tapes_bce.lt004_protection WHERE ref_date='2024-09-30' AND nome_perimetro='Individual Corporativo' AND segmento='ESTR' AND ambito='PM' AND entidade='00100' ) A </v>
      </c>
      <c r="I312" s="17" t="str">
        <f>IF(VLOOKUP(B312,Instruções!$F$13:$J$17,5,0)="",
"(SELECT "&amp;VLOOKUP(B312,Instruções!$F$13:$J$17,4,0)&amp;" as "&amp;VLOOKUP(B312,Instruções!$F$13:$J$17,4,0)&amp;"_"&amp;$G$2&amp;", "&amp;E312&amp;" as "&amp;G312&amp;" FROM "&amp;D312&amp;" WHERE "&amp;Instruções!$D$21&amp;") B ",
"(SELECT "&amp;VLOOKUP(B312,Instruções!$F$13:$J$17,4,0)&amp;" as "&amp;VLOOKUP(B312,Instruções!$F$13:$J$17,4,0)&amp;"_"&amp;$G$2&amp;", "&amp;VLOOKUP(B312,Instruções!$F$13:$J$17,5,0)&amp;" as "&amp;VLOOKUP(B312,Instruções!$F$13:$J$17,5,0)&amp;"_"&amp;$G$2&amp;","&amp;E312&amp;" as "&amp;G312&amp;" FROM "&amp;D312&amp;" WHERE "&amp;Instruções!$D$21&amp;") B ")</f>
        <v xml:space="preserve">(SELECT prtctn_id as prtctn_id_to_be, cre_yrly_incm as cre_yrly_incm_to_be FROM bu_loantape_work.lt004_protection WHERE ref_date='2024-09-30' AND nome_perimetro='Individual Corporativo' AND segmento='ESTR' AND ambito='PM' AND entidade='00100' ) B </v>
      </c>
      <c r="J312" s="17" t="str">
        <f>IF(VLOOKUP(B312,Instruções!$F$13:$J$17,5,0)="",
"ON "&amp;VLOOKUP(B312,Instruções!$F$13:$J$17,4,0)&amp;"_"&amp;$F$2&amp;" = "&amp;VLOOKUP(B312,Instruções!$F$13:$J$17,4,0)&amp;"_"&amp;$G$2&amp;" ",
"ON "&amp;VLOOKUP(B312,Instruções!$F$13:$J$17,4,0)&amp;"_"&amp;$F$2&amp;" = "&amp;VLOOKUP(B312,Instruções!$F$13:$J$17,4,0)&amp;"_"&amp;$G$2&amp;" AND "&amp;VLOOKUP(B312,Instruções!$F$13:$J$17,5,0)&amp;"_"&amp;$F$2&amp;" = "&amp;VLOOKUP(B312,Instruções!$F$13:$J$17,5,0)&amp;"_"&amp;$G$2&amp;" ")</f>
        <v xml:space="preserve">ON prtctn_id_as_is = prtctn_id_to_be </v>
      </c>
      <c r="K312" s="17" t="str">
        <f t="shared" si="40"/>
        <v xml:space="preserve">WHERE coalesce(cast(cre_yrly_incm_as_is as string), '') &lt;&gt; coalesce(cast(cre_yrly_incm_to_be as string), '') </v>
      </c>
      <c r="L312" s="17" t="str">
        <f t="shared" si="41"/>
        <v xml:space="preserve">SELECT count(*) AS NUM_REG_DIF FROM (SELECT prtctn_id as prtctn_id_as_is, cre_yrly_incm as cre_yrly_incm_as_is FROM cd_loan_tapes_bce.lt004_protection WHERE ref_date='2024-09-30' AND nome_perimetro='Individual Corporativo' AND segmento='ESTR' AND ambito='PM' AND entidade='00100' ) A  Inner join (SELECT prtctn_id as prtctn_id_to_be, cre_yrly_incm as cre_yrly_incm_to_be FROM bu_loantape_work.lt004_protection WHERE ref_date='2024-09-30' AND nome_perimetro='Individual Corporativo' AND segmento='ESTR' AND ambito='PM' AND entidade='00100' ) B ON prtctn_id_as_is = prtctn_id_to_be WHERE coalesce(cast(cre_yrly_incm_as_is as string), '') &lt;&gt; coalesce(cast(cre_yrly_incm_to_be as string), '') </v>
      </c>
      <c r="M312" s="17" t="s">
        <v>55</v>
      </c>
      <c r="N312" s="17" t="str">
        <f>"SELECT 'Validação de campos' as tipologia_teste, '"&amp;VLOOKUP(B312,Instruções!$F$13:$J$17,3,0)&amp;"' AS TABELA, '"&amp;E312&amp;"' AS CAMPO, '"&amp;Instruções!$D$15&amp;"' as ref_date, coalesce(NUM_REG_DIF, 0) AS NUM_REG_DIF FROM ("&amp;L312&amp;") A "</f>
        <v xml:space="preserve">SELECT 'Validação de campos' as tipologia_teste, 'lt004_protection' AS TABELA, 'cre_yrly_incm' AS CAMPO, '2024-09-30' as ref_date, coalesce(NUM_REG_DIF, 0) AS NUM_REG_DIF FROM (SELECT count(*) AS NUM_REG_DIF FROM (SELECT prtctn_id as prtctn_id_as_is, cre_yrly_incm as cre_yrly_incm_as_is FROM cd_loan_tapes_bce.lt004_protection WHERE ref_date='2024-09-30' AND nome_perimetro='Individual Corporativo' AND segmento='ESTR' AND ambito='PM' AND entidade='00100' ) A  Inner join (SELECT prtctn_id as prtctn_id_to_be, cre_yrly_incm as cre_yrly_incm_to_be FROM bu_loantape_work.lt004_protection WHERE ref_date='2024-09-30' AND nome_perimetro='Individual Corporativo' AND segmento='ESTR' AND ambito='PM' AND entidade='00100' ) B ON prtctn_id_as_is = prtctn_id_to_be WHERE coalesce(cast(cre_yrly_incm_as_is as string), '') &lt;&gt; coalesce(cast(cre_yrly_incm_to_be as string), '') ) A </v>
      </c>
      <c r="O312" s="19" t="str">
        <f t="shared" si="43"/>
        <v>SELECT 'Validação de campos' as tipologia_teste, 'lt004_protection' AS TABELA, 'cre_yrly_incm' AS CAMPO, '2024-09-30' as ref_date, coalesce(NUM_REG_DIF, 0) AS NUM_REG_DIF FROM (SELECT count(*) AS NUM_REG_DIF FROM (SELECT prtctn_id as prtctn_id_as_is, cre_yrly_incm as cre_yrly_incm_as_is FROM cd_loan_tapes_bce.lt004_protection WHERE ref_date='2024-09-30' AND nome_perimetro='Individual Corporativo' AND segmento='ESTR' AND ambito='PM' AND entidade='00100' ) A  Inner join (SELECT prtctn_id as prtctn_id_to_be, cre_yrly_incm as cre_yrly_incm_to_be FROM bu_loantape_work.lt004_protection WHERE ref_date='2024-09-30' AND nome_perimetro='Individual Corporativo' AND segmento='ESTR' AND ambito='PM' AND entidade='00100' ) B ON prtctn_id_as_is = prtctn_id_to_be WHERE coalesce(cast(cre_yrly_incm_as_is as string), '') &lt;&gt; coalesce(cast(cre_yrly_incm_to_be as string), '') ) A UNION ALL</v>
      </c>
      <c r="P312" s="17">
        <f t="shared" si="37"/>
        <v>5</v>
      </c>
    </row>
    <row r="313" spans="2:16" s="15" customFormat="1" ht="11.45">
      <c r="B313" s="17" t="s">
        <v>30</v>
      </c>
      <c r="C313" s="17" t="str">
        <f>_xlfn.CONCAT(Instruções!$D$13,".",VLOOKUP(B313,Instruções!$F$12:$H$17,2,0))</f>
        <v>cd_loan_tapes_bce.lt004_protection</v>
      </c>
      <c r="D313" s="17" t="str">
        <f>_xlfn.CONCAT(Instruções!$D$14,".",VLOOKUP(B313,Instruções!$F$12:$H$17,3,0))</f>
        <v>bu_loantape_work.lt004_protection</v>
      </c>
      <c r="E313" s="17" t="s">
        <v>362</v>
      </c>
      <c r="F313" s="17" t="str">
        <f t="shared" si="38"/>
        <v>dt_apprsl_prvs_as_is</v>
      </c>
      <c r="G313" s="17" t="str">
        <f t="shared" si="39"/>
        <v>dt_apprsl_prvs_to_be</v>
      </c>
      <c r="H313" s="17" t="str">
        <f>IF(VLOOKUP(B313,Instruções!$F$13:$J$17,5,0)="",
"(SELECT "&amp;VLOOKUP(B313,Instruções!$F$13:$J$17,4,0)&amp;" as "&amp;VLOOKUP(B313,Instruções!$F$13:$J$17,4,0)&amp;"_"&amp;$F$2&amp;", "&amp;E313&amp;" as "&amp;F313&amp;" FROM "&amp;C313&amp;" WHERE "&amp;Instruções!$D$20&amp;") A ",
"(SELECT "&amp;VLOOKUP(B313,Instruções!$F$13:$J$17,4,0)&amp;" as "&amp;VLOOKUP(B313,Instruções!$F$13:$J$17,4,0)&amp;"_"&amp;$F$2&amp;", "&amp;VLOOKUP(B313,Instruções!$F$13:$J$17,5,0)&amp;" as "&amp;VLOOKUP(B313,Instruções!$F$13:$J$17,5,0)&amp;"_"&amp;$F$2&amp;","&amp;E313&amp;" as "&amp;F313&amp;" FROM "&amp;C313&amp;" WHERE "&amp;Instruções!$D$20&amp;") A ")</f>
        <v xml:space="preserve">(SELECT prtctn_id as prtctn_id_as_is, dt_apprsl_prvs as dt_apprsl_prvs_as_is FROM cd_loan_tapes_bce.lt004_protection WHERE ref_date='2024-09-30' AND nome_perimetro='Individual Corporativo' AND segmento='ESTR' AND ambito='PM' AND entidade='00100' ) A </v>
      </c>
      <c r="I313" s="17" t="str">
        <f>IF(VLOOKUP(B313,Instruções!$F$13:$J$17,5,0)="",
"(SELECT "&amp;VLOOKUP(B313,Instruções!$F$13:$J$17,4,0)&amp;" as "&amp;VLOOKUP(B313,Instruções!$F$13:$J$17,4,0)&amp;"_"&amp;$G$2&amp;", "&amp;E313&amp;" as "&amp;G313&amp;" FROM "&amp;D313&amp;" WHERE "&amp;Instruções!$D$21&amp;") B ",
"(SELECT "&amp;VLOOKUP(B313,Instruções!$F$13:$J$17,4,0)&amp;" as "&amp;VLOOKUP(B313,Instruções!$F$13:$J$17,4,0)&amp;"_"&amp;$G$2&amp;", "&amp;VLOOKUP(B313,Instruções!$F$13:$J$17,5,0)&amp;" as "&amp;VLOOKUP(B313,Instruções!$F$13:$J$17,5,0)&amp;"_"&amp;$G$2&amp;","&amp;E313&amp;" as "&amp;G313&amp;" FROM "&amp;D313&amp;" WHERE "&amp;Instruções!$D$21&amp;") B ")</f>
        <v xml:space="preserve">(SELECT prtctn_id as prtctn_id_to_be, dt_apprsl_prvs as dt_apprsl_prvs_to_be FROM bu_loantape_work.lt004_protection WHERE ref_date='2024-09-30' AND nome_perimetro='Individual Corporativo' AND segmento='ESTR' AND ambito='PM' AND entidade='00100' ) B </v>
      </c>
      <c r="J313" s="17" t="str">
        <f>IF(VLOOKUP(B313,Instruções!$F$13:$J$17,5,0)="",
"ON "&amp;VLOOKUP(B313,Instruções!$F$13:$J$17,4,0)&amp;"_"&amp;$F$2&amp;" = "&amp;VLOOKUP(B313,Instruções!$F$13:$J$17,4,0)&amp;"_"&amp;$G$2&amp;" ",
"ON "&amp;VLOOKUP(B313,Instruções!$F$13:$J$17,4,0)&amp;"_"&amp;$F$2&amp;" = "&amp;VLOOKUP(B313,Instruções!$F$13:$J$17,4,0)&amp;"_"&amp;$G$2&amp;" AND "&amp;VLOOKUP(B313,Instruções!$F$13:$J$17,5,0)&amp;"_"&amp;$F$2&amp;" = "&amp;VLOOKUP(B313,Instruções!$F$13:$J$17,5,0)&amp;"_"&amp;$G$2&amp;" ")</f>
        <v xml:space="preserve">ON prtctn_id_as_is = prtctn_id_to_be </v>
      </c>
      <c r="K313" s="17" t="str">
        <f t="shared" si="40"/>
        <v xml:space="preserve">WHERE coalesce(cast(dt_apprsl_prvs_as_is as string), '') &lt;&gt; coalesce(cast(dt_apprsl_prvs_to_be as string), '') </v>
      </c>
      <c r="L313" s="17" t="str">
        <f t="shared" si="41"/>
        <v xml:space="preserve">SELECT count(*) AS NUM_REG_DIF FROM (SELECT prtctn_id as prtctn_id_as_is, dt_apprsl_prvs as dt_apprsl_prvs_as_is FROM cd_loan_tapes_bce.lt004_protection WHERE ref_date='2024-09-30' AND nome_perimetro='Individual Corporativo' AND segmento='ESTR' AND ambito='PM' AND entidade='00100' ) A  Inner join (SELECT prtctn_id as prtctn_id_to_be, dt_apprsl_prvs as dt_apprsl_prvs_to_be FROM bu_loantape_work.lt004_protection WHERE ref_date='2024-09-30' AND nome_perimetro='Individual Corporativo' AND segmento='ESTR' AND ambito='PM' AND entidade='00100' ) B ON prtctn_id_as_is = prtctn_id_to_be WHERE coalesce(cast(dt_apprsl_prvs_as_is as string), '') &lt;&gt; coalesce(cast(dt_apprsl_prvs_to_be as string), '') </v>
      </c>
      <c r="M313" s="17" t="s">
        <v>55</v>
      </c>
      <c r="N313" s="17" t="str">
        <f>"SELECT 'Validação de campos' as tipologia_teste, '"&amp;VLOOKUP(B313,Instruções!$F$13:$J$17,3,0)&amp;"' AS TABELA, '"&amp;E313&amp;"' AS CAMPO, '"&amp;Instruções!$D$15&amp;"' as ref_date, coalesce(NUM_REG_DIF, 0) AS NUM_REG_DIF FROM ("&amp;L313&amp;") A "</f>
        <v xml:space="preserve">SELECT 'Validação de campos' as tipologia_teste, 'lt004_protection' AS TABELA, 'dt_apprsl_prvs' AS CAMPO, '2024-09-30' as ref_date, coalesce(NUM_REG_DIF, 0) AS NUM_REG_DIF FROM (SELECT count(*) AS NUM_REG_DIF FROM (SELECT prtctn_id as prtctn_id_as_is, dt_apprsl_prvs as dt_apprsl_prvs_as_is FROM cd_loan_tapes_bce.lt004_protection WHERE ref_date='2024-09-30' AND nome_perimetro='Individual Corporativo' AND segmento='ESTR' AND ambito='PM' AND entidade='00100' ) A  Inner join (SELECT prtctn_id as prtctn_id_to_be, dt_apprsl_prvs as dt_apprsl_prvs_to_be FROM bu_loantape_work.lt004_protection WHERE ref_date='2024-09-30' AND nome_perimetro='Individual Corporativo' AND segmento='ESTR' AND ambito='PM' AND entidade='00100' ) B ON prtctn_id_as_is = prtctn_id_to_be WHERE coalesce(cast(dt_apprsl_prvs_as_is as string), '') &lt;&gt; coalesce(cast(dt_apprsl_prvs_to_be as string), '') ) A </v>
      </c>
      <c r="O313" s="19" t="str">
        <f t="shared" si="43"/>
        <v>SELECT 'Validação de campos' as tipologia_teste, 'lt004_protection' AS TABELA, 'dt_apprsl_prvs' AS CAMPO, '2024-09-30' as ref_date, coalesce(NUM_REG_DIF, 0) AS NUM_REG_DIF FROM (SELECT count(*) AS NUM_REG_DIF FROM (SELECT prtctn_id as prtctn_id_as_is, dt_apprsl_prvs as dt_apprsl_prvs_as_is FROM cd_loan_tapes_bce.lt004_protection WHERE ref_date='2024-09-30' AND nome_perimetro='Individual Corporativo' AND segmento='ESTR' AND ambito='PM' AND entidade='00100' ) A  Inner join (SELECT prtctn_id as prtctn_id_to_be, dt_apprsl_prvs as dt_apprsl_prvs_to_be FROM bu_loantape_work.lt004_protection WHERE ref_date='2024-09-30' AND nome_perimetro='Individual Corporativo' AND segmento='ESTR' AND ambito='PM' AND entidade='00100' ) B ON prtctn_id_as_is = prtctn_id_to_be WHERE coalesce(cast(dt_apprsl_prvs_as_is as string), '') &lt;&gt; coalesce(cast(dt_apprsl_prvs_to_be as string), '') ) A UNION ALL</v>
      </c>
      <c r="P313" s="17">
        <f t="shared" si="37"/>
        <v>6</v>
      </c>
    </row>
    <row r="314" spans="2:16" s="15" customFormat="1" ht="11.45">
      <c r="B314" s="17" t="s">
        <v>30</v>
      </c>
      <c r="C314" s="17" t="str">
        <f>_xlfn.CONCAT(Instruções!$D$13,".",VLOOKUP(B314,Instruções!$F$12:$H$17,2,0))</f>
        <v>cd_loan_tapes_bce.lt004_protection</v>
      </c>
      <c r="D314" s="17" t="str">
        <f>_xlfn.CONCAT(Instruções!$D$14,".",VLOOKUP(B314,Instruções!$F$12:$H$17,3,0))</f>
        <v>bu_loantape_work.lt004_protection</v>
      </c>
      <c r="E314" s="17" t="s">
        <v>363</v>
      </c>
      <c r="F314" s="17" t="str">
        <f t="shared" si="38"/>
        <v>dt_cnstrctn_stts_as_is</v>
      </c>
      <c r="G314" s="17" t="str">
        <f t="shared" si="39"/>
        <v>dt_cnstrctn_stts_to_be</v>
      </c>
      <c r="H314" s="17" t="str">
        <f>IF(VLOOKUP(B314,Instruções!$F$13:$J$17,5,0)="",
"(SELECT "&amp;VLOOKUP(B314,Instruções!$F$13:$J$17,4,0)&amp;" as "&amp;VLOOKUP(B314,Instruções!$F$13:$J$17,4,0)&amp;"_"&amp;$F$2&amp;", "&amp;E314&amp;" as "&amp;F314&amp;" FROM "&amp;C314&amp;" WHERE "&amp;Instruções!$D$20&amp;") A ",
"(SELECT "&amp;VLOOKUP(B314,Instruções!$F$13:$J$17,4,0)&amp;" as "&amp;VLOOKUP(B314,Instruções!$F$13:$J$17,4,0)&amp;"_"&amp;$F$2&amp;", "&amp;VLOOKUP(B314,Instruções!$F$13:$J$17,5,0)&amp;" as "&amp;VLOOKUP(B314,Instruções!$F$13:$J$17,5,0)&amp;"_"&amp;$F$2&amp;","&amp;E314&amp;" as "&amp;F314&amp;" FROM "&amp;C314&amp;" WHERE "&amp;Instruções!$D$20&amp;") A ")</f>
        <v xml:space="preserve">(SELECT prtctn_id as prtctn_id_as_is, dt_cnstrctn_stts as dt_cnstrctn_stts_as_is FROM cd_loan_tapes_bce.lt004_protection WHERE ref_date='2024-09-30' AND nome_perimetro='Individual Corporativo' AND segmento='ESTR' AND ambito='PM' AND entidade='00100' ) A </v>
      </c>
      <c r="I314" s="17" t="str">
        <f>IF(VLOOKUP(B314,Instruções!$F$13:$J$17,5,0)="",
"(SELECT "&amp;VLOOKUP(B314,Instruções!$F$13:$J$17,4,0)&amp;" as "&amp;VLOOKUP(B314,Instruções!$F$13:$J$17,4,0)&amp;"_"&amp;$G$2&amp;", "&amp;E314&amp;" as "&amp;G314&amp;" FROM "&amp;D314&amp;" WHERE "&amp;Instruções!$D$21&amp;") B ",
"(SELECT "&amp;VLOOKUP(B314,Instruções!$F$13:$J$17,4,0)&amp;" as "&amp;VLOOKUP(B314,Instruções!$F$13:$J$17,4,0)&amp;"_"&amp;$G$2&amp;", "&amp;VLOOKUP(B314,Instruções!$F$13:$J$17,5,0)&amp;" as "&amp;VLOOKUP(B314,Instruções!$F$13:$J$17,5,0)&amp;"_"&amp;$G$2&amp;","&amp;E314&amp;" as "&amp;G314&amp;" FROM "&amp;D314&amp;" WHERE "&amp;Instruções!$D$21&amp;") B ")</f>
        <v xml:space="preserve">(SELECT prtctn_id as prtctn_id_to_be, dt_cnstrctn_stts as dt_cnstrctn_stts_to_be FROM bu_loantape_work.lt004_protection WHERE ref_date='2024-09-30' AND nome_perimetro='Individual Corporativo' AND segmento='ESTR' AND ambito='PM' AND entidade='00100' ) B </v>
      </c>
      <c r="J314" s="17" t="str">
        <f>IF(VLOOKUP(B314,Instruções!$F$13:$J$17,5,0)="",
"ON "&amp;VLOOKUP(B314,Instruções!$F$13:$J$17,4,0)&amp;"_"&amp;$F$2&amp;" = "&amp;VLOOKUP(B314,Instruções!$F$13:$J$17,4,0)&amp;"_"&amp;$G$2&amp;" ",
"ON "&amp;VLOOKUP(B314,Instruções!$F$13:$J$17,4,0)&amp;"_"&amp;$F$2&amp;" = "&amp;VLOOKUP(B314,Instruções!$F$13:$J$17,4,0)&amp;"_"&amp;$G$2&amp;" AND "&amp;VLOOKUP(B314,Instruções!$F$13:$J$17,5,0)&amp;"_"&amp;$F$2&amp;" = "&amp;VLOOKUP(B314,Instruções!$F$13:$J$17,5,0)&amp;"_"&amp;$G$2&amp;" ")</f>
        <v xml:space="preserve">ON prtctn_id_as_is = prtctn_id_to_be </v>
      </c>
      <c r="K314" s="17" t="str">
        <f t="shared" si="40"/>
        <v xml:space="preserve">WHERE coalesce(cast(dt_cnstrctn_stts_as_is as string), '') &lt;&gt; coalesce(cast(dt_cnstrctn_stts_to_be as string), '') </v>
      </c>
      <c r="L314" s="17" t="str">
        <f t="shared" si="41"/>
        <v xml:space="preserve">SELECT count(*) AS NUM_REG_DIF FROM (SELECT prtctn_id as prtctn_id_as_is, dt_cnstrctn_stts as dt_cnstrctn_stts_as_is FROM cd_loan_tapes_bce.lt004_protection WHERE ref_date='2024-09-30' AND nome_perimetro='Individual Corporativo' AND segmento='ESTR' AND ambito='PM' AND entidade='00100' ) A  Inner join (SELECT prtctn_id as prtctn_id_to_be, dt_cnstrctn_stts as dt_cnstrctn_stts_to_be FROM bu_loantape_work.lt004_protection WHERE ref_date='2024-09-30' AND nome_perimetro='Individual Corporativo' AND segmento='ESTR' AND ambito='PM' AND entidade='00100' ) B ON prtctn_id_as_is = prtctn_id_to_be WHERE coalesce(cast(dt_cnstrctn_stts_as_is as string), '') &lt;&gt; coalesce(cast(dt_cnstrctn_stts_to_be as string), '') </v>
      </c>
      <c r="M314" s="17" t="s">
        <v>55</v>
      </c>
      <c r="N314" s="17" t="str">
        <f>"SELECT 'Validação de campos' as tipologia_teste, '"&amp;VLOOKUP(B314,Instruções!$F$13:$J$17,3,0)&amp;"' AS TABELA, '"&amp;E314&amp;"' AS CAMPO, '"&amp;Instruções!$D$15&amp;"' as ref_date, coalesce(NUM_REG_DIF, 0) AS NUM_REG_DIF FROM ("&amp;L314&amp;") A "</f>
        <v xml:space="preserve">SELECT 'Validação de campos' as tipologia_teste, 'lt004_protection' AS TABELA, 'dt_cnstrctn_stts' AS CAMPO, '2024-09-30' as ref_date, coalesce(NUM_REG_DIF, 0) AS NUM_REG_DIF FROM (SELECT count(*) AS NUM_REG_DIF FROM (SELECT prtctn_id as prtctn_id_as_is, dt_cnstrctn_stts as dt_cnstrctn_stts_as_is FROM cd_loan_tapes_bce.lt004_protection WHERE ref_date='2024-09-30' AND nome_perimetro='Individual Corporativo' AND segmento='ESTR' AND ambito='PM' AND entidade='00100' ) A  Inner join (SELECT prtctn_id as prtctn_id_to_be, dt_cnstrctn_stts as dt_cnstrctn_stts_to_be FROM bu_loantape_work.lt004_protection WHERE ref_date='2024-09-30' AND nome_perimetro='Individual Corporativo' AND segmento='ESTR' AND ambito='PM' AND entidade='00100' ) B ON prtctn_id_as_is = prtctn_id_to_be WHERE coalesce(cast(dt_cnstrctn_stts_as_is as string), '') &lt;&gt; coalesce(cast(dt_cnstrctn_stts_to_be as string), '') ) A </v>
      </c>
      <c r="O314" s="19" t="str">
        <f t="shared" si="43"/>
        <v>SELECT 'Validação de campos' as tipologia_teste, 'lt004_protection' AS TABELA, 'dt_cnstrctn_stts' AS CAMPO, '2024-09-30' as ref_date, coalesce(NUM_REG_DIF, 0) AS NUM_REG_DIF FROM (SELECT count(*) AS NUM_REG_DIF FROM (SELECT prtctn_id as prtctn_id_as_is, dt_cnstrctn_stts as dt_cnstrctn_stts_as_is FROM cd_loan_tapes_bce.lt004_protection WHERE ref_date='2024-09-30' AND nome_perimetro='Individual Corporativo' AND segmento='ESTR' AND ambito='PM' AND entidade='00100' ) A  Inner join (SELECT prtctn_id as prtctn_id_to_be, dt_cnstrctn_stts as dt_cnstrctn_stts_to_be FROM bu_loantape_work.lt004_protection WHERE ref_date='2024-09-30' AND nome_perimetro='Individual Corporativo' AND segmento='ESTR' AND ambito='PM' AND entidade='00100' ) B ON prtctn_id_as_is = prtctn_id_to_be WHERE coalesce(cast(dt_cnstrctn_stts_as_is as string), '') &lt;&gt; coalesce(cast(dt_cnstrctn_stts_to_be as string), '') ) A UNION ALL</v>
      </c>
      <c r="P314" s="17">
        <f t="shared" si="37"/>
        <v>7</v>
      </c>
    </row>
    <row r="315" spans="2:16" s="15" customFormat="1" ht="11.45">
      <c r="B315" s="17" t="s">
        <v>30</v>
      </c>
      <c r="C315" s="17" t="str">
        <f>_xlfn.CONCAT(Instruções!$D$13,".",VLOOKUP(B315,Instruções!$F$12:$H$17,2,0))</f>
        <v>cd_loan_tapes_bce.lt004_protection</v>
      </c>
      <c r="D315" s="17" t="str">
        <f>_xlfn.CONCAT(Instruções!$D$14,".",VLOOKUP(B315,Instruções!$F$12:$H$17,3,0))</f>
        <v>bu_loantape_work.lt004_protection</v>
      </c>
      <c r="E315" s="17" t="s">
        <v>364</v>
      </c>
      <c r="F315" s="17" t="str">
        <f t="shared" si="38"/>
        <v>dt_frst_usg_as_is</v>
      </c>
      <c r="G315" s="17" t="str">
        <f t="shared" si="39"/>
        <v>dt_frst_usg_to_be</v>
      </c>
      <c r="H315" s="17" t="str">
        <f>IF(VLOOKUP(B315,Instruções!$F$13:$J$17,5,0)="",
"(SELECT "&amp;VLOOKUP(B315,Instruções!$F$13:$J$17,4,0)&amp;" as "&amp;VLOOKUP(B315,Instruções!$F$13:$J$17,4,0)&amp;"_"&amp;$F$2&amp;", "&amp;E315&amp;" as "&amp;F315&amp;" FROM "&amp;C315&amp;" WHERE "&amp;Instruções!$D$20&amp;") A ",
"(SELECT "&amp;VLOOKUP(B315,Instruções!$F$13:$J$17,4,0)&amp;" as "&amp;VLOOKUP(B315,Instruções!$F$13:$J$17,4,0)&amp;"_"&amp;$F$2&amp;", "&amp;VLOOKUP(B315,Instruções!$F$13:$J$17,5,0)&amp;" as "&amp;VLOOKUP(B315,Instruções!$F$13:$J$17,5,0)&amp;"_"&amp;$F$2&amp;","&amp;E315&amp;" as "&amp;F315&amp;" FROM "&amp;C315&amp;" WHERE "&amp;Instruções!$D$20&amp;") A ")</f>
        <v xml:space="preserve">(SELECT prtctn_id as prtctn_id_as_is, dt_frst_usg as dt_frst_usg_as_is FROM cd_loan_tapes_bce.lt004_protection WHERE ref_date='2024-09-30' AND nome_perimetro='Individual Corporativo' AND segmento='ESTR' AND ambito='PM' AND entidade='00100' ) A </v>
      </c>
      <c r="I315" s="17" t="str">
        <f>IF(VLOOKUP(B315,Instruções!$F$13:$J$17,5,0)="",
"(SELECT "&amp;VLOOKUP(B315,Instruções!$F$13:$J$17,4,0)&amp;" as "&amp;VLOOKUP(B315,Instruções!$F$13:$J$17,4,0)&amp;"_"&amp;$G$2&amp;", "&amp;E315&amp;" as "&amp;G315&amp;" FROM "&amp;D315&amp;" WHERE "&amp;Instruções!$D$21&amp;") B ",
"(SELECT "&amp;VLOOKUP(B315,Instruções!$F$13:$J$17,4,0)&amp;" as "&amp;VLOOKUP(B315,Instruções!$F$13:$J$17,4,0)&amp;"_"&amp;$G$2&amp;", "&amp;VLOOKUP(B315,Instruções!$F$13:$J$17,5,0)&amp;" as "&amp;VLOOKUP(B315,Instruções!$F$13:$J$17,5,0)&amp;"_"&amp;$G$2&amp;","&amp;E315&amp;" as "&amp;G315&amp;" FROM "&amp;D315&amp;" WHERE "&amp;Instruções!$D$21&amp;") B ")</f>
        <v xml:space="preserve">(SELECT prtctn_id as prtctn_id_to_be, dt_frst_usg as dt_frst_usg_to_be FROM bu_loantape_work.lt004_protection WHERE ref_date='2024-09-30' AND nome_perimetro='Individual Corporativo' AND segmento='ESTR' AND ambito='PM' AND entidade='00100' ) B </v>
      </c>
      <c r="J315" s="17" t="str">
        <f>IF(VLOOKUP(B315,Instruções!$F$13:$J$17,5,0)="",
"ON "&amp;VLOOKUP(B315,Instruções!$F$13:$J$17,4,0)&amp;"_"&amp;$F$2&amp;" = "&amp;VLOOKUP(B315,Instruções!$F$13:$J$17,4,0)&amp;"_"&amp;$G$2&amp;" ",
"ON "&amp;VLOOKUP(B315,Instruções!$F$13:$J$17,4,0)&amp;"_"&amp;$F$2&amp;" = "&amp;VLOOKUP(B315,Instruções!$F$13:$J$17,4,0)&amp;"_"&amp;$G$2&amp;" AND "&amp;VLOOKUP(B315,Instruções!$F$13:$J$17,5,0)&amp;"_"&amp;$F$2&amp;" = "&amp;VLOOKUP(B315,Instruções!$F$13:$J$17,5,0)&amp;"_"&amp;$G$2&amp;" ")</f>
        <v xml:space="preserve">ON prtctn_id_as_is = prtctn_id_to_be </v>
      </c>
      <c r="K315" s="17" t="str">
        <f t="shared" si="40"/>
        <v xml:space="preserve">WHERE coalesce(cast(dt_frst_usg_as_is as string), '') &lt;&gt; coalesce(cast(dt_frst_usg_to_be as string), '') </v>
      </c>
      <c r="L315" s="17" t="str">
        <f t="shared" si="41"/>
        <v xml:space="preserve">SELECT count(*) AS NUM_REG_DIF FROM (SELECT prtctn_id as prtctn_id_as_is, dt_frst_usg as dt_frst_usg_as_is FROM cd_loan_tapes_bce.lt004_protection WHERE ref_date='2024-09-30' AND nome_perimetro='Individual Corporativo' AND segmento='ESTR' AND ambito='PM' AND entidade='00100' ) A  Inner join (SELECT prtctn_id as prtctn_id_to_be, dt_frst_usg as dt_frst_usg_to_be FROM bu_loantape_work.lt004_protection WHERE ref_date='2024-09-30' AND nome_perimetro='Individual Corporativo' AND segmento='ESTR' AND ambito='PM' AND entidade='00100' ) B ON prtctn_id_as_is = prtctn_id_to_be WHERE coalesce(cast(dt_frst_usg_as_is as string), '') &lt;&gt; coalesce(cast(dt_frst_usg_to_be as string), '') </v>
      </c>
      <c r="M315" s="17" t="s">
        <v>55</v>
      </c>
      <c r="N315" s="17" t="str">
        <f>"SELECT 'Validação de campos' as tipologia_teste, '"&amp;VLOOKUP(B315,Instruções!$F$13:$J$17,3,0)&amp;"' AS TABELA, '"&amp;E315&amp;"' AS CAMPO, '"&amp;Instruções!$D$15&amp;"' as ref_date, coalesce(NUM_REG_DIF, 0) AS NUM_REG_DIF FROM ("&amp;L315&amp;") A "</f>
        <v xml:space="preserve">SELECT 'Validação de campos' as tipologia_teste, 'lt004_protection' AS TABELA, 'dt_frst_usg' AS CAMPO, '2024-09-30' as ref_date, coalesce(NUM_REG_DIF, 0) AS NUM_REG_DIF FROM (SELECT count(*) AS NUM_REG_DIF FROM (SELECT prtctn_id as prtctn_id_as_is, dt_frst_usg as dt_frst_usg_as_is FROM cd_loan_tapes_bce.lt004_protection WHERE ref_date='2024-09-30' AND nome_perimetro='Individual Corporativo' AND segmento='ESTR' AND ambito='PM' AND entidade='00100' ) A  Inner join (SELECT prtctn_id as prtctn_id_to_be, dt_frst_usg as dt_frst_usg_to_be FROM bu_loantape_work.lt004_protection WHERE ref_date='2024-09-30' AND nome_perimetro='Individual Corporativo' AND segmento='ESTR' AND ambito='PM' AND entidade='00100' ) B ON prtctn_id_as_is = prtctn_id_to_be WHERE coalesce(cast(dt_frst_usg_as_is as string), '') &lt;&gt; coalesce(cast(dt_frst_usg_to_be as string), '') ) A </v>
      </c>
      <c r="O315" s="19" t="str">
        <f t="shared" si="43"/>
        <v>SELECT 'Validação de campos' as tipologia_teste, 'lt004_protection' AS TABELA, 'dt_frst_usg' AS CAMPO, '2024-09-30' as ref_date, coalesce(NUM_REG_DIF, 0) AS NUM_REG_DIF FROM (SELECT count(*) AS NUM_REG_DIF FROM (SELECT prtctn_id as prtctn_id_as_is, dt_frst_usg as dt_frst_usg_as_is FROM cd_loan_tapes_bce.lt004_protection WHERE ref_date='2024-09-30' AND nome_perimetro='Individual Corporativo' AND segmento='ESTR' AND ambito='PM' AND entidade='00100' ) A  Inner join (SELECT prtctn_id as prtctn_id_to_be, dt_frst_usg as dt_frst_usg_to_be FROM bu_loantape_work.lt004_protection WHERE ref_date='2024-09-30' AND nome_perimetro='Individual Corporativo' AND segmento='ESTR' AND ambito='PM' AND entidade='00100' ) B ON prtctn_id_as_is = prtctn_id_to_be WHERE coalesce(cast(dt_frst_usg_as_is as string), '') &lt;&gt; coalesce(cast(dt_frst_usg_to_be as string), '') ) A UNION ALL</v>
      </c>
      <c r="P315" s="17">
        <f t="shared" si="37"/>
        <v>8</v>
      </c>
    </row>
    <row r="316" spans="2:16" s="15" customFormat="1" ht="11.45">
      <c r="B316" s="17" t="s">
        <v>30</v>
      </c>
      <c r="C316" s="17" t="str">
        <f>_xlfn.CONCAT(Instruções!$D$13,".",VLOOKUP(B316,Instruções!$F$12:$H$17,2,0))</f>
        <v>cd_loan_tapes_bce.lt004_protection</v>
      </c>
      <c r="D316" s="17" t="str">
        <f>_xlfn.CONCAT(Instruções!$D$14,".",VLOOKUP(B316,Instruções!$F$12:$H$17,3,0))</f>
        <v>bu_loantape_work.lt004_protection</v>
      </c>
      <c r="E316" s="17" t="s">
        <v>388</v>
      </c>
      <c r="F316" s="17" t="str">
        <f t="shared" si="38"/>
        <v>typ_prtctn_as_is</v>
      </c>
      <c r="G316" s="17" t="str">
        <f t="shared" si="39"/>
        <v>typ_prtctn_to_be</v>
      </c>
      <c r="H316" s="17" t="str">
        <f>IF(VLOOKUP(B316,Instruções!$F$13:$J$17,5,0)="",
"(SELECT "&amp;VLOOKUP(B316,Instruções!$F$13:$J$17,4,0)&amp;" as "&amp;VLOOKUP(B316,Instruções!$F$13:$J$17,4,0)&amp;"_"&amp;$F$2&amp;", "&amp;E316&amp;" as "&amp;F316&amp;" FROM "&amp;C316&amp;" WHERE "&amp;Instruções!$D$20&amp;") A ",
"(SELECT "&amp;VLOOKUP(B316,Instruções!$F$13:$J$17,4,0)&amp;" as "&amp;VLOOKUP(B316,Instruções!$F$13:$J$17,4,0)&amp;"_"&amp;$F$2&amp;", "&amp;VLOOKUP(B316,Instruções!$F$13:$J$17,5,0)&amp;" as "&amp;VLOOKUP(B316,Instruções!$F$13:$J$17,5,0)&amp;"_"&amp;$F$2&amp;","&amp;E316&amp;" as "&amp;F316&amp;" FROM "&amp;C316&amp;" WHERE "&amp;Instruções!$D$20&amp;") A ")</f>
        <v xml:space="preserve">(SELECT prtctn_id as prtctn_id_as_is, typ_prtctn as typ_prtctn_as_is FROM cd_loan_tapes_bce.lt004_protection WHERE ref_date='2024-09-30' AND nome_perimetro='Individual Corporativo' AND segmento='ESTR' AND ambito='PM' AND entidade='00100' ) A </v>
      </c>
      <c r="I316" s="17" t="str">
        <f>IF(VLOOKUP(B316,Instruções!$F$13:$J$17,5,0)="",
"(SELECT "&amp;VLOOKUP(B316,Instruções!$F$13:$J$17,4,0)&amp;" as "&amp;VLOOKUP(B316,Instruções!$F$13:$J$17,4,0)&amp;"_"&amp;$G$2&amp;", "&amp;E316&amp;" as "&amp;G316&amp;" FROM "&amp;D316&amp;" WHERE "&amp;Instruções!$D$21&amp;") B ",
"(SELECT "&amp;VLOOKUP(B316,Instruções!$F$13:$J$17,4,0)&amp;" as "&amp;VLOOKUP(B316,Instruções!$F$13:$J$17,4,0)&amp;"_"&amp;$G$2&amp;", "&amp;VLOOKUP(B316,Instruções!$F$13:$J$17,5,0)&amp;" as "&amp;VLOOKUP(B316,Instruções!$F$13:$J$17,5,0)&amp;"_"&amp;$G$2&amp;","&amp;E316&amp;" as "&amp;G316&amp;" FROM "&amp;D316&amp;" WHERE "&amp;Instruções!$D$21&amp;") B ")</f>
        <v xml:space="preserve">(SELECT prtctn_id as prtctn_id_to_be, typ_prtctn as typ_prtctn_to_be FROM bu_loantape_work.lt004_protection WHERE ref_date='2024-09-30' AND nome_perimetro='Individual Corporativo' AND segmento='ESTR' AND ambito='PM' AND entidade='00100' ) B </v>
      </c>
      <c r="J316" s="17" t="str">
        <f>IF(VLOOKUP(B316,Instruções!$F$13:$J$17,5,0)="",
"ON "&amp;VLOOKUP(B316,Instruções!$F$13:$J$17,4,0)&amp;"_"&amp;$F$2&amp;" = "&amp;VLOOKUP(B316,Instruções!$F$13:$J$17,4,0)&amp;"_"&amp;$G$2&amp;" ",
"ON "&amp;VLOOKUP(B316,Instruções!$F$13:$J$17,4,0)&amp;"_"&amp;$F$2&amp;" = "&amp;VLOOKUP(B316,Instruções!$F$13:$J$17,4,0)&amp;"_"&amp;$G$2&amp;" AND "&amp;VLOOKUP(B316,Instruções!$F$13:$J$17,5,0)&amp;"_"&amp;$F$2&amp;" = "&amp;VLOOKUP(B316,Instruções!$F$13:$J$17,5,0)&amp;"_"&amp;$G$2&amp;" ")</f>
        <v xml:space="preserve">ON prtctn_id_as_is = prtctn_id_to_be </v>
      </c>
      <c r="K316" s="17" t="str">
        <f t="shared" si="40"/>
        <v xml:space="preserve">WHERE coalesce(cast(typ_prtctn_as_is as string), '') &lt;&gt; coalesce(cast(typ_prtctn_to_be as string), '') </v>
      </c>
      <c r="L316" s="17" t="str">
        <f t="shared" si="41"/>
        <v xml:space="preserve">SELECT count(*) AS NUM_REG_DIF FROM (SELECT prtctn_id as prtctn_id_as_is, typ_prtctn as typ_prtctn_as_is FROM cd_loan_tapes_bce.lt004_protection WHERE ref_date='2024-09-30' AND nome_perimetro='Individual Corporativo' AND segmento='ESTR' AND ambito='PM' AND entidade='00100' ) A  Inner join (SELECT prtctn_id as prtctn_id_to_be, typ_prtctn as typ_prtctn_to_be FROM bu_loantape_work.lt004_protection WHERE ref_date='2024-09-30' AND nome_perimetro='Individual Corporativo' AND segmento='ESTR' AND ambito='PM' AND entidade='00100' ) B ON prtctn_id_as_is = prtctn_id_to_be WHERE coalesce(cast(typ_prtctn_as_is as string), '') &lt;&gt; coalesce(cast(typ_prtctn_to_be as string), '') </v>
      </c>
      <c r="M316" s="17" t="s">
        <v>55</v>
      </c>
      <c r="N316" s="17" t="str">
        <f>"SELECT 'Validação de campos' as tipologia_teste, '"&amp;VLOOKUP(B316,Instruções!$F$13:$J$17,3,0)&amp;"' AS TABELA, '"&amp;E316&amp;"' AS CAMPO, '"&amp;Instruções!$D$15&amp;"' as ref_date, coalesce(NUM_REG_DIF, 0) AS NUM_REG_DIF FROM ("&amp;L316&amp;") A "</f>
        <v xml:space="preserve">SELECT 'Validação de campos' as tipologia_teste, 'lt004_protection' AS TABELA, 'typ_prtctn' AS CAMPO, '2024-09-30' as ref_date, coalesce(NUM_REG_DIF, 0) AS NUM_REG_DIF FROM (SELECT count(*) AS NUM_REG_DIF FROM (SELECT prtctn_id as prtctn_id_as_is, typ_prtctn as typ_prtctn_as_is FROM cd_loan_tapes_bce.lt004_protection WHERE ref_date='2024-09-30' AND nome_perimetro='Individual Corporativo' AND segmento='ESTR' AND ambito='PM' AND entidade='00100' ) A  Inner join (SELECT prtctn_id as prtctn_id_to_be, typ_prtctn as typ_prtctn_to_be FROM bu_loantape_work.lt004_protection WHERE ref_date='2024-09-30' AND nome_perimetro='Individual Corporativo' AND segmento='ESTR' AND ambito='PM' AND entidade='00100' ) B ON prtctn_id_as_is = prtctn_id_to_be WHERE coalesce(cast(typ_prtctn_as_is as string), '') &lt;&gt; coalesce(cast(typ_prtctn_to_be as string), '') ) A </v>
      </c>
      <c r="O316" s="19" t="str">
        <f t="shared" si="43"/>
        <v>SELECT 'Validação de campos' as tipologia_teste, 'lt004_protection' AS TABELA, 'typ_prtctn' AS CAMPO, '2024-09-30' as ref_date, coalesce(NUM_REG_DIF, 0) AS NUM_REG_DIF FROM (SELECT count(*) AS NUM_REG_DIF FROM (SELECT prtctn_id as prtctn_id_as_is, typ_prtctn as typ_prtctn_as_is FROM cd_loan_tapes_bce.lt004_protection WHERE ref_date='2024-09-30' AND nome_perimetro='Individual Corporativo' AND segmento='ESTR' AND ambito='PM' AND entidade='00100' ) A  Inner join (SELECT prtctn_id as prtctn_id_to_be, typ_prtctn as typ_prtctn_to_be FROM bu_loantape_work.lt004_protection WHERE ref_date='2024-09-30' AND nome_perimetro='Individual Corporativo' AND segmento='ESTR' AND ambito='PM' AND entidade='00100' ) B ON prtctn_id_as_is = prtctn_id_to_be WHERE coalesce(cast(typ_prtctn_as_is as string), '') &lt;&gt; coalesce(cast(typ_prtctn_to_be as string), '') ) A UNION ALL</v>
      </c>
      <c r="P316" s="17">
        <f t="shared" si="37"/>
        <v>9</v>
      </c>
    </row>
    <row r="317" spans="2:16" s="15" customFormat="1" ht="11.45">
      <c r="B317" s="17" t="s">
        <v>30</v>
      </c>
      <c r="C317" s="17" t="str">
        <f>_xlfn.CONCAT(Instruções!$D$13,".",VLOOKUP(B317,Instruções!$F$12:$H$17,2,0))</f>
        <v>cd_loan_tapes_bce.lt004_protection</v>
      </c>
      <c r="D317" s="17" t="str">
        <f>_xlfn.CONCAT(Instruções!$D$14,".",VLOOKUP(B317,Instruções!$F$12:$H$17,3,0))</f>
        <v>bu_loantape_work.lt004_protection</v>
      </c>
      <c r="E317" s="17" t="s">
        <v>365</v>
      </c>
      <c r="F317" s="17" t="str">
        <f t="shared" si="38"/>
        <v>dt_lst_fll_apprsl_as_is</v>
      </c>
      <c r="G317" s="17" t="str">
        <f t="shared" si="39"/>
        <v>dt_lst_fll_apprsl_to_be</v>
      </c>
      <c r="H317" s="17" t="str">
        <f>IF(VLOOKUP(B317,Instruções!$F$13:$J$17,5,0)="",
"(SELECT "&amp;VLOOKUP(B317,Instruções!$F$13:$J$17,4,0)&amp;" as "&amp;VLOOKUP(B317,Instruções!$F$13:$J$17,4,0)&amp;"_"&amp;$F$2&amp;", "&amp;E317&amp;" as "&amp;F317&amp;" FROM "&amp;C317&amp;" WHERE "&amp;Instruções!$D$20&amp;") A ",
"(SELECT "&amp;VLOOKUP(B317,Instruções!$F$13:$J$17,4,0)&amp;" as "&amp;VLOOKUP(B317,Instruções!$F$13:$J$17,4,0)&amp;"_"&amp;$F$2&amp;", "&amp;VLOOKUP(B317,Instruções!$F$13:$J$17,5,0)&amp;" as "&amp;VLOOKUP(B317,Instruções!$F$13:$J$17,5,0)&amp;"_"&amp;$F$2&amp;","&amp;E317&amp;" as "&amp;F317&amp;" FROM "&amp;C317&amp;" WHERE "&amp;Instruções!$D$20&amp;") A ")</f>
        <v xml:space="preserve">(SELECT prtctn_id as prtctn_id_as_is, dt_lst_fll_apprsl as dt_lst_fll_apprsl_as_is FROM cd_loan_tapes_bce.lt004_protection WHERE ref_date='2024-09-30' AND nome_perimetro='Individual Corporativo' AND segmento='ESTR' AND ambito='PM' AND entidade='00100' ) A </v>
      </c>
      <c r="I317" s="17" t="str">
        <f>IF(VLOOKUP(B317,Instruções!$F$13:$J$17,5,0)="",
"(SELECT "&amp;VLOOKUP(B317,Instruções!$F$13:$J$17,4,0)&amp;" as "&amp;VLOOKUP(B317,Instruções!$F$13:$J$17,4,0)&amp;"_"&amp;$G$2&amp;", "&amp;E317&amp;" as "&amp;G317&amp;" FROM "&amp;D317&amp;" WHERE "&amp;Instruções!$D$21&amp;") B ",
"(SELECT "&amp;VLOOKUP(B317,Instruções!$F$13:$J$17,4,0)&amp;" as "&amp;VLOOKUP(B317,Instruções!$F$13:$J$17,4,0)&amp;"_"&amp;$G$2&amp;", "&amp;VLOOKUP(B317,Instruções!$F$13:$J$17,5,0)&amp;" as "&amp;VLOOKUP(B317,Instruções!$F$13:$J$17,5,0)&amp;"_"&amp;$G$2&amp;","&amp;E317&amp;" as "&amp;G317&amp;" FROM "&amp;D317&amp;" WHERE "&amp;Instruções!$D$21&amp;") B ")</f>
        <v xml:space="preserve">(SELECT prtctn_id as prtctn_id_to_be, dt_lst_fll_apprsl as dt_lst_fll_apprsl_to_be FROM bu_loantape_work.lt004_protection WHERE ref_date='2024-09-30' AND nome_perimetro='Individual Corporativo' AND segmento='ESTR' AND ambito='PM' AND entidade='00100' ) B </v>
      </c>
      <c r="J317" s="17" t="str">
        <f>IF(VLOOKUP(B317,Instruções!$F$13:$J$17,5,0)="",
"ON "&amp;VLOOKUP(B317,Instruções!$F$13:$J$17,4,0)&amp;"_"&amp;$F$2&amp;" = "&amp;VLOOKUP(B317,Instruções!$F$13:$J$17,4,0)&amp;"_"&amp;$G$2&amp;" ",
"ON "&amp;VLOOKUP(B317,Instruções!$F$13:$J$17,4,0)&amp;"_"&amp;$F$2&amp;" = "&amp;VLOOKUP(B317,Instruções!$F$13:$J$17,4,0)&amp;"_"&amp;$G$2&amp;" AND "&amp;VLOOKUP(B317,Instruções!$F$13:$J$17,5,0)&amp;"_"&amp;$F$2&amp;" = "&amp;VLOOKUP(B317,Instruções!$F$13:$J$17,5,0)&amp;"_"&amp;$G$2&amp;" ")</f>
        <v xml:space="preserve">ON prtctn_id_as_is = prtctn_id_to_be </v>
      </c>
      <c r="K317" s="17" t="str">
        <f t="shared" si="40"/>
        <v xml:space="preserve">WHERE coalesce(cast(dt_lst_fll_apprsl_as_is as string), '') &lt;&gt; coalesce(cast(dt_lst_fll_apprsl_to_be as string), '') </v>
      </c>
      <c r="L317" s="17" t="str">
        <f t="shared" si="41"/>
        <v xml:space="preserve">SELECT count(*) AS NUM_REG_DIF FROM (SELECT prtctn_id as prtctn_id_as_is, dt_lst_fll_apprsl as dt_lst_fll_apprsl_as_is FROM cd_loan_tapes_bce.lt004_protection WHERE ref_date='2024-09-30' AND nome_perimetro='Individual Corporativo' AND segmento='ESTR' AND ambito='PM' AND entidade='00100' ) A  Inner join (SELECT prtctn_id as prtctn_id_to_be, dt_lst_fll_apprsl as dt_lst_fll_apprsl_to_be FROM bu_loantape_work.lt004_protection WHERE ref_date='2024-09-30' AND nome_perimetro='Individual Corporativo' AND segmento='ESTR' AND ambito='PM' AND entidade='00100' ) B ON prtctn_id_as_is = prtctn_id_to_be WHERE coalesce(cast(dt_lst_fll_apprsl_as_is as string), '') &lt;&gt; coalesce(cast(dt_lst_fll_apprsl_to_be as string), '') </v>
      </c>
      <c r="M317" s="17" t="s">
        <v>55</v>
      </c>
      <c r="N317" s="17" t="str">
        <f>"SELECT 'Validação de campos' as tipologia_teste, '"&amp;VLOOKUP(B317,Instruções!$F$13:$J$17,3,0)&amp;"' AS TABELA, '"&amp;E317&amp;"' AS CAMPO, '"&amp;Instruções!$D$15&amp;"' as ref_date, coalesce(NUM_REG_DIF, 0) AS NUM_REG_DIF FROM ("&amp;L317&amp;") A "</f>
        <v xml:space="preserve">SELECT 'Validação de campos' as tipologia_teste, 'lt004_protection' AS TABELA, 'dt_lst_fll_apprsl' AS CAMPO, '2024-09-30' as ref_date, coalesce(NUM_REG_DIF, 0) AS NUM_REG_DIF FROM (SELECT count(*) AS NUM_REG_DIF FROM (SELECT prtctn_id as prtctn_id_as_is, dt_lst_fll_apprsl as dt_lst_fll_apprsl_as_is FROM cd_loan_tapes_bce.lt004_protection WHERE ref_date='2024-09-30' AND nome_perimetro='Individual Corporativo' AND segmento='ESTR' AND ambito='PM' AND entidade='00100' ) A  Inner join (SELECT prtctn_id as prtctn_id_to_be, dt_lst_fll_apprsl as dt_lst_fll_apprsl_to_be FROM bu_loantape_work.lt004_protection WHERE ref_date='2024-09-30' AND nome_perimetro='Individual Corporativo' AND segmento='ESTR' AND ambito='PM' AND entidade='00100' ) B ON prtctn_id_as_is = prtctn_id_to_be WHERE coalesce(cast(dt_lst_fll_apprsl_as_is as string), '') &lt;&gt; coalesce(cast(dt_lst_fll_apprsl_to_be as string), '') ) A </v>
      </c>
      <c r="O317" s="19" t="str">
        <f t="shared" si="43"/>
        <v>SELECT 'Validação de campos' as tipologia_teste, 'lt004_protection' AS TABELA, 'dt_lst_fll_apprsl' AS CAMPO, '2024-09-30' as ref_date, coalesce(NUM_REG_DIF, 0) AS NUM_REG_DIF FROM (SELECT count(*) AS NUM_REG_DIF FROM (SELECT prtctn_id as prtctn_id_as_is, dt_lst_fll_apprsl as dt_lst_fll_apprsl_as_is FROM cd_loan_tapes_bce.lt004_protection WHERE ref_date='2024-09-30' AND nome_perimetro='Individual Corporativo' AND segmento='ESTR' AND ambito='PM' AND entidade='00100' ) A  Inner join (SELECT prtctn_id as prtctn_id_to_be, dt_lst_fll_apprsl as dt_lst_fll_apprsl_to_be FROM bu_loantape_work.lt004_protection WHERE ref_date='2024-09-30' AND nome_perimetro='Individual Corporativo' AND segmento='ESTR' AND ambito='PM' AND entidade='00100' ) B ON prtctn_id_as_is = prtctn_id_to_be WHERE coalesce(cast(dt_lst_fll_apprsl_as_is as string), '') &lt;&gt; coalesce(cast(dt_lst_fll_apprsl_to_be as string), '') ) A UNION ALL</v>
      </c>
      <c r="P317" s="17">
        <f t="shared" si="37"/>
        <v>10</v>
      </c>
    </row>
    <row r="318" spans="2:16" s="15" customFormat="1" ht="11.45">
      <c r="B318" s="17" t="s">
        <v>30</v>
      </c>
      <c r="C318" s="17" t="str">
        <f>_xlfn.CONCAT(Instruções!$D$13,".",VLOOKUP(B318,Instruções!$F$12:$H$17,2,0))</f>
        <v>cd_loan_tapes_bce.lt004_protection</v>
      </c>
      <c r="D318" s="17" t="str">
        <f>_xlfn.CONCAT(Instruções!$D$14,".",VLOOKUP(B318,Instruções!$F$12:$H$17,3,0))</f>
        <v>bu_loantape_work.lt004_protection</v>
      </c>
      <c r="E318" s="17" t="s">
        <v>366</v>
      </c>
      <c r="F318" s="17" t="str">
        <f t="shared" si="38"/>
        <v>dt_mtrty_prtctn_as_is</v>
      </c>
      <c r="G318" s="17" t="str">
        <f t="shared" si="39"/>
        <v>dt_mtrty_prtctn_to_be</v>
      </c>
      <c r="H318" s="17" t="str">
        <f>IF(VLOOKUP(B318,Instruções!$F$13:$J$17,5,0)="",
"(SELECT "&amp;VLOOKUP(B318,Instruções!$F$13:$J$17,4,0)&amp;" as "&amp;VLOOKUP(B318,Instruções!$F$13:$J$17,4,0)&amp;"_"&amp;$F$2&amp;", "&amp;E318&amp;" as "&amp;F318&amp;" FROM "&amp;C318&amp;" WHERE "&amp;Instruções!$D$20&amp;") A ",
"(SELECT "&amp;VLOOKUP(B318,Instruções!$F$13:$J$17,4,0)&amp;" as "&amp;VLOOKUP(B318,Instruções!$F$13:$J$17,4,0)&amp;"_"&amp;$F$2&amp;", "&amp;VLOOKUP(B318,Instruções!$F$13:$J$17,5,0)&amp;" as "&amp;VLOOKUP(B318,Instruções!$F$13:$J$17,5,0)&amp;"_"&amp;$F$2&amp;","&amp;E318&amp;" as "&amp;F318&amp;" FROM "&amp;C318&amp;" WHERE "&amp;Instruções!$D$20&amp;") A ")</f>
        <v xml:space="preserve">(SELECT prtctn_id as prtctn_id_as_is, dt_mtrty_prtctn as dt_mtrty_prtctn_as_is FROM cd_loan_tapes_bce.lt004_protection WHERE ref_date='2024-09-30' AND nome_perimetro='Individual Corporativo' AND segmento='ESTR' AND ambito='PM' AND entidade='00100' ) A </v>
      </c>
      <c r="I318" s="17" t="str">
        <f>IF(VLOOKUP(B318,Instruções!$F$13:$J$17,5,0)="",
"(SELECT "&amp;VLOOKUP(B318,Instruções!$F$13:$J$17,4,0)&amp;" as "&amp;VLOOKUP(B318,Instruções!$F$13:$J$17,4,0)&amp;"_"&amp;$G$2&amp;", "&amp;E318&amp;" as "&amp;G318&amp;" FROM "&amp;D318&amp;" WHERE "&amp;Instruções!$D$21&amp;") B ",
"(SELECT "&amp;VLOOKUP(B318,Instruções!$F$13:$J$17,4,0)&amp;" as "&amp;VLOOKUP(B318,Instruções!$F$13:$J$17,4,0)&amp;"_"&amp;$G$2&amp;", "&amp;VLOOKUP(B318,Instruções!$F$13:$J$17,5,0)&amp;" as "&amp;VLOOKUP(B318,Instruções!$F$13:$J$17,5,0)&amp;"_"&amp;$G$2&amp;","&amp;E318&amp;" as "&amp;G318&amp;" FROM "&amp;D318&amp;" WHERE "&amp;Instruções!$D$21&amp;") B ")</f>
        <v xml:space="preserve">(SELECT prtctn_id as prtctn_id_to_be, dt_mtrty_prtctn as dt_mtrty_prtctn_to_be FROM bu_loantape_work.lt004_protection WHERE ref_date='2024-09-30' AND nome_perimetro='Individual Corporativo' AND segmento='ESTR' AND ambito='PM' AND entidade='00100' ) B </v>
      </c>
      <c r="J318" s="17" t="str">
        <f>IF(VLOOKUP(B318,Instruções!$F$13:$J$17,5,0)="",
"ON "&amp;VLOOKUP(B318,Instruções!$F$13:$J$17,4,0)&amp;"_"&amp;$F$2&amp;" = "&amp;VLOOKUP(B318,Instruções!$F$13:$J$17,4,0)&amp;"_"&amp;$G$2&amp;" ",
"ON "&amp;VLOOKUP(B318,Instruções!$F$13:$J$17,4,0)&amp;"_"&amp;$F$2&amp;" = "&amp;VLOOKUP(B318,Instruções!$F$13:$J$17,4,0)&amp;"_"&amp;$G$2&amp;" AND "&amp;VLOOKUP(B318,Instruções!$F$13:$J$17,5,0)&amp;"_"&amp;$F$2&amp;" = "&amp;VLOOKUP(B318,Instruções!$F$13:$J$17,5,0)&amp;"_"&amp;$G$2&amp;" ")</f>
        <v xml:space="preserve">ON prtctn_id_as_is = prtctn_id_to_be </v>
      </c>
      <c r="K318" s="17" t="str">
        <f t="shared" si="40"/>
        <v xml:space="preserve">WHERE coalesce(cast(dt_mtrty_prtctn_as_is as string), '') &lt;&gt; coalesce(cast(dt_mtrty_prtctn_to_be as string), '') </v>
      </c>
      <c r="L318" s="17" t="str">
        <f t="shared" si="41"/>
        <v xml:space="preserve">SELECT count(*) AS NUM_REG_DIF FROM (SELECT prtctn_id as prtctn_id_as_is, dt_mtrty_prtctn as dt_mtrty_prtctn_as_is FROM cd_loan_tapes_bce.lt004_protection WHERE ref_date='2024-09-30' AND nome_perimetro='Individual Corporativo' AND segmento='ESTR' AND ambito='PM' AND entidade='00100' ) A  Inner join (SELECT prtctn_id as prtctn_id_to_be, dt_mtrty_prtctn as dt_mtrty_prtctn_to_be FROM bu_loantape_work.lt004_protection WHERE ref_date='2024-09-30' AND nome_perimetro='Individual Corporativo' AND segmento='ESTR' AND ambito='PM' AND entidade='00100' ) B ON prtctn_id_as_is = prtctn_id_to_be WHERE coalesce(cast(dt_mtrty_prtctn_as_is as string), '') &lt;&gt; coalesce(cast(dt_mtrty_prtctn_to_be as string), '') </v>
      </c>
      <c r="M318" s="17" t="s">
        <v>55</v>
      </c>
      <c r="N318" s="17" t="str">
        <f>"SELECT 'Validação de campos' as tipologia_teste, '"&amp;VLOOKUP(B318,Instruções!$F$13:$J$17,3,0)&amp;"' AS TABELA, '"&amp;E318&amp;"' AS CAMPO, '"&amp;Instruções!$D$15&amp;"' as ref_date, coalesce(NUM_REG_DIF, 0) AS NUM_REG_DIF FROM ("&amp;L318&amp;") A "</f>
        <v xml:space="preserve">SELECT 'Validação de campos' as tipologia_teste, 'lt004_protection' AS TABELA, 'dt_mtrty_prtctn' AS CAMPO, '2024-09-30' as ref_date, coalesce(NUM_REG_DIF, 0) AS NUM_REG_DIF FROM (SELECT count(*) AS NUM_REG_DIF FROM (SELECT prtctn_id as prtctn_id_as_is, dt_mtrty_prtctn as dt_mtrty_prtctn_as_is FROM cd_loan_tapes_bce.lt004_protection WHERE ref_date='2024-09-30' AND nome_perimetro='Individual Corporativo' AND segmento='ESTR' AND ambito='PM' AND entidade='00100' ) A  Inner join (SELECT prtctn_id as prtctn_id_to_be, dt_mtrty_prtctn as dt_mtrty_prtctn_to_be FROM bu_loantape_work.lt004_protection WHERE ref_date='2024-09-30' AND nome_perimetro='Individual Corporativo' AND segmento='ESTR' AND ambito='PM' AND entidade='00100' ) B ON prtctn_id_as_is = prtctn_id_to_be WHERE coalesce(cast(dt_mtrty_prtctn_as_is as string), '') &lt;&gt; coalesce(cast(dt_mtrty_prtctn_to_be as string), '') ) A </v>
      </c>
      <c r="O318" s="19" t="str">
        <f t="shared" si="43"/>
        <v>SELECT 'Validação de campos' as tipologia_teste, 'lt004_protection' AS TABELA, 'dt_mtrty_prtctn' AS CAMPO, '2024-09-30' as ref_date, coalesce(NUM_REG_DIF, 0) AS NUM_REG_DIF FROM (SELECT count(*) AS NUM_REG_DIF FROM (SELECT prtctn_id as prtctn_id_as_is, dt_mtrty_prtctn as dt_mtrty_prtctn_as_is FROM cd_loan_tapes_bce.lt004_protection WHERE ref_date='2024-09-30' AND nome_perimetro='Individual Corporativo' AND segmento='ESTR' AND ambito='PM' AND entidade='00100' ) A  Inner join (SELECT prtctn_id as prtctn_id_to_be, dt_mtrty_prtctn as dt_mtrty_prtctn_to_be FROM bu_loantape_work.lt004_protection WHERE ref_date='2024-09-30' AND nome_perimetro='Individual Corporativo' AND segmento='ESTR' AND ambito='PM' AND entidade='00100' ) B ON prtctn_id_as_is = prtctn_id_to_be WHERE coalesce(cast(dt_mtrty_prtctn_as_is as string), '') &lt;&gt; coalesce(cast(dt_mtrty_prtctn_to_be as string), '') ) A UNION ALL</v>
      </c>
      <c r="P318" s="17">
        <f t="shared" si="37"/>
        <v>11</v>
      </c>
    </row>
    <row r="319" spans="2:16" s="15" customFormat="1" ht="11.45">
      <c r="B319" s="17" t="s">
        <v>30</v>
      </c>
      <c r="C319" s="17" t="str">
        <f>_xlfn.CONCAT(Instruções!$D$13,".",VLOOKUP(B319,Instruções!$F$12:$H$17,2,0))</f>
        <v>cd_loan_tapes_bce.lt004_protection</v>
      </c>
      <c r="D319" s="17" t="str">
        <f>_xlfn.CONCAT(Instruções!$D$14,".",VLOOKUP(B319,Instruções!$F$12:$H$17,3,0))</f>
        <v>bu_loantape_work.lt004_protection</v>
      </c>
      <c r="E319" s="17" t="s">
        <v>367</v>
      </c>
      <c r="F319" s="17" t="str">
        <f t="shared" si="38"/>
        <v>dt_orgnl_prtctn_vl_as_is</v>
      </c>
      <c r="G319" s="17" t="str">
        <f t="shared" si="39"/>
        <v>dt_orgnl_prtctn_vl_to_be</v>
      </c>
      <c r="H319" s="17" t="str">
        <f>IF(VLOOKUP(B319,Instruções!$F$13:$J$17,5,0)="",
"(SELECT "&amp;VLOOKUP(B319,Instruções!$F$13:$J$17,4,0)&amp;" as "&amp;VLOOKUP(B319,Instruções!$F$13:$J$17,4,0)&amp;"_"&amp;$F$2&amp;", "&amp;E319&amp;" as "&amp;F319&amp;" FROM "&amp;C319&amp;" WHERE "&amp;Instruções!$D$20&amp;") A ",
"(SELECT "&amp;VLOOKUP(B319,Instruções!$F$13:$J$17,4,0)&amp;" as "&amp;VLOOKUP(B319,Instruções!$F$13:$J$17,4,0)&amp;"_"&amp;$F$2&amp;", "&amp;VLOOKUP(B319,Instruções!$F$13:$J$17,5,0)&amp;" as "&amp;VLOOKUP(B319,Instruções!$F$13:$J$17,5,0)&amp;"_"&amp;$F$2&amp;","&amp;E319&amp;" as "&amp;F319&amp;" FROM "&amp;C319&amp;" WHERE "&amp;Instruções!$D$20&amp;") A ")</f>
        <v xml:space="preserve">(SELECT prtctn_id as prtctn_id_as_is, dt_orgnl_prtctn_vl as dt_orgnl_prtctn_vl_as_is FROM cd_loan_tapes_bce.lt004_protection WHERE ref_date='2024-09-30' AND nome_perimetro='Individual Corporativo' AND segmento='ESTR' AND ambito='PM' AND entidade='00100' ) A </v>
      </c>
      <c r="I319" s="17" t="str">
        <f>IF(VLOOKUP(B319,Instruções!$F$13:$J$17,5,0)="",
"(SELECT "&amp;VLOOKUP(B319,Instruções!$F$13:$J$17,4,0)&amp;" as "&amp;VLOOKUP(B319,Instruções!$F$13:$J$17,4,0)&amp;"_"&amp;$G$2&amp;", "&amp;E319&amp;" as "&amp;G319&amp;" FROM "&amp;D319&amp;" WHERE "&amp;Instruções!$D$21&amp;") B ",
"(SELECT "&amp;VLOOKUP(B319,Instruções!$F$13:$J$17,4,0)&amp;" as "&amp;VLOOKUP(B319,Instruções!$F$13:$J$17,4,0)&amp;"_"&amp;$G$2&amp;", "&amp;VLOOKUP(B319,Instruções!$F$13:$J$17,5,0)&amp;" as "&amp;VLOOKUP(B319,Instruções!$F$13:$J$17,5,0)&amp;"_"&amp;$G$2&amp;","&amp;E319&amp;" as "&amp;G319&amp;" FROM "&amp;D319&amp;" WHERE "&amp;Instruções!$D$21&amp;") B ")</f>
        <v xml:space="preserve">(SELECT prtctn_id as prtctn_id_to_be, dt_orgnl_prtctn_vl as dt_orgnl_prtctn_vl_to_be FROM bu_loantape_work.lt004_protection WHERE ref_date='2024-09-30' AND nome_perimetro='Individual Corporativo' AND segmento='ESTR' AND ambito='PM' AND entidade='00100' ) B </v>
      </c>
      <c r="J319" s="17" t="str">
        <f>IF(VLOOKUP(B319,Instruções!$F$13:$J$17,5,0)="",
"ON "&amp;VLOOKUP(B319,Instruções!$F$13:$J$17,4,0)&amp;"_"&amp;$F$2&amp;" = "&amp;VLOOKUP(B319,Instruções!$F$13:$J$17,4,0)&amp;"_"&amp;$G$2&amp;" ",
"ON "&amp;VLOOKUP(B319,Instruções!$F$13:$J$17,4,0)&amp;"_"&amp;$F$2&amp;" = "&amp;VLOOKUP(B319,Instruções!$F$13:$J$17,4,0)&amp;"_"&amp;$G$2&amp;" AND "&amp;VLOOKUP(B319,Instruções!$F$13:$J$17,5,0)&amp;"_"&amp;$F$2&amp;" = "&amp;VLOOKUP(B319,Instruções!$F$13:$J$17,5,0)&amp;"_"&amp;$G$2&amp;" ")</f>
        <v xml:space="preserve">ON prtctn_id_as_is = prtctn_id_to_be </v>
      </c>
      <c r="K319" s="17" t="str">
        <f t="shared" si="40"/>
        <v xml:space="preserve">WHERE coalesce(cast(dt_orgnl_prtctn_vl_as_is as string), '') &lt;&gt; coalesce(cast(dt_orgnl_prtctn_vl_to_be as string), '') </v>
      </c>
      <c r="L319" s="17" t="str">
        <f t="shared" si="41"/>
        <v xml:space="preserve">SELECT count(*) AS NUM_REG_DIF FROM (SELECT prtctn_id as prtctn_id_as_is, dt_orgnl_prtctn_vl as dt_orgnl_prtctn_vl_as_is FROM cd_loan_tapes_bce.lt004_protection WHERE ref_date='2024-09-30' AND nome_perimetro='Individual Corporativo' AND segmento='ESTR' AND ambito='PM' AND entidade='00100' ) A  Inner join (SELECT prtctn_id as prtctn_id_to_be, dt_orgnl_prtctn_vl as dt_orgnl_prtctn_vl_to_be FROM bu_loantape_work.lt004_protection WHERE ref_date='2024-09-30' AND nome_perimetro='Individual Corporativo' AND segmento='ESTR' AND ambito='PM' AND entidade='00100' ) B ON prtctn_id_as_is = prtctn_id_to_be WHERE coalesce(cast(dt_orgnl_prtctn_vl_as_is as string), '') &lt;&gt; coalesce(cast(dt_orgnl_prtctn_vl_to_be as string), '') </v>
      </c>
      <c r="M319" s="17" t="s">
        <v>55</v>
      </c>
      <c r="N319" s="17" t="str">
        <f>"SELECT 'Validação de campos' as tipologia_teste, '"&amp;VLOOKUP(B319,Instruções!$F$13:$J$17,3,0)&amp;"' AS TABELA, '"&amp;E319&amp;"' AS CAMPO, '"&amp;Instruções!$D$15&amp;"' as ref_date, coalesce(NUM_REG_DIF, 0) AS NUM_REG_DIF FROM ("&amp;L319&amp;") A "</f>
        <v xml:space="preserve">SELECT 'Validação de campos' as tipologia_teste, 'lt004_protection' AS TABELA, 'dt_orgnl_prtctn_vl' AS CAMPO, '2024-09-30' as ref_date, coalesce(NUM_REG_DIF, 0) AS NUM_REG_DIF FROM (SELECT count(*) AS NUM_REG_DIF FROM (SELECT prtctn_id as prtctn_id_as_is, dt_orgnl_prtctn_vl as dt_orgnl_prtctn_vl_as_is FROM cd_loan_tapes_bce.lt004_protection WHERE ref_date='2024-09-30' AND nome_perimetro='Individual Corporativo' AND segmento='ESTR' AND ambito='PM' AND entidade='00100' ) A  Inner join (SELECT prtctn_id as prtctn_id_to_be, dt_orgnl_prtctn_vl as dt_orgnl_prtctn_vl_to_be FROM bu_loantape_work.lt004_protection WHERE ref_date='2024-09-30' AND nome_perimetro='Individual Corporativo' AND segmento='ESTR' AND ambito='PM' AND entidade='00100' ) B ON prtctn_id_as_is = prtctn_id_to_be WHERE coalesce(cast(dt_orgnl_prtctn_vl_as_is as string), '') &lt;&gt; coalesce(cast(dt_orgnl_prtctn_vl_to_be as string), '') ) A </v>
      </c>
      <c r="O319" s="19" t="str">
        <f t="shared" si="43"/>
        <v>SELECT 'Validação de campos' as tipologia_teste, 'lt004_protection' AS TABELA, 'dt_orgnl_prtctn_vl' AS CAMPO, '2024-09-30' as ref_date, coalesce(NUM_REG_DIF, 0) AS NUM_REG_DIF FROM (SELECT count(*) AS NUM_REG_DIF FROM (SELECT prtctn_id as prtctn_id_as_is, dt_orgnl_prtctn_vl as dt_orgnl_prtctn_vl_as_is FROM cd_loan_tapes_bce.lt004_protection WHERE ref_date='2024-09-30' AND nome_perimetro='Individual Corporativo' AND segmento='ESTR' AND ambito='PM' AND entidade='00100' ) A  Inner join (SELECT prtctn_id as prtctn_id_to_be, dt_orgnl_prtctn_vl as dt_orgnl_prtctn_vl_to_be FROM bu_loantape_work.lt004_protection WHERE ref_date='2024-09-30' AND nome_perimetro='Individual Corporativo' AND segmento='ESTR' AND ambito='PM' AND entidade='00100' ) B ON prtctn_id_as_is = prtctn_id_to_be WHERE coalesce(cast(dt_orgnl_prtctn_vl_as_is as string), '') &lt;&gt; coalesce(cast(dt_orgnl_prtctn_vl_to_be as string), '') ) A UNION ALL</v>
      </c>
      <c r="P319" s="17">
        <f t="shared" si="37"/>
        <v>12</v>
      </c>
    </row>
    <row r="320" spans="2:16" s="15" customFormat="1" ht="11.45">
      <c r="B320" s="17" t="s">
        <v>30</v>
      </c>
      <c r="C320" s="17" t="str">
        <f>_xlfn.CONCAT(Instruções!$D$13,".",VLOOKUP(B320,Instruções!$F$12:$H$17,2,0))</f>
        <v>cd_loan_tapes_bce.lt004_protection</v>
      </c>
      <c r="D320" s="17" t="str">
        <f>_xlfn.CONCAT(Instruções!$D$14,".",VLOOKUP(B320,Instruções!$F$12:$H$17,3,0))</f>
        <v>bu_loantape_work.lt004_protection</v>
      </c>
      <c r="E320" s="17" t="s">
        <v>369</v>
      </c>
      <c r="F320" s="17" t="str">
        <f t="shared" si="38"/>
        <v>dvlpmnt_stts_as_is</v>
      </c>
      <c r="G320" s="17" t="str">
        <f t="shared" si="39"/>
        <v>dvlpmnt_stts_to_be</v>
      </c>
      <c r="H320" s="17" t="str">
        <f>IF(VLOOKUP(B320,Instruções!$F$13:$J$17,5,0)="",
"(SELECT "&amp;VLOOKUP(B320,Instruções!$F$13:$J$17,4,0)&amp;" as "&amp;VLOOKUP(B320,Instruções!$F$13:$J$17,4,0)&amp;"_"&amp;$F$2&amp;", "&amp;E320&amp;" as "&amp;F320&amp;" FROM "&amp;C320&amp;" WHERE "&amp;Instruções!$D$20&amp;") A ",
"(SELECT "&amp;VLOOKUP(B320,Instruções!$F$13:$J$17,4,0)&amp;" as "&amp;VLOOKUP(B320,Instruções!$F$13:$J$17,4,0)&amp;"_"&amp;$F$2&amp;", "&amp;VLOOKUP(B320,Instruções!$F$13:$J$17,5,0)&amp;" as "&amp;VLOOKUP(B320,Instruções!$F$13:$J$17,5,0)&amp;"_"&amp;$F$2&amp;","&amp;E320&amp;" as "&amp;F320&amp;" FROM "&amp;C320&amp;" WHERE "&amp;Instruções!$D$20&amp;") A ")</f>
        <v xml:space="preserve">(SELECT prtctn_id as prtctn_id_as_is, dvlpmnt_stts as dvlpmnt_stts_as_is FROM cd_loan_tapes_bce.lt004_protection WHERE ref_date='2024-09-30' AND nome_perimetro='Individual Corporativo' AND segmento='ESTR' AND ambito='PM' AND entidade='00100' ) A </v>
      </c>
      <c r="I320" s="17" t="str">
        <f>IF(VLOOKUP(B320,Instruções!$F$13:$J$17,5,0)="",
"(SELECT "&amp;VLOOKUP(B320,Instruções!$F$13:$J$17,4,0)&amp;" as "&amp;VLOOKUP(B320,Instruções!$F$13:$J$17,4,0)&amp;"_"&amp;$G$2&amp;", "&amp;E320&amp;" as "&amp;G320&amp;" FROM "&amp;D320&amp;" WHERE "&amp;Instruções!$D$21&amp;") B ",
"(SELECT "&amp;VLOOKUP(B320,Instruções!$F$13:$J$17,4,0)&amp;" as "&amp;VLOOKUP(B320,Instruções!$F$13:$J$17,4,0)&amp;"_"&amp;$G$2&amp;", "&amp;VLOOKUP(B320,Instruções!$F$13:$J$17,5,0)&amp;" as "&amp;VLOOKUP(B320,Instruções!$F$13:$J$17,5,0)&amp;"_"&amp;$G$2&amp;","&amp;E320&amp;" as "&amp;G320&amp;" FROM "&amp;D320&amp;" WHERE "&amp;Instruções!$D$21&amp;") B ")</f>
        <v xml:space="preserve">(SELECT prtctn_id as prtctn_id_to_be, dvlpmnt_stts as dvlpmnt_stts_to_be FROM bu_loantape_work.lt004_protection WHERE ref_date='2024-09-30' AND nome_perimetro='Individual Corporativo' AND segmento='ESTR' AND ambito='PM' AND entidade='00100' ) B </v>
      </c>
      <c r="J320" s="17" t="str">
        <f>IF(VLOOKUP(B320,Instruções!$F$13:$J$17,5,0)="",
"ON "&amp;VLOOKUP(B320,Instruções!$F$13:$J$17,4,0)&amp;"_"&amp;$F$2&amp;" = "&amp;VLOOKUP(B320,Instruções!$F$13:$J$17,4,0)&amp;"_"&amp;$G$2&amp;" ",
"ON "&amp;VLOOKUP(B320,Instruções!$F$13:$J$17,4,0)&amp;"_"&amp;$F$2&amp;" = "&amp;VLOOKUP(B320,Instruções!$F$13:$J$17,4,0)&amp;"_"&amp;$G$2&amp;" AND "&amp;VLOOKUP(B320,Instruções!$F$13:$J$17,5,0)&amp;"_"&amp;$F$2&amp;" = "&amp;VLOOKUP(B320,Instruções!$F$13:$J$17,5,0)&amp;"_"&amp;$G$2&amp;" ")</f>
        <v xml:space="preserve">ON prtctn_id_as_is = prtctn_id_to_be </v>
      </c>
      <c r="K320" s="17" t="str">
        <f t="shared" si="40"/>
        <v xml:space="preserve">WHERE coalesce(cast(dvlpmnt_stts_as_is as string), '') &lt;&gt; coalesce(cast(dvlpmnt_stts_to_be as string), '') </v>
      </c>
      <c r="L320" s="17" t="str">
        <f t="shared" si="41"/>
        <v xml:space="preserve">SELECT count(*) AS NUM_REG_DIF FROM (SELECT prtctn_id as prtctn_id_as_is, dvlpmnt_stts as dvlpmnt_stts_as_is FROM cd_loan_tapes_bce.lt004_protection WHERE ref_date='2024-09-30' AND nome_perimetro='Individual Corporativo' AND segmento='ESTR' AND ambito='PM' AND entidade='00100' ) A  Inner join (SELECT prtctn_id as prtctn_id_to_be, dvlpmnt_stts as dvlpmnt_stts_to_be FROM bu_loantape_work.lt004_protection WHERE ref_date='2024-09-30' AND nome_perimetro='Individual Corporativo' AND segmento='ESTR' AND ambito='PM' AND entidade='00100' ) B ON prtctn_id_as_is = prtctn_id_to_be WHERE coalesce(cast(dvlpmnt_stts_as_is as string), '') &lt;&gt; coalesce(cast(dvlpmnt_stts_to_be as string), '') </v>
      </c>
      <c r="M320" s="17" t="s">
        <v>55</v>
      </c>
      <c r="N320" s="17" t="str">
        <f>"SELECT 'Validação de campos' as tipologia_teste, '"&amp;VLOOKUP(B320,Instruções!$F$13:$J$17,3,0)&amp;"' AS TABELA, '"&amp;E320&amp;"' AS CAMPO, '"&amp;Instruções!$D$15&amp;"' as ref_date, coalesce(NUM_REG_DIF, 0) AS NUM_REG_DIF FROM ("&amp;L320&amp;") A "</f>
        <v xml:space="preserve">SELECT 'Validação de campos' as tipologia_teste, 'lt004_protection' AS TABELA, 'dvlpmnt_stts' AS CAMPO, '2024-09-30' as ref_date, coalesce(NUM_REG_DIF, 0) AS NUM_REG_DIF FROM (SELECT count(*) AS NUM_REG_DIF FROM (SELECT prtctn_id as prtctn_id_as_is, dvlpmnt_stts as dvlpmnt_stts_as_is FROM cd_loan_tapes_bce.lt004_protection WHERE ref_date='2024-09-30' AND nome_perimetro='Individual Corporativo' AND segmento='ESTR' AND ambito='PM' AND entidade='00100' ) A  Inner join (SELECT prtctn_id as prtctn_id_to_be, dvlpmnt_stts as dvlpmnt_stts_to_be FROM bu_loantape_work.lt004_protection WHERE ref_date='2024-09-30' AND nome_perimetro='Individual Corporativo' AND segmento='ESTR' AND ambito='PM' AND entidade='00100' ) B ON prtctn_id_as_is = prtctn_id_to_be WHERE coalesce(cast(dvlpmnt_stts_as_is as string), '') &lt;&gt; coalesce(cast(dvlpmnt_stts_to_be as string), '') ) A </v>
      </c>
      <c r="O320" s="19" t="str">
        <f t="shared" si="43"/>
        <v>SELECT 'Validação de campos' as tipologia_teste, 'lt004_protection' AS TABELA, 'dvlpmnt_stts' AS CAMPO, '2024-09-30' as ref_date, coalesce(NUM_REG_DIF, 0) AS NUM_REG_DIF FROM (SELECT count(*) AS NUM_REG_DIF FROM (SELECT prtctn_id as prtctn_id_as_is, dvlpmnt_stts as dvlpmnt_stts_as_is FROM cd_loan_tapes_bce.lt004_protection WHERE ref_date='2024-09-30' AND nome_perimetro='Individual Corporativo' AND segmento='ESTR' AND ambito='PM' AND entidade='00100' ) A  Inner join (SELECT prtctn_id as prtctn_id_to_be, dvlpmnt_stts as dvlpmnt_stts_to_be FROM bu_loantape_work.lt004_protection WHERE ref_date='2024-09-30' AND nome_perimetro='Individual Corporativo' AND segmento='ESTR' AND ambito='PM' AND entidade='00100' ) B ON prtctn_id_as_is = prtctn_id_to_be WHERE coalesce(cast(dvlpmnt_stts_as_is as string), '') &lt;&gt; coalesce(cast(dvlpmnt_stts_to_be as string), '') ) A UNION ALL</v>
      </c>
      <c r="P320" s="17">
        <f t="shared" si="37"/>
        <v>13</v>
      </c>
    </row>
    <row r="321" spans="2:16" s="15" customFormat="1" ht="11.45">
      <c r="B321" s="17" t="s">
        <v>30</v>
      </c>
      <c r="C321" s="17" t="str">
        <f>_xlfn.CONCAT(Instruções!$D$13,".",VLOOKUP(B321,Instruções!$F$12:$H$17,2,0))</f>
        <v>cd_loan_tapes_bce.lt004_protection</v>
      </c>
      <c r="D321" s="17" t="str">
        <f>_xlfn.CONCAT(Instruções!$D$14,".",VLOOKUP(B321,Instruções!$F$12:$H$17,3,0))</f>
        <v>bu_loantape_work.lt004_protection</v>
      </c>
      <c r="E321" s="17" t="s">
        <v>370</v>
      </c>
      <c r="F321" s="17" t="str">
        <f t="shared" si="38"/>
        <v>hrct_mv_as_is</v>
      </c>
      <c r="G321" s="17" t="str">
        <f t="shared" si="39"/>
        <v>hrct_mv_to_be</v>
      </c>
      <c r="H321" s="17" t="str">
        <f>IF(VLOOKUP(B321,Instruções!$F$13:$J$17,5,0)="",
"(SELECT "&amp;VLOOKUP(B321,Instruções!$F$13:$J$17,4,0)&amp;" as "&amp;VLOOKUP(B321,Instruções!$F$13:$J$17,4,0)&amp;"_"&amp;$F$2&amp;", "&amp;E321&amp;" as "&amp;F321&amp;" FROM "&amp;C321&amp;" WHERE "&amp;Instruções!$D$20&amp;") A ",
"(SELECT "&amp;VLOOKUP(B321,Instruções!$F$13:$J$17,4,0)&amp;" as "&amp;VLOOKUP(B321,Instruções!$F$13:$J$17,4,0)&amp;"_"&amp;$F$2&amp;", "&amp;VLOOKUP(B321,Instruções!$F$13:$J$17,5,0)&amp;" as "&amp;VLOOKUP(B321,Instruções!$F$13:$J$17,5,0)&amp;"_"&amp;$F$2&amp;","&amp;E321&amp;" as "&amp;F321&amp;" FROM "&amp;C321&amp;" WHERE "&amp;Instruções!$D$20&amp;") A ")</f>
        <v xml:space="preserve">(SELECT prtctn_id as prtctn_id_as_is, hrct_mv as hrct_mv_as_is FROM cd_loan_tapes_bce.lt004_protection WHERE ref_date='2024-09-30' AND nome_perimetro='Individual Corporativo' AND segmento='ESTR' AND ambito='PM' AND entidade='00100' ) A </v>
      </c>
      <c r="I321" s="17" t="str">
        <f>IF(VLOOKUP(B321,Instruções!$F$13:$J$17,5,0)="",
"(SELECT "&amp;VLOOKUP(B321,Instruções!$F$13:$J$17,4,0)&amp;" as "&amp;VLOOKUP(B321,Instruções!$F$13:$J$17,4,0)&amp;"_"&amp;$G$2&amp;", "&amp;E321&amp;" as "&amp;G321&amp;" FROM "&amp;D321&amp;" WHERE "&amp;Instruções!$D$21&amp;") B ",
"(SELECT "&amp;VLOOKUP(B321,Instruções!$F$13:$J$17,4,0)&amp;" as "&amp;VLOOKUP(B321,Instruções!$F$13:$J$17,4,0)&amp;"_"&amp;$G$2&amp;", "&amp;VLOOKUP(B321,Instruções!$F$13:$J$17,5,0)&amp;" as "&amp;VLOOKUP(B321,Instruções!$F$13:$J$17,5,0)&amp;"_"&amp;$G$2&amp;","&amp;E321&amp;" as "&amp;G321&amp;" FROM "&amp;D321&amp;" WHERE "&amp;Instruções!$D$21&amp;") B ")</f>
        <v xml:space="preserve">(SELECT prtctn_id as prtctn_id_to_be, hrct_mv as hrct_mv_to_be FROM bu_loantape_work.lt004_protection WHERE ref_date='2024-09-30' AND nome_perimetro='Individual Corporativo' AND segmento='ESTR' AND ambito='PM' AND entidade='00100' ) B </v>
      </c>
      <c r="J321" s="17" t="str">
        <f>IF(VLOOKUP(B321,Instruções!$F$13:$J$17,5,0)="",
"ON "&amp;VLOOKUP(B321,Instruções!$F$13:$J$17,4,0)&amp;"_"&amp;$F$2&amp;" = "&amp;VLOOKUP(B321,Instruções!$F$13:$J$17,4,0)&amp;"_"&amp;$G$2&amp;" ",
"ON "&amp;VLOOKUP(B321,Instruções!$F$13:$J$17,4,0)&amp;"_"&amp;$F$2&amp;" = "&amp;VLOOKUP(B321,Instruções!$F$13:$J$17,4,0)&amp;"_"&amp;$G$2&amp;" AND "&amp;VLOOKUP(B321,Instruções!$F$13:$J$17,5,0)&amp;"_"&amp;$F$2&amp;" = "&amp;VLOOKUP(B321,Instruções!$F$13:$J$17,5,0)&amp;"_"&amp;$G$2&amp;" ")</f>
        <v xml:space="preserve">ON prtctn_id_as_is = prtctn_id_to_be </v>
      </c>
      <c r="K321" s="17" t="str">
        <f t="shared" si="40"/>
        <v xml:space="preserve">WHERE coalesce(cast(hrct_mv_as_is as string), '') &lt;&gt; coalesce(cast(hrct_mv_to_be as string), '') </v>
      </c>
      <c r="L321" s="17" t="str">
        <f t="shared" si="41"/>
        <v xml:space="preserve">SELECT count(*) AS NUM_REG_DIF FROM (SELECT prtctn_id as prtctn_id_as_is, hrct_mv as hrct_mv_as_is FROM cd_loan_tapes_bce.lt004_protection WHERE ref_date='2024-09-30' AND nome_perimetro='Individual Corporativo' AND segmento='ESTR' AND ambito='PM' AND entidade='00100' ) A  Inner join (SELECT prtctn_id as prtctn_id_to_be, hrct_mv as hrct_mv_to_be FROM bu_loantape_work.lt004_protection WHERE ref_date='2024-09-30' AND nome_perimetro='Individual Corporativo' AND segmento='ESTR' AND ambito='PM' AND entidade='00100' ) B ON prtctn_id_as_is = prtctn_id_to_be WHERE coalesce(cast(hrct_mv_as_is as string), '') &lt;&gt; coalesce(cast(hrct_mv_to_be as string), '') </v>
      </c>
      <c r="M321" s="17" t="s">
        <v>55</v>
      </c>
      <c r="N321" s="17" t="str">
        <f>"SELECT 'Validação de campos' as tipologia_teste, '"&amp;VLOOKUP(B321,Instruções!$F$13:$J$17,3,0)&amp;"' AS TABELA, '"&amp;E321&amp;"' AS CAMPO, '"&amp;Instruções!$D$15&amp;"' as ref_date, coalesce(NUM_REG_DIF, 0) AS NUM_REG_DIF FROM ("&amp;L321&amp;") A "</f>
        <v xml:space="preserve">SELECT 'Validação de campos' as tipologia_teste, 'lt004_protection' AS TABELA, 'hrct_mv' AS CAMPO, '2024-09-30' as ref_date, coalesce(NUM_REG_DIF, 0) AS NUM_REG_DIF FROM (SELECT count(*) AS NUM_REG_DIF FROM (SELECT prtctn_id as prtctn_id_as_is, hrct_mv as hrct_mv_as_is FROM cd_loan_tapes_bce.lt004_protection WHERE ref_date='2024-09-30' AND nome_perimetro='Individual Corporativo' AND segmento='ESTR' AND ambito='PM' AND entidade='00100' ) A  Inner join (SELECT prtctn_id as prtctn_id_to_be, hrct_mv as hrct_mv_to_be FROM bu_loantape_work.lt004_protection WHERE ref_date='2024-09-30' AND nome_perimetro='Individual Corporativo' AND segmento='ESTR' AND ambito='PM' AND entidade='00100' ) B ON prtctn_id_as_is = prtctn_id_to_be WHERE coalesce(cast(hrct_mv_as_is as string), '') &lt;&gt; coalesce(cast(hrct_mv_to_be as string), '') ) A </v>
      </c>
      <c r="O321" s="19" t="str">
        <f t="shared" si="43"/>
        <v>SELECT 'Validação de campos' as tipologia_teste, 'lt004_protection' AS TABELA, 'hrct_mv' AS CAMPO, '2024-09-30' as ref_date, coalesce(NUM_REG_DIF, 0) AS NUM_REG_DIF FROM (SELECT count(*) AS NUM_REG_DIF FROM (SELECT prtctn_id as prtctn_id_as_is, hrct_mv as hrct_mv_as_is FROM cd_loan_tapes_bce.lt004_protection WHERE ref_date='2024-09-30' AND nome_perimetro='Individual Corporativo' AND segmento='ESTR' AND ambito='PM' AND entidade='00100' ) A  Inner join (SELECT prtctn_id as prtctn_id_to_be, hrct_mv as hrct_mv_to_be FROM bu_loantape_work.lt004_protection WHERE ref_date='2024-09-30' AND nome_perimetro='Individual Corporativo' AND segmento='ESTR' AND ambito='PM' AND entidade='00100' ) B ON prtctn_id_as_is = prtctn_id_to_be WHERE coalesce(cast(hrct_mv_as_is as string), '') &lt;&gt; coalesce(cast(hrct_mv_to_be as string), '') ) A UNION ALL</v>
      </c>
      <c r="P321" s="17">
        <f t="shared" si="37"/>
        <v>14</v>
      </c>
    </row>
    <row r="322" spans="2:16" s="15" customFormat="1" ht="11.45">
      <c r="B322" s="17" t="s">
        <v>30</v>
      </c>
      <c r="C322" s="17" t="str">
        <f>_xlfn.CONCAT(Instruções!$D$13,".",VLOOKUP(B322,Instruções!$F$12:$H$17,2,0))</f>
        <v>cd_loan_tapes_bce.lt004_protection</v>
      </c>
      <c r="D322" s="17" t="str">
        <f>_xlfn.CONCAT(Instruções!$D$14,".",VLOOKUP(B322,Instruções!$F$12:$H$17,3,0))</f>
        <v>bu_loantape_work.lt004_protection</v>
      </c>
      <c r="E322" s="17" t="s">
        <v>371</v>
      </c>
      <c r="F322" s="17" t="str">
        <f t="shared" si="38"/>
        <v>mn_prps_as_is</v>
      </c>
      <c r="G322" s="17" t="str">
        <f t="shared" si="39"/>
        <v>mn_prps_to_be</v>
      </c>
      <c r="H322" s="17" t="str">
        <f>IF(VLOOKUP(B322,Instruções!$F$13:$J$17,5,0)="",
"(SELECT "&amp;VLOOKUP(B322,Instruções!$F$13:$J$17,4,0)&amp;" as "&amp;VLOOKUP(B322,Instruções!$F$13:$J$17,4,0)&amp;"_"&amp;$F$2&amp;", "&amp;E322&amp;" as "&amp;F322&amp;" FROM "&amp;C322&amp;" WHERE "&amp;Instruções!$D$20&amp;") A ",
"(SELECT "&amp;VLOOKUP(B322,Instruções!$F$13:$J$17,4,0)&amp;" as "&amp;VLOOKUP(B322,Instruções!$F$13:$J$17,4,0)&amp;"_"&amp;$F$2&amp;", "&amp;VLOOKUP(B322,Instruções!$F$13:$J$17,5,0)&amp;" as "&amp;VLOOKUP(B322,Instruções!$F$13:$J$17,5,0)&amp;"_"&amp;$F$2&amp;","&amp;E322&amp;" as "&amp;F322&amp;" FROM "&amp;C322&amp;" WHERE "&amp;Instruções!$D$20&amp;") A ")</f>
        <v xml:space="preserve">(SELECT prtctn_id as prtctn_id_as_is, mn_prps as mn_prps_as_is FROM cd_loan_tapes_bce.lt004_protection WHERE ref_date='2024-09-30' AND nome_perimetro='Individual Corporativo' AND segmento='ESTR' AND ambito='PM' AND entidade='00100' ) A </v>
      </c>
      <c r="I322" s="17" t="str">
        <f>IF(VLOOKUP(B322,Instruções!$F$13:$J$17,5,0)="",
"(SELECT "&amp;VLOOKUP(B322,Instruções!$F$13:$J$17,4,0)&amp;" as "&amp;VLOOKUP(B322,Instruções!$F$13:$J$17,4,0)&amp;"_"&amp;$G$2&amp;", "&amp;E322&amp;" as "&amp;G322&amp;" FROM "&amp;D322&amp;" WHERE "&amp;Instruções!$D$21&amp;") B ",
"(SELECT "&amp;VLOOKUP(B322,Instruções!$F$13:$J$17,4,0)&amp;" as "&amp;VLOOKUP(B322,Instruções!$F$13:$J$17,4,0)&amp;"_"&amp;$G$2&amp;", "&amp;VLOOKUP(B322,Instruções!$F$13:$J$17,5,0)&amp;" as "&amp;VLOOKUP(B322,Instruções!$F$13:$J$17,5,0)&amp;"_"&amp;$G$2&amp;","&amp;E322&amp;" as "&amp;G322&amp;" FROM "&amp;D322&amp;" WHERE "&amp;Instruções!$D$21&amp;") B ")</f>
        <v xml:space="preserve">(SELECT prtctn_id as prtctn_id_to_be, mn_prps as mn_prps_to_be FROM bu_loantape_work.lt004_protection WHERE ref_date='2024-09-30' AND nome_perimetro='Individual Corporativo' AND segmento='ESTR' AND ambito='PM' AND entidade='00100' ) B </v>
      </c>
      <c r="J322" s="17" t="str">
        <f>IF(VLOOKUP(B322,Instruções!$F$13:$J$17,5,0)="",
"ON "&amp;VLOOKUP(B322,Instruções!$F$13:$J$17,4,0)&amp;"_"&amp;$F$2&amp;" = "&amp;VLOOKUP(B322,Instruções!$F$13:$J$17,4,0)&amp;"_"&amp;$G$2&amp;" ",
"ON "&amp;VLOOKUP(B322,Instruções!$F$13:$J$17,4,0)&amp;"_"&amp;$F$2&amp;" = "&amp;VLOOKUP(B322,Instruções!$F$13:$J$17,4,0)&amp;"_"&amp;$G$2&amp;" AND "&amp;VLOOKUP(B322,Instruções!$F$13:$J$17,5,0)&amp;"_"&amp;$F$2&amp;" = "&amp;VLOOKUP(B322,Instruções!$F$13:$J$17,5,0)&amp;"_"&amp;$G$2&amp;" ")</f>
        <v xml:space="preserve">ON prtctn_id_as_is = prtctn_id_to_be </v>
      </c>
      <c r="K322" s="17" t="str">
        <f t="shared" si="40"/>
        <v xml:space="preserve">WHERE coalesce(cast(mn_prps_as_is as string), '') &lt;&gt; coalesce(cast(mn_prps_to_be as string), '') </v>
      </c>
      <c r="L322" s="17" t="str">
        <f t="shared" si="41"/>
        <v xml:space="preserve">SELECT count(*) AS NUM_REG_DIF FROM (SELECT prtctn_id as prtctn_id_as_is, mn_prps as mn_prps_as_is FROM cd_loan_tapes_bce.lt004_protection WHERE ref_date='2024-09-30' AND nome_perimetro='Individual Corporativo' AND segmento='ESTR' AND ambito='PM' AND entidade='00100' ) A  Inner join (SELECT prtctn_id as prtctn_id_to_be, mn_prps as mn_prps_to_be FROM bu_loantape_work.lt004_protection WHERE ref_date='2024-09-30' AND nome_perimetro='Individual Corporativo' AND segmento='ESTR' AND ambito='PM' AND entidade='00100' ) B ON prtctn_id_as_is = prtctn_id_to_be WHERE coalesce(cast(mn_prps_as_is as string), '') &lt;&gt; coalesce(cast(mn_prps_to_be as string), '') </v>
      </c>
      <c r="M322" s="17" t="s">
        <v>55</v>
      </c>
      <c r="N322" s="17" t="str">
        <f>"SELECT 'Validação de campos' as tipologia_teste, '"&amp;VLOOKUP(B322,Instruções!$F$13:$J$17,3,0)&amp;"' AS TABELA, '"&amp;E322&amp;"' AS CAMPO, '"&amp;Instruções!$D$15&amp;"' as ref_date, coalesce(NUM_REG_DIF, 0) AS NUM_REG_DIF FROM ("&amp;L322&amp;") A "</f>
        <v xml:space="preserve">SELECT 'Validação de campos' as tipologia_teste, 'lt004_protection' AS TABELA, 'mn_prps' AS CAMPO, '2024-09-30' as ref_date, coalesce(NUM_REG_DIF, 0) AS NUM_REG_DIF FROM (SELECT count(*) AS NUM_REG_DIF FROM (SELECT prtctn_id as prtctn_id_as_is, mn_prps as mn_prps_as_is FROM cd_loan_tapes_bce.lt004_protection WHERE ref_date='2024-09-30' AND nome_perimetro='Individual Corporativo' AND segmento='ESTR' AND ambito='PM' AND entidade='00100' ) A  Inner join (SELECT prtctn_id as prtctn_id_to_be, mn_prps as mn_prps_to_be FROM bu_loantape_work.lt004_protection WHERE ref_date='2024-09-30' AND nome_perimetro='Individual Corporativo' AND segmento='ESTR' AND ambito='PM' AND entidade='00100' ) B ON prtctn_id_as_is = prtctn_id_to_be WHERE coalesce(cast(mn_prps_as_is as string), '') &lt;&gt; coalesce(cast(mn_prps_to_be as string), '') ) A </v>
      </c>
      <c r="O322" s="19" t="str">
        <f t="shared" si="43"/>
        <v>SELECT 'Validação de campos' as tipologia_teste, 'lt004_protection' AS TABELA, 'mn_prps' AS CAMPO, '2024-09-30' as ref_date, coalesce(NUM_REG_DIF, 0) AS NUM_REG_DIF FROM (SELECT count(*) AS NUM_REG_DIF FROM (SELECT prtctn_id as prtctn_id_as_is, mn_prps as mn_prps_as_is FROM cd_loan_tapes_bce.lt004_protection WHERE ref_date='2024-09-30' AND nome_perimetro='Individual Corporativo' AND segmento='ESTR' AND ambito='PM' AND entidade='00100' ) A  Inner join (SELECT prtctn_id as prtctn_id_to_be, mn_prps as mn_prps_to_be FROM bu_loantape_work.lt004_protection WHERE ref_date='2024-09-30' AND nome_perimetro='Individual Corporativo' AND segmento='ESTR' AND ambito='PM' AND entidade='00100' ) B ON prtctn_id_as_is = prtctn_id_to_be WHERE coalesce(cast(mn_prps_as_is as string), '') &lt;&gt; coalesce(cast(mn_prps_to_be as string), '') ) A UNION ALL</v>
      </c>
      <c r="P322" s="17">
        <f t="shared" si="37"/>
        <v>15</v>
      </c>
    </row>
    <row r="323" spans="2:16" s="15" customFormat="1" ht="11.45">
      <c r="B323" s="17" t="s">
        <v>30</v>
      </c>
      <c r="C323" s="17" t="str">
        <f>_xlfn.CONCAT(Instruções!$D$13,".",VLOOKUP(B323,Instruções!$F$12:$H$17,2,0))</f>
        <v>cd_loan_tapes_bce.lt004_protection</v>
      </c>
      <c r="D323" s="17" t="str">
        <f>_xlfn.CONCAT(Instruções!$D$14,".",VLOOKUP(B323,Instruções!$F$12:$H$17,3,0))</f>
        <v>bu_loantape_work.lt004_protection</v>
      </c>
      <c r="E323" s="17" t="s">
        <v>373</v>
      </c>
      <c r="F323" s="17" t="str">
        <f t="shared" si="38"/>
        <v>orgnl_prtctn_vl_as_is</v>
      </c>
      <c r="G323" s="17" t="str">
        <f t="shared" si="39"/>
        <v>orgnl_prtctn_vl_to_be</v>
      </c>
      <c r="H323" s="17" t="str">
        <f>IF(VLOOKUP(B323,Instruções!$F$13:$J$17,5,0)="",
"(SELECT "&amp;VLOOKUP(B323,Instruções!$F$13:$J$17,4,0)&amp;" as "&amp;VLOOKUP(B323,Instruções!$F$13:$J$17,4,0)&amp;"_"&amp;$F$2&amp;", "&amp;E323&amp;" as "&amp;F323&amp;" FROM "&amp;C323&amp;" WHERE "&amp;Instruções!$D$20&amp;") A ",
"(SELECT "&amp;VLOOKUP(B323,Instruções!$F$13:$J$17,4,0)&amp;" as "&amp;VLOOKUP(B323,Instruções!$F$13:$J$17,4,0)&amp;"_"&amp;$F$2&amp;", "&amp;VLOOKUP(B323,Instruções!$F$13:$J$17,5,0)&amp;" as "&amp;VLOOKUP(B323,Instruções!$F$13:$J$17,5,0)&amp;"_"&amp;$F$2&amp;","&amp;E323&amp;" as "&amp;F323&amp;" FROM "&amp;C323&amp;" WHERE "&amp;Instruções!$D$20&amp;") A ")</f>
        <v xml:space="preserve">(SELECT prtctn_id as prtctn_id_as_is, orgnl_prtctn_vl as orgnl_prtctn_vl_as_is FROM cd_loan_tapes_bce.lt004_protection WHERE ref_date='2024-09-30' AND nome_perimetro='Individual Corporativo' AND segmento='ESTR' AND ambito='PM' AND entidade='00100' ) A </v>
      </c>
      <c r="I323" s="17" t="str">
        <f>IF(VLOOKUP(B323,Instruções!$F$13:$J$17,5,0)="",
"(SELECT "&amp;VLOOKUP(B323,Instruções!$F$13:$J$17,4,0)&amp;" as "&amp;VLOOKUP(B323,Instruções!$F$13:$J$17,4,0)&amp;"_"&amp;$G$2&amp;", "&amp;E323&amp;" as "&amp;G323&amp;" FROM "&amp;D323&amp;" WHERE "&amp;Instruções!$D$21&amp;") B ",
"(SELECT "&amp;VLOOKUP(B323,Instruções!$F$13:$J$17,4,0)&amp;" as "&amp;VLOOKUP(B323,Instruções!$F$13:$J$17,4,0)&amp;"_"&amp;$G$2&amp;", "&amp;VLOOKUP(B323,Instruções!$F$13:$J$17,5,0)&amp;" as "&amp;VLOOKUP(B323,Instruções!$F$13:$J$17,5,0)&amp;"_"&amp;$G$2&amp;","&amp;E323&amp;" as "&amp;G323&amp;" FROM "&amp;D323&amp;" WHERE "&amp;Instruções!$D$21&amp;") B ")</f>
        <v xml:space="preserve">(SELECT prtctn_id as prtctn_id_to_be, orgnl_prtctn_vl as orgnl_prtctn_vl_to_be FROM bu_loantape_work.lt004_protection WHERE ref_date='2024-09-30' AND nome_perimetro='Individual Corporativo' AND segmento='ESTR' AND ambito='PM' AND entidade='00100' ) B </v>
      </c>
      <c r="J323" s="17" t="str">
        <f>IF(VLOOKUP(B323,Instruções!$F$13:$J$17,5,0)="",
"ON "&amp;VLOOKUP(B323,Instruções!$F$13:$J$17,4,0)&amp;"_"&amp;$F$2&amp;" = "&amp;VLOOKUP(B323,Instruções!$F$13:$J$17,4,0)&amp;"_"&amp;$G$2&amp;" ",
"ON "&amp;VLOOKUP(B323,Instruções!$F$13:$J$17,4,0)&amp;"_"&amp;$F$2&amp;" = "&amp;VLOOKUP(B323,Instruções!$F$13:$J$17,4,0)&amp;"_"&amp;$G$2&amp;" AND "&amp;VLOOKUP(B323,Instruções!$F$13:$J$17,5,0)&amp;"_"&amp;$F$2&amp;" = "&amp;VLOOKUP(B323,Instruções!$F$13:$J$17,5,0)&amp;"_"&amp;$G$2&amp;" ")</f>
        <v xml:space="preserve">ON prtctn_id_as_is = prtctn_id_to_be </v>
      </c>
      <c r="K323" s="17" t="str">
        <f t="shared" si="40"/>
        <v xml:space="preserve">WHERE coalesce(cast(orgnl_prtctn_vl_as_is as string), '') &lt;&gt; coalesce(cast(orgnl_prtctn_vl_to_be as string), '') </v>
      </c>
      <c r="L323" s="17" t="str">
        <f t="shared" si="41"/>
        <v xml:space="preserve">SELECT count(*) AS NUM_REG_DIF FROM (SELECT prtctn_id as prtctn_id_as_is, orgnl_prtctn_vl as orgnl_prtctn_vl_as_is FROM cd_loan_tapes_bce.lt004_protection WHERE ref_date='2024-09-30' AND nome_perimetro='Individual Corporativo' AND segmento='ESTR' AND ambito='PM' AND entidade='00100' ) A  Inner join (SELECT prtctn_id as prtctn_id_to_be, orgnl_prtctn_vl as orgnl_prtctn_vl_to_be FROM bu_loantape_work.lt004_protection WHERE ref_date='2024-09-30' AND nome_perimetro='Individual Corporativo' AND segmento='ESTR' AND ambito='PM' AND entidade='00100' ) B ON prtctn_id_as_is = prtctn_id_to_be WHERE coalesce(cast(orgnl_prtctn_vl_as_is as string), '') &lt;&gt; coalesce(cast(orgnl_prtctn_vl_to_be as string), '') </v>
      </c>
      <c r="M323" s="17" t="s">
        <v>55</v>
      </c>
      <c r="N323" s="17" t="str">
        <f>"SELECT 'Validação de campos' as tipologia_teste, '"&amp;VLOOKUP(B323,Instruções!$F$13:$J$17,3,0)&amp;"' AS TABELA, '"&amp;E323&amp;"' AS CAMPO, '"&amp;Instruções!$D$15&amp;"' as ref_date, coalesce(NUM_REG_DIF, 0) AS NUM_REG_DIF FROM ("&amp;L323&amp;") A "</f>
        <v xml:space="preserve">SELECT 'Validação de campos' as tipologia_teste, 'lt004_protection' AS TABELA, 'orgnl_prtctn_vl' AS CAMPO, '2024-09-30' as ref_date, coalesce(NUM_REG_DIF, 0) AS NUM_REG_DIF FROM (SELECT count(*) AS NUM_REG_DIF FROM (SELECT prtctn_id as prtctn_id_as_is, orgnl_prtctn_vl as orgnl_prtctn_vl_as_is FROM cd_loan_tapes_bce.lt004_protection WHERE ref_date='2024-09-30' AND nome_perimetro='Individual Corporativo' AND segmento='ESTR' AND ambito='PM' AND entidade='00100' ) A  Inner join (SELECT prtctn_id as prtctn_id_to_be, orgnl_prtctn_vl as orgnl_prtctn_vl_to_be FROM bu_loantape_work.lt004_protection WHERE ref_date='2024-09-30' AND nome_perimetro='Individual Corporativo' AND segmento='ESTR' AND ambito='PM' AND entidade='00100' ) B ON prtctn_id_as_is = prtctn_id_to_be WHERE coalesce(cast(orgnl_prtctn_vl_as_is as string), '') &lt;&gt; coalesce(cast(orgnl_prtctn_vl_to_be as string), '') ) A </v>
      </c>
      <c r="O323" s="19" t="str">
        <f t="shared" si="43"/>
        <v>SELECT 'Validação de campos' as tipologia_teste, 'lt004_protection' AS TABELA, 'orgnl_prtctn_vl' AS CAMPO, '2024-09-30' as ref_date, coalesce(NUM_REG_DIF, 0) AS NUM_REG_DIF FROM (SELECT count(*) AS NUM_REG_DIF FROM (SELECT prtctn_id as prtctn_id_as_is, orgnl_prtctn_vl as orgnl_prtctn_vl_as_is FROM cd_loan_tapes_bce.lt004_protection WHERE ref_date='2024-09-30' AND nome_perimetro='Individual Corporativo' AND segmento='ESTR' AND ambito='PM' AND entidade='00100' ) A  Inner join (SELECT prtctn_id as prtctn_id_to_be, orgnl_prtctn_vl as orgnl_prtctn_vl_to_be FROM bu_loantape_work.lt004_protection WHERE ref_date='2024-09-30' AND nome_perimetro='Individual Corporativo' AND segmento='ESTR' AND ambito='PM' AND entidade='00100' ) B ON prtctn_id_as_is = prtctn_id_to_be WHERE coalesce(cast(orgnl_prtctn_vl_as_is as string), '') &lt;&gt; coalesce(cast(orgnl_prtctn_vl_to_be as string), '') ) A UNION ALL</v>
      </c>
      <c r="P323" s="17">
        <f t="shared" si="37"/>
        <v>16</v>
      </c>
    </row>
    <row r="324" spans="2:16" s="15" customFormat="1" ht="11.45">
      <c r="B324" s="17" t="s">
        <v>30</v>
      </c>
      <c r="C324" s="17" t="str">
        <f>_xlfn.CONCAT(Instruções!$D$13,".",VLOOKUP(B324,Instruções!$F$12:$H$17,2,0))</f>
        <v>cd_loan_tapes_bce.lt004_protection</v>
      </c>
      <c r="D324" s="17" t="str">
        <f>_xlfn.CONCAT(Instruções!$D$14,".",VLOOKUP(B324,Instruções!$F$12:$H$17,3,0))</f>
        <v>bu_loantape_work.lt004_protection</v>
      </c>
      <c r="E324" s="17" t="s">
        <v>374</v>
      </c>
      <c r="F324" s="17" t="str">
        <f t="shared" si="38"/>
        <v>prm_lctn_as_is</v>
      </c>
      <c r="G324" s="17" t="str">
        <f t="shared" si="39"/>
        <v>prm_lctn_to_be</v>
      </c>
      <c r="H324" s="17" t="str">
        <f>IF(VLOOKUP(B324,Instruções!$F$13:$J$17,5,0)="",
"(SELECT "&amp;VLOOKUP(B324,Instruções!$F$13:$J$17,4,0)&amp;" as "&amp;VLOOKUP(B324,Instruções!$F$13:$J$17,4,0)&amp;"_"&amp;$F$2&amp;", "&amp;E324&amp;" as "&amp;F324&amp;" FROM "&amp;C324&amp;" WHERE "&amp;Instruções!$D$20&amp;") A ",
"(SELECT "&amp;VLOOKUP(B324,Instruções!$F$13:$J$17,4,0)&amp;" as "&amp;VLOOKUP(B324,Instruções!$F$13:$J$17,4,0)&amp;"_"&amp;$F$2&amp;", "&amp;VLOOKUP(B324,Instruções!$F$13:$J$17,5,0)&amp;" as "&amp;VLOOKUP(B324,Instruções!$F$13:$J$17,5,0)&amp;"_"&amp;$F$2&amp;","&amp;E324&amp;" as "&amp;F324&amp;" FROM "&amp;C324&amp;" WHERE "&amp;Instruções!$D$20&amp;") A ")</f>
        <v xml:space="preserve">(SELECT prtctn_id as prtctn_id_as_is, prm_lctn as prm_lctn_as_is FROM cd_loan_tapes_bce.lt004_protection WHERE ref_date='2024-09-30' AND nome_perimetro='Individual Corporativo' AND segmento='ESTR' AND ambito='PM' AND entidade='00100' ) A </v>
      </c>
      <c r="I324" s="17" t="str">
        <f>IF(VLOOKUP(B324,Instruções!$F$13:$J$17,5,0)="",
"(SELECT "&amp;VLOOKUP(B324,Instruções!$F$13:$J$17,4,0)&amp;" as "&amp;VLOOKUP(B324,Instruções!$F$13:$J$17,4,0)&amp;"_"&amp;$G$2&amp;", "&amp;E324&amp;" as "&amp;G324&amp;" FROM "&amp;D324&amp;" WHERE "&amp;Instruções!$D$21&amp;") B ",
"(SELECT "&amp;VLOOKUP(B324,Instruções!$F$13:$J$17,4,0)&amp;" as "&amp;VLOOKUP(B324,Instruções!$F$13:$J$17,4,0)&amp;"_"&amp;$G$2&amp;", "&amp;VLOOKUP(B324,Instruções!$F$13:$J$17,5,0)&amp;" as "&amp;VLOOKUP(B324,Instruções!$F$13:$J$17,5,0)&amp;"_"&amp;$G$2&amp;","&amp;E324&amp;" as "&amp;G324&amp;" FROM "&amp;D324&amp;" WHERE "&amp;Instruções!$D$21&amp;") B ")</f>
        <v xml:space="preserve">(SELECT prtctn_id as prtctn_id_to_be, prm_lctn as prm_lctn_to_be FROM bu_loantape_work.lt004_protection WHERE ref_date='2024-09-30' AND nome_perimetro='Individual Corporativo' AND segmento='ESTR' AND ambito='PM' AND entidade='00100' ) B </v>
      </c>
      <c r="J324" s="17" t="str">
        <f>IF(VLOOKUP(B324,Instruções!$F$13:$J$17,5,0)="",
"ON "&amp;VLOOKUP(B324,Instruções!$F$13:$J$17,4,0)&amp;"_"&amp;$F$2&amp;" = "&amp;VLOOKUP(B324,Instruções!$F$13:$J$17,4,0)&amp;"_"&amp;$G$2&amp;" ",
"ON "&amp;VLOOKUP(B324,Instruções!$F$13:$J$17,4,0)&amp;"_"&amp;$F$2&amp;" = "&amp;VLOOKUP(B324,Instruções!$F$13:$J$17,4,0)&amp;"_"&amp;$G$2&amp;" AND "&amp;VLOOKUP(B324,Instruções!$F$13:$J$17,5,0)&amp;"_"&amp;$F$2&amp;" = "&amp;VLOOKUP(B324,Instruções!$F$13:$J$17,5,0)&amp;"_"&amp;$G$2&amp;" ")</f>
        <v xml:space="preserve">ON prtctn_id_as_is = prtctn_id_to_be </v>
      </c>
      <c r="K324" s="17" t="str">
        <f t="shared" si="40"/>
        <v xml:space="preserve">WHERE coalesce(cast(prm_lctn_as_is as string), '') &lt;&gt; coalesce(cast(prm_lctn_to_be as string), '') </v>
      </c>
      <c r="L324" s="17" t="str">
        <f t="shared" si="41"/>
        <v xml:space="preserve">SELECT count(*) AS NUM_REG_DIF FROM (SELECT prtctn_id as prtctn_id_as_is, prm_lctn as prm_lctn_as_is FROM cd_loan_tapes_bce.lt004_protection WHERE ref_date='2024-09-30' AND nome_perimetro='Individual Corporativo' AND segmento='ESTR' AND ambito='PM' AND entidade='00100' ) A  Inner join (SELECT prtctn_id as prtctn_id_to_be, prm_lctn as prm_lctn_to_be FROM bu_loantape_work.lt004_protection WHERE ref_date='2024-09-30' AND nome_perimetro='Individual Corporativo' AND segmento='ESTR' AND ambito='PM' AND entidade='00100' ) B ON prtctn_id_as_is = prtctn_id_to_be WHERE coalesce(cast(prm_lctn_as_is as string), '') &lt;&gt; coalesce(cast(prm_lctn_to_be as string), '') </v>
      </c>
      <c r="M324" s="17" t="s">
        <v>55</v>
      </c>
      <c r="N324" s="17" t="str">
        <f>"SELECT 'Validação de campos' as tipologia_teste, '"&amp;VLOOKUP(B324,Instruções!$F$13:$J$17,3,0)&amp;"' AS TABELA, '"&amp;E324&amp;"' AS CAMPO, '"&amp;Instruções!$D$15&amp;"' as ref_date, coalesce(NUM_REG_DIF, 0) AS NUM_REG_DIF FROM ("&amp;L324&amp;") A "</f>
        <v xml:space="preserve">SELECT 'Validação de campos' as tipologia_teste, 'lt004_protection' AS TABELA, 'prm_lctn' AS CAMPO, '2024-09-30' as ref_date, coalesce(NUM_REG_DIF, 0) AS NUM_REG_DIF FROM (SELECT count(*) AS NUM_REG_DIF FROM (SELECT prtctn_id as prtctn_id_as_is, prm_lctn as prm_lctn_as_is FROM cd_loan_tapes_bce.lt004_protection WHERE ref_date='2024-09-30' AND nome_perimetro='Individual Corporativo' AND segmento='ESTR' AND ambito='PM' AND entidade='00100' ) A  Inner join (SELECT prtctn_id as prtctn_id_to_be, prm_lctn as prm_lctn_to_be FROM bu_loantape_work.lt004_protection WHERE ref_date='2024-09-30' AND nome_perimetro='Individual Corporativo' AND segmento='ESTR' AND ambito='PM' AND entidade='00100' ) B ON prtctn_id_as_is = prtctn_id_to_be WHERE coalesce(cast(prm_lctn_as_is as string), '') &lt;&gt; coalesce(cast(prm_lctn_to_be as string), '') ) A </v>
      </c>
      <c r="O324" s="19" t="str">
        <f t="shared" si="43"/>
        <v>SELECT 'Validação de campos' as tipologia_teste, 'lt004_protection' AS TABELA, 'prm_lctn' AS CAMPO, '2024-09-30' as ref_date, coalesce(NUM_REG_DIF, 0) AS NUM_REG_DIF FROM (SELECT count(*) AS NUM_REG_DIF FROM (SELECT prtctn_id as prtctn_id_as_is, prm_lctn as prm_lctn_as_is FROM cd_loan_tapes_bce.lt004_protection WHERE ref_date='2024-09-30' AND nome_perimetro='Individual Corporativo' AND segmento='ESTR' AND ambito='PM' AND entidade='00100' ) A  Inner join (SELECT prtctn_id as prtctn_id_to_be, prm_lctn as prm_lctn_to_be FROM bu_loantape_work.lt004_protection WHERE ref_date='2024-09-30' AND nome_perimetro='Individual Corporativo' AND segmento='ESTR' AND ambito='PM' AND entidade='00100' ) B ON prtctn_id_as_is = prtctn_id_to_be WHERE coalesce(cast(prm_lctn_as_is as string), '') &lt;&gt; coalesce(cast(prm_lctn_to_be as string), '') ) A UNION ALL</v>
      </c>
      <c r="P324" s="17">
        <f t="shared" si="37"/>
        <v>17</v>
      </c>
    </row>
    <row r="325" spans="2:16" s="15" customFormat="1" ht="11.45">
      <c r="B325" s="17" t="s">
        <v>30</v>
      </c>
      <c r="C325" s="17" t="str">
        <f>_xlfn.CONCAT(Instruções!$D$13,".",VLOOKUP(B325,Instruções!$F$12:$H$17,2,0))</f>
        <v>cd_loan_tapes_bce.lt004_protection</v>
      </c>
      <c r="D325" s="17" t="str">
        <f>_xlfn.CONCAT(Instruções!$D$14,".",VLOOKUP(B325,Instruções!$F$12:$H$17,3,0))</f>
        <v>bu_loantape_work.lt004_protection</v>
      </c>
      <c r="E325" s="17" t="s">
        <v>375</v>
      </c>
      <c r="F325" s="17" t="str">
        <f t="shared" si="38"/>
        <v>prtctn_clld_as_is</v>
      </c>
      <c r="G325" s="17" t="str">
        <f t="shared" si="39"/>
        <v>prtctn_clld_to_be</v>
      </c>
      <c r="H325" s="17" t="str">
        <f>IF(VLOOKUP(B325,Instruções!$F$13:$J$17,5,0)="",
"(SELECT "&amp;VLOOKUP(B325,Instruções!$F$13:$J$17,4,0)&amp;" as "&amp;VLOOKUP(B325,Instruções!$F$13:$J$17,4,0)&amp;"_"&amp;$F$2&amp;", "&amp;E325&amp;" as "&amp;F325&amp;" FROM "&amp;C325&amp;" WHERE "&amp;Instruções!$D$20&amp;") A ",
"(SELECT "&amp;VLOOKUP(B325,Instruções!$F$13:$J$17,4,0)&amp;" as "&amp;VLOOKUP(B325,Instruções!$F$13:$J$17,4,0)&amp;"_"&amp;$F$2&amp;", "&amp;VLOOKUP(B325,Instruções!$F$13:$J$17,5,0)&amp;" as "&amp;VLOOKUP(B325,Instruções!$F$13:$J$17,5,0)&amp;"_"&amp;$F$2&amp;","&amp;E325&amp;" as "&amp;F325&amp;" FROM "&amp;C325&amp;" WHERE "&amp;Instruções!$D$20&amp;") A ")</f>
        <v xml:space="preserve">(SELECT prtctn_id as prtctn_id_as_is, prtctn_clld as prtctn_clld_as_is FROM cd_loan_tapes_bce.lt004_protection WHERE ref_date='2024-09-30' AND nome_perimetro='Individual Corporativo' AND segmento='ESTR' AND ambito='PM' AND entidade='00100' ) A </v>
      </c>
      <c r="I325" s="17" t="str">
        <f>IF(VLOOKUP(B325,Instruções!$F$13:$J$17,5,0)="",
"(SELECT "&amp;VLOOKUP(B325,Instruções!$F$13:$J$17,4,0)&amp;" as "&amp;VLOOKUP(B325,Instruções!$F$13:$J$17,4,0)&amp;"_"&amp;$G$2&amp;", "&amp;E325&amp;" as "&amp;G325&amp;" FROM "&amp;D325&amp;" WHERE "&amp;Instruções!$D$21&amp;") B ",
"(SELECT "&amp;VLOOKUP(B325,Instruções!$F$13:$J$17,4,0)&amp;" as "&amp;VLOOKUP(B325,Instruções!$F$13:$J$17,4,0)&amp;"_"&amp;$G$2&amp;", "&amp;VLOOKUP(B325,Instruções!$F$13:$J$17,5,0)&amp;" as "&amp;VLOOKUP(B325,Instruções!$F$13:$J$17,5,0)&amp;"_"&amp;$G$2&amp;","&amp;E325&amp;" as "&amp;G325&amp;" FROM "&amp;D325&amp;" WHERE "&amp;Instruções!$D$21&amp;") B ")</f>
        <v xml:space="preserve">(SELECT prtctn_id as prtctn_id_to_be, prtctn_clld as prtctn_clld_to_be FROM bu_loantape_work.lt004_protection WHERE ref_date='2024-09-30' AND nome_perimetro='Individual Corporativo' AND segmento='ESTR' AND ambito='PM' AND entidade='00100' ) B </v>
      </c>
      <c r="J325" s="17" t="str">
        <f>IF(VLOOKUP(B325,Instruções!$F$13:$J$17,5,0)="",
"ON "&amp;VLOOKUP(B325,Instruções!$F$13:$J$17,4,0)&amp;"_"&amp;$F$2&amp;" = "&amp;VLOOKUP(B325,Instruções!$F$13:$J$17,4,0)&amp;"_"&amp;$G$2&amp;" ",
"ON "&amp;VLOOKUP(B325,Instruções!$F$13:$J$17,4,0)&amp;"_"&amp;$F$2&amp;" = "&amp;VLOOKUP(B325,Instruções!$F$13:$J$17,4,0)&amp;"_"&amp;$G$2&amp;" AND "&amp;VLOOKUP(B325,Instruções!$F$13:$J$17,5,0)&amp;"_"&amp;$F$2&amp;" = "&amp;VLOOKUP(B325,Instruções!$F$13:$J$17,5,0)&amp;"_"&amp;$G$2&amp;" ")</f>
        <v xml:space="preserve">ON prtctn_id_as_is = prtctn_id_to_be </v>
      </c>
      <c r="K325" s="17" t="str">
        <f t="shared" si="40"/>
        <v xml:space="preserve">WHERE coalesce(cast(prtctn_clld_as_is as string), '') &lt;&gt; coalesce(cast(prtctn_clld_to_be as string), '') </v>
      </c>
      <c r="L325" s="17" t="str">
        <f t="shared" si="41"/>
        <v xml:space="preserve">SELECT count(*) AS NUM_REG_DIF FROM (SELECT prtctn_id as prtctn_id_as_is, prtctn_clld as prtctn_clld_as_is FROM cd_loan_tapes_bce.lt004_protection WHERE ref_date='2024-09-30' AND nome_perimetro='Individual Corporativo' AND segmento='ESTR' AND ambito='PM' AND entidade='00100' ) A  Inner join (SELECT prtctn_id as prtctn_id_to_be, prtctn_clld as prtctn_clld_to_be FROM bu_loantape_work.lt004_protection WHERE ref_date='2024-09-30' AND nome_perimetro='Individual Corporativo' AND segmento='ESTR' AND ambito='PM' AND entidade='00100' ) B ON prtctn_id_as_is = prtctn_id_to_be WHERE coalesce(cast(prtctn_clld_as_is as string), '') &lt;&gt; coalesce(cast(prtctn_clld_to_be as string), '') </v>
      </c>
      <c r="M325" s="17" t="s">
        <v>55</v>
      </c>
      <c r="N325" s="17" t="str">
        <f>"SELECT 'Validação de campos' as tipologia_teste, '"&amp;VLOOKUP(B325,Instruções!$F$13:$J$17,3,0)&amp;"' AS TABELA, '"&amp;E325&amp;"' AS CAMPO, '"&amp;Instruções!$D$15&amp;"' as ref_date, coalesce(NUM_REG_DIF, 0) AS NUM_REG_DIF FROM ("&amp;L325&amp;") A "</f>
        <v xml:space="preserve">SELECT 'Validação de campos' as tipologia_teste, 'lt004_protection' AS TABELA, 'prtctn_clld' AS CAMPO, '2024-09-30' as ref_date, coalesce(NUM_REG_DIF, 0) AS NUM_REG_DIF FROM (SELECT count(*) AS NUM_REG_DIF FROM (SELECT prtctn_id as prtctn_id_as_is, prtctn_clld as prtctn_clld_as_is FROM cd_loan_tapes_bce.lt004_protection WHERE ref_date='2024-09-30' AND nome_perimetro='Individual Corporativo' AND segmento='ESTR' AND ambito='PM' AND entidade='00100' ) A  Inner join (SELECT prtctn_id as prtctn_id_to_be, prtctn_clld as prtctn_clld_to_be FROM bu_loantape_work.lt004_protection WHERE ref_date='2024-09-30' AND nome_perimetro='Individual Corporativo' AND segmento='ESTR' AND ambito='PM' AND entidade='00100' ) B ON prtctn_id_as_is = prtctn_id_to_be WHERE coalesce(cast(prtctn_clld_as_is as string), '') &lt;&gt; coalesce(cast(prtctn_clld_to_be as string), '') ) A </v>
      </c>
      <c r="O325" s="19" t="str">
        <f t="shared" si="43"/>
        <v>SELECT 'Validação de campos' as tipologia_teste, 'lt004_protection' AS TABELA, 'prtctn_clld' AS CAMPO, '2024-09-30' as ref_date, coalesce(NUM_REG_DIF, 0) AS NUM_REG_DIF FROM (SELECT count(*) AS NUM_REG_DIF FROM (SELECT prtctn_id as prtctn_id_as_is, prtctn_clld as prtctn_clld_as_is FROM cd_loan_tapes_bce.lt004_protection WHERE ref_date='2024-09-30' AND nome_perimetro='Individual Corporativo' AND segmento='ESTR' AND ambito='PM' AND entidade='00100' ) A  Inner join (SELECT prtctn_id as prtctn_id_to_be, prtctn_clld as prtctn_clld_to_be FROM bu_loantape_work.lt004_protection WHERE ref_date='2024-09-30' AND nome_perimetro='Individual Corporativo' AND segmento='ESTR' AND ambito='PM' AND entidade='00100' ) B ON prtctn_id_as_is = prtctn_id_to_be WHERE coalesce(cast(prtctn_clld_as_is as string), '') &lt;&gt; coalesce(cast(prtctn_clld_to_be as string), '') ) A UNION ALL</v>
      </c>
      <c r="P325" s="17">
        <f t="shared" si="37"/>
        <v>18</v>
      </c>
    </row>
    <row r="326" spans="2:16" s="15" customFormat="1" ht="11.45">
      <c r="B326" s="17" t="s">
        <v>30</v>
      </c>
      <c r="C326" s="17" t="str">
        <f>_xlfn.CONCAT(Instruções!$D$13,".",VLOOKUP(B326,Instruções!$F$12:$H$17,2,0))</f>
        <v>cd_loan_tapes_bce.lt004_protection</v>
      </c>
      <c r="D326" s="17" t="str">
        <f>_xlfn.CONCAT(Instruções!$D$14,".",VLOOKUP(B326,Instruções!$F$12:$H$17,3,0))</f>
        <v>bu_loantape_work.lt004_protection</v>
      </c>
      <c r="E326" s="17" t="s">
        <v>376</v>
      </c>
      <c r="F326" s="17" t="str">
        <f t="shared" si="38"/>
        <v>prtctn_frcd_sl_vl_as_is</v>
      </c>
      <c r="G326" s="17" t="str">
        <f t="shared" si="39"/>
        <v>prtctn_frcd_sl_vl_to_be</v>
      </c>
      <c r="H326" s="17" t="str">
        <f>IF(VLOOKUP(B326,Instruções!$F$13:$J$17,5,0)="",
"(SELECT "&amp;VLOOKUP(B326,Instruções!$F$13:$J$17,4,0)&amp;" as "&amp;VLOOKUP(B326,Instruções!$F$13:$J$17,4,0)&amp;"_"&amp;$F$2&amp;", "&amp;E326&amp;" as "&amp;F326&amp;" FROM "&amp;C326&amp;" WHERE "&amp;Instruções!$D$20&amp;") A ",
"(SELECT "&amp;VLOOKUP(B326,Instruções!$F$13:$J$17,4,0)&amp;" as "&amp;VLOOKUP(B326,Instruções!$F$13:$J$17,4,0)&amp;"_"&amp;$F$2&amp;", "&amp;VLOOKUP(B326,Instruções!$F$13:$J$17,5,0)&amp;" as "&amp;VLOOKUP(B326,Instruções!$F$13:$J$17,5,0)&amp;"_"&amp;$F$2&amp;","&amp;E326&amp;" as "&amp;F326&amp;" FROM "&amp;C326&amp;" WHERE "&amp;Instruções!$D$20&amp;") A ")</f>
        <v xml:space="preserve">(SELECT prtctn_id as prtctn_id_as_is, prtctn_frcd_sl_vl as prtctn_frcd_sl_vl_as_is FROM cd_loan_tapes_bce.lt004_protection WHERE ref_date='2024-09-30' AND nome_perimetro='Individual Corporativo' AND segmento='ESTR' AND ambito='PM' AND entidade='00100' ) A </v>
      </c>
      <c r="I326" s="17" t="str">
        <f>IF(VLOOKUP(B326,Instruções!$F$13:$J$17,5,0)="",
"(SELECT "&amp;VLOOKUP(B326,Instruções!$F$13:$J$17,4,0)&amp;" as "&amp;VLOOKUP(B326,Instruções!$F$13:$J$17,4,0)&amp;"_"&amp;$G$2&amp;", "&amp;E326&amp;" as "&amp;G326&amp;" FROM "&amp;D326&amp;" WHERE "&amp;Instruções!$D$21&amp;") B ",
"(SELECT "&amp;VLOOKUP(B326,Instruções!$F$13:$J$17,4,0)&amp;" as "&amp;VLOOKUP(B326,Instruções!$F$13:$J$17,4,0)&amp;"_"&amp;$G$2&amp;", "&amp;VLOOKUP(B326,Instruções!$F$13:$J$17,5,0)&amp;" as "&amp;VLOOKUP(B326,Instruções!$F$13:$J$17,5,0)&amp;"_"&amp;$G$2&amp;","&amp;E326&amp;" as "&amp;G326&amp;" FROM "&amp;D326&amp;" WHERE "&amp;Instruções!$D$21&amp;") B ")</f>
        <v xml:space="preserve">(SELECT prtctn_id as prtctn_id_to_be, prtctn_frcd_sl_vl as prtctn_frcd_sl_vl_to_be FROM bu_loantape_work.lt004_protection WHERE ref_date='2024-09-30' AND nome_perimetro='Individual Corporativo' AND segmento='ESTR' AND ambito='PM' AND entidade='00100' ) B </v>
      </c>
      <c r="J326" s="17" t="str">
        <f>IF(VLOOKUP(B326,Instruções!$F$13:$J$17,5,0)="",
"ON "&amp;VLOOKUP(B326,Instruções!$F$13:$J$17,4,0)&amp;"_"&amp;$F$2&amp;" = "&amp;VLOOKUP(B326,Instruções!$F$13:$J$17,4,0)&amp;"_"&amp;$G$2&amp;" ",
"ON "&amp;VLOOKUP(B326,Instruções!$F$13:$J$17,4,0)&amp;"_"&amp;$F$2&amp;" = "&amp;VLOOKUP(B326,Instruções!$F$13:$J$17,4,0)&amp;"_"&amp;$G$2&amp;" AND "&amp;VLOOKUP(B326,Instruções!$F$13:$J$17,5,0)&amp;"_"&amp;$F$2&amp;" = "&amp;VLOOKUP(B326,Instruções!$F$13:$J$17,5,0)&amp;"_"&amp;$G$2&amp;" ")</f>
        <v xml:space="preserve">ON prtctn_id_as_is = prtctn_id_to_be </v>
      </c>
      <c r="K326" s="17" t="str">
        <f t="shared" si="40"/>
        <v xml:space="preserve">WHERE coalesce(cast(prtctn_frcd_sl_vl_as_is as string), '') &lt;&gt; coalesce(cast(prtctn_frcd_sl_vl_to_be as string), '') </v>
      </c>
      <c r="L326" s="17" t="str">
        <f t="shared" si="41"/>
        <v xml:space="preserve">SELECT count(*) AS NUM_REG_DIF FROM (SELECT prtctn_id as prtctn_id_as_is, prtctn_frcd_sl_vl as prtctn_frcd_sl_vl_as_is FROM cd_loan_tapes_bce.lt004_protection WHERE ref_date='2024-09-30' AND nome_perimetro='Individual Corporativo' AND segmento='ESTR' AND ambito='PM' AND entidade='00100' ) A  Inner join (SELECT prtctn_id as prtctn_id_to_be, prtctn_frcd_sl_vl as prtctn_frcd_sl_vl_to_be FROM bu_loantape_work.lt004_protection WHERE ref_date='2024-09-30' AND nome_perimetro='Individual Corporativo' AND segmento='ESTR' AND ambito='PM' AND entidade='00100' ) B ON prtctn_id_as_is = prtctn_id_to_be WHERE coalesce(cast(prtctn_frcd_sl_vl_as_is as string), '') &lt;&gt; coalesce(cast(prtctn_frcd_sl_vl_to_be as string), '') </v>
      </c>
      <c r="M326" s="17" t="s">
        <v>55</v>
      </c>
      <c r="N326" s="17" t="str">
        <f>"SELECT 'Validação de campos' as tipologia_teste, '"&amp;VLOOKUP(B326,Instruções!$F$13:$J$17,3,0)&amp;"' AS TABELA, '"&amp;E326&amp;"' AS CAMPO, '"&amp;Instruções!$D$15&amp;"' as ref_date, coalesce(NUM_REG_DIF, 0) AS NUM_REG_DIF FROM ("&amp;L326&amp;") A "</f>
        <v xml:space="preserve">SELECT 'Validação de campos' as tipologia_teste, 'lt004_protection' AS TABELA, 'prtctn_frcd_sl_vl' AS CAMPO, '2024-09-30' as ref_date, coalesce(NUM_REG_DIF, 0) AS NUM_REG_DIF FROM (SELECT count(*) AS NUM_REG_DIF FROM (SELECT prtctn_id as prtctn_id_as_is, prtctn_frcd_sl_vl as prtctn_frcd_sl_vl_as_is FROM cd_loan_tapes_bce.lt004_protection WHERE ref_date='2024-09-30' AND nome_perimetro='Individual Corporativo' AND segmento='ESTR' AND ambito='PM' AND entidade='00100' ) A  Inner join (SELECT prtctn_id as prtctn_id_to_be, prtctn_frcd_sl_vl as prtctn_frcd_sl_vl_to_be FROM bu_loantape_work.lt004_protection WHERE ref_date='2024-09-30' AND nome_perimetro='Individual Corporativo' AND segmento='ESTR' AND ambito='PM' AND entidade='00100' ) B ON prtctn_id_as_is = prtctn_id_to_be WHERE coalesce(cast(prtctn_frcd_sl_vl_as_is as string), '') &lt;&gt; coalesce(cast(prtctn_frcd_sl_vl_to_be as string), '') ) A </v>
      </c>
      <c r="O326" s="19" t="str">
        <f t="shared" si="43"/>
        <v>SELECT 'Validação de campos' as tipologia_teste, 'lt004_protection' AS TABELA, 'prtctn_frcd_sl_vl' AS CAMPO, '2024-09-30' as ref_date, coalesce(NUM_REG_DIF, 0) AS NUM_REG_DIF FROM (SELECT count(*) AS NUM_REG_DIF FROM (SELECT prtctn_id as prtctn_id_as_is, prtctn_frcd_sl_vl as prtctn_frcd_sl_vl_as_is FROM cd_loan_tapes_bce.lt004_protection WHERE ref_date='2024-09-30' AND nome_perimetro='Individual Corporativo' AND segmento='ESTR' AND ambito='PM' AND entidade='00100' ) A  Inner join (SELECT prtctn_id as prtctn_id_to_be, prtctn_frcd_sl_vl as prtctn_frcd_sl_vl_to_be FROM bu_loantape_work.lt004_protection WHERE ref_date='2024-09-30' AND nome_perimetro='Individual Corporativo' AND segmento='ESTR' AND ambito='PM' AND entidade='00100' ) B ON prtctn_id_as_is = prtctn_id_to_be WHERE coalesce(cast(prtctn_frcd_sl_vl_as_is as string), '') &lt;&gt; coalesce(cast(prtctn_frcd_sl_vl_to_be as string), '') ) A UNION ALL</v>
      </c>
      <c r="P326" s="17">
        <f t="shared" si="37"/>
        <v>19</v>
      </c>
    </row>
    <row r="327" spans="2:16" s="15" customFormat="1" ht="11.45">
      <c r="B327" s="17" t="s">
        <v>30</v>
      </c>
      <c r="C327" s="17" t="str">
        <f>_xlfn.CONCAT(Instruções!$D$13,".",VLOOKUP(B327,Instruções!$F$12:$H$17,2,0))</f>
        <v>cd_loan_tapes_bce.lt004_protection</v>
      </c>
      <c r="D327" s="17" t="str">
        <f>_xlfn.CONCAT(Instruções!$D$14,".",VLOOKUP(B327,Instruções!$F$12:$H$17,3,0))</f>
        <v>bu_loantape_work.lt004_protection</v>
      </c>
      <c r="E327" s="17" t="s">
        <v>377</v>
      </c>
      <c r="F327" s="17" t="str">
        <f t="shared" si="38"/>
        <v>prtctn_prvdr_id_as_is</v>
      </c>
      <c r="G327" s="17" t="str">
        <f t="shared" si="39"/>
        <v>prtctn_prvdr_id_to_be</v>
      </c>
      <c r="H327" s="17" t="str">
        <f>IF(VLOOKUP(B327,Instruções!$F$13:$J$17,5,0)="",
"(SELECT "&amp;VLOOKUP(B327,Instruções!$F$13:$J$17,4,0)&amp;" as "&amp;VLOOKUP(B327,Instruções!$F$13:$J$17,4,0)&amp;"_"&amp;$F$2&amp;", "&amp;E327&amp;" as "&amp;F327&amp;" FROM "&amp;C327&amp;" WHERE "&amp;Instruções!$D$20&amp;") A ",
"(SELECT "&amp;VLOOKUP(B327,Instruções!$F$13:$J$17,4,0)&amp;" as "&amp;VLOOKUP(B327,Instruções!$F$13:$J$17,4,0)&amp;"_"&amp;$F$2&amp;", "&amp;VLOOKUP(B327,Instruções!$F$13:$J$17,5,0)&amp;" as "&amp;VLOOKUP(B327,Instruções!$F$13:$J$17,5,0)&amp;"_"&amp;$F$2&amp;","&amp;E327&amp;" as "&amp;F327&amp;" FROM "&amp;C327&amp;" WHERE "&amp;Instruções!$D$20&amp;") A ")</f>
        <v xml:space="preserve">(SELECT prtctn_id as prtctn_id_as_is, prtctn_prvdr_id as prtctn_prvdr_id_as_is FROM cd_loan_tapes_bce.lt004_protection WHERE ref_date='2024-09-30' AND nome_perimetro='Individual Corporativo' AND segmento='ESTR' AND ambito='PM' AND entidade='00100' ) A </v>
      </c>
      <c r="I327" s="17" t="str">
        <f>IF(VLOOKUP(B327,Instruções!$F$13:$J$17,5,0)="",
"(SELECT "&amp;VLOOKUP(B327,Instruções!$F$13:$J$17,4,0)&amp;" as "&amp;VLOOKUP(B327,Instruções!$F$13:$J$17,4,0)&amp;"_"&amp;$G$2&amp;", "&amp;E327&amp;" as "&amp;G327&amp;" FROM "&amp;D327&amp;" WHERE "&amp;Instruções!$D$21&amp;") B ",
"(SELECT "&amp;VLOOKUP(B327,Instruções!$F$13:$J$17,4,0)&amp;" as "&amp;VLOOKUP(B327,Instruções!$F$13:$J$17,4,0)&amp;"_"&amp;$G$2&amp;", "&amp;VLOOKUP(B327,Instruções!$F$13:$J$17,5,0)&amp;" as "&amp;VLOOKUP(B327,Instruções!$F$13:$J$17,5,0)&amp;"_"&amp;$G$2&amp;","&amp;E327&amp;" as "&amp;G327&amp;" FROM "&amp;D327&amp;" WHERE "&amp;Instruções!$D$21&amp;") B ")</f>
        <v xml:space="preserve">(SELECT prtctn_id as prtctn_id_to_be, prtctn_prvdr_id as prtctn_prvdr_id_to_be FROM bu_loantape_work.lt004_protection WHERE ref_date='2024-09-30' AND nome_perimetro='Individual Corporativo' AND segmento='ESTR' AND ambito='PM' AND entidade='00100' ) B </v>
      </c>
      <c r="J327" s="17" t="str">
        <f>IF(VLOOKUP(B327,Instruções!$F$13:$J$17,5,0)="",
"ON "&amp;VLOOKUP(B327,Instruções!$F$13:$J$17,4,0)&amp;"_"&amp;$F$2&amp;" = "&amp;VLOOKUP(B327,Instruções!$F$13:$J$17,4,0)&amp;"_"&amp;$G$2&amp;" ",
"ON "&amp;VLOOKUP(B327,Instruções!$F$13:$J$17,4,0)&amp;"_"&amp;$F$2&amp;" = "&amp;VLOOKUP(B327,Instruções!$F$13:$J$17,4,0)&amp;"_"&amp;$G$2&amp;" AND "&amp;VLOOKUP(B327,Instruções!$F$13:$J$17,5,0)&amp;"_"&amp;$F$2&amp;" = "&amp;VLOOKUP(B327,Instruções!$F$13:$J$17,5,0)&amp;"_"&amp;$G$2&amp;" ")</f>
        <v xml:space="preserve">ON prtctn_id_as_is = prtctn_id_to_be </v>
      </c>
      <c r="K327" s="17" t="str">
        <f t="shared" si="40"/>
        <v xml:space="preserve">WHERE coalesce(cast(prtctn_prvdr_id_as_is as string), '') &lt;&gt; coalesce(cast(prtctn_prvdr_id_to_be as string), '') </v>
      </c>
      <c r="L327" s="17" t="str">
        <f t="shared" si="41"/>
        <v xml:space="preserve">SELECT count(*) AS NUM_REG_DIF FROM (SELECT prtctn_id as prtctn_id_as_is, prtctn_prvdr_id as prtctn_prvdr_id_as_is FROM cd_loan_tapes_bce.lt004_protection WHERE ref_date='2024-09-30' AND nome_perimetro='Individual Corporativo' AND segmento='ESTR' AND ambito='PM' AND entidade='00100' ) A  Inner join (SELECT prtctn_id as prtctn_id_to_be, prtctn_prvdr_id as prtctn_prvdr_id_to_be FROM bu_loantape_work.lt004_protection WHERE ref_date='2024-09-30' AND nome_perimetro='Individual Corporativo' AND segmento='ESTR' AND ambito='PM' AND entidade='00100' ) B ON prtctn_id_as_is = prtctn_id_to_be WHERE coalesce(cast(prtctn_prvdr_id_as_is as string), '') &lt;&gt; coalesce(cast(prtctn_prvdr_id_to_be as string), '') </v>
      </c>
      <c r="M327" s="17" t="s">
        <v>55</v>
      </c>
      <c r="N327" s="17" t="str">
        <f>"SELECT 'Validação de campos' as tipologia_teste, '"&amp;VLOOKUP(B327,Instruções!$F$13:$J$17,3,0)&amp;"' AS TABELA, '"&amp;E327&amp;"' AS CAMPO, '"&amp;Instruções!$D$15&amp;"' as ref_date, coalesce(NUM_REG_DIF, 0) AS NUM_REG_DIF FROM ("&amp;L327&amp;") A "</f>
        <v xml:space="preserve">SELECT 'Validação de campos' as tipologia_teste, 'lt004_protection' AS TABELA, 'prtctn_prvdr_id' AS CAMPO, '2024-09-30' as ref_date, coalesce(NUM_REG_DIF, 0) AS NUM_REG_DIF FROM (SELECT count(*) AS NUM_REG_DIF FROM (SELECT prtctn_id as prtctn_id_as_is, prtctn_prvdr_id as prtctn_prvdr_id_as_is FROM cd_loan_tapes_bce.lt004_protection WHERE ref_date='2024-09-30' AND nome_perimetro='Individual Corporativo' AND segmento='ESTR' AND ambito='PM' AND entidade='00100' ) A  Inner join (SELECT prtctn_id as prtctn_id_to_be, prtctn_prvdr_id as prtctn_prvdr_id_to_be FROM bu_loantape_work.lt004_protection WHERE ref_date='2024-09-30' AND nome_perimetro='Individual Corporativo' AND segmento='ESTR' AND ambito='PM' AND entidade='00100' ) B ON prtctn_id_as_is = prtctn_id_to_be WHERE coalesce(cast(prtctn_prvdr_id_as_is as string), '') &lt;&gt; coalesce(cast(prtctn_prvdr_id_to_be as string), '') ) A </v>
      </c>
      <c r="O327" s="19" t="str">
        <f t="shared" si="43"/>
        <v>SELECT 'Validação de campos' as tipologia_teste, 'lt004_protection' AS TABELA, 'prtctn_prvdr_id' AS CAMPO, '2024-09-30' as ref_date, coalesce(NUM_REG_DIF, 0) AS NUM_REG_DIF FROM (SELECT count(*) AS NUM_REG_DIF FROM (SELECT prtctn_id as prtctn_id_as_is, prtctn_prvdr_id as prtctn_prvdr_id_as_is FROM cd_loan_tapes_bce.lt004_protection WHERE ref_date='2024-09-30' AND nome_perimetro='Individual Corporativo' AND segmento='ESTR' AND ambito='PM' AND entidade='00100' ) A  Inner join (SELECT prtctn_id as prtctn_id_to_be, prtctn_prvdr_id as prtctn_prvdr_id_to_be FROM bu_loantape_work.lt004_protection WHERE ref_date='2024-09-30' AND nome_perimetro='Individual Corporativo' AND segmento='ESTR' AND ambito='PM' AND entidade='00100' ) B ON prtctn_id_as_is = prtctn_id_to_be WHERE coalesce(cast(prtctn_prvdr_id_as_is as string), '') &lt;&gt; coalesce(cast(prtctn_prvdr_id_to_be as string), '') ) A UNION ALL</v>
      </c>
      <c r="P327" s="17">
        <f t="shared" si="37"/>
        <v>20</v>
      </c>
    </row>
    <row r="328" spans="2:16" s="15" customFormat="1" ht="11.45">
      <c r="B328" s="17" t="s">
        <v>30</v>
      </c>
      <c r="C328" s="17" t="str">
        <f>_xlfn.CONCAT(Instruções!$D$13,".",VLOOKUP(B328,Instruções!$F$12:$H$17,2,0))</f>
        <v>cd_loan_tapes_bce.lt004_protection</v>
      </c>
      <c r="D328" s="17" t="str">
        <f>_xlfn.CONCAT(Instruções!$D$14,".",VLOOKUP(B328,Instruções!$F$12:$H$17,3,0))</f>
        <v>bu_loantape_work.lt004_protection</v>
      </c>
      <c r="E328" s="17" t="s">
        <v>378</v>
      </c>
      <c r="F328" s="17" t="str">
        <f t="shared" si="38"/>
        <v>prtctn_typ_pblc_grnt_schm_c19_as_is</v>
      </c>
      <c r="G328" s="17" t="str">
        <f t="shared" si="39"/>
        <v>prtctn_typ_pblc_grnt_schm_c19_to_be</v>
      </c>
      <c r="H328" s="17" t="str">
        <f>IF(VLOOKUP(B328,Instruções!$F$13:$J$17,5,0)="",
"(SELECT "&amp;VLOOKUP(B328,Instruções!$F$13:$J$17,4,0)&amp;" as "&amp;VLOOKUP(B328,Instruções!$F$13:$J$17,4,0)&amp;"_"&amp;$F$2&amp;", "&amp;E328&amp;" as "&amp;F328&amp;" FROM "&amp;C328&amp;" WHERE "&amp;Instruções!$D$20&amp;") A ",
"(SELECT "&amp;VLOOKUP(B328,Instruções!$F$13:$J$17,4,0)&amp;" as "&amp;VLOOKUP(B328,Instruções!$F$13:$J$17,4,0)&amp;"_"&amp;$F$2&amp;", "&amp;VLOOKUP(B328,Instruções!$F$13:$J$17,5,0)&amp;" as "&amp;VLOOKUP(B328,Instruções!$F$13:$J$17,5,0)&amp;"_"&amp;$F$2&amp;","&amp;E328&amp;" as "&amp;F328&amp;" FROM "&amp;C328&amp;" WHERE "&amp;Instruções!$D$20&amp;") A ")</f>
        <v xml:space="preserve">(SELECT prtctn_id as prtctn_id_as_is, prtctn_typ_pblc_grnt_schm_c19 as prtctn_typ_pblc_grnt_schm_c19_as_is FROM cd_loan_tapes_bce.lt004_protection WHERE ref_date='2024-09-30' AND nome_perimetro='Individual Corporativo' AND segmento='ESTR' AND ambito='PM' AND entidade='00100' ) A </v>
      </c>
      <c r="I328" s="17" t="str">
        <f>IF(VLOOKUP(B328,Instruções!$F$13:$J$17,5,0)="",
"(SELECT "&amp;VLOOKUP(B328,Instruções!$F$13:$J$17,4,0)&amp;" as "&amp;VLOOKUP(B328,Instruções!$F$13:$J$17,4,0)&amp;"_"&amp;$G$2&amp;", "&amp;E328&amp;" as "&amp;G328&amp;" FROM "&amp;D328&amp;" WHERE "&amp;Instruções!$D$21&amp;") B ",
"(SELECT "&amp;VLOOKUP(B328,Instruções!$F$13:$J$17,4,0)&amp;" as "&amp;VLOOKUP(B328,Instruções!$F$13:$J$17,4,0)&amp;"_"&amp;$G$2&amp;", "&amp;VLOOKUP(B328,Instruções!$F$13:$J$17,5,0)&amp;" as "&amp;VLOOKUP(B328,Instruções!$F$13:$J$17,5,0)&amp;"_"&amp;$G$2&amp;","&amp;E328&amp;" as "&amp;G328&amp;" FROM "&amp;D328&amp;" WHERE "&amp;Instruções!$D$21&amp;") B ")</f>
        <v xml:space="preserve">(SELECT prtctn_id as prtctn_id_to_be, prtctn_typ_pblc_grnt_schm_c19 as prtctn_typ_pblc_grnt_schm_c19_to_be FROM bu_loantape_work.lt004_protection WHERE ref_date='2024-09-30' AND nome_perimetro='Individual Corporativo' AND segmento='ESTR' AND ambito='PM' AND entidade='00100' ) B </v>
      </c>
      <c r="J328" s="17" t="str">
        <f>IF(VLOOKUP(B328,Instruções!$F$13:$J$17,5,0)="",
"ON "&amp;VLOOKUP(B328,Instruções!$F$13:$J$17,4,0)&amp;"_"&amp;$F$2&amp;" = "&amp;VLOOKUP(B328,Instruções!$F$13:$J$17,4,0)&amp;"_"&amp;$G$2&amp;" ",
"ON "&amp;VLOOKUP(B328,Instruções!$F$13:$J$17,4,0)&amp;"_"&amp;$F$2&amp;" = "&amp;VLOOKUP(B328,Instruções!$F$13:$J$17,4,0)&amp;"_"&amp;$G$2&amp;" AND "&amp;VLOOKUP(B328,Instruções!$F$13:$J$17,5,0)&amp;"_"&amp;$F$2&amp;" = "&amp;VLOOKUP(B328,Instruções!$F$13:$J$17,5,0)&amp;"_"&amp;$G$2&amp;" ")</f>
        <v xml:space="preserve">ON prtctn_id_as_is = prtctn_id_to_be </v>
      </c>
      <c r="K328" s="17" t="str">
        <f t="shared" si="40"/>
        <v xml:space="preserve">WHERE coalesce(cast(prtctn_typ_pblc_grnt_schm_c19_as_is as string), '') &lt;&gt; coalesce(cast(prtctn_typ_pblc_grnt_schm_c19_to_be as string), '') </v>
      </c>
      <c r="L328" s="17" t="str">
        <f t="shared" si="41"/>
        <v xml:space="preserve">SELECT count(*) AS NUM_REG_DIF FROM (SELECT prtctn_id as prtctn_id_as_is,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prtctn_id_to_be, prtctn_typ_pblc_grnt_schm_c19 as prtctn_typ_pblc_grnt_schm_c19_to_be FROM bu_loantape_work.lt004_protection WHERE ref_date='2024-09-30' AND nome_perimetro='Individual Corporativo' AND segmento='ESTR' AND ambito='PM' AND entidade='00100' ) B ON prtctn_id_as_is = prtctn_id_to_be WHERE coalesce(cast(prtctn_typ_pblc_grnt_schm_c19_as_is as string), '') &lt;&gt; coalesce(cast(prtctn_typ_pblc_grnt_schm_c19_to_be as string), '') </v>
      </c>
      <c r="M328" s="17" t="s">
        <v>55</v>
      </c>
      <c r="N328" s="17" t="str">
        <f>"SELECT 'Validação de campos' as tipologia_teste, '"&amp;VLOOKUP(B328,Instruções!$F$13:$J$17,3,0)&amp;"' AS TABELA, '"&amp;E328&amp;"' AS CAMPO, '"&amp;Instruções!$D$15&amp;"' as ref_date, coalesce(NUM_REG_DIF, 0) AS NUM_REG_DIF FROM ("&amp;L328&amp;") A "</f>
        <v xml:space="preserve">SELECT 'Validação de campos' as tipologia_teste, 'lt004_protection' AS TABELA, 'prtctn_typ_pblc_grnt_schm_c19' AS CAMPO, '2024-09-30' as ref_date, coalesce(NUM_REG_DIF, 0) AS NUM_REG_DIF FROM (SELECT count(*) AS NUM_REG_DIF FROM (SELECT prtctn_id as prtctn_id_as_is,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prtctn_id_to_be, prtctn_typ_pblc_grnt_schm_c19 as prtctn_typ_pblc_grnt_schm_c19_to_be FROM bu_loantape_work.lt004_protection WHERE ref_date='2024-09-30' AND nome_perimetro='Individual Corporativo' AND segmento='ESTR' AND ambito='PM' AND entidade='00100' ) B ON prtctn_id_as_is = prtctn_id_to_be WHERE coalesce(cast(prtctn_typ_pblc_grnt_schm_c19_as_is as string), '') &lt;&gt; coalesce(cast(prtctn_typ_pblc_grnt_schm_c19_to_be as string), '') ) A </v>
      </c>
      <c r="O328" s="19" t="str">
        <f t="shared" si="43"/>
        <v>SELECT 'Validação de campos' as tipologia_teste, 'lt004_protection' AS TABELA, 'prtctn_typ_pblc_grnt_schm_c19' AS CAMPO, '2024-09-30' as ref_date, coalesce(NUM_REG_DIF, 0) AS NUM_REG_DIF FROM (SELECT count(*) AS NUM_REG_DIF FROM (SELECT prtctn_id as prtctn_id_as_is, prtctn_typ_pblc_grnt_schm_c19 as prtctn_typ_pblc_grnt_schm_c19_as_is FROM cd_loan_tapes_bce.lt004_protection WHERE ref_date='2024-09-30' AND nome_perimetro='Individual Corporativo' AND segmento='ESTR' AND ambito='PM' AND entidade='00100' ) A  Inner join (SELECT prtctn_id as prtctn_id_to_be, prtctn_typ_pblc_grnt_schm_c19 as prtctn_typ_pblc_grnt_schm_c19_to_be FROM bu_loantape_work.lt004_protection WHERE ref_date='2024-09-30' AND nome_perimetro='Individual Corporativo' AND segmento='ESTR' AND ambito='PM' AND entidade='00100' ) B ON prtctn_id_as_is = prtctn_id_to_be WHERE coalesce(cast(prtctn_typ_pblc_grnt_schm_c19_as_is as string), '') &lt;&gt; coalesce(cast(prtctn_typ_pblc_grnt_schm_c19_to_be as string), '') ) A UNION ALL</v>
      </c>
      <c r="P328" s="17">
        <f t="shared" si="37"/>
        <v>21</v>
      </c>
    </row>
    <row r="329" spans="2:16" s="15" customFormat="1" ht="11.45">
      <c r="B329" s="17" t="s">
        <v>30</v>
      </c>
      <c r="C329" s="17" t="str">
        <f>_xlfn.CONCAT(Instruções!$D$13,".",VLOOKUP(B329,Instruções!$F$12:$H$17,2,0))</f>
        <v>cd_loan_tapes_bce.lt004_protection</v>
      </c>
      <c r="D329" s="17" t="str">
        <f>_xlfn.CONCAT(Instruções!$D$14,".",VLOOKUP(B329,Instruções!$F$12:$H$17,3,0))</f>
        <v>bu_loantape_work.lt004_protection</v>
      </c>
      <c r="E329" s="17" t="s">
        <v>379</v>
      </c>
      <c r="F329" s="17" t="str">
        <f t="shared" si="38"/>
        <v>prtctn_vl_as_is</v>
      </c>
      <c r="G329" s="17" t="str">
        <f t="shared" si="39"/>
        <v>prtctn_vl_to_be</v>
      </c>
      <c r="H329" s="17" t="str">
        <f>IF(VLOOKUP(B329,Instruções!$F$13:$J$17,5,0)="",
"(SELECT "&amp;VLOOKUP(B329,Instruções!$F$13:$J$17,4,0)&amp;" as "&amp;VLOOKUP(B329,Instruções!$F$13:$J$17,4,0)&amp;"_"&amp;$F$2&amp;", "&amp;E329&amp;" as "&amp;F329&amp;" FROM "&amp;C329&amp;" WHERE "&amp;Instruções!$D$20&amp;") A ",
"(SELECT "&amp;VLOOKUP(B329,Instruções!$F$13:$J$17,4,0)&amp;" as "&amp;VLOOKUP(B329,Instruções!$F$13:$J$17,4,0)&amp;"_"&amp;$F$2&amp;", "&amp;VLOOKUP(B329,Instruções!$F$13:$J$17,5,0)&amp;" as "&amp;VLOOKUP(B329,Instruções!$F$13:$J$17,5,0)&amp;"_"&amp;$F$2&amp;","&amp;E329&amp;" as "&amp;F329&amp;" FROM "&amp;C329&amp;" WHERE "&amp;Instruções!$D$20&amp;") A ")</f>
        <v xml:space="preserve">(SELECT prtctn_id as prtctn_id_as_is, prtctn_vl as prtctn_vl_as_is FROM cd_loan_tapes_bce.lt004_protection WHERE ref_date='2024-09-30' AND nome_perimetro='Individual Corporativo' AND segmento='ESTR' AND ambito='PM' AND entidade='00100' ) A </v>
      </c>
      <c r="I329" s="17" t="str">
        <f>IF(VLOOKUP(B329,Instruções!$F$13:$J$17,5,0)="",
"(SELECT "&amp;VLOOKUP(B329,Instruções!$F$13:$J$17,4,0)&amp;" as "&amp;VLOOKUP(B329,Instruções!$F$13:$J$17,4,0)&amp;"_"&amp;$G$2&amp;", "&amp;E329&amp;" as "&amp;G329&amp;" FROM "&amp;D329&amp;" WHERE "&amp;Instruções!$D$21&amp;") B ",
"(SELECT "&amp;VLOOKUP(B329,Instruções!$F$13:$J$17,4,0)&amp;" as "&amp;VLOOKUP(B329,Instruções!$F$13:$J$17,4,0)&amp;"_"&amp;$G$2&amp;", "&amp;VLOOKUP(B329,Instruções!$F$13:$J$17,5,0)&amp;" as "&amp;VLOOKUP(B329,Instruções!$F$13:$J$17,5,0)&amp;"_"&amp;$G$2&amp;","&amp;E329&amp;" as "&amp;G329&amp;" FROM "&amp;D329&amp;" WHERE "&amp;Instruções!$D$21&amp;") B ")</f>
        <v xml:space="preserve">(SELECT prtctn_id as prtctn_id_to_be, prtctn_vl as prtctn_vl_to_be FROM bu_loantape_work.lt004_protection WHERE ref_date='2024-09-30' AND nome_perimetro='Individual Corporativo' AND segmento='ESTR' AND ambito='PM' AND entidade='00100' ) B </v>
      </c>
      <c r="J329" s="17" t="str">
        <f>IF(VLOOKUP(B329,Instruções!$F$13:$J$17,5,0)="",
"ON "&amp;VLOOKUP(B329,Instruções!$F$13:$J$17,4,0)&amp;"_"&amp;$F$2&amp;" = "&amp;VLOOKUP(B329,Instruções!$F$13:$J$17,4,0)&amp;"_"&amp;$G$2&amp;" ",
"ON "&amp;VLOOKUP(B329,Instruções!$F$13:$J$17,4,0)&amp;"_"&amp;$F$2&amp;" = "&amp;VLOOKUP(B329,Instruções!$F$13:$J$17,4,0)&amp;"_"&amp;$G$2&amp;" AND "&amp;VLOOKUP(B329,Instruções!$F$13:$J$17,5,0)&amp;"_"&amp;$F$2&amp;" = "&amp;VLOOKUP(B329,Instruções!$F$13:$J$17,5,0)&amp;"_"&amp;$G$2&amp;" ")</f>
        <v xml:space="preserve">ON prtctn_id_as_is = prtctn_id_to_be </v>
      </c>
      <c r="K329" s="17" t="str">
        <f t="shared" si="40"/>
        <v xml:space="preserve">WHERE coalesce(cast(prtctn_vl_as_is as string), '') &lt;&gt; coalesce(cast(prtctn_vl_to_be as string), '') </v>
      </c>
      <c r="L329" s="17" t="str">
        <f t="shared" si="41"/>
        <v xml:space="preserve">SELECT count(*) AS NUM_REG_DIF FROM (SELECT prtctn_id as prtctn_id_as_is, prtctn_vl as prtctn_vl_as_is FROM cd_loan_tapes_bce.lt004_protection WHERE ref_date='2024-09-30' AND nome_perimetro='Individual Corporativo' AND segmento='ESTR' AND ambito='PM' AND entidade='00100' ) A  Inner join (SELECT prtctn_id as prtctn_id_to_be, prtctn_vl as prtctn_vl_to_be FROM bu_loantape_work.lt004_protection WHERE ref_date='2024-09-30' AND nome_perimetro='Individual Corporativo' AND segmento='ESTR' AND ambito='PM' AND entidade='00100' ) B ON prtctn_id_as_is = prtctn_id_to_be WHERE coalesce(cast(prtctn_vl_as_is as string), '') &lt;&gt; coalesce(cast(prtctn_vl_to_be as string), '') </v>
      </c>
      <c r="M329" s="17" t="s">
        <v>55</v>
      </c>
      <c r="N329" s="17" t="str">
        <f>"SELECT 'Validação de campos' as tipologia_teste, '"&amp;VLOOKUP(B329,Instruções!$F$13:$J$17,3,0)&amp;"' AS TABELA, '"&amp;E329&amp;"' AS CAMPO, '"&amp;Instruções!$D$15&amp;"' as ref_date, coalesce(NUM_REG_DIF, 0) AS NUM_REG_DIF FROM ("&amp;L329&amp;") A "</f>
        <v xml:space="preserve">SELECT 'Validação de campos' as tipologia_teste, 'lt004_protection' AS TABELA, 'prtctn_vl' AS CAMPO, '2024-09-30' as ref_date, coalesce(NUM_REG_DIF, 0) AS NUM_REG_DIF FROM (SELECT count(*) AS NUM_REG_DIF FROM (SELECT prtctn_id as prtctn_id_as_is, prtctn_vl as prtctn_vl_as_is FROM cd_loan_tapes_bce.lt004_protection WHERE ref_date='2024-09-30' AND nome_perimetro='Individual Corporativo' AND segmento='ESTR' AND ambito='PM' AND entidade='00100' ) A  Inner join (SELECT prtctn_id as prtctn_id_to_be, prtctn_vl as prtctn_vl_to_be FROM bu_loantape_work.lt004_protection WHERE ref_date='2024-09-30' AND nome_perimetro='Individual Corporativo' AND segmento='ESTR' AND ambito='PM' AND entidade='00100' ) B ON prtctn_id_as_is = prtctn_id_to_be WHERE coalesce(cast(prtctn_vl_as_is as string), '') &lt;&gt; coalesce(cast(prtctn_vl_to_be as string), '') ) A </v>
      </c>
      <c r="O329" s="19" t="str">
        <f t="shared" si="43"/>
        <v>SELECT 'Validação de campos' as tipologia_teste, 'lt004_protection' AS TABELA, 'prtctn_vl' AS CAMPO, '2024-09-30' as ref_date, coalesce(NUM_REG_DIF, 0) AS NUM_REG_DIF FROM (SELECT count(*) AS NUM_REG_DIF FROM (SELECT prtctn_id as prtctn_id_as_is, prtctn_vl as prtctn_vl_as_is FROM cd_loan_tapes_bce.lt004_protection WHERE ref_date='2024-09-30' AND nome_perimetro='Individual Corporativo' AND segmento='ESTR' AND ambito='PM' AND entidade='00100' ) A  Inner join (SELECT prtctn_id as prtctn_id_to_be, prtctn_vl as prtctn_vl_to_be FROM bu_loantape_work.lt004_protection WHERE ref_date='2024-09-30' AND nome_perimetro='Individual Corporativo' AND segmento='ESTR' AND ambito='PM' AND entidade='00100' ) B ON prtctn_id_as_is = prtctn_id_to_be WHERE coalesce(cast(prtctn_vl_as_is as string), '') &lt;&gt; coalesce(cast(prtctn_vl_to_be as string), '') ) A UNION ALL</v>
      </c>
      <c r="P329" s="17">
        <f t="shared" si="37"/>
        <v>22</v>
      </c>
    </row>
    <row r="330" spans="2:16" s="15" customFormat="1" ht="11.45">
      <c r="B330" s="17" t="s">
        <v>30</v>
      </c>
      <c r="C330" s="17" t="str">
        <f>_xlfn.CONCAT(Instruções!$D$13,".",VLOOKUP(B330,Instruções!$F$12:$H$17,2,0))</f>
        <v>cd_loan_tapes_bce.lt004_protection</v>
      </c>
      <c r="D330" s="17" t="str">
        <f>_xlfn.CONCAT(Instruções!$D$14,".",VLOOKUP(B330,Instruções!$F$12:$H$17,3,0))</f>
        <v>bu_loantape_work.lt004_protection</v>
      </c>
      <c r="E330" s="17" t="s">
        <v>380</v>
      </c>
      <c r="F330" s="17" t="str">
        <f t="shared" si="38"/>
        <v>prtctn_vl_npe_as_is</v>
      </c>
      <c r="G330" s="17" t="str">
        <f t="shared" si="39"/>
        <v>prtctn_vl_npe_to_be</v>
      </c>
      <c r="H330" s="17" t="str">
        <f>IF(VLOOKUP(B330,Instruções!$F$13:$J$17,5,0)="",
"(SELECT "&amp;VLOOKUP(B330,Instruções!$F$13:$J$17,4,0)&amp;" as "&amp;VLOOKUP(B330,Instruções!$F$13:$J$17,4,0)&amp;"_"&amp;$F$2&amp;", "&amp;E330&amp;" as "&amp;F330&amp;" FROM "&amp;C330&amp;" WHERE "&amp;Instruções!$D$20&amp;") A ",
"(SELECT "&amp;VLOOKUP(B330,Instruções!$F$13:$J$17,4,0)&amp;" as "&amp;VLOOKUP(B330,Instruções!$F$13:$J$17,4,0)&amp;"_"&amp;$F$2&amp;", "&amp;VLOOKUP(B330,Instruções!$F$13:$J$17,5,0)&amp;" as "&amp;VLOOKUP(B330,Instruções!$F$13:$J$17,5,0)&amp;"_"&amp;$F$2&amp;","&amp;E330&amp;" as "&amp;F330&amp;" FROM "&amp;C330&amp;" WHERE "&amp;Instruções!$D$20&amp;") A ")</f>
        <v xml:space="preserve">(SELECT prtctn_id as prtctn_id_as_is, prtctn_vl_npe as prtctn_vl_npe_as_is FROM cd_loan_tapes_bce.lt004_protection WHERE ref_date='2024-09-30' AND nome_perimetro='Individual Corporativo' AND segmento='ESTR' AND ambito='PM' AND entidade='00100' ) A </v>
      </c>
      <c r="I330" s="17" t="str">
        <f>IF(VLOOKUP(B330,Instruções!$F$13:$J$17,5,0)="",
"(SELECT "&amp;VLOOKUP(B330,Instruções!$F$13:$J$17,4,0)&amp;" as "&amp;VLOOKUP(B330,Instruções!$F$13:$J$17,4,0)&amp;"_"&amp;$G$2&amp;", "&amp;E330&amp;" as "&amp;G330&amp;" FROM "&amp;D330&amp;" WHERE "&amp;Instruções!$D$21&amp;") B ",
"(SELECT "&amp;VLOOKUP(B330,Instruções!$F$13:$J$17,4,0)&amp;" as "&amp;VLOOKUP(B330,Instruções!$F$13:$J$17,4,0)&amp;"_"&amp;$G$2&amp;", "&amp;VLOOKUP(B330,Instruções!$F$13:$J$17,5,0)&amp;" as "&amp;VLOOKUP(B330,Instruções!$F$13:$J$17,5,0)&amp;"_"&amp;$G$2&amp;","&amp;E330&amp;" as "&amp;G330&amp;" FROM "&amp;D330&amp;" WHERE "&amp;Instruções!$D$21&amp;") B ")</f>
        <v xml:space="preserve">(SELECT prtctn_id as prtctn_id_to_be, prtctn_vl_npe as prtctn_vl_npe_to_be FROM bu_loantape_work.lt004_protection WHERE ref_date='2024-09-30' AND nome_perimetro='Individual Corporativo' AND segmento='ESTR' AND ambito='PM' AND entidade='00100' ) B </v>
      </c>
      <c r="J330" s="17" t="str">
        <f>IF(VLOOKUP(B330,Instruções!$F$13:$J$17,5,0)="",
"ON "&amp;VLOOKUP(B330,Instruções!$F$13:$J$17,4,0)&amp;"_"&amp;$F$2&amp;" = "&amp;VLOOKUP(B330,Instruções!$F$13:$J$17,4,0)&amp;"_"&amp;$G$2&amp;" ",
"ON "&amp;VLOOKUP(B330,Instruções!$F$13:$J$17,4,0)&amp;"_"&amp;$F$2&amp;" = "&amp;VLOOKUP(B330,Instruções!$F$13:$J$17,4,0)&amp;"_"&amp;$G$2&amp;" AND "&amp;VLOOKUP(B330,Instruções!$F$13:$J$17,5,0)&amp;"_"&amp;$F$2&amp;" = "&amp;VLOOKUP(B330,Instruções!$F$13:$J$17,5,0)&amp;"_"&amp;$G$2&amp;" ")</f>
        <v xml:space="preserve">ON prtctn_id_as_is = prtctn_id_to_be </v>
      </c>
      <c r="K330" s="17" t="str">
        <f t="shared" si="40"/>
        <v xml:space="preserve">WHERE coalesce(cast(prtctn_vl_npe_as_is as string), '') &lt;&gt; coalesce(cast(prtctn_vl_npe_to_be as string), '') </v>
      </c>
      <c r="L330" s="17" t="str">
        <f t="shared" si="41"/>
        <v xml:space="preserve">SELECT count(*) AS NUM_REG_DIF FROM (SELECT prtctn_id as prtctn_id_as_is, prtctn_vl_npe as prtctn_vl_npe_as_is FROM cd_loan_tapes_bce.lt004_protection WHERE ref_date='2024-09-30' AND nome_perimetro='Individual Corporativo' AND segmento='ESTR' AND ambito='PM' AND entidade='00100' ) A  Inner join (SELECT prtctn_id as prtctn_id_to_be, prtctn_vl_npe as prtctn_vl_npe_to_be FROM bu_loantape_work.lt004_protection WHERE ref_date='2024-09-30' AND nome_perimetro='Individual Corporativo' AND segmento='ESTR' AND ambito='PM' AND entidade='00100' ) B ON prtctn_id_as_is = prtctn_id_to_be WHERE coalesce(cast(prtctn_vl_npe_as_is as string), '') &lt;&gt; coalesce(cast(prtctn_vl_npe_to_be as string), '') </v>
      </c>
      <c r="M330" s="17" t="s">
        <v>55</v>
      </c>
      <c r="N330" s="17" t="str">
        <f>"SELECT 'Validação de campos' as tipologia_teste, '"&amp;VLOOKUP(B330,Instruções!$F$13:$J$17,3,0)&amp;"' AS TABELA, '"&amp;E330&amp;"' AS CAMPO, '"&amp;Instruções!$D$15&amp;"' as ref_date, coalesce(NUM_REG_DIF, 0) AS NUM_REG_DIF FROM ("&amp;L330&amp;") A "</f>
        <v xml:space="preserve">SELECT 'Validação de campos' as tipologia_teste, 'lt004_protection' AS TABELA, 'prtctn_vl_npe' AS CAMPO, '2024-09-30' as ref_date, coalesce(NUM_REG_DIF, 0) AS NUM_REG_DIF FROM (SELECT count(*) AS NUM_REG_DIF FROM (SELECT prtctn_id as prtctn_id_as_is, prtctn_vl_npe as prtctn_vl_npe_as_is FROM cd_loan_tapes_bce.lt004_protection WHERE ref_date='2024-09-30' AND nome_perimetro='Individual Corporativo' AND segmento='ESTR' AND ambito='PM' AND entidade='00100' ) A  Inner join (SELECT prtctn_id as prtctn_id_to_be, prtctn_vl_npe as prtctn_vl_npe_to_be FROM bu_loantape_work.lt004_protection WHERE ref_date='2024-09-30' AND nome_perimetro='Individual Corporativo' AND segmento='ESTR' AND ambito='PM' AND entidade='00100' ) B ON prtctn_id_as_is = prtctn_id_to_be WHERE coalesce(cast(prtctn_vl_npe_as_is as string), '') &lt;&gt; coalesce(cast(prtctn_vl_npe_to_be as string), '') ) A </v>
      </c>
      <c r="O330" s="19" t="str">
        <f t="shared" si="43"/>
        <v>SELECT 'Validação de campos' as tipologia_teste, 'lt004_protection' AS TABELA, 'prtctn_vl_npe' AS CAMPO, '2024-09-30' as ref_date, coalesce(NUM_REG_DIF, 0) AS NUM_REG_DIF FROM (SELECT count(*) AS NUM_REG_DIF FROM (SELECT prtctn_id as prtctn_id_as_is, prtctn_vl_npe as prtctn_vl_npe_as_is FROM cd_loan_tapes_bce.lt004_protection WHERE ref_date='2024-09-30' AND nome_perimetro='Individual Corporativo' AND segmento='ESTR' AND ambito='PM' AND entidade='00100' ) A  Inner join (SELECT prtctn_id as prtctn_id_to_be, prtctn_vl_npe as prtctn_vl_npe_to_be FROM bu_loantape_work.lt004_protection WHERE ref_date='2024-09-30' AND nome_perimetro='Individual Corporativo' AND segmento='ESTR' AND ambito='PM' AND entidade='00100' ) B ON prtctn_id_as_is = prtctn_id_to_be WHERE coalesce(cast(prtctn_vl_npe_as_is as string), '') &lt;&gt; coalesce(cast(prtctn_vl_npe_to_be as string), '') ) A UNION ALL</v>
      </c>
      <c r="P330" s="17">
        <f t="shared" si="37"/>
        <v>23</v>
      </c>
    </row>
    <row r="331" spans="2:16" s="15" customFormat="1" ht="11.45">
      <c r="B331" s="17" t="s">
        <v>30</v>
      </c>
      <c r="C331" s="17" t="str">
        <f>_xlfn.CONCAT(Instruções!$D$13,".",VLOOKUP(B331,Instruções!$F$12:$H$17,2,0))</f>
        <v>cd_loan_tapes_bce.lt004_protection</v>
      </c>
      <c r="D331" s="17" t="str">
        <f>_xlfn.CONCAT(Instruções!$D$14,".",VLOOKUP(B331,Instruções!$F$12:$H$17,3,0))</f>
        <v>bu_loantape_work.lt004_protection</v>
      </c>
      <c r="E331" s="17" t="s">
        <v>381</v>
      </c>
      <c r="F331" s="17" t="str">
        <f t="shared" si="38"/>
        <v>prtctn_vl_prvs_as_is</v>
      </c>
      <c r="G331" s="17" t="str">
        <f t="shared" si="39"/>
        <v>prtctn_vl_prvs_to_be</v>
      </c>
      <c r="H331" s="17" t="str">
        <f>IF(VLOOKUP(B331,Instruções!$F$13:$J$17,5,0)="",
"(SELECT "&amp;VLOOKUP(B331,Instruções!$F$13:$J$17,4,0)&amp;" as "&amp;VLOOKUP(B331,Instruções!$F$13:$J$17,4,0)&amp;"_"&amp;$F$2&amp;", "&amp;E331&amp;" as "&amp;F331&amp;" FROM "&amp;C331&amp;" WHERE "&amp;Instruções!$D$20&amp;") A ",
"(SELECT "&amp;VLOOKUP(B331,Instruções!$F$13:$J$17,4,0)&amp;" as "&amp;VLOOKUP(B331,Instruções!$F$13:$J$17,4,0)&amp;"_"&amp;$F$2&amp;", "&amp;VLOOKUP(B331,Instruções!$F$13:$J$17,5,0)&amp;" as "&amp;VLOOKUP(B331,Instruções!$F$13:$J$17,5,0)&amp;"_"&amp;$F$2&amp;","&amp;E331&amp;" as "&amp;F331&amp;" FROM "&amp;C331&amp;" WHERE "&amp;Instruções!$D$20&amp;") A ")</f>
        <v xml:space="preserve">(SELECT prtctn_id as prtctn_id_as_is, prtctn_vl_prvs as prtctn_vl_prvs_as_is FROM cd_loan_tapes_bce.lt004_protection WHERE ref_date='2024-09-30' AND nome_perimetro='Individual Corporativo' AND segmento='ESTR' AND ambito='PM' AND entidade='00100' ) A </v>
      </c>
      <c r="I331" s="17" t="str">
        <f>IF(VLOOKUP(B331,Instruções!$F$13:$J$17,5,0)="",
"(SELECT "&amp;VLOOKUP(B331,Instruções!$F$13:$J$17,4,0)&amp;" as "&amp;VLOOKUP(B331,Instruções!$F$13:$J$17,4,0)&amp;"_"&amp;$G$2&amp;", "&amp;E331&amp;" as "&amp;G331&amp;" FROM "&amp;D331&amp;" WHERE "&amp;Instruções!$D$21&amp;") B ",
"(SELECT "&amp;VLOOKUP(B331,Instruções!$F$13:$J$17,4,0)&amp;" as "&amp;VLOOKUP(B331,Instruções!$F$13:$J$17,4,0)&amp;"_"&amp;$G$2&amp;", "&amp;VLOOKUP(B331,Instruções!$F$13:$J$17,5,0)&amp;" as "&amp;VLOOKUP(B331,Instruções!$F$13:$J$17,5,0)&amp;"_"&amp;$G$2&amp;","&amp;E331&amp;" as "&amp;G331&amp;" FROM "&amp;D331&amp;" WHERE "&amp;Instruções!$D$21&amp;") B ")</f>
        <v xml:space="preserve">(SELECT prtctn_id as prtctn_id_to_be, prtctn_vl_prvs as prtctn_vl_prvs_to_be FROM bu_loantape_work.lt004_protection WHERE ref_date='2024-09-30' AND nome_perimetro='Individual Corporativo' AND segmento='ESTR' AND ambito='PM' AND entidade='00100' ) B </v>
      </c>
      <c r="J331" s="17" t="str">
        <f>IF(VLOOKUP(B331,Instruções!$F$13:$J$17,5,0)="",
"ON "&amp;VLOOKUP(B331,Instruções!$F$13:$J$17,4,0)&amp;"_"&amp;$F$2&amp;" = "&amp;VLOOKUP(B331,Instruções!$F$13:$J$17,4,0)&amp;"_"&amp;$G$2&amp;" ",
"ON "&amp;VLOOKUP(B331,Instruções!$F$13:$J$17,4,0)&amp;"_"&amp;$F$2&amp;" = "&amp;VLOOKUP(B331,Instruções!$F$13:$J$17,4,0)&amp;"_"&amp;$G$2&amp;" AND "&amp;VLOOKUP(B331,Instruções!$F$13:$J$17,5,0)&amp;"_"&amp;$F$2&amp;" = "&amp;VLOOKUP(B331,Instruções!$F$13:$J$17,5,0)&amp;"_"&amp;$G$2&amp;" ")</f>
        <v xml:space="preserve">ON prtctn_id_as_is = prtctn_id_to_be </v>
      </c>
      <c r="K331" s="17" t="str">
        <f t="shared" si="40"/>
        <v xml:space="preserve">WHERE coalesce(cast(prtctn_vl_prvs_as_is as string), '') &lt;&gt; coalesce(cast(prtctn_vl_prvs_to_be as string), '') </v>
      </c>
      <c r="L331" s="17" t="str">
        <f t="shared" si="41"/>
        <v xml:space="preserve">SELECT count(*) AS NUM_REG_DIF FROM (SELECT prtctn_id as prtctn_id_as_is, prtctn_vl_prvs as prtctn_vl_prvs_as_is FROM cd_loan_tapes_bce.lt004_protection WHERE ref_date='2024-09-30' AND nome_perimetro='Individual Corporativo' AND segmento='ESTR' AND ambito='PM' AND entidade='00100' ) A  Inner join (SELECT prtctn_id as prtctn_id_to_be, prtctn_vl_prvs as prtctn_vl_prvs_to_be FROM bu_loantape_work.lt004_protection WHERE ref_date='2024-09-30' AND nome_perimetro='Individual Corporativo' AND segmento='ESTR' AND ambito='PM' AND entidade='00100' ) B ON prtctn_id_as_is = prtctn_id_to_be WHERE coalesce(cast(prtctn_vl_prvs_as_is as string), '') &lt;&gt; coalesce(cast(prtctn_vl_prvs_to_be as string), '') </v>
      </c>
      <c r="M331" s="17" t="s">
        <v>55</v>
      </c>
      <c r="N331" s="17" t="str">
        <f>"SELECT 'Validação de campos' as tipologia_teste, '"&amp;VLOOKUP(B331,Instruções!$F$13:$J$17,3,0)&amp;"' AS TABELA, '"&amp;E331&amp;"' AS CAMPO, '"&amp;Instruções!$D$15&amp;"' as ref_date, coalesce(NUM_REG_DIF, 0) AS NUM_REG_DIF FROM ("&amp;L331&amp;") A "</f>
        <v xml:space="preserve">SELECT 'Validação de campos' as tipologia_teste, 'lt004_protection' AS TABELA, 'prtctn_vl_prvs' AS CAMPO, '2024-09-30' as ref_date, coalesce(NUM_REG_DIF, 0) AS NUM_REG_DIF FROM (SELECT count(*) AS NUM_REG_DIF FROM (SELECT prtctn_id as prtctn_id_as_is, prtctn_vl_prvs as prtctn_vl_prvs_as_is FROM cd_loan_tapes_bce.lt004_protection WHERE ref_date='2024-09-30' AND nome_perimetro='Individual Corporativo' AND segmento='ESTR' AND ambito='PM' AND entidade='00100' ) A  Inner join (SELECT prtctn_id as prtctn_id_to_be, prtctn_vl_prvs as prtctn_vl_prvs_to_be FROM bu_loantape_work.lt004_protection WHERE ref_date='2024-09-30' AND nome_perimetro='Individual Corporativo' AND segmento='ESTR' AND ambito='PM' AND entidade='00100' ) B ON prtctn_id_as_is = prtctn_id_to_be WHERE coalesce(cast(prtctn_vl_prvs_as_is as string), '') &lt;&gt; coalesce(cast(prtctn_vl_prvs_to_be as string), '') ) A </v>
      </c>
      <c r="O331" s="19" t="str">
        <f t="shared" si="43"/>
        <v>SELECT 'Validação de campos' as tipologia_teste, 'lt004_protection' AS TABELA, 'prtctn_vl_prvs' AS CAMPO, '2024-09-30' as ref_date, coalesce(NUM_REG_DIF, 0) AS NUM_REG_DIF FROM (SELECT count(*) AS NUM_REG_DIF FROM (SELECT prtctn_id as prtctn_id_as_is, prtctn_vl_prvs as prtctn_vl_prvs_as_is FROM cd_loan_tapes_bce.lt004_protection WHERE ref_date='2024-09-30' AND nome_perimetro='Individual Corporativo' AND segmento='ESTR' AND ambito='PM' AND entidade='00100' ) A  Inner join (SELECT prtctn_id as prtctn_id_to_be, prtctn_vl_prvs as prtctn_vl_prvs_to_be FROM bu_loantape_work.lt004_protection WHERE ref_date='2024-09-30' AND nome_perimetro='Individual Corporativo' AND segmento='ESTR' AND ambito='PM' AND entidade='00100' ) B ON prtctn_id_as_is = prtctn_id_to_be WHERE coalesce(cast(prtctn_vl_prvs_as_is as string), '') &lt;&gt; coalesce(cast(prtctn_vl_prvs_to_be as string), '') ) A UNION ALL</v>
      </c>
      <c r="P331" s="17">
        <f t="shared" si="37"/>
        <v>24</v>
      </c>
    </row>
    <row r="332" spans="2:16" s="15" customFormat="1" ht="11.45">
      <c r="B332" s="17" t="s">
        <v>30</v>
      </c>
      <c r="C332" s="17" t="str">
        <f>_xlfn.CONCAT(Instruções!$D$13,".",VLOOKUP(B332,Instruções!$F$12:$H$17,2,0))</f>
        <v>cd_loan_tapes_bce.lt004_protection</v>
      </c>
      <c r="D332" s="17" t="str">
        <f>_xlfn.CONCAT(Instruções!$D$14,".",VLOOKUP(B332,Instruções!$F$12:$H$17,3,0))</f>
        <v>bu_loantape_work.lt004_protection</v>
      </c>
      <c r="E332" s="17" t="s">
        <v>382</v>
      </c>
      <c r="F332" s="17" t="str">
        <f t="shared" si="38"/>
        <v>prtctn_vltn_apprch_as_is</v>
      </c>
      <c r="G332" s="17" t="str">
        <f t="shared" si="39"/>
        <v>prtctn_vltn_apprch_to_be</v>
      </c>
      <c r="H332" s="17" t="str">
        <f>IF(VLOOKUP(B332,Instruções!$F$13:$J$17,5,0)="",
"(SELECT "&amp;VLOOKUP(B332,Instruções!$F$13:$J$17,4,0)&amp;" as "&amp;VLOOKUP(B332,Instruções!$F$13:$J$17,4,0)&amp;"_"&amp;$F$2&amp;", "&amp;E332&amp;" as "&amp;F332&amp;" FROM "&amp;C332&amp;" WHERE "&amp;Instruções!$D$20&amp;") A ",
"(SELECT "&amp;VLOOKUP(B332,Instruções!$F$13:$J$17,4,0)&amp;" as "&amp;VLOOKUP(B332,Instruções!$F$13:$J$17,4,0)&amp;"_"&amp;$F$2&amp;", "&amp;VLOOKUP(B332,Instruções!$F$13:$J$17,5,0)&amp;" as "&amp;VLOOKUP(B332,Instruções!$F$13:$J$17,5,0)&amp;"_"&amp;$F$2&amp;","&amp;E332&amp;" as "&amp;F332&amp;" FROM "&amp;C332&amp;" WHERE "&amp;Instruções!$D$20&amp;") A ")</f>
        <v xml:space="preserve">(SELECT prtctn_id as prtctn_id_as_is, prtctn_vltn_apprch as prtctn_vltn_apprch_as_is FROM cd_loan_tapes_bce.lt004_protection WHERE ref_date='2024-09-30' AND nome_perimetro='Individual Corporativo' AND segmento='ESTR' AND ambito='PM' AND entidade='00100' ) A </v>
      </c>
      <c r="I332" s="17" t="str">
        <f>IF(VLOOKUP(B332,Instruções!$F$13:$J$17,5,0)="",
"(SELECT "&amp;VLOOKUP(B332,Instruções!$F$13:$J$17,4,0)&amp;" as "&amp;VLOOKUP(B332,Instruções!$F$13:$J$17,4,0)&amp;"_"&amp;$G$2&amp;", "&amp;E332&amp;" as "&amp;G332&amp;" FROM "&amp;D332&amp;" WHERE "&amp;Instruções!$D$21&amp;") B ",
"(SELECT "&amp;VLOOKUP(B332,Instruções!$F$13:$J$17,4,0)&amp;" as "&amp;VLOOKUP(B332,Instruções!$F$13:$J$17,4,0)&amp;"_"&amp;$G$2&amp;", "&amp;VLOOKUP(B332,Instruções!$F$13:$J$17,5,0)&amp;" as "&amp;VLOOKUP(B332,Instruções!$F$13:$J$17,5,0)&amp;"_"&amp;$G$2&amp;","&amp;E332&amp;" as "&amp;G332&amp;" FROM "&amp;D332&amp;" WHERE "&amp;Instruções!$D$21&amp;") B ")</f>
        <v xml:space="preserve">(SELECT prtctn_id as prtctn_id_to_be, prtctn_vltn_apprch as prtctn_vltn_apprch_to_be FROM bu_loantape_work.lt004_protection WHERE ref_date='2024-09-30' AND nome_perimetro='Individual Corporativo' AND segmento='ESTR' AND ambito='PM' AND entidade='00100' ) B </v>
      </c>
      <c r="J332" s="17" t="str">
        <f>IF(VLOOKUP(B332,Instruções!$F$13:$J$17,5,0)="",
"ON "&amp;VLOOKUP(B332,Instruções!$F$13:$J$17,4,0)&amp;"_"&amp;$F$2&amp;" = "&amp;VLOOKUP(B332,Instruções!$F$13:$J$17,4,0)&amp;"_"&amp;$G$2&amp;" ",
"ON "&amp;VLOOKUP(B332,Instruções!$F$13:$J$17,4,0)&amp;"_"&amp;$F$2&amp;" = "&amp;VLOOKUP(B332,Instruções!$F$13:$J$17,4,0)&amp;"_"&amp;$G$2&amp;" AND "&amp;VLOOKUP(B332,Instruções!$F$13:$J$17,5,0)&amp;"_"&amp;$F$2&amp;" = "&amp;VLOOKUP(B332,Instruções!$F$13:$J$17,5,0)&amp;"_"&amp;$G$2&amp;" ")</f>
        <v xml:space="preserve">ON prtctn_id_as_is = prtctn_id_to_be </v>
      </c>
      <c r="K332" s="17" t="str">
        <f t="shared" si="40"/>
        <v xml:space="preserve">WHERE coalesce(cast(prtctn_vltn_apprch_as_is as string), '') &lt;&gt; coalesce(cast(prtctn_vltn_apprch_to_be as string), '') </v>
      </c>
      <c r="L332" s="17" t="str">
        <f t="shared" si="41"/>
        <v xml:space="preserve">SELECT count(*) AS NUM_REG_DIF FROM (SELECT prtctn_id as prtctn_id_as_is, prtctn_vltn_apprch as prtctn_vltn_apprch_as_is FROM cd_loan_tapes_bce.lt004_protection WHERE ref_date='2024-09-30' AND nome_perimetro='Individual Corporativo' AND segmento='ESTR' AND ambito='PM' AND entidade='00100' ) A  Inner join (SELECT prtctn_id as prtctn_id_to_be, prtctn_vltn_apprch as prtctn_vltn_apprch_to_be FROM bu_loantape_work.lt004_protection WHERE ref_date='2024-09-30' AND nome_perimetro='Individual Corporativo' AND segmento='ESTR' AND ambito='PM' AND entidade='00100' ) B ON prtctn_id_as_is = prtctn_id_to_be WHERE coalesce(cast(prtctn_vltn_apprch_as_is as string), '') &lt;&gt; coalesce(cast(prtctn_vltn_apprch_to_be as string), '') </v>
      </c>
      <c r="M332" s="17" t="s">
        <v>55</v>
      </c>
      <c r="N332" s="17" t="str">
        <f>"SELECT 'Validação de campos' as tipologia_teste, '"&amp;VLOOKUP(B332,Instruções!$F$13:$J$17,3,0)&amp;"' AS TABELA, '"&amp;E332&amp;"' AS CAMPO, '"&amp;Instruções!$D$15&amp;"' as ref_date, coalesce(NUM_REG_DIF, 0) AS NUM_REG_DIF FROM ("&amp;L332&amp;") A "</f>
        <v xml:space="preserve">SELECT 'Validação de campos' as tipologia_teste, 'lt004_protection' AS TABELA, 'prtctn_vltn_apprch' AS CAMPO, '2024-09-30' as ref_date, coalesce(NUM_REG_DIF, 0) AS NUM_REG_DIF FROM (SELECT count(*) AS NUM_REG_DIF FROM (SELECT prtctn_id as prtctn_id_as_is, prtctn_vltn_apprch as prtctn_vltn_apprch_as_is FROM cd_loan_tapes_bce.lt004_protection WHERE ref_date='2024-09-30' AND nome_perimetro='Individual Corporativo' AND segmento='ESTR' AND ambito='PM' AND entidade='00100' ) A  Inner join (SELECT prtctn_id as prtctn_id_to_be, prtctn_vltn_apprch as prtctn_vltn_apprch_to_be FROM bu_loantape_work.lt004_protection WHERE ref_date='2024-09-30' AND nome_perimetro='Individual Corporativo' AND segmento='ESTR' AND ambito='PM' AND entidade='00100' ) B ON prtctn_id_as_is = prtctn_id_to_be WHERE coalesce(cast(prtctn_vltn_apprch_as_is as string), '') &lt;&gt; coalesce(cast(prtctn_vltn_apprch_to_be as string), '') ) A </v>
      </c>
      <c r="O332" s="19" t="str">
        <f t="shared" si="43"/>
        <v>SELECT 'Validação de campos' as tipologia_teste, 'lt004_protection' AS TABELA, 'prtctn_vltn_apprch' AS CAMPO, '2024-09-30' as ref_date, coalesce(NUM_REG_DIF, 0) AS NUM_REG_DIF FROM (SELECT count(*) AS NUM_REG_DIF FROM (SELECT prtctn_id as prtctn_id_as_is, prtctn_vltn_apprch as prtctn_vltn_apprch_as_is FROM cd_loan_tapes_bce.lt004_protection WHERE ref_date='2024-09-30' AND nome_perimetro='Individual Corporativo' AND segmento='ESTR' AND ambito='PM' AND entidade='00100' ) A  Inner join (SELECT prtctn_id as prtctn_id_to_be, prtctn_vltn_apprch as prtctn_vltn_apprch_to_be FROM bu_loantape_work.lt004_protection WHERE ref_date='2024-09-30' AND nome_perimetro='Individual Corporativo' AND segmento='ESTR' AND ambito='PM' AND entidade='00100' ) B ON prtctn_id_as_is = prtctn_id_to_be WHERE coalesce(cast(prtctn_vltn_apprch_as_is as string), '') &lt;&gt; coalesce(cast(prtctn_vltn_apprch_to_be as string), '') ) A UNION ALL</v>
      </c>
      <c r="P332" s="17">
        <f t="shared" si="37"/>
        <v>25</v>
      </c>
    </row>
    <row r="333" spans="2:16" s="15" customFormat="1" ht="11.45">
      <c r="B333" s="17" t="s">
        <v>30</v>
      </c>
      <c r="C333" s="17" t="str">
        <f>_xlfn.CONCAT(Instruções!$D$13,".",VLOOKUP(B333,Instruções!$F$12:$H$17,2,0))</f>
        <v>cd_loan_tapes_bce.lt004_protection</v>
      </c>
      <c r="D333" s="17" t="str">
        <f>_xlfn.CONCAT(Instruções!$D$14,".",VLOOKUP(B333,Instruções!$F$12:$H$17,3,0))</f>
        <v>bu_loantape_work.lt004_protection</v>
      </c>
      <c r="E333" s="17" t="s">
        <v>383</v>
      </c>
      <c r="F333" s="17" t="str">
        <f t="shared" si="38"/>
        <v>rl_estt_addrss_as_is</v>
      </c>
      <c r="G333" s="17" t="str">
        <f t="shared" si="39"/>
        <v>rl_estt_addrss_to_be</v>
      </c>
      <c r="H333" s="17" t="str">
        <f>IF(VLOOKUP(B333,Instruções!$F$13:$J$17,5,0)="",
"(SELECT "&amp;VLOOKUP(B333,Instruções!$F$13:$J$17,4,0)&amp;" as "&amp;VLOOKUP(B333,Instruções!$F$13:$J$17,4,0)&amp;"_"&amp;$F$2&amp;", "&amp;E333&amp;" as "&amp;F333&amp;" FROM "&amp;C333&amp;" WHERE "&amp;Instruções!$D$20&amp;") A ",
"(SELECT "&amp;VLOOKUP(B333,Instruções!$F$13:$J$17,4,0)&amp;" as "&amp;VLOOKUP(B333,Instruções!$F$13:$J$17,4,0)&amp;"_"&amp;$F$2&amp;", "&amp;VLOOKUP(B333,Instruções!$F$13:$J$17,5,0)&amp;" as "&amp;VLOOKUP(B333,Instruções!$F$13:$J$17,5,0)&amp;"_"&amp;$F$2&amp;","&amp;E333&amp;" as "&amp;F333&amp;" FROM "&amp;C333&amp;" WHERE "&amp;Instruções!$D$20&amp;") A ")</f>
        <v xml:space="preserve">(SELECT prtctn_id as prtctn_id_as_is, rl_estt_addrss as rl_estt_addrss_as_is FROM cd_loan_tapes_bce.lt004_protection WHERE ref_date='2024-09-30' AND nome_perimetro='Individual Corporativo' AND segmento='ESTR' AND ambito='PM' AND entidade='00100' ) A </v>
      </c>
      <c r="I333" s="17" t="str">
        <f>IF(VLOOKUP(B333,Instruções!$F$13:$J$17,5,0)="",
"(SELECT "&amp;VLOOKUP(B333,Instruções!$F$13:$J$17,4,0)&amp;" as "&amp;VLOOKUP(B333,Instruções!$F$13:$J$17,4,0)&amp;"_"&amp;$G$2&amp;", "&amp;E333&amp;" as "&amp;G333&amp;" FROM "&amp;D333&amp;" WHERE "&amp;Instruções!$D$21&amp;") B ",
"(SELECT "&amp;VLOOKUP(B333,Instruções!$F$13:$J$17,4,0)&amp;" as "&amp;VLOOKUP(B333,Instruções!$F$13:$J$17,4,0)&amp;"_"&amp;$G$2&amp;", "&amp;VLOOKUP(B333,Instruções!$F$13:$J$17,5,0)&amp;" as "&amp;VLOOKUP(B333,Instruções!$F$13:$J$17,5,0)&amp;"_"&amp;$G$2&amp;","&amp;E333&amp;" as "&amp;G333&amp;" FROM "&amp;D333&amp;" WHERE "&amp;Instruções!$D$21&amp;") B ")</f>
        <v xml:space="preserve">(SELECT prtctn_id as prtctn_id_to_be, rl_estt_addrss as rl_estt_addrss_to_be FROM bu_loantape_work.lt004_protection WHERE ref_date='2024-09-30' AND nome_perimetro='Individual Corporativo' AND segmento='ESTR' AND ambito='PM' AND entidade='00100' ) B </v>
      </c>
      <c r="J333" s="17" t="str">
        <f>IF(VLOOKUP(B333,Instruções!$F$13:$J$17,5,0)="",
"ON "&amp;VLOOKUP(B333,Instruções!$F$13:$J$17,4,0)&amp;"_"&amp;$F$2&amp;" = "&amp;VLOOKUP(B333,Instruções!$F$13:$J$17,4,0)&amp;"_"&amp;$G$2&amp;" ",
"ON "&amp;VLOOKUP(B333,Instruções!$F$13:$J$17,4,0)&amp;"_"&amp;$F$2&amp;" = "&amp;VLOOKUP(B333,Instruções!$F$13:$J$17,4,0)&amp;"_"&amp;$G$2&amp;" AND "&amp;VLOOKUP(B333,Instruções!$F$13:$J$17,5,0)&amp;"_"&amp;$F$2&amp;" = "&amp;VLOOKUP(B333,Instruções!$F$13:$J$17,5,0)&amp;"_"&amp;$G$2&amp;" ")</f>
        <v xml:space="preserve">ON prtctn_id_as_is = prtctn_id_to_be </v>
      </c>
      <c r="K333" s="17" t="str">
        <f t="shared" si="40"/>
        <v xml:space="preserve">WHERE coalesce(cast(rl_estt_addrss_as_is as string), '') &lt;&gt; coalesce(cast(rl_estt_addrss_to_be as string), '') </v>
      </c>
      <c r="L333" s="17" t="str">
        <f t="shared" si="41"/>
        <v xml:space="preserve">SELECT count(*) AS NUM_REG_DIF FROM (SELECT prtctn_id as prtctn_id_as_is, rl_estt_addrss as rl_estt_addrss_as_is FROM cd_loan_tapes_bce.lt004_protection WHERE ref_date='2024-09-30' AND nome_perimetro='Individual Corporativo' AND segmento='ESTR' AND ambito='PM' AND entidade='00100' ) A  Inner join (SELECT prtctn_id as prtctn_id_to_be, rl_estt_addrss as rl_estt_addrss_to_be FROM bu_loantape_work.lt004_protection WHERE ref_date='2024-09-30' AND nome_perimetro='Individual Corporativo' AND segmento='ESTR' AND ambito='PM' AND entidade='00100' ) B ON prtctn_id_as_is = prtctn_id_to_be WHERE coalesce(cast(rl_estt_addrss_as_is as string), '') &lt;&gt; coalesce(cast(rl_estt_addrss_to_be as string), '') </v>
      </c>
      <c r="M333" s="17" t="s">
        <v>55</v>
      </c>
      <c r="N333" s="17" t="str">
        <f>"SELECT 'Validação de campos' as tipologia_teste, '"&amp;VLOOKUP(B333,Instruções!$F$13:$J$17,3,0)&amp;"' AS TABELA, '"&amp;E333&amp;"' AS CAMPO, '"&amp;Instruções!$D$15&amp;"' as ref_date, coalesce(NUM_REG_DIF, 0) AS NUM_REG_DIF FROM ("&amp;L333&amp;") A "</f>
        <v xml:space="preserve">SELECT 'Validação de campos' as tipologia_teste, 'lt004_protection' AS TABELA, 'rl_estt_addrss' AS CAMPO, '2024-09-30' as ref_date, coalesce(NUM_REG_DIF, 0) AS NUM_REG_DIF FROM (SELECT count(*) AS NUM_REG_DIF FROM (SELECT prtctn_id as prtctn_id_as_is, rl_estt_addrss as rl_estt_addrss_as_is FROM cd_loan_tapes_bce.lt004_protection WHERE ref_date='2024-09-30' AND nome_perimetro='Individual Corporativo' AND segmento='ESTR' AND ambito='PM' AND entidade='00100' ) A  Inner join (SELECT prtctn_id as prtctn_id_to_be, rl_estt_addrss as rl_estt_addrss_to_be FROM bu_loantape_work.lt004_protection WHERE ref_date='2024-09-30' AND nome_perimetro='Individual Corporativo' AND segmento='ESTR' AND ambito='PM' AND entidade='00100' ) B ON prtctn_id_as_is = prtctn_id_to_be WHERE coalesce(cast(rl_estt_addrss_as_is as string), '') &lt;&gt; coalesce(cast(rl_estt_addrss_to_be as string), '') ) A </v>
      </c>
      <c r="O333" s="19" t="str">
        <f t="shared" si="43"/>
        <v>SELECT 'Validação de campos' as tipologia_teste, 'lt004_protection' AS TABELA, 'rl_estt_addrss' AS CAMPO, '2024-09-30' as ref_date, coalesce(NUM_REG_DIF, 0) AS NUM_REG_DIF FROM (SELECT count(*) AS NUM_REG_DIF FROM (SELECT prtctn_id as prtctn_id_as_is, rl_estt_addrss as rl_estt_addrss_as_is FROM cd_loan_tapes_bce.lt004_protection WHERE ref_date='2024-09-30' AND nome_perimetro='Individual Corporativo' AND segmento='ESTR' AND ambito='PM' AND entidade='00100' ) A  Inner join (SELECT prtctn_id as prtctn_id_to_be, rl_estt_addrss as rl_estt_addrss_to_be FROM bu_loantape_work.lt004_protection WHERE ref_date='2024-09-30' AND nome_perimetro='Individual Corporativo' AND segmento='ESTR' AND ambito='PM' AND entidade='00100' ) B ON prtctn_id_as_is = prtctn_id_to_be WHERE coalesce(cast(rl_estt_addrss_as_is as string), '') &lt;&gt; coalesce(cast(rl_estt_addrss_to_be as string), '') ) A UNION ALL</v>
      </c>
      <c r="P333" s="17">
        <f t="shared" si="37"/>
        <v>26</v>
      </c>
    </row>
    <row r="334" spans="2:16" s="15" customFormat="1" ht="11.45">
      <c r="B334" s="17" t="s">
        <v>30</v>
      </c>
      <c r="C334" s="17" t="str">
        <f>_xlfn.CONCAT(Instruções!$D$13,".",VLOOKUP(B334,Instruções!$F$12:$H$17,2,0))</f>
        <v>cd_loan_tapes_bce.lt004_protection</v>
      </c>
      <c r="D334" s="17" t="str">
        <f>_xlfn.CONCAT(Instruções!$D$14,".",VLOOKUP(B334,Instruções!$F$12:$H$17,3,0))</f>
        <v>bu_loantape_work.lt004_protection</v>
      </c>
      <c r="E334" s="17" t="s">
        <v>384</v>
      </c>
      <c r="F334" s="17" t="str">
        <f t="shared" si="38"/>
        <v>rl_estt_clltrl_lctn_as_is</v>
      </c>
      <c r="G334" s="17" t="str">
        <f t="shared" si="39"/>
        <v>rl_estt_clltrl_lctn_to_be</v>
      </c>
      <c r="H334" s="17" t="str">
        <f>IF(VLOOKUP(B334,Instruções!$F$13:$J$17,5,0)="",
"(SELECT "&amp;VLOOKUP(B334,Instruções!$F$13:$J$17,4,0)&amp;" as "&amp;VLOOKUP(B334,Instruções!$F$13:$J$17,4,0)&amp;"_"&amp;$F$2&amp;", "&amp;E334&amp;" as "&amp;F334&amp;" FROM "&amp;C334&amp;" WHERE "&amp;Instruções!$D$20&amp;") A ",
"(SELECT "&amp;VLOOKUP(B334,Instruções!$F$13:$J$17,4,0)&amp;" as "&amp;VLOOKUP(B334,Instruções!$F$13:$J$17,4,0)&amp;"_"&amp;$F$2&amp;", "&amp;VLOOKUP(B334,Instruções!$F$13:$J$17,5,0)&amp;" as "&amp;VLOOKUP(B334,Instruções!$F$13:$J$17,5,0)&amp;"_"&amp;$F$2&amp;","&amp;E334&amp;" as "&amp;F334&amp;" FROM "&amp;C334&amp;" WHERE "&amp;Instruções!$D$20&amp;") A ")</f>
        <v xml:space="preserve">(SELECT prtctn_id as prtctn_id_as_is, rl_estt_clltrl_lctn as rl_estt_clltrl_lctn_as_is FROM cd_loan_tapes_bce.lt004_protection WHERE ref_date='2024-09-30' AND nome_perimetro='Individual Corporativo' AND segmento='ESTR' AND ambito='PM' AND entidade='00100' ) A </v>
      </c>
      <c r="I334" s="17" t="str">
        <f>IF(VLOOKUP(B334,Instruções!$F$13:$J$17,5,0)="",
"(SELECT "&amp;VLOOKUP(B334,Instruções!$F$13:$J$17,4,0)&amp;" as "&amp;VLOOKUP(B334,Instruções!$F$13:$J$17,4,0)&amp;"_"&amp;$G$2&amp;", "&amp;E334&amp;" as "&amp;G334&amp;" FROM "&amp;D334&amp;" WHERE "&amp;Instruções!$D$21&amp;") B ",
"(SELECT "&amp;VLOOKUP(B334,Instruções!$F$13:$J$17,4,0)&amp;" as "&amp;VLOOKUP(B334,Instruções!$F$13:$J$17,4,0)&amp;"_"&amp;$G$2&amp;", "&amp;VLOOKUP(B334,Instruções!$F$13:$J$17,5,0)&amp;" as "&amp;VLOOKUP(B334,Instruções!$F$13:$J$17,5,0)&amp;"_"&amp;$G$2&amp;","&amp;E334&amp;" as "&amp;G334&amp;" FROM "&amp;D334&amp;" WHERE "&amp;Instruções!$D$21&amp;") B ")</f>
        <v xml:space="preserve">(SELECT prtctn_id as prtctn_id_to_be, rl_estt_clltrl_lctn as rl_estt_clltrl_lctn_to_be FROM bu_loantape_work.lt004_protection WHERE ref_date='2024-09-30' AND nome_perimetro='Individual Corporativo' AND segmento='ESTR' AND ambito='PM' AND entidade='00100' ) B </v>
      </c>
      <c r="J334" s="17" t="str">
        <f>IF(VLOOKUP(B334,Instruções!$F$13:$J$17,5,0)="",
"ON "&amp;VLOOKUP(B334,Instruções!$F$13:$J$17,4,0)&amp;"_"&amp;$F$2&amp;" = "&amp;VLOOKUP(B334,Instruções!$F$13:$J$17,4,0)&amp;"_"&amp;$G$2&amp;" ",
"ON "&amp;VLOOKUP(B334,Instruções!$F$13:$J$17,4,0)&amp;"_"&amp;$F$2&amp;" = "&amp;VLOOKUP(B334,Instruções!$F$13:$J$17,4,0)&amp;"_"&amp;$G$2&amp;" AND "&amp;VLOOKUP(B334,Instruções!$F$13:$J$17,5,0)&amp;"_"&amp;$F$2&amp;" = "&amp;VLOOKUP(B334,Instruções!$F$13:$J$17,5,0)&amp;"_"&amp;$G$2&amp;" ")</f>
        <v xml:space="preserve">ON prtctn_id_as_is = prtctn_id_to_be </v>
      </c>
      <c r="K334" s="17" t="str">
        <f t="shared" si="40"/>
        <v xml:space="preserve">WHERE coalesce(cast(rl_estt_clltrl_lctn_as_is as string), '') &lt;&gt; coalesce(cast(rl_estt_clltrl_lctn_to_be as string), '') </v>
      </c>
      <c r="L334" s="17" t="str">
        <f t="shared" si="41"/>
        <v xml:space="preserve">SELECT count(*) AS NUM_REG_DIF FROM (SELECT prtctn_id as prtctn_id_as_is, rl_estt_clltrl_lctn as rl_estt_clltrl_lctn_as_is FROM cd_loan_tapes_bce.lt004_protection WHERE ref_date='2024-09-30' AND nome_perimetro='Individual Corporativo' AND segmento='ESTR' AND ambito='PM' AND entidade='00100' ) A  Inner join (SELECT prtctn_id as prtctn_id_to_be, rl_estt_clltrl_lctn as rl_estt_clltrl_lctn_to_be FROM bu_loantape_work.lt004_protection WHERE ref_date='2024-09-30' AND nome_perimetro='Individual Corporativo' AND segmento='ESTR' AND ambito='PM' AND entidade='00100' ) B ON prtctn_id_as_is = prtctn_id_to_be WHERE coalesce(cast(rl_estt_clltrl_lctn_as_is as string), '') &lt;&gt; coalesce(cast(rl_estt_clltrl_lctn_to_be as string), '') </v>
      </c>
      <c r="M334" s="17" t="s">
        <v>55</v>
      </c>
      <c r="N334" s="17" t="str">
        <f>"SELECT 'Validação de campos' as tipologia_teste, '"&amp;VLOOKUP(B334,Instruções!$F$13:$J$17,3,0)&amp;"' AS TABELA, '"&amp;E334&amp;"' AS CAMPO, '"&amp;Instruções!$D$15&amp;"' as ref_date, coalesce(NUM_REG_DIF, 0) AS NUM_REG_DIF FROM ("&amp;L334&amp;") A "</f>
        <v xml:space="preserve">SELECT 'Validação de campos' as tipologia_teste, 'lt004_protection' AS TABELA, 'rl_estt_clltrl_lctn' AS CAMPO, '2024-09-30' as ref_date, coalesce(NUM_REG_DIF, 0) AS NUM_REG_DIF FROM (SELECT count(*) AS NUM_REG_DIF FROM (SELECT prtctn_id as prtctn_id_as_is, rl_estt_clltrl_lctn as rl_estt_clltrl_lctn_as_is FROM cd_loan_tapes_bce.lt004_protection WHERE ref_date='2024-09-30' AND nome_perimetro='Individual Corporativo' AND segmento='ESTR' AND ambito='PM' AND entidade='00100' ) A  Inner join (SELECT prtctn_id as prtctn_id_to_be, rl_estt_clltrl_lctn as rl_estt_clltrl_lctn_to_be FROM bu_loantape_work.lt004_protection WHERE ref_date='2024-09-30' AND nome_perimetro='Individual Corporativo' AND segmento='ESTR' AND ambito='PM' AND entidade='00100' ) B ON prtctn_id_as_is = prtctn_id_to_be WHERE coalesce(cast(rl_estt_clltrl_lctn_as_is as string), '') &lt;&gt; coalesce(cast(rl_estt_clltrl_lctn_to_be as string), '') ) A </v>
      </c>
      <c r="O334" s="19" t="str">
        <f t="shared" si="43"/>
        <v>SELECT 'Validação de campos' as tipologia_teste, 'lt004_protection' AS TABELA, 'rl_estt_clltrl_lctn' AS CAMPO, '2024-09-30' as ref_date, coalesce(NUM_REG_DIF, 0) AS NUM_REG_DIF FROM (SELECT count(*) AS NUM_REG_DIF FROM (SELECT prtctn_id as prtctn_id_as_is, rl_estt_clltrl_lctn as rl_estt_clltrl_lctn_as_is FROM cd_loan_tapes_bce.lt004_protection WHERE ref_date='2024-09-30' AND nome_perimetro='Individual Corporativo' AND segmento='ESTR' AND ambito='PM' AND entidade='00100' ) A  Inner join (SELECT prtctn_id as prtctn_id_to_be, rl_estt_clltrl_lctn as rl_estt_clltrl_lctn_to_be FROM bu_loantape_work.lt004_protection WHERE ref_date='2024-09-30' AND nome_perimetro='Individual Corporativo' AND segmento='ESTR' AND ambito='PM' AND entidade='00100' ) B ON prtctn_id_as_is = prtctn_id_to_be WHERE coalesce(cast(rl_estt_clltrl_lctn_as_is as string), '') &lt;&gt; coalesce(cast(rl_estt_clltrl_lctn_to_be as string), '') ) A UNION ALL</v>
      </c>
      <c r="P334" s="17">
        <f t="shared" si="37"/>
        <v>27</v>
      </c>
    </row>
    <row r="335" spans="2:16" s="15" customFormat="1" ht="11.45">
      <c r="B335" s="17" t="s">
        <v>30</v>
      </c>
      <c r="C335" s="17" t="str">
        <f>_xlfn.CONCAT(Instruções!$D$13,".",VLOOKUP(B335,Instruções!$F$12:$H$17,2,0))</f>
        <v>cd_loan_tapes_bce.lt004_protection</v>
      </c>
      <c r="D335" s="17" t="str">
        <f>_xlfn.CONCAT(Instruções!$D$14,".",VLOOKUP(B335,Instruções!$F$12:$H$17,3,0))</f>
        <v>bu_loantape_work.lt004_protection</v>
      </c>
      <c r="E335" s="17" t="s">
        <v>385</v>
      </c>
      <c r="F335" s="17" t="str">
        <f t="shared" si="38"/>
        <v>rl_estt_clltrl_lctn_int_as_is</v>
      </c>
      <c r="G335" s="17" t="str">
        <f t="shared" si="39"/>
        <v>rl_estt_clltrl_lctn_int_to_be</v>
      </c>
      <c r="H335" s="17" t="str">
        <f>IF(VLOOKUP(B335,Instruções!$F$13:$J$17,5,0)="",
"(SELECT "&amp;VLOOKUP(B335,Instruções!$F$13:$J$17,4,0)&amp;" as "&amp;VLOOKUP(B335,Instruções!$F$13:$J$17,4,0)&amp;"_"&amp;$F$2&amp;", "&amp;E335&amp;" as "&amp;F335&amp;" FROM "&amp;C335&amp;" WHERE "&amp;Instruções!$D$20&amp;") A ",
"(SELECT "&amp;VLOOKUP(B335,Instruções!$F$13:$J$17,4,0)&amp;" as "&amp;VLOOKUP(B335,Instruções!$F$13:$J$17,4,0)&amp;"_"&amp;$F$2&amp;", "&amp;VLOOKUP(B335,Instruções!$F$13:$J$17,5,0)&amp;" as "&amp;VLOOKUP(B335,Instruções!$F$13:$J$17,5,0)&amp;"_"&amp;$F$2&amp;","&amp;E335&amp;" as "&amp;F335&amp;" FROM "&amp;C335&amp;" WHERE "&amp;Instruções!$D$20&amp;") A ")</f>
        <v xml:space="preserve">(SELECT prtctn_id as prtctn_id_as_is, rl_estt_clltrl_lctn_int as rl_estt_clltrl_lctn_int_as_is FROM cd_loan_tapes_bce.lt004_protection WHERE ref_date='2024-09-30' AND nome_perimetro='Individual Corporativo' AND segmento='ESTR' AND ambito='PM' AND entidade='00100' ) A </v>
      </c>
      <c r="I335" s="17" t="str">
        <f>IF(VLOOKUP(B335,Instruções!$F$13:$J$17,5,0)="",
"(SELECT "&amp;VLOOKUP(B335,Instruções!$F$13:$J$17,4,0)&amp;" as "&amp;VLOOKUP(B335,Instruções!$F$13:$J$17,4,0)&amp;"_"&amp;$G$2&amp;", "&amp;E335&amp;" as "&amp;G335&amp;" FROM "&amp;D335&amp;" WHERE "&amp;Instruções!$D$21&amp;") B ",
"(SELECT "&amp;VLOOKUP(B335,Instruções!$F$13:$J$17,4,0)&amp;" as "&amp;VLOOKUP(B335,Instruções!$F$13:$J$17,4,0)&amp;"_"&amp;$G$2&amp;", "&amp;VLOOKUP(B335,Instruções!$F$13:$J$17,5,0)&amp;" as "&amp;VLOOKUP(B335,Instruções!$F$13:$J$17,5,0)&amp;"_"&amp;$G$2&amp;","&amp;E335&amp;" as "&amp;G335&amp;" FROM "&amp;D335&amp;" WHERE "&amp;Instruções!$D$21&amp;") B ")</f>
        <v xml:space="preserve">(SELECT prtctn_id as prtctn_id_to_be, rl_estt_clltrl_lctn_int as rl_estt_clltrl_lctn_int_to_be FROM bu_loantape_work.lt004_protection WHERE ref_date='2024-09-30' AND nome_perimetro='Individual Corporativo' AND segmento='ESTR' AND ambito='PM' AND entidade='00100' ) B </v>
      </c>
      <c r="J335" s="17" t="str">
        <f>IF(VLOOKUP(B335,Instruções!$F$13:$J$17,5,0)="",
"ON "&amp;VLOOKUP(B335,Instruções!$F$13:$J$17,4,0)&amp;"_"&amp;$F$2&amp;" = "&amp;VLOOKUP(B335,Instruções!$F$13:$J$17,4,0)&amp;"_"&amp;$G$2&amp;" ",
"ON "&amp;VLOOKUP(B335,Instruções!$F$13:$J$17,4,0)&amp;"_"&amp;$F$2&amp;" = "&amp;VLOOKUP(B335,Instruções!$F$13:$J$17,4,0)&amp;"_"&amp;$G$2&amp;" AND "&amp;VLOOKUP(B335,Instruções!$F$13:$J$17,5,0)&amp;"_"&amp;$F$2&amp;" = "&amp;VLOOKUP(B335,Instruções!$F$13:$J$17,5,0)&amp;"_"&amp;$G$2&amp;" ")</f>
        <v xml:space="preserve">ON prtctn_id_as_is = prtctn_id_to_be </v>
      </c>
      <c r="K335" s="17" t="str">
        <f t="shared" si="40"/>
        <v xml:space="preserve">WHERE coalesce(cast(rl_estt_clltrl_lctn_int_as_is as string), '') &lt;&gt; coalesce(cast(rl_estt_clltrl_lctn_int_to_be as string), '') </v>
      </c>
      <c r="L335" s="17" t="str">
        <f t="shared" si="41"/>
        <v xml:space="preserve">SELECT count(*) AS NUM_REG_DIF FROM (SELECT prtctn_id as prtctn_id_as_is, rl_estt_clltrl_lctn_int as rl_estt_clltrl_lctn_int_as_is FROM cd_loan_tapes_bce.lt004_protection WHERE ref_date='2024-09-30' AND nome_perimetro='Individual Corporativo' AND segmento='ESTR' AND ambito='PM' AND entidade='00100' ) A  Inner join (SELECT prtctn_id as prtctn_id_to_be, rl_estt_clltrl_lctn_int as rl_estt_clltrl_lctn_int_to_be FROM bu_loantape_work.lt004_protection WHERE ref_date='2024-09-30' AND nome_perimetro='Individual Corporativo' AND segmento='ESTR' AND ambito='PM' AND entidade='00100' ) B ON prtctn_id_as_is = prtctn_id_to_be WHERE coalesce(cast(rl_estt_clltrl_lctn_int_as_is as string), '') &lt;&gt; coalesce(cast(rl_estt_clltrl_lctn_int_to_be as string), '') </v>
      </c>
      <c r="M335" s="17" t="s">
        <v>55</v>
      </c>
      <c r="N335" s="17" t="str">
        <f>"SELECT 'Validação de campos' as tipologia_teste, '"&amp;VLOOKUP(B335,Instruções!$F$13:$J$17,3,0)&amp;"' AS TABELA, '"&amp;E335&amp;"' AS CAMPO, '"&amp;Instruções!$D$15&amp;"' as ref_date, coalesce(NUM_REG_DIF, 0) AS NUM_REG_DIF FROM ("&amp;L335&amp;") A "</f>
        <v xml:space="preserve">SELECT 'Validação de campos' as tipologia_teste, 'lt004_protection' AS TABELA, 'rl_estt_clltrl_lctn_int' AS CAMPO, '2024-09-30' as ref_date, coalesce(NUM_REG_DIF, 0) AS NUM_REG_DIF FROM (SELECT count(*) AS NUM_REG_DIF FROM (SELECT prtctn_id as prtctn_id_as_is, rl_estt_clltrl_lctn_int as rl_estt_clltrl_lctn_int_as_is FROM cd_loan_tapes_bce.lt004_protection WHERE ref_date='2024-09-30' AND nome_perimetro='Individual Corporativo' AND segmento='ESTR' AND ambito='PM' AND entidade='00100' ) A  Inner join (SELECT prtctn_id as prtctn_id_to_be, rl_estt_clltrl_lctn_int as rl_estt_clltrl_lctn_int_to_be FROM bu_loantape_work.lt004_protection WHERE ref_date='2024-09-30' AND nome_perimetro='Individual Corporativo' AND segmento='ESTR' AND ambito='PM' AND entidade='00100' ) B ON prtctn_id_as_is = prtctn_id_to_be WHERE coalesce(cast(rl_estt_clltrl_lctn_int_as_is as string), '') &lt;&gt; coalesce(cast(rl_estt_clltrl_lctn_int_to_be as string), '') ) A </v>
      </c>
      <c r="O335" s="19" t="str">
        <f t="shared" si="43"/>
        <v>SELECT 'Validação de campos' as tipologia_teste, 'lt004_protection' AS TABELA, 'rl_estt_clltrl_lctn_int' AS CAMPO, '2024-09-30' as ref_date, coalesce(NUM_REG_DIF, 0) AS NUM_REG_DIF FROM (SELECT count(*) AS NUM_REG_DIF FROM (SELECT prtctn_id as prtctn_id_as_is, rl_estt_clltrl_lctn_int as rl_estt_clltrl_lctn_int_as_is FROM cd_loan_tapes_bce.lt004_protection WHERE ref_date='2024-09-30' AND nome_perimetro='Individual Corporativo' AND segmento='ESTR' AND ambito='PM' AND entidade='00100' ) A  Inner join (SELECT prtctn_id as prtctn_id_to_be, rl_estt_clltrl_lctn_int as rl_estt_clltrl_lctn_int_to_be FROM bu_loantape_work.lt004_protection WHERE ref_date='2024-09-30' AND nome_perimetro='Individual Corporativo' AND segmento='ESTR' AND ambito='PM' AND entidade='00100' ) B ON prtctn_id_as_is = prtctn_id_to_be WHERE coalesce(cast(rl_estt_clltrl_lctn_int_as_is as string), '') &lt;&gt; coalesce(cast(rl_estt_clltrl_lctn_int_to_be as string), '') ) A UNION ALL</v>
      </c>
      <c r="P335" s="17">
        <f t="shared" si="37"/>
        <v>28</v>
      </c>
    </row>
    <row r="336" spans="2:16" s="15" customFormat="1" ht="11.45">
      <c r="B336" s="17" t="s">
        <v>30</v>
      </c>
      <c r="C336" s="17" t="str">
        <f>_xlfn.CONCAT(Instruções!$D$13,".",VLOOKUP(B336,Instruções!$F$12:$H$17,2,0))</f>
        <v>cd_loan_tapes_bce.lt004_protection</v>
      </c>
      <c r="D336" s="17" t="str">
        <f>_xlfn.CONCAT(Instruções!$D$14,".",VLOOKUP(B336,Instruções!$F$12:$H$17,3,0))</f>
        <v>bu_loantape_work.lt004_protection</v>
      </c>
      <c r="E336" s="17" t="s">
        <v>386</v>
      </c>
      <c r="F336" s="17" t="str">
        <f t="shared" si="38"/>
        <v>rl_estt_cty_as_is</v>
      </c>
      <c r="G336" s="17" t="str">
        <f t="shared" si="39"/>
        <v>rl_estt_cty_to_be</v>
      </c>
      <c r="H336" s="17" t="str">
        <f>IF(VLOOKUP(B336,Instruções!$F$13:$J$17,5,0)="",
"(SELECT "&amp;VLOOKUP(B336,Instruções!$F$13:$J$17,4,0)&amp;" as "&amp;VLOOKUP(B336,Instruções!$F$13:$J$17,4,0)&amp;"_"&amp;$F$2&amp;", "&amp;E336&amp;" as "&amp;F336&amp;" FROM "&amp;C336&amp;" WHERE "&amp;Instruções!$D$20&amp;") A ",
"(SELECT "&amp;VLOOKUP(B336,Instruções!$F$13:$J$17,4,0)&amp;" as "&amp;VLOOKUP(B336,Instruções!$F$13:$J$17,4,0)&amp;"_"&amp;$F$2&amp;", "&amp;VLOOKUP(B336,Instruções!$F$13:$J$17,5,0)&amp;" as "&amp;VLOOKUP(B336,Instruções!$F$13:$J$17,5,0)&amp;"_"&amp;$F$2&amp;","&amp;E336&amp;" as "&amp;F336&amp;" FROM "&amp;C336&amp;" WHERE "&amp;Instruções!$D$20&amp;") A ")</f>
        <v xml:space="preserve">(SELECT prtctn_id as prtctn_id_as_is, rl_estt_cty as rl_estt_cty_as_is FROM cd_loan_tapes_bce.lt004_protection WHERE ref_date='2024-09-30' AND nome_perimetro='Individual Corporativo' AND segmento='ESTR' AND ambito='PM' AND entidade='00100' ) A </v>
      </c>
      <c r="I336" s="17" t="str">
        <f>IF(VLOOKUP(B336,Instruções!$F$13:$J$17,5,0)="",
"(SELECT "&amp;VLOOKUP(B336,Instruções!$F$13:$J$17,4,0)&amp;" as "&amp;VLOOKUP(B336,Instruções!$F$13:$J$17,4,0)&amp;"_"&amp;$G$2&amp;", "&amp;E336&amp;" as "&amp;G336&amp;" FROM "&amp;D336&amp;" WHERE "&amp;Instruções!$D$21&amp;") B ",
"(SELECT "&amp;VLOOKUP(B336,Instruções!$F$13:$J$17,4,0)&amp;" as "&amp;VLOOKUP(B336,Instruções!$F$13:$J$17,4,0)&amp;"_"&amp;$G$2&amp;", "&amp;VLOOKUP(B336,Instruções!$F$13:$J$17,5,0)&amp;" as "&amp;VLOOKUP(B336,Instruções!$F$13:$J$17,5,0)&amp;"_"&amp;$G$2&amp;","&amp;E336&amp;" as "&amp;G336&amp;" FROM "&amp;D336&amp;" WHERE "&amp;Instruções!$D$21&amp;") B ")</f>
        <v xml:space="preserve">(SELECT prtctn_id as prtctn_id_to_be, rl_estt_cty as rl_estt_cty_to_be FROM bu_loantape_work.lt004_protection WHERE ref_date='2024-09-30' AND nome_perimetro='Individual Corporativo' AND segmento='ESTR' AND ambito='PM' AND entidade='00100' ) B </v>
      </c>
      <c r="J336" s="17" t="str">
        <f>IF(VLOOKUP(B336,Instruções!$F$13:$J$17,5,0)="",
"ON "&amp;VLOOKUP(B336,Instruções!$F$13:$J$17,4,0)&amp;"_"&amp;$F$2&amp;" = "&amp;VLOOKUP(B336,Instruções!$F$13:$J$17,4,0)&amp;"_"&amp;$G$2&amp;" ",
"ON "&amp;VLOOKUP(B336,Instruções!$F$13:$J$17,4,0)&amp;"_"&amp;$F$2&amp;" = "&amp;VLOOKUP(B336,Instruções!$F$13:$J$17,4,0)&amp;"_"&amp;$G$2&amp;" AND "&amp;VLOOKUP(B336,Instruções!$F$13:$J$17,5,0)&amp;"_"&amp;$F$2&amp;" = "&amp;VLOOKUP(B336,Instruções!$F$13:$J$17,5,0)&amp;"_"&amp;$G$2&amp;" ")</f>
        <v xml:space="preserve">ON prtctn_id_as_is = prtctn_id_to_be </v>
      </c>
      <c r="K336" s="17" t="str">
        <f t="shared" si="40"/>
        <v xml:space="preserve">WHERE coalesce(cast(rl_estt_cty_as_is as string), '') &lt;&gt; coalesce(cast(rl_estt_cty_to_be as string), '') </v>
      </c>
      <c r="L336" s="17" t="str">
        <f t="shared" si="41"/>
        <v xml:space="preserve">SELECT count(*) AS NUM_REG_DIF FROM (SELECT prtctn_id as prtctn_id_as_is, rl_estt_cty as rl_estt_cty_as_is FROM cd_loan_tapes_bce.lt004_protection WHERE ref_date='2024-09-30' AND nome_perimetro='Individual Corporativo' AND segmento='ESTR' AND ambito='PM' AND entidade='00100' ) A  Inner join (SELECT prtctn_id as prtctn_id_to_be, rl_estt_cty as rl_estt_cty_to_be FROM bu_loantape_work.lt004_protection WHERE ref_date='2024-09-30' AND nome_perimetro='Individual Corporativo' AND segmento='ESTR' AND ambito='PM' AND entidade='00100' ) B ON prtctn_id_as_is = prtctn_id_to_be WHERE coalesce(cast(rl_estt_cty_as_is as string), '') &lt;&gt; coalesce(cast(rl_estt_cty_to_be as string), '') </v>
      </c>
      <c r="M336" s="17" t="s">
        <v>55</v>
      </c>
      <c r="N336" s="17" t="str">
        <f>"SELECT 'Validação de campos' as tipologia_teste, '"&amp;VLOOKUP(B336,Instruções!$F$13:$J$17,3,0)&amp;"' AS TABELA, '"&amp;E336&amp;"' AS CAMPO, '"&amp;Instruções!$D$15&amp;"' as ref_date, coalesce(NUM_REG_DIF, 0) AS NUM_REG_DIF FROM ("&amp;L336&amp;") A "</f>
        <v xml:space="preserve">SELECT 'Validação de campos' as tipologia_teste, 'lt004_protection' AS TABELA, 'rl_estt_cty' AS CAMPO, '2024-09-30' as ref_date, coalesce(NUM_REG_DIF, 0) AS NUM_REG_DIF FROM (SELECT count(*) AS NUM_REG_DIF FROM (SELECT prtctn_id as prtctn_id_as_is, rl_estt_cty as rl_estt_cty_as_is FROM cd_loan_tapes_bce.lt004_protection WHERE ref_date='2024-09-30' AND nome_perimetro='Individual Corporativo' AND segmento='ESTR' AND ambito='PM' AND entidade='00100' ) A  Inner join (SELECT prtctn_id as prtctn_id_to_be, rl_estt_cty as rl_estt_cty_to_be FROM bu_loantape_work.lt004_protection WHERE ref_date='2024-09-30' AND nome_perimetro='Individual Corporativo' AND segmento='ESTR' AND ambito='PM' AND entidade='00100' ) B ON prtctn_id_as_is = prtctn_id_to_be WHERE coalesce(cast(rl_estt_cty_as_is as string), '') &lt;&gt; coalesce(cast(rl_estt_cty_to_be as string), '') ) A </v>
      </c>
      <c r="O336" s="19" t="str">
        <f t="shared" si="43"/>
        <v>SELECT 'Validação de campos' as tipologia_teste, 'lt004_protection' AS TABELA, 'rl_estt_cty' AS CAMPO, '2024-09-30' as ref_date, coalesce(NUM_REG_DIF, 0) AS NUM_REG_DIF FROM (SELECT count(*) AS NUM_REG_DIF FROM (SELECT prtctn_id as prtctn_id_as_is, rl_estt_cty as rl_estt_cty_as_is FROM cd_loan_tapes_bce.lt004_protection WHERE ref_date='2024-09-30' AND nome_perimetro='Individual Corporativo' AND segmento='ESTR' AND ambito='PM' AND entidade='00100' ) A  Inner join (SELECT prtctn_id as prtctn_id_to_be, rl_estt_cty as rl_estt_cty_to_be FROM bu_loantape_work.lt004_protection WHERE ref_date='2024-09-30' AND nome_perimetro='Individual Corporativo' AND segmento='ESTR' AND ambito='PM' AND entidade='00100' ) B ON prtctn_id_as_is = prtctn_id_to_be WHERE coalesce(cast(rl_estt_cty_as_is as string), '') &lt;&gt; coalesce(cast(rl_estt_cty_to_be as string), '') ) A UNION ALL</v>
      </c>
      <c r="P336" s="17">
        <f t="shared" si="37"/>
        <v>29</v>
      </c>
    </row>
    <row r="337" spans="2:16" s="15" customFormat="1" ht="11.45">
      <c r="B337" s="17" t="s">
        <v>30</v>
      </c>
      <c r="C337" s="17" t="str">
        <f>_xlfn.CONCAT(Instruções!$D$13,".",VLOOKUP(B337,Instruções!$F$12:$H$17,2,0))</f>
        <v>cd_loan_tapes_bce.lt004_protection</v>
      </c>
      <c r="D337" s="17" t="str">
        <f>_xlfn.CONCAT(Instruções!$D$14,".",VLOOKUP(B337,Instruções!$F$12:$H$17,3,0))</f>
        <v>bu_loantape_work.lt004_protection</v>
      </c>
      <c r="E337" s="17" t="s">
        <v>387</v>
      </c>
      <c r="F337" s="17" t="str">
        <f t="shared" si="38"/>
        <v>rl_estt_pst_cd_as_is</v>
      </c>
      <c r="G337" s="17" t="str">
        <f t="shared" si="39"/>
        <v>rl_estt_pst_cd_to_be</v>
      </c>
      <c r="H337" s="17" t="str">
        <f>IF(VLOOKUP(B337,Instruções!$F$13:$J$17,5,0)="",
"(SELECT "&amp;VLOOKUP(B337,Instruções!$F$13:$J$17,4,0)&amp;" as "&amp;VLOOKUP(B337,Instruções!$F$13:$J$17,4,0)&amp;"_"&amp;$F$2&amp;", "&amp;E337&amp;" as "&amp;F337&amp;" FROM "&amp;C337&amp;" WHERE "&amp;Instruções!$D$20&amp;") A ",
"(SELECT "&amp;VLOOKUP(B337,Instruções!$F$13:$J$17,4,0)&amp;" as "&amp;VLOOKUP(B337,Instruções!$F$13:$J$17,4,0)&amp;"_"&amp;$F$2&amp;", "&amp;VLOOKUP(B337,Instruções!$F$13:$J$17,5,0)&amp;" as "&amp;VLOOKUP(B337,Instruções!$F$13:$J$17,5,0)&amp;"_"&amp;$F$2&amp;","&amp;E337&amp;" as "&amp;F337&amp;" FROM "&amp;C337&amp;" WHERE "&amp;Instruções!$D$20&amp;") A ")</f>
        <v xml:space="preserve">(SELECT prtctn_id as prtctn_id_as_is, rl_estt_pst_cd as rl_estt_pst_cd_as_is FROM cd_loan_tapes_bce.lt004_protection WHERE ref_date='2024-09-30' AND nome_perimetro='Individual Corporativo' AND segmento='ESTR' AND ambito='PM' AND entidade='00100' ) A </v>
      </c>
      <c r="I337" s="17" t="str">
        <f>IF(VLOOKUP(B337,Instruções!$F$13:$J$17,5,0)="",
"(SELECT "&amp;VLOOKUP(B337,Instruções!$F$13:$J$17,4,0)&amp;" as "&amp;VLOOKUP(B337,Instruções!$F$13:$J$17,4,0)&amp;"_"&amp;$G$2&amp;", "&amp;E337&amp;" as "&amp;G337&amp;" FROM "&amp;D337&amp;" WHERE "&amp;Instruções!$D$21&amp;") B ",
"(SELECT "&amp;VLOOKUP(B337,Instruções!$F$13:$J$17,4,0)&amp;" as "&amp;VLOOKUP(B337,Instruções!$F$13:$J$17,4,0)&amp;"_"&amp;$G$2&amp;", "&amp;VLOOKUP(B337,Instruções!$F$13:$J$17,5,0)&amp;" as "&amp;VLOOKUP(B337,Instruções!$F$13:$J$17,5,0)&amp;"_"&amp;$G$2&amp;","&amp;E337&amp;" as "&amp;G337&amp;" FROM "&amp;D337&amp;" WHERE "&amp;Instruções!$D$21&amp;") B ")</f>
        <v xml:space="preserve">(SELECT prtctn_id as prtctn_id_to_be, rl_estt_pst_cd as rl_estt_pst_cd_to_be FROM bu_loantape_work.lt004_protection WHERE ref_date='2024-09-30' AND nome_perimetro='Individual Corporativo' AND segmento='ESTR' AND ambito='PM' AND entidade='00100' ) B </v>
      </c>
      <c r="J337" s="17" t="str">
        <f>IF(VLOOKUP(B337,Instruções!$F$13:$J$17,5,0)="",
"ON "&amp;VLOOKUP(B337,Instruções!$F$13:$J$17,4,0)&amp;"_"&amp;$F$2&amp;" = "&amp;VLOOKUP(B337,Instruções!$F$13:$J$17,4,0)&amp;"_"&amp;$G$2&amp;" ",
"ON "&amp;VLOOKUP(B337,Instruções!$F$13:$J$17,4,0)&amp;"_"&amp;$F$2&amp;" = "&amp;VLOOKUP(B337,Instruções!$F$13:$J$17,4,0)&amp;"_"&amp;$G$2&amp;" AND "&amp;VLOOKUP(B337,Instruções!$F$13:$J$17,5,0)&amp;"_"&amp;$F$2&amp;" = "&amp;VLOOKUP(B337,Instruções!$F$13:$J$17,5,0)&amp;"_"&amp;$G$2&amp;" ")</f>
        <v xml:space="preserve">ON prtctn_id_as_is = prtctn_id_to_be </v>
      </c>
      <c r="K337" s="17" t="str">
        <f t="shared" si="40"/>
        <v xml:space="preserve">WHERE coalesce(cast(rl_estt_pst_cd_as_is as string), '') &lt;&gt; coalesce(cast(rl_estt_pst_cd_to_be as string), '') </v>
      </c>
      <c r="L337" s="17" t="str">
        <f t="shared" si="41"/>
        <v xml:space="preserve">SELECT count(*) AS NUM_REG_DIF FROM (SELECT prtctn_id as prtctn_id_as_is, rl_estt_pst_cd as rl_estt_pst_cd_as_is FROM cd_loan_tapes_bce.lt004_protection WHERE ref_date='2024-09-30' AND nome_perimetro='Individual Corporativo' AND segmento='ESTR' AND ambito='PM' AND entidade='00100' ) A  Inner join (SELECT prtctn_id as prtctn_id_to_be, rl_estt_pst_cd as rl_estt_pst_cd_to_be FROM bu_loantape_work.lt004_protection WHERE ref_date='2024-09-30' AND nome_perimetro='Individual Corporativo' AND segmento='ESTR' AND ambito='PM' AND entidade='00100' ) B ON prtctn_id_as_is = prtctn_id_to_be WHERE coalesce(cast(rl_estt_pst_cd_as_is as string), '') &lt;&gt; coalesce(cast(rl_estt_pst_cd_to_be as string), '') </v>
      </c>
      <c r="M337" s="17" t="s">
        <v>55</v>
      </c>
      <c r="N337" s="17" t="str">
        <f>"SELECT 'Validação de campos' as tipologia_teste, '"&amp;VLOOKUP(B337,Instruções!$F$13:$J$17,3,0)&amp;"' AS TABELA, '"&amp;E337&amp;"' AS CAMPO, '"&amp;Instruções!$D$15&amp;"' as ref_date, coalesce(NUM_REG_DIF, 0) AS NUM_REG_DIF FROM ("&amp;L337&amp;") A "</f>
        <v xml:space="preserve">SELECT 'Validação de campos' as tipologia_teste, 'lt004_protection' AS TABELA, 'rl_estt_pst_cd' AS CAMPO, '2024-09-30' as ref_date, coalesce(NUM_REG_DIF, 0) AS NUM_REG_DIF FROM (SELECT count(*) AS NUM_REG_DIF FROM (SELECT prtctn_id as prtctn_id_as_is, rl_estt_pst_cd as rl_estt_pst_cd_as_is FROM cd_loan_tapes_bce.lt004_protection WHERE ref_date='2024-09-30' AND nome_perimetro='Individual Corporativo' AND segmento='ESTR' AND ambito='PM' AND entidade='00100' ) A  Inner join (SELECT prtctn_id as prtctn_id_to_be, rl_estt_pst_cd as rl_estt_pst_cd_to_be FROM bu_loantape_work.lt004_protection WHERE ref_date='2024-09-30' AND nome_perimetro='Individual Corporativo' AND segmento='ESTR' AND ambito='PM' AND entidade='00100' ) B ON prtctn_id_as_is = prtctn_id_to_be WHERE coalesce(cast(rl_estt_pst_cd_as_is as string), '') &lt;&gt; coalesce(cast(rl_estt_pst_cd_to_be as string), '') ) A </v>
      </c>
      <c r="O337" s="19" t="str">
        <f t="shared" si="43"/>
        <v>SELECT 'Validação de campos' as tipologia_teste, 'lt004_protection' AS TABELA, 'rl_estt_pst_cd' AS CAMPO, '2024-09-30' as ref_date, coalesce(NUM_REG_DIF, 0) AS NUM_REG_DIF FROM (SELECT count(*) AS NUM_REG_DIF FROM (SELECT prtctn_id as prtctn_id_as_is, rl_estt_pst_cd as rl_estt_pst_cd_as_is FROM cd_loan_tapes_bce.lt004_protection WHERE ref_date='2024-09-30' AND nome_perimetro='Individual Corporativo' AND segmento='ESTR' AND ambito='PM' AND entidade='00100' ) A  Inner join (SELECT prtctn_id as prtctn_id_to_be, rl_estt_pst_cd as rl_estt_pst_cd_to_be FROM bu_loantape_work.lt004_protection WHERE ref_date='2024-09-30' AND nome_perimetro='Individual Corporativo' AND segmento='ESTR' AND ambito='PM' AND entidade='00100' ) B ON prtctn_id_as_is = prtctn_id_to_be WHERE coalesce(cast(rl_estt_pst_cd_as_is as string), '') &lt;&gt; coalesce(cast(rl_estt_pst_cd_to_be as string), '') ) A UNION ALL</v>
      </c>
      <c r="P337" s="17">
        <f t="shared" si="37"/>
        <v>30</v>
      </c>
    </row>
    <row r="338" spans="2:16" s="15" customFormat="1" ht="11.45">
      <c r="B338" s="17" t="s">
        <v>30</v>
      </c>
      <c r="C338" s="17" t="str">
        <f>_xlfn.CONCAT(Instruções!$D$13,".",VLOOKUP(B338,Instruções!$F$12:$H$17,2,0))</f>
        <v>cd_loan_tapes_bce.lt004_protection</v>
      </c>
      <c r="D338" s="17" t="str">
        <f>_xlfn.CONCAT(Instruções!$D$14,".",VLOOKUP(B338,Instruções!$F$12:$H$17,3,0))</f>
        <v>bu_loantape_work.lt004_protection</v>
      </c>
      <c r="E338" s="17" t="s">
        <v>149</v>
      </c>
      <c r="F338" s="17" t="str">
        <f t="shared" si="38"/>
        <v>tax_id_as_is</v>
      </c>
      <c r="G338" s="17" t="str">
        <f t="shared" si="39"/>
        <v>tax_id_to_be</v>
      </c>
      <c r="H338" s="17" t="str">
        <f>IF(VLOOKUP(B338,Instruções!$F$13:$J$17,5,0)="",
"(SELECT "&amp;VLOOKUP(B338,Instruções!$F$13:$J$17,4,0)&amp;" as "&amp;VLOOKUP(B338,Instruções!$F$13:$J$17,4,0)&amp;"_"&amp;$F$2&amp;", "&amp;E338&amp;" as "&amp;F338&amp;" FROM "&amp;C338&amp;" WHERE "&amp;Instruções!$D$20&amp;") A ",
"(SELECT "&amp;VLOOKUP(B338,Instruções!$F$13:$J$17,4,0)&amp;" as "&amp;VLOOKUP(B338,Instruções!$F$13:$J$17,4,0)&amp;"_"&amp;$F$2&amp;", "&amp;VLOOKUP(B338,Instruções!$F$13:$J$17,5,0)&amp;" as "&amp;VLOOKUP(B338,Instruções!$F$13:$J$17,5,0)&amp;"_"&amp;$F$2&amp;","&amp;E338&amp;" as "&amp;F338&amp;" FROM "&amp;C338&amp;" WHERE "&amp;Instruções!$D$20&amp;") A ")</f>
        <v xml:space="preserve">(SELECT prtctn_id as prtctn_id_as_is, tax_id as tax_id_as_is FROM cd_loan_tapes_bce.lt004_protection WHERE ref_date='2024-09-30' AND nome_perimetro='Individual Corporativo' AND segmento='ESTR' AND ambito='PM' AND entidade='00100' ) A </v>
      </c>
      <c r="I338" s="17" t="str">
        <f>IF(VLOOKUP(B338,Instruções!$F$13:$J$17,5,0)="",
"(SELECT "&amp;VLOOKUP(B338,Instruções!$F$13:$J$17,4,0)&amp;" as "&amp;VLOOKUP(B338,Instruções!$F$13:$J$17,4,0)&amp;"_"&amp;$G$2&amp;", "&amp;E338&amp;" as "&amp;G338&amp;" FROM "&amp;D338&amp;" WHERE "&amp;Instruções!$D$21&amp;") B ",
"(SELECT "&amp;VLOOKUP(B338,Instruções!$F$13:$J$17,4,0)&amp;" as "&amp;VLOOKUP(B338,Instruções!$F$13:$J$17,4,0)&amp;"_"&amp;$G$2&amp;", "&amp;VLOOKUP(B338,Instruções!$F$13:$J$17,5,0)&amp;" as "&amp;VLOOKUP(B338,Instruções!$F$13:$J$17,5,0)&amp;"_"&amp;$G$2&amp;","&amp;E338&amp;" as "&amp;G338&amp;" FROM "&amp;D338&amp;" WHERE "&amp;Instruções!$D$21&amp;") B ")</f>
        <v xml:space="preserve">(SELECT prtctn_id as prtctn_id_to_be, tax_id as tax_id_to_be FROM bu_loantape_work.lt004_protection WHERE ref_date='2024-09-30' AND nome_perimetro='Individual Corporativo' AND segmento='ESTR' AND ambito='PM' AND entidade='00100' ) B </v>
      </c>
      <c r="J338" s="17" t="str">
        <f>IF(VLOOKUP(B338,Instruções!$F$13:$J$17,5,0)="",
"ON "&amp;VLOOKUP(B338,Instruções!$F$13:$J$17,4,0)&amp;"_"&amp;$F$2&amp;" = "&amp;VLOOKUP(B338,Instruções!$F$13:$J$17,4,0)&amp;"_"&amp;$G$2&amp;" ",
"ON "&amp;VLOOKUP(B338,Instruções!$F$13:$J$17,4,0)&amp;"_"&amp;$F$2&amp;" = "&amp;VLOOKUP(B338,Instruções!$F$13:$J$17,4,0)&amp;"_"&amp;$G$2&amp;" AND "&amp;VLOOKUP(B338,Instruções!$F$13:$J$17,5,0)&amp;"_"&amp;$F$2&amp;" = "&amp;VLOOKUP(B338,Instruções!$F$13:$J$17,5,0)&amp;"_"&amp;$G$2&amp;" ")</f>
        <v xml:space="preserve">ON prtctn_id_as_is = prtctn_id_to_be </v>
      </c>
      <c r="K338" s="17" t="str">
        <f t="shared" si="40"/>
        <v xml:space="preserve">WHERE coalesce(cast(tax_id_as_is as string), '') &lt;&gt; coalesce(cast(tax_id_to_be as string), '') </v>
      </c>
      <c r="L338" s="17" t="str">
        <f t="shared" si="41"/>
        <v xml:space="preserve">SELECT count(*) AS NUM_REG_DIF FROM (SELECT prtctn_id as prtctn_id_as_is, tax_id as tax_id_as_is FROM cd_loan_tapes_bce.lt004_protection WHERE ref_date='2024-09-30' AND nome_perimetro='Individual Corporativo' AND segmento='ESTR' AND ambito='PM' AND entidade='00100' ) A  Inner join (SELECT prtctn_id as prtctn_id_to_be, tax_id as tax_id_to_be FROM bu_loantape_work.lt004_protection WHERE ref_date='2024-09-30' AND nome_perimetro='Individual Corporativo' AND segmento='ESTR' AND ambito='PM' AND entidade='00100' ) B ON prtctn_id_as_is = prtctn_id_to_be WHERE coalesce(cast(tax_id_as_is as string), '') &lt;&gt; coalesce(cast(tax_id_to_be as string), '') </v>
      </c>
      <c r="M338" s="17" t="s">
        <v>55</v>
      </c>
      <c r="N338" s="17" t="str">
        <f>"SELECT 'Validação de campos' as tipologia_teste, '"&amp;VLOOKUP(B338,Instruções!$F$13:$J$17,3,0)&amp;"' AS TABELA, '"&amp;E338&amp;"' AS CAMPO, '"&amp;Instruções!$D$15&amp;"' as ref_date, coalesce(NUM_REG_DIF, 0) AS NUM_REG_DIF FROM ("&amp;L338&amp;") A "</f>
        <v xml:space="preserve">SELECT 'Validação de campos' as tipologia_teste, 'lt004_protection' AS TABELA, 'tax_id' AS CAMPO, '2024-09-30' as ref_date, coalesce(NUM_REG_DIF, 0) AS NUM_REG_DIF FROM (SELECT count(*) AS NUM_REG_DIF FROM (SELECT prtctn_id as prtctn_id_as_is, tax_id as tax_id_as_is FROM cd_loan_tapes_bce.lt004_protection WHERE ref_date='2024-09-30' AND nome_perimetro='Individual Corporativo' AND segmento='ESTR' AND ambito='PM' AND entidade='00100' ) A  Inner join (SELECT prtctn_id as prtctn_id_to_be, tax_id as tax_id_to_be FROM bu_loantape_work.lt004_protection WHERE ref_date='2024-09-30' AND nome_perimetro='Individual Corporativo' AND segmento='ESTR' AND ambito='PM' AND entidade='00100' ) B ON prtctn_id_as_is = prtctn_id_to_be WHERE coalesce(cast(tax_id_as_is as string), '') &lt;&gt; coalesce(cast(tax_id_to_be as string), '') ) A </v>
      </c>
      <c r="O338" s="19" t="str">
        <f t="shared" si="43"/>
        <v>SELECT 'Validação de campos' as tipologia_teste, 'lt004_protection' AS TABELA, 'tax_id' AS CAMPO, '2024-09-30' as ref_date, coalesce(NUM_REG_DIF, 0) AS NUM_REG_DIF FROM (SELECT count(*) AS NUM_REG_DIF FROM (SELECT prtctn_id as prtctn_id_as_is, tax_id as tax_id_as_is FROM cd_loan_tapes_bce.lt004_protection WHERE ref_date='2024-09-30' AND nome_perimetro='Individual Corporativo' AND segmento='ESTR' AND ambito='PM' AND entidade='00100' ) A  Inner join (SELECT prtctn_id as prtctn_id_to_be, tax_id as tax_id_to_be FROM bu_loantape_work.lt004_protection WHERE ref_date='2024-09-30' AND nome_perimetro='Individual Corporativo' AND segmento='ESTR' AND ambito='PM' AND entidade='00100' ) B ON prtctn_id_as_is = prtctn_id_to_be WHERE coalesce(cast(tax_id_as_is as string), '') &lt;&gt; coalesce(cast(tax_id_to_be as string), '') ) A UNION ALL</v>
      </c>
      <c r="P338" s="17">
        <f t="shared" si="37"/>
        <v>31</v>
      </c>
    </row>
    <row r="339" spans="2:16" s="15" customFormat="1" ht="11.45">
      <c r="B339" s="17" t="s">
        <v>30</v>
      </c>
      <c r="C339" s="17" t="str">
        <f>_xlfn.CONCAT(Instruções!$D$13,".",VLOOKUP(B339,Instruções!$F$12:$H$17,2,0))</f>
        <v>cd_loan_tapes_bce.lt004_protection</v>
      </c>
      <c r="D339" s="17" t="str">
        <f>_xlfn.CONCAT(Instruções!$D$14,".",VLOOKUP(B339,Instruções!$F$12:$H$17,3,0))</f>
        <v>bu_loantape_work.lt004_protection</v>
      </c>
      <c r="E339" s="17" t="s">
        <v>368</v>
      </c>
      <c r="F339" s="17" t="str">
        <f t="shared" si="38"/>
        <v>dt_prtctn_vl_as_is</v>
      </c>
      <c r="G339" s="17" t="str">
        <f t="shared" si="39"/>
        <v>dt_prtctn_vl_to_be</v>
      </c>
      <c r="H339" s="17" t="str">
        <f>IF(VLOOKUP(B339,Instruções!$F$13:$J$17,5,0)="",
"(SELECT "&amp;VLOOKUP(B339,Instruções!$F$13:$J$17,4,0)&amp;" as "&amp;VLOOKUP(B339,Instruções!$F$13:$J$17,4,0)&amp;"_"&amp;$F$2&amp;", "&amp;E339&amp;" as "&amp;F339&amp;" FROM "&amp;C339&amp;" WHERE "&amp;Instruções!$D$20&amp;") A ",
"(SELECT "&amp;VLOOKUP(B339,Instruções!$F$13:$J$17,4,0)&amp;" as "&amp;VLOOKUP(B339,Instruções!$F$13:$J$17,4,0)&amp;"_"&amp;$F$2&amp;", "&amp;VLOOKUP(B339,Instruções!$F$13:$J$17,5,0)&amp;" as "&amp;VLOOKUP(B339,Instruções!$F$13:$J$17,5,0)&amp;"_"&amp;$F$2&amp;","&amp;E339&amp;" as "&amp;F339&amp;" FROM "&amp;C339&amp;" WHERE "&amp;Instruções!$D$20&amp;") A ")</f>
        <v xml:space="preserve">(SELECT prtctn_id as prtctn_id_as_is, dt_prtctn_vl as dt_prtctn_vl_as_is FROM cd_loan_tapes_bce.lt004_protection WHERE ref_date='2024-09-30' AND nome_perimetro='Individual Corporativo' AND segmento='ESTR' AND ambito='PM' AND entidade='00100' ) A </v>
      </c>
      <c r="I339" s="17" t="str">
        <f>IF(VLOOKUP(B339,Instruções!$F$13:$J$17,5,0)="",
"(SELECT "&amp;VLOOKUP(B339,Instruções!$F$13:$J$17,4,0)&amp;" as "&amp;VLOOKUP(B339,Instruções!$F$13:$J$17,4,0)&amp;"_"&amp;$G$2&amp;", "&amp;E339&amp;" as "&amp;G339&amp;" FROM "&amp;D339&amp;" WHERE "&amp;Instruções!$D$21&amp;") B ",
"(SELECT "&amp;VLOOKUP(B339,Instruções!$F$13:$J$17,4,0)&amp;" as "&amp;VLOOKUP(B339,Instruções!$F$13:$J$17,4,0)&amp;"_"&amp;$G$2&amp;", "&amp;VLOOKUP(B339,Instruções!$F$13:$J$17,5,0)&amp;" as "&amp;VLOOKUP(B339,Instruções!$F$13:$J$17,5,0)&amp;"_"&amp;$G$2&amp;","&amp;E339&amp;" as "&amp;G339&amp;" FROM "&amp;D339&amp;" WHERE "&amp;Instruções!$D$21&amp;") B ")</f>
        <v xml:space="preserve">(SELECT prtctn_id as prtctn_id_to_be, dt_prtctn_vl as dt_prtctn_vl_to_be FROM bu_loantape_work.lt004_protection WHERE ref_date='2024-09-30' AND nome_perimetro='Individual Corporativo' AND segmento='ESTR' AND ambito='PM' AND entidade='00100' ) B </v>
      </c>
      <c r="J339" s="17" t="str">
        <f>IF(VLOOKUP(B339,Instruções!$F$13:$J$17,5,0)="",
"ON "&amp;VLOOKUP(B339,Instruções!$F$13:$J$17,4,0)&amp;"_"&amp;$F$2&amp;" = "&amp;VLOOKUP(B339,Instruções!$F$13:$J$17,4,0)&amp;"_"&amp;$G$2&amp;" ",
"ON "&amp;VLOOKUP(B339,Instruções!$F$13:$J$17,4,0)&amp;"_"&amp;$F$2&amp;" = "&amp;VLOOKUP(B339,Instruções!$F$13:$J$17,4,0)&amp;"_"&amp;$G$2&amp;" AND "&amp;VLOOKUP(B339,Instruções!$F$13:$J$17,5,0)&amp;"_"&amp;$F$2&amp;" = "&amp;VLOOKUP(B339,Instruções!$F$13:$J$17,5,0)&amp;"_"&amp;$G$2&amp;" ")</f>
        <v xml:space="preserve">ON prtctn_id_as_is = prtctn_id_to_be </v>
      </c>
      <c r="K339" s="17" t="str">
        <f t="shared" si="40"/>
        <v xml:space="preserve">WHERE coalesce(cast(dt_prtctn_vl_as_is as string), '') &lt;&gt; coalesce(cast(dt_prtctn_vl_to_be as string), '') </v>
      </c>
      <c r="L339" s="17" t="str">
        <f t="shared" si="41"/>
        <v xml:space="preserve">SELECT count(*) AS NUM_REG_DIF FROM (SELECT prtctn_id as prtctn_id_as_is, dt_prtctn_vl as dt_prtctn_vl_as_is FROM cd_loan_tapes_bce.lt004_protection WHERE ref_date='2024-09-30' AND nome_perimetro='Individual Corporativo' AND segmento='ESTR' AND ambito='PM' AND entidade='00100' ) A  Inner join (SELECT prtctn_id as prtctn_id_to_be, dt_prtctn_vl as dt_prtctn_vl_to_be FROM bu_loantape_work.lt004_protection WHERE ref_date='2024-09-30' AND nome_perimetro='Individual Corporativo' AND segmento='ESTR' AND ambito='PM' AND entidade='00100' ) B ON prtctn_id_as_is = prtctn_id_to_be WHERE coalesce(cast(dt_prtctn_vl_as_is as string), '') &lt;&gt; coalesce(cast(dt_prtctn_vl_to_be as string), '') </v>
      </c>
      <c r="M339" s="17" t="s">
        <v>55</v>
      </c>
      <c r="N339" s="17" t="str">
        <f>"SELECT 'Validação de campos' as tipologia_teste, '"&amp;VLOOKUP(B339,Instruções!$F$13:$J$17,3,0)&amp;"' AS TABELA, '"&amp;E339&amp;"' AS CAMPO, '"&amp;Instruções!$D$15&amp;"' as ref_date, coalesce(NUM_REG_DIF, 0) AS NUM_REG_DIF FROM ("&amp;L339&amp;") A "</f>
        <v xml:space="preserve">SELECT 'Validação de campos' as tipologia_teste, 'lt004_protection' AS TABELA, 'dt_prtctn_vl' AS CAMPO, '2024-09-30' as ref_date, coalesce(NUM_REG_DIF, 0) AS NUM_REG_DIF FROM (SELECT count(*) AS NUM_REG_DIF FROM (SELECT prtctn_id as prtctn_id_as_is, dt_prtctn_vl as dt_prtctn_vl_as_is FROM cd_loan_tapes_bce.lt004_protection WHERE ref_date='2024-09-30' AND nome_perimetro='Individual Corporativo' AND segmento='ESTR' AND ambito='PM' AND entidade='00100' ) A  Inner join (SELECT prtctn_id as prtctn_id_to_be, dt_prtctn_vl as dt_prtctn_vl_to_be FROM bu_loantape_work.lt004_protection WHERE ref_date='2024-09-30' AND nome_perimetro='Individual Corporativo' AND segmento='ESTR' AND ambito='PM' AND entidade='00100' ) B ON prtctn_id_as_is = prtctn_id_to_be WHERE coalesce(cast(dt_prtctn_vl_as_is as string), '') &lt;&gt; coalesce(cast(dt_prtctn_vl_to_be as string), '') ) A </v>
      </c>
      <c r="O339" s="19" t="str">
        <f t="shared" si="43"/>
        <v>SELECT 'Validação de campos' as tipologia_teste, 'lt004_protection' AS TABELA, 'dt_prtctn_vl' AS CAMPO, '2024-09-30' as ref_date, coalesce(NUM_REG_DIF, 0) AS NUM_REG_DIF FROM (SELECT count(*) AS NUM_REG_DIF FROM (SELECT prtctn_id as prtctn_id_as_is, dt_prtctn_vl as dt_prtctn_vl_as_is FROM cd_loan_tapes_bce.lt004_protection WHERE ref_date='2024-09-30' AND nome_perimetro='Individual Corporativo' AND segmento='ESTR' AND ambito='PM' AND entidade='00100' ) A  Inner join (SELECT prtctn_id as prtctn_id_to_be, dt_prtctn_vl as dt_prtctn_vl_to_be FROM bu_loantape_work.lt004_protection WHERE ref_date='2024-09-30' AND nome_perimetro='Individual Corporativo' AND segmento='ESTR' AND ambito='PM' AND entidade='00100' ) B ON prtctn_id_as_is = prtctn_id_to_be WHERE coalesce(cast(dt_prtctn_vl_as_is as string), '') &lt;&gt; coalesce(cast(dt_prtctn_vl_to_be as string), '') ) A UNION ALL</v>
      </c>
      <c r="P339" s="17">
        <f t="shared" si="37"/>
        <v>32</v>
      </c>
    </row>
    <row r="340" spans="2:16" s="15" customFormat="1" ht="11.45">
      <c r="B340" s="17" t="s">
        <v>30</v>
      </c>
      <c r="C340" s="17" t="str">
        <f>_xlfn.CONCAT(Instruções!$D$13,".",VLOOKUP(B340,Instruções!$F$12:$H$17,2,0))</f>
        <v>cd_loan_tapes_bce.lt004_protection</v>
      </c>
      <c r="D340" s="17" t="str">
        <f>_xlfn.CONCAT(Instruções!$D$14,".",VLOOKUP(B340,Instruções!$F$12:$H$17,3,0))</f>
        <v>bu_loantape_work.lt004_protection</v>
      </c>
      <c r="E340" s="17" t="s">
        <v>372</v>
      </c>
      <c r="F340" s="17" t="str">
        <f t="shared" si="38"/>
        <v>ntnl_id_as_is</v>
      </c>
      <c r="G340" s="17" t="str">
        <f t="shared" si="39"/>
        <v>ntnl_id_to_be</v>
      </c>
      <c r="H340" s="17" t="str">
        <f>IF(VLOOKUP(B340,Instruções!$F$13:$J$17,5,0)="",
"(SELECT "&amp;VLOOKUP(B340,Instruções!$F$13:$J$17,4,0)&amp;" as "&amp;VLOOKUP(B340,Instruções!$F$13:$J$17,4,0)&amp;"_"&amp;$F$2&amp;", "&amp;E340&amp;" as "&amp;F340&amp;" FROM "&amp;C340&amp;" WHERE "&amp;Instruções!$D$20&amp;") A ",
"(SELECT "&amp;VLOOKUP(B340,Instruções!$F$13:$J$17,4,0)&amp;" as "&amp;VLOOKUP(B340,Instruções!$F$13:$J$17,4,0)&amp;"_"&amp;$F$2&amp;", "&amp;VLOOKUP(B340,Instruções!$F$13:$J$17,5,0)&amp;" as "&amp;VLOOKUP(B340,Instruções!$F$13:$J$17,5,0)&amp;"_"&amp;$F$2&amp;","&amp;E340&amp;" as "&amp;F340&amp;" FROM "&amp;C340&amp;" WHERE "&amp;Instruções!$D$20&amp;") A ")</f>
        <v xml:space="preserve">(SELECT prtctn_id as prtctn_id_as_is, ntnl_id as ntnl_id_as_is FROM cd_loan_tapes_bce.lt004_protection WHERE ref_date='2024-09-30' AND nome_perimetro='Individual Corporativo' AND segmento='ESTR' AND ambito='PM' AND entidade='00100' ) A </v>
      </c>
      <c r="I340" s="17" t="str">
        <f>IF(VLOOKUP(B340,Instruções!$F$13:$J$17,5,0)="",
"(SELECT "&amp;VLOOKUP(B340,Instruções!$F$13:$J$17,4,0)&amp;" as "&amp;VLOOKUP(B340,Instruções!$F$13:$J$17,4,0)&amp;"_"&amp;$G$2&amp;", "&amp;E340&amp;" as "&amp;G340&amp;" FROM "&amp;D340&amp;" WHERE "&amp;Instruções!$D$21&amp;") B ",
"(SELECT "&amp;VLOOKUP(B340,Instruções!$F$13:$J$17,4,0)&amp;" as "&amp;VLOOKUP(B340,Instruções!$F$13:$J$17,4,0)&amp;"_"&amp;$G$2&amp;", "&amp;VLOOKUP(B340,Instruções!$F$13:$J$17,5,0)&amp;" as "&amp;VLOOKUP(B340,Instruções!$F$13:$J$17,5,0)&amp;"_"&amp;$G$2&amp;","&amp;E340&amp;" as "&amp;G340&amp;" FROM "&amp;D340&amp;" WHERE "&amp;Instruções!$D$21&amp;") B ")</f>
        <v xml:space="preserve">(SELECT prtctn_id as prtctn_id_to_be, ntnl_id as ntnl_id_to_be FROM bu_loantape_work.lt004_protection WHERE ref_date='2024-09-30' AND nome_perimetro='Individual Corporativo' AND segmento='ESTR' AND ambito='PM' AND entidade='00100' ) B </v>
      </c>
      <c r="J340" s="17" t="str">
        <f>IF(VLOOKUP(B340,Instruções!$F$13:$J$17,5,0)="",
"ON "&amp;VLOOKUP(B340,Instruções!$F$13:$J$17,4,0)&amp;"_"&amp;$F$2&amp;" = "&amp;VLOOKUP(B340,Instruções!$F$13:$J$17,4,0)&amp;"_"&amp;$G$2&amp;" ",
"ON "&amp;VLOOKUP(B340,Instruções!$F$13:$J$17,4,0)&amp;"_"&amp;$F$2&amp;" = "&amp;VLOOKUP(B340,Instruções!$F$13:$J$17,4,0)&amp;"_"&amp;$G$2&amp;" AND "&amp;VLOOKUP(B340,Instruções!$F$13:$J$17,5,0)&amp;"_"&amp;$F$2&amp;" = "&amp;VLOOKUP(B340,Instruções!$F$13:$J$17,5,0)&amp;"_"&amp;$G$2&amp;" ")</f>
        <v xml:space="preserve">ON prtctn_id_as_is = prtctn_id_to_be </v>
      </c>
      <c r="K340" s="17" t="str">
        <f t="shared" si="40"/>
        <v xml:space="preserve">WHERE coalesce(cast(ntnl_id_as_is as string), '') &lt;&gt; coalesce(cast(ntnl_id_to_be as string), '') </v>
      </c>
      <c r="L340" s="17" t="str">
        <f t="shared" si="41"/>
        <v xml:space="preserve">SELECT count(*) AS NUM_REG_DIF FROM (SELECT prtctn_id as prtctn_id_as_is, ntnl_id as ntnl_id_as_is FROM cd_loan_tapes_bce.lt004_protection WHERE ref_date='2024-09-30' AND nome_perimetro='Individual Corporativo' AND segmento='ESTR' AND ambito='PM' AND entidade='00100' ) A  Inner join (SELECT prtctn_id as prtctn_id_to_be, ntnl_id as ntnl_id_to_be FROM bu_loantape_work.lt004_protection WHERE ref_date='2024-09-30' AND nome_perimetro='Individual Corporativo' AND segmento='ESTR' AND ambito='PM' AND entidade='00100' ) B ON prtctn_id_as_is = prtctn_id_to_be WHERE coalesce(cast(ntnl_id_as_is as string), '') &lt;&gt; coalesce(cast(ntnl_id_to_be as string), '') </v>
      </c>
      <c r="M340" s="17" t="s">
        <v>55</v>
      </c>
      <c r="N340" s="17" t="str">
        <f>"SELECT 'Validação de campos' as tipologia_teste, '"&amp;VLOOKUP(B340,Instruções!$F$13:$J$17,3,0)&amp;"' AS TABELA, '"&amp;E340&amp;"' AS CAMPO, '"&amp;Instruções!$D$15&amp;"' as ref_date, coalesce(NUM_REG_DIF, 0) AS NUM_REG_DIF FROM ("&amp;L340&amp;") A "</f>
        <v xml:space="preserve">SELECT 'Validação de campos' as tipologia_teste, 'lt004_protection' AS TABELA, 'ntnl_id' AS CAMPO, '2024-09-30' as ref_date, coalesce(NUM_REG_DIF, 0) AS NUM_REG_DIF FROM (SELECT count(*) AS NUM_REG_DIF FROM (SELECT prtctn_id as prtctn_id_as_is, ntnl_id as ntnl_id_as_is FROM cd_loan_tapes_bce.lt004_protection WHERE ref_date='2024-09-30' AND nome_perimetro='Individual Corporativo' AND segmento='ESTR' AND ambito='PM' AND entidade='00100' ) A  Inner join (SELECT prtctn_id as prtctn_id_to_be, ntnl_id as ntnl_id_to_be FROM bu_loantape_work.lt004_protection WHERE ref_date='2024-09-30' AND nome_perimetro='Individual Corporativo' AND segmento='ESTR' AND ambito='PM' AND entidade='00100' ) B ON prtctn_id_as_is = prtctn_id_to_be WHERE coalesce(cast(ntnl_id_as_is as string), '') &lt;&gt; coalesce(cast(ntnl_id_to_be as string), '') ) A </v>
      </c>
      <c r="O340" s="19" t="str">
        <f t="shared" si="43"/>
        <v>SELECT 'Validação de campos' as tipologia_teste, 'lt004_protection' AS TABELA, 'ntnl_id' AS CAMPO, '2024-09-30' as ref_date, coalesce(NUM_REG_DIF, 0) AS NUM_REG_DIF FROM (SELECT count(*) AS NUM_REG_DIF FROM (SELECT prtctn_id as prtctn_id_as_is, ntnl_id as ntnl_id_as_is FROM cd_loan_tapes_bce.lt004_protection WHERE ref_date='2024-09-30' AND nome_perimetro='Individual Corporativo' AND segmento='ESTR' AND ambito='PM' AND entidade='00100' ) A  Inner join (SELECT prtctn_id as prtctn_id_to_be, ntnl_id as ntnl_id_to_be FROM bu_loantape_work.lt004_protection WHERE ref_date='2024-09-30' AND nome_perimetro='Individual Corporativo' AND segmento='ESTR' AND ambito='PM' AND entidade='00100' ) B ON prtctn_id_as_is = prtctn_id_to_be WHERE coalesce(cast(ntnl_id_as_is as string), '') &lt;&gt; coalesce(cast(ntnl_id_to_be as string), '') ) A UNION ALL</v>
      </c>
      <c r="P340" s="17">
        <f t="shared" si="37"/>
        <v>33</v>
      </c>
    </row>
    <row r="341" spans="2:16" s="15" customFormat="1" ht="11.45">
      <c r="B341" s="17" t="s">
        <v>30</v>
      </c>
      <c r="C341" s="17" t="str">
        <f>_xlfn.CONCAT(Instruções!$D$13,".",VLOOKUP(B341,Instruções!$F$12:$H$17,2,0))</f>
        <v>cd_loan_tapes_bce.lt004_protection</v>
      </c>
      <c r="D341" s="17" t="str">
        <f>_xlfn.CONCAT(Instruções!$D$14,".",VLOOKUP(B341,Instruções!$F$12:$H$17,3,0))</f>
        <v>bu_loantape_work.lt004_protection</v>
      </c>
      <c r="E341" s="17" t="s">
        <v>389</v>
      </c>
      <c r="F341" s="17" t="str">
        <f t="shared" si="38"/>
        <v>typ_prtctn_intrnl_as_is</v>
      </c>
      <c r="G341" s="17" t="str">
        <f t="shared" si="39"/>
        <v>typ_prtctn_intrnl_to_be</v>
      </c>
      <c r="H341" s="17" t="str">
        <f>IF(VLOOKUP(B341,Instruções!$F$13:$J$17,5,0)="",
"(SELECT "&amp;VLOOKUP(B341,Instruções!$F$13:$J$17,4,0)&amp;" as "&amp;VLOOKUP(B341,Instruções!$F$13:$J$17,4,0)&amp;"_"&amp;$F$2&amp;", "&amp;E341&amp;" as "&amp;F341&amp;" FROM "&amp;C341&amp;" WHERE "&amp;Instruções!$D$20&amp;") A ",
"(SELECT "&amp;VLOOKUP(B341,Instruções!$F$13:$J$17,4,0)&amp;" as "&amp;VLOOKUP(B341,Instruções!$F$13:$J$17,4,0)&amp;"_"&amp;$F$2&amp;", "&amp;VLOOKUP(B341,Instruções!$F$13:$J$17,5,0)&amp;" as "&amp;VLOOKUP(B341,Instruções!$F$13:$J$17,5,0)&amp;"_"&amp;$F$2&amp;","&amp;E341&amp;" as "&amp;F341&amp;" FROM "&amp;C341&amp;" WHERE "&amp;Instruções!$D$20&amp;") A ")</f>
        <v xml:space="preserve">(SELECT prtctn_id as prtctn_id_as_is, typ_prtctn_intrnl as typ_prtctn_intrnl_as_is FROM cd_loan_tapes_bce.lt004_protection WHERE ref_date='2024-09-30' AND nome_perimetro='Individual Corporativo' AND segmento='ESTR' AND ambito='PM' AND entidade='00100' ) A </v>
      </c>
      <c r="I341" s="17" t="str">
        <f>IF(VLOOKUP(B341,Instruções!$F$13:$J$17,5,0)="",
"(SELECT "&amp;VLOOKUP(B341,Instruções!$F$13:$J$17,4,0)&amp;" as "&amp;VLOOKUP(B341,Instruções!$F$13:$J$17,4,0)&amp;"_"&amp;$G$2&amp;", "&amp;E341&amp;" as "&amp;G341&amp;" FROM "&amp;D341&amp;" WHERE "&amp;Instruções!$D$21&amp;") B ",
"(SELECT "&amp;VLOOKUP(B341,Instruções!$F$13:$J$17,4,0)&amp;" as "&amp;VLOOKUP(B341,Instruções!$F$13:$J$17,4,0)&amp;"_"&amp;$G$2&amp;", "&amp;VLOOKUP(B341,Instruções!$F$13:$J$17,5,0)&amp;" as "&amp;VLOOKUP(B341,Instruções!$F$13:$J$17,5,0)&amp;"_"&amp;$G$2&amp;","&amp;E341&amp;" as "&amp;G341&amp;" FROM "&amp;D341&amp;" WHERE "&amp;Instruções!$D$21&amp;") B ")</f>
        <v xml:space="preserve">(SELECT prtctn_id as prtctn_id_to_be, typ_prtctn_intrnl as typ_prtctn_intrnl_to_be FROM bu_loantape_work.lt004_protection WHERE ref_date='2024-09-30' AND nome_perimetro='Individual Corporativo' AND segmento='ESTR' AND ambito='PM' AND entidade='00100' ) B </v>
      </c>
      <c r="J341" s="17" t="str">
        <f>IF(VLOOKUP(B341,Instruções!$F$13:$J$17,5,0)="",
"ON "&amp;VLOOKUP(B341,Instruções!$F$13:$J$17,4,0)&amp;"_"&amp;$F$2&amp;" = "&amp;VLOOKUP(B341,Instruções!$F$13:$J$17,4,0)&amp;"_"&amp;$G$2&amp;" ",
"ON "&amp;VLOOKUP(B341,Instruções!$F$13:$J$17,4,0)&amp;"_"&amp;$F$2&amp;" = "&amp;VLOOKUP(B341,Instruções!$F$13:$J$17,4,0)&amp;"_"&amp;$G$2&amp;" AND "&amp;VLOOKUP(B341,Instruções!$F$13:$J$17,5,0)&amp;"_"&amp;$F$2&amp;" = "&amp;VLOOKUP(B341,Instruções!$F$13:$J$17,5,0)&amp;"_"&amp;$G$2&amp;" ")</f>
        <v xml:space="preserve">ON prtctn_id_as_is = prtctn_id_to_be </v>
      </c>
      <c r="K341" s="17" t="str">
        <f t="shared" si="40"/>
        <v xml:space="preserve">WHERE coalesce(cast(typ_prtctn_intrnl_as_is as string), '') &lt;&gt; coalesce(cast(typ_prtctn_intrnl_to_be as string), '') </v>
      </c>
      <c r="L341" s="17" t="str">
        <f t="shared" si="41"/>
        <v xml:space="preserve">SELECT count(*) AS NUM_REG_DIF FROM (SELECT prtctn_id as prtctn_id_as_is, typ_prtctn_intrnl as typ_prtctn_intrnl_as_is FROM cd_loan_tapes_bce.lt004_protection WHERE ref_date='2024-09-30' AND nome_perimetro='Individual Corporativo' AND segmento='ESTR' AND ambito='PM' AND entidade='00100' ) A  Inner join (SELECT prtctn_id as prtctn_id_to_be, typ_prtctn_intrnl as typ_prtctn_intrnl_to_be FROM bu_loantape_work.lt004_protection WHERE ref_date='2024-09-30' AND nome_perimetro='Individual Corporativo' AND segmento='ESTR' AND ambito='PM' AND entidade='00100' ) B ON prtctn_id_as_is = prtctn_id_to_be WHERE coalesce(cast(typ_prtctn_intrnl_as_is as string), '') &lt;&gt; coalesce(cast(typ_prtctn_intrnl_to_be as string), '') </v>
      </c>
      <c r="M341" s="17" t="s">
        <v>55</v>
      </c>
      <c r="N341" s="17" t="str">
        <f>"SELECT 'Validação de campos' as tipologia_teste, '"&amp;VLOOKUP(B341,Instruções!$F$13:$J$17,3,0)&amp;"' AS TABELA, '"&amp;E341&amp;"' AS CAMPO, '"&amp;Instruções!$D$15&amp;"' as ref_date, coalesce(NUM_REG_DIF, 0) AS NUM_REG_DIF FROM ("&amp;L341&amp;") A "</f>
        <v xml:space="preserve">SELECT 'Validação de campos' as tipologia_teste, 'lt004_protection' AS TABELA, 'typ_prtctn_intrnl' AS CAMPO, '2024-09-30' as ref_date, coalesce(NUM_REG_DIF, 0) AS NUM_REG_DIF FROM (SELECT count(*) AS NUM_REG_DIF FROM (SELECT prtctn_id as prtctn_id_as_is, typ_prtctn_intrnl as typ_prtctn_intrnl_as_is FROM cd_loan_tapes_bce.lt004_protection WHERE ref_date='2024-09-30' AND nome_perimetro='Individual Corporativo' AND segmento='ESTR' AND ambito='PM' AND entidade='00100' ) A  Inner join (SELECT prtctn_id as prtctn_id_to_be, typ_prtctn_intrnl as typ_prtctn_intrnl_to_be FROM bu_loantape_work.lt004_protection WHERE ref_date='2024-09-30' AND nome_perimetro='Individual Corporativo' AND segmento='ESTR' AND ambito='PM' AND entidade='00100' ) B ON prtctn_id_as_is = prtctn_id_to_be WHERE coalesce(cast(typ_prtctn_intrnl_as_is as string), '') &lt;&gt; coalesce(cast(typ_prtctn_intrnl_to_be as string), '') ) A </v>
      </c>
      <c r="O341" s="19" t="str">
        <f t="shared" si="43"/>
        <v>SELECT 'Validação de campos' as tipologia_teste, 'lt004_protection' AS TABELA, 'typ_prtctn_intrnl' AS CAMPO, '2024-09-30' as ref_date, coalesce(NUM_REG_DIF, 0) AS NUM_REG_DIF FROM (SELECT count(*) AS NUM_REG_DIF FROM (SELECT prtctn_id as prtctn_id_as_is, typ_prtctn_intrnl as typ_prtctn_intrnl_as_is FROM cd_loan_tapes_bce.lt004_protection WHERE ref_date='2024-09-30' AND nome_perimetro='Individual Corporativo' AND segmento='ESTR' AND ambito='PM' AND entidade='00100' ) A  Inner join (SELECT prtctn_id as prtctn_id_to_be, typ_prtctn_intrnl as typ_prtctn_intrnl_to_be FROM bu_loantape_work.lt004_protection WHERE ref_date='2024-09-30' AND nome_perimetro='Individual Corporativo' AND segmento='ESTR' AND ambito='PM' AND entidade='00100' ) B ON prtctn_id_as_is = prtctn_id_to_be WHERE coalesce(cast(typ_prtctn_intrnl_as_is as string), '') &lt;&gt; coalesce(cast(typ_prtctn_intrnl_to_be as string), '') ) A UNION ALL</v>
      </c>
      <c r="P341" s="17">
        <f t="shared" si="37"/>
        <v>34</v>
      </c>
    </row>
    <row r="342" spans="2:16" s="15" customFormat="1" ht="11.45">
      <c r="B342" s="17" t="s">
        <v>30</v>
      </c>
      <c r="C342" s="17" t="str">
        <f>_xlfn.CONCAT(Instruções!$D$13,".",VLOOKUP(B342,Instruções!$F$12:$H$17,2,0))</f>
        <v>cd_loan_tapes_bce.lt004_protection</v>
      </c>
      <c r="D342" s="17" t="str">
        <f>_xlfn.CONCAT(Instruções!$D$14,".",VLOOKUP(B342,Instruções!$F$12:$H$17,3,0))</f>
        <v>bu_loantape_work.lt004_protection</v>
      </c>
      <c r="E342" s="17" t="s">
        <v>390</v>
      </c>
      <c r="F342" s="17" t="str">
        <f t="shared" si="38"/>
        <v>typ_prtctn_vl_as_is</v>
      </c>
      <c r="G342" s="17" t="str">
        <f t="shared" si="39"/>
        <v>typ_prtctn_vl_to_be</v>
      </c>
      <c r="H342" s="17" t="str">
        <f>IF(VLOOKUP(B342,Instruções!$F$13:$J$17,5,0)="",
"(SELECT "&amp;VLOOKUP(B342,Instruções!$F$13:$J$17,4,0)&amp;" as "&amp;VLOOKUP(B342,Instruções!$F$13:$J$17,4,0)&amp;"_"&amp;$F$2&amp;", "&amp;E342&amp;" as "&amp;F342&amp;" FROM "&amp;C342&amp;" WHERE "&amp;Instruções!$D$20&amp;") A ",
"(SELECT "&amp;VLOOKUP(B342,Instruções!$F$13:$J$17,4,0)&amp;" as "&amp;VLOOKUP(B342,Instruções!$F$13:$J$17,4,0)&amp;"_"&amp;$F$2&amp;", "&amp;VLOOKUP(B342,Instruções!$F$13:$J$17,5,0)&amp;" as "&amp;VLOOKUP(B342,Instruções!$F$13:$J$17,5,0)&amp;"_"&amp;$F$2&amp;","&amp;E342&amp;" as "&amp;F342&amp;" FROM "&amp;C342&amp;" WHERE "&amp;Instruções!$D$20&amp;") A ")</f>
        <v xml:space="preserve">(SELECT prtctn_id as prtctn_id_as_is, typ_prtctn_vl as typ_prtctn_vl_as_is FROM cd_loan_tapes_bce.lt004_protection WHERE ref_date='2024-09-30' AND nome_perimetro='Individual Corporativo' AND segmento='ESTR' AND ambito='PM' AND entidade='00100' ) A </v>
      </c>
      <c r="I342" s="17" t="str">
        <f>IF(VLOOKUP(B342,Instruções!$F$13:$J$17,5,0)="",
"(SELECT "&amp;VLOOKUP(B342,Instruções!$F$13:$J$17,4,0)&amp;" as "&amp;VLOOKUP(B342,Instruções!$F$13:$J$17,4,0)&amp;"_"&amp;$G$2&amp;", "&amp;E342&amp;" as "&amp;G342&amp;" FROM "&amp;D342&amp;" WHERE "&amp;Instruções!$D$21&amp;") B ",
"(SELECT "&amp;VLOOKUP(B342,Instruções!$F$13:$J$17,4,0)&amp;" as "&amp;VLOOKUP(B342,Instruções!$F$13:$J$17,4,0)&amp;"_"&amp;$G$2&amp;", "&amp;VLOOKUP(B342,Instruções!$F$13:$J$17,5,0)&amp;" as "&amp;VLOOKUP(B342,Instruções!$F$13:$J$17,5,0)&amp;"_"&amp;$G$2&amp;","&amp;E342&amp;" as "&amp;G342&amp;" FROM "&amp;D342&amp;" WHERE "&amp;Instruções!$D$21&amp;") B ")</f>
        <v xml:space="preserve">(SELECT prtctn_id as prtctn_id_to_be, typ_prtctn_vl as typ_prtctn_vl_to_be FROM bu_loantape_work.lt004_protection WHERE ref_date='2024-09-30' AND nome_perimetro='Individual Corporativo' AND segmento='ESTR' AND ambito='PM' AND entidade='00100' ) B </v>
      </c>
      <c r="J342" s="17" t="str">
        <f>IF(VLOOKUP(B342,Instruções!$F$13:$J$17,5,0)="",
"ON "&amp;VLOOKUP(B342,Instruções!$F$13:$J$17,4,0)&amp;"_"&amp;$F$2&amp;" = "&amp;VLOOKUP(B342,Instruções!$F$13:$J$17,4,0)&amp;"_"&amp;$G$2&amp;" ",
"ON "&amp;VLOOKUP(B342,Instruções!$F$13:$J$17,4,0)&amp;"_"&amp;$F$2&amp;" = "&amp;VLOOKUP(B342,Instruções!$F$13:$J$17,4,0)&amp;"_"&amp;$G$2&amp;" AND "&amp;VLOOKUP(B342,Instruções!$F$13:$J$17,5,0)&amp;"_"&amp;$F$2&amp;" = "&amp;VLOOKUP(B342,Instruções!$F$13:$J$17,5,0)&amp;"_"&amp;$G$2&amp;" ")</f>
        <v xml:space="preserve">ON prtctn_id_as_is = prtctn_id_to_be </v>
      </c>
      <c r="K342" s="17" t="str">
        <f t="shared" si="40"/>
        <v xml:space="preserve">WHERE coalesce(cast(typ_prtctn_vl_as_is as string), '') &lt;&gt; coalesce(cast(typ_prtctn_vl_to_be as string), '') </v>
      </c>
      <c r="L342" s="17" t="str">
        <f t="shared" si="41"/>
        <v xml:space="preserve">SELECT count(*) AS NUM_REG_DIF FROM (SELECT prtctn_id as prtctn_id_as_is, typ_prtctn_vl as typ_prtctn_vl_as_is FROM cd_loan_tapes_bce.lt004_protection WHERE ref_date='2024-09-30' AND nome_perimetro='Individual Corporativo' AND segmento='ESTR' AND ambito='PM' AND entidade='00100' ) A  Inner join (SELECT prtctn_id as prtctn_id_to_be, typ_prtctn_vl as typ_prtctn_vl_to_be FROM bu_loantape_work.lt004_protection WHERE ref_date='2024-09-30' AND nome_perimetro='Individual Corporativo' AND segmento='ESTR' AND ambito='PM' AND entidade='00100' ) B ON prtctn_id_as_is = prtctn_id_to_be WHERE coalesce(cast(typ_prtctn_vl_as_is as string), '') &lt;&gt; coalesce(cast(typ_prtctn_vl_to_be as string), '') </v>
      </c>
      <c r="M342" s="17" t="s">
        <v>55</v>
      </c>
      <c r="N342" s="17" t="str">
        <f>"SELECT 'Validação de campos' as tipologia_teste, '"&amp;VLOOKUP(B342,Instruções!$F$13:$J$17,3,0)&amp;"' AS TABELA, '"&amp;E342&amp;"' AS CAMPO, '"&amp;Instruções!$D$15&amp;"' as ref_date, coalesce(NUM_REG_DIF, 0) AS NUM_REG_DIF FROM ("&amp;L342&amp;") A "</f>
        <v xml:space="preserve">SELECT 'Validação de campos' as tipologia_teste, 'lt004_protection' AS TABELA, 'typ_prtctn_vl' AS CAMPO, '2024-09-30' as ref_date, coalesce(NUM_REG_DIF, 0) AS NUM_REG_DIF FROM (SELECT count(*) AS NUM_REG_DIF FROM (SELECT prtctn_id as prtctn_id_as_is, typ_prtctn_vl as typ_prtctn_vl_as_is FROM cd_loan_tapes_bce.lt004_protection WHERE ref_date='2024-09-30' AND nome_perimetro='Individual Corporativo' AND segmento='ESTR' AND ambito='PM' AND entidade='00100' ) A  Inner join (SELECT prtctn_id as prtctn_id_to_be, typ_prtctn_vl as typ_prtctn_vl_to_be FROM bu_loantape_work.lt004_protection WHERE ref_date='2024-09-30' AND nome_perimetro='Individual Corporativo' AND segmento='ESTR' AND ambito='PM' AND entidade='00100' ) B ON prtctn_id_as_is = prtctn_id_to_be WHERE coalesce(cast(typ_prtctn_vl_as_is as string), '') &lt;&gt; coalesce(cast(typ_prtctn_vl_to_be as string), '') ) A </v>
      </c>
      <c r="O342" s="19" t="str">
        <f t="shared" si="43"/>
        <v>SELECT 'Validação de campos' as tipologia_teste, 'lt004_protection' AS TABELA, 'typ_prtctn_vl' AS CAMPO, '2024-09-30' as ref_date, coalesce(NUM_REG_DIF, 0) AS NUM_REG_DIF FROM (SELECT count(*) AS NUM_REG_DIF FROM (SELECT prtctn_id as prtctn_id_as_is, typ_prtctn_vl as typ_prtctn_vl_as_is FROM cd_loan_tapes_bce.lt004_protection WHERE ref_date='2024-09-30' AND nome_perimetro='Individual Corporativo' AND segmento='ESTR' AND ambito='PM' AND entidade='00100' ) A  Inner join (SELECT prtctn_id as prtctn_id_to_be, typ_prtctn_vl as typ_prtctn_vl_to_be FROM bu_loantape_work.lt004_protection WHERE ref_date='2024-09-30' AND nome_perimetro='Individual Corporativo' AND segmento='ESTR' AND ambito='PM' AND entidade='00100' ) B ON prtctn_id_as_is = prtctn_id_to_be WHERE coalesce(cast(typ_prtctn_vl_as_is as string), '') &lt;&gt; coalesce(cast(typ_prtctn_vl_to_be as string), '') ) A UNION ALL</v>
      </c>
      <c r="P342" s="17">
        <f t="shared" si="37"/>
        <v>35</v>
      </c>
    </row>
    <row r="343" spans="2:16" s="15" customFormat="1" ht="11.45">
      <c r="B343" s="17" t="s">
        <v>30</v>
      </c>
      <c r="C343" s="17" t="str">
        <f>_xlfn.CONCAT(Instruções!$D$13,".",VLOOKUP(B343,Instruções!$F$12:$H$17,2,0))</f>
        <v>cd_loan_tapes_bce.lt004_protection</v>
      </c>
      <c r="D343" s="17" t="str">
        <f>_xlfn.CONCAT(Instruções!$D$14,".",VLOOKUP(B343,Instruções!$F$12:$H$17,3,0))</f>
        <v>bu_loantape_work.lt004_protection</v>
      </c>
      <c r="E343" s="17" t="s">
        <v>391</v>
      </c>
      <c r="F343" s="17" t="str">
        <f t="shared" si="38"/>
        <v>yr_cnstrctn_as_is</v>
      </c>
      <c r="G343" s="17" t="str">
        <f t="shared" si="39"/>
        <v>yr_cnstrctn_to_be</v>
      </c>
      <c r="H343" s="17" t="str">
        <f>IF(VLOOKUP(B343,Instruções!$F$13:$J$17,5,0)="",
"(SELECT "&amp;VLOOKUP(B343,Instruções!$F$13:$J$17,4,0)&amp;" as "&amp;VLOOKUP(B343,Instruções!$F$13:$J$17,4,0)&amp;"_"&amp;$F$2&amp;", "&amp;E343&amp;" as "&amp;F343&amp;" FROM "&amp;C343&amp;" WHERE "&amp;Instruções!$D$20&amp;") A ",
"(SELECT "&amp;VLOOKUP(B343,Instruções!$F$13:$J$17,4,0)&amp;" as "&amp;VLOOKUP(B343,Instruções!$F$13:$J$17,4,0)&amp;"_"&amp;$F$2&amp;", "&amp;VLOOKUP(B343,Instruções!$F$13:$J$17,5,0)&amp;" as "&amp;VLOOKUP(B343,Instruções!$F$13:$J$17,5,0)&amp;"_"&amp;$F$2&amp;","&amp;E343&amp;" as "&amp;F343&amp;" FROM "&amp;C343&amp;" WHERE "&amp;Instruções!$D$20&amp;") A ")</f>
        <v xml:space="preserve">(SELECT prtctn_id as prtctn_id_as_is, yr_cnstrctn as yr_cnstrctn_as_is FROM cd_loan_tapes_bce.lt004_protection WHERE ref_date='2024-09-30' AND nome_perimetro='Individual Corporativo' AND segmento='ESTR' AND ambito='PM' AND entidade='00100' ) A </v>
      </c>
      <c r="I343" s="17" t="str">
        <f>IF(VLOOKUP(B343,Instruções!$F$13:$J$17,5,0)="",
"(SELECT "&amp;VLOOKUP(B343,Instruções!$F$13:$J$17,4,0)&amp;" as "&amp;VLOOKUP(B343,Instruções!$F$13:$J$17,4,0)&amp;"_"&amp;$G$2&amp;", "&amp;E343&amp;" as "&amp;G343&amp;" FROM "&amp;D343&amp;" WHERE "&amp;Instruções!$D$21&amp;") B ",
"(SELECT "&amp;VLOOKUP(B343,Instruções!$F$13:$J$17,4,0)&amp;" as "&amp;VLOOKUP(B343,Instruções!$F$13:$J$17,4,0)&amp;"_"&amp;$G$2&amp;", "&amp;VLOOKUP(B343,Instruções!$F$13:$J$17,5,0)&amp;" as "&amp;VLOOKUP(B343,Instruções!$F$13:$J$17,5,0)&amp;"_"&amp;$G$2&amp;","&amp;E343&amp;" as "&amp;G343&amp;" FROM "&amp;D343&amp;" WHERE "&amp;Instruções!$D$21&amp;") B ")</f>
        <v xml:space="preserve">(SELECT prtctn_id as prtctn_id_to_be, yr_cnstrctn as yr_cnstrctn_to_be FROM bu_loantape_work.lt004_protection WHERE ref_date='2024-09-30' AND nome_perimetro='Individual Corporativo' AND segmento='ESTR' AND ambito='PM' AND entidade='00100' ) B </v>
      </c>
      <c r="J343" s="17" t="str">
        <f>IF(VLOOKUP(B343,Instruções!$F$13:$J$17,5,0)="",
"ON "&amp;VLOOKUP(B343,Instruções!$F$13:$J$17,4,0)&amp;"_"&amp;$F$2&amp;" = "&amp;VLOOKUP(B343,Instruções!$F$13:$J$17,4,0)&amp;"_"&amp;$G$2&amp;" ",
"ON "&amp;VLOOKUP(B343,Instruções!$F$13:$J$17,4,0)&amp;"_"&amp;$F$2&amp;" = "&amp;VLOOKUP(B343,Instruções!$F$13:$J$17,4,0)&amp;"_"&amp;$G$2&amp;" AND "&amp;VLOOKUP(B343,Instruções!$F$13:$J$17,5,0)&amp;"_"&amp;$F$2&amp;" = "&amp;VLOOKUP(B343,Instruções!$F$13:$J$17,5,0)&amp;"_"&amp;$G$2&amp;" ")</f>
        <v xml:space="preserve">ON prtctn_id_as_is = prtctn_id_to_be </v>
      </c>
      <c r="K343" s="17" t="str">
        <f t="shared" si="40"/>
        <v xml:space="preserve">WHERE coalesce(cast(yr_cnstrctn_as_is as string), '') &lt;&gt; coalesce(cast(yr_cnstrctn_to_be as string), '') </v>
      </c>
      <c r="L343" s="17" t="str">
        <f t="shared" si="41"/>
        <v xml:space="preserve">SELECT count(*) AS NUM_REG_DIF FROM (SELECT prtctn_id as prtctn_id_as_is, yr_cnstrctn as yr_cnstrctn_as_is FROM cd_loan_tapes_bce.lt004_protection WHERE ref_date='2024-09-30' AND nome_perimetro='Individual Corporativo' AND segmento='ESTR' AND ambito='PM' AND entidade='00100' ) A  Inner join (SELECT prtctn_id as prtctn_id_to_be, yr_cnstrctn as yr_cnstrctn_to_be FROM bu_loantape_work.lt004_protection WHERE ref_date='2024-09-30' AND nome_perimetro='Individual Corporativo' AND segmento='ESTR' AND ambito='PM' AND entidade='00100' ) B ON prtctn_id_as_is = prtctn_id_to_be WHERE coalesce(cast(yr_cnstrctn_as_is as string), '') &lt;&gt; coalesce(cast(yr_cnstrctn_to_be as string), '') </v>
      </c>
      <c r="M343" s="17" t="s">
        <v>55</v>
      </c>
      <c r="N343" s="17" t="str">
        <f>"SELECT 'Validação de campos' as tipologia_teste, '"&amp;VLOOKUP(B343,Instruções!$F$13:$J$17,3,0)&amp;"' AS TABELA, '"&amp;E343&amp;"' AS CAMPO, '"&amp;Instruções!$D$15&amp;"' as ref_date, coalesce(NUM_REG_DIF, 0) AS NUM_REG_DIF FROM ("&amp;L343&amp;") A "</f>
        <v xml:space="preserve">SELECT 'Validação de campos' as tipologia_teste, 'lt004_protection' AS TABELA, 'yr_cnstrctn' AS CAMPO, '2024-09-30' as ref_date, coalesce(NUM_REG_DIF, 0) AS NUM_REG_DIF FROM (SELECT count(*) AS NUM_REG_DIF FROM (SELECT prtctn_id as prtctn_id_as_is, yr_cnstrctn as yr_cnstrctn_as_is FROM cd_loan_tapes_bce.lt004_protection WHERE ref_date='2024-09-30' AND nome_perimetro='Individual Corporativo' AND segmento='ESTR' AND ambito='PM' AND entidade='00100' ) A  Inner join (SELECT prtctn_id as prtctn_id_to_be, yr_cnstrctn as yr_cnstrctn_to_be FROM bu_loantape_work.lt004_protection WHERE ref_date='2024-09-30' AND nome_perimetro='Individual Corporativo' AND segmento='ESTR' AND ambito='PM' AND entidade='00100' ) B ON prtctn_id_as_is = prtctn_id_to_be WHERE coalesce(cast(yr_cnstrctn_as_is as string), '') &lt;&gt; coalesce(cast(yr_cnstrctn_to_be as string), '') ) A </v>
      </c>
      <c r="O343" s="19" t="str">
        <f t="shared" si="43"/>
        <v xml:space="preserve">SELECT 'Validação de campos' as tipologia_teste, 'lt004_protection' AS TABELA, 'yr_cnstrctn' AS CAMPO, '2024-09-30' as ref_date, coalesce(NUM_REG_DIF, 0) AS NUM_REG_DIF FROM (SELECT count(*) AS NUM_REG_DIF FROM (SELECT prtctn_id as prtctn_id_as_is, yr_cnstrctn as yr_cnstrctn_as_is FROM cd_loan_tapes_bce.lt004_protection WHERE ref_date='2024-09-30' AND nome_perimetro='Individual Corporativo' AND segmento='ESTR' AND ambito='PM' AND entidade='00100' ) A  Inner join (SELECT prtctn_id as prtctn_id_to_be, yr_cnstrctn as yr_cnstrctn_to_be FROM bu_loantape_work.lt004_protection WHERE ref_date='2024-09-30' AND nome_perimetro='Individual Corporativo' AND segmento='ESTR' AND ambito='PM' AND entidade='00100' ) B ON prtctn_id_as_is = prtctn_id_to_be WHERE coalesce(cast(yr_cnstrctn_as_is as string), '') &lt;&gt; coalesce(cast(yr_cnstrctn_to_be as string), '') ) A </v>
      </c>
      <c r="P343" s="17">
        <f t="shared" si="37"/>
        <v>36</v>
      </c>
    </row>
    <row r="344" spans="2:16">
      <c r="L344" s="17"/>
    </row>
    <row r="345" spans="2:16">
      <c r="L345" s="17"/>
    </row>
  </sheetData>
  <autoFilter ref="B3:P343" xr:uid="{12B03AB8-C33B-41F0-A70C-BB5256C2BD6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BFDE-6658-4ECF-8CFF-2CBF822AEE27}">
  <dimension ref="A1:J47"/>
  <sheetViews>
    <sheetView showGridLines="0" topLeftCell="A16" zoomScale="78" workbookViewId="0">
      <selection activeCell="H5" sqref="H5"/>
    </sheetView>
  </sheetViews>
  <sheetFormatPr defaultColWidth="0" defaultRowHeight="13.9"/>
  <cols>
    <col min="1" max="1" width="3.75" customWidth="1"/>
    <col min="2" max="2" width="17.25" bestFit="1" customWidth="1"/>
    <col min="3" max="3" width="33.5" bestFit="1" customWidth="1"/>
    <col min="4" max="4" width="17.125" bestFit="1" customWidth="1"/>
    <col min="5" max="5" width="34.875" customWidth="1"/>
    <col min="6" max="6" width="15.625" customWidth="1"/>
    <col min="7" max="7" width="33.5" bestFit="1" customWidth="1"/>
    <col min="8" max="8" width="3.75" customWidth="1"/>
    <col min="9" max="10" width="0" hidden="1" customWidth="1"/>
    <col min="11" max="16384" width="8.75" hidden="1"/>
  </cols>
  <sheetData>
    <row r="1" spans="1:8" ht="34.15" customHeight="1" thickBot="1">
      <c r="A1" s="100"/>
      <c r="B1" s="100"/>
      <c r="C1" s="100"/>
      <c r="D1" s="100"/>
      <c r="E1" s="100"/>
      <c r="F1" s="100"/>
      <c r="G1" s="100"/>
      <c r="H1" s="100"/>
    </row>
    <row r="2" spans="1:8" ht="14.45" thickTop="1"/>
    <row r="3" spans="1:8">
      <c r="B3" t="s">
        <v>417</v>
      </c>
      <c r="F3" s="46" t="s">
        <v>418</v>
      </c>
      <c r="G3" t="s">
        <v>419</v>
      </c>
      <c r="H3" t="s">
        <v>420</v>
      </c>
    </row>
    <row r="5" spans="1:8">
      <c r="B5" s="42" t="s">
        <v>421</v>
      </c>
      <c r="C5" s="42" t="s">
        <v>422</v>
      </c>
      <c r="D5" s="42" t="s">
        <v>423</v>
      </c>
      <c r="E5" s="42" t="s">
        <v>424</v>
      </c>
      <c r="F5" s="42" t="s">
        <v>13</v>
      </c>
      <c r="G5" s="42" t="s">
        <v>18</v>
      </c>
    </row>
    <row r="6" spans="1:8">
      <c r="B6" s="40" t="s">
        <v>425</v>
      </c>
      <c r="C6" s="40" t="s">
        <v>426</v>
      </c>
      <c r="D6" s="40" t="s">
        <v>425</v>
      </c>
      <c r="E6" s="40" t="s">
        <v>427</v>
      </c>
      <c r="F6" s="40" t="s">
        <v>425</v>
      </c>
      <c r="G6" s="40" t="s">
        <v>428</v>
      </c>
    </row>
    <row r="7" spans="1:8">
      <c r="B7" s="40" t="s">
        <v>425</v>
      </c>
      <c r="C7" s="40" t="s">
        <v>426</v>
      </c>
      <c r="D7" s="40" t="s">
        <v>425</v>
      </c>
      <c r="E7" s="40" t="s">
        <v>427</v>
      </c>
      <c r="F7" s="40" t="s">
        <v>425</v>
      </c>
      <c r="G7" s="40" t="s">
        <v>429</v>
      </c>
    </row>
    <row r="8" spans="1:8">
      <c r="B8" s="40" t="s">
        <v>430</v>
      </c>
      <c r="C8" s="40" t="s">
        <v>431</v>
      </c>
      <c r="D8" s="40" t="s">
        <v>430</v>
      </c>
      <c r="E8" s="40" t="s">
        <v>432</v>
      </c>
      <c r="F8" s="40" t="s">
        <v>430</v>
      </c>
      <c r="G8" s="40" t="s">
        <v>433</v>
      </c>
    </row>
    <row r="9" spans="1:8">
      <c r="B9" s="40" t="s">
        <v>430</v>
      </c>
      <c r="C9" s="40" t="s">
        <v>431</v>
      </c>
      <c r="D9" s="40" t="s">
        <v>430</v>
      </c>
      <c r="E9" s="40" t="s">
        <v>432</v>
      </c>
      <c r="F9" s="40" t="s">
        <v>430</v>
      </c>
      <c r="G9" s="40" t="s">
        <v>434</v>
      </c>
    </row>
    <row r="10" spans="1:8">
      <c r="B10" s="40" t="s">
        <v>435</v>
      </c>
      <c r="C10" s="40" t="s">
        <v>431</v>
      </c>
      <c r="D10" s="40" t="s">
        <v>435</v>
      </c>
      <c r="E10" s="40" t="s">
        <v>432</v>
      </c>
      <c r="F10" s="40" t="s">
        <v>435</v>
      </c>
      <c r="G10" s="40" t="s">
        <v>436</v>
      </c>
    </row>
    <row r="11" spans="1:8">
      <c r="B11" s="40" t="s">
        <v>435</v>
      </c>
      <c r="C11" s="40" t="s">
        <v>431</v>
      </c>
      <c r="D11" s="40" t="s">
        <v>435</v>
      </c>
      <c r="E11" s="40" t="s">
        <v>432</v>
      </c>
      <c r="F11" s="40" t="s">
        <v>435</v>
      </c>
      <c r="G11" s="40" t="s">
        <v>437</v>
      </c>
    </row>
    <row r="13" spans="1:8">
      <c r="B13" s="39" t="s">
        <v>438</v>
      </c>
      <c r="F13" s="46" t="s">
        <v>418</v>
      </c>
      <c r="G13" t="s">
        <v>439</v>
      </c>
      <c r="H13" t="s">
        <v>420</v>
      </c>
    </row>
    <row r="15" spans="1:8">
      <c r="B15" s="42" t="s">
        <v>13</v>
      </c>
      <c r="C15" s="42" t="s">
        <v>193</v>
      </c>
      <c r="D15" s="42" t="s">
        <v>206</v>
      </c>
      <c r="E15" s="42" t="s">
        <v>18</v>
      </c>
      <c r="F15" s="42" t="s">
        <v>440</v>
      </c>
    </row>
    <row r="16" spans="1:8">
      <c r="B16" s="40" t="s">
        <v>425</v>
      </c>
      <c r="C16" s="40" t="s">
        <v>441</v>
      </c>
      <c r="D16" s="40" t="s">
        <v>427</v>
      </c>
      <c r="E16" s="40" t="s">
        <v>429</v>
      </c>
      <c r="F16" s="40" t="s">
        <v>442</v>
      </c>
    </row>
    <row r="17" spans="2:8">
      <c r="B17" s="40" t="s">
        <v>425</v>
      </c>
      <c r="C17" s="40" t="s">
        <v>441</v>
      </c>
      <c r="D17" s="40" t="s">
        <v>426</v>
      </c>
      <c r="E17" s="40" t="s">
        <v>428</v>
      </c>
      <c r="F17" s="40" t="s">
        <v>442</v>
      </c>
    </row>
    <row r="19" spans="2:8">
      <c r="B19" s="42" t="s">
        <v>13</v>
      </c>
      <c r="C19" s="42" t="s">
        <v>193</v>
      </c>
      <c r="D19" s="42" t="s">
        <v>206</v>
      </c>
      <c r="E19" s="42" t="s">
        <v>18</v>
      </c>
      <c r="F19" s="42" t="s">
        <v>440</v>
      </c>
    </row>
    <row r="20" spans="2:8">
      <c r="B20" s="40" t="s">
        <v>430</v>
      </c>
      <c r="C20" s="40" t="s">
        <v>441</v>
      </c>
      <c r="D20" s="40" t="s">
        <v>427</v>
      </c>
      <c r="E20" s="40" t="s">
        <v>433</v>
      </c>
      <c r="F20" s="40" t="s">
        <v>442</v>
      </c>
    </row>
    <row r="21" spans="2:8">
      <c r="B21" s="40" t="s">
        <v>430</v>
      </c>
      <c r="C21" s="40" t="s">
        <v>441</v>
      </c>
      <c r="D21" s="40" t="s">
        <v>431</v>
      </c>
      <c r="E21" s="40" t="s">
        <v>434</v>
      </c>
      <c r="F21" s="40" t="s">
        <v>442</v>
      </c>
    </row>
    <row r="23" spans="2:8">
      <c r="B23" s="42" t="s">
        <v>13</v>
      </c>
      <c r="C23" s="42" t="s">
        <v>193</v>
      </c>
      <c r="D23" s="42" t="s">
        <v>206</v>
      </c>
      <c r="E23" s="42" t="s">
        <v>18</v>
      </c>
      <c r="F23" s="42" t="s">
        <v>440</v>
      </c>
    </row>
    <row r="24" spans="2:8">
      <c r="B24" s="40" t="s">
        <v>435</v>
      </c>
      <c r="C24" s="40" t="s">
        <v>441</v>
      </c>
      <c r="D24" s="40" t="s">
        <v>431</v>
      </c>
      <c r="E24" s="40" t="s">
        <v>436</v>
      </c>
      <c r="F24" s="40" t="s">
        <v>442</v>
      </c>
    </row>
    <row r="25" spans="2:8">
      <c r="B25" s="40" t="s">
        <v>435</v>
      </c>
      <c r="C25" s="40" t="s">
        <v>441</v>
      </c>
      <c r="D25" s="40" t="s">
        <v>431</v>
      </c>
      <c r="E25" s="40" t="s">
        <v>437</v>
      </c>
      <c r="F25" s="40" t="s">
        <v>442</v>
      </c>
    </row>
    <row r="27" spans="2:8">
      <c r="B27" t="s">
        <v>443</v>
      </c>
    </row>
    <row r="28" spans="2:8">
      <c r="F28" s="41" t="s">
        <v>418</v>
      </c>
      <c r="G28" t="s">
        <v>444</v>
      </c>
      <c r="H28" t="s">
        <v>420</v>
      </c>
    </row>
    <row r="29" spans="2:8">
      <c r="B29" s="97" t="s">
        <v>445</v>
      </c>
      <c r="C29" s="97"/>
      <c r="D29" s="97"/>
      <c r="E29" s="97"/>
    </row>
    <row r="30" spans="2:8">
      <c r="B30" s="42" t="s">
        <v>13</v>
      </c>
      <c r="C30" s="42" t="s">
        <v>18</v>
      </c>
      <c r="D30" s="42" t="s">
        <v>446</v>
      </c>
      <c r="E30" s="42" t="s">
        <v>447</v>
      </c>
      <c r="F30" s="42" t="s">
        <v>448</v>
      </c>
      <c r="G30" s="42" t="s">
        <v>449</v>
      </c>
    </row>
    <row r="31" spans="2:8">
      <c r="B31" s="40" t="s">
        <v>425</v>
      </c>
      <c r="C31" s="40" t="s">
        <v>429</v>
      </c>
      <c r="D31" s="40" t="s">
        <v>450</v>
      </c>
      <c r="E31" s="40" t="s">
        <v>427</v>
      </c>
      <c r="F31" s="40" t="s">
        <v>426</v>
      </c>
      <c r="G31" s="40" t="s">
        <v>427</v>
      </c>
    </row>
    <row r="32" spans="2:8">
      <c r="B32" s="40" t="s">
        <v>425</v>
      </c>
      <c r="C32" s="40" t="s">
        <v>428</v>
      </c>
      <c r="D32" s="40" t="s">
        <v>450</v>
      </c>
      <c r="E32" s="40" t="s">
        <v>426</v>
      </c>
      <c r="F32" s="40" t="s">
        <v>426</v>
      </c>
      <c r="G32" s="40" t="s">
        <v>427</v>
      </c>
    </row>
    <row r="33" spans="2:8">
      <c r="F33" s="39"/>
      <c r="G33" s="39"/>
    </row>
    <row r="34" spans="2:8">
      <c r="B34" s="40" t="s">
        <v>430</v>
      </c>
      <c r="C34" s="40" t="s">
        <v>434</v>
      </c>
      <c r="D34" s="40" t="s">
        <v>450</v>
      </c>
      <c r="E34" s="40" t="s">
        <v>431</v>
      </c>
      <c r="F34" s="40" t="s">
        <v>431</v>
      </c>
      <c r="G34" s="40" t="s">
        <v>432</v>
      </c>
    </row>
    <row r="35" spans="2:8">
      <c r="B35" s="40" t="s">
        <v>430</v>
      </c>
      <c r="C35" s="40" t="s">
        <v>433</v>
      </c>
      <c r="D35" s="40" t="s">
        <v>451</v>
      </c>
      <c r="E35" s="40" t="s">
        <v>427</v>
      </c>
      <c r="F35" s="40" t="s">
        <v>431</v>
      </c>
      <c r="G35" s="40" t="s">
        <v>432</v>
      </c>
    </row>
    <row r="37" spans="2:8">
      <c r="B37" s="40" t="s">
        <v>435</v>
      </c>
      <c r="C37" s="40" t="s">
        <v>437</v>
      </c>
      <c r="D37" s="40" t="s">
        <v>450</v>
      </c>
      <c r="E37" s="40" t="s">
        <v>431</v>
      </c>
      <c r="F37" s="40" t="s">
        <v>431</v>
      </c>
      <c r="G37" s="40" t="s">
        <v>432</v>
      </c>
    </row>
    <row r="38" spans="2:8">
      <c r="B38" s="40" t="s">
        <v>435</v>
      </c>
      <c r="C38" s="40" t="s">
        <v>436</v>
      </c>
      <c r="D38" s="40" t="s">
        <v>451</v>
      </c>
      <c r="E38" s="44" t="s">
        <v>452</v>
      </c>
      <c r="F38" s="40" t="s">
        <v>431</v>
      </c>
      <c r="G38" s="40" t="s">
        <v>432</v>
      </c>
    </row>
    <row r="39" spans="2:8">
      <c r="E39" s="39"/>
    </row>
    <row r="40" spans="2:8">
      <c r="F40" s="41" t="s">
        <v>418</v>
      </c>
      <c r="G40" t="s">
        <v>453</v>
      </c>
    </row>
    <row r="41" spans="2:8">
      <c r="B41" s="97" t="s">
        <v>454</v>
      </c>
      <c r="C41" s="97"/>
      <c r="D41" s="97"/>
      <c r="E41" s="97"/>
      <c r="H41" t="s">
        <v>420</v>
      </c>
    </row>
    <row r="42" spans="2:8">
      <c r="B42" s="43" t="s">
        <v>13</v>
      </c>
      <c r="C42" s="43" t="s">
        <v>18</v>
      </c>
      <c r="D42" s="43" t="s">
        <v>446</v>
      </c>
      <c r="E42" s="42" t="s">
        <v>447</v>
      </c>
      <c r="F42" s="42" t="s">
        <v>448</v>
      </c>
      <c r="G42" s="42" t="s">
        <v>449</v>
      </c>
    </row>
    <row r="43" spans="2:8">
      <c r="B43" s="40" t="s">
        <v>425</v>
      </c>
      <c r="C43" s="40" t="s">
        <v>429</v>
      </c>
      <c r="D43" s="40" t="s">
        <v>450</v>
      </c>
      <c r="E43" s="40" t="s">
        <v>427</v>
      </c>
      <c r="F43" s="40" t="s">
        <v>426</v>
      </c>
      <c r="G43" s="40" t="s">
        <v>427</v>
      </c>
    </row>
    <row r="44" spans="2:8">
      <c r="B44" s="40" t="s">
        <v>430</v>
      </c>
      <c r="C44" s="40" t="s">
        <v>433</v>
      </c>
      <c r="D44" s="40" t="s">
        <v>451</v>
      </c>
      <c r="E44" s="40" t="s">
        <v>432</v>
      </c>
      <c r="F44" s="40" t="s">
        <v>431</v>
      </c>
      <c r="G44" s="40" t="s">
        <v>432</v>
      </c>
    </row>
    <row r="45" spans="2:8">
      <c r="B45" s="40" t="s">
        <v>435</v>
      </c>
      <c r="C45" s="40" t="s">
        <v>436</v>
      </c>
      <c r="D45" s="40" t="s">
        <v>451</v>
      </c>
      <c r="E45" s="40" t="s">
        <v>432</v>
      </c>
      <c r="F45" s="40" t="s">
        <v>431</v>
      </c>
      <c r="G45" s="40" t="s">
        <v>432</v>
      </c>
    </row>
    <row r="46" spans="2:8">
      <c r="E46" s="39"/>
    </row>
    <row r="47" spans="2:8">
      <c r="B47" s="45" t="s">
        <v>455</v>
      </c>
    </row>
  </sheetData>
  <mergeCells count="2">
    <mergeCell ref="B29:E29"/>
    <mergeCell ref="B41:E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5BF6-5FF2-4249-BE31-D17082A88C88}">
  <sheetPr filterMode="1"/>
  <dimension ref="B2:M381"/>
  <sheetViews>
    <sheetView topLeftCell="C1" workbookViewId="0">
      <selection activeCell="H5" sqref="H5"/>
    </sheetView>
  </sheetViews>
  <sheetFormatPr defaultRowHeight="13.9"/>
  <cols>
    <col min="2" max="2" width="26.375" bestFit="1" customWidth="1"/>
    <col min="3" max="3" width="42.625" bestFit="1" customWidth="1"/>
    <col min="4" max="4" width="30.75" bestFit="1" customWidth="1"/>
    <col min="10" max="10" width="11" customWidth="1"/>
  </cols>
  <sheetData>
    <row r="2" spans="2:4">
      <c r="B2" s="32" t="s">
        <v>456</v>
      </c>
      <c r="C2" s="33" t="s">
        <v>457</v>
      </c>
      <c r="D2" s="33" t="s">
        <v>458</v>
      </c>
    </row>
    <row r="3" spans="2:4" hidden="1">
      <c r="B3" s="17" t="s">
        <v>54</v>
      </c>
      <c r="C3" s="26" t="s">
        <v>459</v>
      </c>
      <c r="D3" s="25" t="str">
        <f t="shared" ref="D3:D66" si="0">VLOOKUP(C3,B:B,1,0)</f>
        <v>cod_soc</v>
      </c>
    </row>
    <row r="4" spans="2:4" hidden="1">
      <c r="B4" s="17" t="s">
        <v>56</v>
      </c>
      <c r="C4" s="26" t="s">
        <v>460</v>
      </c>
      <c r="D4" s="25" t="str">
        <f t="shared" si="0"/>
        <v>cntry</v>
      </c>
    </row>
    <row r="5" spans="2:4" hidden="1">
      <c r="B5" s="17" t="s">
        <v>57</v>
      </c>
      <c r="C5" s="26" t="s">
        <v>461</v>
      </c>
      <c r="D5" s="25" t="str">
        <f t="shared" si="0"/>
        <v>dt_brth</v>
      </c>
    </row>
    <row r="6" spans="2:4" hidden="1">
      <c r="B6" s="17" t="s">
        <v>58</v>
      </c>
      <c r="C6" s="26" t="s">
        <v>462</v>
      </c>
      <c r="D6" s="25" t="str">
        <f t="shared" si="0"/>
        <v>dt_dflt_stts</v>
      </c>
    </row>
    <row r="7" spans="2:4" hidden="1">
      <c r="B7" s="17" t="s">
        <v>59</v>
      </c>
      <c r="C7" s="26" t="s">
        <v>463</v>
      </c>
      <c r="D7" s="25" t="str">
        <f t="shared" si="0"/>
        <v>dt_fnncl_sttmts</v>
      </c>
    </row>
    <row r="8" spans="2:4" hidden="1">
      <c r="B8" s="17" t="s">
        <v>60</v>
      </c>
      <c r="C8" s="26" t="s">
        <v>464</v>
      </c>
      <c r="D8" s="25" t="str">
        <f t="shared" si="0"/>
        <v>dt_fnncl_sttmts_prvs</v>
      </c>
    </row>
    <row r="9" spans="2:4" hidden="1">
      <c r="B9" s="17" t="s">
        <v>61</v>
      </c>
      <c r="C9" s="26" t="s">
        <v>465</v>
      </c>
      <c r="D9" s="25" t="str">
        <f t="shared" si="0"/>
        <v>dt_inttn_lgl_prcdngs_le</v>
      </c>
    </row>
    <row r="10" spans="2:4" hidden="1">
      <c r="B10" s="17" t="s">
        <v>62</v>
      </c>
      <c r="C10" s="26" t="s">
        <v>466</v>
      </c>
      <c r="D10" s="25" t="str">
        <f t="shared" si="0"/>
        <v>dt_prfrmng_stts_le</v>
      </c>
    </row>
    <row r="11" spans="2:4">
      <c r="B11" s="17" t="s">
        <v>63</v>
      </c>
      <c r="C11" s="26" t="s">
        <v>467</v>
      </c>
      <c r="D11" s="25" t="e">
        <f t="shared" si="0"/>
        <v>#N/A</v>
      </c>
    </row>
    <row r="12" spans="2:4">
      <c r="B12" s="17" t="s">
        <v>64</v>
      </c>
      <c r="C12" s="26" t="s">
        <v>468</v>
      </c>
      <c r="D12" s="25" t="e">
        <f t="shared" si="0"/>
        <v>#N/A</v>
      </c>
    </row>
    <row r="13" spans="2:4" hidden="1">
      <c r="B13" s="17" t="s">
        <v>65</v>
      </c>
      <c r="C13" s="26" t="s">
        <v>469</v>
      </c>
      <c r="D13" s="25" t="str">
        <f t="shared" si="0"/>
        <v>gcc_prnt_id</v>
      </c>
    </row>
    <row r="14" spans="2:4" hidden="1">
      <c r="B14" s="17" t="s">
        <v>66</v>
      </c>
      <c r="C14" s="26" t="s">
        <v>470</v>
      </c>
      <c r="D14" s="25" t="str">
        <f t="shared" si="0"/>
        <v>gcc_prnt_nm</v>
      </c>
    </row>
    <row r="15" spans="2:4" hidden="1">
      <c r="B15" s="17" t="s">
        <v>67</v>
      </c>
      <c r="C15" s="26" t="s">
        <v>471</v>
      </c>
      <c r="D15" s="25" t="str">
        <f t="shared" si="0"/>
        <v>intrnl_sgmnt</v>
      </c>
    </row>
    <row r="16" spans="2:4" hidden="1">
      <c r="B16" s="17" t="s">
        <v>68</v>
      </c>
      <c r="C16" s="26" t="s">
        <v>472</v>
      </c>
      <c r="D16" s="25" t="str">
        <f t="shared" si="0"/>
        <v>intrnl_unt</v>
      </c>
    </row>
    <row r="17" spans="2:4" hidden="1">
      <c r="B17" s="17" t="s">
        <v>69</v>
      </c>
      <c r="C17" s="26" t="s">
        <v>473</v>
      </c>
      <c r="D17" s="25" t="str">
        <f t="shared" si="0"/>
        <v>lei</v>
      </c>
    </row>
    <row r="18" spans="2:4" hidden="1">
      <c r="B18" s="17" t="s">
        <v>70</v>
      </c>
      <c r="C18" s="26" t="s">
        <v>474</v>
      </c>
      <c r="D18" s="25" t="str">
        <f t="shared" si="0"/>
        <v>entty_nm</v>
      </c>
    </row>
    <row r="19" spans="2:4" hidden="1">
      <c r="B19" s="17" t="s">
        <v>71</v>
      </c>
      <c r="C19" s="26" t="s">
        <v>475</v>
      </c>
      <c r="D19" s="25" t="str">
        <f t="shared" si="0"/>
        <v>extrnl_rtng_nm</v>
      </c>
    </row>
    <row r="20" spans="2:4" hidden="1">
      <c r="B20" s="17" t="s">
        <v>72</v>
      </c>
      <c r="C20" s="26" t="s">
        <v>476</v>
      </c>
      <c r="D20" s="25" t="str">
        <f t="shared" si="0"/>
        <v>accntng_frmwrk_sl</v>
      </c>
    </row>
    <row r="21" spans="2:4" hidden="1">
      <c r="B21" s="17" t="s">
        <v>73</v>
      </c>
      <c r="C21" s="26" t="s">
        <v>477</v>
      </c>
      <c r="D21" s="25" t="str">
        <f t="shared" si="0"/>
        <v>cr_flg</v>
      </c>
    </row>
    <row r="22" spans="2:4" hidden="1">
      <c r="B22" s="17" t="s">
        <v>74</v>
      </c>
      <c r="C22" s="26" t="s">
        <v>478</v>
      </c>
      <c r="D22" s="25" t="str">
        <f t="shared" si="0"/>
        <v>dcsd</v>
      </c>
    </row>
    <row r="23" spans="2:4" hidden="1">
      <c r="B23" s="17" t="s">
        <v>75</v>
      </c>
      <c r="C23" s="26" t="s">
        <v>479</v>
      </c>
      <c r="D23" s="25" t="str">
        <f t="shared" si="0"/>
        <v>dflt_stts</v>
      </c>
    </row>
    <row r="24" spans="2:4" hidden="1">
      <c r="B24" s="17" t="s">
        <v>77</v>
      </c>
      <c r="C24" s="26" t="s">
        <v>480</v>
      </c>
      <c r="D24" s="25" t="str">
        <f t="shared" si="0"/>
        <v>dt_extrnl_rtng</v>
      </c>
    </row>
    <row r="25" spans="2:4" hidden="1">
      <c r="B25" s="17" t="s">
        <v>78</v>
      </c>
      <c r="C25" s="26" t="s">
        <v>481</v>
      </c>
      <c r="D25" s="25" t="str">
        <f t="shared" si="0"/>
        <v>dt_intrnl_rtng</v>
      </c>
    </row>
    <row r="26" spans="2:4" hidden="1">
      <c r="B26" s="17" t="s">
        <v>79</v>
      </c>
      <c r="C26" s="26" t="s">
        <v>482</v>
      </c>
      <c r="D26" s="25" t="str">
        <f t="shared" si="0"/>
        <v>ecnmc_actvty</v>
      </c>
    </row>
    <row r="27" spans="2:4" hidden="1">
      <c r="B27" s="17" t="s">
        <v>80</v>
      </c>
      <c r="C27" s="26" t="s">
        <v>483</v>
      </c>
      <c r="D27" s="25" t="str">
        <f t="shared" si="0"/>
        <v>emplymnt_stts_intrnl</v>
      </c>
    </row>
    <row r="28" spans="2:4" hidden="1">
      <c r="B28" s="17" t="s">
        <v>81</v>
      </c>
      <c r="C28" s="26" t="s">
        <v>484</v>
      </c>
      <c r="D28" s="25" t="str">
        <f t="shared" si="0"/>
        <v>emplymnt_stts</v>
      </c>
    </row>
    <row r="29" spans="2:4" hidden="1">
      <c r="B29" s="17" t="s">
        <v>82</v>
      </c>
      <c r="C29" s="26" t="s">
        <v>485</v>
      </c>
      <c r="D29" s="25" t="str">
        <f t="shared" si="0"/>
        <v>entrprs_sz_le</v>
      </c>
    </row>
    <row r="30" spans="2:4" hidden="1">
      <c r="B30" s="17" t="s">
        <v>83</v>
      </c>
      <c r="C30" s="26" t="s">
        <v>486</v>
      </c>
      <c r="D30" s="25" t="str">
        <f t="shared" si="0"/>
        <v>extrnl_rtng</v>
      </c>
    </row>
    <row r="31" spans="2:4" hidden="1">
      <c r="B31" s="17" t="s">
        <v>84</v>
      </c>
      <c r="C31" s="26" t="s">
        <v>487</v>
      </c>
      <c r="D31" s="25" t="str">
        <f t="shared" si="0"/>
        <v>extrnl_rtng_prvs</v>
      </c>
    </row>
    <row r="32" spans="2:4" hidden="1">
      <c r="B32" s="17" t="s">
        <v>85</v>
      </c>
      <c r="C32" s="26" t="s">
        <v>488</v>
      </c>
      <c r="D32" s="25" t="str">
        <f t="shared" si="0"/>
        <v>flg_bnkrptcy_in_grp</v>
      </c>
    </row>
    <row r="33" spans="2:4" hidden="1">
      <c r="B33" s="17" t="s">
        <v>86</v>
      </c>
      <c r="C33" s="26" t="s">
        <v>489</v>
      </c>
      <c r="D33" s="25" t="str">
        <f t="shared" si="0"/>
        <v>flg_hgh_cds</v>
      </c>
    </row>
    <row r="34" spans="2:4" hidden="1">
      <c r="B34" s="17" t="s">
        <v>87</v>
      </c>
      <c r="C34" s="26" t="s">
        <v>490</v>
      </c>
      <c r="D34" s="25" t="str">
        <f t="shared" si="0"/>
        <v>flg_isda_crdt_evnt</v>
      </c>
    </row>
    <row r="35" spans="2:4" hidden="1">
      <c r="B35" s="17" t="s">
        <v>88</v>
      </c>
      <c r="C35" s="26" t="s">
        <v>491</v>
      </c>
      <c r="D35" s="25" t="str">
        <f t="shared" si="0"/>
        <v>flg_nn_accrl</v>
      </c>
    </row>
    <row r="36" spans="2:4" hidden="1">
      <c r="B36" s="17" t="s">
        <v>89</v>
      </c>
      <c r="C36" s="26" t="s">
        <v>492</v>
      </c>
      <c r="D36" s="25" t="str">
        <f t="shared" si="0"/>
        <v>flg_rqst_bnkrptcy</v>
      </c>
    </row>
    <row r="37" spans="2:4" hidden="1">
      <c r="B37" s="17" t="s">
        <v>90</v>
      </c>
      <c r="C37" s="26" t="s">
        <v>493</v>
      </c>
      <c r="D37" s="25" t="str">
        <f t="shared" si="0"/>
        <v>flg_rqst_dstrssd_rstrctrng</v>
      </c>
    </row>
    <row r="38" spans="2:4" hidden="1">
      <c r="B38" s="17" t="s">
        <v>91</v>
      </c>
      <c r="C38" s="26" t="s">
        <v>494</v>
      </c>
      <c r="D38" s="25" t="str">
        <f t="shared" si="0"/>
        <v>flg_rqst_emrgncy_fndng</v>
      </c>
    </row>
    <row r="39" spans="2:4" hidden="1">
      <c r="B39" s="17" t="s">
        <v>92</v>
      </c>
      <c r="C39" s="26" t="s">
        <v>495</v>
      </c>
      <c r="D39" s="25" t="str">
        <f t="shared" si="0"/>
        <v>flg_sll_wth_lss</v>
      </c>
    </row>
    <row r="40" spans="2:4" hidden="1">
      <c r="B40" s="17" t="s">
        <v>76</v>
      </c>
      <c r="C40" s="26" t="s">
        <v>496</v>
      </c>
      <c r="D40" s="25" t="str">
        <f t="shared" si="0"/>
        <v>incm_sc</v>
      </c>
    </row>
    <row r="41" spans="2:4" hidden="1">
      <c r="B41" s="17" t="s">
        <v>93</v>
      </c>
      <c r="C41" s="26" t="s">
        <v>497</v>
      </c>
      <c r="D41" s="25" t="str">
        <f t="shared" si="0"/>
        <v>intrnl_rtng</v>
      </c>
    </row>
    <row r="42" spans="2:4" hidden="1">
      <c r="B42" s="17" t="s">
        <v>94</v>
      </c>
      <c r="C42" s="26" t="s">
        <v>498</v>
      </c>
      <c r="D42" s="25" t="str">
        <f t="shared" si="0"/>
        <v>intrnl_rtng_prvs</v>
      </c>
    </row>
    <row r="43" spans="2:4" hidden="1">
      <c r="B43" s="17" t="s">
        <v>96</v>
      </c>
      <c r="C43" s="26" t="s">
        <v>499</v>
      </c>
      <c r="D43" s="25" t="str">
        <f t="shared" si="0"/>
        <v>lgl_prcdng_stts_le</v>
      </c>
    </row>
    <row r="44" spans="2:4" hidden="1">
      <c r="B44" s="17" t="s">
        <v>97</v>
      </c>
      <c r="C44" s="26" t="s">
        <v>500</v>
      </c>
      <c r="D44" s="25" t="str">
        <f t="shared" si="0"/>
        <v>ownd_by_spnsr</v>
      </c>
    </row>
    <row r="45" spans="2:4" hidden="1">
      <c r="B45" s="17" t="s">
        <v>98</v>
      </c>
      <c r="C45" s="26" t="s">
        <v>501</v>
      </c>
      <c r="D45" s="25" t="str">
        <f t="shared" si="0"/>
        <v>prfrmng_stts_le</v>
      </c>
    </row>
    <row r="46" spans="2:4" hidden="1">
      <c r="B46" s="17" t="s">
        <v>99</v>
      </c>
      <c r="C46" s="26" t="s">
        <v>502</v>
      </c>
      <c r="D46" s="25" t="str">
        <f t="shared" si="0"/>
        <v>rtng_mthd</v>
      </c>
    </row>
    <row r="47" spans="2:4" hidden="1">
      <c r="B47" s="17" t="s">
        <v>100</v>
      </c>
      <c r="C47" s="26" t="s">
        <v>503</v>
      </c>
      <c r="D47" s="25" t="str">
        <f t="shared" si="0"/>
        <v>rtng_scl</v>
      </c>
    </row>
    <row r="48" spans="2:4" hidden="1">
      <c r="B48" s="17" t="s">
        <v>101</v>
      </c>
      <c r="C48" s="26" t="s">
        <v>504</v>
      </c>
      <c r="D48" s="25" t="str">
        <f t="shared" si="0"/>
        <v>wtch_lst</v>
      </c>
    </row>
    <row r="49" spans="2:4" hidden="1">
      <c r="B49" s="17" t="s">
        <v>102</v>
      </c>
      <c r="C49" s="26" t="s">
        <v>505</v>
      </c>
      <c r="D49" s="25" t="str">
        <f t="shared" si="0"/>
        <v>sngl_prps_vhcl</v>
      </c>
    </row>
    <row r="50" spans="2:4" hidden="1">
      <c r="B50" s="17" t="s">
        <v>103</v>
      </c>
      <c r="C50" s="26" t="s">
        <v>506</v>
      </c>
      <c r="D50" s="25" t="str">
        <f t="shared" si="0"/>
        <v>grp_ebitda</v>
      </c>
    </row>
    <row r="51" spans="2:4" hidden="1">
      <c r="B51" s="17" t="s">
        <v>106</v>
      </c>
      <c r="C51" s="26" t="s">
        <v>507</v>
      </c>
      <c r="D51" s="25" t="str">
        <f t="shared" si="0"/>
        <v>grp_eqty</v>
      </c>
    </row>
    <row r="52" spans="2:4" hidden="1">
      <c r="B52" s="17" t="s">
        <v>107</v>
      </c>
      <c r="C52" s="26" t="s">
        <v>508</v>
      </c>
      <c r="D52" s="25" t="str">
        <f t="shared" si="0"/>
        <v>grp_nt_dbt</v>
      </c>
    </row>
    <row r="53" spans="2:4" hidden="1">
      <c r="B53" s="17" t="s">
        <v>108</v>
      </c>
      <c r="C53" s="26" t="s">
        <v>509</v>
      </c>
      <c r="D53" s="25" t="str">
        <f t="shared" si="0"/>
        <v>annl_trnvr_le</v>
      </c>
    </row>
    <row r="54" spans="2:4" hidden="1">
      <c r="B54" s="17" t="s">
        <v>109</v>
      </c>
      <c r="C54" s="26" t="s">
        <v>510</v>
      </c>
      <c r="D54" s="25" t="str">
        <f t="shared" si="0"/>
        <v>annl_trnvr_prvs</v>
      </c>
    </row>
    <row r="55" spans="2:4" hidden="1">
      <c r="B55" s="17" t="s">
        <v>110</v>
      </c>
      <c r="C55" s="26" t="s">
        <v>511</v>
      </c>
      <c r="D55" s="25" t="str">
        <f t="shared" si="0"/>
        <v>capex</v>
      </c>
    </row>
    <row r="56" spans="2:4" hidden="1">
      <c r="B56" s="17" t="s">
        <v>111</v>
      </c>
      <c r="C56" s="26" t="s">
        <v>512</v>
      </c>
      <c r="D56" s="25" t="str">
        <f t="shared" si="0"/>
        <v>capex_prvs</v>
      </c>
    </row>
    <row r="57" spans="2:4" hidden="1">
      <c r="B57" s="17" t="s">
        <v>112</v>
      </c>
      <c r="C57" s="26" t="s">
        <v>513</v>
      </c>
      <c r="D57" s="25" t="str">
        <f t="shared" si="0"/>
        <v>cllctn_md</v>
      </c>
    </row>
    <row r="58" spans="2:4" hidden="1">
      <c r="B58" s="17" t="s">
        <v>113</v>
      </c>
      <c r="C58" s="26" t="s">
        <v>514</v>
      </c>
      <c r="D58" s="25" t="str">
        <f t="shared" si="0"/>
        <v>csh</v>
      </c>
    </row>
    <row r="59" spans="2:4" hidden="1">
      <c r="B59" s="17" t="s">
        <v>114</v>
      </c>
      <c r="C59" s="26" t="s">
        <v>515</v>
      </c>
      <c r="D59" s="25" t="str">
        <f t="shared" si="0"/>
        <v>csh_prvs</v>
      </c>
    </row>
    <row r="60" spans="2:4" hidden="1">
      <c r="B60" s="17" t="s">
        <v>115</v>
      </c>
      <c r="C60" s="26" t="s">
        <v>516</v>
      </c>
      <c r="D60" s="25" t="str">
        <f t="shared" si="0"/>
        <v>ebitda</v>
      </c>
    </row>
    <row r="61" spans="2:4" hidden="1">
      <c r="B61" s="17" t="s">
        <v>116</v>
      </c>
      <c r="C61" s="26" t="s">
        <v>517</v>
      </c>
      <c r="D61" s="25" t="str">
        <f t="shared" si="0"/>
        <v>ebitda_prvs</v>
      </c>
    </row>
    <row r="62" spans="2:4" hidden="1">
      <c r="B62" s="17" t="s">
        <v>119</v>
      </c>
      <c r="C62" s="26" t="s">
        <v>518</v>
      </c>
      <c r="D62" s="25" t="str">
        <f t="shared" si="0"/>
        <v>eqty</v>
      </c>
    </row>
    <row r="63" spans="2:4" hidden="1">
      <c r="B63" s="17" t="s">
        <v>95</v>
      </c>
      <c r="C63" s="26" t="s">
        <v>519</v>
      </c>
      <c r="D63" s="25" t="str">
        <f t="shared" si="0"/>
        <v>eqty_prvs</v>
      </c>
    </row>
    <row r="64" spans="2:4" hidden="1">
      <c r="B64" s="17" t="s">
        <v>120</v>
      </c>
      <c r="C64" s="26" t="s">
        <v>520</v>
      </c>
      <c r="D64" s="25" t="str">
        <f t="shared" si="0"/>
        <v>grp_ttl_dbt</v>
      </c>
    </row>
    <row r="65" spans="2:4" hidden="1">
      <c r="B65" s="17" t="s">
        <v>121</v>
      </c>
      <c r="C65" s="26" t="s">
        <v>521</v>
      </c>
      <c r="D65" s="25" t="str">
        <f t="shared" si="0"/>
        <v>gdwill</v>
      </c>
    </row>
    <row r="66" spans="2:4" hidden="1">
      <c r="B66" s="17" t="s">
        <v>122</v>
      </c>
      <c r="C66" s="26" t="s">
        <v>522</v>
      </c>
      <c r="D66" s="25" t="str">
        <f t="shared" si="0"/>
        <v>gdwill_prvs</v>
      </c>
    </row>
    <row r="67" spans="2:4" hidden="1">
      <c r="B67" s="17" t="s">
        <v>123</v>
      </c>
      <c r="C67" s="26" t="s">
        <v>523</v>
      </c>
      <c r="D67" s="25" t="str">
        <f t="shared" ref="D67:D130" si="1">VLOOKUP(C67,B:B,1,0)</f>
        <v>lti</v>
      </c>
    </row>
    <row r="68" spans="2:4" hidden="1">
      <c r="B68" s="17" t="s">
        <v>124</v>
      </c>
      <c r="C68" s="26" t="s">
        <v>524</v>
      </c>
      <c r="D68" s="25" t="str">
        <f t="shared" si="1"/>
        <v>lvrg</v>
      </c>
    </row>
    <row r="69" spans="2:4" hidden="1">
      <c r="B69" s="17" t="s">
        <v>125</v>
      </c>
      <c r="C69" s="26" t="s">
        <v>525</v>
      </c>
      <c r="D69" s="25" t="str">
        <f t="shared" si="1"/>
        <v>lvrg_prvs</v>
      </c>
    </row>
    <row r="70" spans="2:4" hidden="1">
      <c r="B70" s="17" t="s">
        <v>126</v>
      </c>
      <c r="C70" s="26" t="s">
        <v>526</v>
      </c>
      <c r="D70" s="25" t="str">
        <f t="shared" si="1"/>
        <v>mnthl_incm</v>
      </c>
    </row>
    <row r="71" spans="2:4" hidden="1">
      <c r="B71" s="17" t="s">
        <v>127</v>
      </c>
      <c r="C71" s="26" t="s">
        <v>527</v>
      </c>
      <c r="D71" s="25" t="str">
        <f t="shared" si="1"/>
        <v>mnthl_incm_slr</v>
      </c>
    </row>
    <row r="72" spans="2:4" hidden="1">
      <c r="B72" s="17" t="s">
        <v>128</v>
      </c>
      <c r="C72" s="26" t="s">
        <v>528</v>
      </c>
      <c r="D72" s="25" t="str">
        <f t="shared" si="1"/>
        <v>mnthl_trnvr</v>
      </c>
    </row>
    <row r="73" spans="2:4" hidden="1">
      <c r="B73" s="17" t="s">
        <v>129</v>
      </c>
      <c r="C73" s="26" t="s">
        <v>529</v>
      </c>
      <c r="D73" s="25" t="str">
        <f t="shared" si="1"/>
        <v>nt_incm</v>
      </c>
    </row>
    <row r="74" spans="2:4" hidden="1">
      <c r="B74" s="17" t="s">
        <v>130</v>
      </c>
      <c r="C74" s="26" t="s">
        <v>530</v>
      </c>
      <c r="D74" s="25" t="str">
        <f t="shared" si="1"/>
        <v>nt_incm_prvs</v>
      </c>
    </row>
    <row r="75" spans="2:4" hidden="1">
      <c r="B75" s="17" t="s">
        <v>131</v>
      </c>
      <c r="C75" s="26" t="s">
        <v>531</v>
      </c>
      <c r="D75" s="25" t="str">
        <f t="shared" si="1"/>
        <v>ttl_dbt</v>
      </c>
    </row>
    <row r="76" spans="2:4" hidden="1">
      <c r="B76" s="17" t="s">
        <v>132</v>
      </c>
      <c r="C76" s="26" t="s">
        <v>532</v>
      </c>
      <c r="D76" s="25" t="str">
        <f t="shared" si="1"/>
        <v>ttl_dbt_prvs</v>
      </c>
    </row>
    <row r="77" spans="2:4" hidden="1">
      <c r="B77" s="17" t="s">
        <v>133</v>
      </c>
      <c r="C77" s="26" t="s">
        <v>533</v>
      </c>
      <c r="D77" s="25" t="str">
        <f t="shared" si="1"/>
        <v>ttl_intrst_pd</v>
      </c>
    </row>
    <row r="78" spans="2:4" hidden="1">
      <c r="B78" s="17" t="s">
        <v>134</v>
      </c>
      <c r="C78" s="26" t="s">
        <v>534</v>
      </c>
      <c r="D78" s="25" t="str">
        <f t="shared" si="1"/>
        <v>ttl_lvrg_rt</v>
      </c>
    </row>
    <row r="79" spans="2:4" hidden="1">
      <c r="B79" s="17" t="s">
        <v>135</v>
      </c>
      <c r="C79" s="26" t="s">
        <v>535</v>
      </c>
      <c r="D79" s="25" t="str">
        <f t="shared" si="1"/>
        <v>ttl_lvrg_rt_prvs</v>
      </c>
    </row>
    <row r="80" spans="2:4" hidden="1">
      <c r="B80" s="17" t="s">
        <v>136</v>
      </c>
      <c r="C80" s="26" t="s">
        <v>536</v>
      </c>
      <c r="D80" s="25" t="str">
        <f t="shared" si="1"/>
        <v>dbt_rpymnt_cpcty_snr_dbt</v>
      </c>
    </row>
    <row r="81" spans="2:4" hidden="1">
      <c r="B81" s="17" t="s">
        <v>137</v>
      </c>
      <c r="C81" s="26" t="s">
        <v>537</v>
      </c>
      <c r="D81" s="25" t="str">
        <f t="shared" si="1"/>
        <v>dbt_rpymnt_cpcty_ttl</v>
      </c>
    </row>
    <row r="82" spans="2:4" hidden="1">
      <c r="B82" s="17" t="s">
        <v>138</v>
      </c>
      <c r="C82" s="26" t="s">
        <v>538</v>
      </c>
      <c r="D82" s="25" t="str">
        <f t="shared" si="1"/>
        <v>dbt_srvc_rt</v>
      </c>
    </row>
    <row r="83" spans="2:4" hidden="1">
      <c r="B83" s="17" t="s">
        <v>139</v>
      </c>
      <c r="C83" s="26" t="s">
        <v>539</v>
      </c>
      <c r="D83" s="25" t="str">
        <f t="shared" si="1"/>
        <v>dbt_srvc_rt_12m</v>
      </c>
    </row>
    <row r="84" spans="2:4" hidden="1">
      <c r="B84" s="17" t="s">
        <v>140</v>
      </c>
      <c r="C84" s="26" t="s">
        <v>540</v>
      </c>
      <c r="D84" s="25" t="str">
        <f t="shared" si="1"/>
        <v>pd_crr_rd</v>
      </c>
    </row>
    <row r="85" spans="2:4" hidden="1">
      <c r="B85" s="17" t="s">
        <v>141</v>
      </c>
      <c r="C85" s="26" t="s">
        <v>541</v>
      </c>
      <c r="D85" s="25" t="str">
        <f t="shared" si="1"/>
        <v>pd_ifrs9_12m_rd</v>
      </c>
    </row>
    <row r="86" spans="2:4" hidden="1">
      <c r="B86" s="17" t="s">
        <v>142</v>
      </c>
      <c r="C86" s="26" t="s">
        <v>542</v>
      </c>
      <c r="D86" s="25" t="str">
        <f t="shared" si="1"/>
        <v>pd_ifrs9_12m_rd_t1</v>
      </c>
    </row>
    <row r="87" spans="2:4" hidden="1">
      <c r="B87" s="17" t="s">
        <v>145</v>
      </c>
      <c r="C87" s="26" t="s">
        <v>543</v>
      </c>
      <c r="D87" s="25" t="str">
        <f t="shared" si="1"/>
        <v>tax_id</v>
      </c>
    </row>
    <row r="88" spans="2:4" hidden="1">
      <c r="B88" s="17" t="s">
        <v>146</v>
      </c>
      <c r="C88" s="26" t="s">
        <v>544</v>
      </c>
      <c r="D88" s="25" t="str">
        <f t="shared" si="1"/>
        <v>annl_trnvr_le_bdr</v>
      </c>
    </row>
    <row r="89" spans="2:4" hidden="1">
      <c r="B89" s="17" t="s">
        <v>148</v>
      </c>
      <c r="C89" s="26" t="s">
        <v>545</v>
      </c>
      <c r="D89" s="25" t="str">
        <f t="shared" si="1"/>
        <v>annl_trnvr_prvs_bdr</v>
      </c>
    </row>
    <row r="90" spans="2:4" hidden="1">
      <c r="B90" s="17" t="s">
        <v>149</v>
      </c>
      <c r="C90" s="26" t="s">
        <v>546</v>
      </c>
      <c r="D90" s="25" t="str">
        <f t="shared" si="1"/>
        <v>osi_id</v>
      </c>
    </row>
    <row r="91" spans="2:4" hidden="1">
      <c r="B91" s="17" t="s">
        <v>150</v>
      </c>
      <c r="C91" s="26" t="s">
        <v>547</v>
      </c>
      <c r="D91" s="25" t="str">
        <f t="shared" si="1"/>
        <v>pd_crr_rd_t1</v>
      </c>
    </row>
    <row r="92" spans="2:4" hidden="1">
      <c r="B92" s="17" t="s">
        <v>151</v>
      </c>
      <c r="C92" s="26" t="s">
        <v>548</v>
      </c>
      <c r="D92" s="25" t="str">
        <f t="shared" si="1"/>
        <v>ec_grp_id</v>
      </c>
    </row>
    <row r="93" spans="2:4" hidden="1">
      <c r="B93" s="17" t="s">
        <v>152</v>
      </c>
      <c r="C93" s="26" t="s">
        <v>549</v>
      </c>
      <c r="D93" s="25" t="str">
        <f t="shared" si="1"/>
        <v>ec_grp_nm</v>
      </c>
    </row>
    <row r="94" spans="2:4" hidden="1">
      <c r="B94" s="17" t="s">
        <v>153</v>
      </c>
      <c r="C94" s="26" t="s">
        <v>550</v>
      </c>
      <c r="D94" s="25" t="str">
        <f t="shared" si="1"/>
        <v>prsn_typ</v>
      </c>
    </row>
    <row r="95" spans="2:4" hidden="1">
      <c r="B95" s="17" t="s">
        <v>154</v>
      </c>
      <c r="C95" s="26" t="s">
        <v>551</v>
      </c>
      <c r="D95" s="25" t="str">
        <f t="shared" si="1"/>
        <v>fr_csh_flw</v>
      </c>
    </row>
    <row r="96" spans="2:4" hidden="1">
      <c r="B96" s="17" t="s">
        <v>156</v>
      </c>
      <c r="C96" s="26" t="s">
        <v>552</v>
      </c>
      <c r="D96" s="25" t="str">
        <f t="shared" si="1"/>
        <v>fr_csh_flw_t1</v>
      </c>
    </row>
    <row r="97" spans="2:13" hidden="1">
      <c r="B97" s="17" t="s">
        <v>64</v>
      </c>
      <c r="C97" s="26" t="s">
        <v>553</v>
      </c>
      <c r="D97" s="25" t="str">
        <f t="shared" si="1"/>
        <v>fr_csh_flw_t2</v>
      </c>
    </row>
    <row r="98" spans="2:13" hidden="1">
      <c r="B98" s="17" t="s">
        <v>157</v>
      </c>
      <c r="C98" s="26" t="s">
        <v>554</v>
      </c>
      <c r="D98" s="25" t="str">
        <f t="shared" si="1"/>
        <v>fr_csh_flw_t3</v>
      </c>
    </row>
    <row r="99" spans="2:13">
      <c r="B99" s="17" t="s">
        <v>158</v>
      </c>
      <c r="C99" s="31" t="s">
        <v>555</v>
      </c>
      <c r="D99" s="25" t="e">
        <f t="shared" si="1"/>
        <v>#N/A</v>
      </c>
    </row>
    <row r="100" spans="2:13">
      <c r="B100" s="17" t="s">
        <v>64</v>
      </c>
      <c r="C100" s="31" t="s">
        <v>556</v>
      </c>
      <c r="D100" s="25" t="e">
        <f t="shared" si="1"/>
        <v>#N/A</v>
      </c>
    </row>
    <row r="101" spans="2:13">
      <c r="B101" s="17" t="s">
        <v>159</v>
      </c>
      <c r="C101" s="31" t="s">
        <v>557</v>
      </c>
      <c r="D101" s="25" t="e">
        <f t="shared" si="1"/>
        <v>#N/A</v>
      </c>
    </row>
    <row r="102" spans="2:13">
      <c r="B102" s="17" t="s">
        <v>160</v>
      </c>
      <c r="C102" s="31" t="s">
        <v>558</v>
      </c>
      <c r="D102" s="25" t="e">
        <f t="shared" si="1"/>
        <v>#N/A</v>
      </c>
    </row>
    <row r="103" spans="2:13">
      <c r="B103" s="17" t="s">
        <v>161</v>
      </c>
      <c r="C103" s="31" t="s">
        <v>559</v>
      </c>
      <c r="D103" s="25" t="e">
        <f t="shared" si="1"/>
        <v>#N/A</v>
      </c>
    </row>
    <row r="104" spans="2:13" ht="19.899999999999999">
      <c r="B104" s="17" t="s">
        <v>162</v>
      </c>
      <c r="C104" s="31" t="s">
        <v>560</v>
      </c>
      <c r="D104" s="25" t="e">
        <f t="shared" si="1"/>
        <v>#N/A</v>
      </c>
      <c r="G104" s="34" t="s">
        <v>561</v>
      </c>
      <c r="H104" s="34" t="s">
        <v>562</v>
      </c>
      <c r="I104" s="34" t="s">
        <v>563</v>
      </c>
      <c r="J104" s="34" t="s">
        <v>19</v>
      </c>
      <c r="K104" s="34" t="s">
        <v>564</v>
      </c>
      <c r="L104" s="34" t="s">
        <v>565</v>
      </c>
      <c r="M104" s="34" t="s">
        <v>566</v>
      </c>
    </row>
    <row r="105" spans="2:13" ht="19.899999999999999">
      <c r="B105" s="17" t="s">
        <v>163</v>
      </c>
      <c r="C105" s="31" t="s">
        <v>567</v>
      </c>
      <c r="D105" s="25" t="e">
        <f t="shared" si="1"/>
        <v>#N/A</v>
      </c>
      <c r="G105" s="35" t="s">
        <v>55</v>
      </c>
      <c r="H105" s="35" t="s">
        <v>12</v>
      </c>
      <c r="I105" s="35" t="s">
        <v>127</v>
      </c>
      <c r="J105" s="36">
        <v>45473</v>
      </c>
      <c r="K105" s="35">
        <v>147609</v>
      </c>
      <c r="L105" s="35" t="s">
        <v>568</v>
      </c>
      <c r="M105" s="37" t="s">
        <v>569</v>
      </c>
    </row>
    <row r="106" spans="2:13" ht="19.899999999999999">
      <c r="B106" s="17" t="s">
        <v>164</v>
      </c>
      <c r="C106" s="31" t="s">
        <v>570</v>
      </c>
      <c r="D106" s="25" t="e">
        <f t="shared" si="1"/>
        <v>#N/A</v>
      </c>
      <c r="G106" s="35" t="s">
        <v>55</v>
      </c>
      <c r="H106" s="35" t="s">
        <v>12</v>
      </c>
      <c r="I106" s="35" t="s">
        <v>130</v>
      </c>
      <c r="J106" s="36">
        <v>45473</v>
      </c>
      <c r="K106" s="35">
        <v>387024</v>
      </c>
      <c r="L106" s="35" t="s">
        <v>568</v>
      </c>
      <c r="M106" s="37" t="s">
        <v>569</v>
      </c>
    </row>
    <row r="107" spans="2:13" ht="19.899999999999999">
      <c r="B107" s="17" t="s">
        <v>165</v>
      </c>
      <c r="C107" s="31" t="s">
        <v>571</v>
      </c>
      <c r="D107" s="25" t="e">
        <f t="shared" si="1"/>
        <v>#N/A</v>
      </c>
      <c r="G107" s="35" t="s">
        <v>55</v>
      </c>
      <c r="H107" s="35" t="s">
        <v>12</v>
      </c>
      <c r="I107" s="35" t="s">
        <v>131</v>
      </c>
      <c r="J107" s="36">
        <v>45473</v>
      </c>
      <c r="K107" s="35">
        <v>411812</v>
      </c>
      <c r="L107" s="35" t="s">
        <v>568</v>
      </c>
      <c r="M107" s="37" t="s">
        <v>569</v>
      </c>
    </row>
    <row r="108" spans="2:13" ht="19.899999999999999">
      <c r="B108" s="17" t="s">
        <v>166</v>
      </c>
      <c r="C108" s="31" t="s">
        <v>572</v>
      </c>
      <c r="D108" s="25" t="e">
        <f t="shared" si="1"/>
        <v>#N/A</v>
      </c>
      <c r="G108" s="35" t="s">
        <v>55</v>
      </c>
      <c r="H108" s="35" t="s">
        <v>12</v>
      </c>
      <c r="I108" s="35" t="s">
        <v>138</v>
      </c>
      <c r="J108" s="36">
        <v>45473</v>
      </c>
      <c r="K108" s="35">
        <v>1110150</v>
      </c>
      <c r="L108" s="35" t="s">
        <v>573</v>
      </c>
      <c r="M108" s="37" t="s">
        <v>574</v>
      </c>
    </row>
    <row r="109" spans="2:13" ht="19.899999999999999">
      <c r="B109" s="17" t="s">
        <v>167</v>
      </c>
      <c r="C109" s="31" t="s">
        <v>575</v>
      </c>
      <c r="D109" s="25" t="e">
        <f t="shared" si="1"/>
        <v>#N/A</v>
      </c>
      <c r="G109" s="35" t="s">
        <v>55</v>
      </c>
      <c r="H109" s="35" t="s">
        <v>27</v>
      </c>
      <c r="I109" s="35" t="s">
        <v>233</v>
      </c>
      <c r="J109" s="36">
        <v>45473</v>
      </c>
      <c r="K109" s="35">
        <v>1789863</v>
      </c>
      <c r="L109" s="35" t="s">
        <v>573</v>
      </c>
      <c r="M109" s="37" t="s">
        <v>576</v>
      </c>
    </row>
    <row r="110" spans="2:13" ht="19.899999999999999">
      <c r="B110" s="17" t="s">
        <v>168</v>
      </c>
      <c r="C110" s="31" t="s">
        <v>577</v>
      </c>
      <c r="D110" s="25" t="e">
        <f t="shared" si="1"/>
        <v>#N/A</v>
      </c>
      <c r="G110" s="35" t="s">
        <v>55</v>
      </c>
      <c r="H110" s="35" t="s">
        <v>12</v>
      </c>
      <c r="I110" s="35" t="s">
        <v>152</v>
      </c>
      <c r="J110" s="36">
        <v>45473</v>
      </c>
      <c r="K110" s="35">
        <v>1192</v>
      </c>
      <c r="L110" s="35" t="s">
        <v>573</v>
      </c>
      <c r="M110" s="38" t="s">
        <v>578</v>
      </c>
    </row>
    <row r="111" spans="2:13" ht="19.899999999999999" hidden="1">
      <c r="B111" s="17" t="s">
        <v>170</v>
      </c>
      <c r="C111" s="26" t="s">
        <v>459</v>
      </c>
      <c r="D111" s="25" t="str">
        <f t="shared" si="1"/>
        <v>cod_soc</v>
      </c>
      <c r="G111" s="35" t="s">
        <v>55</v>
      </c>
      <c r="H111" s="35" t="s">
        <v>12</v>
      </c>
      <c r="I111" s="35" t="s">
        <v>75</v>
      </c>
      <c r="J111" s="36">
        <v>45473</v>
      </c>
      <c r="K111" s="35">
        <v>976</v>
      </c>
      <c r="L111" s="35" t="s">
        <v>579</v>
      </c>
      <c r="M111" s="37" t="s">
        <v>580</v>
      </c>
    </row>
    <row r="112" spans="2:13" ht="19.899999999999999">
      <c r="B112" s="17" t="s">
        <v>169</v>
      </c>
      <c r="C112" s="26" t="s">
        <v>467</v>
      </c>
      <c r="D112" s="25" t="e">
        <f t="shared" si="1"/>
        <v>#N/A</v>
      </c>
      <c r="G112" s="35" t="s">
        <v>55</v>
      </c>
      <c r="H112" s="35" t="s">
        <v>12</v>
      </c>
      <c r="I112" s="35" t="s">
        <v>120</v>
      </c>
      <c r="J112" s="36">
        <v>45473</v>
      </c>
      <c r="K112" s="35">
        <v>363431</v>
      </c>
      <c r="L112" s="35" t="s">
        <v>579</v>
      </c>
      <c r="M112" s="35" t="s">
        <v>581</v>
      </c>
    </row>
    <row r="113" spans="2:13" ht="19.899999999999999">
      <c r="B113" s="17" t="s">
        <v>171</v>
      </c>
      <c r="C113" s="26" t="s">
        <v>468</v>
      </c>
      <c r="D113" s="25" t="e">
        <f t="shared" si="1"/>
        <v>#N/A</v>
      </c>
      <c r="G113" s="35" t="s">
        <v>55</v>
      </c>
      <c r="H113" s="35" t="s">
        <v>27</v>
      </c>
      <c r="I113" s="35" t="s">
        <v>173</v>
      </c>
      <c r="J113" s="36">
        <v>45473</v>
      </c>
      <c r="K113" s="35">
        <v>240</v>
      </c>
      <c r="L113" s="35" t="s">
        <v>579</v>
      </c>
      <c r="M113" s="35" t="s">
        <v>582</v>
      </c>
    </row>
    <row r="114" spans="2:13" ht="19.899999999999999">
      <c r="B114" s="17" t="s">
        <v>172</v>
      </c>
      <c r="C114" s="26" t="s">
        <v>583</v>
      </c>
      <c r="D114" s="25" t="e">
        <f t="shared" si="1"/>
        <v>#N/A</v>
      </c>
      <c r="G114" s="35" t="s">
        <v>55</v>
      </c>
      <c r="H114" s="35" t="s">
        <v>27</v>
      </c>
      <c r="I114" s="35" t="s">
        <v>206</v>
      </c>
      <c r="J114" s="36">
        <v>45473</v>
      </c>
      <c r="K114" s="35">
        <v>1130</v>
      </c>
      <c r="L114" s="35" t="s">
        <v>579</v>
      </c>
      <c r="M114" s="35" t="s">
        <v>584</v>
      </c>
    </row>
    <row r="115" spans="2:13" hidden="1">
      <c r="B115" s="17" t="s">
        <v>173</v>
      </c>
      <c r="C115" s="26" t="s">
        <v>585</v>
      </c>
      <c r="D115" s="25" t="str">
        <f t="shared" si="1"/>
        <v>jnt_lblty_amnt</v>
      </c>
    </row>
    <row r="116" spans="2:13" hidden="1">
      <c r="B116" s="17" t="s">
        <v>174</v>
      </c>
      <c r="C116" s="26" t="s">
        <v>586</v>
      </c>
      <c r="D116" s="25" t="str">
        <f t="shared" si="1"/>
        <v>mn_entty_id</v>
      </c>
    </row>
    <row r="117" spans="2:13" hidden="1">
      <c r="B117" s="17" t="s">
        <v>175</v>
      </c>
      <c r="C117" s="26" t="s">
        <v>587</v>
      </c>
      <c r="D117" s="25" t="str">
        <f t="shared" si="1"/>
        <v>accmltd_chngs_fv_cr_instrmnt</v>
      </c>
    </row>
    <row r="118" spans="2:13" hidden="1">
      <c r="B118" s="17" t="s">
        <v>176</v>
      </c>
      <c r="C118" s="26" t="s">
        <v>588</v>
      </c>
      <c r="D118" s="25" t="str">
        <f t="shared" si="1"/>
        <v>accmltd_imprmnt_instrmnt</v>
      </c>
    </row>
    <row r="119" spans="2:13" hidden="1">
      <c r="B119" s="17" t="s">
        <v>177</v>
      </c>
      <c r="C119" s="26" t="s">
        <v>589</v>
      </c>
      <c r="D119" s="25" t="str">
        <f t="shared" si="1"/>
        <v>cre_fnrp18</v>
      </c>
    </row>
    <row r="120" spans="2:13" hidden="1">
      <c r="B120" s="17" t="s">
        <v>178</v>
      </c>
      <c r="C120" s="26" t="s">
        <v>590</v>
      </c>
      <c r="D120" s="25" t="str">
        <f t="shared" si="1"/>
        <v>sme_fnrp18</v>
      </c>
    </row>
    <row r="121" spans="2:13" hidden="1">
      <c r="B121" s="17" t="s">
        <v>591</v>
      </c>
      <c r="C121" s="26" t="s">
        <v>592</v>
      </c>
      <c r="D121" s="25" t="str">
        <f t="shared" si="1"/>
        <v>rre_fnrp18</v>
      </c>
    </row>
    <row r="122" spans="2:13" hidden="1">
      <c r="B122" s="17" t="s">
        <v>179</v>
      </c>
      <c r="C122" s="26" t="s">
        <v>593</v>
      </c>
      <c r="D122" s="25" t="str">
        <f t="shared" si="1"/>
        <v>cnsmptn_fnrp18</v>
      </c>
    </row>
    <row r="123" spans="2:13" hidden="1">
      <c r="B123" s="17" t="s">
        <v>180</v>
      </c>
      <c r="C123" s="29" t="s">
        <v>594</v>
      </c>
      <c r="D123" s="25" t="str">
        <f t="shared" si="1"/>
        <v>accntng_clssfctn</v>
      </c>
    </row>
    <row r="124" spans="2:13" hidden="1">
      <c r="B124" s="17" t="s">
        <v>181</v>
      </c>
      <c r="C124" s="26" t="s">
        <v>595</v>
      </c>
      <c r="D124" s="25" t="str">
        <f t="shared" si="1"/>
        <v>cntrct_id</v>
      </c>
    </row>
    <row r="125" spans="2:13" hidden="1">
      <c r="B125" s="17" t="s">
        <v>64</v>
      </c>
      <c r="C125" s="26" t="s">
        <v>596</v>
      </c>
      <c r="D125" s="25" t="str">
        <f t="shared" si="1"/>
        <v>crrncy_dnmntn</v>
      </c>
    </row>
    <row r="126" spans="2:13" hidden="1">
      <c r="B126" s="17" t="s">
        <v>182</v>
      </c>
      <c r="C126" s="26" t="s">
        <v>597</v>
      </c>
      <c r="D126" s="25" t="str">
        <f t="shared" si="1"/>
        <v>dt_incptn</v>
      </c>
    </row>
    <row r="127" spans="2:13" hidden="1">
      <c r="B127" s="17" t="s">
        <v>183</v>
      </c>
      <c r="C127" s="26" t="s">
        <v>598</v>
      </c>
      <c r="D127" s="25" t="str">
        <f t="shared" si="1"/>
        <v>obsrvd_agnt_id</v>
      </c>
    </row>
    <row r="128" spans="2:13" hidden="1">
      <c r="B128" s="17" t="s">
        <v>184</v>
      </c>
      <c r="C128" s="26" t="s">
        <v>599</v>
      </c>
      <c r="D128" s="25" t="str">
        <f t="shared" si="1"/>
        <v>obsrvd_agnt_nm</v>
      </c>
    </row>
    <row r="129" spans="2:4" hidden="1">
      <c r="B129" s="17" t="s">
        <v>185</v>
      </c>
      <c r="C129" s="26" t="s">
        <v>600</v>
      </c>
      <c r="D129" s="25" t="str">
        <f t="shared" si="1"/>
        <v>prdct</v>
      </c>
    </row>
    <row r="130" spans="2:4" hidden="1">
      <c r="B130" s="17" t="s">
        <v>186</v>
      </c>
      <c r="C130" s="26" t="s">
        <v>601</v>
      </c>
      <c r="D130" s="25" t="str">
        <f t="shared" si="1"/>
        <v>brchd_cvnnts</v>
      </c>
    </row>
    <row r="131" spans="2:4" hidden="1">
      <c r="B131" s="17" t="s">
        <v>187</v>
      </c>
      <c r="C131" s="26" t="s">
        <v>602</v>
      </c>
      <c r="D131" s="25" t="str">
        <f t="shared" ref="D131:D194" si="2">VLOOKUP(C131,B:B,1,0)</f>
        <v>chnnl_orgntn</v>
      </c>
    </row>
    <row r="132" spans="2:4" hidden="1">
      <c r="B132" s="17" t="s">
        <v>188</v>
      </c>
      <c r="C132" s="28" t="s">
        <v>603</v>
      </c>
      <c r="D132" s="25" t="str">
        <f t="shared" si="2"/>
        <v>csh_swp_trp</v>
      </c>
    </row>
    <row r="133" spans="2:4" hidden="1">
      <c r="B133" s="17" t="s">
        <v>189</v>
      </c>
      <c r="C133" s="26" t="s">
        <v>604</v>
      </c>
      <c r="D133" s="25" t="str">
        <f t="shared" si="2"/>
        <v>cvnnt_stts</v>
      </c>
    </row>
    <row r="134" spans="2:4" hidden="1">
      <c r="B134" s="17" t="s">
        <v>190</v>
      </c>
      <c r="C134" s="26" t="s">
        <v>605</v>
      </c>
      <c r="D134" s="25" t="str">
        <f t="shared" si="2"/>
        <v>cvnnt_typ</v>
      </c>
    </row>
    <row r="135" spans="2:4" hidden="1">
      <c r="B135" s="17" t="s">
        <v>191</v>
      </c>
      <c r="C135" s="26" t="s">
        <v>606</v>
      </c>
      <c r="D135" s="25" t="str">
        <f t="shared" si="2"/>
        <v>dt_dflt_stts_instrmnt</v>
      </c>
    </row>
    <row r="136" spans="2:4" hidden="1">
      <c r="B136" s="17" t="s">
        <v>192</v>
      </c>
      <c r="C136" s="26" t="s">
        <v>607</v>
      </c>
      <c r="D136" s="25" t="str">
        <f t="shared" si="2"/>
        <v>dt_end_gp_ppal</v>
      </c>
    </row>
    <row r="137" spans="2:4" hidden="1">
      <c r="B137" s="17" t="s">
        <v>193</v>
      </c>
      <c r="C137" s="26" t="s">
        <v>608</v>
      </c>
      <c r="D137" s="25" t="str">
        <f t="shared" si="2"/>
        <v>dt_end_intrst_only</v>
      </c>
    </row>
    <row r="138" spans="2:4" hidden="1">
      <c r="B138" s="17" t="s">
        <v>199</v>
      </c>
      <c r="C138" s="26" t="s">
        <v>609</v>
      </c>
      <c r="D138" s="25" t="str">
        <f t="shared" si="2"/>
        <v>dt_frbrnc_stts</v>
      </c>
    </row>
    <row r="139" spans="2:4" hidden="1">
      <c r="B139" s="17" t="s">
        <v>194</v>
      </c>
      <c r="C139" s="26" t="s">
        <v>610</v>
      </c>
      <c r="D139" s="25" t="str">
        <f t="shared" si="2"/>
        <v>dt_frbrnc_stts_prvs</v>
      </c>
    </row>
    <row r="140" spans="2:4" hidden="1">
      <c r="B140" s="17" t="s">
        <v>195</v>
      </c>
      <c r="C140" s="26" t="s">
        <v>481</v>
      </c>
      <c r="D140" s="25" t="str">
        <f t="shared" si="2"/>
        <v>dt_intrnl_rtng</v>
      </c>
    </row>
    <row r="141" spans="2:4" hidden="1">
      <c r="B141" s="17" t="s">
        <v>196</v>
      </c>
      <c r="C141" s="26" t="s">
        <v>611</v>
      </c>
      <c r="D141" s="25" t="str">
        <f t="shared" si="2"/>
        <v>dt_prfrmng_stts</v>
      </c>
    </row>
    <row r="142" spans="2:4" hidden="1">
      <c r="B142" s="17" t="s">
        <v>197</v>
      </c>
      <c r="C142" s="26" t="s">
        <v>612</v>
      </c>
      <c r="D142" s="25" t="str">
        <f t="shared" si="2"/>
        <v>dt_prfrmng_stts_prvs</v>
      </c>
    </row>
    <row r="143" spans="2:4" hidden="1">
      <c r="B143" s="17" t="s">
        <v>198</v>
      </c>
      <c r="C143" s="26" t="s">
        <v>613</v>
      </c>
      <c r="D143" s="25" t="str">
        <f t="shared" si="2"/>
        <v>dt_strt_intrst_only</v>
      </c>
    </row>
    <row r="144" spans="2:4" hidden="1">
      <c r="B144" s="17" t="s">
        <v>200</v>
      </c>
      <c r="C144" s="26" t="s">
        <v>614</v>
      </c>
      <c r="D144" s="25" t="str">
        <f t="shared" si="2"/>
        <v>expsr_in_scp</v>
      </c>
    </row>
    <row r="145" spans="2:4" hidden="1">
      <c r="B145" s="17" t="s">
        <v>201</v>
      </c>
      <c r="C145" s="26" t="s">
        <v>615</v>
      </c>
      <c r="D145" s="25" t="str">
        <f t="shared" si="2"/>
        <v>fld_syndctn</v>
      </c>
    </row>
    <row r="146" spans="2:4" hidden="1">
      <c r="B146" s="17" t="s">
        <v>202</v>
      </c>
      <c r="C146" s="26" t="s">
        <v>616</v>
      </c>
      <c r="D146" s="25" t="str">
        <f t="shared" si="2"/>
        <v>flg_lbo</v>
      </c>
    </row>
    <row r="147" spans="2:4" hidden="1">
      <c r="B147" s="17" t="s">
        <v>204</v>
      </c>
      <c r="C147" s="26" t="s">
        <v>617</v>
      </c>
      <c r="D147" s="25" t="str">
        <f t="shared" si="2"/>
        <v>frbrnc_stts_instrmnt</v>
      </c>
    </row>
    <row r="148" spans="2:4" hidden="1">
      <c r="B148" s="17" t="s">
        <v>205</v>
      </c>
      <c r="C148" s="26" t="s">
        <v>618</v>
      </c>
      <c r="D148" s="25" t="str">
        <f t="shared" si="2"/>
        <v>imprmnt_stts_prvs</v>
      </c>
    </row>
    <row r="149" spans="2:4" hidden="1">
      <c r="B149" s="17" t="s">
        <v>206</v>
      </c>
      <c r="C149" s="26" t="s">
        <v>497</v>
      </c>
      <c r="D149" s="25" t="str">
        <f t="shared" si="2"/>
        <v>intrnl_rtng</v>
      </c>
    </row>
    <row r="150" spans="2:4" hidden="1">
      <c r="B150" s="17" t="s">
        <v>207</v>
      </c>
      <c r="C150" s="26" t="s">
        <v>619</v>
      </c>
      <c r="D150" s="25" t="str">
        <f t="shared" si="2"/>
        <v>intrnl_rtng_incptn</v>
      </c>
    </row>
    <row r="151" spans="2:4" hidden="1">
      <c r="B151" s="17" t="s">
        <v>208</v>
      </c>
      <c r="C151" s="26" t="s">
        <v>471</v>
      </c>
      <c r="D151" s="25" t="str">
        <f t="shared" si="2"/>
        <v>intrnl_sgmnt</v>
      </c>
    </row>
    <row r="152" spans="2:4" hidden="1">
      <c r="B152" s="17" t="s">
        <v>209</v>
      </c>
      <c r="C152" s="26" t="s">
        <v>472</v>
      </c>
      <c r="D152" s="25" t="str">
        <f t="shared" si="2"/>
        <v>intrnl_unt</v>
      </c>
    </row>
    <row r="153" spans="2:4" hidden="1">
      <c r="B153" s="17" t="s">
        <v>210</v>
      </c>
      <c r="C153" s="26" t="s">
        <v>620</v>
      </c>
      <c r="D153" s="25" t="str">
        <f t="shared" si="2"/>
        <v>lcre</v>
      </c>
    </row>
    <row r="154" spans="2:4" hidden="1">
      <c r="B154" s="17" t="s">
        <v>245</v>
      </c>
      <c r="C154" s="26" t="s">
        <v>621</v>
      </c>
      <c r="D154" s="25" t="str">
        <f t="shared" si="2"/>
        <v>lgl_prcdng_stts</v>
      </c>
    </row>
    <row r="155" spans="2:4" hidden="1">
      <c r="B155" s="17" t="s">
        <v>211</v>
      </c>
      <c r="C155" s="26" t="s">
        <v>622</v>
      </c>
      <c r="D155" s="25" t="str">
        <f t="shared" si="2"/>
        <v>lnd_drgtn</v>
      </c>
    </row>
    <row r="156" spans="2:4" hidden="1">
      <c r="B156" s="17" t="s">
        <v>212</v>
      </c>
      <c r="C156" s="26" t="s">
        <v>623</v>
      </c>
      <c r="D156" s="25" t="str">
        <f t="shared" si="2"/>
        <v>poci</v>
      </c>
    </row>
    <row r="157" spans="2:4" hidden="1">
      <c r="B157" s="17" t="s">
        <v>213</v>
      </c>
      <c r="C157" s="26" t="s">
        <v>624</v>
      </c>
      <c r="D157" s="25" t="str">
        <f t="shared" si="2"/>
        <v>prfrmng_stts_prvs</v>
      </c>
    </row>
    <row r="158" spans="2:4" hidden="1">
      <c r="B158" s="17" t="s">
        <v>214</v>
      </c>
      <c r="C158" s="26" t="s">
        <v>625</v>
      </c>
      <c r="D158" s="25" t="str">
        <f t="shared" si="2"/>
        <v>prjct_fnnc_ln</v>
      </c>
    </row>
    <row r="159" spans="2:4" hidden="1">
      <c r="B159" s="17" t="s">
        <v>215</v>
      </c>
      <c r="C159" s="26" t="s">
        <v>626</v>
      </c>
      <c r="D159" s="25" t="str">
        <f t="shared" si="2"/>
        <v>prps</v>
      </c>
    </row>
    <row r="160" spans="2:4" hidden="1">
      <c r="B160" s="17" t="s">
        <v>216</v>
      </c>
      <c r="C160" s="26" t="s">
        <v>627</v>
      </c>
      <c r="D160" s="25" t="str">
        <f t="shared" si="2"/>
        <v>pymnt_intrst_only</v>
      </c>
    </row>
    <row r="161" spans="2:4" hidden="1">
      <c r="B161" s="17" t="s">
        <v>217</v>
      </c>
      <c r="C161" s="26" t="s">
        <v>628</v>
      </c>
      <c r="D161" s="25" t="str">
        <f t="shared" si="2"/>
        <v>rcrs</v>
      </c>
    </row>
    <row r="162" spans="2:4" hidden="1">
      <c r="B162" s="17" t="s">
        <v>79</v>
      </c>
      <c r="C162" s="26" t="s">
        <v>629</v>
      </c>
      <c r="D162" s="25" t="str">
        <f t="shared" si="2"/>
        <v>rfnnc_prps</v>
      </c>
    </row>
    <row r="163" spans="2:4" hidden="1">
      <c r="B163" s="17" t="s">
        <v>326</v>
      </c>
      <c r="C163" s="26" t="s">
        <v>630</v>
      </c>
      <c r="D163" s="25" t="str">
        <f t="shared" si="2"/>
        <v>spcltv_lndng</v>
      </c>
    </row>
    <row r="164" spans="2:4" hidden="1">
      <c r="B164" s="17" t="s">
        <v>220</v>
      </c>
      <c r="C164" s="26" t="s">
        <v>631</v>
      </c>
      <c r="D164" s="25" t="str">
        <f t="shared" si="2"/>
        <v>stts_undrwrttn_trnsctn</v>
      </c>
    </row>
    <row r="165" spans="2:4" hidden="1">
      <c r="B165" s="17" t="s">
        <v>221</v>
      </c>
      <c r="C165" s="26" t="s">
        <v>632</v>
      </c>
      <c r="D165" s="25" t="str">
        <f t="shared" si="2"/>
        <v>trnch</v>
      </c>
    </row>
    <row r="166" spans="2:4" hidden="1">
      <c r="B166" s="17" t="s">
        <v>222</v>
      </c>
      <c r="C166" s="26" t="s">
        <v>633</v>
      </c>
      <c r="D166" s="25" t="str">
        <f t="shared" si="2"/>
        <v>typ_amrtstn</v>
      </c>
    </row>
    <row r="167" spans="2:4" hidden="1">
      <c r="B167" s="17" t="s">
        <v>350</v>
      </c>
      <c r="C167" s="26" t="s">
        <v>634</v>
      </c>
      <c r="D167" s="25" t="str">
        <f t="shared" si="2"/>
        <v>typ_intrst_rt</v>
      </c>
    </row>
    <row r="168" spans="2:4" hidden="1">
      <c r="B168" s="17" t="s">
        <v>223</v>
      </c>
      <c r="C168" s="26" t="s">
        <v>635</v>
      </c>
      <c r="D168" s="25" t="str">
        <f t="shared" si="2"/>
        <v>typ_mrtgg</v>
      </c>
    </row>
    <row r="169" spans="2:4" hidden="1">
      <c r="B169" s="17" t="s">
        <v>224</v>
      </c>
      <c r="C169" s="26" t="s">
        <v>636</v>
      </c>
      <c r="D169" s="25" t="str">
        <f t="shared" si="2"/>
        <v>typ_cre_oprtn</v>
      </c>
    </row>
    <row r="170" spans="2:4" hidden="1">
      <c r="B170" s="17" t="s">
        <v>225</v>
      </c>
      <c r="C170" s="26" t="s">
        <v>637</v>
      </c>
      <c r="D170" s="25" t="str">
        <f t="shared" si="2"/>
        <v>dt_strt_gp_ppal</v>
      </c>
    </row>
    <row r="171" spans="2:4" hidden="1">
      <c r="B171" s="17" t="s">
        <v>226</v>
      </c>
      <c r="C171" s="26" t="s">
        <v>638</v>
      </c>
      <c r="D171" s="25" t="str">
        <f t="shared" si="2"/>
        <v>ccf</v>
      </c>
    </row>
    <row r="172" spans="2:4" hidden="1">
      <c r="B172" s="17" t="s">
        <v>227</v>
      </c>
      <c r="C172" s="26" t="s">
        <v>459</v>
      </c>
      <c r="D172" s="25" t="str">
        <f t="shared" si="2"/>
        <v>cod_soc</v>
      </c>
    </row>
    <row r="173" spans="2:4" hidden="1">
      <c r="B173" s="17" t="s">
        <v>228</v>
      </c>
      <c r="C173" s="26" t="s">
        <v>639</v>
      </c>
      <c r="D173" s="25" t="str">
        <f t="shared" si="2"/>
        <v>accrd_intrst_instrmnt</v>
      </c>
    </row>
    <row r="174" spans="2:4" hidden="1">
      <c r="B174" s="17" t="s">
        <v>229</v>
      </c>
      <c r="C174" s="26" t="s">
        <v>640</v>
      </c>
      <c r="D174" s="25" t="str">
        <f t="shared" si="2"/>
        <v>amnt_d_at_mtrty</v>
      </c>
    </row>
    <row r="175" spans="2:4" hidden="1">
      <c r="B175" s="17" t="s">
        <v>230</v>
      </c>
      <c r="C175" s="26" t="s">
        <v>641</v>
      </c>
      <c r="D175" s="25" t="str">
        <f t="shared" si="2"/>
        <v>cmmtmnt_incptn_instrmnt</v>
      </c>
    </row>
    <row r="176" spans="2:4" hidden="1">
      <c r="B176" s="17" t="s">
        <v>231</v>
      </c>
      <c r="C176" s="26" t="s">
        <v>642</v>
      </c>
      <c r="D176" s="25" t="str">
        <f t="shared" si="2"/>
        <v>cmmtmnt_instrmnt</v>
      </c>
    </row>
    <row r="177" spans="2:4" hidden="1">
      <c r="B177" s="17" t="s">
        <v>233</v>
      </c>
      <c r="C177" s="26" t="s">
        <v>643</v>
      </c>
      <c r="D177" s="25" t="str">
        <f t="shared" si="2"/>
        <v>crryng_amnt_instrmnt</v>
      </c>
    </row>
    <row r="178" spans="2:4" hidden="1">
      <c r="B178" s="17" t="s">
        <v>234</v>
      </c>
      <c r="C178" s="26" t="s">
        <v>644</v>
      </c>
      <c r="D178" s="25" t="str">
        <f t="shared" si="2"/>
        <v>dbt_yld</v>
      </c>
    </row>
    <row r="179" spans="2:4" hidden="1">
      <c r="B179" s="17" t="s">
        <v>235</v>
      </c>
      <c r="C179" s="26" t="s">
        <v>645</v>
      </c>
      <c r="D179" s="25" t="str">
        <f t="shared" si="2"/>
        <v>dt_lgl_fnl_mtrty</v>
      </c>
    </row>
    <row r="180" spans="2:4" hidden="1">
      <c r="B180" s="17" t="s">
        <v>236</v>
      </c>
      <c r="C180" s="26" t="s">
        <v>646</v>
      </c>
      <c r="D180" s="25" t="str">
        <f t="shared" si="2"/>
        <v>dt_nxt_intrst_rt_rst</v>
      </c>
    </row>
    <row r="181" spans="2:4" hidden="1">
      <c r="B181" s="17" t="s">
        <v>237</v>
      </c>
      <c r="C181" s="26" t="s">
        <v>647</v>
      </c>
      <c r="D181" s="25" t="str">
        <f t="shared" si="2"/>
        <v>dt_orgnl_mtrty</v>
      </c>
    </row>
    <row r="182" spans="2:4" hidden="1">
      <c r="B182" s="17" t="s">
        <v>238</v>
      </c>
      <c r="C182" s="26" t="s">
        <v>648</v>
      </c>
      <c r="D182" s="25" t="str">
        <f t="shared" si="2"/>
        <v>ifrs9_bhvrl_mtrty</v>
      </c>
    </row>
    <row r="183" spans="2:4" hidden="1">
      <c r="B183" s="17" t="s">
        <v>239</v>
      </c>
      <c r="C183" s="26" t="s">
        <v>649</v>
      </c>
      <c r="D183" s="25" t="str">
        <f t="shared" si="2"/>
        <v>cod_soc_intrgrp</v>
      </c>
    </row>
    <row r="184" spans="2:4" hidden="1">
      <c r="B184" s="17" t="s">
        <v>240</v>
      </c>
      <c r="C184" s="26" t="s">
        <v>650</v>
      </c>
      <c r="D184" s="25" t="str">
        <f t="shared" si="2"/>
        <v>ifrs9_ccf</v>
      </c>
    </row>
    <row r="185" spans="2:4" hidden="1">
      <c r="B185" s="17" t="s">
        <v>241</v>
      </c>
      <c r="C185" s="26" t="s">
        <v>651</v>
      </c>
      <c r="D185" s="25" t="str">
        <f t="shared" si="2"/>
        <v>ifrs9_ead</v>
      </c>
    </row>
    <row r="186" spans="2:4" hidden="1">
      <c r="B186" s="17" t="s">
        <v>242</v>
      </c>
      <c r="C186" s="26" t="s">
        <v>652</v>
      </c>
      <c r="D186" s="25" t="str">
        <f t="shared" si="2"/>
        <v>instlmnt_pay</v>
      </c>
    </row>
    <row r="187" spans="2:4" hidden="1">
      <c r="B187" s="17" t="s">
        <v>243</v>
      </c>
      <c r="C187" s="29" t="s">
        <v>653</v>
      </c>
      <c r="D187" s="25" t="str">
        <f t="shared" si="2"/>
        <v>dflt_stts_instrmnt</v>
      </c>
    </row>
    <row r="188" spans="2:4" hidden="1">
      <c r="B188" s="17" t="s">
        <v>244</v>
      </c>
      <c r="C188" s="26" t="s">
        <v>654</v>
      </c>
      <c r="D188" s="25" t="str">
        <f t="shared" si="2"/>
        <v>off_blnc_sht_amnt_instrmnt_prvs</v>
      </c>
    </row>
    <row r="189" spans="2:4" hidden="1">
      <c r="B189" s="17" t="s">
        <v>246</v>
      </c>
      <c r="C189" s="26" t="s">
        <v>655</v>
      </c>
      <c r="D189" s="25" t="str">
        <f t="shared" si="2"/>
        <v>otstndng_nmnl_amnt_instrmnt</v>
      </c>
    </row>
    <row r="190" spans="2:4" hidden="1">
      <c r="B190" s="17" t="s">
        <v>247</v>
      </c>
      <c r="C190" s="26" t="s">
        <v>656</v>
      </c>
      <c r="D190" s="25" t="str">
        <f t="shared" si="2"/>
        <v>otstndng_nmnl_amnt_instrmnt_prvs</v>
      </c>
    </row>
    <row r="191" spans="2:4">
      <c r="B191" s="17" t="s">
        <v>248</v>
      </c>
      <c r="C191" s="26" t="s">
        <v>467</v>
      </c>
      <c r="D191" s="25" t="e">
        <f t="shared" si="2"/>
        <v>#N/A</v>
      </c>
    </row>
    <row r="192" spans="2:4" hidden="1">
      <c r="B192" s="17" t="s">
        <v>249</v>
      </c>
      <c r="C192" s="26" t="s">
        <v>657</v>
      </c>
      <c r="D192" s="25" t="str">
        <f t="shared" si="2"/>
        <v>pymnt_frqncy</v>
      </c>
    </row>
    <row r="193" spans="2:4" hidden="1">
      <c r="B193" s="17" t="s">
        <v>250</v>
      </c>
      <c r="C193" s="26" t="s">
        <v>658</v>
      </c>
      <c r="D193" s="25" t="str">
        <f t="shared" si="2"/>
        <v>rtntn_shr</v>
      </c>
    </row>
    <row r="194" spans="2:4" hidden="1">
      <c r="B194" s="17" t="s">
        <v>251</v>
      </c>
      <c r="C194" s="26" t="s">
        <v>659</v>
      </c>
      <c r="D194" s="25" t="str">
        <f t="shared" si="2"/>
        <v>ead</v>
      </c>
    </row>
    <row r="195" spans="2:4" hidden="1">
      <c r="B195" s="17" t="s">
        <v>252</v>
      </c>
      <c r="C195" s="26" t="s">
        <v>660</v>
      </c>
      <c r="D195" s="25" t="str">
        <f t="shared" ref="D195:D258" si="3">VLOOKUP(C195,B:B,1,0)</f>
        <v>rwa_mthd</v>
      </c>
    </row>
    <row r="196" spans="2:4" hidden="1">
      <c r="B196" s="17" t="s">
        <v>253</v>
      </c>
      <c r="C196" s="26" t="s">
        <v>661</v>
      </c>
      <c r="D196" s="25" t="str">
        <f t="shared" si="3"/>
        <v>spnsr_nm</v>
      </c>
    </row>
    <row r="197" spans="2:4" hidden="1">
      <c r="B197" s="17" t="s">
        <v>254</v>
      </c>
      <c r="C197" s="26" t="s">
        <v>662</v>
      </c>
      <c r="D197" s="25" t="str">
        <f t="shared" si="3"/>
        <v>accmltd_imprmnt_instrmnt_prvs</v>
      </c>
    </row>
    <row r="198" spans="2:4" hidden="1">
      <c r="B198" s="17" t="s">
        <v>255</v>
      </c>
      <c r="C198" s="26" t="s">
        <v>663</v>
      </c>
      <c r="D198" s="25" t="str">
        <f t="shared" si="3"/>
        <v>accmltd_wrtffs_instrmnt</v>
      </c>
    </row>
    <row r="199" spans="2:4" hidden="1">
      <c r="B199" s="17" t="s">
        <v>121</v>
      </c>
      <c r="C199" s="26" t="s">
        <v>664</v>
      </c>
      <c r="D199" s="25" t="str">
        <f t="shared" si="3"/>
        <v>arrrs_instrmnt</v>
      </c>
    </row>
    <row r="200" spans="2:4" hidden="1">
      <c r="B200" s="17" t="s">
        <v>256</v>
      </c>
      <c r="C200" s="26" t="s">
        <v>665</v>
      </c>
      <c r="D200" s="25" t="str">
        <f t="shared" si="3"/>
        <v>arrrs_instrmnt_12m</v>
      </c>
    </row>
    <row r="201" spans="2:4" hidden="1">
      <c r="B201" s="17" t="s">
        <v>123</v>
      </c>
      <c r="C201" s="26" t="s">
        <v>666</v>
      </c>
      <c r="D201" s="25" t="str">
        <f t="shared" si="3"/>
        <v>cmltv_rcvrs_snc_dflt_instrmnt</v>
      </c>
    </row>
    <row r="202" spans="2:4" hidden="1">
      <c r="B202" s="17" t="s">
        <v>257</v>
      </c>
      <c r="C202" s="26" t="s">
        <v>667</v>
      </c>
      <c r="D202" s="25" t="str">
        <f t="shared" si="3"/>
        <v>dpd</v>
      </c>
    </row>
    <row r="203" spans="2:4" hidden="1">
      <c r="B203" s="17" t="s">
        <v>258</v>
      </c>
      <c r="C203" s="26" t="s">
        <v>668</v>
      </c>
      <c r="D203" s="25" t="str">
        <f t="shared" si="3"/>
        <v>dpd_12m</v>
      </c>
    </row>
    <row r="204" spans="2:4" hidden="1">
      <c r="B204" s="17" t="s">
        <v>259</v>
      </c>
      <c r="C204" s="26" t="s">
        <v>669</v>
      </c>
      <c r="D204" s="25" t="str">
        <f t="shared" si="3"/>
        <v>dpd_12m_frbrnc_stts</v>
      </c>
    </row>
    <row r="205" spans="2:4" hidden="1">
      <c r="B205" s="17" t="s">
        <v>124</v>
      </c>
      <c r="C205" s="26" t="s">
        <v>670</v>
      </c>
      <c r="D205" s="25" t="str">
        <f t="shared" si="3"/>
        <v>dpd_12m_prfrmng_stts</v>
      </c>
    </row>
    <row r="206" spans="2:4" hidden="1">
      <c r="B206" s="17" t="s">
        <v>260</v>
      </c>
      <c r="C206" s="26" t="s">
        <v>671</v>
      </c>
      <c r="D206" s="25" t="str">
        <f t="shared" si="3"/>
        <v>dpd_24m_frbrnc_stts</v>
      </c>
    </row>
    <row r="207" spans="2:4" hidden="1">
      <c r="B207" s="17" t="s">
        <v>261</v>
      </c>
      <c r="C207" s="26" t="s">
        <v>672</v>
      </c>
      <c r="D207" s="25" t="str">
        <f t="shared" si="3"/>
        <v>dpd_24m_prfrmng_stts</v>
      </c>
    </row>
    <row r="208" spans="2:4" hidden="1">
      <c r="B208" s="17" t="s">
        <v>262</v>
      </c>
      <c r="C208" s="26" t="s">
        <v>673</v>
      </c>
      <c r="D208" s="25" t="str">
        <f t="shared" si="3"/>
        <v>dpd_frbrnc_stts</v>
      </c>
    </row>
    <row r="209" spans="2:4" hidden="1">
      <c r="B209" s="17" t="s">
        <v>263</v>
      </c>
      <c r="C209" s="26" t="s">
        <v>674</v>
      </c>
      <c r="D209" s="25" t="str">
        <f t="shared" si="3"/>
        <v>dpd_prfrmng_stts</v>
      </c>
    </row>
    <row r="210" spans="2:4" hidden="1">
      <c r="B210" s="17" t="s">
        <v>264</v>
      </c>
      <c r="C210" s="26" t="s">
        <v>675</v>
      </c>
      <c r="D210" s="25" t="str">
        <f t="shared" si="3"/>
        <v>dt_imprmnt_stts</v>
      </c>
    </row>
    <row r="211" spans="2:4" hidden="1">
      <c r="B211" s="17" t="s">
        <v>265</v>
      </c>
      <c r="C211" s="26" t="s">
        <v>676</v>
      </c>
      <c r="D211" s="25" t="str">
        <f t="shared" si="3"/>
        <v>dt_imprmnt_stts_prvs</v>
      </c>
    </row>
    <row r="212" spans="2:4" hidden="1">
      <c r="B212" s="17" t="s">
        <v>266</v>
      </c>
      <c r="C212" s="26" t="s">
        <v>677</v>
      </c>
      <c r="D212" s="25" t="str">
        <f t="shared" si="3"/>
        <v>dt_pst_d</v>
      </c>
    </row>
    <row r="213" spans="2:4" hidden="1">
      <c r="B213" s="17" t="s">
        <v>267</v>
      </c>
      <c r="C213" s="26" t="s">
        <v>678</v>
      </c>
      <c r="D213" s="25" t="str">
        <f t="shared" si="3"/>
        <v>imprmnt_assssmnt_mthd</v>
      </c>
    </row>
    <row r="214" spans="2:4" hidden="1">
      <c r="B214" s="17" t="s">
        <v>268</v>
      </c>
      <c r="C214" s="26" t="s">
        <v>679</v>
      </c>
      <c r="D214" s="25" t="str">
        <f t="shared" si="3"/>
        <v>imprmnt_clcltn_mthd</v>
      </c>
    </row>
    <row r="215" spans="2:4" hidden="1">
      <c r="B215" s="17" t="s">
        <v>269</v>
      </c>
      <c r="C215" s="26" t="s">
        <v>680</v>
      </c>
      <c r="D215" s="25" t="str">
        <f t="shared" si="3"/>
        <v>nmbr_frbrnc_msrs</v>
      </c>
    </row>
    <row r="216" spans="2:4" hidden="1">
      <c r="B216" s="17" t="s">
        <v>270</v>
      </c>
      <c r="C216" s="26" t="s">
        <v>681</v>
      </c>
      <c r="D216" s="25" t="str">
        <f t="shared" si="3"/>
        <v>ifrs9_lgd</v>
      </c>
    </row>
    <row r="217" spans="2:4" hidden="1">
      <c r="B217" s="17" t="s">
        <v>271</v>
      </c>
      <c r="C217" s="26" t="s">
        <v>682</v>
      </c>
      <c r="D217" s="25" t="str">
        <f t="shared" si="3"/>
        <v>lgd</v>
      </c>
    </row>
    <row r="218" spans="2:4" hidden="1">
      <c r="B218" s="17" t="s">
        <v>272</v>
      </c>
      <c r="C218" s="26" t="s">
        <v>683</v>
      </c>
      <c r="D218" s="25" t="str">
        <f t="shared" si="3"/>
        <v>ltv</v>
      </c>
    </row>
    <row r="219" spans="2:4" hidden="1">
      <c r="B219" s="17" t="s">
        <v>273</v>
      </c>
      <c r="C219" s="26" t="s">
        <v>684</v>
      </c>
      <c r="D219" s="25" t="str">
        <f t="shared" si="3"/>
        <v>ltv_incptn</v>
      </c>
    </row>
    <row r="220" spans="2:4" hidden="1">
      <c r="B220" s="17" t="s">
        <v>274</v>
      </c>
      <c r="C220" s="26" t="s">
        <v>685</v>
      </c>
      <c r="D220" s="25" t="str">
        <f t="shared" si="3"/>
        <v>ltv_npe</v>
      </c>
    </row>
    <row r="221" spans="2:4" hidden="1">
      <c r="B221" s="17" t="s">
        <v>275</v>
      </c>
      <c r="C221" s="26" t="s">
        <v>686</v>
      </c>
      <c r="D221" s="25" t="str">
        <f t="shared" si="3"/>
        <v>pd_crr_incptn</v>
      </c>
    </row>
    <row r="222" spans="2:4" hidden="1">
      <c r="B222" s="17" t="s">
        <v>276</v>
      </c>
      <c r="C222" s="26" t="s">
        <v>540</v>
      </c>
      <c r="D222" s="25" t="str">
        <f t="shared" si="3"/>
        <v>pd_crr_rd</v>
      </c>
    </row>
    <row r="223" spans="2:4" hidden="1">
      <c r="B223" s="17" t="s">
        <v>277</v>
      </c>
      <c r="C223" s="26" t="s">
        <v>547</v>
      </c>
      <c r="D223" s="25" t="str">
        <f t="shared" si="3"/>
        <v>pd_crr_rd_t1</v>
      </c>
    </row>
    <row r="224" spans="2:4" hidden="1">
      <c r="B224" s="17" t="s">
        <v>278</v>
      </c>
      <c r="C224" s="26" t="s">
        <v>687</v>
      </c>
      <c r="D224" s="25" t="str">
        <f t="shared" si="3"/>
        <v>pd_ifrs9_12m_incptn</v>
      </c>
    </row>
    <row r="225" spans="2:4" hidden="1">
      <c r="B225" s="17" t="s">
        <v>279</v>
      </c>
      <c r="C225" s="26" t="s">
        <v>541</v>
      </c>
      <c r="D225" s="25" t="str">
        <f t="shared" si="3"/>
        <v>pd_ifrs9_12m_rd</v>
      </c>
    </row>
    <row r="226" spans="2:4" hidden="1">
      <c r="B226" s="17" t="s">
        <v>280</v>
      </c>
      <c r="C226" s="26" t="s">
        <v>542</v>
      </c>
      <c r="D226" s="25" t="str">
        <f t="shared" si="3"/>
        <v>pd_ifrs9_12m_rd_t1</v>
      </c>
    </row>
    <row r="227" spans="2:4" hidden="1">
      <c r="B227" s="17" t="s">
        <v>281</v>
      </c>
      <c r="C227" s="26" t="s">
        <v>688</v>
      </c>
      <c r="D227" s="25" t="str">
        <f t="shared" si="3"/>
        <v>pd_ifrs9_lftm_incptn</v>
      </c>
    </row>
    <row r="228" spans="2:4" hidden="1">
      <c r="B228" s="17" t="s">
        <v>282</v>
      </c>
      <c r="C228" s="26" t="s">
        <v>689</v>
      </c>
      <c r="D228" s="25" t="str">
        <f t="shared" si="3"/>
        <v>pd_ifrs9_rmnng_lftm_incptn</v>
      </c>
    </row>
    <row r="229" spans="2:4" hidden="1">
      <c r="B229" s="17" t="s">
        <v>283</v>
      </c>
      <c r="C229" s="26" t="s">
        <v>690</v>
      </c>
      <c r="D229" s="25" t="str">
        <f t="shared" si="3"/>
        <v>pd_ifrs9_rmnng_lftm_rd</v>
      </c>
    </row>
    <row r="230" spans="2:4" hidden="1">
      <c r="B230" s="17" t="s">
        <v>284</v>
      </c>
      <c r="C230" s="26" t="s">
        <v>502</v>
      </c>
      <c r="D230" s="25" t="str">
        <f t="shared" si="3"/>
        <v>rtng_mthd</v>
      </c>
    </row>
    <row r="231" spans="2:4" hidden="1">
      <c r="B231" s="17" t="s">
        <v>285</v>
      </c>
      <c r="C231" s="26" t="s">
        <v>503</v>
      </c>
      <c r="D231" s="25" t="str">
        <f t="shared" si="3"/>
        <v>rtng_scl</v>
      </c>
    </row>
    <row r="232" spans="2:4" hidden="1">
      <c r="B232" s="17" t="s">
        <v>323</v>
      </c>
      <c r="C232" s="26" t="s">
        <v>691</v>
      </c>
      <c r="D232" s="25" t="str">
        <f t="shared" si="3"/>
        <v>sicr_assssmnt_mthd</v>
      </c>
    </row>
    <row r="233" spans="2:4" hidden="1">
      <c r="B233" s="17" t="s">
        <v>286</v>
      </c>
      <c r="C233" s="26" t="s">
        <v>692</v>
      </c>
      <c r="D233" s="25" t="str">
        <f t="shared" si="3"/>
        <v>annlsd_agrd_rt</v>
      </c>
    </row>
    <row r="234" spans="2:4" hidden="1">
      <c r="B234" s="17" t="s">
        <v>287</v>
      </c>
      <c r="C234" s="26" t="s">
        <v>693</v>
      </c>
      <c r="D234" s="25" t="str">
        <f t="shared" si="3"/>
        <v>eir</v>
      </c>
    </row>
    <row r="235" spans="2:4" hidden="1">
      <c r="B235" s="17" t="s">
        <v>288</v>
      </c>
      <c r="C235" s="26" t="s">
        <v>694</v>
      </c>
      <c r="D235" s="25" t="str">
        <f t="shared" si="3"/>
        <v>eir_incptn</v>
      </c>
    </row>
    <row r="236" spans="2:4" hidden="1">
      <c r="B236" s="17" t="s">
        <v>289</v>
      </c>
      <c r="C236" s="26" t="s">
        <v>695</v>
      </c>
      <c r="D236" s="25" t="str">
        <f t="shared" si="3"/>
        <v>intrst_rt_rst_frqncy</v>
      </c>
    </row>
    <row r="237" spans="2:4" hidden="1">
      <c r="B237" s="17" t="s">
        <v>290</v>
      </c>
      <c r="C237" s="26" t="s">
        <v>696</v>
      </c>
      <c r="D237" s="25" t="str">
        <f t="shared" si="3"/>
        <v>rcvd_amrtstn_12m</v>
      </c>
    </row>
    <row r="238" spans="2:4" hidden="1">
      <c r="B238" s="17" t="s">
        <v>291</v>
      </c>
      <c r="C238" s="26" t="s">
        <v>697</v>
      </c>
      <c r="D238" s="25" t="str">
        <f t="shared" si="3"/>
        <v>rcvd_amrtstn_24m</v>
      </c>
    </row>
    <row r="239" spans="2:4" hidden="1">
      <c r="B239" s="17" t="s">
        <v>292</v>
      </c>
      <c r="C239" s="26" t="s">
        <v>698</v>
      </c>
      <c r="D239" s="25" t="str">
        <f t="shared" si="3"/>
        <v>rcvd_intrst_12m</v>
      </c>
    </row>
    <row r="240" spans="2:4" hidden="1">
      <c r="B240" s="17" t="s">
        <v>293</v>
      </c>
      <c r="C240" s="26" t="s">
        <v>699</v>
      </c>
      <c r="D240" s="25" t="str">
        <f t="shared" si="3"/>
        <v>rcvd_intrst_24m</v>
      </c>
    </row>
    <row r="241" spans="2:4" hidden="1">
      <c r="B241" s="17" t="s">
        <v>137</v>
      </c>
      <c r="C241" s="26" t="s">
        <v>700</v>
      </c>
      <c r="D241" s="25" t="str">
        <f t="shared" si="3"/>
        <v>syndct_rl</v>
      </c>
    </row>
    <row r="242" spans="2:4" hidden="1">
      <c r="B242" s="17" t="s">
        <v>138</v>
      </c>
      <c r="C242" s="26" t="s">
        <v>701</v>
      </c>
      <c r="D242" s="25" t="str">
        <f t="shared" si="3"/>
        <v>syndctd_agnt</v>
      </c>
    </row>
    <row r="243" spans="2:4" hidden="1">
      <c r="B243" s="17" t="s">
        <v>294</v>
      </c>
      <c r="C243" s="26" t="s">
        <v>702</v>
      </c>
      <c r="D243" s="25" t="str">
        <f t="shared" si="3"/>
        <v>syndctd_cntrct_id</v>
      </c>
    </row>
    <row r="244" spans="2:4" hidden="1">
      <c r="B244" s="17" t="s">
        <v>139</v>
      </c>
      <c r="C244" s="26" t="s">
        <v>703</v>
      </c>
      <c r="D244" s="25" t="str">
        <f t="shared" si="3"/>
        <v>syndctd_lndrs</v>
      </c>
    </row>
    <row r="245" spans="2:4" hidden="1">
      <c r="B245" s="17" t="s">
        <v>140</v>
      </c>
      <c r="C245" s="26" t="s">
        <v>704</v>
      </c>
      <c r="D245" s="25" t="str">
        <f t="shared" si="3"/>
        <v>syndctd_shr</v>
      </c>
    </row>
    <row r="246" spans="2:4" hidden="1">
      <c r="B246" s="17" t="s">
        <v>295</v>
      </c>
      <c r="C246" s="26" t="s">
        <v>705</v>
      </c>
      <c r="D246" s="25" t="str">
        <f t="shared" si="3"/>
        <v>syndctn_typ</v>
      </c>
    </row>
    <row r="247" spans="2:4" hidden="1">
      <c r="B247" s="17" t="s">
        <v>296</v>
      </c>
      <c r="C247" s="30" t="s">
        <v>706</v>
      </c>
      <c r="D247" s="25" t="str">
        <f t="shared" si="3"/>
        <v>eba_cmplnt_mrtr_st_c19</v>
      </c>
    </row>
    <row r="248" spans="2:4" hidden="1">
      <c r="B248" s="17" t="s">
        <v>297</v>
      </c>
      <c r="C248" s="30" t="s">
        <v>707</v>
      </c>
      <c r="D248" s="25" t="str">
        <f t="shared" si="3"/>
        <v>dt_cmplnt_mrtr_stts_c19</v>
      </c>
    </row>
    <row r="249" spans="2:4" hidden="1">
      <c r="B249" s="17" t="s">
        <v>298</v>
      </c>
      <c r="C249" s="30" t="s">
        <v>708</v>
      </c>
      <c r="D249" s="25" t="str">
        <f t="shared" si="3"/>
        <v>dt_cmplnt_mrtr_stts_prvs_c19</v>
      </c>
    </row>
    <row r="250" spans="2:4" hidden="1">
      <c r="B250" s="17" t="s">
        <v>299</v>
      </c>
      <c r="C250" s="30" t="s">
        <v>709</v>
      </c>
      <c r="D250" s="25" t="str">
        <f t="shared" si="3"/>
        <v>mtrty_ltst_mrtr_c19</v>
      </c>
    </row>
    <row r="251" spans="2:4" hidden="1">
      <c r="B251" s="17" t="s">
        <v>300</v>
      </c>
      <c r="C251" s="30" t="s">
        <v>710</v>
      </c>
      <c r="D251" s="25" t="str">
        <f t="shared" si="3"/>
        <v>typ_cmplnt_mrtr_c19</v>
      </c>
    </row>
    <row r="252" spans="2:4" hidden="1">
      <c r="B252" s="17" t="s">
        <v>301</v>
      </c>
      <c r="C252" s="30" t="s">
        <v>711</v>
      </c>
      <c r="D252" s="25" t="str">
        <f t="shared" si="3"/>
        <v>grc_prd_cptl_intrst_c19</v>
      </c>
    </row>
    <row r="253" spans="2:4" hidden="1">
      <c r="B253" s="17" t="s">
        <v>302</v>
      </c>
      <c r="C253" s="30" t="s">
        <v>712</v>
      </c>
      <c r="D253" s="25" t="str">
        <f t="shared" si="3"/>
        <v>cmplnt_mrtr_c19_nm</v>
      </c>
    </row>
    <row r="254" spans="2:4" hidden="1">
      <c r="B254" s="17" t="s">
        <v>303</v>
      </c>
      <c r="C254" s="30" t="s">
        <v>713</v>
      </c>
      <c r="D254" s="25" t="str">
        <f t="shared" si="3"/>
        <v>frbrnc_stts_c19</v>
      </c>
    </row>
    <row r="255" spans="2:4" hidden="1">
      <c r="B255" s="17" t="s">
        <v>304</v>
      </c>
      <c r="C255" s="30" t="s">
        <v>714</v>
      </c>
      <c r="D255" s="25" t="str">
        <f t="shared" si="3"/>
        <v>dt_frbrnc_stts_c19</v>
      </c>
    </row>
    <row r="256" spans="2:4" hidden="1">
      <c r="B256" s="17" t="s">
        <v>305</v>
      </c>
      <c r="C256" s="30" t="s">
        <v>715</v>
      </c>
      <c r="D256" s="25" t="str">
        <f t="shared" si="3"/>
        <v>dt_frbrnc_stts_prvs_c19</v>
      </c>
    </row>
    <row r="257" spans="2:4" hidden="1">
      <c r="B257" s="17" t="s">
        <v>306</v>
      </c>
      <c r="C257" s="30" t="s">
        <v>716</v>
      </c>
      <c r="D257" s="25" t="str">
        <f t="shared" si="3"/>
        <v>mtrty_ltst_frbrnc_msr_c19</v>
      </c>
    </row>
    <row r="258" spans="2:4" hidden="1">
      <c r="B258" s="17" t="s">
        <v>307</v>
      </c>
      <c r="C258" s="30" t="s">
        <v>717</v>
      </c>
      <c r="D258" s="25" t="str">
        <f t="shared" si="3"/>
        <v>dt_end_gp_ppal_c19</v>
      </c>
    </row>
    <row r="259" spans="2:4" hidden="1">
      <c r="B259" s="17" t="s">
        <v>308</v>
      </c>
      <c r="C259" s="30" t="s">
        <v>718</v>
      </c>
      <c r="D259" s="25" t="str">
        <f t="shared" ref="D259:D322" si="4">VLOOKUP(C259,B:B,1,0)</f>
        <v>dt_end_intrst_only_c19</v>
      </c>
    </row>
    <row r="260" spans="2:4" hidden="1">
      <c r="B260" s="17" t="s">
        <v>309</v>
      </c>
      <c r="C260" s="30" t="s">
        <v>719</v>
      </c>
      <c r="D260" s="25" t="str">
        <f t="shared" si="4"/>
        <v>sbjct_pblc_grnt_schm_c19</v>
      </c>
    </row>
    <row r="261" spans="2:4" hidden="1">
      <c r="B261" s="17" t="s">
        <v>310</v>
      </c>
      <c r="C261" s="30" t="s">
        <v>720</v>
      </c>
      <c r="D261" s="25" t="str">
        <f t="shared" si="4"/>
        <v>pblc_grnt_schm_c19_nm</v>
      </c>
    </row>
    <row r="262" spans="2:4" hidden="1">
      <c r="B262" s="17" t="s">
        <v>311</v>
      </c>
      <c r="C262" s="30" t="s">
        <v>721</v>
      </c>
      <c r="D262" s="25" t="str">
        <f t="shared" si="4"/>
        <v>pmnt_pblc_grnt_schm_c19</v>
      </c>
    </row>
    <row r="263" spans="2:4" hidden="1">
      <c r="B263" s="17" t="s">
        <v>312</v>
      </c>
      <c r="C263" s="26" t="s">
        <v>722</v>
      </c>
      <c r="D263" s="25" t="str">
        <f t="shared" si="4"/>
        <v>asst_scrt_clss</v>
      </c>
    </row>
    <row r="264" spans="2:4" hidden="1">
      <c r="B264" s="17" t="s">
        <v>313</v>
      </c>
      <c r="C264" s="26" t="s">
        <v>723</v>
      </c>
      <c r="D264" s="25" t="str">
        <f t="shared" si="4"/>
        <v>cpn_crrncy</v>
      </c>
    </row>
    <row r="265" spans="2:4">
      <c r="B265" s="17" t="s">
        <v>314</v>
      </c>
      <c r="C265" s="27" t="s">
        <v>724</v>
      </c>
      <c r="D265" s="25" t="e">
        <f t="shared" si="4"/>
        <v>#N/A</v>
      </c>
    </row>
    <row r="266" spans="2:4" hidden="1">
      <c r="B266" s="17" t="s">
        <v>315</v>
      </c>
      <c r="C266" s="26" t="s">
        <v>725</v>
      </c>
      <c r="D266" s="25" t="str">
        <f t="shared" si="4"/>
        <v>dt_vltn</v>
      </c>
    </row>
    <row r="267" spans="2:4" hidden="1">
      <c r="B267" s="17" t="s">
        <v>316</v>
      </c>
      <c r="C267" s="26" t="s">
        <v>726</v>
      </c>
      <c r="D267" s="25" t="str">
        <f t="shared" si="4"/>
        <v>elgblty_ecb</v>
      </c>
    </row>
    <row r="268" spans="2:4" hidden="1">
      <c r="B268" s="17" t="s">
        <v>317</v>
      </c>
      <c r="C268" s="26" t="s">
        <v>727</v>
      </c>
      <c r="D268" s="25" t="str">
        <f t="shared" si="4"/>
        <v>grntr_id</v>
      </c>
    </row>
    <row r="269" spans="2:4" hidden="1">
      <c r="B269" s="17" t="s">
        <v>318</v>
      </c>
      <c r="C269" s="26" t="s">
        <v>728</v>
      </c>
      <c r="D269" s="25" t="str">
        <f t="shared" si="4"/>
        <v>grntr_id_typ</v>
      </c>
    </row>
    <row r="270" spans="2:4" hidden="1">
      <c r="B270" s="17" t="s">
        <v>319</v>
      </c>
      <c r="C270" s="26" t="s">
        <v>729</v>
      </c>
      <c r="D270" s="25" t="str">
        <f t="shared" si="4"/>
        <v>hedge_id</v>
      </c>
    </row>
    <row r="271" spans="2:4" hidden="1">
      <c r="B271" s="17" t="s">
        <v>145</v>
      </c>
      <c r="C271" s="26" t="s">
        <v>730</v>
      </c>
      <c r="D271" s="25" t="str">
        <f t="shared" si="4"/>
        <v>instr_snrty_clss</v>
      </c>
    </row>
    <row r="272" spans="2:4" hidden="1">
      <c r="B272" s="17" t="s">
        <v>146</v>
      </c>
      <c r="C272" s="26" t="s">
        <v>731</v>
      </c>
      <c r="D272" s="25" t="str">
        <f t="shared" si="4"/>
        <v>instrmnt_clss</v>
      </c>
    </row>
    <row r="273" spans="2:4" hidden="1">
      <c r="B273" s="17" t="s">
        <v>320</v>
      </c>
      <c r="C273" s="26" t="s">
        <v>732</v>
      </c>
      <c r="D273" s="25" t="str">
        <f t="shared" si="4"/>
        <v>isin</v>
      </c>
    </row>
    <row r="274" spans="2:4" hidden="1">
      <c r="B274" s="17" t="s">
        <v>321</v>
      </c>
      <c r="C274" s="26" t="s">
        <v>733</v>
      </c>
      <c r="D274" s="25" t="str">
        <f t="shared" si="4"/>
        <v>issr_cntry</v>
      </c>
    </row>
    <row r="275" spans="2:4" hidden="1">
      <c r="B275" s="17" t="s">
        <v>218</v>
      </c>
      <c r="C275" s="26" t="s">
        <v>734</v>
      </c>
      <c r="D275" s="25" t="str">
        <f t="shared" si="4"/>
        <v>issr_esa_2010</v>
      </c>
    </row>
    <row r="276" spans="2:4" hidden="1">
      <c r="B276" s="17" t="s">
        <v>325</v>
      </c>
      <c r="C276" s="26" t="s">
        <v>735</v>
      </c>
      <c r="D276" s="25" t="str">
        <f t="shared" si="4"/>
        <v>issr_id</v>
      </c>
    </row>
    <row r="277" spans="2:4" hidden="1">
      <c r="B277" s="17" t="s">
        <v>219</v>
      </c>
      <c r="C277" s="26" t="s">
        <v>736</v>
      </c>
      <c r="D277" s="25" t="str">
        <f t="shared" si="4"/>
        <v>issr_id_typ</v>
      </c>
    </row>
    <row r="278" spans="2:4" hidden="1">
      <c r="B278" s="17" t="s">
        <v>327</v>
      </c>
      <c r="C278" s="26" t="s">
        <v>737</v>
      </c>
      <c r="D278" s="25" t="str">
        <f t="shared" si="4"/>
        <v>issr_nace_sctr</v>
      </c>
    </row>
    <row r="279" spans="2:4" hidden="1">
      <c r="B279" s="17" t="s">
        <v>328</v>
      </c>
      <c r="C279" s="26" t="s">
        <v>738</v>
      </c>
      <c r="D279" s="25" t="str">
        <f t="shared" si="4"/>
        <v>issr_rtng</v>
      </c>
    </row>
    <row r="280" spans="2:4" hidden="1">
      <c r="B280" s="17" t="s">
        <v>329</v>
      </c>
      <c r="C280" s="26" t="s">
        <v>739</v>
      </c>
      <c r="D280" s="25" t="str">
        <f t="shared" si="4"/>
        <v>issr_rtng_src</v>
      </c>
    </row>
    <row r="281" spans="2:4" hidden="1">
      <c r="B281" s="17" t="s">
        <v>330</v>
      </c>
      <c r="C281" s="26" t="s">
        <v>740</v>
      </c>
      <c r="D281" s="25" t="str">
        <f t="shared" si="4"/>
        <v>issr_typ</v>
      </c>
    </row>
    <row r="282" spans="2:4" hidden="1">
      <c r="B282" s="17" t="s">
        <v>331</v>
      </c>
      <c r="C282" s="26" t="s">
        <v>741</v>
      </c>
      <c r="D282" s="25" t="str">
        <f t="shared" si="4"/>
        <v>lcr_bffr_ctgry</v>
      </c>
    </row>
    <row r="283" spans="2:4" hidden="1">
      <c r="B283" s="17" t="s">
        <v>332</v>
      </c>
      <c r="C283" s="26" t="s">
        <v>742</v>
      </c>
      <c r="D283" s="25" t="str">
        <f t="shared" si="4"/>
        <v>prch_undr_rsl_agr</v>
      </c>
    </row>
    <row r="284" spans="2:4" hidden="1">
      <c r="B284" s="17" t="s">
        <v>333</v>
      </c>
      <c r="C284" s="26" t="s">
        <v>743</v>
      </c>
      <c r="D284" s="25" t="str">
        <f t="shared" si="4"/>
        <v>prdntl_prtfl</v>
      </c>
    </row>
    <row r="285" spans="2:4" hidden="1">
      <c r="B285" s="17" t="s">
        <v>334</v>
      </c>
      <c r="C285" s="26" t="s">
        <v>744</v>
      </c>
      <c r="D285" s="25" t="str">
        <f t="shared" si="4"/>
        <v>prmry_asst_clssf</v>
      </c>
    </row>
    <row r="286" spans="2:4" hidden="1">
      <c r="B286" s="17" t="s">
        <v>335</v>
      </c>
      <c r="C286" s="26" t="s">
        <v>745</v>
      </c>
      <c r="D286" s="25" t="str">
        <f t="shared" si="4"/>
        <v>prt_lcr_bffr</v>
      </c>
    </row>
    <row r="287" spans="2:4">
      <c r="B287" s="17" t="s">
        <v>336</v>
      </c>
      <c r="C287" s="27" t="s">
        <v>746</v>
      </c>
      <c r="D287" s="25" t="e">
        <f t="shared" si="4"/>
        <v>#N/A</v>
      </c>
    </row>
    <row r="288" spans="2:4" hidden="1">
      <c r="B288" s="17" t="s">
        <v>337</v>
      </c>
      <c r="C288" s="26" t="s">
        <v>747</v>
      </c>
      <c r="D288" s="25" t="str">
        <f t="shared" si="4"/>
        <v>sprd</v>
      </c>
    </row>
    <row r="289" spans="2:4" hidden="1">
      <c r="B289" s="17" t="s">
        <v>338</v>
      </c>
      <c r="C289" s="26" t="s">
        <v>748</v>
      </c>
      <c r="D289" s="25" t="str">
        <f t="shared" si="4"/>
        <v>srcs_encmbrnc</v>
      </c>
    </row>
    <row r="290" spans="2:4" hidden="1">
      <c r="B290" s="17" t="s">
        <v>339</v>
      </c>
      <c r="C290" s="26" t="s">
        <v>749</v>
      </c>
      <c r="D290" s="25" t="str">
        <f t="shared" si="4"/>
        <v>type_of_plcmnt</v>
      </c>
    </row>
    <row r="291" spans="2:4" hidden="1">
      <c r="B291" s="17" t="s">
        <v>340</v>
      </c>
      <c r="C291" s="26" t="s">
        <v>750</v>
      </c>
      <c r="D291" s="25" t="str">
        <f t="shared" si="4"/>
        <v>vltn_crrncy</v>
      </c>
    </row>
    <row r="292" spans="2:4" hidden="1">
      <c r="B292" s="17" t="s">
        <v>342</v>
      </c>
      <c r="C292" s="26" t="s">
        <v>751</v>
      </c>
      <c r="D292" s="25" t="str">
        <f t="shared" si="4"/>
        <v>vltn_typ</v>
      </c>
    </row>
    <row r="293" spans="2:4" hidden="1">
      <c r="B293" s="17" t="s">
        <v>344</v>
      </c>
      <c r="C293" s="26" t="s">
        <v>752</v>
      </c>
      <c r="D293" s="25" t="str">
        <f t="shared" si="4"/>
        <v>lvrg_fnnc_flg</v>
      </c>
    </row>
    <row r="294" spans="2:4" hidden="1">
      <c r="B294" s="17" t="s">
        <v>345</v>
      </c>
      <c r="C294" s="26" t="s">
        <v>753</v>
      </c>
      <c r="D294" s="25" t="str">
        <f t="shared" si="4"/>
        <v>intrnl_sgmnt_ifrs9</v>
      </c>
    </row>
    <row r="295" spans="2:4" hidden="1">
      <c r="B295" s="17" t="s">
        <v>348</v>
      </c>
      <c r="C295" s="26" t="s">
        <v>754</v>
      </c>
      <c r="D295" s="25" t="str">
        <f t="shared" si="4"/>
        <v>intrnl_sgmnt_cat_msta</v>
      </c>
    </row>
    <row r="296" spans="2:4" hidden="1">
      <c r="B296" s="17" t="s">
        <v>349</v>
      </c>
      <c r="C296" s="26" t="s">
        <v>755</v>
      </c>
      <c r="D296" s="25" t="str">
        <f t="shared" si="4"/>
        <v>intrnl_sgmnt_catgsub</v>
      </c>
    </row>
    <row r="297" spans="2:4" hidden="1">
      <c r="B297" s="17" t="s">
        <v>351</v>
      </c>
      <c r="C297" s="26" t="s">
        <v>756</v>
      </c>
      <c r="D297" s="25" t="str">
        <f t="shared" si="4"/>
        <v>crrltn_cffcnt</v>
      </c>
    </row>
    <row r="298" spans="2:4" hidden="1">
      <c r="B298" s="17" t="s">
        <v>354</v>
      </c>
      <c r="C298" s="26" t="s">
        <v>757</v>
      </c>
      <c r="D298" s="25" t="str">
        <f t="shared" si="4"/>
        <v>isin_scrtstn</v>
      </c>
    </row>
    <row r="299" spans="2:4" hidden="1">
      <c r="B299" s="17" t="s">
        <v>355</v>
      </c>
      <c r="C299" s="26" t="s">
        <v>758</v>
      </c>
      <c r="D299" s="25" t="str">
        <f t="shared" si="4"/>
        <v>cntrct_id_bdr</v>
      </c>
    </row>
    <row r="300" spans="2:4" hidden="1">
      <c r="B300" s="17" t="s">
        <v>356</v>
      </c>
      <c r="C300" s="26" t="s">
        <v>759</v>
      </c>
      <c r="D300" s="25" t="str">
        <f t="shared" si="4"/>
        <v>grss_crryng_amnt_instrmnt</v>
      </c>
    </row>
    <row r="301" spans="2:4" hidden="1">
      <c r="B301" s="17" t="s">
        <v>357</v>
      </c>
      <c r="C301" s="26" t="s">
        <v>760</v>
      </c>
      <c r="D301" s="25" t="str">
        <f t="shared" si="4"/>
        <v>idcmb</v>
      </c>
    </row>
    <row r="302" spans="2:4" hidden="1">
      <c r="B302" s="17" t="s">
        <v>358</v>
      </c>
      <c r="C302" s="26" t="s">
        <v>761</v>
      </c>
      <c r="D302" s="25" t="str">
        <f t="shared" si="4"/>
        <v>imprmnt_stts</v>
      </c>
    </row>
    <row r="303" spans="2:4">
      <c r="B303" s="17" t="s">
        <v>64</v>
      </c>
      <c r="C303" s="26" t="s">
        <v>583</v>
      </c>
      <c r="D303" s="25" t="e">
        <f t="shared" si="4"/>
        <v>#N/A</v>
      </c>
    </row>
    <row r="304" spans="2:4" hidden="1">
      <c r="B304" s="17" t="s">
        <v>359</v>
      </c>
      <c r="C304" s="26" t="s">
        <v>762</v>
      </c>
      <c r="D304" s="25" t="str">
        <f t="shared" si="4"/>
        <v>lcl_instmrnt_id</v>
      </c>
    </row>
    <row r="305" spans="2:4" hidden="1">
      <c r="B305" s="17" t="s">
        <v>360</v>
      </c>
      <c r="C305" s="26" t="s">
        <v>763</v>
      </c>
      <c r="D305" s="25" t="str">
        <f t="shared" si="4"/>
        <v>off_blnc_sht_amnt_instrmnt</v>
      </c>
    </row>
    <row r="306" spans="2:4" hidden="1">
      <c r="B306" s="17" t="s">
        <v>361</v>
      </c>
      <c r="C306" s="26" t="s">
        <v>764</v>
      </c>
      <c r="D306" s="25" t="str">
        <f t="shared" si="4"/>
        <v>prfrmng_stts</v>
      </c>
    </row>
    <row r="307" spans="2:4" hidden="1">
      <c r="B307" s="17" t="s">
        <v>362</v>
      </c>
      <c r="C307" s="26" t="s">
        <v>765</v>
      </c>
      <c r="D307" s="25" t="str">
        <f t="shared" si="4"/>
        <v>prvsns_off_blnc_sht</v>
      </c>
    </row>
    <row r="308" spans="2:4" hidden="1">
      <c r="B308" s="17" t="s">
        <v>363</v>
      </c>
      <c r="C308" s="26" t="s">
        <v>766</v>
      </c>
      <c r="D308" s="25" t="str">
        <f t="shared" si="4"/>
        <v>rwa</v>
      </c>
    </row>
    <row r="309" spans="2:4" hidden="1">
      <c r="B309" s="17" t="s">
        <v>364</v>
      </c>
      <c r="C309" s="26" t="s">
        <v>767</v>
      </c>
      <c r="D309" s="25" t="str">
        <f t="shared" si="4"/>
        <v>subportfolio_id</v>
      </c>
    </row>
    <row r="310" spans="2:4" hidden="1">
      <c r="B310" s="17" t="s">
        <v>388</v>
      </c>
      <c r="C310" s="29" t="s">
        <v>768</v>
      </c>
      <c r="D310" s="25" t="str">
        <f t="shared" si="4"/>
        <v>typ_instrmnt</v>
      </c>
    </row>
    <row r="311" spans="2:4" hidden="1">
      <c r="B311" s="17" t="s">
        <v>365</v>
      </c>
      <c r="C311" s="26" t="s">
        <v>769</v>
      </c>
      <c r="D311" s="25" t="str">
        <f t="shared" si="4"/>
        <v>expctd_lss_crr</v>
      </c>
    </row>
    <row r="312" spans="2:4" hidden="1">
      <c r="B312" s="17" t="s">
        <v>366</v>
      </c>
      <c r="C312" s="26" t="s">
        <v>770</v>
      </c>
      <c r="D312" s="25" t="str">
        <f t="shared" si="4"/>
        <v>lsti</v>
      </c>
    </row>
    <row r="313" spans="2:4" hidden="1">
      <c r="B313" s="17" t="s">
        <v>367</v>
      </c>
      <c r="C313" s="26" t="s">
        <v>771</v>
      </c>
      <c r="D313" s="25" t="str">
        <f t="shared" si="4"/>
        <v>dsti</v>
      </c>
    </row>
    <row r="314" spans="2:4" hidden="1">
      <c r="B314" s="17" t="s">
        <v>369</v>
      </c>
      <c r="C314" s="26" t="s">
        <v>772</v>
      </c>
      <c r="D314" s="25" t="str">
        <f t="shared" si="4"/>
        <v>lti_instrmnt</v>
      </c>
    </row>
    <row r="315" spans="2:4">
      <c r="B315" s="17" t="s">
        <v>370</v>
      </c>
      <c r="C315" s="31" t="s">
        <v>773</v>
      </c>
      <c r="D315" s="25" t="e">
        <f t="shared" si="4"/>
        <v>#N/A</v>
      </c>
    </row>
    <row r="316" spans="2:4">
      <c r="B316" s="17" t="s">
        <v>371</v>
      </c>
      <c r="C316" s="31" t="s">
        <v>774</v>
      </c>
      <c r="D316" s="25" t="e">
        <f t="shared" si="4"/>
        <v>#N/A</v>
      </c>
    </row>
    <row r="317" spans="2:4">
      <c r="B317" s="17" t="s">
        <v>373</v>
      </c>
      <c r="C317" s="31" t="s">
        <v>775</v>
      </c>
      <c r="D317" s="25" t="e">
        <f t="shared" si="4"/>
        <v>#N/A</v>
      </c>
    </row>
    <row r="318" spans="2:4" hidden="1">
      <c r="B318" s="17" t="s">
        <v>374</v>
      </c>
      <c r="C318" s="31" t="s">
        <v>776</v>
      </c>
      <c r="D318" s="25" t="str">
        <f t="shared" si="4"/>
        <v>rfrnc_rt</v>
      </c>
    </row>
    <row r="319" spans="2:4">
      <c r="B319" s="17" t="s">
        <v>375</v>
      </c>
      <c r="C319" s="31" t="s">
        <v>777</v>
      </c>
      <c r="D319" s="25" t="e">
        <f t="shared" si="4"/>
        <v>#N/A</v>
      </c>
    </row>
    <row r="320" spans="2:4">
      <c r="B320" s="17" t="s">
        <v>376</v>
      </c>
      <c r="C320" s="31" t="s">
        <v>778</v>
      </c>
      <c r="D320" s="25" t="e">
        <f t="shared" si="4"/>
        <v>#N/A</v>
      </c>
    </row>
    <row r="321" spans="2:4">
      <c r="B321" s="17" t="s">
        <v>377</v>
      </c>
      <c r="C321" s="31" t="s">
        <v>779</v>
      </c>
      <c r="D321" s="25" t="e">
        <f t="shared" si="4"/>
        <v>#N/A</v>
      </c>
    </row>
    <row r="322" spans="2:4">
      <c r="B322" s="17" t="s">
        <v>378</v>
      </c>
      <c r="C322" s="31" t="s">
        <v>780</v>
      </c>
      <c r="D322" s="25" t="e">
        <f t="shared" si="4"/>
        <v>#N/A</v>
      </c>
    </row>
    <row r="323" spans="2:4">
      <c r="B323" s="17" t="s">
        <v>379</v>
      </c>
      <c r="C323" s="31" t="s">
        <v>781</v>
      </c>
      <c r="D323" s="25" t="e">
        <f t="shared" ref="D323:D375" si="5">VLOOKUP(C323,B:B,1,0)</f>
        <v>#N/A</v>
      </c>
    </row>
    <row r="324" spans="2:4">
      <c r="B324" s="17" t="s">
        <v>380</v>
      </c>
      <c r="C324" s="31" t="s">
        <v>782</v>
      </c>
      <c r="D324" s="25" t="e">
        <f t="shared" si="5"/>
        <v>#N/A</v>
      </c>
    </row>
    <row r="325" spans="2:4">
      <c r="B325" s="17" t="s">
        <v>381</v>
      </c>
      <c r="C325" s="31" t="s">
        <v>783</v>
      </c>
      <c r="D325" s="25" t="e">
        <f t="shared" si="5"/>
        <v>#N/A</v>
      </c>
    </row>
    <row r="326" spans="2:4">
      <c r="B326" s="17" t="s">
        <v>382</v>
      </c>
      <c r="C326" s="31" t="s">
        <v>784</v>
      </c>
      <c r="D326" s="25" t="e">
        <f t="shared" si="5"/>
        <v>#N/A</v>
      </c>
    </row>
    <row r="327" spans="2:4">
      <c r="B327" s="17" t="s">
        <v>383</v>
      </c>
      <c r="C327" s="31" t="s">
        <v>785</v>
      </c>
      <c r="D327" s="25" t="e">
        <f t="shared" si="5"/>
        <v>#N/A</v>
      </c>
    </row>
    <row r="328" spans="2:4">
      <c r="B328" s="17" t="s">
        <v>384</v>
      </c>
      <c r="C328" s="31" t="s">
        <v>786</v>
      </c>
      <c r="D328" s="25" t="e">
        <f t="shared" si="5"/>
        <v>#N/A</v>
      </c>
    </row>
    <row r="329" spans="2:4">
      <c r="B329" s="17" t="s">
        <v>385</v>
      </c>
      <c r="C329" s="31" t="s">
        <v>787</v>
      </c>
      <c r="D329" s="25" t="e">
        <f t="shared" si="5"/>
        <v>#N/A</v>
      </c>
    </row>
    <row r="330" spans="2:4">
      <c r="B330" s="17" t="s">
        <v>386</v>
      </c>
      <c r="C330" s="31" t="s">
        <v>788</v>
      </c>
      <c r="D330" s="25" t="e">
        <f t="shared" si="5"/>
        <v>#N/A</v>
      </c>
    </row>
    <row r="331" spans="2:4">
      <c r="B331" s="17" t="s">
        <v>387</v>
      </c>
      <c r="C331" s="31" t="s">
        <v>789</v>
      </c>
      <c r="D331" s="25" t="e">
        <f t="shared" si="5"/>
        <v>#N/A</v>
      </c>
    </row>
    <row r="332" spans="2:4">
      <c r="B332" s="17" t="s">
        <v>149</v>
      </c>
      <c r="C332" s="31" t="s">
        <v>790</v>
      </c>
      <c r="D332" s="25" t="e">
        <f t="shared" si="5"/>
        <v>#N/A</v>
      </c>
    </row>
    <row r="333" spans="2:4" hidden="1">
      <c r="B333" s="17" t="s">
        <v>368</v>
      </c>
      <c r="C333" s="26" t="s">
        <v>459</v>
      </c>
      <c r="D333" s="25" t="str">
        <f t="shared" si="5"/>
        <v>cod_soc</v>
      </c>
    </row>
    <row r="334" spans="2:4">
      <c r="B334" s="17" t="s">
        <v>372</v>
      </c>
      <c r="C334" s="26" t="s">
        <v>467</v>
      </c>
      <c r="D334" s="25" t="e">
        <f t="shared" si="5"/>
        <v>#N/A</v>
      </c>
    </row>
    <row r="335" spans="2:4">
      <c r="B335" s="17" t="s">
        <v>389</v>
      </c>
      <c r="C335" s="26" t="s">
        <v>583</v>
      </c>
      <c r="D335" s="25" t="e">
        <f t="shared" si="5"/>
        <v>#N/A</v>
      </c>
    </row>
    <row r="336" spans="2:4">
      <c r="B336" s="17" t="s">
        <v>390</v>
      </c>
      <c r="C336" s="26" t="s">
        <v>791</v>
      </c>
      <c r="D336" s="25" t="e">
        <f t="shared" si="5"/>
        <v>#N/A</v>
      </c>
    </row>
    <row r="337" spans="2:4" hidden="1">
      <c r="B337" s="17" t="s">
        <v>391</v>
      </c>
      <c r="C337" s="26" t="s">
        <v>792</v>
      </c>
      <c r="D337" s="25" t="str">
        <f t="shared" si="5"/>
        <v>prtctn_allctd_vl</v>
      </c>
    </row>
    <row r="338" spans="2:4" hidden="1">
      <c r="C338" s="26" t="s">
        <v>793</v>
      </c>
      <c r="D338" s="25" t="str">
        <f t="shared" si="5"/>
        <v>thrd_prty_prrty_clms</v>
      </c>
    </row>
    <row r="339" spans="2:4" hidden="1">
      <c r="C339" s="28" t="s">
        <v>459</v>
      </c>
      <c r="D339" s="25" t="str">
        <f t="shared" si="5"/>
        <v>cod_soc</v>
      </c>
    </row>
    <row r="340" spans="2:4" hidden="1">
      <c r="C340" s="26" t="s">
        <v>794</v>
      </c>
      <c r="D340" s="25" t="str">
        <f t="shared" si="5"/>
        <v>dt_mtrty_prtctn</v>
      </c>
    </row>
    <row r="341" spans="2:4">
      <c r="C341" s="26" t="s">
        <v>467</v>
      </c>
      <c r="D341" s="25" t="e">
        <f t="shared" si="5"/>
        <v>#N/A</v>
      </c>
    </row>
    <row r="342" spans="2:4" hidden="1">
      <c r="C342" s="26" t="s">
        <v>795</v>
      </c>
      <c r="D342" s="25" t="str">
        <f t="shared" si="5"/>
        <v>ntnl_id</v>
      </c>
    </row>
    <row r="343" spans="2:4">
      <c r="C343" s="26" t="s">
        <v>791</v>
      </c>
      <c r="D343" s="25" t="e">
        <f t="shared" si="5"/>
        <v>#N/A</v>
      </c>
    </row>
    <row r="344" spans="2:4" hidden="1">
      <c r="C344" s="26" t="s">
        <v>796</v>
      </c>
      <c r="D344" s="25" t="str">
        <f t="shared" si="5"/>
        <v>prtctn_prvdr_id</v>
      </c>
    </row>
    <row r="345" spans="2:4" hidden="1">
      <c r="C345" s="26" t="s">
        <v>797</v>
      </c>
      <c r="D345" s="25" t="str">
        <f t="shared" si="5"/>
        <v>rl_estt_addrss</v>
      </c>
    </row>
    <row r="346" spans="2:4" hidden="1">
      <c r="C346" s="26" t="s">
        <v>798</v>
      </c>
      <c r="D346" s="25" t="str">
        <f t="shared" si="5"/>
        <v>rl_estt_clltrl_lctn</v>
      </c>
    </row>
    <row r="347" spans="2:4" hidden="1">
      <c r="C347" s="26" t="s">
        <v>799</v>
      </c>
      <c r="D347" s="25" t="str">
        <f t="shared" si="5"/>
        <v>rl_estt_clltrl_lctn_int</v>
      </c>
    </row>
    <row r="348" spans="2:4" hidden="1">
      <c r="C348" s="26" t="s">
        <v>800</v>
      </c>
      <c r="D348" s="25" t="str">
        <f t="shared" si="5"/>
        <v>rl_estt_cty</v>
      </c>
    </row>
    <row r="349" spans="2:4" hidden="1">
      <c r="C349" s="26" t="s">
        <v>801</v>
      </c>
      <c r="D349" s="25" t="str">
        <f t="shared" si="5"/>
        <v>rl_estt_pst_cd</v>
      </c>
    </row>
    <row r="350" spans="2:4" hidden="1">
      <c r="C350" s="26" t="s">
        <v>802</v>
      </c>
      <c r="D350" s="25" t="str">
        <f t="shared" si="5"/>
        <v>hrct_mv</v>
      </c>
    </row>
    <row r="351" spans="2:4" hidden="1">
      <c r="C351" s="26" t="s">
        <v>803</v>
      </c>
      <c r="D351" s="25" t="str">
        <f t="shared" si="5"/>
        <v>prtctn_clld</v>
      </c>
    </row>
    <row r="352" spans="2:4" hidden="1">
      <c r="C352" s="29" t="s">
        <v>804</v>
      </c>
      <c r="D352" s="25" t="str">
        <f t="shared" si="5"/>
        <v>typ_prtctn</v>
      </c>
    </row>
    <row r="353" spans="3:4" hidden="1">
      <c r="C353" s="26" t="s">
        <v>805</v>
      </c>
      <c r="D353" s="25" t="str">
        <f t="shared" si="5"/>
        <v>typ_prtctn_intrnl</v>
      </c>
    </row>
    <row r="354" spans="3:4" hidden="1">
      <c r="C354" s="26" t="s">
        <v>806</v>
      </c>
      <c r="D354" s="25" t="str">
        <f t="shared" si="5"/>
        <v>typ_prtctn_vl</v>
      </c>
    </row>
    <row r="355" spans="3:4" hidden="1">
      <c r="C355" s="26" t="s">
        <v>807</v>
      </c>
      <c r="D355" s="25" t="str">
        <f t="shared" si="5"/>
        <v>apprsl_crrncy</v>
      </c>
    </row>
    <row r="356" spans="3:4" hidden="1">
      <c r="C356" s="26" t="s">
        <v>808</v>
      </c>
      <c r="D356" s="25" t="str">
        <f t="shared" si="5"/>
        <v>apprsr</v>
      </c>
    </row>
    <row r="357" spans="3:4" hidden="1">
      <c r="C357" s="26" t="s">
        <v>809</v>
      </c>
      <c r="D357" s="25" t="str">
        <f t="shared" si="5"/>
        <v>dt_lst_fll_apprsl</v>
      </c>
    </row>
    <row r="358" spans="3:4" hidden="1">
      <c r="C358" s="26" t="s">
        <v>810</v>
      </c>
      <c r="D358" s="25" t="str">
        <f t="shared" si="5"/>
        <v>dt_orgnl_prtctn_vl</v>
      </c>
    </row>
    <row r="359" spans="3:4" hidden="1">
      <c r="C359" s="26" t="s">
        <v>811</v>
      </c>
      <c r="D359" s="25" t="str">
        <f t="shared" si="5"/>
        <v>dt_prtctn_vl</v>
      </c>
    </row>
    <row r="360" spans="3:4" hidden="1">
      <c r="C360" s="26" t="s">
        <v>812</v>
      </c>
      <c r="D360" s="25" t="str">
        <f t="shared" si="5"/>
        <v>orgnl_prtctn_vl</v>
      </c>
    </row>
    <row r="361" spans="3:4" hidden="1">
      <c r="C361" s="26" t="s">
        <v>813</v>
      </c>
      <c r="D361" s="25" t="str">
        <f t="shared" si="5"/>
        <v>prtctn_frcd_sl_vl</v>
      </c>
    </row>
    <row r="362" spans="3:4" hidden="1">
      <c r="C362" s="26" t="s">
        <v>814</v>
      </c>
      <c r="D362" s="25" t="str">
        <f t="shared" si="5"/>
        <v>prtctn_vl</v>
      </c>
    </row>
    <row r="363" spans="3:4" hidden="1">
      <c r="C363" s="26" t="s">
        <v>815</v>
      </c>
      <c r="D363" s="25" t="str">
        <f t="shared" si="5"/>
        <v>prtctn_vl_npe</v>
      </c>
    </row>
    <row r="364" spans="3:4" hidden="1">
      <c r="C364" s="26" t="s">
        <v>816</v>
      </c>
      <c r="D364" s="25" t="str">
        <f t="shared" si="5"/>
        <v>prtctn_vltn_apprch</v>
      </c>
    </row>
    <row r="365" spans="3:4" hidden="1">
      <c r="C365" s="26" t="s">
        <v>817</v>
      </c>
      <c r="D365" s="25" t="str">
        <f t="shared" si="5"/>
        <v>dt_apprsl_prvs</v>
      </c>
    </row>
    <row r="366" spans="3:4" hidden="1">
      <c r="C366" s="26" t="s">
        <v>818</v>
      </c>
      <c r="D366" s="25" t="str">
        <f t="shared" si="5"/>
        <v>prtctn_vl_prvs</v>
      </c>
    </row>
    <row r="367" spans="3:4" hidden="1">
      <c r="C367" s="26" t="s">
        <v>819</v>
      </c>
      <c r="D367" s="25" t="str">
        <f t="shared" si="5"/>
        <v>cnstrctn_stts</v>
      </c>
    </row>
    <row r="368" spans="3:4" hidden="1">
      <c r="C368" s="26" t="s">
        <v>820</v>
      </c>
      <c r="D368" s="25" t="str">
        <f t="shared" si="5"/>
        <v>dt_cnstrctn_stts</v>
      </c>
    </row>
    <row r="369" spans="3:4" hidden="1">
      <c r="C369" s="26" t="s">
        <v>821</v>
      </c>
      <c r="D369" s="25" t="str">
        <f t="shared" si="5"/>
        <v>dt_frst_usg</v>
      </c>
    </row>
    <row r="370" spans="3:4" hidden="1">
      <c r="C370" s="26" t="s">
        <v>822</v>
      </c>
      <c r="D370" s="25" t="str">
        <f t="shared" si="5"/>
        <v>dvlpmnt_stts</v>
      </c>
    </row>
    <row r="371" spans="3:4" hidden="1">
      <c r="C371" s="26" t="s">
        <v>823</v>
      </c>
      <c r="D371" s="25" t="str">
        <f t="shared" si="5"/>
        <v>mn_prps</v>
      </c>
    </row>
    <row r="372" spans="3:4" hidden="1">
      <c r="C372" s="26" t="s">
        <v>824</v>
      </c>
      <c r="D372" s="25" t="str">
        <f t="shared" si="5"/>
        <v>prm_lctn</v>
      </c>
    </row>
    <row r="373" spans="3:4" hidden="1">
      <c r="C373" s="26" t="s">
        <v>825</v>
      </c>
      <c r="D373" s="25" t="str">
        <f t="shared" si="5"/>
        <v>cre_incm_crrncy</v>
      </c>
    </row>
    <row r="374" spans="3:4" hidden="1">
      <c r="C374" s="26" t="s">
        <v>826</v>
      </c>
      <c r="D374" s="25" t="str">
        <f t="shared" si="5"/>
        <v>cre_yrly_expnss</v>
      </c>
    </row>
    <row r="375" spans="3:4" hidden="1">
      <c r="C375" s="26" t="s">
        <v>827</v>
      </c>
      <c r="D375" s="25" t="str">
        <f t="shared" si="5"/>
        <v>cre_yrly_incm</v>
      </c>
    </row>
    <row r="376" spans="3:4" hidden="1">
      <c r="C376" s="30" t="s">
        <v>828</v>
      </c>
      <c r="D376" s="25" t="str">
        <f t="shared" ref="D376:D381" si="6">VLOOKUP(C376,B:B,1,0)</f>
        <v>prtctn_typ_pblc_grnt_schm_c19</v>
      </c>
    </row>
    <row r="377" spans="3:4" hidden="1">
      <c r="C377" s="26" t="s">
        <v>543</v>
      </c>
      <c r="D377" s="25" t="str">
        <f t="shared" si="6"/>
        <v>tax_id</v>
      </c>
    </row>
    <row r="378" spans="3:4" hidden="1">
      <c r="C378" s="26" t="s">
        <v>829</v>
      </c>
      <c r="D378" s="25" t="str">
        <f t="shared" si="6"/>
        <v>yr_cnstrctn</v>
      </c>
    </row>
    <row r="379" spans="3:4">
      <c r="C379" s="31" t="s">
        <v>830</v>
      </c>
      <c r="D379" s="25" t="e">
        <f t="shared" si="6"/>
        <v>#N/A</v>
      </c>
    </row>
    <row r="380" spans="3:4">
      <c r="C380" s="31" t="s">
        <v>831</v>
      </c>
      <c r="D380" s="25" t="e">
        <f t="shared" si="6"/>
        <v>#N/A</v>
      </c>
    </row>
    <row r="381" spans="3:4">
      <c r="C381" s="31" t="s">
        <v>832</v>
      </c>
      <c r="D381" s="25" t="e">
        <f t="shared" si="6"/>
        <v>#N/A</v>
      </c>
    </row>
  </sheetData>
  <autoFilter ref="B2:D381" xr:uid="{392C5BF6-5FF2-4249-BE31-D17082A88C88}">
    <filterColumn colId="2">
      <filters>
        <filter val="#N/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F28F-0E8D-421C-AB51-B446C7A25FB1}">
  <dimension ref="A2:AL1137"/>
  <sheetViews>
    <sheetView zoomScale="70" zoomScaleNormal="70" workbookViewId="0">
      <selection activeCell="H5" sqref="H5"/>
    </sheetView>
  </sheetViews>
  <sheetFormatPr defaultColWidth="8.75" defaultRowHeight="17.45"/>
  <cols>
    <col min="1" max="1" width="8.75" style="21"/>
    <col min="2" max="2" width="19.75" style="21" bestFit="1" customWidth="1"/>
    <col min="3" max="3" width="10.875" style="21" bestFit="1" customWidth="1"/>
    <col min="4" max="4" width="17.125" style="21" customWidth="1"/>
    <col min="5" max="5" width="8.75" style="21"/>
    <col min="6" max="6" width="33.5" style="21" bestFit="1" customWidth="1"/>
    <col min="7" max="7" width="12.625" style="21" bestFit="1" customWidth="1"/>
    <col min="8" max="8" width="8.75" style="21"/>
    <col min="9" max="9" width="33.5" style="21" bestFit="1" customWidth="1"/>
    <col min="10" max="10" width="8.75" style="21"/>
    <col min="11" max="11" width="34.25" style="21" customWidth="1"/>
    <col min="12" max="18" width="8.75" style="21"/>
    <col min="19" max="20" width="35" style="21" bestFit="1" customWidth="1"/>
    <col min="21" max="21" width="16.5" style="21" bestFit="1" customWidth="1"/>
    <col min="22" max="25" width="8.75" style="21"/>
    <col min="26" max="26" width="20.75" style="21" customWidth="1"/>
    <col min="27" max="32" width="8.75" style="21"/>
    <col min="33" max="33" width="11" style="21" bestFit="1" customWidth="1"/>
    <col min="34" max="16384" width="8.75" style="21"/>
  </cols>
  <sheetData>
    <row r="2" spans="1:38">
      <c r="A2" s="20"/>
      <c r="B2" s="20" t="s">
        <v>833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</row>
    <row r="3" spans="1:38">
      <c r="A3" s="99"/>
      <c r="B3" s="99"/>
      <c r="C3" s="99"/>
      <c r="D3" s="99"/>
      <c r="E3" s="99" t="s">
        <v>420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</row>
    <row r="4" spans="1:38">
      <c r="A4" s="99"/>
      <c r="B4" s="99"/>
      <c r="C4" s="99"/>
      <c r="D4" s="99"/>
      <c r="E4" s="99"/>
      <c r="F4" s="24" t="s">
        <v>834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</row>
    <row r="5" spans="1:38">
      <c r="A5" s="99"/>
      <c r="B5" s="99"/>
      <c r="C5" s="99"/>
      <c r="D5" s="99"/>
      <c r="E5" s="102"/>
      <c r="F5" s="99"/>
      <c r="G5" s="99"/>
      <c r="H5" s="99" t="s">
        <v>420</v>
      </c>
      <c r="I5" s="99"/>
      <c r="J5" s="99"/>
      <c r="K5" s="102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</row>
    <row r="6" spans="1:38">
      <c r="A6" s="99"/>
      <c r="B6" s="103" t="s">
        <v>418</v>
      </c>
      <c r="C6" s="103" t="s">
        <v>835</v>
      </c>
      <c r="D6" s="99" t="s">
        <v>420</v>
      </c>
      <c r="E6" s="102"/>
      <c r="F6" s="103" t="s">
        <v>418</v>
      </c>
      <c r="G6" s="103" t="s">
        <v>836</v>
      </c>
      <c r="H6" s="99" t="s">
        <v>420</v>
      </c>
      <c r="I6" s="99"/>
      <c r="J6" s="99"/>
      <c r="K6" s="102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</row>
    <row r="7" spans="1:38">
      <c r="A7" s="99"/>
      <c r="B7" s="22" t="s">
        <v>837</v>
      </c>
      <c r="C7" s="22" t="s">
        <v>838</v>
      </c>
      <c r="D7" s="99"/>
      <c r="E7" s="102"/>
      <c r="F7" s="22" t="s">
        <v>839</v>
      </c>
      <c r="G7" s="22" t="s">
        <v>840</v>
      </c>
      <c r="H7" s="99"/>
      <c r="I7" s="99"/>
      <c r="J7" s="99"/>
      <c r="K7" s="23"/>
      <c r="L7" s="23"/>
      <c r="M7" s="99"/>
      <c r="N7" s="99"/>
      <c r="O7" s="102" t="s">
        <v>841</v>
      </c>
      <c r="P7" s="102" t="s">
        <v>842</v>
      </c>
      <c r="Q7" s="102" t="s">
        <v>843</v>
      </c>
      <c r="R7" s="102" t="s">
        <v>844</v>
      </c>
      <c r="S7" s="102"/>
      <c r="T7" s="103" t="s">
        <v>841</v>
      </c>
      <c r="U7" s="103" t="s">
        <v>837</v>
      </c>
      <c r="V7" s="103" t="s">
        <v>843</v>
      </c>
      <c r="W7" s="103" t="s">
        <v>838</v>
      </c>
      <c r="X7" s="99"/>
      <c r="Y7" s="99"/>
      <c r="Z7" t="s">
        <v>18</v>
      </c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</row>
    <row r="8" spans="1:38">
      <c r="A8" s="99"/>
      <c r="B8" s="104" t="s">
        <v>845</v>
      </c>
      <c r="C8" s="104" t="s">
        <v>846</v>
      </c>
      <c r="D8" s="99" t="str">
        <f>"'"&amp;B8&amp;"',"</f>
        <v>'2101306972',</v>
      </c>
      <c r="E8" s="102"/>
      <c r="F8" s="104" t="s">
        <v>847</v>
      </c>
      <c r="G8" s="104" t="s">
        <v>846</v>
      </c>
      <c r="H8" s="99" t="str">
        <f t="shared" ref="H8:H47" si="0">"'"&amp;F8&amp;"',"</f>
        <v>'31000311574643024000000000000000',</v>
      </c>
      <c r="I8" s="99"/>
      <c r="J8" s="99"/>
      <c r="K8" s="102" t="s">
        <v>18</v>
      </c>
      <c r="L8" s="102" t="s">
        <v>848</v>
      </c>
      <c r="M8" s="99"/>
      <c r="N8" s="99"/>
      <c r="O8" s="102" t="s">
        <v>849</v>
      </c>
      <c r="P8" s="102" t="s">
        <v>850</v>
      </c>
      <c r="Q8" s="102" t="s">
        <v>849</v>
      </c>
      <c r="R8" s="102" t="s">
        <v>851</v>
      </c>
      <c r="S8" s="102"/>
      <c r="T8" s="104" t="s">
        <v>852</v>
      </c>
      <c r="U8" s="104" t="s">
        <v>853</v>
      </c>
      <c r="V8" s="103" t="s">
        <v>846</v>
      </c>
      <c r="W8" s="103" t="s">
        <v>846</v>
      </c>
      <c r="X8" s="99"/>
      <c r="Y8" s="99"/>
      <c r="Z8" t="s">
        <v>854</v>
      </c>
      <c r="AA8" s="99" t="str">
        <f>"'"&amp;Z8&amp;"',"</f>
        <v>'31000323464944020000000000000000',</v>
      </c>
      <c r="AB8" s="99"/>
      <c r="AC8" s="99"/>
      <c r="AD8" s="99"/>
      <c r="AE8" s="99"/>
      <c r="AF8" s="99"/>
      <c r="AG8" t="s">
        <v>855</v>
      </c>
      <c r="AH8" s="99" t="e">
        <f>VLOOKUP(AG8,#REF!,1,0)</f>
        <v>#REF!</v>
      </c>
      <c r="AI8" s="99"/>
      <c r="AJ8" s="99"/>
      <c r="AK8" t="s">
        <v>18</v>
      </c>
      <c r="AL8" s="99"/>
    </row>
    <row r="9" spans="1:38">
      <c r="A9" s="99"/>
      <c r="B9" s="104" t="s">
        <v>856</v>
      </c>
      <c r="C9" s="104" t="s">
        <v>846</v>
      </c>
      <c r="D9" s="99" t="str">
        <f t="shared" ref="D9:D54" si="1">"'"&amp;B9&amp;"',"</f>
        <v>'8009323121',</v>
      </c>
      <c r="E9" s="102"/>
      <c r="F9" s="104" t="s">
        <v>857</v>
      </c>
      <c r="G9" s="104" t="s">
        <v>846</v>
      </c>
      <c r="H9" s="99" t="str">
        <f t="shared" si="0"/>
        <v>'31000800026380024000000000000000',</v>
      </c>
      <c r="I9" s="99"/>
      <c r="J9" s="99"/>
      <c r="K9" s="102" t="s">
        <v>858</v>
      </c>
      <c r="L9" s="102" t="s">
        <v>859</v>
      </c>
      <c r="M9" s="99"/>
      <c r="N9" s="99"/>
      <c r="O9" s="102" t="s">
        <v>860</v>
      </c>
      <c r="P9" s="102" t="s">
        <v>859</v>
      </c>
      <c r="Q9" s="102" t="s">
        <v>860</v>
      </c>
      <c r="R9" s="102" t="s">
        <v>861</v>
      </c>
      <c r="S9" s="102"/>
      <c r="T9" s="104" t="s">
        <v>862</v>
      </c>
      <c r="U9" s="104" t="s">
        <v>853</v>
      </c>
      <c r="V9" s="103" t="s">
        <v>846</v>
      </c>
      <c r="W9" s="103" t="s">
        <v>846</v>
      </c>
      <c r="X9" s="99"/>
      <c r="Y9" s="99"/>
      <c r="Z9" t="s">
        <v>863</v>
      </c>
      <c r="AA9" s="99" t="str">
        <f t="shared" ref="AA9:AA72" si="2">"'"&amp;Z9&amp;"',"</f>
        <v>'31000348037154020000000000000000',</v>
      </c>
      <c r="AB9" s="99"/>
      <c r="AC9" s="99"/>
      <c r="AD9" s="99"/>
      <c r="AE9" s="99"/>
      <c r="AF9" s="99"/>
      <c r="AG9" t="s">
        <v>864</v>
      </c>
      <c r="AH9" s="99" t="e">
        <f>VLOOKUP(AG9,#REF!,1,0)</f>
        <v>#REF!</v>
      </c>
      <c r="AI9" s="99"/>
      <c r="AJ9" s="99"/>
      <c r="AK9" t="s">
        <v>865</v>
      </c>
      <c r="AL9" s="99" t="e">
        <f>VLOOKUP(AK9,#REF!,1,0)</f>
        <v>#REF!</v>
      </c>
    </row>
    <row r="10" spans="1:38">
      <c r="A10" s="99"/>
      <c r="B10" s="104" t="s">
        <v>866</v>
      </c>
      <c r="C10" s="104" t="s">
        <v>846</v>
      </c>
      <c r="D10" s="99" t="str">
        <f t="shared" si="1"/>
        <v>'2101522416',</v>
      </c>
      <c r="E10" s="102"/>
      <c r="F10" s="104" t="s">
        <v>867</v>
      </c>
      <c r="G10" s="104" t="s">
        <v>846</v>
      </c>
      <c r="H10" s="99" t="str">
        <f t="shared" si="0"/>
        <v>'31000800099833024000000000000000',</v>
      </c>
      <c r="I10" s="99"/>
      <c r="J10" s="99"/>
      <c r="K10" s="102" t="s">
        <v>868</v>
      </c>
      <c r="L10" s="102" t="s">
        <v>859</v>
      </c>
      <c r="M10" s="99"/>
      <c r="N10" s="99"/>
      <c r="O10" s="102" t="s">
        <v>869</v>
      </c>
      <c r="P10" s="102" t="s">
        <v>859</v>
      </c>
      <c r="Q10" s="102" t="s">
        <v>869</v>
      </c>
      <c r="R10" s="102" t="s">
        <v>870</v>
      </c>
      <c r="S10" s="102"/>
      <c r="T10" s="104" t="s">
        <v>871</v>
      </c>
      <c r="U10" s="104" t="s">
        <v>853</v>
      </c>
      <c r="V10" s="103" t="s">
        <v>846</v>
      </c>
      <c r="W10" s="103" t="s">
        <v>846</v>
      </c>
      <c r="X10" s="99"/>
      <c r="Y10" s="99"/>
      <c r="Z10" t="s">
        <v>872</v>
      </c>
      <c r="AA10" s="99" t="str">
        <f t="shared" si="2"/>
        <v>'31000352701281020000000000000000',</v>
      </c>
      <c r="AB10" s="99"/>
      <c r="AC10" s="99"/>
      <c r="AD10" s="99"/>
      <c r="AE10" s="99"/>
      <c r="AF10" s="99"/>
      <c r="AG10" t="s">
        <v>873</v>
      </c>
      <c r="AH10" s="99" t="e">
        <f>VLOOKUP(AG10,#REF!,1,0)</f>
        <v>#REF!</v>
      </c>
      <c r="AI10" s="99"/>
      <c r="AJ10" s="99"/>
      <c r="AK10" t="s">
        <v>874</v>
      </c>
      <c r="AL10" s="99" t="e">
        <f>VLOOKUP(AK10,#REF!,1,0)</f>
        <v>#REF!</v>
      </c>
    </row>
    <row r="11" spans="1:38">
      <c r="A11" s="99"/>
      <c r="B11" s="104" t="s">
        <v>875</v>
      </c>
      <c r="C11" s="104" t="s">
        <v>846</v>
      </c>
      <c r="D11" s="99" t="str">
        <f t="shared" si="1"/>
        <v>'2100862804',</v>
      </c>
      <c r="E11" s="102"/>
      <c r="F11" s="104" t="s">
        <v>876</v>
      </c>
      <c r="G11" s="104" t="s">
        <v>846</v>
      </c>
      <c r="H11" s="99" t="str">
        <f t="shared" si="0"/>
        <v>'31000800147905024000000000000000',</v>
      </c>
      <c r="I11" s="99"/>
      <c r="J11" s="99"/>
      <c r="K11" s="102" t="s">
        <v>877</v>
      </c>
      <c r="L11" s="102" t="s">
        <v>859</v>
      </c>
      <c r="M11" s="99"/>
      <c r="N11" s="99"/>
      <c r="O11" s="102" t="s">
        <v>849</v>
      </c>
      <c r="P11" s="102" t="s">
        <v>850</v>
      </c>
      <c r="Q11" s="102" t="s">
        <v>849</v>
      </c>
      <c r="R11" s="102" t="s">
        <v>878</v>
      </c>
      <c r="S11" s="102"/>
      <c r="T11" s="104" t="s">
        <v>879</v>
      </c>
      <c r="U11" s="104" t="s">
        <v>853</v>
      </c>
      <c r="V11" s="103" t="s">
        <v>846</v>
      </c>
      <c r="W11" s="103" t="s">
        <v>846</v>
      </c>
      <c r="X11" s="99"/>
      <c r="Y11" s="99"/>
      <c r="Z11" t="s">
        <v>880</v>
      </c>
      <c r="AA11" s="99" t="str">
        <f t="shared" si="2"/>
        <v>'31003198725950011557241000000001',</v>
      </c>
      <c r="AB11" s="99"/>
      <c r="AC11" s="99"/>
      <c r="AD11" s="99"/>
      <c r="AE11" s="99"/>
      <c r="AF11" s="99"/>
      <c r="AG11" t="s">
        <v>881</v>
      </c>
      <c r="AH11" s="99" t="e">
        <f>VLOOKUP(AG11,#REF!,1,0)</f>
        <v>#REF!</v>
      </c>
      <c r="AI11" s="99"/>
      <c r="AJ11" s="99"/>
      <c r="AK11" t="s">
        <v>882</v>
      </c>
      <c r="AL11" s="99" t="e">
        <f>VLOOKUP(AK11,#REF!,1,0)</f>
        <v>#REF!</v>
      </c>
    </row>
    <row r="12" spans="1:38">
      <c r="A12" s="99"/>
      <c r="B12" s="104" t="s">
        <v>883</v>
      </c>
      <c r="C12" s="104" t="s">
        <v>846</v>
      </c>
      <c r="D12" s="99" t="str">
        <f t="shared" si="1"/>
        <v>'2101522412',</v>
      </c>
      <c r="E12" s="102"/>
      <c r="F12" s="104" t="s">
        <v>884</v>
      </c>
      <c r="G12" s="104" t="s">
        <v>846</v>
      </c>
      <c r="H12" s="99" t="str">
        <f t="shared" si="0"/>
        <v>'31000800330113024000000000000000',</v>
      </c>
      <c r="I12" s="99"/>
      <c r="J12" s="99"/>
      <c r="K12" s="102" t="s">
        <v>885</v>
      </c>
      <c r="L12" s="102" t="s">
        <v>859</v>
      </c>
      <c r="M12" s="99"/>
      <c r="N12" s="99"/>
      <c r="O12" s="102" t="s">
        <v>886</v>
      </c>
      <c r="P12" s="102" t="s">
        <v>859</v>
      </c>
      <c r="Q12" s="102" t="s">
        <v>886</v>
      </c>
      <c r="R12" s="102" t="s">
        <v>887</v>
      </c>
      <c r="S12" s="102"/>
      <c r="T12" s="104" t="s">
        <v>888</v>
      </c>
      <c r="U12" s="104" t="s">
        <v>853</v>
      </c>
      <c r="V12" s="103" t="s">
        <v>846</v>
      </c>
      <c r="W12" s="103" t="s">
        <v>846</v>
      </c>
      <c r="X12" s="99"/>
      <c r="Y12" s="99"/>
      <c r="Z12" t="s">
        <v>889</v>
      </c>
      <c r="AA12" s="99" t="str">
        <f t="shared" si="2"/>
        <v>'31000350488782020000000000000000',</v>
      </c>
      <c r="AB12" s="99"/>
      <c r="AC12" s="99"/>
      <c r="AD12" s="99"/>
      <c r="AE12" s="99"/>
      <c r="AF12" s="99"/>
      <c r="AG12" t="s">
        <v>890</v>
      </c>
      <c r="AH12" s="99" t="e">
        <f>VLOOKUP(AG12,#REF!,1,0)</f>
        <v>#REF!</v>
      </c>
      <c r="AI12" s="99"/>
      <c r="AJ12" s="99"/>
      <c r="AK12" t="s">
        <v>891</v>
      </c>
      <c r="AL12" s="99" t="e">
        <f>VLOOKUP(AK12,#REF!,1,0)</f>
        <v>#REF!</v>
      </c>
    </row>
    <row r="13" spans="1:38">
      <c r="A13" s="99"/>
      <c r="B13" s="104" t="s">
        <v>892</v>
      </c>
      <c r="C13" s="104" t="s">
        <v>846</v>
      </c>
      <c r="D13" s="99" t="str">
        <f t="shared" si="1"/>
        <v>'8006876858',</v>
      </c>
      <c r="E13" s="102"/>
      <c r="F13" s="104" t="s">
        <v>893</v>
      </c>
      <c r="G13" s="104" t="s">
        <v>846</v>
      </c>
      <c r="H13" s="99" t="str">
        <f t="shared" si="0"/>
        <v>'31000310948095024000000000000000',</v>
      </c>
      <c r="I13" s="99"/>
      <c r="J13" s="99"/>
      <c r="K13" s="102" t="s">
        <v>894</v>
      </c>
      <c r="L13" s="102" t="s">
        <v>859</v>
      </c>
      <c r="M13" s="99"/>
      <c r="N13" s="99"/>
      <c r="O13" s="102" t="s">
        <v>895</v>
      </c>
      <c r="P13" s="102" t="s">
        <v>850</v>
      </c>
      <c r="Q13" s="102" t="s">
        <v>895</v>
      </c>
      <c r="R13" s="102" t="s">
        <v>896</v>
      </c>
      <c r="S13" s="102"/>
      <c r="T13" s="104" t="s">
        <v>897</v>
      </c>
      <c r="U13" s="104" t="s">
        <v>853</v>
      </c>
      <c r="V13" s="103" t="s">
        <v>846</v>
      </c>
      <c r="W13" s="103" t="s">
        <v>846</v>
      </c>
      <c r="X13" s="99"/>
      <c r="Y13" s="99"/>
      <c r="Z13" t="s">
        <v>898</v>
      </c>
      <c r="AA13" s="99" t="str">
        <f t="shared" si="2"/>
        <v>'31000351942118020000000000000000',</v>
      </c>
      <c r="AB13" s="99"/>
      <c r="AC13" s="99"/>
      <c r="AD13" s="99"/>
      <c r="AE13" s="99"/>
      <c r="AF13" s="99"/>
      <c r="AG13" t="s">
        <v>899</v>
      </c>
      <c r="AH13" s="99" t="e">
        <f>VLOOKUP(AG13,#REF!,1,0)</f>
        <v>#REF!</v>
      </c>
      <c r="AI13" s="99"/>
      <c r="AJ13" s="99"/>
      <c r="AK13" t="s">
        <v>900</v>
      </c>
      <c r="AL13" s="99" t="e">
        <f>VLOOKUP(AK13,#REF!,1,0)</f>
        <v>#REF!</v>
      </c>
    </row>
    <row r="14" spans="1:38">
      <c r="A14" s="99"/>
      <c r="B14" s="104" t="s">
        <v>901</v>
      </c>
      <c r="C14" s="104" t="s">
        <v>846</v>
      </c>
      <c r="D14" s="99" t="str">
        <f t="shared" si="1"/>
        <v>'2101826303',</v>
      </c>
      <c r="E14" s="102"/>
      <c r="F14" s="104" t="s">
        <v>902</v>
      </c>
      <c r="G14" s="104" t="s">
        <v>846</v>
      </c>
      <c r="H14" s="99" t="str">
        <f t="shared" si="0"/>
        <v>'31000800097233024000000000000000',</v>
      </c>
      <c r="I14" s="99"/>
      <c r="J14" s="99"/>
      <c r="K14" s="102" t="s">
        <v>903</v>
      </c>
      <c r="L14" s="102" t="s">
        <v>859</v>
      </c>
      <c r="M14" s="99"/>
      <c r="N14" s="99"/>
      <c r="O14" s="102" t="s">
        <v>904</v>
      </c>
      <c r="P14" s="102" t="s">
        <v>859</v>
      </c>
      <c r="Q14" s="102" t="s">
        <v>904</v>
      </c>
      <c r="R14" s="102" t="s">
        <v>905</v>
      </c>
      <c r="S14" s="102"/>
      <c r="T14" s="104" t="s">
        <v>906</v>
      </c>
      <c r="U14" s="104" t="s">
        <v>853</v>
      </c>
      <c r="V14" s="103" t="s">
        <v>846</v>
      </c>
      <c r="W14" s="103" t="s">
        <v>846</v>
      </c>
      <c r="X14" s="99"/>
      <c r="Y14" s="99"/>
      <c r="Z14" t="s">
        <v>907</v>
      </c>
      <c r="AA14" s="99" t="str">
        <f t="shared" si="2"/>
        <v>'31000351914497020000000000000000',</v>
      </c>
      <c r="AB14" s="99"/>
      <c r="AC14" s="99"/>
      <c r="AD14" s="99"/>
      <c r="AE14" s="99"/>
      <c r="AF14" s="99"/>
      <c r="AG14" t="s">
        <v>908</v>
      </c>
      <c r="AH14" s="99" t="e">
        <f>VLOOKUP(AG14,#REF!,1,0)</f>
        <v>#REF!</v>
      </c>
      <c r="AI14" s="99"/>
      <c r="AJ14" s="99"/>
      <c r="AK14" t="s">
        <v>909</v>
      </c>
      <c r="AL14" s="99" t="e">
        <f>VLOOKUP(AK14,#REF!,1,0)</f>
        <v>#REF!</v>
      </c>
    </row>
    <row r="15" spans="1:38">
      <c r="A15" s="99"/>
      <c r="B15" s="104" t="s">
        <v>910</v>
      </c>
      <c r="C15" s="104" t="s">
        <v>846</v>
      </c>
      <c r="D15" s="99" t="str">
        <f t="shared" si="1"/>
        <v>'2100457954',</v>
      </c>
      <c r="E15" s="102"/>
      <c r="F15" s="104" t="s">
        <v>911</v>
      </c>
      <c r="G15" s="104" t="s">
        <v>846</v>
      </c>
      <c r="H15" s="99" t="str">
        <f t="shared" si="0"/>
        <v>'31000800287404024000000000000000',</v>
      </c>
      <c r="I15" s="99"/>
      <c r="J15" s="99"/>
      <c r="K15" s="102" t="s">
        <v>428</v>
      </c>
      <c r="L15" s="102" t="s">
        <v>859</v>
      </c>
      <c r="M15" s="99"/>
      <c r="N15" s="99"/>
      <c r="O15" s="102" t="s">
        <v>912</v>
      </c>
      <c r="P15" s="102" t="s">
        <v>850</v>
      </c>
      <c r="Q15" s="102" t="s">
        <v>912</v>
      </c>
      <c r="R15" s="102" t="s">
        <v>913</v>
      </c>
      <c r="S15" s="102"/>
      <c r="T15" s="104" t="s">
        <v>914</v>
      </c>
      <c r="U15" s="104" t="s">
        <v>853</v>
      </c>
      <c r="V15" s="103" t="s">
        <v>846</v>
      </c>
      <c r="W15" s="103" t="s">
        <v>846</v>
      </c>
      <c r="X15" s="99"/>
      <c r="Y15" s="99"/>
      <c r="Z15" t="s">
        <v>915</v>
      </c>
      <c r="AA15" s="99" t="str">
        <f t="shared" si="2"/>
        <v>'31000304297205096000000000000000',</v>
      </c>
      <c r="AB15" s="99"/>
      <c r="AC15" s="99"/>
      <c r="AD15" s="99"/>
      <c r="AE15" s="99"/>
      <c r="AF15" s="99"/>
      <c r="AG15" t="s">
        <v>916</v>
      </c>
      <c r="AH15" s="99" t="e">
        <f>VLOOKUP(AG15,#REF!,1,0)</f>
        <v>#REF!</v>
      </c>
      <c r="AI15" s="99"/>
      <c r="AJ15" s="99"/>
      <c r="AK15" t="s">
        <v>917</v>
      </c>
      <c r="AL15" s="99" t="e">
        <f>VLOOKUP(AK15,#REF!,1,0)</f>
        <v>#REF!</v>
      </c>
    </row>
    <row r="16" spans="1:38">
      <c r="A16" s="99"/>
      <c r="B16" s="104" t="s">
        <v>918</v>
      </c>
      <c r="C16" s="104" t="s">
        <v>846</v>
      </c>
      <c r="D16" s="99" t="str">
        <f t="shared" si="1"/>
        <v>'2100628906',</v>
      </c>
      <c r="E16" s="102"/>
      <c r="F16" s="104" t="s">
        <v>919</v>
      </c>
      <c r="G16" s="104" t="s">
        <v>846</v>
      </c>
      <c r="H16" s="99" t="str">
        <f t="shared" si="0"/>
        <v>'31000800344775024000000000000000',</v>
      </c>
      <c r="I16" s="99"/>
      <c r="J16" s="99"/>
      <c r="K16" s="102" t="s">
        <v>867</v>
      </c>
      <c r="L16" s="102" t="s">
        <v>859</v>
      </c>
      <c r="M16" s="99"/>
      <c r="N16" s="99"/>
      <c r="O16" s="102" t="s">
        <v>920</v>
      </c>
      <c r="P16" s="102" t="s">
        <v>859</v>
      </c>
      <c r="Q16" s="102" t="s">
        <v>920</v>
      </c>
      <c r="R16" s="102" t="s">
        <v>921</v>
      </c>
      <c r="S16" s="102"/>
      <c r="T16" s="104" t="s">
        <v>922</v>
      </c>
      <c r="U16" s="104" t="s">
        <v>853</v>
      </c>
      <c r="V16" s="103" t="s">
        <v>846</v>
      </c>
      <c r="W16" s="103" t="s">
        <v>846</v>
      </c>
      <c r="X16" s="99"/>
      <c r="Y16" s="99"/>
      <c r="Z16" t="s">
        <v>923</v>
      </c>
      <c r="AA16" s="99" t="str">
        <f t="shared" si="2"/>
        <v>'31000351216562020000000000000000',</v>
      </c>
      <c r="AB16" s="99"/>
      <c r="AC16" s="99"/>
      <c r="AD16" s="99"/>
      <c r="AE16" s="99"/>
      <c r="AF16" s="99"/>
      <c r="AG16" t="s">
        <v>924</v>
      </c>
      <c r="AH16" s="99" t="e">
        <f>VLOOKUP(AG16,#REF!,1,0)</f>
        <v>#REF!</v>
      </c>
      <c r="AI16" s="99"/>
      <c r="AJ16" s="99"/>
      <c r="AK16" t="s">
        <v>925</v>
      </c>
      <c r="AL16" s="99" t="e">
        <f>VLOOKUP(AK16,#REF!,1,0)</f>
        <v>#REF!</v>
      </c>
    </row>
    <row r="17" spans="2:38">
      <c r="B17" s="104" t="s">
        <v>926</v>
      </c>
      <c r="C17" s="104" t="s">
        <v>846</v>
      </c>
      <c r="D17" s="99" t="str">
        <f t="shared" si="1"/>
        <v>'2100393970',</v>
      </c>
      <c r="E17" s="102"/>
      <c r="F17" s="104" t="s">
        <v>428</v>
      </c>
      <c r="G17" s="104" t="s">
        <v>846</v>
      </c>
      <c r="H17" s="99" t="str">
        <f t="shared" si="0"/>
        <v>'31000311125057024000000000000000',</v>
      </c>
      <c r="I17" s="99"/>
      <c r="J17" s="99"/>
      <c r="K17" s="102" t="s">
        <v>927</v>
      </c>
      <c r="L17" s="102" t="s">
        <v>859</v>
      </c>
      <c r="M17" s="99"/>
      <c r="N17" s="99"/>
      <c r="O17" s="102" t="s">
        <v>928</v>
      </c>
      <c r="P17" s="102" t="s">
        <v>859</v>
      </c>
      <c r="Q17" s="102" t="s">
        <v>928</v>
      </c>
      <c r="R17" s="102" t="s">
        <v>929</v>
      </c>
      <c r="S17" s="102"/>
      <c r="T17" s="104" t="s">
        <v>930</v>
      </c>
      <c r="U17" s="104" t="s">
        <v>853</v>
      </c>
      <c r="V17" s="103" t="s">
        <v>846</v>
      </c>
      <c r="W17" s="103" t="s">
        <v>846</v>
      </c>
      <c r="X17" s="99"/>
      <c r="Y17" s="99"/>
      <c r="Z17" t="s">
        <v>931</v>
      </c>
      <c r="AA17" s="99" t="str">
        <f t="shared" si="2"/>
        <v>'31000339413042020000000000000000',</v>
      </c>
      <c r="AB17" s="99"/>
      <c r="AC17" s="99"/>
      <c r="AD17" s="99"/>
      <c r="AE17" s="99"/>
      <c r="AF17" s="99"/>
      <c r="AG17" t="s">
        <v>932</v>
      </c>
      <c r="AH17" s="99" t="e">
        <f>VLOOKUP(AG17,#REF!,1,0)</f>
        <v>#REF!</v>
      </c>
      <c r="AI17" s="99"/>
      <c r="AJ17" s="99"/>
      <c r="AK17" t="s">
        <v>933</v>
      </c>
      <c r="AL17" s="99" t="e">
        <f>VLOOKUP(AK17,#REF!,1,0)</f>
        <v>#REF!</v>
      </c>
    </row>
    <row r="18" spans="2:38">
      <c r="B18" s="104" t="s">
        <v>934</v>
      </c>
      <c r="C18" s="104" t="s">
        <v>846</v>
      </c>
      <c r="D18" s="99" t="str">
        <f t="shared" si="1"/>
        <v>'2100441745',</v>
      </c>
      <c r="E18" s="102"/>
      <c r="F18" s="104" t="s">
        <v>935</v>
      </c>
      <c r="G18" s="104" t="s">
        <v>846</v>
      </c>
      <c r="H18" s="99" t="str">
        <f t="shared" si="0"/>
        <v>'31000311566060024000000000000000',</v>
      </c>
      <c r="I18" s="99"/>
      <c r="J18" s="99"/>
      <c r="K18" s="102" t="s">
        <v>928</v>
      </c>
      <c r="L18" s="102" t="s">
        <v>859</v>
      </c>
      <c r="M18" s="99"/>
      <c r="N18" s="99"/>
      <c r="O18" s="102" t="s">
        <v>860</v>
      </c>
      <c r="P18" s="102" t="s">
        <v>859</v>
      </c>
      <c r="Q18" s="102" t="s">
        <v>860</v>
      </c>
      <c r="R18" s="102" t="s">
        <v>936</v>
      </c>
      <c r="S18" s="102"/>
      <c r="T18" s="104" t="s">
        <v>937</v>
      </c>
      <c r="U18" s="104" t="s">
        <v>853</v>
      </c>
      <c r="V18" s="103" t="s">
        <v>846</v>
      </c>
      <c r="W18" s="103" t="s">
        <v>846</v>
      </c>
      <c r="X18" s="99"/>
      <c r="Y18" s="99"/>
      <c r="Z18" t="s">
        <v>938</v>
      </c>
      <c r="AA18" s="99" t="str">
        <f t="shared" si="2"/>
        <v>'31000324308736020000000000000000',</v>
      </c>
      <c r="AB18" s="99"/>
      <c r="AC18" s="99"/>
      <c r="AD18" s="99"/>
      <c r="AE18" s="99"/>
      <c r="AF18" s="99"/>
      <c r="AG18" t="s">
        <v>939</v>
      </c>
      <c r="AH18" s="99" t="e">
        <f>VLOOKUP(AG18,#REF!,1,0)</f>
        <v>#REF!</v>
      </c>
      <c r="AI18" s="99"/>
      <c r="AJ18" s="99"/>
      <c r="AK18" t="s">
        <v>940</v>
      </c>
      <c r="AL18" s="99" t="e">
        <f>VLOOKUP(AK18,#REF!,1,0)</f>
        <v>#REF!</v>
      </c>
    </row>
    <row r="19" spans="2:38">
      <c r="B19" s="104" t="s">
        <v>941</v>
      </c>
      <c r="C19" s="104" t="s">
        <v>846</v>
      </c>
      <c r="D19" s="99" t="str">
        <f t="shared" si="1"/>
        <v>'2100472179',</v>
      </c>
      <c r="E19" s="102"/>
      <c r="F19" s="104" t="s">
        <v>942</v>
      </c>
      <c r="G19" s="104" t="s">
        <v>846</v>
      </c>
      <c r="H19" s="99" t="str">
        <f t="shared" si="0"/>
        <v>'31000311569221024000000000000000',</v>
      </c>
      <c r="I19" s="99"/>
      <c r="J19" s="99"/>
      <c r="K19" s="102" t="s">
        <v>902</v>
      </c>
      <c r="L19" s="102" t="s">
        <v>859</v>
      </c>
      <c r="M19" s="99"/>
      <c r="N19" s="99"/>
      <c r="O19" s="102" t="s">
        <v>943</v>
      </c>
      <c r="P19" s="102" t="s">
        <v>850</v>
      </c>
      <c r="Q19" s="102" t="s">
        <v>943</v>
      </c>
      <c r="R19" s="102" t="s">
        <v>944</v>
      </c>
      <c r="S19" s="102"/>
      <c r="T19" s="104" t="s">
        <v>945</v>
      </c>
      <c r="U19" s="104" t="s">
        <v>853</v>
      </c>
      <c r="V19" s="103" t="s">
        <v>846</v>
      </c>
      <c r="W19" s="103" t="s">
        <v>846</v>
      </c>
      <c r="X19" s="99"/>
      <c r="Y19" s="99"/>
      <c r="Z19" t="s">
        <v>946</v>
      </c>
      <c r="AA19" s="99" t="str">
        <f t="shared" si="2"/>
        <v>'31000337746179020000000000000000',</v>
      </c>
      <c r="AB19" s="99"/>
      <c r="AC19" s="99"/>
      <c r="AD19" s="99"/>
      <c r="AE19" s="99"/>
      <c r="AF19" s="99"/>
      <c r="AG19" t="s">
        <v>947</v>
      </c>
      <c r="AH19" s="99" t="e">
        <f>VLOOKUP(AG19,#REF!,1,0)</f>
        <v>#REF!</v>
      </c>
      <c r="AI19" s="99"/>
      <c r="AJ19" s="99"/>
      <c r="AK19" t="s">
        <v>948</v>
      </c>
      <c r="AL19" s="99" t="e">
        <f>VLOOKUP(AK19,#REF!,1,0)</f>
        <v>#REF!</v>
      </c>
    </row>
    <row r="20" spans="2:38">
      <c r="B20" s="104" t="s">
        <v>949</v>
      </c>
      <c r="C20" s="104" t="s">
        <v>846</v>
      </c>
      <c r="D20" s="99" t="str">
        <f t="shared" si="1"/>
        <v>'2100378985',</v>
      </c>
      <c r="E20" s="102"/>
      <c r="F20" s="104" t="s">
        <v>950</v>
      </c>
      <c r="G20" s="104" t="s">
        <v>846</v>
      </c>
      <c r="H20" s="99" t="str">
        <f t="shared" si="0"/>
        <v>'31000311342967024000000000000000',</v>
      </c>
      <c r="I20" s="99"/>
      <c r="J20" s="99"/>
      <c r="K20" s="102" t="s">
        <v>951</v>
      </c>
      <c r="L20" s="102" t="s">
        <v>859</v>
      </c>
      <c r="M20" s="99"/>
      <c r="N20" s="99"/>
      <c r="O20" s="102" t="s">
        <v>869</v>
      </c>
      <c r="P20" s="102" t="s">
        <v>859</v>
      </c>
      <c r="Q20" s="102" t="s">
        <v>869</v>
      </c>
      <c r="R20" s="102" t="s">
        <v>952</v>
      </c>
      <c r="S20" s="102"/>
      <c r="T20" s="104" t="s">
        <v>953</v>
      </c>
      <c r="U20" s="104" t="s">
        <v>853</v>
      </c>
      <c r="V20" s="103" t="s">
        <v>846</v>
      </c>
      <c r="W20" s="103" t="s">
        <v>846</v>
      </c>
      <c r="X20" s="99"/>
      <c r="Y20" s="99"/>
      <c r="Z20" t="s">
        <v>954</v>
      </c>
      <c r="AA20" s="99" t="str">
        <f t="shared" si="2"/>
        <v>'31000351184422020000000000000000',</v>
      </c>
      <c r="AB20" s="99"/>
      <c r="AC20" s="99"/>
      <c r="AD20" s="99"/>
      <c r="AE20" s="99"/>
      <c r="AF20" s="99"/>
      <c r="AG20" t="s">
        <v>955</v>
      </c>
      <c r="AH20" s="99" t="e">
        <f>VLOOKUP(AG20,#REF!,1,0)</f>
        <v>#REF!</v>
      </c>
      <c r="AI20" s="99"/>
      <c r="AJ20" s="99"/>
      <c r="AK20" t="s">
        <v>956</v>
      </c>
      <c r="AL20" s="99" t="e">
        <f>VLOOKUP(AK20,#REF!,1,0)</f>
        <v>#REF!</v>
      </c>
    </row>
    <row r="21" spans="2:38">
      <c r="B21" s="104" t="s">
        <v>957</v>
      </c>
      <c r="C21" s="104" t="s">
        <v>846</v>
      </c>
      <c r="D21" s="99" t="str">
        <f t="shared" si="1"/>
        <v>'2101274698',</v>
      </c>
      <c r="E21" s="102"/>
      <c r="F21" s="104" t="s">
        <v>951</v>
      </c>
      <c r="G21" s="104" t="s">
        <v>846</v>
      </c>
      <c r="H21" s="99" t="str">
        <f t="shared" si="0"/>
        <v>'31000035231464001000000000000000',</v>
      </c>
      <c r="I21" s="99"/>
      <c r="J21" s="99"/>
      <c r="K21" s="102" t="s">
        <v>958</v>
      </c>
      <c r="L21" s="102" t="s">
        <v>859</v>
      </c>
      <c r="M21" s="99"/>
      <c r="N21" s="99"/>
      <c r="O21" s="102" t="s">
        <v>959</v>
      </c>
      <c r="P21" s="102" t="s">
        <v>960</v>
      </c>
      <c r="Q21" s="102" t="s">
        <v>959</v>
      </c>
      <c r="R21" s="102" t="s">
        <v>961</v>
      </c>
      <c r="S21" s="102"/>
      <c r="T21" s="104" t="s">
        <v>962</v>
      </c>
      <c r="U21" s="104" t="s">
        <v>853</v>
      </c>
      <c r="V21" s="103" t="s">
        <v>846</v>
      </c>
      <c r="W21" s="103" t="s">
        <v>846</v>
      </c>
      <c r="X21" s="99"/>
      <c r="Y21" s="99"/>
      <c r="Z21" t="s">
        <v>963</v>
      </c>
      <c r="AA21" s="99" t="str">
        <f t="shared" si="2"/>
        <v>'31000317058181020000000000000000',</v>
      </c>
      <c r="AB21" s="99"/>
      <c r="AC21" s="99"/>
      <c r="AD21" s="99"/>
      <c r="AE21" s="99"/>
      <c r="AF21" s="99"/>
      <c r="AG21" t="s">
        <v>964</v>
      </c>
      <c r="AH21" s="99" t="e">
        <f>VLOOKUP(AG21,#REF!,1,0)</f>
        <v>#REF!</v>
      </c>
      <c r="AI21" s="99"/>
      <c r="AJ21" s="99"/>
      <c r="AK21" t="s">
        <v>965</v>
      </c>
      <c r="AL21" s="99" t="e">
        <f>VLOOKUP(AK21,#REF!,1,0)</f>
        <v>#REF!</v>
      </c>
    </row>
    <row r="22" spans="2:38">
      <c r="B22" s="104" t="s">
        <v>966</v>
      </c>
      <c r="C22" s="104" t="s">
        <v>846</v>
      </c>
      <c r="D22" s="99" t="str">
        <f t="shared" si="1"/>
        <v>'2100468419',</v>
      </c>
      <c r="E22" s="102"/>
      <c r="F22" s="104" t="s">
        <v>967</v>
      </c>
      <c r="G22" s="104" t="s">
        <v>846</v>
      </c>
      <c r="H22" s="99" t="str">
        <f t="shared" si="0"/>
        <v>'31000311125628024000000000000000',</v>
      </c>
      <c r="I22" s="99"/>
      <c r="J22" s="99"/>
      <c r="K22" s="102" t="s">
        <v>968</v>
      </c>
      <c r="L22" s="102" t="s">
        <v>859</v>
      </c>
      <c r="M22" s="99"/>
      <c r="N22" s="99"/>
      <c r="O22" s="102" t="s">
        <v>969</v>
      </c>
      <c r="P22" s="102" t="s">
        <v>859</v>
      </c>
      <c r="Q22" s="102" t="s">
        <v>969</v>
      </c>
      <c r="R22" s="102" t="s">
        <v>970</v>
      </c>
      <c r="S22" s="102"/>
      <c r="T22" s="104" t="s">
        <v>971</v>
      </c>
      <c r="U22" s="104" t="s">
        <v>853</v>
      </c>
      <c r="V22" s="103" t="s">
        <v>846</v>
      </c>
      <c r="W22" s="103" t="s">
        <v>846</v>
      </c>
      <c r="X22" s="99"/>
      <c r="Y22" s="99"/>
      <c r="Z22" t="s">
        <v>972</v>
      </c>
      <c r="AA22" s="99" t="str">
        <f t="shared" si="2"/>
        <v>'31000316648262096000000000000000',</v>
      </c>
      <c r="AB22" s="99"/>
      <c r="AC22" s="99"/>
      <c r="AD22" s="99"/>
      <c r="AE22" s="99"/>
      <c r="AF22" s="99"/>
      <c r="AG22" t="s">
        <v>973</v>
      </c>
      <c r="AH22" s="99" t="e">
        <f>VLOOKUP(AG22,#REF!,1,0)</f>
        <v>#REF!</v>
      </c>
      <c r="AI22" s="99"/>
      <c r="AJ22" s="99"/>
      <c r="AK22" t="s">
        <v>974</v>
      </c>
      <c r="AL22" s="99" t="e">
        <f>VLOOKUP(AK22,#REF!,1,0)</f>
        <v>#REF!</v>
      </c>
    </row>
    <row r="23" spans="2:38">
      <c r="B23" s="104" t="s">
        <v>975</v>
      </c>
      <c r="C23" s="104" t="s">
        <v>846</v>
      </c>
      <c r="D23" s="99" t="str">
        <f t="shared" si="1"/>
        <v>'2100448603',</v>
      </c>
      <c r="E23" s="102"/>
      <c r="F23" s="104" t="s">
        <v>976</v>
      </c>
      <c r="G23" s="104" t="s">
        <v>846</v>
      </c>
      <c r="H23" s="99" t="str">
        <f t="shared" si="0"/>
        <v>'31000311560131030000000000000000',</v>
      </c>
      <c r="I23" s="99"/>
      <c r="J23" s="99"/>
      <c r="K23" s="102" t="s">
        <v>935</v>
      </c>
      <c r="L23" s="102" t="s">
        <v>859</v>
      </c>
      <c r="M23" s="99"/>
      <c r="N23" s="99"/>
      <c r="O23" s="102" t="s">
        <v>977</v>
      </c>
      <c r="P23" s="102" t="s">
        <v>850</v>
      </c>
      <c r="Q23" s="102" t="s">
        <v>977</v>
      </c>
      <c r="R23" s="102" t="s">
        <v>978</v>
      </c>
      <c r="S23" s="102"/>
      <c r="T23" s="104" t="s">
        <v>979</v>
      </c>
      <c r="U23" s="104" t="s">
        <v>853</v>
      </c>
      <c r="V23" s="103" t="s">
        <v>846</v>
      </c>
      <c r="W23" s="103" t="s">
        <v>846</v>
      </c>
      <c r="X23" s="99"/>
      <c r="Y23" s="99"/>
      <c r="Z23" t="s">
        <v>980</v>
      </c>
      <c r="AA23" s="99" t="str">
        <f t="shared" si="2"/>
        <v>'31000008039719001000000000000000',</v>
      </c>
      <c r="AB23" s="99"/>
      <c r="AC23" s="99"/>
      <c r="AD23" s="99"/>
      <c r="AE23" s="99"/>
      <c r="AF23" s="99"/>
      <c r="AG23" t="s">
        <v>981</v>
      </c>
      <c r="AH23" s="99" t="e">
        <f>VLOOKUP(AG23,#REF!,1,0)</f>
        <v>#REF!</v>
      </c>
      <c r="AI23" s="99"/>
      <c r="AJ23" s="99"/>
      <c r="AK23" t="s">
        <v>982</v>
      </c>
      <c r="AL23" s="99" t="e">
        <f>VLOOKUP(AK23,#REF!,1,0)</f>
        <v>#REF!</v>
      </c>
    </row>
    <row r="24" spans="2:38">
      <c r="B24" s="104" t="s">
        <v>983</v>
      </c>
      <c r="C24" s="104" t="s">
        <v>846</v>
      </c>
      <c r="D24" s="99" t="str">
        <f t="shared" si="1"/>
        <v>'8044571745',</v>
      </c>
      <c r="E24" s="102"/>
      <c r="F24" s="104" t="s">
        <v>868</v>
      </c>
      <c r="G24" s="104" t="s">
        <v>846</v>
      </c>
      <c r="H24" s="99" t="str">
        <f t="shared" si="0"/>
        <v>'31000311164346024000000000000000',</v>
      </c>
      <c r="I24" s="99"/>
      <c r="J24" s="99"/>
      <c r="K24" s="102" t="s">
        <v>984</v>
      </c>
      <c r="L24" s="102" t="s">
        <v>859</v>
      </c>
      <c r="M24" s="99"/>
      <c r="N24" s="99"/>
      <c r="O24" s="102" t="s">
        <v>927</v>
      </c>
      <c r="P24" s="102" t="s">
        <v>859</v>
      </c>
      <c r="Q24" s="102" t="s">
        <v>927</v>
      </c>
      <c r="R24" s="102" t="s">
        <v>985</v>
      </c>
      <c r="S24" s="102"/>
      <c r="T24" s="104" t="s">
        <v>986</v>
      </c>
      <c r="U24" s="104" t="s">
        <v>853</v>
      </c>
      <c r="V24" s="103" t="s">
        <v>846</v>
      </c>
      <c r="W24" s="103" t="s">
        <v>846</v>
      </c>
      <c r="X24" s="99"/>
      <c r="Y24" s="99"/>
      <c r="Z24" t="s">
        <v>987</v>
      </c>
      <c r="AA24" s="99" t="str">
        <f t="shared" si="2"/>
        <v>'31000040177713001000000000000000',</v>
      </c>
      <c r="AB24" s="99"/>
      <c r="AC24" s="99"/>
      <c r="AD24" s="99"/>
      <c r="AE24" s="99"/>
      <c r="AF24" s="99"/>
      <c r="AG24" t="s">
        <v>988</v>
      </c>
      <c r="AH24" s="99" t="e">
        <f>VLOOKUP(AG24,#REF!,1,0)</f>
        <v>#REF!</v>
      </c>
      <c r="AI24" s="99"/>
      <c r="AJ24" s="99"/>
      <c r="AK24" t="s">
        <v>989</v>
      </c>
      <c r="AL24" s="99" t="e">
        <f>VLOOKUP(AK24,#REF!,1,0)</f>
        <v>#REF!</v>
      </c>
    </row>
    <row r="25" spans="2:38">
      <c r="B25" s="104" t="s">
        <v>990</v>
      </c>
      <c r="C25" s="104" t="s">
        <v>846</v>
      </c>
      <c r="D25" s="99" t="str">
        <f t="shared" si="1"/>
        <v>'8024443804',</v>
      </c>
      <c r="E25" s="102"/>
      <c r="F25" s="104" t="s">
        <v>434</v>
      </c>
      <c r="G25" s="104" t="s">
        <v>846</v>
      </c>
      <c r="H25" s="99" t="str">
        <f t="shared" si="0"/>
        <v>'31000311367824024000000000000000',</v>
      </c>
      <c r="I25" s="99"/>
      <c r="J25" s="99"/>
      <c r="K25" s="102" t="s">
        <v>991</v>
      </c>
      <c r="L25" s="102" t="s">
        <v>859</v>
      </c>
      <c r="M25" s="99"/>
      <c r="N25" s="99"/>
      <c r="O25" s="102" t="s">
        <v>920</v>
      </c>
      <c r="P25" s="102" t="s">
        <v>859</v>
      </c>
      <c r="Q25" s="102" t="s">
        <v>920</v>
      </c>
      <c r="R25" s="102" t="s">
        <v>992</v>
      </c>
      <c r="S25" s="102"/>
      <c r="T25" s="104" t="s">
        <v>993</v>
      </c>
      <c r="U25" s="104" t="s">
        <v>994</v>
      </c>
      <c r="V25" s="103" t="s">
        <v>846</v>
      </c>
      <c r="W25" s="103" t="s">
        <v>846</v>
      </c>
      <c r="X25" s="99"/>
      <c r="Y25" s="99"/>
      <c r="Z25" t="s">
        <v>995</v>
      </c>
      <c r="AA25" s="99" t="str">
        <f t="shared" si="2"/>
        <v>'31000100201374996000000000000000',</v>
      </c>
      <c r="AB25" s="99"/>
      <c r="AC25" s="99"/>
      <c r="AD25" s="99"/>
      <c r="AE25" s="99"/>
      <c r="AF25" s="99"/>
      <c r="AG25" t="s">
        <v>996</v>
      </c>
      <c r="AH25" s="99" t="e">
        <f>VLOOKUP(AG25,#REF!,1,0)</f>
        <v>#REF!</v>
      </c>
      <c r="AI25" s="99"/>
      <c r="AJ25" s="99"/>
      <c r="AK25" t="s">
        <v>997</v>
      </c>
      <c r="AL25" s="99" t="e">
        <f>VLOOKUP(AK25,#REF!,1,0)</f>
        <v>#REF!</v>
      </c>
    </row>
    <row r="26" spans="2:38">
      <c r="B26" s="104" t="s">
        <v>998</v>
      </c>
      <c r="C26" s="104" t="s">
        <v>846</v>
      </c>
      <c r="D26" s="99" t="str">
        <f t="shared" si="1"/>
        <v>'7400396612',</v>
      </c>
      <c r="E26" s="102"/>
      <c r="F26" s="104" t="s">
        <v>858</v>
      </c>
      <c r="G26" s="104" t="s">
        <v>846</v>
      </c>
      <c r="H26" s="99" t="str">
        <f t="shared" si="0"/>
        <v>'31000311571797024000000000000000',</v>
      </c>
      <c r="I26" s="99"/>
      <c r="J26" s="99"/>
      <c r="K26" s="102" t="s">
        <v>999</v>
      </c>
      <c r="L26" s="102" t="s">
        <v>859</v>
      </c>
      <c r="M26" s="99"/>
      <c r="N26" s="99"/>
      <c r="O26" s="102" t="s">
        <v>904</v>
      </c>
      <c r="P26" s="102" t="s">
        <v>859</v>
      </c>
      <c r="Q26" s="102" t="s">
        <v>904</v>
      </c>
      <c r="R26" s="102" t="s">
        <v>1000</v>
      </c>
      <c r="S26" s="102"/>
      <c r="T26" s="104" t="s">
        <v>1001</v>
      </c>
      <c r="U26" s="104" t="s">
        <v>994</v>
      </c>
      <c r="V26" s="103" t="s">
        <v>846</v>
      </c>
      <c r="W26" s="103" t="s">
        <v>846</v>
      </c>
      <c r="X26" s="99"/>
      <c r="Y26" s="99"/>
      <c r="Z26" t="s">
        <v>1002</v>
      </c>
      <c r="AA26" s="99" t="str">
        <f t="shared" si="2"/>
        <v>'31000338100087020000000000000000',</v>
      </c>
      <c r="AB26" s="99"/>
      <c r="AC26" s="99"/>
      <c r="AD26" s="99"/>
      <c r="AE26" s="99"/>
      <c r="AF26" s="99"/>
      <c r="AG26" t="s">
        <v>1003</v>
      </c>
      <c r="AH26" s="99" t="e">
        <f>VLOOKUP(AG26,#REF!,1,0)</f>
        <v>#REF!</v>
      </c>
      <c r="AI26" s="99"/>
      <c r="AJ26" s="99"/>
      <c r="AK26" t="s">
        <v>1004</v>
      </c>
      <c r="AL26" s="99" t="e">
        <f>VLOOKUP(AK26,#REF!,1,0)</f>
        <v>#REF!</v>
      </c>
    </row>
    <row r="27" spans="2:38">
      <c r="B27" s="104" t="s">
        <v>1005</v>
      </c>
      <c r="C27" s="104" t="s">
        <v>846</v>
      </c>
      <c r="D27" s="99" t="str">
        <f t="shared" si="1"/>
        <v>'2101117444',</v>
      </c>
      <c r="E27" s="102"/>
      <c r="F27" s="104" t="s">
        <v>968</v>
      </c>
      <c r="G27" s="104" t="s">
        <v>846</v>
      </c>
      <c r="H27" s="99" t="str">
        <f t="shared" si="0"/>
        <v>'31000311561814024000000000000000',</v>
      </c>
      <c r="I27" s="99"/>
      <c r="J27" s="99"/>
      <c r="K27" s="102" t="s">
        <v>920</v>
      </c>
      <c r="L27" s="102" t="s">
        <v>859</v>
      </c>
      <c r="M27" s="99"/>
      <c r="N27" s="99"/>
      <c r="O27" s="102" t="s">
        <v>1006</v>
      </c>
      <c r="P27" s="102" t="s">
        <v>859</v>
      </c>
      <c r="Q27" s="102" t="s">
        <v>1006</v>
      </c>
      <c r="R27" s="102" t="s">
        <v>936</v>
      </c>
      <c r="S27" s="102"/>
      <c r="T27" s="104" t="s">
        <v>1007</v>
      </c>
      <c r="U27" s="104" t="s">
        <v>994</v>
      </c>
      <c r="V27" s="103" t="s">
        <v>846</v>
      </c>
      <c r="W27" s="103" t="s">
        <v>846</v>
      </c>
      <c r="X27" s="99"/>
      <c r="Y27" s="99"/>
      <c r="Z27" t="s">
        <v>1008</v>
      </c>
      <c r="AA27" s="99" t="str">
        <f t="shared" si="2"/>
        <v>'31000312055090096000000000000000',</v>
      </c>
      <c r="AB27" s="99"/>
      <c r="AC27" s="99"/>
      <c r="AD27" s="99"/>
      <c r="AE27" s="99"/>
      <c r="AF27" s="99"/>
      <c r="AG27" t="s">
        <v>1009</v>
      </c>
      <c r="AH27" s="99" t="e">
        <f>VLOOKUP(AG27,#REF!,1,0)</f>
        <v>#REF!</v>
      </c>
      <c r="AI27" s="99"/>
      <c r="AJ27" s="99"/>
      <c r="AK27" t="s">
        <v>1010</v>
      </c>
      <c r="AL27" s="99" t="e">
        <f>VLOOKUP(AK27,#REF!,1,0)</f>
        <v>#REF!</v>
      </c>
    </row>
    <row r="28" spans="2:38">
      <c r="B28" s="104" t="s">
        <v>1011</v>
      </c>
      <c r="C28" s="104" t="s">
        <v>846</v>
      </c>
      <c r="D28" s="99" t="str">
        <f t="shared" si="1"/>
        <v>'2101189277',</v>
      </c>
      <c r="E28" s="102"/>
      <c r="F28" s="104" t="s">
        <v>984</v>
      </c>
      <c r="G28" s="104" t="s">
        <v>846</v>
      </c>
      <c r="H28" s="99" t="str">
        <f t="shared" si="0"/>
        <v>'31000050568304024000000000000000',</v>
      </c>
      <c r="I28" s="99"/>
      <c r="J28" s="99"/>
      <c r="K28" s="102" t="s">
        <v>847</v>
      </c>
      <c r="L28" s="102" t="s">
        <v>859</v>
      </c>
      <c r="M28" s="99"/>
      <c r="N28" s="99"/>
      <c r="O28" s="102" t="s">
        <v>1012</v>
      </c>
      <c r="P28" s="102" t="s">
        <v>859</v>
      </c>
      <c r="Q28" s="102" t="s">
        <v>1012</v>
      </c>
      <c r="R28" s="102" t="s">
        <v>1013</v>
      </c>
      <c r="S28" s="102"/>
      <c r="T28" s="104" t="s">
        <v>1014</v>
      </c>
      <c r="U28" s="104" t="s">
        <v>853</v>
      </c>
      <c r="V28" s="103" t="s">
        <v>846</v>
      </c>
      <c r="W28" s="103" t="s">
        <v>846</v>
      </c>
      <c r="X28" s="99"/>
      <c r="Y28" s="99"/>
      <c r="Z28" t="s">
        <v>1015</v>
      </c>
      <c r="AA28" s="99" t="str">
        <f t="shared" si="2"/>
        <v>'31000315877277020000000000000000',</v>
      </c>
      <c r="AB28" s="99"/>
      <c r="AC28" s="99"/>
      <c r="AD28" s="99"/>
      <c r="AE28" s="99"/>
      <c r="AF28" s="99"/>
      <c r="AG28" t="s">
        <v>1016</v>
      </c>
      <c r="AH28" s="99" t="e">
        <f>VLOOKUP(AG28,#REF!,1,0)</f>
        <v>#REF!</v>
      </c>
      <c r="AI28" s="99"/>
      <c r="AJ28" s="99"/>
      <c r="AK28" t="s">
        <v>1017</v>
      </c>
      <c r="AL28" s="99" t="e">
        <f>VLOOKUP(AK28,#REF!,1,0)</f>
        <v>#REF!</v>
      </c>
    </row>
    <row r="29" spans="2:38">
      <c r="B29" s="104" t="s">
        <v>1018</v>
      </c>
      <c r="C29" s="104" t="s">
        <v>846</v>
      </c>
      <c r="D29" s="99" t="str">
        <f t="shared" si="1"/>
        <v>'7401182959',</v>
      </c>
      <c r="E29" s="102"/>
      <c r="F29" s="104" t="s">
        <v>1019</v>
      </c>
      <c r="G29" s="104" t="s">
        <v>846</v>
      </c>
      <c r="H29" s="99" t="str">
        <f t="shared" si="0"/>
        <v>'31000311560438030000000000000000',</v>
      </c>
      <c r="I29" s="99"/>
      <c r="J29" s="99"/>
      <c r="K29" s="102" t="s">
        <v>1020</v>
      </c>
      <c r="L29" s="102" t="s">
        <v>859</v>
      </c>
      <c r="M29" s="99"/>
      <c r="N29" s="99"/>
      <c r="O29" s="102" t="s">
        <v>912</v>
      </c>
      <c r="P29" s="102" t="s">
        <v>850</v>
      </c>
      <c r="Q29" s="102" t="s">
        <v>912</v>
      </c>
      <c r="R29" s="102" t="s">
        <v>1021</v>
      </c>
      <c r="S29" s="102"/>
      <c r="T29" s="104" t="s">
        <v>1022</v>
      </c>
      <c r="U29" s="104" t="s">
        <v>853</v>
      </c>
      <c r="V29" s="103" t="s">
        <v>846</v>
      </c>
      <c r="W29" s="103" t="s">
        <v>846</v>
      </c>
      <c r="X29" s="99"/>
      <c r="Y29" s="99"/>
      <c r="Z29" t="s">
        <v>1023</v>
      </c>
      <c r="AA29" s="99" t="str">
        <f t="shared" si="2"/>
        <v>'31000351540797020000000000000000',</v>
      </c>
      <c r="AB29" s="99"/>
      <c r="AC29" s="99"/>
      <c r="AD29" s="99"/>
      <c r="AE29" s="99"/>
      <c r="AF29" s="99"/>
      <c r="AG29" t="s">
        <v>1024</v>
      </c>
      <c r="AH29" s="99" t="e">
        <f>VLOOKUP(AG29,#REF!,1,0)</f>
        <v>#REF!</v>
      </c>
      <c r="AI29" s="99"/>
      <c r="AJ29" s="99"/>
      <c r="AK29" t="s">
        <v>1025</v>
      </c>
      <c r="AL29" s="99" t="e">
        <f>VLOOKUP(AK29,#REF!,1,0)</f>
        <v>#REF!</v>
      </c>
    </row>
    <row r="30" spans="2:38">
      <c r="B30" s="104" t="s">
        <v>1026</v>
      </c>
      <c r="C30" s="104" t="s">
        <v>846</v>
      </c>
      <c r="D30" s="99" t="str">
        <f t="shared" si="1"/>
        <v>'2101291543',</v>
      </c>
      <c r="E30" s="102"/>
      <c r="F30" s="104" t="s">
        <v>999</v>
      </c>
      <c r="G30" s="104" t="s">
        <v>846</v>
      </c>
      <c r="H30" s="99" t="str">
        <f t="shared" si="0"/>
        <v>'31000311568371024000000000000000',</v>
      </c>
      <c r="I30" s="99"/>
      <c r="J30" s="99"/>
      <c r="K30" s="102" t="s">
        <v>1027</v>
      </c>
      <c r="L30" s="102" t="s">
        <v>859</v>
      </c>
      <c r="M30" s="99"/>
      <c r="N30" s="99"/>
      <c r="O30" s="102" t="s">
        <v>969</v>
      </c>
      <c r="P30" s="102" t="s">
        <v>859</v>
      </c>
      <c r="Q30" s="102" t="s">
        <v>969</v>
      </c>
      <c r="R30" s="102" t="s">
        <v>1028</v>
      </c>
      <c r="S30" s="102"/>
      <c r="T30" s="104" t="s">
        <v>1029</v>
      </c>
      <c r="U30" s="104" t="s">
        <v>853</v>
      </c>
      <c r="V30" s="103" t="s">
        <v>846</v>
      </c>
      <c r="W30" s="103" t="s">
        <v>846</v>
      </c>
      <c r="X30" s="99"/>
      <c r="Y30" s="99"/>
      <c r="Z30" t="s">
        <v>1030</v>
      </c>
      <c r="AA30" s="99" t="str">
        <f t="shared" si="2"/>
        <v>'31000806770175020000000000000000',</v>
      </c>
      <c r="AB30" s="99"/>
      <c r="AC30" s="99"/>
      <c r="AD30" s="99"/>
      <c r="AE30" s="99"/>
      <c r="AF30" s="99"/>
      <c r="AG30" t="s">
        <v>1031</v>
      </c>
      <c r="AH30" s="99" t="e">
        <f>VLOOKUP(AG30,#REF!,1,0)</f>
        <v>#REF!</v>
      </c>
      <c r="AI30" s="99"/>
      <c r="AJ30" s="99"/>
      <c r="AK30" t="s">
        <v>1032</v>
      </c>
      <c r="AL30" s="99" t="e">
        <f>VLOOKUP(AK30,#REF!,1,0)</f>
        <v>#REF!</v>
      </c>
    </row>
    <row r="31" spans="2:38">
      <c r="B31" s="104" t="s">
        <v>1033</v>
      </c>
      <c r="C31" s="104" t="s">
        <v>846</v>
      </c>
      <c r="D31" s="99" t="str">
        <f t="shared" si="1"/>
        <v>'2100604028',</v>
      </c>
      <c r="E31" s="102"/>
      <c r="F31" s="104" t="s">
        <v>877</v>
      </c>
      <c r="G31" s="104" t="s">
        <v>846</v>
      </c>
      <c r="H31" s="99" t="str">
        <f t="shared" si="0"/>
        <v>'31000310925762024000000000000000',</v>
      </c>
      <c r="I31" s="99"/>
      <c r="J31" s="99"/>
      <c r="K31" s="102" t="s">
        <v>886</v>
      </c>
      <c r="L31" s="102" t="s">
        <v>859</v>
      </c>
      <c r="M31" s="99"/>
      <c r="N31" s="99"/>
      <c r="O31" s="102" t="s">
        <v>1012</v>
      </c>
      <c r="P31" s="102" t="s">
        <v>859</v>
      </c>
      <c r="Q31" s="102" t="s">
        <v>1012</v>
      </c>
      <c r="R31" s="102" t="s">
        <v>1034</v>
      </c>
      <c r="S31" s="102"/>
      <c r="T31" s="104" t="s">
        <v>1035</v>
      </c>
      <c r="U31" s="104" t="s">
        <v>853</v>
      </c>
      <c r="V31" s="103" t="s">
        <v>846</v>
      </c>
      <c r="W31" s="103" t="s">
        <v>846</v>
      </c>
      <c r="X31" s="99"/>
      <c r="Y31" s="99"/>
      <c r="Z31" t="s">
        <v>1036</v>
      </c>
      <c r="AA31" s="99" t="str">
        <f t="shared" si="2"/>
        <v>'31000336692242020000000000000000',</v>
      </c>
      <c r="AB31" s="99"/>
      <c r="AC31" s="99"/>
      <c r="AD31" s="99"/>
      <c r="AE31" s="99"/>
      <c r="AF31" s="99"/>
      <c r="AG31" t="s">
        <v>1037</v>
      </c>
      <c r="AH31" s="99" t="e">
        <f>VLOOKUP(AG31,#REF!,1,0)</f>
        <v>#REF!</v>
      </c>
      <c r="AI31" s="99"/>
      <c r="AJ31" s="99"/>
      <c r="AK31" t="s">
        <v>1038</v>
      </c>
      <c r="AL31" s="99" t="e">
        <f>VLOOKUP(AK31,#REF!,1,0)</f>
        <v>#REF!</v>
      </c>
    </row>
    <row r="32" spans="2:38">
      <c r="B32" s="104" t="s">
        <v>1039</v>
      </c>
      <c r="C32" s="104" t="s">
        <v>846</v>
      </c>
      <c r="D32" s="99" t="str">
        <f t="shared" si="1"/>
        <v>'2100059377',</v>
      </c>
      <c r="E32" s="102"/>
      <c r="F32" s="104" t="s">
        <v>903</v>
      </c>
      <c r="G32" s="104" t="s">
        <v>846</v>
      </c>
      <c r="H32" s="99" t="str">
        <f t="shared" si="0"/>
        <v>'31000800166681024000000000000000',</v>
      </c>
      <c r="I32" s="99"/>
      <c r="J32" s="99"/>
      <c r="K32" s="102" t="s">
        <v>1040</v>
      </c>
      <c r="L32" s="102" t="s">
        <v>859</v>
      </c>
      <c r="M32" s="99"/>
      <c r="N32" s="99"/>
      <c r="O32" s="102" t="s">
        <v>977</v>
      </c>
      <c r="P32" s="102" t="s">
        <v>850</v>
      </c>
      <c r="Q32" s="102" t="s">
        <v>977</v>
      </c>
      <c r="R32" s="102" t="s">
        <v>1041</v>
      </c>
      <c r="S32" s="102"/>
      <c r="T32" s="104" t="s">
        <v>1042</v>
      </c>
      <c r="U32" s="104" t="s">
        <v>853</v>
      </c>
      <c r="V32" s="103" t="s">
        <v>846</v>
      </c>
      <c r="W32" s="103" t="s">
        <v>846</v>
      </c>
      <c r="X32" s="99"/>
      <c r="Y32" s="99"/>
      <c r="Z32" t="s">
        <v>1043</v>
      </c>
      <c r="AA32" s="99" t="str">
        <f t="shared" si="2"/>
        <v>'31000344609089020000000000000000',</v>
      </c>
      <c r="AB32" s="99"/>
      <c r="AC32" s="99"/>
      <c r="AD32" s="99"/>
      <c r="AE32" s="99"/>
      <c r="AF32" s="99"/>
      <c r="AG32" t="s">
        <v>1044</v>
      </c>
      <c r="AH32" s="99" t="e">
        <f>VLOOKUP(AG32,#REF!,1,0)</f>
        <v>#REF!</v>
      </c>
      <c r="AI32" s="99"/>
      <c r="AJ32" s="99"/>
      <c r="AK32" t="s">
        <v>1045</v>
      </c>
      <c r="AL32" s="99" t="e">
        <f>VLOOKUP(AK32,#REF!,1,0)</f>
        <v>#REF!</v>
      </c>
    </row>
    <row r="33" spans="2:38">
      <c r="B33" s="104" t="s">
        <v>1046</v>
      </c>
      <c r="C33" s="104" t="s">
        <v>846</v>
      </c>
      <c r="D33" s="99" t="str">
        <f t="shared" si="1"/>
        <v>'5100127489',</v>
      </c>
      <c r="E33" s="102"/>
      <c r="F33" s="104" t="s">
        <v>1047</v>
      </c>
      <c r="G33" s="104" t="s">
        <v>846</v>
      </c>
      <c r="H33" s="99" t="str">
        <f t="shared" si="0"/>
        <v>'31000311511611024000000000000000',</v>
      </c>
      <c r="I33" s="99"/>
      <c r="J33" s="99"/>
      <c r="K33" s="102" t="s">
        <v>434</v>
      </c>
      <c r="L33" s="102" t="s">
        <v>859</v>
      </c>
      <c r="M33" s="99"/>
      <c r="N33" s="99"/>
      <c r="O33" s="102" t="s">
        <v>895</v>
      </c>
      <c r="P33" s="102" t="s">
        <v>850</v>
      </c>
      <c r="Q33" s="102" t="s">
        <v>895</v>
      </c>
      <c r="R33" s="102" t="s">
        <v>1048</v>
      </c>
      <c r="S33" s="102"/>
      <c r="T33" s="104" t="s">
        <v>1049</v>
      </c>
      <c r="U33" s="104" t="s">
        <v>853</v>
      </c>
      <c r="V33" s="103" t="s">
        <v>846</v>
      </c>
      <c r="W33" s="103" t="s">
        <v>846</v>
      </c>
      <c r="X33" s="99"/>
      <c r="Y33" s="99"/>
      <c r="Z33" t="s">
        <v>1050</v>
      </c>
      <c r="AA33" s="99" t="str">
        <f t="shared" si="2"/>
        <v>'31000324070104020000000000000000',</v>
      </c>
      <c r="AB33" s="99"/>
      <c r="AC33" s="99"/>
      <c r="AD33" s="99"/>
      <c r="AE33" s="99"/>
      <c r="AF33" s="99"/>
      <c r="AG33" t="s">
        <v>1051</v>
      </c>
      <c r="AH33" s="99" t="e">
        <f>VLOOKUP(AG33,#REF!,1,0)</f>
        <v>#REF!</v>
      </c>
      <c r="AI33" s="99"/>
      <c r="AJ33" s="99"/>
      <c r="AK33" t="s">
        <v>1052</v>
      </c>
      <c r="AL33" s="99" t="e">
        <f>VLOOKUP(AK33,#REF!,1,0)</f>
        <v>#REF!</v>
      </c>
    </row>
    <row r="34" spans="2:38">
      <c r="B34" s="104" t="s">
        <v>1053</v>
      </c>
      <c r="C34" s="104" t="s">
        <v>846</v>
      </c>
      <c r="D34" s="99" t="str">
        <f t="shared" si="1"/>
        <v>'2101801817',</v>
      </c>
      <c r="E34" s="102"/>
      <c r="F34" s="104" t="s">
        <v>958</v>
      </c>
      <c r="G34" s="104" t="s">
        <v>846</v>
      </c>
      <c r="H34" s="99" t="str">
        <f t="shared" si="0"/>
        <v>'31000311579253024000000000000000',</v>
      </c>
      <c r="I34" s="99"/>
      <c r="J34" s="99"/>
      <c r="K34" s="102" t="s">
        <v>857</v>
      </c>
      <c r="L34" s="102" t="s">
        <v>859</v>
      </c>
      <c r="M34" s="99"/>
      <c r="N34" s="99"/>
      <c r="O34" s="102" t="s">
        <v>1054</v>
      </c>
      <c r="P34" s="102" t="s">
        <v>850</v>
      </c>
      <c r="Q34" s="102" t="s">
        <v>1054</v>
      </c>
      <c r="R34" s="102" t="s">
        <v>1055</v>
      </c>
      <c r="S34" s="102"/>
      <c r="T34" s="102"/>
      <c r="U34" s="102"/>
      <c r="V34" s="99"/>
      <c r="W34" s="99"/>
      <c r="X34" s="99"/>
      <c r="Y34" s="99"/>
      <c r="Z34" t="s">
        <v>1056</v>
      </c>
      <c r="AA34" s="99" t="str">
        <f t="shared" si="2"/>
        <v>'31000326527754020000000000000000',</v>
      </c>
      <c r="AB34" s="99"/>
      <c r="AC34" s="99"/>
      <c r="AD34" s="99"/>
      <c r="AE34" s="99"/>
      <c r="AF34" s="99"/>
      <c r="AG34" t="s">
        <v>1057</v>
      </c>
      <c r="AH34" s="99" t="e">
        <f>VLOOKUP(AG34,#REF!,1,0)</f>
        <v>#REF!</v>
      </c>
      <c r="AI34" s="99"/>
      <c r="AJ34" s="99"/>
      <c r="AK34" t="s">
        <v>1058</v>
      </c>
      <c r="AL34" s="99" t="e">
        <f>VLOOKUP(AK34,#REF!,1,0)</f>
        <v>#REF!</v>
      </c>
    </row>
    <row r="35" spans="2:38">
      <c r="B35" s="104" t="s">
        <v>1059</v>
      </c>
      <c r="C35" s="104" t="s">
        <v>846</v>
      </c>
      <c r="D35" s="99" t="str">
        <f t="shared" si="1"/>
        <v>'8024693961',</v>
      </c>
      <c r="E35" s="102"/>
      <c r="F35" s="104" t="s">
        <v>1060</v>
      </c>
      <c r="G35" s="104" t="s">
        <v>846</v>
      </c>
      <c r="H35" s="99" t="str">
        <f t="shared" si="0"/>
        <v>'31000311570666024000000000000000',</v>
      </c>
      <c r="I35" s="99"/>
      <c r="J35" s="99"/>
      <c r="K35" s="102" t="s">
        <v>1061</v>
      </c>
      <c r="L35" s="102" t="s">
        <v>859</v>
      </c>
      <c r="M35" s="99"/>
      <c r="N35" s="99"/>
      <c r="O35" s="102" t="s">
        <v>1006</v>
      </c>
      <c r="P35" s="102" t="s">
        <v>859</v>
      </c>
      <c r="Q35" s="102" t="s">
        <v>1006</v>
      </c>
      <c r="R35" s="102" t="s">
        <v>861</v>
      </c>
      <c r="S35" s="102"/>
      <c r="T35" s="102"/>
      <c r="U35" s="102"/>
      <c r="V35" s="99"/>
      <c r="W35" s="99"/>
      <c r="X35" s="99"/>
      <c r="Y35" s="99"/>
      <c r="Z35" t="s">
        <v>1062</v>
      </c>
      <c r="AA35" s="99" t="str">
        <f t="shared" si="2"/>
        <v>'31000352328820020000000000000000',</v>
      </c>
      <c r="AB35" s="99"/>
      <c r="AC35" s="99"/>
      <c r="AD35" s="99"/>
      <c r="AE35" s="99"/>
      <c r="AF35" s="99"/>
      <c r="AG35" t="s">
        <v>1063</v>
      </c>
      <c r="AH35" s="99" t="e">
        <f>VLOOKUP(AG35,#REF!,1,0)</f>
        <v>#REF!</v>
      </c>
      <c r="AI35" s="99"/>
      <c r="AJ35" s="99"/>
      <c r="AK35" t="s">
        <v>1064</v>
      </c>
      <c r="AL35" s="99" t="e">
        <f>VLOOKUP(AK35,#REF!,1,0)</f>
        <v>#REF!</v>
      </c>
    </row>
    <row r="36" spans="2:38">
      <c r="B36" s="104" t="s">
        <v>1065</v>
      </c>
      <c r="C36" s="104" t="s">
        <v>846</v>
      </c>
      <c r="D36" s="99" t="str">
        <f t="shared" si="1"/>
        <v>'7401282249',</v>
      </c>
      <c r="E36" s="102"/>
      <c r="F36" s="104" t="s">
        <v>1066</v>
      </c>
      <c r="G36" s="104" t="s">
        <v>846</v>
      </c>
      <c r="H36" s="99" t="str">
        <f t="shared" si="0"/>
        <v>'31000311429384024000000000000000',</v>
      </c>
      <c r="I36" s="99"/>
      <c r="J36" s="99"/>
      <c r="K36" s="102" t="s">
        <v>893</v>
      </c>
      <c r="L36" s="102" t="s">
        <v>859</v>
      </c>
      <c r="M36" s="99"/>
      <c r="N36" s="99"/>
      <c r="O36" s="102" t="s">
        <v>1067</v>
      </c>
      <c r="P36" s="102" t="s">
        <v>859</v>
      </c>
      <c r="Q36" s="102" t="s">
        <v>1067</v>
      </c>
      <c r="R36" s="102" t="s">
        <v>1068</v>
      </c>
      <c r="S36" s="102"/>
      <c r="T36" s="102"/>
      <c r="U36" s="102"/>
      <c r="V36" s="99"/>
      <c r="W36" s="99"/>
      <c r="X36" s="99"/>
      <c r="Y36" s="99"/>
      <c r="Z36" t="s">
        <v>1069</v>
      </c>
      <c r="AA36" s="99" t="str">
        <f t="shared" si="2"/>
        <v>'31000353087060020000000000000000',</v>
      </c>
      <c r="AB36" s="99"/>
      <c r="AC36" s="99"/>
      <c r="AD36" s="99"/>
      <c r="AE36" s="99"/>
      <c r="AF36" s="99"/>
      <c r="AG36" t="s">
        <v>1070</v>
      </c>
      <c r="AH36" s="99" t="e">
        <f>VLOOKUP(AG36,#REF!,1,0)</f>
        <v>#REF!</v>
      </c>
      <c r="AI36" s="99"/>
      <c r="AJ36" s="99"/>
      <c r="AK36" t="s">
        <v>1071</v>
      </c>
      <c r="AL36" s="99" t="e">
        <f>VLOOKUP(AK36,#REF!,1,0)</f>
        <v>#REF!</v>
      </c>
    </row>
    <row r="37" spans="2:38">
      <c r="B37" s="104" t="s">
        <v>1072</v>
      </c>
      <c r="C37" s="104" t="s">
        <v>846</v>
      </c>
      <c r="D37" s="99" t="str">
        <f t="shared" si="1"/>
        <v>'2100430606',</v>
      </c>
      <c r="E37" s="102"/>
      <c r="F37" s="104" t="s">
        <v>1073</v>
      </c>
      <c r="G37" s="104" t="s">
        <v>846</v>
      </c>
      <c r="H37" s="99" t="str">
        <f t="shared" si="0"/>
        <v>'31000800351374024000000000000000',</v>
      </c>
      <c r="I37" s="99"/>
      <c r="J37" s="99"/>
      <c r="K37" s="102" t="s">
        <v>1067</v>
      </c>
      <c r="L37" s="102" t="s">
        <v>859</v>
      </c>
      <c r="M37" s="99"/>
      <c r="N37" s="99"/>
      <c r="O37" s="102" t="s">
        <v>1067</v>
      </c>
      <c r="P37" s="102" t="s">
        <v>859</v>
      </c>
      <c r="Q37" s="102" t="s">
        <v>1067</v>
      </c>
      <c r="R37" s="102" t="s">
        <v>1074</v>
      </c>
      <c r="S37" s="102"/>
      <c r="T37" s="102"/>
      <c r="U37" s="102"/>
      <c r="V37" s="99"/>
      <c r="W37" s="99"/>
      <c r="X37" s="99"/>
      <c r="Y37" s="99"/>
      <c r="Z37" t="s">
        <v>1075</v>
      </c>
      <c r="AA37" s="99" t="str">
        <f t="shared" si="2"/>
        <v>'31000312656616096000000000000000',</v>
      </c>
      <c r="AB37" s="99"/>
      <c r="AC37" s="99"/>
      <c r="AD37" s="99"/>
      <c r="AE37" s="99"/>
      <c r="AF37" s="99"/>
      <c r="AG37" t="s">
        <v>1076</v>
      </c>
      <c r="AH37" s="99" t="e">
        <f>VLOOKUP(AG37,#REF!,1,0)</f>
        <v>#REF!</v>
      </c>
      <c r="AI37" s="99"/>
      <c r="AJ37" s="99"/>
      <c r="AK37" t="s">
        <v>1077</v>
      </c>
      <c r="AL37" s="99" t="e">
        <f>VLOOKUP(AK37,#REF!,1,0)</f>
        <v>#REF!</v>
      </c>
    </row>
    <row r="38" spans="2:38">
      <c r="B38" s="104" t="s">
        <v>1078</v>
      </c>
      <c r="C38" s="104" t="s">
        <v>846</v>
      </c>
      <c r="D38" s="99" t="str">
        <f t="shared" si="1"/>
        <v>'5100127490',</v>
      </c>
      <c r="E38" s="102"/>
      <c r="F38" s="104" t="s">
        <v>1079</v>
      </c>
      <c r="G38" s="104" t="s">
        <v>846</v>
      </c>
      <c r="H38" s="99" t="str">
        <f t="shared" si="0"/>
        <v>'31000311583099024000000000000000',</v>
      </c>
      <c r="I38" s="99"/>
      <c r="J38" s="99"/>
      <c r="K38" s="102" t="s">
        <v>1066</v>
      </c>
      <c r="L38" s="102" t="s">
        <v>859</v>
      </c>
      <c r="M38" s="99"/>
      <c r="N38" s="99"/>
      <c r="O38" s="102" t="s">
        <v>1054</v>
      </c>
      <c r="P38" s="102" t="s">
        <v>850</v>
      </c>
      <c r="Q38" s="102" t="s">
        <v>1054</v>
      </c>
      <c r="R38" s="102" t="s">
        <v>1080</v>
      </c>
      <c r="S38" s="102"/>
      <c r="T38" s="102"/>
      <c r="U38" s="102"/>
      <c r="V38" s="99"/>
      <c r="W38" s="99"/>
      <c r="X38" s="99"/>
      <c r="Y38" s="99"/>
      <c r="Z38" t="s">
        <v>1081</v>
      </c>
      <c r="AA38" s="99" t="str">
        <f t="shared" si="2"/>
        <v>'31000352931326020000000000000000',</v>
      </c>
      <c r="AB38" s="99"/>
      <c r="AC38" s="99"/>
      <c r="AD38" s="99"/>
      <c r="AE38" s="99"/>
      <c r="AF38" s="99"/>
      <c r="AG38" t="s">
        <v>1082</v>
      </c>
      <c r="AH38" s="99" t="e">
        <f>VLOOKUP(AG38,#REF!,1,0)</f>
        <v>#REF!</v>
      </c>
      <c r="AI38" s="99"/>
      <c r="AJ38" s="99"/>
      <c r="AK38" t="s">
        <v>1083</v>
      </c>
      <c r="AL38" s="99" t="e">
        <f>VLOOKUP(AK38,#REF!,1,0)</f>
        <v>#REF!</v>
      </c>
    </row>
    <row r="39" spans="2:38">
      <c r="B39" s="104" t="s">
        <v>1084</v>
      </c>
      <c r="C39" s="104" t="s">
        <v>846</v>
      </c>
      <c r="D39" s="99" t="str">
        <f t="shared" si="1"/>
        <v>'2101306973',</v>
      </c>
      <c r="E39" s="102"/>
      <c r="F39" s="104" t="s">
        <v>894</v>
      </c>
      <c r="G39" s="104" t="s">
        <v>846</v>
      </c>
      <c r="H39" s="99" t="str">
        <f t="shared" si="0"/>
        <v>'31000311595630024000000000000000',</v>
      </c>
      <c r="I39" s="99"/>
      <c r="J39" s="99"/>
      <c r="K39" s="102" t="s">
        <v>1060</v>
      </c>
      <c r="L39" s="102" t="s">
        <v>859</v>
      </c>
      <c r="M39" s="99"/>
      <c r="N39" s="99"/>
      <c r="O39" s="102" t="s">
        <v>912</v>
      </c>
      <c r="P39" s="102" t="s">
        <v>850</v>
      </c>
      <c r="Q39" s="102" t="s">
        <v>912</v>
      </c>
      <c r="R39" s="102" t="s">
        <v>1085</v>
      </c>
      <c r="S39" s="102"/>
      <c r="T39" s="102"/>
      <c r="U39" s="102"/>
      <c r="V39" s="99"/>
      <c r="W39" s="99"/>
      <c r="X39" s="99"/>
      <c r="Y39" s="99"/>
      <c r="Z39" t="s">
        <v>1086</v>
      </c>
      <c r="AA39" s="99" t="str">
        <f t="shared" si="2"/>
        <v>'31003196330110011603766400000001',</v>
      </c>
      <c r="AB39" s="99"/>
      <c r="AC39" s="99"/>
      <c r="AD39" s="99"/>
      <c r="AE39" s="99"/>
      <c r="AF39" s="99"/>
      <c r="AG39" t="s">
        <v>1087</v>
      </c>
      <c r="AH39" s="99" t="e">
        <f>VLOOKUP(AG39,#REF!,1,0)</f>
        <v>#REF!</v>
      </c>
      <c r="AI39" s="99"/>
      <c r="AJ39" s="99"/>
      <c r="AK39" t="s">
        <v>1088</v>
      </c>
      <c r="AL39" s="99" t="e">
        <f>VLOOKUP(AK39,#REF!,1,0)</f>
        <v>#REF!</v>
      </c>
    </row>
    <row r="40" spans="2:38">
      <c r="B40" s="104" t="s">
        <v>1089</v>
      </c>
      <c r="C40" s="104" t="s">
        <v>846</v>
      </c>
      <c r="D40" s="99" t="str">
        <f t="shared" si="1"/>
        <v>'2100314002',</v>
      </c>
      <c r="E40" s="102"/>
      <c r="F40" s="104" t="s">
        <v>1040</v>
      </c>
      <c r="G40" s="104" t="s">
        <v>846</v>
      </c>
      <c r="H40" s="99" t="str">
        <f t="shared" si="0"/>
        <v>'31256303004073030000000000000000',</v>
      </c>
      <c r="I40" s="99"/>
      <c r="J40" s="99"/>
      <c r="K40" s="102" t="s">
        <v>884</v>
      </c>
      <c r="L40" s="102" t="s">
        <v>859</v>
      </c>
      <c r="M40" s="99"/>
      <c r="N40" s="99"/>
      <c r="O40" s="102" t="s">
        <v>1020</v>
      </c>
      <c r="P40" s="102" t="s">
        <v>859</v>
      </c>
      <c r="Q40" s="102" t="s">
        <v>1020</v>
      </c>
      <c r="R40" s="102" t="s">
        <v>1090</v>
      </c>
      <c r="S40" s="102"/>
      <c r="T40" s="102"/>
      <c r="U40" s="102"/>
      <c r="V40" s="99"/>
      <c r="W40" s="99"/>
      <c r="X40" s="99"/>
      <c r="Y40" s="99"/>
      <c r="Z40" t="s">
        <v>1091</v>
      </c>
      <c r="AA40" s="99" t="str">
        <f t="shared" si="2"/>
        <v>'31000351165421020000000000000000',</v>
      </c>
      <c r="AB40" s="99"/>
      <c r="AC40" s="99"/>
      <c r="AD40" s="99"/>
      <c r="AE40" s="99"/>
      <c r="AF40" s="99"/>
      <c r="AG40" t="s">
        <v>1092</v>
      </c>
      <c r="AH40" s="99" t="e">
        <f>VLOOKUP(AG40,#REF!,1,0)</f>
        <v>#REF!</v>
      </c>
      <c r="AI40" s="99"/>
      <c r="AJ40" s="99"/>
      <c r="AK40" t="s">
        <v>1093</v>
      </c>
      <c r="AL40" s="99" t="e">
        <f>VLOOKUP(AK40,#REF!,1,0)</f>
        <v>#REF!</v>
      </c>
    </row>
    <row r="41" spans="2:38">
      <c r="B41" s="104" t="s">
        <v>1094</v>
      </c>
      <c r="C41" s="104" t="s">
        <v>846</v>
      </c>
      <c r="D41" s="99" t="str">
        <f t="shared" si="1"/>
        <v>'2100670929',</v>
      </c>
      <c r="E41" s="102"/>
      <c r="F41" s="104" t="s">
        <v>991</v>
      </c>
      <c r="G41" s="104" t="s">
        <v>846</v>
      </c>
      <c r="H41" s="99" t="str">
        <f t="shared" si="0"/>
        <v>'31000311576895024000000000000000',</v>
      </c>
      <c r="I41" s="99"/>
      <c r="J41" s="99"/>
      <c r="K41" s="102" t="s">
        <v>869</v>
      </c>
      <c r="L41" s="102" t="s">
        <v>859</v>
      </c>
      <c r="M41" s="99"/>
      <c r="N41" s="99"/>
      <c r="O41" s="102" t="s">
        <v>886</v>
      </c>
      <c r="P41" s="102" t="s">
        <v>859</v>
      </c>
      <c r="Q41" s="102" t="s">
        <v>886</v>
      </c>
      <c r="R41" s="102" t="s">
        <v>1095</v>
      </c>
      <c r="S41" s="102"/>
      <c r="T41" s="102"/>
      <c r="U41" s="102"/>
      <c r="V41" s="99"/>
      <c r="W41" s="99"/>
      <c r="X41" s="99"/>
      <c r="Y41" s="99"/>
      <c r="Z41" t="s">
        <v>1096</v>
      </c>
      <c r="AA41" s="99" t="str">
        <f t="shared" si="2"/>
        <v>'31000352878220020000000000000000',</v>
      </c>
      <c r="AB41" s="99"/>
      <c r="AC41" s="99"/>
      <c r="AD41" s="99"/>
      <c r="AE41" s="99"/>
      <c r="AF41" s="99"/>
      <c r="AG41" t="s">
        <v>1097</v>
      </c>
      <c r="AH41" s="99" t="e">
        <f>VLOOKUP(AG41,#REF!,1,0)</f>
        <v>#REF!</v>
      </c>
      <c r="AI41" s="99"/>
      <c r="AJ41" s="99"/>
      <c r="AK41" t="s">
        <v>1098</v>
      </c>
      <c r="AL41" s="99" t="e">
        <f>VLOOKUP(AK41,#REF!,1,0)</f>
        <v>#REF!</v>
      </c>
    </row>
    <row r="42" spans="2:38">
      <c r="B42" s="104" t="s">
        <v>1099</v>
      </c>
      <c r="C42" s="104" t="s">
        <v>846</v>
      </c>
      <c r="D42" s="99" t="str">
        <f t="shared" si="1"/>
        <v>'2100700459',</v>
      </c>
      <c r="E42" s="102"/>
      <c r="F42" s="104" t="s">
        <v>1061</v>
      </c>
      <c r="G42" s="104" t="s">
        <v>846</v>
      </c>
      <c r="H42" s="99" t="str">
        <f t="shared" si="0"/>
        <v>'31000800063250024000000000000000',</v>
      </c>
      <c r="I42" s="99"/>
      <c r="J42" s="99"/>
      <c r="K42" s="102" t="s">
        <v>1079</v>
      </c>
      <c r="L42" s="102" t="s">
        <v>859</v>
      </c>
      <c r="M42" s="99"/>
      <c r="N42" s="99"/>
      <c r="O42" s="102" t="s">
        <v>927</v>
      </c>
      <c r="P42" s="102" t="s">
        <v>859</v>
      </c>
      <c r="Q42" s="102" t="s">
        <v>927</v>
      </c>
      <c r="R42" s="102" t="s">
        <v>1100</v>
      </c>
      <c r="S42" s="102"/>
      <c r="T42" s="102"/>
      <c r="U42" s="102"/>
      <c r="V42" s="99"/>
      <c r="W42" s="99"/>
      <c r="X42" s="99"/>
      <c r="Y42" s="99"/>
      <c r="Z42" t="s">
        <v>1101</v>
      </c>
      <c r="AA42" s="99" t="str">
        <f t="shared" si="2"/>
        <v>'31000344659506020000000000000000',</v>
      </c>
      <c r="AB42" s="99"/>
      <c r="AC42" s="99"/>
      <c r="AD42" s="99"/>
      <c r="AE42" s="99"/>
      <c r="AF42" s="99"/>
      <c r="AG42" t="s">
        <v>1102</v>
      </c>
      <c r="AH42" s="99" t="e">
        <f>VLOOKUP(AG42,#REF!,1,0)</f>
        <v>#REF!</v>
      </c>
      <c r="AI42" s="99"/>
      <c r="AJ42" s="99"/>
      <c r="AK42" t="s">
        <v>1103</v>
      </c>
      <c r="AL42" s="99" t="e">
        <f>VLOOKUP(AK42,#REF!,1,0)</f>
        <v>#REF!</v>
      </c>
    </row>
    <row r="43" spans="2:38">
      <c r="B43" s="104" t="s">
        <v>1104</v>
      </c>
      <c r="C43" s="104" t="s">
        <v>846</v>
      </c>
      <c r="D43" s="99" t="str">
        <f t="shared" si="1"/>
        <v>'8042638149',</v>
      </c>
      <c r="E43" s="102"/>
      <c r="F43" s="104" t="s">
        <v>1027</v>
      </c>
      <c r="G43" s="104" t="s">
        <v>846</v>
      </c>
      <c r="H43" s="99" t="str">
        <f t="shared" si="0"/>
        <v>'31000311567787024000000000000000',</v>
      </c>
      <c r="I43" s="99"/>
      <c r="J43" s="99"/>
      <c r="K43" s="102" t="s">
        <v>942</v>
      </c>
      <c r="L43" s="102" t="s">
        <v>859</v>
      </c>
      <c r="M43" s="99"/>
      <c r="N43" s="99"/>
      <c r="O43" s="102" t="s">
        <v>928</v>
      </c>
      <c r="P43" s="102" t="s">
        <v>859</v>
      </c>
      <c r="Q43" s="102" t="s">
        <v>928</v>
      </c>
      <c r="R43" s="102" t="s">
        <v>1105</v>
      </c>
      <c r="S43" s="102"/>
      <c r="T43" s="102"/>
      <c r="U43" s="102"/>
      <c r="V43" s="99"/>
      <c r="W43" s="99"/>
      <c r="X43" s="99"/>
      <c r="Y43" s="99"/>
      <c r="Z43" t="s">
        <v>1106</v>
      </c>
      <c r="AA43" s="99" t="str">
        <f t="shared" si="2"/>
        <v>'31000310996386096000000000000000',</v>
      </c>
      <c r="AB43" s="99"/>
      <c r="AC43" s="99"/>
      <c r="AD43" s="99"/>
      <c r="AE43" s="99"/>
      <c r="AF43" s="99"/>
      <c r="AG43" t="s">
        <v>1107</v>
      </c>
      <c r="AH43" s="99" t="e">
        <f>VLOOKUP(AG43,#REF!,1,0)</f>
        <v>#REF!</v>
      </c>
      <c r="AI43" s="99"/>
      <c r="AJ43" s="99"/>
      <c r="AK43" t="s">
        <v>1108</v>
      </c>
      <c r="AL43" s="99" t="e">
        <f>VLOOKUP(AK43,#REF!,1,0)</f>
        <v>#REF!</v>
      </c>
    </row>
    <row r="44" spans="2:38">
      <c r="B44" s="104" t="s">
        <v>1109</v>
      </c>
      <c r="C44" s="104" t="s">
        <v>846</v>
      </c>
      <c r="D44" s="99" t="str">
        <f t="shared" si="1"/>
        <v>'8016433623',</v>
      </c>
      <c r="E44" s="102"/>
      <c r="F44" s="104" t="s">
        <v>437</v>
      </c>
      <c r="G44" s="104" t="s">
        <v>846</v>
      </c>
      <c r="H44" s="99" t="str">
        <f t="shared" si="0"/>
        <v>'31000311562325024000000000000000',</v>
      </c>
      <c r="I44" s="99"/>
      <c r="J44" s="99"/>
      <c r="K44" s="102" t="s">
        <v>1006</v>
      </c>
      <c r="L44" s="102" t="s">
        <v>859</v>
      </c>
      <c r="M44" s="99"/>
      <c r="N44" s="99"/>
      <c r="O44" s="102" t="s">
        <v>1020</v>
      </c>
      <c r="P44" s="102" t="s">
        <v>859</v>
      </c>
      <c r="Q44" s="102" t="s">
        <v>1020</v>
      </c>
      <c r="R44" s="102" t="s">
        <v>1110</v>
      </c>
      <c r="S44" s="102"/>
      <c r="T44" s="102"/>
      <c r="U44" s="102"/>
      <c r="V44" s="99"/>
      <c r="W44" s="99"/>
      <c r="X44" s="99"/>
      <c r="Y44" s="99"/>
      <c r="Z44" t="s">
        <v>1111</v>
      </c>
      <c r="AA44" s="99" t="str">
        <f t="shared" si="2"/>
        <v>'31000312857321096000000000000000',</v>
      </c>
      <c r="AB44" s="99"/>
      <c r="AC44" s="99"/>
      <c r="AD44" s="99"/>
      <c r="AE44" s="99"/>
      <c r="AF44" s="99"/>
      <c r="AG44" t="s">
        <v>1112</v>
      </c>
      <c r="AH44" s="99" t="e">
        <f>VLOOKUP(AG44,#REF!,1,0)</f>
        <v>#REF!</v>
      </c>
      <c r="AI44" s="99"/>
      <c r="AJ44" s="99"/>
      <c r="AK44" t="s">
        <v>891</v>
      </c>
      <c r="AL44" s="99" t="e">
        <f>VLOOKUP(AK44,#REF!,1,0)</f>
        <v>#REF!</v>
      </c>
    </row>
    <row r="45" spans="2:38">
      <c r="B45" s="104" t="s">
        <v>1113</v>
      </c>
      <c r="C45" s="104" t="s">
        <v>846</v>
      </c>
      <c r="D45" s="99" t="str">
        <f t="shared" si="1"/>
        <v>'2100604030',</v>
      </c>
      <c r="E45" s="102"/>
      <c r="F45" s="104" t="s">
        <v>1114</v>
      </c>
      <c r="G45" s="104" t="s">
        <v>846</v>
      </c>
      <c r="H45" s="99" t="str">
        <f t="shared" si="0"/>
        <v>'31000311568819024000000000000000',</v>
      </c>
      <c r="I45" s="99"/>
      <c r="J45" s="99"/>
      <c r="K45" s="102" t="s">
        <v>1114</v>
      </c>
      <c r="L45" s="102" t="s">
        <v>859</v>
      </c>
      <c r="M45" s="99"/>
      <c r="N45" s="99"/>
      <c r="O45" s="102" t="s">
        <v>959</v>
      </c>
      <c r="P45" s="102" t="s">
        <v>960</v>
      </c>
      <c r="Q45" s="102" t="s">
        <v>959</v>
      </c>
      <c r="R45" s="102" t="s">
        <v>1115</v>
      </c>
      <c r="S45" s="102"/>
      <c r="T45" s="102"/>
      <c r="U45" s="102"/>
      <c r="V45" s="99"/>
      <c r="W45" s="99"/>
      <c r="X45" s="99"/>
      <c r="Y45" s="99"/>
      <c r="Z45" t="s">
        <v>1116</v>
      </c>
      <c r="AA45" s="99" t="str">
        <f t="shared" si="2"/>
        <v>'31000804253414020000000000000000',</v>
      </c>
      <c r="AB45" s="99"/>
      <c r="AC45" s="99"/>
      <c r="AD45" s="99"/>
      <c r="AE45" s="99"/>
      <c r="AF45" s="99"/>
      <c r="AG45" t="s">
        <v>1117</v>
      </c>
      <c r="AH45" s="99" t="e">
        <f>VLOOKUP(AG45,#REF!,1,0)</f>
        <v>#REF!</v>
      </c>
      <c r="AI45" s="99"/>
      <c r="AJ45" s="99"/>
      <c r="AK45" t="s">
        <v>1118</v>
      </c>
      <c r="AL45" s="99" t="e">
        <f>VLOOKUP(AK45,#REF!,1,0)</f>
        <v>#REF!</v>
      </c>
    </row>
    <row r="46" spans="2:38">
      <c r="B46" s="104" t="s">
        <v>1119</v>
      </c>
      <c r="C46" s="104" t="s">
        <v>846</v>
      </c>
      <c r="D46" s="99" t="str">
        <f t="shared" si="1"/>
        <v>'8044067782',</v>
      </c>
      <c r="E46" s="102"/>
      <c r="F46" s="104" t="s">
        <v>1120</v>
      </c>
      <c r="G46" s="104" t="s">
        <v>846</v>
      </c>
      <c r="H46" s="99" t="str">
        <f t="shared" si="0"/>
        <v>'31000311560099030000000000000000',</v>
      </c>
      <c r="I46" s="99"/>
      <c r="J46" s="99"/>
      <c r="K46" s="102" t="s">
        <v>967</v>
      </c>
      <c r="L46" s="102" t="s">
        <v>859</v>
      </c>
      <c r="M46" s="99"/>
      <c r="N46" s="99"/>
      <c r="O46" s="99"/>
      <c r="P46" s="99"/>
      <c r="Q46" s="99"/>
      <c r="R46" s="99"/>
      <c r="S46" s="99"/>
      <c r="T46" s="102"/>
      <c r="U46" s="102"/>
      <c r="V46" s="99"/>
      <c r="W46" s="99"/>
      <c r="X46" s="99"/>
      <c r="Y46" s="99"/>
      <c r="Z46" t="s">
        <v>989</v>
      </c>
      <c r="AA46" s="99" t="str">
        <f t="shared" si="2"/>
        <v>'31000318065250020000000000000000',</v>
      </c>
      <c r="AB46" s="99"/>
      <c r="AC46" s="99"/>
      <c r="AD46" s="99"/>
      <c r="AE46" s="99"/>
      <c r="AF46" s="99"/>
      <c r="AG46" t="s">
        <v>1121</v>
      </c>
      <c r="AH46" s="99" t="e">
        <f>VLOOKUP(AG46,#REF!,1,0)</f>
        <v>#REF!</v>
      </c>
      <c r="AI46" s="99"/>
      <c r="AJ46" s="99"/>
      <c r="AK46" t="s">
        <v>1122</v>
      </c>
      <c r="AL46" s="99" t="e">
        <f>VLOOKUP(AK46,#REF!,1,0)</f>
        <v>#REF!</v>
      </c>
    </row>
    <row r="47" spans="2:38">
      <c r="B47" s="104" t="s">
        <v>1123</v>
      </c>
      <c r="C47" s="104" t="s">
        <v>846</v>
      </c>
      <c r="D47" s="99" t="str">
        <f t="shared" si="1"/>
        <v>'2100492003',</v>
      </c>
      <c r="E47" s="102"/>
      <c r="F47" s="104" t="s">
        <v>885</v>
      </c>
      <c r="G47" s="104" t="s">
        <v>846</v>
      </c>
      <c r="H47" s="99" t="str">
        <f t="shared" si="0"/>
        <v>'31000311570310024000000000000000',</v>
      </c>
      <c r="I47" s="99"/>
      <c r="J47" s="99"/>
      <c r="K47" s="102" t="s">
        <v>1012</v>
      </c>
      <c r="L47" s="102" t="s">
        <v>859</v>
      </c>
      <c r="M47" s="99"/>
      <c r="N47" s="99"/>
      <c r="O47" s="99"/>
      <c r="P47" s="99"/>
      <c r="Q47" s="99"/>
      <c r="R47" s="99"/>
      <c r="S47" s="102"/>
      <c r="T47" s="102"/>
      <c r="U47" s="102"/>
      <c r="V47" s="99"/>
      <c r="W47" s="99"/>
      <c r="X47" s="99"/>
      <c r="Y47" s="99"/>
      <c r="Z47" t="s">
        <v>1124</v>
      </c>
      <c r="AA47" s="99" t="str">
        <f t="shared" si="2"/>
        <v>'31000347311733020000000000000000',</v>
      </c>
      <c r="AB47" s="99"/>
      <c r="AC47" s="99"/>
      <c r="AD47" s="99"/>
      <c r="AE47" s="99"/>
      <c r="AF47" s="99"/>
      <c r="AG47" t="s">
        <v>1125</v>
      </c>
      <c r="AH47" s="99" t="e">
        <f>VLOOKUP(AG47,#REF!,1,0)</f>
        <v>#REF!</v>
      </c>
      <c r="AI47" s="99"/>
      <c r="AJ47" s="99"/>
      <c r="AK47" t="s">
        <v>1126</v>
      </c>
      <c r="AL47" s="99" t="e">
        <f>VLOOKUP(AK47,#REF!,1,0)</f>
        <v>#REF!</v>
      </c>
    </row>
    <row r="48" spans="2:38">
      <c r="B48" s="104" t="s">
        <v>1127</v>
      </c>
      <c r="C48" s="104" t="s">
        <v>846</v>
      </c>
      <c r="D48" s="99" t="str">
        <f t="shared" si="1"/>
        <v>'7400992562',</v>
      </c>
      <c r="E48" s="102"/>
      <c r="F48" s="99"/>
      <c r="G48" s="99"/>
      <c r="H48" s="99"/>
      <c r="I48" s="99"/>
      <c r="J48" s="99"/>
      <c r="K48" s="102" t="s">
        <v>969</v>
      </c>
      <c r="L48" s="102" t="s">
        <v>859</v>
      </c>
      <c r="M48" s="99"/>
      <c r="N48" s="99"/>
      <c r="O48" s="99"/>
      <c r="P48" s="99"/>
      <c r="Q48" s="99"/>
      <c r="R48" s="99"/>
      <c r="S48" s="102"/>
      <c r="T48" s="102"/>
      <c r="U48" s="102"/>
      <c r="V48" s="99"/>
      <c r="W48" s="99"/>
      <c r="X48" s="99"/>
      <c r="Y48" s="99"/>
      <c r="Z48" t="s">
        <v>1128</v>
      </c>
      <c r="AA48" s="99" t="str">
        <f t="shared" si="2"/>
        <v>'31000357620478020000000000000000',</v>
      </c>
      <c r="AB48" s="99"/>
      <c r="AC48" s="99"/>
      <c r="AD48" s="99"/>
      <c r="AE48" s="99"/>
      <c r="AF48" s="99"/>
      <c r="AG48" t="s">
        <v>1129</v>
      </c>
      <c r="AH48" s="99" t="e">
        <f>VLOOKUP(AG48,#REF!,1,0)</f>
        <v>#REF!</v>
      </c>
      <c r="AI48" s="99"/>
      <c r="AJ48" s="99"/>
      <c r="AK48" t="s">
        <v>1130</v>
      </c>
      <c r="AL48" s="99" t="e">
        <f>VLOOKUP(AK48,#REF!,1,0)</f>
        <v>#REF!</v>
      </c>
    </row>
    <row r="49" spans="2:38">
      <c r="B49" s="104" t="s">
        <v>1131</v>
      </c>
      <c r="C49" s="104" t="s">
        <v>846</v>
      </c>
      <c r="D49" s="99" t="str">
        <f t="shared" si="1"/>
        <v>'8044571885',</v>
      </c>
      <c r="E49" s="102"/>
      <c r="F49" s="99"/>
      <c r="G49" s="99"/>
      <c r="H49" s="99"/>
      <c r="I49" s="99"/>
      <c r="J49" s="99"/>
      <c r="K49" s="102" t="s">
        <v>1047</v>
      </c>
      <c r="L49" s="102" t="s">
        <v>859</v>
      </c>
      <c r="M49" s="99"/>
      <c r="N49" s="99"/>
      <c r="O49" s="99"/>
      <c r="P49" s="99"/>
      <c r="Q49" s="99"/>
      <c r="R49" s="99"/>
      <c r="S49" s="102"/>
      <c r="T49" s="102"/>
      <c r="U49" s="102"/>
      <c r="V49" s="99"/>
      <c r="W49" s="99"/>
      <c r="X49" s="99"/>
      <c r="Y49" s="99"/>
      <c r="Z49" t="s">
        <v>1132</v>
      </c>
      <c r="AA49" s="99" t="str">
        <f t="shared" si="2"/>
        <v>'31000344454577020000000000000000',</v>
      </c>
      <c r="AB49" s="99"/>
      <c r="AC49" s="99"/>
      <c r="AD49" s="99"/>
      <c r="AE49" s="99"/>
      <c r="AF49" s="99"/>
      <c r="AG49" t="s">
        <v>1133</v>
      </c>
      <c r="AH49" s="99" t="e">
        <f>VLOOKUP(AG49,#REF!,1,0)</f>
        <v>#REF!</v>
      </c>
      <c r="AI49" s="99"/>
      <c r="AJ49" s="99"/>
      <c r="AK49" t="s">
        <v>1134</v>
      </c>
      <c r="AL49" s="99" t="e">
        <f>VLOOKUP(AK49,#REF!,1,0)</f>
        <v>#REF!</v>
      </c>
    </row>
    <row r="50" spans="2:38">
      <c r="B50" s="104" t="s">
        <v>1135</v>
      </c>
      <c r="C50" s="104" t="s">
        <v>846</v>
      </c>
      <c r="D50" s="99" t="str">
        <f t="shared" si="1"/>
        <v>'2100094462',</v>
      </c>
      <c r="E50" s="102"/>
      <c r="F50" s="99"/>
      <c r="G50" s="99"/>
      <c r="H50" s="99"/>
      <c r="I50" s="99"/>
      <c r="J50" s="99"/>
      <c r="K50" s="102" t="s">
        <v>1073</v>
      </c>
      <c r="L50" s="102" t="s">
        <v>859</v>
      </c>
      <c r="M50" s="99"/>
      <c r="N50" s="99"/>
      <c r="O50" s="99"/>
      <c r="P50" s="99"/>
      <c r="Q50" s="99"/>
      <c r="R50" s="99"/>
      <c r="S50" s="102"/>
      <c r="T50" s="102"/>
      <c r="U50" s="102"/>
      <c r="V50" s="99"/>
      <c r="W50" s="99"/>
      <c r="X50" s="99"/>
      <c r="Y50" s="99"/>
      <c r="Z50" t="s">
        <v>1136</v>
      </c>
      <c r="AA50" s="99" t="str">
        <f t="shared" si="2"/>
        <v>'31000323359144020000000000000000',</v>
      </c>
      <c r="AB50" s="99"/>
      <c r="AC50" s="99"/>
      <c r="AD50" s="99"/>
      <c r="AE50" s="99"/>
      <c r="AF50" s="99"/>
      <c r="AG50" t="s">
        <v>1137</v>
      </c>
      <c r="AH50" s="99" t="e">
        <f>VLOOKUP(AG50,#REF!,1,0)</f>
        <v>#REF!</v>
      </c>
      <c r="AI50" s="99"/>
      <c r="AJ50" s="99"/>
      <c r="AK50" t="s">
        <v>1138</v>
      </c>
      <c r="AL50" s="99" t="e">
        <f>VLOOKUP(AK50,#REF!,1,0)</f>
        <v>#REF!</v>
      </c>
    </row>
    <row r="51" spans="2:38">
      <c r="B51" s="104" t="s">
        <v>1139</v>
      </c>
      <c r="C51" s="104" t="s">
        <v>846</v>
      </c>
      <c r="D51" s="99" t="str">
        <f t="shared" si="1"/>
        <v>'8018227492',</v>
      </c>
      <c r="E51" s="102"/>
      <c r="F51" s="99"/>
      <c r="G51" s="99"/>
      <c r="H51" s="99"/>
      <c r="I51" s="99"/>
      <c r="J51" s="99"/>
      <c r="K51" s="102" t="s">
        <v>437</v>
      </c>
      <c r="L51" s="102" t="s">
        <v>859</v>
      </c>
      <c r="M51" s="99"/>
      <c r="N51" s="99"/>
      <c r="O51" s="99"/>
      <c r="P51" s="99"/>
      <c r="Q51" s="99"/>
      <c r="R51" s="99"/>
      <c r="S51" s="102"/>
      <c r="T51" s="102"/>
      <c r="U51" s="102"/>
      <c r="V51" s="99"/>
      <c r="W51" s="99"/>
      <c r="X51" s="99"/>
      <c r="Y51" s="99"/>
      <c r="Z51" t="s">
        <v>1140</v>
      </c>
      <c r="AA51" s="99" t="str">
        <f t="shared" si="2"/>
        <v>'31000351081107020000000000000000',</v>
      </c>
      <c r="AB51" s="99"/>
      <c r="AC51" s="99"/>
      <c r="AD51" s="99"/>
      <c r="AE51" s="99"/>
      <c r="AF51" s="99"/>
      <c r="AG51" t="s">
        <v>1141</v>
      </c>
      <c r="AH51" s="99" t="e">
        <f>VLOOKUP(AG51,#REF!,1,0)</f>
        <v>#REF!</v>
      </c>
      <c r="AI51" s="99"/>
      <c r="AJ51" s="99"/>
      <c r="AK51" t="s">
        <v>1142</v>
      </c>
      <c r="AL51" s="99" t="e">
        <f>VLOOKUP(AK51,#REF!,1,0)</f>
        <v>#REF!</v>
      </c>
    </row>
    <row r="52" spans="2:38">
      <c r="B52" s="104" t="s">
        <v>1143</v>
      </c>
      <c r="C52" s="104" t="s">
        <v>846</v>
      </c>
      <c r="D52" s="99" t="str">
        <f t="shared" si="1"/>
        <v>'8045404198',</v>
      </c>
      <c r="E52" s="102"/>
      <c r="F52" s="99"/>
      <c r="G52" s="99"/>
      <c r="H52" s="99"/>
      <c r="I52" s="99"/>
      <c r="J52" s="99"/>
      <c r="K52" s="102" t="s">
        <v>904</v>
      </c>
      <c r="L52" s="102" t="s">
        <v>859</v>
      </c>
      <c r="M52" s="99"/>
      <c r="N52" s="99"/>
      <c r="O52" s="99"/>
      <c r="P52" s="99"/>
      <c r="Q52" s="99"/>
      <c r="R52" s="99"/>
      <c r="S52" s="102"/>
      <c r="T52" s="102"/>
      <c r="U52" s="102"/>
      <c r="V52" s="99"/>
      <c r="W52" s="99"/>
      <c r="X52" s="99"/>
      <c r="Y52" s="99"/>
      <c r="Z52" t="s">
        <v>1144</v>
      </c>
      <c r="AA52" s="99" t="str">
        <f t="shared" si="2"/>
        <v>'31000358074436020000000000000000',</v>
      </c>
      <c r="AB52" s="99"/>
      <c r="AC52" s="99"/>
      <c r="AD52" s="99"/>
      <c r="AE52" s="99"/>
      <c r="AF52" s="99"/>
      <c r="AG52" t="s">
        <v>1145</v>
      </c>
      <c r="AH52" s="99" t="e">
        <f>VLOOKUP(AG52,#REF!,1,0)</f>
        <v>#REF!</v>
      </c>
      <c r="AI52" s="99"/>
      <c r="AJ52" s="99"/>
      <c r="AK52" t="s">
        <v>1146</v>
      </c>
      <c r="AL52" s="99" t="e">
        <f>VLOOKUP(AK52,#REF!,1,0)</f>
        <v>#REF!</v>
      </c>
    </row>
    <row r="53" spans="2:38">
      <c r="B53" s="104" t="s">
        <v>1147</v>
      </c>
      <c r="C53" s="104" t="s">
        <v>846</v>
      </c>
      <c r="D53" s="99" t="str">
        <f t="shared" si="1"/>
        <v>'2100862794',</v>
      </c>
      <c r="E53" s="99"/>
      <c r="F53" s="99"/>
      <c r="G53" s="99"/>
      <c r="H53" s="99"/>
      <c r="I53" s="99"/>
      <c r="J53" s="99"/>
      <c r="K53" s="102" t="s">
        <v>1019</v>
      </c>
      <c r="L53" s="102" t="s">
        <v>859</v>
      </c>
      <c r="M53" s="99"/>
      <c r="N53" s="99"/>
      <c r="O53" s="99"/>
      <c r="P53" s="99"/>
      <c r="Q53" s="99"/>
      <c r="R53" s="99"/>
      <c r="S53" s="102"/>
      <c r="T53" s="102"/>
      <c r="U53" s="102"/>
      <c r="V53" s="99"/>
      <c r="W53" s="99"/>
      <c r="X53" s="99"/>
      <c r="Y53" s="99"/>
      <c r="Z53" t="s">
        <v>1148</v>
      </c>
      <c r="AA53" s="99" t="str">
        <f t="shared" si="2"/>
        <v>'31000807176117020000000000000000',</v>
      </c>
      <c r="AB53" s="99"/>
      <c r="AC53" s="99"/>
      <c r="AD53" s="99"/>
      <c r="AE53" s="99"/>
      <c r="AF53" s="99"/>
      <c r="AG53" t="s">
        <v>1149</v>
      </c>
      <c r="AH53" s="99" t="e">
        <f>VLOOKUP(AG53,#REF!,1,0)</f>
        <v>#REF!</v>
      </c>
      <c r="AI53" s="99"/>
      <c r="AJ53" s="99"/>
      <c r="AK53" t="s">
        <v>1150</v>
      </c>
      <c r="AL53" s="99" t="e">
        <f>VLOOKUP(AK53,#REF!,1,0)</f>
        <v>#REF!</v>
      </c>
    </row>
    <row r="54" spans="2:38">
      <c r="B54" s="104" t="s">
        <v>1151</v>
      </c>
      <c r="C54" s="104" t="s">
        <v>846</v>
      </c>
      <c r="D54" s="99" t="str">
        <f t="shared" si="1"/>
        <v>'2101237013',</v>
      </c>
      <c r="E54" s="99"/>
      <c r="F54" s="99"/>
      <c r="G54" s="99"/>
      <c r="H54" s="99"/>
      <c r="I54" s="99"/>
      <c r="J54" s="99"/>
      <c r="K54" s="102" t="s">
        <v>860</v>
      </c>
      <c r="L54" s="102" t="s">
        <v>859</v>
      </c>
      <c r="M54" s="99"/>
      <c r="N54" s="99"/>
      <c r="O54" s="99"/>
      <c r="P54" s="99"/>
      <c r="Q54" s="99"/>
      <c r="R54" s="99"/>
      <c r="S54" s="102"/>
      <c r="T54" s="102"/>
      <c r="U54" s="102"/>
      <c r="V54" s="99"/>
      <c r="W54" s="99"/>
      <c r="X54" s="99"/>
      <c r="Y54" s="99"/>
      <c r="Z54" t="s">
        <v>1152</v>
      </c>
      <c r="AA54" s="99" t="str">
        <f t="shared" si="2"/>
        <v>'31000805323810020000000000000000',</v>
      </c>
      <c r="AB54" s="99"/>
      <c r="AC54" s="99"/>
      <c r="AD54" s="99"/>
      <c r="AE54" s="99"/>
      <c r="AF54" s="99"/>
      <c r="AG54" t="s">
        <v>1153</v>
      </c>
      <c r="AH54" s="99" t="e">
        <f>VLOOKUP(AG54,#REF!,1,0)</f>
        <v>#REF!</v>
      </c>
      <c r="AI54" s="99"/>
      <c r="AJ54" s="99"/>
      <c r="AK54" t="s">
        <v>1154</v>
      </c>
      <c r="AL54" s="99" t="e">
        <f>VLOOKUP(AK54,#REF!,1,0)</f>
        <v>#REF!</v>
      </c>
    </row>
    <row r="55" spans="2:38">
      <c r="B55" s="99"/>
      <c r="C55" s="99"/>
      <c r="D55" s="99"/>
      <c r="E55" s="99"/>
      <c r="F55" s="99"/>
      <c r="G55" s="99"/>
      <c r="H55" s="99"/>
      <c r="I55" s="99"/>
      <c r="J55" s="99"/>
      <c r="K55" s="102" t="s">
        <v>950</v>
      </c>
      <c r="L55" s="102" t="s">
        <v>859</v>
      </c>
      <c r="M55" s="99"/>
      <c r="N55" s="99"/>
      <c r="O55" s="99"/>
      <c r="P55" s="99"/>
      <c r="Q55" s="99"/>
      <c r="R55" s="99"/>
      <c r="S55" s="102"/>
      <c r="T55" s="102"/>
      <c r="U55" s="102"/>
      <c r="V55" s="99"/>
      <c r="W55" s="99"/>
      <c r="X55" s="99"/>
      <c r="Y55" s="99"/>
      <c r="Z55" t="s">
        <v>1155</v>
      </c>
      <c r="AA55" s="99" t="str">
        <f t="shared" si="2"/>
        <v>'31000349835820020000000000000000',</v>
      </c>
      <c r="AB55" s="99"/>
      <c r="AC55" s="99"/>
      <c r="AD55" s="99"/>
      <c r="AE55" s="99"/>
      <c r="AF55" s="99"/>
      <c r="AG55" t="s">
        <v>1156</v>
      </c>
      <c r="AH55" s="99" t="e">
        <f>VLOOKUP(AG55,#REF!,1,0)</f>
        <v>#REF!</v>
      </c>
      <c r="AI55" s="99"/>
      <c r="AJ55" s="99"/>
      <c r="AK55" t="s">
        <v>1157</v>
      </c>
      <c r="AL55" s="99" t="e">
        <f>VLOOKUP(AK55,#REF!,1,0)</f>
        <v>#REF!</v>
      </c>
    </row>
    <row r="56" spans="2:38">
      <c r="B56" s="99"/>
      <c r="C56" s="99"/>
      <c r="D56" s="99"/>
      <c r="E56" s="99"/>
      <c r="F56" s="99"/>
      <c r="G56" s="99"/>
      <c r="H56" s="99"/>
      <c r="I56" s="99"/>
      <c r="J56" s="99"/>
      <c r="K56" s="102" t="s">
        <v>976</v>
      </c>
      <c r="L56" s="102" t="s">
        <v>1158</v>
      </c>
      <c r="M56" s="99"/>
      <c r="N56" s="99"/>
      <c r="O56" s="99"/>
      <c r="P56" s="99"/>
      <c r="Q56" s="99"/>
      <c r="R56" s="99"/>
      <c r="S56" s="102"/>
      <c r="T56" s="102"/>
      <c r="U56" s="102"/>
      <c r="V56" s="99"/>
      <c r="W56" s="99"/>
      <c r="X56" s="99"/>
      <c r="Y56" s="99"/>
      <c r="Z56" t="s">
        <v>1159</v>
      </c>
      <c r="AA56" s="99" t="str">
        <f t="shared" si="2"/>
        <v>'31000338481149020000000000000000',</v>
      </c>
      <c r="AB56" s="99"/>
      <c r="AC56" s="99"/>
      <c r="AD56" s="99"/>
      <c r="AE56" s="99"/>
      <c r="AF56" s="99"/>
      <c r="AG56" t="s">
        <v>1160</v>
      </c>
      <c r="AH56" s="99" t="e">
        <f>VLOOKUP(AG56,#REF!,1,0)</f>
        <v>#REF!</v>
      </c>
      <c r="AI56" s="99"/>
      <c r="AJ56" s="99"/>
      <c r="AK56" t="s">
        <v>1161</v>
      </c>
      <c r="AL56" s="99" t="e">
        <f>VLOOKUP(AK56,#REF!,1,0)</f>
        <v>#REF!</v>
      </c>
    </row>
    <row r="57" spans="2:38">
      <c r="B57" s="99"/>
      <c r="C57" s="99"/>
      <c r="D57" s="99"/>
      <c r="E57" s="99"/>
      <c r="F57" s="99"/>
      <c r="G57" s="99"/>
      <c r="H57" s="99"/>
      <c r="I57" s="99"/>
      <c r="J57" s="99"/>
      <c r="K57" s="102" t="s">
        <v>919</v>
      </c>
      <c r="L57" s="102" t="s">
        <v>1158</v>
      </c>
      <c r="M57" s="99"/>
      <c r="N57" s="99"/>
      <c r="O57" s="99"/>
      <c r="P57" s="99"/>
      <c r="Q57" s="99"/>
      <c r="R57" s="99"/>
      <c r="S57" s="102"/>
      <c r="T57" s="102"/>
      <c r="U57" s="102"/>
      <c r="V57" s="99"/>
      <c r="W57" s="99"/>
      <c r="X57" s="99"/>
      <c r="Y57" s="99"/>
      <c r="Z57" t="s">
        <v>1162</v>
      </c>
      <c r="AA57" s="99" t="str">
        <f t="shared" si="2"/>
        <v>'31000352182565020000000000000000',</v>
      </c>
      <c r="AB57" s="99"/>
      <c r="AC57" s="99"/>
      <c r="AD57" s="99"/>
      <c r="AE57" s="99"/>
      <c r="AF57" s="99"/>
      <c r="AG57" t="s">
        <v>1163</v>
      </c>
      <c r="AH57" s="99" t="e">
        <f>VLOOKUP(AG57,#REF!,1,0)</f>
        <v>#REF!</v>
      </c>
      <c r="AI57" s="99"/>
      <c r="AJ57" s="99"/>
      <c r="AK57" t="s">
        <v>1164</v>
      </c>
      <c r="AL57" s="99" t="e">
        <f>VLOOKUP(AK57,#REF!,1,0)</f>
        <v>#REF!</v>
      </c>
    </row>
    <row r="58" spans="2:38">
      <c r="B58" s="99"/>
      <c r="C58" s="99"/>
      <c r="D58" s="99"/>
      <c r="E58" s="99"/>
      <c r="F58" s="99"/>
      <c r="G58" s="99"/>
      <c r="H58" s="99"/>
      <c r="I58" s="99"/>
      <c r="J58" s="99"/>
      <c r="K58" s="102" t="s">
        <v>876</v>
      </c>
      <c r="L58" s="102" t="s">
        <v>1165</v>
      </c>
      <c r="M58" s="99"/>
      <c r="N58" s="99"/>
      <c r="O58" s="99"/>
      <c r="P58" s="99"/>
      <c r="Q58" s="99"/>
      <c r="R58" s="99"/>
      <c r="S58" s="102"/>
      <c r="T58" s="102"/>
      <c r="U58" s="102"/>
      <c r="V58" s="99"/>
      <c r="W58" s="99"/>
      <c r="X58" s="99"/>
      <c r="Y58" s="99"/>
      <c r="Z58" t="s">
        <v>1166</v>
      </c>
      <c r="AA58" s="99" t="str">
        <f t="shared" si="2"/>
        <v>'31000326179507020000000000000000',</v>
      </c>
      <c r="AB58" s="99"/>
      <c r="AC58" s="99"/>
      <c r="AD58" s="99"/>
      <c r="AE58" s="99"/>
      <c r="AF58" s="99"/>
      <c r="AG58" t="s">
        <v>1167</v>
      </c>
      <c r="AH58" s="99" t="e">
        <f>VLOOKUP(AG58,#REF!,1,0)</f>
        <v>#REF!</v>
      </c>
      <c r="AI58" s="99"/>
      <c r="AJ58" s="99"/>
      <c r="AK58" t="s">
        <v>1168</v>
      </c>
      <c r="AL58" s="99" t="e">
        <f>VLOOKUP(AK58,#REF!,1,0)</f>
        <v>#REF!</v>
      </c>
    </row>
    <row r="59" spans="2:38">
      <c r="B59" s="99"/>
      <c r="C59" s="99"/>
      <c r="D59" s="99"/>
      <c r="E59" s="99"/>
      <c r="F59" s="99"/>
      <c r="G59" s="99"/>
      <c r="H59" s="99"/>
      <c r="I59" s="99"/>
      <c r="J59" s="99"/>
      <c r="K59" s="102" t="s">
        <v>911</v>
      </c>
      <c r="L59" s="102" t="s">
        <v>1165</v>
      </c>
      <c r="M59" s="99"/>
      <c r="N59" s="99"/>
      <c r="O59" s="99"/>
      <c r="P59" s="99"/>
      <c r="Q59" s="99"/>
      <c r="R59" s="99"/>
      <c r="S59" s="102"/>
      <c r="T59" s="102"/>
      <c r="U59" s="102"/>
      <c r="V59" s="99"/>
      <c r="W59" s="99"/>
      <c r="X59" s="99"/>
      <c r="Y59" s="99"/>
      <c r="Z59" t="s">
        <v>1169</v>
      </c>
      <c r="AA59" s="99" t="str">
        <f t="shared" si="2"/>
        <v>'31000351589752020000000000000000',</v>
      </c>
      <c r="AB59" s="99"/>
      <c r="AC59" s="99"/>
      <c r="AD59" s="99"/>
      <c r="AE59" s="99"/>
      <c r="AF59" s="99"/>
      <c r="AG59" t="s">
        <v>1170</v>
      </c>
      <c r="AH59" s="99" t="e">
        <f>VLOOKUP(AG59,#REF!,1,0)</f>
        <v>#REF!</v>
      </c>
      <c r="AI59" s="99"/>
      <c r="AJ59" s="99"/>
      <c r="AK59" t="s">
        <v>1171</v>
      </c>
      <c r="AL59" s="99" t="e">
        <f>VLOOKUP(AK59,#REF!,1,0)</f>
        <v>#REF!</v>
      </c>
    </row>
    <row r="60" spans="2:38">
      <c r="B60" s="99"/>
      <c r="C60" s="99"/>
      <c r="D60" s="99"/>
      <c r="E60" s="99"/>
      <c r="F60" s="99"/>
      <c r="G60" s="99"/>
      <c r="H60" s="99"/>
      <c r="I60" s="99"/>
      <c r="J60" s="99"/>
      <c r="K60" s="102" t="s">
        <v>1120</v>
      </c>
      <c r="L60" s="102" t="s">
        <v>1165</v>
      </c>
      <c r="M60" s="99"/>
      <c r="N60" s="99"/>
      <c r="O60" s="99"/>
      <c r="P60" s="99"/>
      <c r="Q60" s="99"/>
      <c r="R60" s="99"/>
      <c r="S60" s="102"/>
      <c r="T60" s="102"/>
      <c r="U60" s="102"/>
      <c r="V60" s="99"/>
      <c r="W60" s="99"/>
      <c r="X60" s="99"/>
      <c r="Y60" s="99"/>
      <c r="Z60" t="s">
        <v>1172</v>
      </c>
      <c r="AA60" s="99" t="str">
        <f t="shared" si="2"/>
        <v>'31000052812167020000000000000000',</v>
      </c>
      <c r="AB60" s="99"/>
      <c r="AC60" s="99"/>
      <c r="AD60" s="99"/>
      <c r="AE60" s="99"/>
      <c r="AF60" s="99"/>
      <c r="AG60" t="s">
        <v>1173</v>
      </c>
      <c r="AH60" s="99" t="e">
        <f>VLOOKUP(AG60,#REF!,1,0)</f>
        <v>#REF!</v>
      </c>
      <c r="AI60" s="99"/>
      <c r="AJ60" s="99"/>
      <c r="AK60" t="s">
        <v>1174</v>
      </c>
      <c r="AL60" s="99" t="e">
        <f>VLOOKUP(AK60,#REF!,1,0)</f>
        <v>#REF!</v>
      </c>
    </row>
    <row r="61" spans="2:38">
      <c r="B61" s="99"/>
      <c r="C61" s="99"/>
      <c r="D61" s="99"/>
      <c r="E61" s="99"/>
      <c r="F61" s="99"/>
      <c r="G61" s="99"/>
      <c r="H61" s="99"/>
      <c r="I61" s="99"/>
      <c r="J61" s="99"/>
      <c r="K61" s="102" t="s">
        <v>959</v>
      </c>
      <c r="L61" s="102" t="s">
        <v>960</v>
      </c>
      <c r="M61" s="99"/>
      <c r="N61" s="99"/>
      <c r="O61" s="99"/>
      <c r="P61" s="99"/>
      <c r="Q61" s="99"/>
      <c r="R61" s="99"/>
      <c r="S61" s="102"/>
      <c r="T61" s="102"/>
      <c r="U61" s="102"/>
      <c r="V61" s="99"/>
      <c r="W61" s="99"/>
      <c r="X61" s="99"/>
      <c r="Y61" s="99"/>
      <c r="Z61" t="s">
        <v>1175</v>
      </c>
      <c r="AA61" s="99" t="str">
        <f t="shared" si="2"/>
        <v>'31000351931525020000000000000000',</v>
      </c>
      <c r="AB61" s="99"/>
      <c r="AC61" s="99"/>
      <c r="AD61" s="99"/>
      <c r="AE61" s="99"/>
      <c r="AF61" s="99"/>
      <c r="AG61" t="s">
        <v>1176</v>
      </c>
      <c r="AH61" s="99" t="e">
        <f>VLOOKUP(AG61,#REF!,1,0)</f>
        <v>#REF!</v>
      </c>
      <c r="AI61" s="99"/>
      <c r="AJ61" s="99"/>
      <c r="AK61" t="s">
        <v>1177</v>
      </c>
      <c r="AL61" s="99" t="e">
        <f>VLOOKUP(AK61,#REF!,1,0)</f>
        <v>#REF!</v>
      </c>
    </row>
    <row r="62" spans="2:38">
      <c r="B62" s="99"/>
      <c r="C62" s="99"/>
      <c r="D62" s="99"/>
      <c r="E62" s="99"/>
      <c r="F62" s="99"/>
      <c r="G62" s="99"/>
      <c r="H62" s="99"/>
      <c r="I62" s="99"/>
      <c r="J62" s="99"/>
      <c r="K62" s="102" t="s">
        <v>895</v>
      </c>
      <c r="L62" s="102" t="s">
        <v>850</v>
      </c>
      <c r="M62" s="99"/>
      <c r="N62" s="99"/>
      <c r="O62" s="99"/>
      <c r="P62" s="99"/>
      <c r="Q62" s="99"/>
      <c r="R62" s="99"/>
      <c r="S62" s="102"/>
      <c r="T62" s="102"/>
      <c r="U62" s="102"/>
      <c r="V62" s="99"/>
      <c r="W62" s="99"/>
      <c r="X62" s="99"/>
      <c r="Y62" s="99"/>
      <c r="Z62" t="s">
        <v>1178</v>
      </c>
      <c r="AA62" s="99" t="str">
        <f t="shared" si="2"/>
        <v>'31000326071399020000000000000000',</v>
      </c>
      <c r="AB62" s="99"/>
      <c r="AC62" s="99"/>
      <c r="AD62" s="99"/>
      <c r="AE62" s="99"/>
      <c r="AF62" s="99"/>
      <c r="AG62" t="s">
        <v>1179</v>
      </c>
      <c r="AH62" s="99" t="e">
        <f>VLOOKUP(AG62,#REF!,1,0)</f>
        <v>#REF!</v>
      </c>
      <c r="AI62" s="99"/>
      <c r="AJ62" s="99"/>
      <c r="AK62" t="s">
        <v>1180</v>
      </c>
      <c r="AL62" s="99" t="e">
        <f>VLOOKUP(AK62,#REF!,1,0)</f>
        <v>#REF!</v>
      </c>
    </row>
    <row r="63" spans="2:38">
      <c r="B63" s="99"/>
      <c r="C63" s="99"/>
      <c r="D63" s="99"/>
      <c r="E63" s="99"/>
      <c r="F63" s="99"/>
      <c r="G63" s="99"/>
      <c r="H63" s="99"/>
      <c r="I63" s="99"/>
      <c r="J63" s="99"/>
      <c r="K63" s="102" t="s">
        <v>912</v>
      </c>
      <c r="L63" s="102" t="s">
        <v>850</v>
      </c>
      <c r="M63" s="99"/>
      <c r="N63" s="99"/>
      <c r="O63" s="99"/>
      <c r="P63" s="99"/>
      <c r="Q63" s="99"/>
      <c r="R63" s="99"/>
      <c r="S63" s="102"/>
      <c r="T63" s="102"/>
      <c r="U63" s="102"/>
      <c r="V63" s="99"/>
      <c r="W63" s="99"/>
      <c r="X63" s="99"/>
      <c r="Y63" s="99"/>
      <c r="Z63" t="s">
        <v>1181</v>
      </c>
      <c r="AA63" s="99" t="str">
        <f t="shared" si="2"/>
        <v>'31000357806671020000000000000000',</v>
      </c>
      <c r="AB63" s="99"/>
      <c r="AC63" s="99"/>
      <c r="AD63" s="99"/>
      <c r="AE63" s="99"/>
      <c r="AF63" s="99"/>
      <c r="AG63" t="s">
        <v>1182</v>
      </c>
      <c r="AH63" s="99" t="e">
        <f>VLOOKUP(AG63,#REF!,1,0)</f>
        <v>#REF!</v>
      </c>
      <c r="AI63" s="99"/>
      <c r="AJ63" s="99"/>
      <c r="AK63" t="s">
        <v>1183</v>
      </c>
      <c r="AL63" s="99" t="e">
        <f>VLOOKUP(AK63,#REF!,1,0)</f>
        <v>#REF!</v>
      </c>
    </row>
    <row r="64" spans="2:38">
      <c r="B64" s="99"/>
      <c r="C64" s="99"/>
      <c r="D64" s="99"/>
      <c r="E64" s="99"/>
      <c r="F64" s="99"/>
      <c r="G64" s="99"/>
      <c r="H64" s="99"/>
      <c r="I64" s="99"/>
      <c r="J64" s="99"/>
      <c r="K64" s="102" t="s">
        <v>849</v>
      </c>
      <c r="L64" s="102" t="s">
        <v>850</v>
      </c>
      <c r="M64" s="99"/>
      <c r="N64" s="99"/>
      <c r="O64" s="99"/>
      <c r="P64" s="99"/>
      <c r="Q64" s="99"/>
      <c r="R64" s="99"/>
      <c r="S64" s="102"/>
      <c r="T64" s="102"/>
      <c r="U64" s="102"/>
      <c r="V64" s="99"/>
      <c r="W64" s="99"/>
      <c r="X64" s="99"/>
      <c r="Y64" s="99"/>
      <c r="Z64" t="s">
        <v>1184</v>
      </c>
      <c r="AA64" s="99" t="str">
        <f t="shared" si="2"/>
        <v>'31000346214938020000000000000000',</v>
      </c>
      <c r="AB64" s="99"/>
      <c r="AC64" s="99"/>
      <c r="AD64" s="99"/>
      <c r="AE64" s="99"/>
      <c r="AF64" s="99"/>
      <c r="AG64" t="s">
        <v>1185</v>
      </c>
      <c r="AH64" s="99" t="e">
        <f>VLOOKUP(AG64,#REF!,1,0)</f>
        <v>#REF!</v>
      </c>
      <c r="AI64" s="99"/>
      <c r="AJ64" s="99"/>
      <c r="AK64" t="s">
        <v>1186</v>
      </c>
      <c r="AL64" s="99" t="e">
        <f>VLOOKUP(AK64,#REF!,1,0)</f>
        <v>#REF!</v>
      </c>
    </row>
    <row r="65" spans="11:38">
      <c r="K65" s="102" t="s">
        <v>1054</v>
      </c>
      <c r="L65" s="102" t="s">
        <v>850</v>
      </c>
      <c r="M65" s="99"/>
      <c r="N65" s="99"/>
      <c r="O65" s="99"/>
      <c r="P65" s="99"/>
      <c r="Q65" s="99"/>
      <c r="R65" s="99"/>
      <c r="S65" s="102"/>
      <c r="T65" s="102"/>
      <c r="U65" s="102"/>
      <c r="V65" s="99"/>
      <c r="W65" s="99"/>
      <c r="X65" s="99"/>
      <c r="Y65" s="99"/>
      <c r="Z65" t="s">
        <v>1187</v>
      </c>
      <c r="AA65" s="99" t="str">
        <f t="shared" si="2"/>
        <v>'31000349518111020000000000000000',</v>
      </c>
      <c r="AB65" s="99"/>
      <c r="AC65" s="99"/>
      <c r="AD65" s="99"/>
      <c r="AE65" s="99"/>
      <c r="AF65" s="99"/>
      <c r="AG65" t="s">
        <v>1188</v>
      </c>
      <c r="AH65" s="99" t="e">
        <f>VLOOKUP(AG65,#REF!,1,0)</f>
        <v>#REF!</v>
      </c>
      <c r="AI65" s="99"/>
      <c r="AJ65" s="99"/>
      <c r="AK65" t="s">
        <v>1189</v>
      </c>
      <c r="AL65" s="99" t="e">
        <f>VLOOKUP(AK65,#REF!,1,0)</f>
        <v>#REF!</v>
      </c>
    </row>
    <row r="66" spans="11:38">
      <c r="K66" s="102" t="s">
        <v>977</v>
      </c>
      <c r="L66" s="102" t="s">
        <v>850</v>
      </c>
      <c r="M66" s="99"/>
      <c r="N66" s="99"/>
      <c r="O66" s="99"/>
      <c r="P66" s="99"/>
      <c r="Q66" s="99"/>
      <c r="R66" s="99"/>
      <c r="S66"/>
      <c r="T66"/>
      <c r="U66"/>
      <c r="V66" s="99"/>
      <c r="W66" s="99"/>
      <c r="X66" s="99"/>
      <c r="Y66" s="99"/>
      <c r="Z66" t="s">
        <v>1190</v>
      </c>
      <c r="AA66" s="99" t="str">
        <f t="shared" si="2"/>
        <v>'31000350291194020000000000000000',</v>
      </c>
      <c r="AB66" s="99"/>
      <c r="AC66" s="99"/>
      <c r="AD66" s="99"/>
      <c r="AE66" s="99"/>
      <c r="AF66" s="99"/>
      <c r="AG66" t="s">
        <v>1191</v>
      </c>
      <c r="AH66" s="99" t="e">
        <f>VLOOKUP(AG66,#REF!,1,0)</f>
        <v>#REF!</v>
      </c>
      <c r="AI66" s="99"/>
      <c r="AJ66" s="99"/>
      <c r="AK66" t="s">
        <v>1152</v>
      </c>
      <c r="AL66" s="99" t="e">
        <f>VLOOKUP(AK66,#REF!,1,0)</f>
        <v>#REF!</v>
      </c>
    </row>
    <row r="67" spans="11:38">
      <c r="K67" s="102" t="s">
        <v>943</v>
      </c>
      <c r="L67" s="102" t="s">
        <v>850</v>
      </c>
      <c r="M67" s="99"/>
      <c r="N67" s="99"/>
      <c r="O67" s="99"/>
      <c r="P67" s="99"/>
      <c r="Q67" s="99"/>
      <c r="R67" s="99"/>
      <c r="S67"/>
      <c r="T67"/>
      <c r="U67"/>
      <c r="V67" s="99"/>
      <c r="W67" s="99"/>
      <c r="X67" s="99"/>
      <c r="Y67" s="99"/>
      <c r="Z67" t="s">
        <v>1192</v>
      </c>
      <c r="AA67" s="99" t="str">
        <f t="shared" si="2"/>
        <v>'31000340316911020000000000000000',</v>
      </c>
      <c r="AB67" s="99"/>
      <c r="AC67" s="99"/>
      <c r="AD67" s="99"/>
      <c r="AE67" s="99"/>
      <c r="AF67" s="99"/>
      <c r="AG67" t="s">
        <v>1193</v>
      </c>
      <c r="AH67" s="99" t="e">
        <f>VLOOKUP(AG67,#REF!,1,0)</f>
        <v>#REF!</v>
      </c>
      <c r="AI67" s="99"/>
      <c r="AJ67" s="99"/>
      <c r="AK67" t="s">
        <v>1194</v>
      </c>
      <c r="AL67" s="99" t="e">
        <f>VLOOKUP(AK67,#REF!,1,0)</f>
        <v>#REF!</v>
      </c>
    </row>
    <row r="68" spans="11:38">
      <c r="K68" s="102"/>
      <c r="L68" s="102"/>
      <c r="M68" s="99"/>
      <c r="N68" s="99"/>
      <c r="O68" s="99"/>
      <c r="P68" s="99"/>
      <c r="Q68" s="99"/>
      <c r="R68" s="99"/>
      <c r="S68"/>
      <c r="T68"/>
      <c r="U68"/>
      <c r="V68" s="99"/>
      <c r="W68" s="99"/>
      <c r="X68" s="99"/>
      <c r="Y68" s="99"/>
      <c r="Z68" t="s">
        <v>1195</v>
      </c>
      <c r="AA68" s="99" t="str">
        <f t="shared" si="2"/>
        <v>'31000350169812020000000000000000',</v>
      </c>
      <c r="AB68" s="99"/>
      <c r="AC68" s="99"/>
      <c r="AD68" s="99"/>
      <c r="AE68" s="99"/>
      <c r="AF68" s="99"/>
      <c r="AG68" t="s">
        <v>1196</v>
      </c>
      <c r="AH68" s="99" t="e">
        <f>VLOOKUP(AG68,#REF!,1,0)</f>
        <v>#REF!</v>
      </c>
      <c r="AI68" s="99"/>
      <c r="AJ68" s="99"/>
      <c r="AK68" t="s">
        <v>1128</v>
      </c>
      <c r="AL68" s="99" t="e">
        <f>VLOOKUP(AK68,#REF!,1,0)</f>
        <v>#REF!</v>
      </c>
    </row>
    <row r="69" spans="11:38">
      <c r="K69" s="102"/>
      <c r="L69" s="102"/>
      <c r="M69" s="99"/>
      <c r="N69" s="99"/>
      <c r="O69" s="99"/>
      <c r="P69" s="99"/>
      <c r="Q69" s="99"/>
      <c r="R69" s="99"/>
      <c r="S69"/>
      <c r="T69"/>
      <c r="U69"/>
      <c r="V69" s="99"/>
      <c r="W69" s="99"/>
      <c r="X69" s="99"/>
      <c r="Y69" s="99"/>
      <c r="Z69" t="s">
        <v>1197</v>
      </c>
      <c r="AA69" s="99" t="str">
        <f t="shared" si="2"/>
        <v>'31000313909808096000000000000000',</v>
      </c>
      <c r="AB69" s="99"/>
      <c r="AC69" s="99"/>
      <c r="AD69" s="99"/>
      <c r="AE69" s="99"/>
      <c r="AF69" s="99"/>
      <c r="AG69" t="s">
        <v>1198</v>
      </c>
      <c r="AH69" s="99" t="e">
        <f>VLOOKUP(AG69,#REF!,1,0)</f>
        <v>#REF!</v>
      </c>
      <c r="AI69" s="99"/>
      <c r="AJ69" s="99"/>
      <c r="AK69" t="s">
        <v>1199</v>
      </c>
      <c r="AL69" s="99" t="e">
        <f>VLOOKUP(AK69,#REF!,1,0)</f>
        <v>#REF!</v>
      </c>
    </row>
    <row r="70" spans="11:38">
      <c r="K70" s="102"/>
      <c r="L70" s="102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t="s">
        <v>1200</v>
      </c>
      <c r="AA70" s="99" t="str">
        <f t="shared" si="2"/>
        <v>'31000313016885096000000000000000',</v>
      </c>
      <c r="AB70" s="99"/>
      <c r="AC70" s="99"/>
      <c r="AD70" s="99"/>
      <c r="AE70" s="99"/>
      <c r="AF70" s="99"/>
      <c r="AG70" t="s">
        <v>1201</v>
      </c>
      <c r="AH70" s="99" t="e">
        <f>VLOOKUP(AG70,#REF!,1,0)</f>
        <v>#REF!</v>
      </c>
      <c r="AI70" s="99"/>
      <c r="AJ70" s="99"/>
      <c r="AK70" t="s">
        <v>1200</v>
      </c>
      <c r="AL70" s="99" t="e">
        <f>VLOOKUP(AK70,#REF!,1,0)</f>
        <v>#REF!</v>
      </c>
    </row>
    <row r="71" spans="11:38"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t="s">
        <v>1202</v>
      </c>
      <c r="AA71" s="99" t="str">
        <f t="shared" si="2"/>
        <v>'31003170344590011571421000000001',</v>
      </c>
      <c r="AB71" s="99"/>
      <c r="AC71" s="99"/>
      <c r="AD71" s="99"/>
      <c r="AE71" s="99"/>
      <c r="AF71" s="99"/>
      <c r="AG71" t="s">
        <v>1203</v>
      </c>
      <c r="AH71" s="99" t="e">
        <f>VLOOKUP(AG71,#REF!,1,0)</f>
        <v>#REF!</v>
      </c>
      <c r="AI71" s="99"/>
      <c r="AJ71" s="99"/>
      <c r="AK71" t="s">
        <v>995</v>
      </c>
      <c r="AL71" s="99" t="e">
        <f>VLOOKUP(AK71,#REF!,1,0)</f>
        <v>#REF!</v>
      </c>
    </row>
    <row r="72" spans="11:38"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t="s">
        <v>1199</v>
      </c>
      <c r="AA72" s="99" t="str">
        <f t="shared" si="2"/>
        <v>'31000341148198020000000000000000',</v>
      </c>
      <c r="AB72" s="99"/>
      <c r="AC72" s="99"/>
      <c r="AD72" s="99"/>
      <c r="AE72" s="99"/>
      <c r="AF72" s="99"/>
      <c r="AG72" t="s">
        <v>1204</v>
      </c>
      <c r="AH72" s="99" t="e">
        <f>VLOOKUP(AG72,#REF!,1,0)</f>
        <v>#REF!</v>
      </c>
      <c r="AI72" s="99"/>
      <c r="AJ72" s="99"/>
      <c r="AK72" t="s">
        <v>1205</v>
      </c>
      <c r="AL72" s="99" t="e">
        <f>VLOOKUP(AK72,#REF!,1,0)</f>
        <v>#REF!</v>
      </c>
    </row>
    <row r="73" spans="11:38"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t="s">
        <v>1206</v>
      </c>
      <c r="AA73" s="99" t="str">
        <f t="shared" ref="AA73:AA136" si="3">"'"&amp;Z73&amp;"',"</f>
        <v>'31000352642022020000000000000000',</v>
      </c>
      <c r="AB73" s="99"/>
      <c r="AC73" s="99"/>
      <c r="AD73" s="99"/>
      <c r="AE73" s="99"/>
      <c r="AF73" s="99"/>
      <c r="AG73" t="s">
        <v>1207</v>
      </c>
      <c r="AH73" s="99" t="e">
        <f>VLOOKUP(AG73,#REF!,1,0)</f>
        <v>#REF!</v>
      </c>
      <c r="AI73" s="99"/>
      <c r="AJ73" s="99"/>
      <c r="AK73" t="s">
        <v>1208</v>
      </c>
      <c r="AL73" s="99" t="e">
        <f>VLOOKUP(AK73,#REF!,1,0)</f>
        <v>#REF!</v>
      </c>
    </row>
    <row r="74" spans="11:38"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t="s">
        <v>1209</v>
      </c>
      <c r="AA74" s="99" t="str">
        <f t="shared" si="3"/>
        <v>'31000359488494020000000000000000',</v>
      </c>
      <c r="AB74" s="99"/>
      <c r="AC74" s="99"/>
      <c r="AD74" s="99"/>
      <c r="AE74" s="99"/>
      <c r="AF74" s="99"/>
      <c r="AG74" t="s">
        <v>1210</v>
      </c>
      <c r="AH74" s="99" t="e">
        <f>VLOOKUP(AG74,#REF!,1,0)</f>
        <v>#REF!</v>
      </c>
      <c r="AI74" s="99"/>
      <c r="AJ74" s="99"/>
      <c r="AK74" t="s">
        <v>1211</v>
      </c>
      <c r="AL74" s="99" t="e">
        <f>VLOOKUP(AK74,#REF!,1,0)</f>
        <v>#REF!</v>
      </c>
    </row>
    <row r="75" spans="11:38"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t="s">
        <v>1212</v>
      </c>
      <c r="AA75" s="99" t="str">
        <f t="shared" si="3"/>
        <v>'31000331870389020000000000000000',</v>
      </c>
      <c r="AB75" s="99"/>
      <c r="AC75" s="99"/>
      <c r="AD75" s="99"/>
      <c r="AE75" s="99"/>
      <c r="AF75" s="99"/>
      <c r="AG75" t="s">
        <v>1213</v>
      </c>
      <c r="AH75" s="99" t="e">
        <f>VLOOKUP(AG75,#REF!,1,0)</f>
        <v>#REF!</v>
      </c>
      <c r="AI75" s="99"/>
      <c r="AJ75" s="99"/>
      <c r="AK75" t="s">
        <v>1214</v>
      </c>
      <c r="AL75" s="99" t="e">
        <f>VLOOKUP(AK75,#REF!,1,0)</f>
        <v>#REF!</v>
      </c>
    </row>
    <row r="76" spans="11:38"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t="s">
        <v>1215</v>
      </c>
      <c r="AA76" s="99" t="str">
        <f t="shared" si="3"/>
        <v>'31000348727291020000000000000000',</v>
      </c>
      <c r="AB76" s="99"/>
      <c r="AC76" s="99"/>
      <c r="AD76" s="99"/>
      <c r="AE76" s="99"/>
      <c r="AF76" s="99"/>
      <c r="AG76" t="s">
        <v>1216</v>
      </c>
      <c r="AH76" s="99" t="e">
        <f>VLOOKUP(AG76,#REF!,1,0)</f>
        <v>#REF!</v>
      </c>
      <c r="AI76" s="99"/>
      <c r="AJ76" s="99"/>
      <c r="AK76" t="s">
        <v>1217</v>
      </c>
      <c r="AL76" s="99" t="e">
        <f>VLOOKUP(AK76,#REF!,1,0)</f>
        <v>#REF!</v>
      </c>
    </row>
    <row r="77" spans="11:38"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t="s">
        <v>1218</v>
      </c>
      <c r="AA77" s="99" t="str">
        <f t="shared" si="3"/>
        <v>'31000352770724020000000000000000',</v>
      </c>
      <c r="AB77" s="99"/>
      <c r="AC77" s="99"/>
      <c r="AD77" s="99"/>
      <c r="AE77" s="99"/>
      <c r="AF77" s="99"/>
      <c r="AG77" t="s">
        <v>1219</v>
      </c>
      <c r="AH77" s="99" t="e">
        <f>VLOOKUP(AG77,#REF!,1,0)</f>
        <v>#REF!</v>
      </c>
      <c r="AI77" s="99"/>
      <c r="AJ77" s="99"/>
      <c r="AK77" t="s">
        <v>1220</v>
      </c>
      <c r="AL77" s="99" t="e">
        <f>VLOOKUP(AK77,#REF!,1,0)</f>
        <v>#REF!</v>
      </c>
    </row>
    <row r="78" spans="11:38"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t="s">
        <v>1221</v>
      </c>
      <c r="AA78" s="99" t="str">
        <f t="shared" si="3"/>
        <v>'31000330727473020000000000000000',</v>
      </c>
      <c r="AB78" s="99"/>
      <c r="AC78" s="99"/>
      <c r="AD78" s="99"/>
      <c r="AE78" s="99"/>
      <c r="AF78" s="99"/>
      <c r="AG78" t="s">
        <v>1222</v>
      </c>
      <c r="AH78" s="99" t="e">
        <f>VLOOKUP(AG78,#REF!,1,0)</f>
        <v>#REF!</v>
      </c>
      <c r="AI78" s="99"/>
      <c r="AJ78" s="99"/>
      <c r="AK78" t="s">
        <v>1223</v>
      </c>
      <c r="AL78" s="99" t="e">
        <f>VLOOKUP(AK78,#REF!,1,0)</f>
        <v>#REF!</v>
      </c>
    </row>
    <row r="79" spans="11:38"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t="s">
        <v>1224</v>
      </c>
      <c r="AA79" s="99" t="str">
        <f t="shared" si="3"/>
        <v>'31000345238102020000000000000000',</v>
      </c>
      <c r="AB79" s="99"/>
      <c r="AC79" s="99"/>
      <c r="AD79" s="99"/>
      <c r="AE79" s="99"/>
      <c r="AF79" s="99"/>
      <c r="AG79" t="s">
        <v>1225</v>
      </c>
      <c r="AH79" s="99" t="e">
        <f>VLOOKUP(AG79,#REF!,1,0)</f>
        <v>#REF!</v>
      </c>
      <c r="AI79" s="99"/>
      <c r="AJ79" s="99"/>
      <c r="AK79" t="s">
        <v>1226</v>
      </c>
      <c r="AL79" s="99" t="e">
        <f>VLOOKUP(AK79,#REF!,1,0)</f>
        <v>#REF!</v>
      </c>
    </row>
    <row r="80" spans="11:38"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t="s">
        <v>1227</v>
      </c>
      <c r="AA80" s="99" t="str">
        <f t="shared" si="3"/>
        <v>'31000349063159020000000000000000',</v>
      </c>
      <c r="AB80" s="99"/>
      <c r="AC80" s="99"/>
      <c r="AD80" s="99"/>
      <c r="AE80" s="99"/>
      <c r="AF80" s="99"/>
      <c r="AG80" t="s">
        <v>1228</v>
      </c>
      <c r="AH80" s="99" t="e">
        <f>VLOOKUP(AG80,#REF!,1,0)</f>
        <v>#REF!</v>
      </c>
      <c r="AI80" s="99"/>
      <c r="AJ80" s="99"/>
      <c r="AK80" t="s">
        <v>1229</v>
      </c>
      <c r="AL80" s="99" t="e">
        <f>VLOOKUP(AK80,#REF!,1,0)</f>
        <v>#REF!</v>
      </c>
    </row>
    <row r="81" spans="26:38">
      <c r="Z81" t="s">
        <v>1230</v>
      </c>
      <c r="AA81" s="99" t="str">
        <f t="shared" si="3"/>
        <v>'31000355044754020000000000000000',</v>
      </c>
      <c r="AB81" s="99"/>
      <c r="AC81" s="99"/>
      <c r="AD81" s="99"/>
      <c r="AE81" s="99"/>
      <c r="AF81" s="99"/>
      <c r="AG81" t="s">
        <v>1231</v>
      </c>
      <c r="AH81" s="99" t="e">
        <f>VLOOKUP(AG81,#REF!,1,0)</f>
        <v>#REF!</v>
      </c>
      <c r="AI81" s="99"/>
      <c r="AJ81" s="99"/>
      <c r="AK81" t="s">
        <v>1232</v>
      </c>
      <c r="AL81" s="99" t="e">
        <f>VLOOKUP(AK81,#REF!,1,0)</f>
        <v>#REF!</v>
      </c>
    </row>
    <row r="82" spans="26:38">
      <c r="Z82" t="s">
        <v>1233</v>
      </c>
      <c r="AA82" s="99" t="str">
        <f t="shared" si="3"/>
        <v>'31000346430914020000000000000000',</v>
      </c>
      <c r="AB82" s="99"/>
      <c r="AC82" s="99"/>
      <c r="AD82" s="99"/>
      <c r="AE82" s="99"/>
      <c r="AF82" s="99"/>
      <c r="AG82" t="s">
        <v>1234</v>
      </c>
      <c r="AH82" s="99" t="e">
        <f>VLOOKUP(AG82,#REF!,1,0)</f>
        <v>#REF!</v>
      </c>
      <c r="AI82" s="99"/>
      <c r="AJ82" s="99"/>
      <c r="AK82" t="s">
        <v>1235</v>
      </c>
      <c r="AL82" s="99" t="e">
        <f>VLOOKUP(AK82,#REF!,1,0)</f>
        <v>#REF!</v>
      </c>
    </row>
    <row r="83" spans="26:38">
      <c r="Z83" t="s">
        <v>1236</v>
      </c>
      <c r="AA83" s="99" t="str">
        <f t="shared" si="3"/>
        <v>'31000349887284020000000000000000',</v>
      </c>
      <c r="AB83" s="99"/>
      <c r="AC83" s="99"/>
      <c r="AD83" s="99"/>
      <c r="AE83" s="99"/>
      <c r="AF83" s="99"/>
      <c r="AG83" t="s">
        <v>1237</v>
      </c>
      <c r="AH83" s="99" t="e">
        <f>VLOOKUP(AG83,#REF!,1,0)</f>
        <v>#REF!</v>
      </c>
      <c r="AI83" s="99"/>
      <c r="AJ83" s="99"/>
      <c r="AK83" t="s">
        <v>1238</v>
      </c>
      <c r="AL83" s="99" t="e">
        <f>VLOOKUP(AK83,#REF!,1,0)</f>
        <v>#REF!</v>
      </c>
    </row>
    <row r="84" spans="26:38">
      <c r="Z84" t="s">
        <v>1239</v>
      </c>
      <c r="AA84" s="99" t="str">
        <f t="shared" si="3"/>
        <v>'31000349923600020000000000000000',</v>
      </c>
      <c r="AB84" s="99"/>
      <c r="AC84" s="99"/>
      <c r="AD84" s="99"/>
      <c r="AE84" s="99"/>
      <c r="AF84" s="99"/>
      <c r="AG84" t="s">
        <v>1240</v>
      </c>
      <c r="AH84" s="99" t="e">
        <f>VLOOKUP(AG84,#REF!,1,0)</f>
        <v>#REF!</v>
      </c>
      <c r="AI84" s="99"/>
      <c r="AJ84" s="99"/>
      <c r="AK84" t="s">
        <v>1241</v>
      </c>
      <c r="AL84" s="99" t="e">
        <f>VLOOKUP(AK84,#REF!,1,0)</f>
        <v>#REF!</v>
      </c>
    </row>
    <row r="85" spans="26:38">
      <c r="Z85" t="s">
        <v>1242</v>
      </c>
      <c r="AA85" s="99" t="str">
        <f t="shared" si="3"/>
        <v>'31000357590564020000000000000000',</v>
      </c>
      <c r="AB85" s="99"/>
      <c r="AC85" s="99"/>
      <c r="AD85" s="99"/>
      <c r="AE85" s="99"/>
      <c r="AF85" s="99"/>
      <c r="AG85" t="s">
        <v>1243</v>
      </c>
      <c r="AH85" s="99" t="e">
        <f>VLOOKUP(AG85,#REF!,1,0)</f>
        <v>#REF!</v>
      </c>
      <c r="AI85" s="99"/>
      <c r="AJ85" s="99"/>
      <c r="AK85" t="s">
        <v>1244</v>
      </c>
      <c r="AL85" s="99" t="e">
        <f>VLOOKUP(AK85,#REF!,1,0)</f>
        <v>#REF!</v>
      </c>
    </row>
    <row r="86" spans="26:38">
      <c r="Z86" t="s">
        <v>1245</v>
      </c>
      <c r="AA86" s="99" t="str">
        <f t="shared" si="3"/>
        <v>'31000343125608020000000000000000',</v>
      </c>
      <c r="AB86" s="99"/>
      <c r="AC86" s="99"/>
      <c r="AD86" s="99"/>
      <c r="AE86" s="99"/>
      <c r="AF86" s="99"/>
      <c r="AG86" t="s">
        <v>1246</v>
      </c>
      <c r="AH86" s="99" t="e">
        <f>VLOOKUP(AG86,#REF!,1,0)</f>
        <v>#REF!</v>
      </c>
      <c r="AI86" s="99"/>
      <c r="AJ86" s="99"/>
      <c r="AK86" t="s">
        <v>1247</v>
      </c>
      <c r="AL86" s="99" t="e">
        <f>VLOOKUP(AK86,#REF!,1,0)</f>
        <v>#REF!</v>
      </c>
    </row>
    <row r="87" spans="26:38">
      <c r="Z87" t="s">
        <v>1248</v>
      </c>
      <c r="AA87" s="99" t="str">
        <f t="shared" si="3"/>
        <v>'31000353470167020000000000000000',</v>
      </c>
      <c r="AB87" s="99"/>
      <c r="AC87" s="99"/>
      <c r="AD87" s="99"/>
      <c r="AE87" s="99"/>
      <c r="AF87" s="99"/>
      <c r="AG87" t="s">
        <v>1249</v>
      </c>
      <c r="AH87" s="99" t="e">
        <f>VLOOKUP(AG87,#REF!,1,0)</f>
        <v>#REF!</v>
      </c>
      <c r="AI87" s="99"/>
      <c r="AJ87" s="99"/>
      <c r="AK87" t="s">
        <v>1250</v>
      </c>
      <c r="AL87" s="99" t="e">
        <f>VLOOKUP(AK87,#REF!,1,0)</f>
        <v>#REF!</v>
      </c>
    </row>
    <row r="88" spans="26:38">
      <c r="Z88" t="s">
        <v>1251</v>
      </c>
      <c r="AA88" s="99" t="str">
        <f t="shared" si="3"/>
        <v>'31000336124865020000000000000000',</v>
      </c>
      <c r="AB88" s="99"/>
      <c r="AC88" s="99"/>
      <c r="AD88" s="99"/>
      <c r="AE88" s="99"/>
      <c r="AF88" s="99"/>
      <c r="AG88" t="s">
        <v>1252</v>
      </c>
      <c r="AH88" s="99" t="e">
        <f>VLOOKUP(AG88,#REF!,1,0)</f>
        <v>#REF!</v>
      </c>
      <c r="AI88" s="99"/>
      <c r="AJ88" s="99"/>
      <c r="AK88" t="s">
        <v>1253</v>
      </c>
      <c r="AL88" s="99" t="e">
        <f>VLOOKUP(AK88,#REF!,1,0)</f>
        <v>#REF!</v>
      </c>
    </row>
    <row r="89" spans="26:38">
      <c r="Z89" t="s">
        <v>1254</v>
      </c>
      <c r="AA89" s="99" t="str">
        <f t="shared" si="3"/>
        <v>'31000334746990020000000000000000',</v>
      </c>
      <c r="AB89" s="99"/>
      <c r="AC89" s="99"/>
      <c r="AD89" s="99"/>
      <c r="AE89" s="99"/>
      <c r="AF89" s="99"/>
      <c r="AG89" t="s">
        <v>1255</v>
      </c>
      <c r="AH89" s="99" t="e">
        <f>VLOOKUP(AG89,#REF!,1,0)</f>
        <v>#REF!</v>
      </c>
      <c r="AI89" s="99"/>
      <c r="AJ89" s="99"/>
      <c r="AK89" t="s">
        <v>1256</v>
      </c>
      <c r="AL89" s="99" t="e">
        <f>VLOOKUP(AK89,#REF!,1,0)</f>
        <v>#REF!</v>
      </c>
    </row>
    <row r="90" spans="26:38">
      <c r="Z90" t="s">
        <v>1257</v>
      </c>
      <c r="AA90" s="99" t="str">
        <f t="shared" si="3"/>
        <v>'31000310876547096000000000000000',</v>
      </c>
      <c r="AB90" s="99"/>
      <c r="AC90" s="99"/>
      <c r="AD90" s="99"/>
      <c r="AE90" s="99"/>
      <c r="AF90" s="99"/>
      <c r="AG90" t="s">
        <v>1258</v>
      </c>
      <c r="AH90" s="99" t="e">
        <f>VLOOKUP(AG90,#REF!,1,0)</f>
        <v>#REF!</v>
      </c>
      <c r="AI90" s="99"/>
      <c r="AJ90" s="99"/>
      <c r="AK90" t="s">
        <v>1259</v>
      </c>
      <c r="AL90" s="99" t="e">
        <f>VLOOKUP(AK90,#REF!,1,0)</f>
        <v>#REF!</v>
      </c>
    </row>
    <row r="91" spans="26:38">
      <c r="Z91" t="s">
        <v>1260</v>
      </c>
      <c r="AA91" s="99" t="str">
        <f t="shared" si="3"/>
        <v>'31000313662738096000000000000000',</v>
      </c>
      <c r="AB91" s="99"/>
      <c r="AC91" s="99"/>
      <c r="AD91" s="99"/>
      <c r="AE91" s="99"/>
      <c r="AF91" s="99"/>
      <c r="AG91" t="s">
        <v>1261</v>
      </c>
      <c r="AH91" s="99" t="e">
        <f>VLOOKUP(AG91,#REF!,1,0)</f>
        <v>#REF!</v>
      </c>
      <c r="AI91" s="99"/>
      <c r="AJ91" s="99"/>
      <c r="AK91" t="s">
        <v>1262</v>
      </c>
      <c r="AL91" s="99" t="e">
        <f>VLOOKUP(AK91,#REF!,1,0)</f>
        <v>#REF!</v>
      </c>
    </row>
    <row r="92" spans="26:38">
      <c r="Z92" t="s">
        <v>1263</v>
      </c>
      <c r="AA92" s="99" t="str">
        <f t="shared" si="3"/>
        <v>'31000350135896020000000000000000',</v>
      </c>
      <c r="AB92" s="99"/>
      <c r="AC92" s="99"/>
      <c r="AD92" s="99"/>
      <c r="AE92" s="99"/>
      <c r="AF92" s="99"/>
      <c r="AG92" t="s">
        <v>1264</v>
      </c>
      <c r="AH92" s="99" t="e">
        <f>VLOOKUP(AG92,#REF!,1,0)</f>
        <v>#REF!</v>
      </c>
      <c r="AI92" s="99"/>
      <c r="AJ92" s="99"/>
      <c r="AK92" t="s">
        <v>1265</v>
      </c>
      <c r="AL92" s="99" t="e">
        <f>VLOOKUP(AK92,#REF!,1,0)</f>
        <v>#REF!</v>
      </c>
    </row>
    <row r="93" spans="26:38">
      <c r="Z93" t="s">
        <v>1266</v>
      </c>
      <c r="AA93" s="99" t="str">
        <f t="shared" si="3"/>
        <v>'31000023153878001000000000000000',</v>
      </c>
      <c r="AB93" s="99"/>
      <c r="AC93" s="99"/>
      <c r="AD93" s="99"/>
      <c r="AE93" s="99"/>
      <c r="AF93" s="99"/>
      <c r="AG93" t="s">
        <v>1267</v>
      </c>
      <c r="AH93" s="99" t="e">
        <f>VLOOKUP(AG93,#REF!,1,0)</f>
        <v>#REF!</v>
      </c>
      <c r="AI93" s="99"/>
      <c r="AJ93" s="99"/>
      <c r="AK93" t="s">
        <v>1268</v>
      </c>
      <c r="AL93" s="99" t="e">
        <f>VLOOKUP(AK93,#REF!,1,0)</f>
        <v>#REF!</v>
      </c>
    </row>
    <row r="94" spans="26:38">
      <c r="Z94" t="s">
        <v>1269</v>
      </c>
      <c r="AA94" s="99" t="str">
        <f t="shared" si="3"/>
        <v>'31000032364179001000000000000000',</v>
      </c>
      <c r="AB94" s="99"/>
      <c r="AC94" s="99"/>
      <c r="AD94" s="99"/>
      <c r="AE94" s="99"/>
      <c r="AF94" s="99"/>
      <c r="AG94" t="s">
        <v>1270</v>
      </c>
      <c r="AH94" s="99" t="e">
        <f>VLOOKUP(AG94,#REF!,1,0)</f>
        <v>#REF!</v>
      </c>
      <c r="AI94" s="99"/>
      <c r="AJ94" s="99"/>
      <c r="AK94" t="s">
        <v>1161</v>
      </c>
      <c r="AL94" s="99" t="e">
        <f>VLOOKUP(AK94,#REF!,1,0)</f>
        <v>#REF!</v>
      </c>
    </row>
    <row r="95" spans="26:38">
      <c r="Z95" t="s">
        <v>1271</v>
      </c>
      <c r="AA95" s="99" t="str">
        <f t="shared" si="3"/>
        <v>'31000351352615020000000000000000',</v>
      </c>
      <c r="AB95" s="99"/>
      <c r="AC95" s="99"/>
      <c r="AD95" s="99"/>
      <c r="AE95" s="99"/>
      <c r="AF95" s="99"/>
      <c r="AG95" t="s">
        <v>1272</v>
      </c>
      <c r="AH95" s="99" t="e">
        <f>VLOOKUP(AG95,#REF!,1,0)</f>
        <v>#REF!</v>
      </c>
      <c r="AI95" s="99"/>
      <c r="AJ95" s="99"/>
      <c r="AK95" t="s">
        <v>1273</v>
      </c>
      <c r="AL95" s="99" t="e">
        <f>VLOOKUP(AK95,#REF!,1,0)</f>
        <v>#REF!</v>
      </c>
    </row>
    <row r="96" spans="26:38">
      <c r="Z96" t="s">
        <v>1274</v>
      </c>
      <c r="AA96" s="99" t="str">
        <f t="shared" si="3"/>
        <v>'31000348781488020000000000000000',</v>
      </c>
      <c r="AB96" s="99"/>
      <c r="AC96" s="99"/>
      <c r="AD96" s="99"/>
      <c r="AE96" s="99"/>
      <c r="AF96" s="99"/>
      <c r="AG96" t="s">
        <v>1275</v>
      </c>
      <c r="AH96" s="99" t="e">
        <f>VLOOKUP(AG96,#REF!,1,0)</f>
        <v>#REF!</v>
      </c>
      <c r="AI96" s="99"/>
      <c r="AJ96" s="99"/>
      <c r="AK96" t="s">
        <v>1276</v>
      </c>
      <c r="AL96" s="99" t="e">
        <f>VLOOKUP(AK96,#REF!,1,0)</f>
        <v>#REF!</v>
      </c>
    </row>
    <row r="97" spans="26:38">
      <c r="Z97" t="s">
        <v>1277</v>
      </c>
      <c r="AA97" s="99" t="str">
        <f t="shared" si="3"/>
        <v>'31000354660717020000000000000000',</v>
      </c>
      <c r="AB97" s="99"/>
      <c r="AC97" s="99"/>
      <c r="AD97" s="99"/>
      <c r="AE97" s="99"/>
      <c r="AF97" s="99"/>
      <c r="AG97" t="s">
        <v>1278</v>
      </c>
      <c r="AH97" s="99" t="e">
        <f>VLOOKUP(AG97,#REF!,1,0)</f>
        <v>#REF!</v>
      </c>
      <c r="AI97" s="99"/>
      <c r="AJ97" s="99"/>
      <c r="AK97" t="s">
        <v>1279</v>
      </c>
      <c r="AL97" s="99" t="e">
        <f>VLOOKUP(AK97,#REF!,1,0)</f>
        <v>#REF!</v>
      </c>
    </row>
    <row r="98" spans="26:38">
      <c r="Z98" t="s">
        <v>1280</v>
      </c>
      <c r="AA98" s="99" t="str">
        <f t="shared" si="3"/>
        <v>'31000053192015020000000000000000',</v>
      </c>
      <c r="AB98" s="99"/>
      <c r="AC98" s="99"/>
      <c r="AD98" s="99"/>
      <c r="AE98" s="99"/>
      <c r="AF98" s="99"/>
      <c r="AG98" t="s">
        <v>1281</v>
      </c>
      <c r="AH98" s="99" t="e">
        <f>VLOOKUP(AG98,#REF!,1,0)</f>
        <v>#REF!</v>
      </c>
      <c r="AI98" s="99"/>
      <c r="AJ98" s="99"/>
      <c r="AK98" t="s">
        <v>1282</v>
      </c>
      <c r="AL98" s="99" t="e">
        <f>VLOOKUP(AK98,#REF!,1,0)</f>
        <v>#REF!</v>
      </c>
    </row>
    <row r="99" spans="26:38">
      <c r="Z99" t="s">
        <v>1283</v>
      </c>
      <c r="AA99" s="99" t="str">
        <f t="shared" si="3"/>
        <v>'31000355032577020000000000000000',</v>
      </c>
      <c r="AB99" s="99"/>
      <c r="AC99" s="99"/>
      <c r="AD99" s="99"/>
      <c r="AE99" s="99"/>
      <c r="AF99" s="99"/>
      <c r="AG99" t="s">
        <v>1284</v>
      </c>
      <c r="AH99" s="99" t="e">
        <f>VLOOKUP(AG99,#REF!,1,0)</f>
        <v>#REF!</v>
      </c>
      <c r="AI99" s="99"/>
      <c r="AJ99" s="99"/>
      <c r="AK99" t="s">
        <v>1285</v>
      </c>
      <c r="AL99" s="99" t="e">
        <f>VLOOKUP(AK99,#REF!,1,0)</f>
        <v>#REF!</v>
      </c>
    </row>
    <row r="100" spans="26:38">
      <c r="Z100" t="s">
        <v>1286</v>
      </c>
      <c r="AA100" s="99" t="str">
        <f t="shared" si="3"/>
        <v>'31000051122345020000000000000000',</v>
      </c>
      <c r="AB100" s="99"/>
      <c r="AC100" s="99"/>
      <c r="AD100" s="99"/>
      <c r="AE100" s="99"/>
      <c r="AF100" s="99"/>
      <c r="AG100" t="s">
        <v>1287</v>
      </c>
      <c r="AH100" s="99" t="e">
        <f>VLOOKUP(AG100,#REF!,1,0)</f>
        <v>#REF!</v>
      </c>
      <c r="AI100" s="99"/>
      <c r="AJ100" s="99"/>
      <c r="AK100" t="s">
        <v>1288</v>
      </c>
      <c r="AL100" s="99" t="e">
        <f>VLOOKUP(AK100,#REF!,1,0)</f>
        <v>#REF!</v>
      </c>
    </row>
    <row r="101" spans="26:38">
      <c r="Z101" t="s">
        <v>1289</v>
      </c>
      <c r="AA101" s="99" t="str">
        <f t="shared" si="3"/>
        <v>'31000350048636020000000000000000',</v>
      </c>
      <c r="AB101" s="99"/>
      <c r="AC101" s="99"/>
      <c r="AD101" s="99"/>
      <c r="AE101" s="99"/>
      <c r="AF101" s="99"/>
      <c r="AG101" t="s">
        <v>1290</v>
      </c>
      <c r="AH101" s="99" t="e">
        <f>VLOOKUP(AG101,#REF!,1,0)</f>
        <v>#REF!</v>
      </c>
      <c r="AI101" s="99"/>
      <c r="AJ101" s="99"/>
      <c r="AK101" t="s">
        <v>1248</v>
      </c>
      <c r="AL101" s="99" t="e">
        <f>VLOOKUP(AK101,#REF!,1,0)</f>
        <v>#REF!</v>
      </c>
    </row>
    <row r="102" spans="26:38">
      <c r="Z102" t="s">
        <v>1291</v>
      </c>
      <c r="AA102" s="99" t="str">
        <f t="shared" si="3"/>
        <v>'31000338920898020000000000000000',</v>
      </c>
      <c r="AB102" s="99"/>
      <c r="AC102" s="99"/>
      <c r="AD102" s="99"/>
      <c r="AE102" s="99"/>
      <c r="AF102" s="99"/>
      <c r="AG102" t="s">
        <v>1292</v>
      </c>
      <c r="AH102" s="99" t="e">
        <f>VLOOKUP(AG102,#REF!,1,0)</f>
        <v>#REF!</v>
      </c>
      <c r="AI102" s="99"/>
      <c r="AJ102" s="99"/>
      <c r="AK102" t="s">
        <v>1200</v>
      </c>
      <c r="AL102" s="99" t="e">
        <f>VLOOKUP(AK102,#REF!,1,0)</f>
        <v>#REF!</v>
      </c>
    </row>
    <row r="103" spans="26:38">
      <c r="Z103" t="s">
        <v>1122</v>
      </c>
      <c r="AA103" s="99" t="str">
        <f t="shared" si="3"/>
        <v>'31000315390833096000000000000000',</v>
      </c>
      <c r="AB103" s="99"/>
      <c r="AC103" s="99"/>
      <c r="AD103" s="99"/>
      <c r="AE103" s="99"/>
      <c r="AF103" s="99"/>
      <c r="AG103" t="s">
        <v>1293</v>
      </c>
      <c r="AH103" s="99" t="e">
        <f>VLOOKUP(AG103,#REF!,1,0)</f>
        <v>#REF!</v>
      </c>
      <c r="AI103" s="99"/>
      <c r="AJ103" s="99"/>
      <c r="AK103" t="s">
        <v>1030</v>
      </c>
      <c r="AL103" s="99" t="e">
        <f>VLOOKUP(AK103,#REF!,1,0)</f>
        <v>#REF!</v>
      </c>
    </row>
    <row r="104" spans="26:38">
      <c r="Z104" t="s">
        <v>909</v>
      </c>
      <c r="AA104" s="99" t="str">
        <f t="shared" si="3"/>
        <v>'31000011704763541000000000000000',</v>
      </c>
      <c r="AB104" s="99"/>
      <c r="AC104" s="99"/>
      <c r="AD104" s="99"/>
      <c r="AE104" s="99"/>
      <c r="AF104" s="99"/>
      <c r="AG104" t="s">
        <v>1294</v>
      </c>
      <c r="AH104" s="99" t="e">
        <f>VLOOKUP(AG104,#REF!,1,0)</f>
        <v>#REF!</v>
      </c>
      <c r="AI104" s="99"/>
      <c r="AJ104" s="99"/>
      <c r="AK104" t="s">
        <v>1159</v>
      </c>
      <c r="AL104" s="99" t="e">
        <f>VLOOKUP(AK104,#REF!,1,0)</f>
        <v>#REF!</v>
      </c>
    </row>
    <row r="105" spans="26:38">
      <c r="Z105" t="s">
        <v>1295</v>
      </c>
      <c r="AA105" s="99" t="str">
        <f t="shared" si="3"/>
        <v>'31000348070015020000000000000000',</v>
      </c>
      <c r="AB105" s="99"/>
      <c r="AC105" s="99"/>
      <c r="AD105" s="99"/>
      <c r="AE105" s="99"/>
      <c r="AF105" s="99"/>
      <c r="AG105" t="s">
        <v>1296</v>
      </c>
      <c r="AH105" s="99" t="e">
        <f>VLOOKUP(AG105,#REF!,1,0)</f>
        <v>#REF!</v>
      </c>
      <c r="AI105" s="99"/>
      <c r="AJ105" s="99"/>
      <c r="AK105" t="s">
        <v>1230</v>
      </c>
      <c r="AL105" s="99" t="e">
        <f>VLOOKUP(AK105,#REF!,1,0)</f>
        <v>#REF!</v>
      </c>
    </row>
    <row r="106" spans="26:38">
      <c r="Z106" t="s">
        <v>1297</v>
      </c>
      <c r="AA106" s="99" t="str">
        <f t="shared" si="3"/>
        <v>'31000339006150020000000000000000',</v>
      </c>
      <c r="AB106" s="99"/>
      <c r="AC106" s="99"/>
      <c r="AD106" s="99"/>
      <c r="AE106" s="99"/>
      <c r="AF106" s="99"/>
      <c r="AG106" t="s">
        <v>1298</v>
      </c>
      <c r="AH106" s="99" t="e">
        <f>VLOOKUP(AG106,#REF!,1,0)</f>
        <v>#REF!</v>
      </c>
      <c r="AI106" s="99"/>
      <c r="AJ106" s="99"/>
      <c r="AK106" t="s">
        <v>1299</v>
      </c>
      <c r="AL106" s="99" t="e">
        <f>VLOOKUP(AK106,#REF!,1,0)</f>
        <v>#REF!</v>
      </c>
    </row>
    <row r="107" spans="26:38">
      <c r="Z107" t="s">
        <v>1300</v>
      </c>
      <c r="AA107" s="99" t="str">
        <f t="shared" si="3"/>
        <v>'31000352846409020000000000000000',</v>
      </c>
      <c r="AB107" s="99"/>
      <c r="AC107" s="99"/>
      <c r="AD107" s="99"/>
      <c r="AE107" s="99"/>
      <c r="AF107" s="99"/>
      <c r="AG107" t="s">
        <v>1301</v>
      </c>
      <c r="AH107" s="99" t="e">
        <f>VLOOKUP(AG107,#REF!,1,0)</f>
        <v>#REF!</v>
      </c>
      <c r="AI107" s="99"/>
      <c r="AJ107" s="99"/>
      <c r="AK107" t="s">
        <v>1302</v>
      </c>
      <c r="AL107" s="99" t="e">
        <f>VLOOKUP(AK107,#REF!,1,0)</f>
        <v>#REF!</v>
      </c>
    </row>
    <row r="108" spans="26:38">
      <c r="Z108" t="s">
        <v>1303</v>
      </c>
      <c r="AA108" s="99" t="str">
        <f t="shared" si="3"/>
        <v>'31000346703757020000000000000000',</v>
      </c>
      <c r="AB108" s="99"/>
      <c r="AC108" s="99"/>
      <c r="AD108" s="99"/>
      <c r="AE108" s="99"/>
      <c r="AF108" s="99"/>
      <c r="AG108" t="s">
        <v>1304</v>
      </c>
      <c r="AH108" s="99" t="e">
        <f>VLOOKUP(AG108,#REF!,1,0)</f>
        <v>#REF!</v>
      </c>
      <c r="AI108" s="99"/>
      <c r="AJ108" s="99"/>
      <c r="AK108" t="s">
        <v>1305</v>
      </c>
      <c r="AL108" s="99" t="e">
        <f>VLOOKUP(AK108,#REF!,1,0)</f>
        <v>#REF!</v>
      </c>
    </row>
    <row r="109" spans="26:38">
      <c r="Z109" t="s">
        <v>1306</v>
      </c>
      <c r="AA109" s="99" t="str">
        <f t="shared" si="3"/>
        <v>'31000350507219020000000000000000',</v>
      </c>
      <c r="AB109" s="99"/>
      <c r="AC109" s="99"/>
      <c r="AD109" s="99"/>
      <c r="AE109" s="99"/>
      <c r="AF109" s="99"/>
      <c r="AG109" t="s">
        <v>1307</v>
      </c>
      <c r="AH109" s="99" t="e">
        <f>VLOOKUP(AG109,#REF!,1,0)</f>
        <v>#REF!</v>
      </c>
      <c r="AI109" s="99"/>
      <c r="AJ109" s="99"/>
      <c r="AK109" t="s">
        <v>1308</v>
      </c>
      <c r="AL109" s="99" t="e">
        <f>VLOOKUP(AK109,#REF!,1,0)</f>
        <v>#REF!</v>
      </c>
    </row>
    <row r="110" spans="26:38">
      <c r="Z110" t="s">
        <v>1235</v>
      </c>
      <c r="AA110" s="99" t="str">
        <f t="shared" si="3"/>
        <v>'31000357776429020000000000000000',</v>
      </c>
      <c r="AB110" s="99"/>
      <c r="AC110" s="99"/>
      <c r="AD110" s="99"/>
      <c r="AE110" s="99"/>
      <c r="AF110" s="99"/>
      <c r="AG110" t="s">
        <v>1309</v>
      </c>
      <c r="AH110" s="99" t="e">
        <f>VLOOKUP(AG110,#REF!,1,0)</f>
        <v>#REF!</v>
      </c>
      <c r="AI110" s="99"/>
      <c r="AJ110" s="99"/>
      <c r="AK110" t="s">
        <v>1077</v>
      </c>
      <c r="AL110" s="99" t="e">
        <f>VLOOKUP(AK110,#REF!,1,0)</f>
        <v>#REF!</v>
      </c>
    </row>
    <row r="111" spans="26:38">
      <c r="Z111" t="s">
        <v>1238</v>
      </c>
      <c r="AA111" s="99" t="str">
        <f t="shared" si="3"/>
        <v>'31000346300539020000000000000000',</v>
      </c>
      <c r="AB111" s="99"/>
      <c r="AC111" s="99"/>
      <c r="AD111" s="99"/>
      <c r="AE111" s="99"/>
      <c r="AF111" s="99"/>
      <c r="AG111" t="s">
        <v>1310</v>
      </c>
      <c r="AH111" s="99" t="e">
        <f>VLOOKUP(AG111,#REF!,1,0)</f>
        <v>#REF!</v>
      </c>
      <c r="AI111" s="99"/>
      <c r="AJ111" s="99"/>
      <c r="AK111" t="s">
        <v>1311</v>
      </c>
      <c r="AL111" s="99" t="e">
        <f>VLOOKUP(AK111,#REF!,1,0)</f>
        <v>#REF!</v>
      </c>
    </row>
    <row r="112" spans="26:38">
      <c r="Z112" t="s">
        <v>1312</v>
      </c>
      <c r="AA112" s="99" t="str">
        <f t="shared" si="3"/>
        <v>'31000339611900020000000000000000',</v>
      </c>
      <c r="AB112" s="99"/>
      <c r="AC112" s="99"/>
      <c r="AD112" s="99"/>
      <c r="AE112" s="99"/>
      <c r="AF112" s="99"/>
      <c r="AG112" t="s">
        <v>1313</v>
      </c>
      <c r="AH112" s="99" t="e">
        <f>VLOOKUP(AG112,#REF!,1,0)</f>
        <v>#REF!</v>
      </c>
      <c r="AI112" s="99"/>
      <c r="AJ112" s="99"/>
      <c r="AK112" t="s">
        <v>1314</v>
      </c>
      <c r="AL112" s="99" t="e">
        <f>VLOOKUP(AK112,#REF!,1,0)</f>
        <v>#REF!</v>
      </c>
    </row>
    <row r="113" spans="26:38">
      <c r="Z113" t="s">
        <v>917</v>
      </c>
      <c r="AA113" s="99" t="str">
        <f t="shared" si="3"/>
        <v>'31000360875135020000000000000000',</v>
      </c>
      <c r="AB113" s="99"/>
      <c r="AC113" s="99"/>
      <c r="AD113" s="99"/>
      <c r="AE113" s="99"/>
      <c r="AF113" s="99"/>
      <c r="AG113" t="s">
        <v>1315</v>
      </c>
      <c r="AH113" s="99" t="e">
        <f>VLOOKUP(AG113,#REF!,1,0)</f>
        <v>#REF!</v>
      </c>
      <c r="AI113" s="99"/>
      <c r="AJ113" s="99"/>
      <c r="AK113" t="s">
        <v>1316</v>
      </c>
      <c r="AL113" s="99" t="e">
        <f>VLOOKUP(AK113,#REF!,1,0)</f>
        <v>#REF!</v>
      </c>
    </row>
    <row r="114" spans="26:38">
      <c r="Z114" t="s">
        <v>1317</v>
      </c>
      <c r="AA114" s="99" t="str">
        <f t="shared" si="3"/>
        <v>'31000338207726020000000000000000',</v>
      </c>
      <c r="AB114" s="99"/>
      <c r="AC114" s="99"/>
      <c r="AD114" s="99"/>
      <c r="AE114" s="99"/>
      <c r="AF114" s="99"/>
      <c r="AG114" t="s">
        <v>1318</v>
      </c>
      <c r="AH114" s="99" t="e">
        <f>VLOOKUP(AG114,#REF!,1,0)</f>
        <v>#REF!</v>
      </c>
      <c r="AI114" s="99"/>
      <c r="AJ114" s="99"/>
      <c r="AK114" t="s">
        <v>1223</v>
      </c>
      <c r="AL114" s="99" t="e">
        <f>VLOOKUP(AK114,#REF!,1,0)</f>
        <v>#REF!</v>
      </c>
    </row>
    <row r="115" spans="26:38">
      <c r="Z115" t="s">
        <v>1319</v>
      </c>
      <c r="AA115" s="99" t="str">
        <f t="shared" si="3"/>
        <v>'31000344171767020000000000000000',</v>
      </c>
      <c r="AB115" s="99"/>
      <c r="AC115" s="99"/>
      <c r="AD115" s="99"/>
      <c r="AE115" s="99"/>
      <c r="AF115" s="99"/>
      <c r="AG115" t="s">
        <v>1320</v>
      </c>
      <c r="AH115" s="99" t="e">
        <f>VLOOKUP(AG115,#REF!,1,0)</f>
        <v>#REF!</v>
      </c>
      <c r="AI115" s="99"/>
      <c r="AJ115" s="99"/>
      <c r="AK115" t="s">
        <v>1321</v>
      </c>
      <c r="AL115" s="99" t="e">
        <f>VLOOKUP(AK115,#REF!,1,0)</f>
        <v>#REF!</v>
      </c>
    </row>
    <row r="116" spans="26:38">
      <c r="Z116" t="s">
        <v>1322</v>
      </c>
      <c r="AA116" s="99" t="str">
        <f t="shared" si="3"/>
        <v>'31000351598050020000000000000000',</v>
      </c>
      <c r="AB116" s="99"/>
      <c r="AC116" s="99"/>
      <c r="AD116" s="99"/>
      <c r="AE116" s="99"/>
      <c r="AF116" s="99"/>
      <c r="AG116" t="s">
        <v>1323</v>
      </c>
      <c r="AH116" s="99" t="e">
        <f>VLOOKUP(AG116,#REF!,1,0)</f>
        <v>#REF!</v>
      </c>
      <c r="AI116" s="99"/>
      <c r="AJ116" s="99"/>
      <c r="AK116" t="s">
        <v>1324</v>
      </c>
      <c r="AL116" s="99" t="e">
        <f>VLOOKUP(AK116,#REF!,1,0)</f>
        <v>#REF!</v>
      </c>
    </row>
    <row r="117" spans="26:38">
      <c r="Z117" t="s">
        <v>1325</v>
      </c>
      <c r="AA117" s="99" t="str">
        <f t="shared" si="3"/>
        <v>'31000317962234020000000000000000',</v>
      </c>
      <c r="AB117" s="99"/>
      <c r="AC117" s="99"/>
      <c r="AD117" s="99"/>
      <c r="AE117" s="99"/>
      <c r="AF117" s="99"/>
      <c r="AG117" t="s">
        <v>1326</v>
      </c>
      <c r="AH117" s="99" t="e">
        <f>VLOOKUP(AG117,#REF!,1,0)</f>
        <v>#REF!</v>
      </c>
      <c r="AI117" s="99"/>
      <c r="AJ117" s="99"/>
      <c r="AK117" t="s">
        <v>1327</v>
      </c>
      <c r="AL117" s="99" t="e">
        <f>VLOOKUP(AK117,#REF!,1,0)</f>
        <v>#REF!</v>
      </c>
    </row>
    <row r="118" spans="26:38">
      <c r="Z118" t="s">
        <v>1328</v>
      </c>
      <c r="AA118" s="99" t="str">
        <f t="shared" si="3"/>
        <v>'31000349666886020000000000000000',</v>
      </c>
      <c r="AB118" s="99"/>
      <c r="AC118" s="99"/>
      <c r="AD118" s="99"/>
      <c r="AE118" s="99"/>
      <c r="AF118" s="99"/>
      <c r="AG118" t="s">
        <v>1329</v>
      </c>
      <c r="AH118" s="99" t="e">
        <f>VLOOKUP(AG118,#REF!,1,0)</f>
        <v>#REF!</v>
      </c>
      <c r="AI118" s="99"/>
      <c r="AJ118" s="99"/>
      <c r="AK118" t="s">
        <v>1330</v>
      </c>
      <c r="AL118" s="99" t="e">
        <f>VLOOKUP(AK118,#REF!,1,0)</f>
        <v>#REF!</v>
      </c>
    </row>
    <row r="119" spans="26:38">
      <c r="Z119" t="s">
        <v>1331</v>
      </c>
      <c r="AA119" s="99" t="str">
        <f t="shared" si="3"/>
        <v>'31000352283108020000000000000000',</v>
      </c>
      <c r="AB119" s="99"/>
      <c r="AC119" s="99"/>
      <c r="AD119" s="99"/>
      <c r="AE119" s="99"/>
      <c r="AF119" s="99"/>
      <c r="AG119" t="s">
        <v>1332</v>
      </c>
      <c r="AH119" s="99" t="e">
        <f>VLOOKUP(AG119,#REF!,1,0)</f>
        <v>#REF!</v>
      </c>
      <c r="AI119" s="99"/>
      <c r="AJ119" s="99"/>
      <c r="AK119" t="s">
        <v>1333</v>
      </c>
      <c r="AL119" s="99" t="e">
        <f>VLOOKUP(AK119,#REF!,1,0)</f>
        <v>#REF!</v>
      </c>
    </row>
    <row r="120" spans="26:38">
      <c r="Z120" t="s">
        <v>1334</v>
      </c>
      <c r="AA120" s="99" t="str">
        <f t="shared" si="3"/>
        <v>'31003181614510011001732200000001',</v>
      </c>
      <c r="AB120" s="99"/>
      <c r="AC120" s="99"/>
      <c r="AD120" s="99"/>
      <c r="AE120" s="99"/>
      <c r="AF120" s="99"/>
      <c r="AG120" t="s">
        <v>1335</v>
      </c>
      <c r="AH120" s="99" t="e">
        <f>VLOOKUP(AG120,#REF!,1,0)</f>
        <v>#REF!</v>
      </c>
      <c r="AI120" s="99"/>
      <c r="AJ120" s="99"/>
      <c r="AK120" t="s">
        <v>1336</v>
      </c>
      <c r="AL120" s="99" t="e">
        <f>VLOOKUP(AK120,#REF!,1,0)</f>
        <v>#REF!</v>
      </c>
    </row>
    <row r="121" spans="26:38">
      <c r="Z121" t="s">
        <v>1337</v>
      </c>
      <c r="AA121" s="99" t="str">
        <f t="shared" si="3"/>
        <v>'31000352952918020000000000000000',</v>
      </c>
      <c r="AB121" s="99"/>
      <c r="AC121" s="99"/>
      <c r="AD121" s="99"/>
      <c r="AE121" s="99"/>
      <c r="AF121" s="99"/>
      <c r="AG121" t="s">
        <v>1338</v>
      </c>
      <c r="AH121" s="99" t="e">
        <f>VLOOKUP(AG121,#REF!,1,0)</f>
        <v>#REF!</v>
      </c>
      <c r="AI121" s="99"/>
      <c r="AJ121" s="99"/>
      <c r="AK121" t="s">
        <v>1339</v>
      </c>
      <c r="AL121" s="99" t="e">
        <f>VLOOKUP(AK121,#REF!,1,0)</f>
        <v>#REF!</v>
      </c>
    </row>
    <row r="122" spans="26:38">
      <c r="Z122" t="s">
        <v>1340</v>
      </c>
      <c r="AA122" s="99" t="str">
        <f t="shared" si="3"/>
        <v>'31000346490025020000000000000000',</v>
      </c>
      <c r="AB122" s="99"/>
      <c r="AC122" s="99"/>
      <c r="AD122" s="99"/>
      <c r="AE122" s="99"/>
      <c r="AF122" s="99"/>
      <c r="AG122" t="s">
        <v>1341</v>
      </c>
      <c r="AH122" s="99" t="e">
        <f>VLOOKUP(AG122,#REF!,1,0)</f>
        <v>#REF!</v>
      </c>
      <c r="AI122" s="99"/>
      <c r="AJ122" s="99"/>
      <c r="AK122" t="s">
        <v>1342</v>
      </c>
      <c r="AL122" s="99" t="e">
        <f>VLOOKUP(AK122,#REF!,1,0)</f>
        <v>#REF!</v>
      </c>
    </row>
    <row r="123" spans="26:38">
      <c r="Z123" t="s">
        <v>1343</v>
      </c>
      <c r="AA123" s="99" t="str">
        <f t="shared" si="3"/>
        <v>'31000351164325020000000000000000',</v>
      </c>
      <c r="AB123" s="99"/>
      <c r="AC123" s="99"/>
      <c r="AD123" s="99"/>
      <c r="AE123" s="99"/>
      <c r="AF123" s="99"/>
      <c r="AG123" t="s">
        <v>1344</v>
      </c>
      <c r="AH123" s="99" t="e">
        <f>VLOOKUP(AG123,#REF!,1,0)</f>
        <v>#REF!</v>
      </c>
      <c r="AI123" s="99"/>
      <c r="AJ123" s="99"/>
      <c r="AK123" t="s">
        <v>1345</v>
      </c>
      <c r="AL123" s="99" t="e">
        <f>VLOOKUP(AK123,#REF!,1,0)</f>
        <v>#REF!</v>
      </c>
    </row>
    <row r="124" spans="26:38">
      <c r="Z124" t="s">
        <v>1346</v>
      </c>
      <c r="AA124" s="99" t="str">
        <f t="shared" si="3"/>
        <v>'31000313101521096000000000000000',</v>
      </c>
      <c r="AB124" s="99"/>
      <c r="AC124" s="99"/>
      <c r="AD124" s="99"/>
      <c r="AE124" s="99"/>
      <c r="AF124" s="99"/>
      <c r="AG124" t="s">
        <v>1347</v>
      </c>
      <c r="AH124" s="99" t="e">
        <f>VLOOKUP(AG124,#REF!,1,0)</f>
        <v>#REF!</v>
      </c>
      <c r="AI124" s="99"/>
      <c r="AJ124" s="99"/>
      <c r="AK124" t="s">
        <v>1348</v>
      </c>
      <c r="AL124" s="99" t="e">
        <f>VLOOKUP(AK124,#REF!,1,0)</f>
        <v>#REF!</v>
      </c>
    </row>
    <row r="125" spans="26:38">
      <c r="Z125" t="s">
        <v>1118</v>
      </c>
      <c r="AA125" s="99" t="str">
        <f t="shared" si="3"/>
        <v>'31000805007256020000000000000000',</v>
      </c>
      <c r="AB125" s="99"/>
      <c r="AC125" s="99"/>
      <c r="AD125" s="99"/>
      <c r="AE125" s="99"/>
      <c r="AF125" s="99"/>
      <c r="AG125" t="s">
        <v>1349</v>
      </c>
      <c r="AH125" s="99" t="e">
        <f>VLOOKUP(AG125,#REF!,1,0)</f>
        <v>#REF!</v>
      </c>
      <c r="AI125" s="99"/>
      <c r="AJ125" s="99"/>
      <c r="AK125" t="s">
        <v>1350</v>
      </c>
      <c r="AL125" s="99" t="e">
        <f>VLOOKUP(AK125,#REF!,1,0)</f>
        <v>#REF!</v>
      </c>
    </row>
    <row r="126" spans="26:38">
      <c r="Z126" t="s">
        <v>1241</v>
      </c>
      <c r="AA126" s="99" t="str">
        <f t="shared" si="3"/>
        <v>'31204402869941020000000000000000',</v>
      </c>
      <c r="AB126" s="99"/>
      <c r="AC126" s="99"/>
      <c r="AD126" s="99"/>
      <c r="AE126" s="99"/>
      <c r="AF126" s="99"/>
      <c r="AG126" t="s">
        <v>1351</v>
      </c>
      <c r="AH126" s="99" t="e">
        <f>VLOOKUP(AG126,#REF!,1,0)</f>
        <v>#REF!</v>
      </c>
      <c r="AI126" s="99"/>
      <c r="AJ126" s="99"/>
      <c r="AK126" t="s">
        <v>1352</v>
      </c>
      <c r="AL126" s="99" t="e">
        <f>VLOOKUP(AK126,#REF!,1,0)</f>
        <v>#REF!</v>
      </c>
    </row>
    <row r="127" spans="26:38">
      <c r="Z127" t="s">
        <v>1353</v>
      </c>
      <c r="AA127" s="99" t="str">
        <f t="shared" si="3"/>
        <v>'31000009464475001000000000000000',</v>
      </c>
      <c r="AB127" s="99"/>
      <c r="AC127" s="99"/>
      <c r="AD127" s="99"/>
      <c r="AE127" s="99"/>
      <c r="AF127" s="99"/>
      <c r="AG127" t="s">
        <v>1354</v>
      </c>
      <c r="AH127" s="99" t="e">
        <f>VLOOKUP(AG127,#REF!,1,0)</f>
        <v>#REF!</v>
      </c>
      <c r="AI127" s="99"/>
      <c r="AJ127" s="99"/>
      <c r="AK127" t="s">
        <v>1355</v>
      </c>
      <c r="AL127" s="99" t="e">
        <f>VLOOKUP(AK127,#REF!,1,0)</f>
        <v>#REF!</v>
      </c>
    </row>
    <row r="128" spans="26:38">
      <c r="Z128" t="s">
        <v>1356</v>
      </c>
      <c r="AA128" s="99" t="str">
        <f t="shared" si="3"/>
        <v>'31000806037393020000000000000000',</v>
      </c>
      <c r="AB128" s="99"/>
      <c r="AC128" s="99"/>
      <c r="AD128" s="99"/>
      <c r="AE128" s="99"/>
      <c r="AF128" s="99"/>
      <c r="AG128" t="s">
        <v>1357</v>
      </c>
      <c r="AH128" s="99" t="e">
        <f>VLOOKUP(AG128,#REF!,1,0)</f>
        <v>#REF!</v>
      </c>
      <c r="AI128" s="99"/>
      <c r="AJ128" s="99"/>
      <c r="AK128" t="s">
        <v>1358</v>
      </c>
      <c r="AL128" s="99" t="e">
        <f>VLOOKUP(AK128,#REF!,1,0)</f>
        <v>#REF!</v>
      </c>
    </row>
    <row r="129" spans="26:38">
      <c r="Z129" t="s">
        <v>1333</v>
      </c>
      <c r="AA129" s="99" t="str">
        <f t="shared" si="3"/>
        <v>'31000032142808001000000000000000',</v>
      </c>
      <c r="AB129" s="99"/>
      <c r="AC129" s="99"/>
      <c r="AD129" s="99"/>
      <c r="AE129" s="99"/>
      <c r="AF129" s="99"/>
      <c r="AG129" t="s">
        <v>1359</v>
      </c>
      <c r="AH129" s="99" t="e">
        <f>VLOOKUP(AG129,#REF!,1,0)</f>
        <v>#REF!</v>
      </c>
      <c r="AI129" s="99"/>
      <c r="AJ129" s="99"/>
      <c r="AK129" t="s">
        <v>1360</v>
      </c>
      <c r="AL129" s="99" t="e">
        <f>VLOOKUP(AK129,#REF!,1,0)</f>
        <v>#REF!</v>
      </c>
    </row>
    <row r="130" spans="26:38">
      <c r="Z130" t="s">
        <v>1361</v>
      </c>
      <c r="AA130" s="99" t="str">
        <f t="shared" si="3"/>
        <v>'31000352155660020000000000000000',</v>
      </c>
      <c r="AB130" s="99"/>
      <c r="AC130" s="99"/>
      <c r="AD130" s="99"/>
      <c r="AE130" s="99"/>
      <c r="AF130" s="99"/>
      <c r="AG130" t="s">
        <v>1362</v>
      </c>
      <c r="AH130" s="99" t="e">
        <f>VLOOKUP(AG130,#REF!,1,0)</f>
        <v>#REF!</v>
      </c>
      <c r="AI130" s="99"/>
      <c r="AJ130" s="99"/>
      <c r="AK130" t="s">
        <v>1363</v>
      </c>
      <c r="AL130" s="99" t="e">
        <f>VLOOKUP(AK130,#REF!,1,0)</f>
        <v>#REF!</v>
      </c>
    </row>
    <row r="131" spans="26:38">
      <c r="Z131" t="s">
        <v>1364</v>
      </c>
      <c r="AA131" s="99" t="str">
        <f t="shared" si="3"/>
        <v>'31000352068640020000000000000000',</v>
      </c>
      <c r="AB131" s="99"/>
      <c r="AC131" s="99"/>
      <c r="AD131" s="99"/>
      <c r="AE131" s="99"/>
      <c r="AF131" s="99"/>
      <c r="AG131" t="s">
        <v>1365</v>
      </c>
      <c r="AH131" s="99" t="e">
        <f>VLOOKUP(AG131,#REF!,1,0)</f>
        <v>#REF!</v>
      </c>
      <c r="AI131" s="99"/>
      <c r="AJ131" s="99"/>
      <c r="AK131" t="s">
        <v>1285</v>
      </c>
      <c r="AL131" s="99" t="e">
        <f>VLOOKUP(AK131,#REF!,1,0)</f>
        <v>#REF!</v>
      </c>
    </row>
    <row r="132" spans="26:38">
      <c r="Z132" t="s">
        <v>1366</v>
      </c>
      <c r="AA132" s="99" t="str">
        <f t="shared" si="3"/>
        <v>'31000352989100020000000000000000',</v>
      </c>
      <c r="AB132" s="99"/>
      <c r="AC132" s="99"/>
      <c r="AD132" s="99"/>
      <c r="AE132" s="99"/>
      <c r="AF132" s="99"/>
      <c r="AG132" t="s">
        <v>1367</v>
      </c>
      <c r="AH132" s="99" t="e">
        <f>VLOOKUP(AG132,#REF!,1,0)</f>
        <v>#REF!</v>
      </c>
      <c r="AI132" s="99"/>
      <c r="AJ132" s="99"/>
      <c r="AK132" t="s">
        <v>963</v>
      </c>
      <c r="AL132" s="99" t="e">
        <f>VLOOKUP(AK132,#REF!,1,0)</f>
        <v>#REF!</v>
      </c>
    </row>
    <row r="133" spans="26:38">
      <c r="Z133" t="s">
        <v>1368</v>
      </c>
      <c r="AA133" s="99" t="str">
        <f t="shared" si="3"/>
        <v>'31000346209672020000000000000000',</v>
      </c>
      <c r="AB133" s="99"/>
      <c r="AC133" s="99"/>
      <c r="AD133" s="99"/>
      <c r="AE133" s="99"/>
      <c r="AF133" s="99"/>
      <c r="AG133" t="s">
        <v>1369</v>
      </c>
      <c r="AH133" s="99" t="e">
        <f>VLOOKUP(AG133,#REF!,1,0)</f>
        <v>#REF!</v>
      </c>
      <c r="AI133" s="99"/>
      <c r="AJ133" s="99"/>
      <c r="AK133" t="s">
        <v>1197</v>
      </c>
      <c r="AL133" s="99" t="e">
        <f>VLOOKUP(AK133,#REF!,1,0)</f>
        <v>#REF!</v>
      </c>
    </row>
    <row r="134" spans="26:38">
      <c r="Z134" t="s">
        <v>1370</v>
      </c>
      <c r="AA134" s="99" t="str">
        <f t="shared" si="3"/>
        <v>'31000357413502020000000000000000',</v>
      </c>
      <c r="AB134" s="99"/>
      <c r="AC134" s="99"/>
      <c r="AD134" s="99"/>
      <c r="AE134" s="99"/>
      <c r="AF134" s="99"/>
      <c r="AG134" t="s">
        <v>1371</v>
      </c>
      <c r="AH134" s="99" t="e">
        <f>VLOOKUP(AG134,#REF!,1,0)</f>
        <v>#REF!</v>
      </c>
      <c r="AI134" s="99"/>
      <c r="AJ134" s="99"/>
      <c r="AK134" t="s">
        <v>1372</v>
      </c>
      <c r="AL134" s="99" t="e">
        <f>VLOOKUP(AK134,#REF!,1,0)</f>
        <v>#REF!</v>
      </c>
    </row>
    <row r="135" spans="26:38">
      <c r="Z135" t="s">
        <v>1373</v>
      </c>
      <c r="AA135" s="99" t="str">
        <f t="shared" si="3"/>
        <v>'31000320802179020000000000000000',</v>
      </c>
      <c r="AB135" s="99"/>
      <c r="AC135" s="99"/>
      <c r="AD135" s="99"/>
      <c r="AE135" s="99"/>
      <c r="AF135" s="99"/>
      <c r="AG135" t="s">
        <v>1374</v>
      </c>
      <c r="AH135" s="99" t="e">
        <f>VLOOKUP(AG135,#REF!,1,0)</f>
        <v>#REF!</v>
      </c>
      <c r="AI135" s="99"/>
      <c r="AJ135" s="99"/>
      <c r="AK135" t="s">
        <v>1375</v>
      </c>
      <c r="AL135" s="99" t="e">
        <f>VLOOKUP(AK135,#REF!,1,0)</f>
        <v>#REF!</v>
      </c>
    </row>
    <row r="136" spans="26:38">
      <c r="Z136" t="s">
        <v>1376</v>
      </c>
      <c r="AA136" s="99" t="str">
        <f t="shared" si="3"/>
        <v>'31003196759910011524323500000001',</v>
      </c>
      <c r="AB136" s="99"/>
      <c r="AC136" s="99"/>
      <c r="AD136" s="99"/>
      <c r="AE136" s="99"/>
      <c r="AF136" s="99"/>
      <c r="AG136" t="s">
        <v>1377</v>
      </c>
      <c r="AH136" s="99" t="e">
        <f>VLOOKUP(AG136,#REF!,1,0)</f>
        <v>#REF!</v>
      </c>
      <c r="AI136" s="99"/>
      <c r="AJ136" s="99"/>
      <c r="AK136" t="s">
        <v>1378</v>
      </c>
      <c r="AL136" s="99" t="e">
        <f>VLOOKUP(AK136,#REF!,1,0)</f>
        <v>#REF!</v>
      </c>
    </row>
    <row r="137" spans="26:38">
      <c r="Z137" t="s">
        <v>1379</v>
      </c>
      <c r="AA137" s="99" t="str">
        <f t="shared" ref="AA137:AA200" si="4">"'"&amp;Z137&amp;"',"</f>
        <v>'31000355370613020000000000000000',</v>
      </c>
      <c r="AB137" s="99"/>
      <c r="AC137" s="99"/>
      <c r="AD137" s="99"/>
      <c r="AE137" s="99"/>
      <c r="AF137" s="99"/>
      <c r="AG137" t="s">
        <v>1380</v>
      </c>
      <c r="AH137" s="99" t="e">
        <f>VLOOKUP(AG137,#REF!,1,0)</f>
        <v>#REF!</v>
      </c>
      <c r="AI137" s="99"/>
      <c r="AJ137" s="99"/>
      <c r="AK137" t="s">
        <v>1381</v>
      </c>
      <c r="AL137" s="99" t="e">
        <f>VLOOKUP(AK137,#REF!,1,0)</f>
        <v>#REF!</v>
      </c>
    </row>
    <row r="138" spans="26:38">
      <c r="Z138" t="s">
        <v>1382</v>
      </c>
      <c r="AA138" s="99" t="str">
        <f t="shared" si="4"/>
        <v>'31000318206896020000000000000000',</v>
      </c>
      <c r="AB138" s="99"/>
      <c r="AC138" s="99"/>
      <c r="AD138" s="99"/>
      <c r="AE138" s="99"/>
      <c r="AF138" s="99"/>
      <c r="AG138" t="s">
        <v>1383</v>
      </c>
      <c r="AH138" s="99" t="e">
        <f>VLOOKUP(AG138,#REF!,1,0)</f>
        <v>#REF!</v>
      </c>
      <c r="AI138" s="99"/>
      <c r="AJ138" s="99"/>
      <c r="AK138" t="s">
        <v>1384</v>
      </c>
      <c r="AL138" s="99" t="e">
        <f>VLOOKUP(AK138,#REF!,1,0)</f>
        <v>#REF!</v>
      </c>
    </row>
    <row r="139" spans="26:38">
      <c r="Z139" t="s">
        <v>1336</v>
      </c>
      <c r="AA139" s="99" t="str">
        <f t="shared" si="4"/>
        <v>'31000346304952020000000000000000',</v>
      </c>
      <c r="AB139" s="99"/>
      <c r="AC139" s="99"/>
      <c r="AD139" s="99"/>
      <c r="AE139" s="99"/>
      <c r="AF139" s="99"/>
      <c r="AG139" t="s">
        <v>1385</v>
      </c>
      <c r="AH139" s="99" t="e">
        <f>VLOOKUP(AG139,#REF!,1,0)</f>
        <v>#REF!</v>
      </c>
      <c r="AI139" s="99"/>
      <c r="AJ139" s="99"/>
      <c r="AK139" t="s">
        <v>1386</v>
      </c>
      <c r="AL139" s="99" t="e">
        <f>VLOOKUP(AK139,#REF!,1,0)</f>
        <v>#REF!</v>
      </c>
    </row>
    <row r="140" spans="26:38">
      <c r="Z140" t="s">
        <v>1387</v>
      </c>
      <c r="AA140" s="99" t="str">
        <f t="shared" si="4"/>
        <v>'31238103495163020000000000000000',</v>
      </c>
      <c r="AB140" s="99"/>
      <c r="AC140" s="99"/>
      <c r="AD140" s="99"/>
      <c r="AE140" s="99"/>
      <c r="AF140" s="99"/>
      <c r="AG140" t="s">
        <v>1388</v>
      </c>
      <c r="AH140" s="99" t="e">
        <f>VLOOKUP(AG140,#REF!,1,0)</f>
        <v>#REF!</v>
      </c>
      <c r="AI140" s="99"/>
      <c r="AJ140" s="99"/>
      <c r="AK140" t="s">
        <v>1389</v>
      </c>
      <c r="AL140" s="99" t="e">
        <f>VLOOKUP(AK140,#REF!,1,0)</f>
        <v>#REF!</v>
      </c>
    </row>
    <row r="141" spans="26:38">
      <c r="Z141" t="s">
        <v>1390</v>
      </c>
      <c r="AA141" s="99" t="str">
        <f t="shared" si="4"/>
        <v>'31217402201975020000000000000000',</v>
      </c>
      <c r="AB141" s="99"/>
      <c r="AC141" s="99"/>
      <c r="AD141" s="99"/>
      <c r="AE141" s="99"/>
      <c r="AF141" s="99"/>
      <c r="AG141" t="s">
        <v>1391</v>
      </c>
      <c r="AH141" s="99" t="e">
        <f>VLOOKUP(AG141,#REF!,1,0)</f>
        <v>#REF!</v>
      </c>
      <c r="AI141" s="99"/>
      <c r="AJ141" s="99"/>
      <c r="AK141" t="s">
        <v>1346</v>
      </c>
      <c r="AL141" s="99" t="e">
        <f>VLOOKUP(AK141,#REF!,1,0)</f>
        <v>#REF!</v>
      </c>
    </row>
    <row r="142" spans="26:38">
      <c r="Z142" t="s">
        <v>1392</v>
      </c>
      <c r="AA142" s="99" t="str">
        <f t="shared" si="4"/>
        <v>'31000352481140020000000000000000',</v>
      </c>
      <c r="AB142" s="99"/>
      <c r="AC142" s="99"/>
      <c r="AD142" s="99"/>
      <c r="AE142" s="99"/>
      <c r="AF142" s="99"/>
      <c r="AG142" t="s">
        <v>1393</v>
      </c>
      <c r="AH142" s="99" t="e">
        <f>VLOOKUP(AG142,#REF!,1,0)</f>
        <v>#REF!</v>
      </c>
      <c r="AI142" s="99"/>
      <c r="AJ142" s="99"/>
      <c r="AK142" t="s">
        <v>1337</v>
      </c>
      <c r="AL142" s="99" t="e">
        <f>VLOOKUP(AK142,#REF!,1,0)</f>
        <v>#REF!</v>
      </c>
    </row>
    <row r="143" spans="26:38">
      <c r="Z143" t="s">
        <v>1394</v>
      </c>
      <c r="AA143" s="99" t="str">
        <f t="shared" si="4"/>
        <v>'31000324147522020000000000000000',</v>
      </c>
      <c r="AB143" s="99"/>
      <c r="AC143" s="99"/>
      <c r="AD143" s="99"/>
      <c r="AE143" s="99"/>
      <c r="AF143" s="99"/>
      <c r="AG143" t="s">
        <v>1395</v>
      </c>
      <c r="AH143" s="99" t="e">
        <f>VLOOKUP(AG143,#REF!,1,0)</f>
        <v>#REF!</v>
      </c>
      <c r="AI143" s="99"/>
      <c r="AJ143" s="99"/>
      <c r="AK143" t="s">
        <v>1396</v>
      </c>
      <c r="AL143" s="99" t="e">
        <f>VLOOKUP(AK143,#REF!,1,0)</f>
        <v>#REF!</v>
      </c>
    </row>
    <row r="144" spans="26:38">
      <c r="Z144" t="s">
        <v>1397</v>
      </c>
      <c r="AA144" s="99" t="str">
        <f t="shared" si="4"/>
        <v>'31000805946768020000000000000000',</v>
      </c>
      <c r="AB144" s="99"/>
      <c r="AC144" s="99"/>
      <c r="AD144" s="99"/>
      <c r="AE144" s="99"/>
      <c r="AF144" s="99"/>
      <c r="AG144" t="s">
        <v>1398</v>
      </c>
      <c r="AH144" s="99" t="e">
        <f>VLOOKUP(AG144,#REF!,1,0)</f>
        <v>#REF!</v>
      </c>
      <c r="AI144" s="99"/>
      <c r="AJ144" s="99"/>
      <c r="AK144" t="s">
        <v>1399</v>
      </c>
      <c r="AL144" s="99" t="e">
        <f>VLOOKUP(AK144,#REF!,1,0)</f>
        <v>#REF!</v>
      </c>
    </row>
    <row r="145" spans="26:38">
      <c r="Z145" t="s">
        <v>1400</v>
      </c>
      <c r="AA145" s="99" t="str">
        <f t="shared" si="4"/>
        <v>'31000317946930020000000000000000',</v>
      </c>
      <c r="AB145" s="99"/>
      <c r="AC145" s="99"/>
      <c r="AD145" s="99"/>
      <c r="AE145" s="99"/>
      <c r="AF145" s="99"/>
      <c r="AG145" t="s">
        <v>1401</v>
      </c>
      <c r="AH145" s="99" t="e">
        <f>VLOOKUP(AG145,#REF!,1,0)</f>
        <v>#REF!</v>
      </c>
      <c r="AI145" s="99"/>
      <c r="AJ145" s="99"/>
      <c r="AK145" t="s">
        <v>1289</v>
      </c>
      <c r="AL145" s="99" t="e">
        <f>VLOOKUP(AK145,#REF!,1,0)</f>
        <v>#REF!</v>
      </c>
    </row>
    <row r="146" spans="26:38">
      <c r="Z146" t="s">
        <v>1402</v>
      </c>
      <c r="AA146" s="99" t="str">
        <f t="shared" si="4"/>
        <v>'31000315267841096000000000000000',</v>
      </c>
      <c r="AB146" s="99"/>
      <c r="AC146" s="99"/>
      <c r="AD146" s="99"/>
      <c r="AE146" s="99"/>
      <c r="AF146" s="99"/>
      <c r="AG146" t="s">
        <v>1403</v>
      </c>
      <c r="AH146" s="99" t="e">
        <f>VLOOKUP(AG146,#REF!,1,0)</f>
        <v>#REF!</v>
      </c>
      <c r="AI146" s="99"/>
      <c r="AJ146" s="99"/>
      <c r="AK146" t="s">
        <v>1404</v>
      </c>
      <c r="AL146" s="99" t="e">
        <f>VLOOKUP(AK146,#REF!,1,0)</f>
        <v>#REF!</v>
      </c>
    </row>
    <row r="147" spans="26:38">
      <c r="Z147" t="s">
        <v>1405</v>
      </c>
      <c r="AA147" s="99" t="str">
        <f t="shared" si="4"/>
        <v>'31000050138741001000000000000000',</v>
      </c>
      <c r="AB147" s="99"/>
      <c r="AC147" s="99"/>
      <c r="AD147" s="99"/>
      <c r="AE147" s="99"/>
      <c r="AF147" s="99"/>
      <c r="AG147" t="s">
        <v>1406</v>
      </c>
      <c r="AH147" s="99" t="e">
        <f>VLOOKUP(AG147,#REF!,1,0)</f>
        <v>#REF!</v>
      </c>
      <c r="AI147" s="99"/>
      <c r="AJ147" s="99"/>
      <c r="AK147" t="s">
        <v>1387</v>
      </c>
      <c r="AL147" s="99" t="e">
        <f>VLOOKUP(AK147,#REF!,1,0)</f>
        <v>#REF!</v>
      </c>
    </row>
    <row r="148" spans="26:38">
      <c r="Z148" t="s">
        <v>1407</v>
      </c>
      <c r="AA148" s="99" t="str">
        <f t="shared" si="4"/>
        <v>'31005124606470011559638400000001',</v>
      </c>
      <c r="AB148" s="99"/>
      <c r="AC148" s="99"/>
      <c r="AD148" s="99"/>
      <c r="AE148" s="99"/>
      <c r="AF148" s="99"/>
      <c r="AG148" t="s">
        <v>1408</v>
      </c>
      <c r="AH148" s="99" t="e">
        <f>VLOOKUP(AG148,#REF!,1,0)</f>
        <v>#REF!</v>
      </c>
      <c r="AI148" s="99"/>
      <c r="AJ148" s="99"/>
      <c r="AK148" t="s">
        <v>1409</v>
      </c>
      <c r="AL148" s="99" t="e">
        <f>VLOOKUP(AK148,#REF!,1,0)</f>
        <v>#REF!</v>
      </c>
    </row>
    <row r="149" spans="26:38">
      <c r="Z149" t="s">
        <v>1410</v>
      </c>
      <c r="AA149" s="99" t="str">
        <f t="shared" si="4"/>
        <v>'31000338934881020000000000000000',</v>
      </c>
      <c r="AB149" s="99"/>
      <c r="AC149" s="99"/>
      <c r="AD149" s="99"/>
      <c r="AE149" s="99"/>
      <c r="AF149" s="99"/>
      <c r="AG149" t="s">
        <v>1411</v>
      </c>
      <c r="AH149" s="99" t="e">
        <f>VLOOKUP(AG149,#REF!,1,0)</f>
        <v>#REF!</v>
      </c>
      <c r="AI149" s="99"/>
      <c r="AJ149" s="99"/>
      <c r="AK149" t="s">
        <v>1339</v>
      </c>
      <c r="AL149" s="99" t="e">
        <f>VLOOKUP(AK149,#REF!,1,0)</f>
        <v>#REF!</v>
      </c>
    </row>
    <row r="150" spans="26:38">
      <c r="Z150" t="s">
        <v>1412</v>
      </c>
      <c r="AA150" s="99" t="str">
        <f t="shared" si="4"/>
        <v>'31000353168605020000000000000000',</v>
      </c>
      <c r="AB150" s="99"/>
      <c r="AC150" s="99"/>
      <c r="AD150" s="99"/>
      <c r="AE150" s="99"/>
      <c r="AF150" s="99"/>
      <c r="AG150" t="s">
        <v>1413</v>
      </c>
      <c r="AH150" s="99" t="e">
        <f>VLOOKUP(AG150,#REF!,1,0)</f>
        <v>#REF!</v>
      </c>
      <c r="AI150" s="99"/>
      <c r="AJ150" s="99"/>
      <c r="AK150" t="s">
        <v>1414</v>
      </c>
      <c r="AL150" s="99" t="e">
        <f>VLOOKUP(AK150,#REF!,1,0)</f>
        <v>#REF!</v>
      </c>
    </row>
    <row r="151" spans="26:38">
      <c r="Z151" t="s">
        <v>1415</v>
      </c>
      <c r="AA151" s="99" t="str">
        <f t="shared" si="4"/>
        <v>'31000351970416020000000000000000',</v>
      </c>
      <c r="AB151" s="99"/>
      <c r="AC151" s="99"/>
      <c r="AD151" s="99"/>
      <c r="AE151" s="99"/>
      <c r="AF151" s="99"/>
      <c r="AG151" t="s">
        <v>1416</v>
      </c>
      <c r="AH151" s="99" t="e">
        <f>VLOOKUP(AG151,#REF!,1,0)</f>
        <v>#REF!</v>
      </c>
      <c r="AI151" s="99"/>
      <c r="AJ151" s="99"/>
      <c r="AK151" t="s">
        <v>1417</v>
      </c>
      <c r="AL151" s="99" t="e">
        <f>VLOOKUP(AK151,#REF!,1,0)</f>
        <v>#REF!</v>
      </c>
    </row>
    <row r="152" spans="26:38">
      <c r="Z152" t="s">
        <v>1399</v>
      </c>
      <c r="AA152" s="99" t="str">
        <f t="shared" si="4"/>
        <v>'31000349140262020000000000000000',</v>
      </c>
      <c r="AB152" s="99"/>
      <c r="AC152" s="99"/>
      <c r="AD152" s="99"/>
      <c r="AE152" s="99"/>
      <c r="AF152" s="99"/>
      <c r="AG152" t="s">
        <v>1418</v>
      </c>
      <c r="AH152" s="99" t="e">
        <f>VLOOKUP(AG152,#REF!,1,0)</f>
        <v>#REF!</v>
      </c>
      <c r="AI152" s="99"/>
      <c r="AJ152" s="99"/>
      <c r="AK152" t="s">
        <v>1419</v>
      </c>
      <c r="AL152" s="99" t="e">
        <f>VLOOKUP(AK152,#REF!,1,0)</f>
        <v>#REF!</v>
      </c>
    </row>
    <row r="153" spans="26:38">
      <c r="Z153" t="s">
        <v>1420</v>
      </c>
      <c r="AA153" s="99" t="str">
        <f t="shared" si="4"/>
        <v>'31000314032113096000000000000000',</v>
      </c>
      <c r="AB153" s="99"/>
      <c r="AC153" s="99"/>
      <c r="AD153" s="99"/>
      <c r="AE153" s="99"/>
      <c r="AF153" s="99"/>
      <c r="AG153" t="s">
        <v>1421</v>
      </c>
      <c r="AH153" s="99" t="e">
        <f>VLOOKUP(AG153,#REF!,1,0)</f>
        <v>#REF!</v>
      </c>
      <c r="AI153" s="99"/>
      <c r="AJ153" s="99"/>
      <c r="AK153" t="s">
        <v>1422</v>
      </c>
      <c r="AL153" s="99" t="e">
        <f>VLOOKUP(AK153,#REF!,1,0)</f>
        <v>#REF!</v>
      </c>
    </row>
    <row r="154" spans="26:38">
      <c r="Z154" t="s">
        <v>1071</v>
      </c>
      <c r="AA154" s="99" t="str">
        <f t="shared" si="4"/>
        <v>'31000338595633020000000000000000',</v>
      </c>
      <c r="AB154" s="99"/>
      <c r="AC154" s="99"/>
      <c r="AD154" s="99"/>
      <c r="AE154" s="99"/>
      <c r="AF154" s="99"/>
      <c r="AG154" t="s">
        <v>1423</v>
      </c>
      <c r="AH154" s="99" t="e">
        <f>VLOOKUP(AG154,#REF!,1,0)</f>
        <v>#REF!</v>
      </c>
      <c r="AI154" s="99"/>
      <c r="AJ154" s="99"/>
      <c r="AK154" t="s">
        <v>1424</v>
      </c>
      <c r="AL154" s="99" t="e">
        <f>VLOOKUP(AK154,#REF!,1,0)</f>
        <v>#REF!</v>
      </c>
    </row>
    <row r="155" spans="26:38">
      <c r="Z155" t="s">
        <v>1425</v>
      </c>
      <c r="AA155" s="99" t="str">
        <f t="shared" si="4"/>
        <v>'31000806809338020000000000000000',</v>
      </c>
      <c r="AB155" s="99"/>
      <c r="AC155" s="99"/>
      <c r="AD155" s="99"/>
      <c r="AE155" s="99"/>
      <c r="AF155" s="99"/>
      <c r="AG155" t="s">
        <v>1426</v>
      </c>
      <c r="AH155" s="99" t="e">
        <f>VLOOKUP(AG155,#REF!,1,0)</f>
        <v>#REF!</v>
      </c>
      <c r="AI155" s="99"/>
      <c r="AJ155" s="99"/>
      <c r="AK155" t="s">
        <v>1427</v>
      </c>
      <c r="AL155" s="99" t="e">
        <f>VLOOKUP(AK155,#REF!,1,0)</f>
        <v>#REF!</v>
      </c>
    </row>
    <row r="156" spans="26:38">
      <c r="Z156" t="s">
        <v>1428</v>
      </c>
      <c r="AA156" s="99" t="str">
        <f t="shared" si="4"/>
        <v>'31000316949224020000000000000000',</v>
      </c>
      <c r="AB156" s="99"/>
      <c r="AC156" s="99"/>
      <c r="AD156" s="99"/>
      <c r="AE156" s="99"/>
      <c r="AF156" s="99"/>
      <c r="AG156" t="s">
        <v>1429</v>
      </c>
      <c r="AH156" s="99" t="e">
        <f>VLOOKUP(AG156,#REF!,1,0)</f>
        <v>#REF!</v>
      </c>
      <c r="AI156" s="99"/>
      <c r="AJ156" s="99"/>
      <c r="AK156" t="s">
        <v>1430</v>
      </c>
      <c r="AL156" s="99" t="e">
        <f>VLOOKUP(AK156,#REF!,1,0)</f>
        <v>#REF!</v>
      </c>
    </row>
    <row r="157" spans="26:38">
      <c r="Z157" t="s">
        <v>1220</v>
      </c>
      <c r="AA157" s="99" t="str">
        <f t="shared" si="4"/>
        <v>'31000322785232020000000000000000',</v>
      </c>
      <c r="AB157" s="99"/>
      <c r="AC157" s="99"/>
      <c r="AD157" s="99"/>
      <c r="AE157" s="99"/>
      <c r="AF157" s="99"/>
      <c r="AG157" t="s">
        <v>1431</v>
      </c>
      <c r="AH157" s="99" t="e">
        <f>VLOOKUP(AG157,#REF!,1,0)</f>
        <v>#REF!</v>
      </c>
      <c r="AI157" s="99"/>
      <c r="AJ157" s="99"/>
      <c r="AK157" t="s">
        <v>1432</v>
      </c>
      <c r="AL157" s="99" t="e">
        <f>VLOOKUP(AK157,#REF!,1,0)</f>
        <v>#REF!</v>
      </c>
    </row>
    <row r="158" spans="26:38">
      <c r="Z158" t="s">
        <v>1433</v>
      </c>
      <c r="AA158" s="99" t="str">
        <f t="shared" si="4"/>
        <v>'31000322944904020000000000000000',</v>
      </c>
      <c r="AB158" s="99"/>
      <c r="AC158" s="99"/>
      <c r="AD158" s="99"/>
      <c r="AE158" s="99"/>
      <c r="AF158" s="99"/>
      <c r="AG158" t="s">
        <v>1434</v>
      </c>
      <c r="AH158" s="99" t="e">
        <f>VLOOKUP(AG158,#REF!,1,0)</f>
        <v>#REF!</v>
      </c>
      <c r="AI158" s="99"/>
      <c r="AJ158" s="99"/>
      <c r="AK158" t="s">
        <v>1435</v>
      </c>
      <c r="AL158" s="99" t="e">
        <f>VLOOKUP(AK158,#REF!,1,0)</f>
        <v>#REF!</v>
      </c>
    </row>
    <row r="159" spans="26:38">
      <c r="Z159" t="s">
        <v>1436</v>
      </c>
      <c r="AA159" s="99" t="str">
        <f t="shared" si="4"/>
        <v>'31000007709936001000000000000000',</v>
      </c>
      <c r="AB159" s="99"/>
      <c r="AC159" s="99"/>
      <c r="AD159" s="99"/>
      <c r="AE159" s="99"/>
      <c r="AF159" s="99"/>
      <c r="AG159" t="s">
        <v>1437</v>
      </c>
      <c r="AH159" s="99" t="e">
        <f>VLOOKUP(AG159,#REF!,1,0)</f>
        <v>#REF!</v>
      </c>
      <c r="AI159" s="99"/>
      <c r="AJ159" s="99"/>
      <c r="AK159" t="s">
        <v>1150</v>
      </c>
      <c r="AL159" s="99" t="e">
        <f>VLOOKUP(AK159,#REF!,1,0)</f>
        <v>#REF!</v>
      </c>
    </row>
    <row r="160" spans="26:38">
      <c r="Z160" t="s">
        <v>1438</v>
      </c>
      <c r="AA160" s="99" t="str">
        <f t="shared" si="4"/>
        <v>'31000346591277020000000000000000',</v>
      </c>
      <c r="AB160" s="99"/>
      <c r="AC160" s="99"/>
      <c r="AD160" s="99"/>
      <c r="AE160" s="99"/>
      <c r="AF160" s="99"/>
      <c r="AG160" t="s">
        <v>1439</v>
      </c>
      <c r="AH160" s="99" t="e">
        <f>VLOOKUP(AG160,#REF!,1,0)</f>
        <v>#REF!</v>
      </c>
      <c r="AI160" s="99"/>
      <c r="AJ160" s="99"/>
      <c r="AK160" t="s">
        <v>1440</v>
      </c>
      <c r="AL160" s="99" t="e">
        <f>VLOOKUP(AK160,#REF!,1,0)</f>
        <v>#REF!</v>
      </c>
    </row>
    <row r="161" spans="26:38">
      <c r="Z161" t="s">
        <v>1441</v>
      </c>
      <c r="AA161" s="99" t="str">
        <f t="shared" si="4"/>
        <v>'31000340841728020000000000000000',</v>
      </c>
      <c r="AB161" s="99"/>
      <c r="AC161" s="99"/>
      <c r="AD161" s="99"/>
      <c r="AE161" s="99"/>
      <c r="AF161" s="99"/>
      <c r="AG161" t="s">
        <v>1442</v>
      </c>
      <c r="AH161" s="99" t="e">
        <f>VLOOKUP(AG161,#REF!,1,0)</f>
        <v>#REF!</v>
      </c>
      <c r="AI161" s="99"/>
      <c r="AJ161" s="99"/>
      <c r="AK161" t="s">
        <v>1443</v>
      </c>
      <c r="AL161" s="99" t="e">
        <f>VLOOKUP(AK161,#REF!,1,0)</f>
        <v>#REF!</v>
      </c>
    </row>
    <row r="162" spans="26:38">
      <c r="Z162" t="s">
        <v>1444</v>
      </c>
      <c r="AA162" s="99" t="str">
        <f t="shared" si="4"/>
        <v>'31000348360333020000000000000000',</v>
      </c>
      <c r="AB162" s="99"/>
      <c r="AC162" s="99"/>
      <c r="AD162" s="99"/>
      <c r="AE162" s="99"/>
      <c r="AF162" s="99"/>
      <c r="AG162" t="s">
        <v>1445</v>
      </c>
      <c r="AH162" s="99" t="e">
        <f>VLOOKUP(AG162,#REF!,1,0)</f>
        <v>#REF!</v>
      </c>
      <c r="AI162" s="99"/>
      <c r="AJ162" s="99"/>
      <c r="AK162" t="s">
        <v>1446</v>
      </c>
      <c r="AL162" s="99" t="e">
        <f>VLOOKUP(AK162,#REF!,1,0)</f>
        <v>#REF!</v>
      </c>
    </row>
    <row r="163" spans="26:38">
      <c r="Z163" t="s">
        <v>1447</v>
      </c>
      <c r="AA163" s="99" t="str">
        <f t="shared" si="4"/>
        <v>'31000352016714020000000000000000',</v>
      </c>
      <c r="AB163" s="99"/>
      <c r="AC163" s="99"/>
      <c r="AD163" s="99"/>
      <c r="AE163" s="99"/>
      <c r="AF163" s="99"/>
      <c r="AG163" t="s">
        <v>1448</v>
      </c>
      <c r="AH163" s="99" t="e">
        <f>VLOOKUP(AG163,#REF!,1,0)</f>
        <v>#REF!</v>
      </c>
      <c r="AI163" s="99"/>
      <c r="AJ163" s="99"/>
      <c r="AK163" t="s">
        <v>1449</v>
      </c>
      <c r="AL163" s="99" t="e">
        <f>VLOOKUP(AK163,#REF!,1,0)</f>
        <v>#REF!</v>
      </c>
    </row>
    <row r="164" spans="26:38">
      <c r="Z164" t="s">
        <v>1314</v>
      </c>
      <c r="AA164" s="99" t="str">
        <f t="shared" si="4"/>
        <v>'31000314585763096000000000000000',</v>
      </c>
      <c r="AB164" s="99"/>
      <c r="AC164" s="99"/>
      <c r="AD164" s="99"/>
      <c r="AE164" s="99"/>
      <c r="AF164" s="99"/>
      <c r="AG164" t="s">
        <v>1450</v>
      </c>
      <c r="AH164" s="99" t="e">
        <f>VLOOKUP(AG164,#REF!,1,0)</f>
        <v>#REF!</v>
      </c>
      <c r="AI164" s="99"/>
      <c r="AJ164" s="99"/>
      <c r="AK164" t="s">
        <v>1451</v>
      </c>
      <c r="AL164" s="99" t="e">
        <f>VLOOKUP(AK164,#REF!,1,0)</f>
        <v>#REF!</v>
      </c>
    </row>
    <row r="165" spans="26:38">
      <c r="Z165" t="s">
        <v>1452</v>
      </c>
      <c r="AA165" s="99" t="str">
        <f t="shared" si="4"/>
        <v>'31000346361499020000000000000000',</v>
      </c>
      <c r="AB165" s="99"/>
      <c r="AC165" s="99"/>
      <c r="AD165" s="99"/>
      <c r="AE165" s="99"/>
      <c r="AF165" s="99"/>
      <c r="AG165" t="s">
        <v>1453</v>
      </c>
      <c r="AH165" s="99" t="e">
        <f>VLOOKUP(AG165,#REF!,1,0)</f>
        <v>#REF!</v>
      </c>
      <c r="AI165" s="99"/>
      <c r="AJ165" s="99"/>
      <c r="AK165" t="s">
        <v>1111</v>
      </c>
      <c r="AL165" s="99" t="e">
        <f>VLOOKUP(AK165,#REF!,1,0)</f>
        <v>#REF!</v>
      </c>
    </row>
    <row r="166" spans="26:38">
      <c r="Z166" t="s">
        <v>1454</v>
      </c>
      <c r="AA166" s="99" t="str">
        <f t="shared" si="4"/>
        <v>'31000006852315021000000000000000',</v>
      </c>
      <c r="AB166" s="99"/>
      <c r="AC166" s="99"/>
      <c r="AD166" s="99"/>
      <c r="AE166" s="99"/>
      <c r="AF166" s="99"/>
      <c r="AG166" t="s">
        <v>1455</v>
      </c>
      <c r="AH166" s="99" t="e">
        <f>VLOOKUP(AG166,#REF!,1,0)</f>
        <v>#REF!</v>
      </c>
      <c r="AI166" s="99"/>
      <c r="AJ166" s="99"/>
      <c r="AK166" t="s">
        <v>1242</v>
      </c>
      <c r="AL166" s="99" t="e">
        <f>VLOOKUP(AK166,#REF!,1,0)</f>
        <v>#REF!</v>
      </c>
    </row>
    <row r="167" spans="26:38">
      <c r="Z167" t="s">
        <v>1456</v>
      </c>
      <c r="AA167" s="99" t="str">
        <f t="shared" si="4"/>
        <v>'31000351851392020000000000000000',</v>
      </c>
      <c r="AB167" s="99"/>
      <c r="AC167" s="99"/>
      <c r="AD167" s="99"/>
      <c r="AE167" s="99"/>
      <c r="AF167" s="99"/>
      <c r="AG167" t="s">
        <v>1457</v>
      </c>
      <c r="AH167" s="99" t="e">
        <f>VLOOKUP(AG167,#REF!,1,0)</f>
        <v>#REF!</v>
      </c>
      <c r="AI167" s="99"/>
      <c r="AJ167" s="99"/>
      <c r="AK167" t="s">
        <v>972</v>
      </c>
      <c r="AL167" s="99" t="e">
        <f>VLOOKUP(AK167,#REF!,1,0)</f>
        <v>#REF!</v>
      </c>
    </row>
    <row r="168" spans="26:38">
      <c r="Z168" t="s">
        <v>1458</v>
      </c>
      <c r="AA168" s="99" t="str">
        <f t="shared" si="4"/>
        <v>'31000342935973020000000000000000',</v>
      </c>
      <c r="AB168" s="99"/>
      <c r="AC168" s="99"/>
      <c r="AD168" s="99"/>
      <c r="AE168" s="99"/>
      <c r="AF168" s="99"/>
      <c r="AG168" t="s">
        <v>1459</v>
      </c>
      <c r="AH168" s="99" t="e">
        <f>VLOOKUP(AG168,#REF!,1,0)</f>
        <v>#REF!</v>
      </c>
      <c r="AI168" s="99"/>
      <c r="AJ168" s="99"/>
      <c r="AK168" t="s">
        <v>1101</v>
      </c>
      <c r="AL168" s="99" t="e">
        <f>VLOOKUP(AK168,#REF!,1,0)</f>
        <v>#REF!</v>
      </c>
    </row>
    <row r="169" spans="26:38">
      <c r="Z169" t="s">
        <v>1460</v>
      </c>
      <c r="AA169" s="99" t="str">
        <f t="shared" si="4"/>
        <v>'31000335686419020000000000000000',</v>
      </c>
      <c r="AB169" s="99"/>
      <c r="AC169" s="99"/>
      <c r="AD169" s="99"/>
      <c r="AE169" s="99"/>
      <c r="AF169" s="99"/>
      <c r="AG169" t="s">
        <v>1461</v>
      </c>
      <c r="AH169" s="99" t="e">
        <f>VLOOKUP(AG169,#REF!,1,0)</f>
        <v>#REF!</v>
      </c>
      <c r="AI169" s="99"/>
      <c r="AJ169" s="99"/>
      <c r="AK169" t="s">
        <v>1462</v>
      </c>
      <c r="AL169" s="99" t="e">
        <f>VLOOKUP(AK169,#REF!,1,0)</f>
        <v>#REF!</v>
      </c>
    </row>
    <row r="170" spans="26:38">
      <c r="Z170" t="s">
        <v>1463</v>
      </c>
      <c r="AA170" s="99" t="str">
        <f t="shared" si="4"/>
        <v>'31000344957256020000000000000000',</v>
      </c>
      <c r="AB170" s="99"/>
      <c r="AC170" s="99"/>
      <c r="AD170" s="99"/>
      <c r="AE170" s="99"/>
      <c r="AF170" s="99"/>
      <c r="AG170" t="s">
        <v>1464</v>
      </c>
      <c r="AH170" s="99" t="e">
        <f>VLOOKUP(AG170,#REF!,1,0)</f>
        <v>#REF!</v>
      </c>
      <c r="AI170" s="99"/>
      <c r="AJ170" s="99"/>
      <c r="AK170" t="s">
        <v>1465</v>
      </c>
      <c r="AL170" s="99" t="e">
        <f>VLOOKUP(AK170,#REF!,1,0)</f>
        <v>#REF!</v>
      </c>
    </row>
    <row r="171" spans="26:38">
      <c r="Z171" t="s">
        <v>1466</v>
      </c>
      <c r="AA171" s="99" t="str">
        <f t="shared" si="4"/>
        <v>'31000600541690096000000000000000',</v>
      </c>
      <c r="AB171" s="99"/>
      <c r="AC171" s="99"/>
      <c r="AD171" s="99"/>
      <c r="AE171" s="99"/>
      <c r="AF171" s="99"/>
      <c r="AG171" t="s">
        <v>1467</v>
      </c>
      <c r="AH171" s="99" t="e">
        <f>VLOOKUP(AG171,#REF!,1,0)</f>
        <v>#REF!</v>
      </c>
      <c r="AI171" s="99"/>
      <c r="AJ171" s="99"/>
      <c r="AK171" t="s">
        <v>1468</v>
      </c>
      <c r="AL171" s="99" t="e">
        <f>VLOOKUP(AK171,#REF!,1,0)</f>
        <v>#REF!</v>
      </c>
    </row>
    <row r="172" spans="26:38">
      <c r="Z172" t="s">
        <v>1469</v>
      </c>
      <c r="AA172" s="99" t="str">
        <f t="shared" si="4"/>
        <v>'31000351515963020000000000000000',</v>
      </c>
      <c r="AB172" s="99"/>
      <c r="AC172" s="99"/>
      <c r="AD172" s="99"/>
      <c r="AE172" s="99"/>
      <c r="AF172" s="99"/>
      <c r="AG172" t="s">
        <v>1470</v>
      </c>
      <c r="AH172" s="99" t="e">
        <f>VLOOKUP(AG172,#REF!,1,0)</f>
        <v>#REF!</v>
      </c>
      <c r="AI172" s="99"/>
      <c r="AJ172" s="99"/>
      <c r="AK172" t="s">
        <v>1471</v>
      </c>
      <c r="AL172" s="99" t="e">
        <f>VLOOKUP(AK172,#REF!,1,0)</f>
        <v>#REF!</v>
      </c>
    </row>
    <row r="173" spans="26:38">
      <c r="Z173" t="s">
        <v>1472</v>
      </c>
      <c r="AA173" s="99" t="str">
        <f t="shared" si="4"/>
        <v>'31000346848743020000000000000000',</v>
      </c>
      <c r="AB173" s="99"/>
      <c r="AC173" s="99"/>
      <c r="AD173" s="99"/>
      <c r="AE173" s="99"/>
      <c r="AF173" s="99"/>
      <c r="AG173" t="s">
        <v>1473</v>
      </c>
      <c r="AH173" s="99" t="e">
        <f>VLOOKUP(AG173,#REF!,1,0)</f>
        <v>#REF!</v>
      </c>
      <c r="AI173" s="99"/>
      <c r="AJ173" s="99"/>
      <c r="AK173" t="s">
        <v>1474</v>
      </c>
      <c r="AL173" s="99" t="e">
        <f>VLOOKUP(AK173,#REF!,1,0)</f>
        <v>#REF!</v>
      </c>
    </row>
    <row r="174" spans="26:38">
      <c r="Z174" t="s">
        <v>1475</v>
      </c>
      <c r="AA174" s="99" t="str">
        <f t="shared" si="4"/>
        <v>'31000054543612020000000000000000',</v>
      </c>
      <c r="AB174" s="99"/>
      <c r="AC174" s="99"/>
      <c r="AD174" s="99"/>
      <c r="AE174" s="99"/>
      <c r="AF174" s="99"/>
      <c r="AG174" t="s">
        <v>1476</v>
      </c>
      <c r="AH174" s="99" t="e">
        <f>VLOOKUP(AG174,#REF!,1,0)</f>
        <v>#REF!</v>
      </c>
      <c r="AI174" s="99"/>
      <c r="AJ174" s="99"/>
      <c r="AK174" t="s">
        <v>1103</v>
      </c>
      <c r="AL174" s="99" t="e">
        <f>VLOOKUP(AK174,#REF!,1,0)</f>
        <v>#REF!</v>
      </c>
    </row>
    <row r="175" spans="26:38">
      <c r="Z175" t="s">
        <v>1477</v>
      </c>
      <c r="AA175" s="99" t="str">
        <f t="shared" si="4"/>
        <v>'31000352255130020000000000000000',</v>
      </c>
      <c r="AB175" s="99"/>
      <c r="AC175" s="99"/>
      <c r="AD175" s="99"/>
      <c r="AE175" s="99"/>
      <c r="AF175" s="99"/>
      <c r="AG175" t="s">
        <v>1478</v>
      </c>
      <c r="AH175" s="99" t="e">
        <f>VLOOKUP(AG175,#REF!,1,0)</f>
        <v>#REF!</v>
      </c>
      <c r="AI175" s="99"/>
      <c r="AJ175" s="99"/>
      <c r="AK175" t="s">
        <v>1479</v>
      </c>
      <c r="AL175" s="99" t="e">
        <f>VLOOKUP(AK175,#REF!,1,0)</f>
        <v>#REF!</v>
      </c>
    </row>
    <row r="176" spans="26:38">
      <c r="Z176" t="s">
        <v>1480</v>
      </c>
      <c r="AA176" s="99" t="str">
        <f t="shared" si="4"/>
        <v>'31000353404570020000000000000000',</v>
      </c>
      <c r="AB176" s="99"/>
      <c r="AC176" s="99"/>
      <c r="AD176" s="99"/>
      <c r="AE176" s="99"/>
      <c r="AF176" s="99"/>
      <c r="AG176" t="s">
        <v>1481</v>
      </c>
      <c r="AH176" s="99" t="e">
        <f>VLOOKUP(AG176,#REF!,1,0)</f>
        <v>#REF!</v>
      </c>
      <c r="AI176" s="99"/>
      <c r="AJ176" s="99"/>
      <c r="AK176" t="s">
        <v>1098</v>
      </c>
      <c r="AL176" s="99" t="e">
        <f>VLOOKUP(AK176,#REF!,1,0)</f>
        <v>#REF!</v>
      </c>
    </row>
    <row r="177" spans="26:38">
      <c r="Z177" t="s">
        <v>1482</v>
      </c>
      <c r="AA177" s="99" t="str">
        <f t="shared" si="4"/>
        <v>'31000804154034020000000000000000',</v>
      </c>
      <c r="AB177" s="99"/>
      <c r="AC177" s="99"/>
      <c r="AD177" s="99"/>
      <c r="AE177" s="99"/>
      <c r="AF177" s="99"/>
      <c r="AG177" t="s">
        <v>1483</v>
      </c>
      <c r="AH177" s="99" t="e">
        <f>VLOOKUP(AG177,#REF!,1,0)</f>
        <v>#REF!</v>
      </c>
      <c r="AI177" s="99"/>
      <c r="AJ177" s="99"/>
      <c r="AK177" t="s">
        <v>1484</v>
      </c>
      <c r="AL177" s="99" t="e">
        <f>VLOOKUP(AK177,#REF!,1,0)</f>
        <v>#REF!</v>
      </c>
    </row>
    <row r="178" spans="26:38">
      <c r="Z178" t="s">
        <v>1485</v>
      </c>
      <c r="AA178" s="99" t="str">
        <f t="shared" si="4"/>
        <v>'31000054601790020000000000000000',</v>
      </c>
      <c r="AB178" s="99"/>
      <c r="AC178" s="99"/>
      <c r="AD178" s="99"/>
      <c r="AE178" s="99"/>
      <c r="AF178" s="99"/>
      <c r="AG178" t="s">
        <v>1486</v>
      </c>
      <c r="AH178" s="99" t="e">
        <f>VLOOKUP(AG178,#REF!,1,0)</f>
        <v>#REF!</v>
      </c>
      <c r="AI178" s="99"/>
      <c r="AJ178" s="99"/>
      <c r="AK178" t="s">
        <v>1487</v>
      </c>
      <c r="AL178" s="99" t="e">
        <f>VLOOKUP(AK178,#REF!,1,0)</f>
        <v>#REF!</v>
      </c>
    </row>
    <row r="179" spans="26:38">
      <c r="Z179" t="s">
        <v>1488</v>
      </c>
      <c r="AA179" s="99" t="str">
        <f t="shared" si="4"/>
        <v>'31000807123143020000000000000000',</v>
      </c>
      <c r="AB179" s="99"/>
      <c r="AC179" s="99"/>
      <c r="AD179" s="99"/>
      <c r="AE179" s="99"/>
      <c r="AF179" s="99"/>
      <c r="AG179" t="s">
        <v>1489</v>
      </c>
      <c r="AH179" s="99" t="e">
        <f>VLOOKUP(AG179,#REF!,1,0)</f>
        <v>#REF!</v>
      </c>
      <c r="AI179" s="99"/>
      <c r="AJ179" s="99"/>
      <c r="AK179" t="s">
        <v>1490</v>
      </c>
      <c r="AL179" s="99" t="e">
        <f>VLOOKUP(AK179,#REF!,1,0)</f>
        <v>#REF!</v>
      </c>
    </row>
    <row r="180" spans="26:38">
      <c r="Z180" t="s">
        <v>1491</v>
      </c>
      <c r="AA180" s="99" t="str">
        <f t="shared" si="4"/>
        <v>'31000316509671020000000000000000',</v>
      </c>
      <c r="AB180" s="99"/>
      <c r="AC180" s="99"/>
      <c r="AD180" s="99"/>
      <c r="AE180" s="99"/>
      <c r="AF180" s="99"/>
      <c r="AG180" t="s">
        <v>1492</v>
      </c>
      <c r="AH180" s="99" t="e">
        <f>VLOOKUP(AG180,#REF!,1,0)</f>
        <v>#REF!</v>
      </c>
      <c r="AI180" s="99"/>
      <c r="AJ180" s="99"/>
      <c r="AK180" t="s">
        <v>1417</v>
      </c>
      <c r="AL180" s="99" t="e">
        <f>VLOOKUP(AK180,#REF!,1,0)</f>
        <v>#REF!</v>
      </c>
    </row>
    <row r="181" spans="26:38">
      <c r="Z181" t="s">
        <v>1471</v>
      </c>
      <c r="AA181" s="99" t="str">
        <f t="shared" si="4"/>
        <v>'31000353566568020000000000000000',</v>
      </c>
      <c r="AB181" s="99"/>
      <c r="AC181" s="99"/>
      <c r="AD181" s="99"/>
      <c r="AE181" s="99"/>
      <c r="AF181" s="99"/>
      <c r="AG181" t="s">
        <v>1493</v>
      </c>
      <c r="AH181" s="99" t="e">
        <f>VLOOKUP(AG181,#REF!,1,0)</f>
        <v>#REF!</v>
      </c>
      <c r="AI181" s="99"/>
      <c r="AJ181" s="99"/>
      <c r="AK181" t="s">
        <v>1494</v>
      </c>
      <c r="AL181" s="99" t="e">
        <f>VLOOKUP(AK181,#REF!,1,0)</f>
        <v>#REF!</v>
      </c>
    </row>
    <row r="182" spans="26:38">
      <c r="Z182" t="s">
        <v>1495</v>
      </c>
      <c r="AA182" s="99" t="str">
        <f t="shared" si="4"/>
        <v>'31000352980455020000000000000000',</v>
      </c>
      <c r="AB182" s="99"/>
      <c r="AC182" s="99"/>
      <c r="AD182" s="99"/>
      <c r="AE182" s="99"/>
      <c r="AF182" s="99"/>
      <c r="AG182" t="s">
        <v>1496</v>
      </c>
      <c r="AH182" s="99" t="e">
        <f>VLOOKUP(AG182,#REF!,1,0)</f>
        <v>#REF!</v>
      </c>
      <c r="AI182" s="99"/>
      <c r="AJ182" s="99"/>
      <c r="AK182" t="s">
        <v>1497</v>
      </c>
      <c r="AL182" s="99" t="e">
        <f>VLOOKUP(AK182,#REF!,1,0)</f>
        <v>#REF!</v>
      </c>
    </row>
    <row r="183" spans="26:38">
      <c r="Z183" t="s">
        <v>1468</v>
      </c>
      <c r="AA183" s="99" t="str">
        <f t="shared" si="4"/>
        <v>'31000801223733020000000000000000',</v>
      </c>
      <c r="AB183" s="99"/>
      <c r="AC183" s="99"/>
      <c r="AD183" s="99"/>
      <c r="AE183" s="99"/>
      <c r="AF183" s="99"/>
      <c r="AG183" t="s">
        <v>1498</v>
      </c>
      <c r="AH183" s="99" t="e">
        <f>VLOOKUP(AG183,#REF!,1,0)</f>
        <v>#REF!</v>
      </c>
      <c r="AI183" s="99"/>
      <c r="AJ183" s="99"/>
      <c r="AK183" t="s">
        <v>1499</v>
      </c>
      <c r="AL183" s="99" t="e">
        <f>VLOOKUP(AK183,#REF!,1,0)</f>
        <v>#REF!</v>
      </c>
    </row>
    <row r="184" spans="26:38">
      <c r="Z184" t="s">
        <v>1500</v>
      </c>
      <c r="AA184" s="99" t="str">
        <f t="shared" si="4"/>
        <v>'31000050848700020000000000000000',</v>
      </c>
      <c r="AB184" s="99"/>
      <c r="AC184" s="99"/>
      <c r="AD184" s="99"/>
      <c r="AE184" s="99"/>
      <c r="AF184" s="99"/>
      <c r="AG184" t="s">
        <v>1501</v>
      </c>
      <c r="AH184" s="99" t="e">
        <f>VLOOKUP(AG184,#REF!,1,0)</f>
        <v>#REF!</v>
      </c>
      <c r="AI184" s="99"/>
      <c r="AJ184" s="99"/>
      <c r="AK184" t="s">
        <v>1502</v>
      </c>
      <c r="AL184" s="99" t="e">
        <f>VLOOKUP(AK184,#REF!,1,0)</f>
        <v>#REF!</v>
      </c>
    </row>
    <row r="185" spans="26:38">
      <c r="Z185" t="s">
        <v>1503</v>
      </c>
      <c r="AA185" s="99" t="str">
        <f t="shared" si="4"/>
        <v>'31000357462244020000000000000000',</v>
      </c>
      <c r="AB185" s="99"/>
      <c r="AC185" s="99"/>
      <c r="AD185" s="99"/>
      <c r="AE185" s="99"/>
      <c r="AF185" s="99"/>
      <c r="AG185" t="s">
        <v>1504</v>
      </c>
      <c r="AH185" s="99" t="e">
        <f>VLOOKUP(AG185,#REF!,1,0)</f>
        <v>#REF!</v>
      </c>
      <c r="AI185" s="99"/>
      <c r="AJ185" s="99"/>
      <c r="AK185" t="s">
        <v>1414</v>
      </c>
      <c r="AL185" s="99" t="e">
        <f>VLOOKUP(AK185,#REF!,1,0)</f>
        <v>#REF!</v>
      </c>
    </row>
    <row r="186" spans="26:38">
      <c r="Z186" t="s">
        <v>1505</v>
      </c>
      <c r="AA186" s="99" t="str">
        <f t="shared" si="4"/>
        <v>'31000316304171096000000000000000',</v>
      </c>
      <c r="AB186" s="99"/>
      <c r="AC186" s="99"/>
      <c r="AD186" s="99"/>
      <c r="AE186" s="99"/>
      <c r="AF186" s="99"/>
      <c r="AG186" t="s">
        <v>1506</v>
      </c>
      <c r="AH186" s="99" t="e">
        <f>VLOOKUP(AG186,#REF!,1,0)</f>
        <v>#REF!</v>
      </c>
      <c r="AI186" s="99"/>
      <c r="AJ186" s="99"/>
      <c r="AK186" t="s">
        <v>1507</v>
      </c>
      <c r="AL186" s="99" t="e">
        <f>VLOOKUP(AK186,#REF!,1,0)</f>
        <v>#REF!</v>
      </c>
    </row>
    <row r="187" spans="26:38">
      <c r="Z187" t="s">
        <v>1508</v>
      </c>
      <c r="AA187" s="99" t="str">
        <f t="shared" si="4"/>
        <v>'31000318061077020000000000000000',</v>
      </c>
      <c r="AB187" s="99"/>
      <c r="AC187" s="99"/>
      <c r="AD187" s="99"/>
      <c r="AE187" s="99"/>
      <c r="AF187" s="99"/>
      <c r="AG187" t="s">
        <v>1509</v>
      </c>
      <c r="AH187" s="99" t="e">
        <f>VLOOKUP(AG187,#REF!,1,0)</f>
        <v>#REF!</v>
      </c>
      <c r="AI187" s="99"/>
      <c r="AJ187" s="99"/>
      <c r="AK187" t="s">
        <v>1510</v>
      </c>
      <c r="AL187" s="99" t="e">
        <f>VLOOKUP(AK187,#REF!,1,0)</f>
        <v>#REF!</v>
      </c>
    </row>
    <row r="188" spans="26:38">
      <c r="Z188" t="s">
        <v>1511</v>
      </c>
      <c r="AA188" s="99" t="str">
        <f t="shared" si="4"/>
        <v>'31000343454842020000000000000000',</v>
      </c>
      <c r="AB188" s="99"/>
      <c r="AC188" s="99"/>
      <c r="AD188" s="99"/>
      <c r="AE188" s="99"/>
      <c r="AF188" s="99"/>
      <c r="AG188" t="s">
        <v>1512</v>
      </c>
      <c r="AH188" s="99" t="e">
        <f>VLOOKUP(AG188,#REF!,1,0)</f>
        <v>#REF!</v>
      </c>
      <c r="AI188" s="99"/>
      <c r="AJ188" s="99"/>
      <c r="AK188" t="s">
        <v>1513</v>
      </c>
      <c r="AL188" s="99" t="e">
        <f>VLOOKUP(AK188,#REF!,1,0)</f>
        <v>#REF!</v>
      </c>
    </row>
    <row r="189" spans="26:38">
      <c r="Z189" t="s">
        <v>1514</v>
      </c>
      <c r="AA189" s="99" t="str">
        <f t="shared" si="4"/>
        <v>'31000337176633020000000000000000',</v>
      </c>
      <c r="AB189" s="99"/>
      <c r="AC189" s="99"/>
      <c r="AD189" s="99"/>
      <c r="AE189" s="99"/>
      <c r="AF189" s="99"/>
      <c r="AG189" t="s">
        <v>1515</v>
      </c>
      <c r="AH189" s="99" t="e">
        <f>VLOOKUP(AG189,#REF!,1,0)</f>
        <v>#REF!</v>
      </c>
      <c r="AI189" s="99"/>
      <c r="AJ189" s="99"/>
      <c r="AK189" t="s">
        <v>1516</v>
      </c>
      <c r="AL189" s="99" t="e">
        <f>VLOOKUP(AK189,#REF!,1,0)</f>
        <v>#REF!</v>
      </c>
    </row>
    <row r="190" spans="26:38">
      <c r="Z190" t="s">
        <v>1517</v>
      </c>
      <c r="AA190" s="99" t="str">
        <f t="shared" si="4"/>
        <v>'31000352096666020000000000000000',</v>
      </c>
      <c r="AB190" s="99"/>
      <c r="AC190" s="99"/>
      <c r="AD190" s="99"/>
      <c r="AE190" s="99"/>
      <c r="AF190" s="99"/>
      <c r="AG190" t="s">
        <v>1518</v>
      </c>
      <c r="AH190" s="99" t="e">
        <f>VLOOKUP(AG190,#REF!,1,0)</f>
        <v>#REF!</v>
      </c>
      <c r="AI190" s="99"/>
      <c r="AJ190" s="99"/>
      <c r="AK190" t="s">
        <v>1519</v>
      </c>
      <c r="AL190" s="99" t="e">
        <f>VLOOKUP(AK190,#REF!,1,0)</f>
        <v>#REF!</v>
      </c>
    </row>
    <row r="191" spans="26:38">
      <c r="Z191" t="s">
        <v>1058</v>
      </c>
      <c r="AA191" s="99" t="str">
        <f t="shared" si="4"/>
        <v>'31000352444163020000000000000000',</v>
      </c>
      <c r="AB191" s="99"/>
      <c r="AC191" s="99"/>
      <c r="AD191" s="99"/>
      <c r="AE191" s="99"/>
      <c r="AF191" s="99"/>
      <c r="AG191" t="s">
        <v>1520</v>
      </c>
      <c r="AH191" s="99" t="e">
        <f>VLOOKUP(AG191,#REF!,1,0)</f>
        <v>#REF!</v>
      </c>
      <c r="AI191" s="99"/>
      <c r="AJ191" s="99"/>
      <c r="AK191" t="s">
        <v>1521</v>
      </c>
      <c r="AL191" s="99" t="e">
        <f>VLOOKUP(AK191,#REF!,1,0)</f>
        <v>#REF!</v>
      </c>
    </row>
    <row r="192" spans="26:38">
      <c r="Z192" t="s">
        <v>1522</v>
      </c>
      <c r="AA192" s="99" t="str">
        <f t="shared" si="4"/>
        <v>'31000008178066001000000000000000',</v>
      </c>
      <c r="AB192" s="99"/>
      <c r="AC192" s="99"/>
      <c r="AD192" s="99"/>
      <c r="AE192" s="99"/>
      <c r="AF192" s="99"/>
      <c r="AG192" t="s">
        <v>1523</v>
      </c>
      <c r="AH192" s="99" t="e">
        <f>VLOOKUP(AG192,#REF!,1,0)</f>
        <v>#REF!</v>
      </c>
      <c r="AI192" s="99"/>
      <c r="AJ192" s="99"/>
      <c r="AK192" t="s">
        <v>1524</v>
      </c>
      <c r="AL192" s="99" t="e">
        <f>VLOOKUP(AK192,#REF!,1,0)</f>
        <v>#REF!</v>
      </c>
    </row>
    <row r="193" spans="26:38">
      <c r="Z193" t="s">
        <v>1525</v>
      </c>
      <c r="AA193" s="99" t="str">
        <f t="shared" si="4"/>
        <v>'31000325328865020000000000000000',</v>
      </c>
      <c r="AB193" s="99"/>
      <c r="AC193" s="99"/>
      <c r="AD193" s="99"/>
      <c r="AE193" s="99"/>
      <c r="AF193" s="99"/>
      <c r="AG193" t="s">
        <v>1526</v>
      </c>
      <c r="AH193" s="99" t="e">
        <f>VLOOKUP(AG193,#REF!,1,0)</f>
        <v>#REF!</v>
      </c>
      <c r="AI193" s="99"/>
      <c r="AJ193" s="99"/>
      <c r="AK193" t="s">
        <v>1527</v>
      </c>
      <c r="AL193" s="99" t="e">
        <f>VLOOKUP(AK193,#REF!,1,0)</f>
        <v>#REF!</v>
      </c>
    </row>
    <row r="194" spans="26:38">
      <c r="Z194" t="s">
        <v>1528</v>
      </c>
      <c r="AA194" s="99" t="str">
        <f t="shared" si="4"/>
        <v>'31000355827018020000000000000000',</v>
      </c>
      <c r="AB194" s="99"/>
      <c r="AC194" s="99"/>
      <c r="AD194" s="99"/>
      <c r="AE194" s="99"/>
      <c r="AF194" s="99"/>
      <c r="AG194" t="s">
        <v>1529</v>
      </c>
      <c r="AH194" s="99" t="e">
        <f>VLOOKUP(AG194,#REF!,1,0)</f>
        <v>#REF!</v>
      </c>
      <c r="AI194" s="99"/>
      <c r="AJ194" s="99"/>
      <c r="AK194" t="s">
        <v>1530</v>
      </c>
      <c r="AL194" s="99" t="e">
        <f>VLOOKUP(AK194,#REF!,1,0)</f>
        <v>#REF!</v>
      </c>
    </row>
    <row r="195" spans="26:38">
      <c r="Z195" t="s">
        <v>1531</v>
      </c>
      <c r="AA195" s="99" t="str">
        <f t="shared" si="4"/>
        <v>'31000351971422020000000000000000',</v>
      </c>
      <c r="AB195" s="99"/>
      <c r="AC195" s="99"/>
      <c r="AD195" s="99"/>
      <c r="AE195" s="99"/>
      <c r="AF195" s="99"/>
      <c r="AG195" t="s">
        <v>1532</v>
      </c>
      <c r="AH195" s="99" t="e">
        <f>VLOOKUP(AG195,#REF!,1,0)</f>
        <v>#REF!</v>
      </c>
      <c r="AI195" s="99"/>
      <c r="AJ195" s="99"/>
      <c r="AK195" t="s">
        <v>1533</v>
      </c>
      <c r="AL195" s="99" t="e">
        <f>VLOOKUP(AK195,#REF!,1,0)</f>
        <v>#REF!</v>
      </c>
    </row>
    <row r="196" spans="26:38">
      <c r="Z196" t="s">
        <v>1534</v>
      </c>
      <c r="AA196" s="99" t="str">
        <f t="shared" si="4"/>
        <v>'31000344073450020000000000000000',</v>
      </c>
      <c r="AB196" s="99"/>
      <c r="AC196" s="99"/>
      <c r="AD196" s="99"/>
      <c r="AE196" s="99"/>
      <c r="AF196" s="99"/>
      <c r="AG196" t="s">
        <v>1535</v>
      </c>
      <c r="AH196" s="99" t="e">
        <f>VLOOKUP(AG196,#REF!,1,0)</f>
        <v>#REF!</v>
      </c>
      <c r="AI196" s="99"/>
      <c r="AJ196" s="99"/>
      <c r="AK196" t="s">
        <v>1536</v>
      </c>
      <c r="AL196" s="99" t="e">
        <f>VLOOKUP(AK196,#REF!,1,0)</f>
        <v>#REF!</v>
      </c>
    </row>
    <row r="197" spans="26:38">
      <c r="Z197" t="s">
        <v>1305</v>
      </c>
      <c r="AA197" s="99" t="str">
        <f t="shared" si="4"/>
        <v>'31000311754545096000000000000000',</v>
      </c>
      <c r="AB197" s="99"/>
      <c r="AC197" s="99"/>
      <c r="AD197" s="99"/>
      <c r="AE197" s="99"/>
      <c r="AF197" s="99"/>
      <c r="AG197" t="s">
        <v>1537</v>
      </c>
      <c r="AH197" s="99" t="e">
        <f>VLOOKUP(AG197,#REF!,1,0)</f>
        <v>#REF!</v>
      </c>
      <c r="AI197" s="99"/>
      <c r="AJ197" s="99"/>
      <c r="AK197" t="s">
        <v>1538</v>
      </c>
      <c r="AL197" s="99" t="e">
        <f>VLOOKUP(AK197,#REF!,1,0)</f>
        <v>#REF!</v>
      </c>
    </row>
    <row r="198" spans="26:38">
      <c r="Z198" t="s">
        <v>1539</v>
      </c>
      <c r="AA198" s="99" t="str">
        <f t="shared" si="4"/>
        <v>'31000349253966020000000000000000',</v>
      </c>
      <c r="AB198" s="99"/>
      <c r="AC198" s="99"/>
      <c r="AD198" s="99"/>
      <c r="AE198" s="99"/>
      <c r="AF198" s="99"/>
      <c r="AG198" t="s">
        <v>1540</v>
      </c>
      <c r="AH198" s="99" t="e">
        <f>VLOOKUP(AG198,#REF!,1,0)</f>
        <v>#REF!</v>
      </c>
      <c r="AI198" s="99"/>
      <c r="AJ198" s="99"/>
      <c r="AK198" t="s">
        <v>1541</v>
      </c>
      <c r="AL198" s="99" t="e">
        <f>VLOOKUP(AK198,#REF!,1,0)</f>
        <v>#REF!</v>
      </c>
    </row>
    <row r="199" spans="26:38">
      <c r="Z199" t="s">
        <v>1542</v>
      </c>
      <c r="AA199" s="99" t="str">
        <f t="shared" si="4"/>
        <v>'31000348718423020000000000000000',</v>
      </c>
      <c r="AB199" s="99"/>
      <c r="AC199" s="99"/>
      <c r="AD199" s="99"/>
      <c r="AE199" s="99"/>
      <c r="AF199" s="99"/>
      <c r="AG199" t="s">
        <v>1543</v>
      </c>
      <c r="AH199" s="99" t="e">
        <f>VLOOKUP(AG199,#REF!,1,0)</f>
        <v>#REF!</v>
      </c>
      <c r="AI199" s="99"/>
      <c r="AJ199" s="99"/>
      <c r="AK199" t="s">
        <v>1538</v>
      </c>
      <c r="AL199" s="99" t="e">
        <f>VLOOKUP(AK199,#REF!,1,0)</f>
        <v>#REF!</v>
      </c>
    </row>
    <row r="200" spans="26:38">
      <c r="Z200" t="s">
        <v>1544</v>
      </c>
      <c r="AA200" s="99" t="str">
        <f t="shared" si="4"/>
        <v>'31000349671571020000000000000000',</v>
      </c>
      <c r="AB200" s="99"/>
      <c r="AC200" s="99"/>
      <c r="AD200" s="99"/>
      <c r="AE200" s="99"/>
      <c r="AF200" s="99"/>
      <c r="AG200" t="s">
        <v>1545</v>
      </c>
      <c r="AH200" s="99" t="e">
        <f>VLOOKUP(AG200,#REF!,1,0)</f>
        <v>#REF!</v>
      </c>
      <c r="AI200" s="99"/>
      <c r="AJ200" s="99"/>
      <c r="AK200" t="s">
        <v>1546</v>
      </c>
      <c r="AL200" s="99" t="e">
        <f>VLOOKUP(AK200,#REF!,1,0)</f>
        <v>#REF!</v>
      </c>
    </row>
    <row r="201" spans="26:38">
      <c r="Z201" t="s">
        <v>1547</v>
      </c>
      <c r="AA201" s="99" t="str">
        <f t="shared" ref="AA201:AA264" si="5">"'"&amp;Z201&amp;"',"</f>
        <v>'31000040670296001000000000000000',</v>
      </c>
      <c r="AB201" s="99"/>
      <c r="AC201" s="99"/>
      <c r="AD201" s="99"/>
      <c r="AE201" s="99"/>
      <c r="AF201" s="99"/>
      <c r="AG201" t="s">
        <v>1548</v>
      </c>
      <c r="AH201" s="99" t="e">
        <f>VLOOKUP(AG201,#REF!,1,0)</f>
        <v>#REF!</v>
      </c>
      <c r="AI201" s="99"/>
      <c r="AJ201" s="99"/>
      <c r="AK201" t="s">
        <v>1288</v>
      </c>
      <c r="AL201" s="99" t="e">
        <f>VLOOKUP(AK201,#REF!,1,0)</f>
        <v>#REF!</v>
      </c>
    </row>
    <row r="202" spans="26:38">
      <c r="Z202" t="s">
        <v>1549</v>
      </c>
      <c r="AA202" s="99" t="str">
        <f t="shared" si="5"/>
        <v>'31000312206651096000000000000000',</v>
      </c>
      <c r="AB202" s="99"/>
      <c r="AC202" s="99"/>
      <c r="AD202" s="99"/>
      <c r="AE202" s="99"/>
      <c r="AF202" s="99"/>
      <c r="AG202" t="s">
        <v>1550</v>
      </c>
      <c r="AH202" s="99" t="e">
        <f>VLOOKUP(AG202,#REF!,1,0)</f>
        <v>#REF!</v>
      </c>
      <c r="AI202" s="99"/>
      <c r="AJ202" s="99"/>
      <c r="AK202" t="s">
        <v>1551</v>
      </c>
      <c r="AL202" s="99" t="e">
        <f>VLOOKUP(AK202,#REF!,1,0)</f>
        <v>#REF!</v>
      </c>
    </row>
    <row r="203" spans="26:38">
      <c r="Z203" t="s">
        <v>1552</v>
      </c>
      <c r="AA203" s="99" t="str">
        <f t="shared" si="5"/>
        <v>'31000352258217020000000000000000',</v>
      </c>
      <c r="AB203" s="99"/>
      <c r="AC203" s="99"/>
      <c r="AD203" s="99"/>
      <c r="AE203" s="99"/>
      <c r="AF203" s="99"/>
      <c r="AG203" t="s">
        <v>1553</v>
      </c>
      <c r="AH203" s="99" t="e">
        <f>VLOOKUP(AG203,#REF!,1,0)</f>
        <v>#REF!</v>
      </c>
      <c r="AI203" s="99"/>
      <c r="AJ203" s="99"/>
      <c r="AK203" t="s">
        <v>1554</v>
      </c>
      <c r="AL203" s="99" t="e">
        <f>VLOOKUP(AK203,#REF!,1,0)</f>
        <v>#REF!</v>
      </c>
    </row>
    <row r="204" spans="26:38">
      <c r="Z204" t="s">
        <v>1555</v>
      </c>
      <c r="AA204" s="99" t="str">
        <f t="shared" si="5"/>
        <v>'31000353155834020000000000000000',</v>
      </c>
      <c r="AB204" s="99"/>
      <c r="AC204" s="99"/>
      <c r="AD204" s="99"/>
      <c r="AE204" s="99"/>
      <c r="AF204" s="99"/>
      <c r="AG204" t="s">
        <v>1556</v>
      </c>
      <c r="AH204" s="99" t="e">
        <f>VLOOKUP(AG204,#REF!,1,0)</f>
        <v>#REF!</v>
      </c>
      <c r="AI204" s="99"/>
      <c r="AJ204" s="99"/>
      <c r="AK204" t="s">
        <v>1557</v>
      </c>
      <c r="AL204" s="99" t="e">
        <f>VLOOKUP(AK204,#REF!,1,0)</f>
        <v>#REF!</v>
      </c>
    </row>
    <row r="205" spans="26:38">
      <c r="Z205" t="s">
        <v>1558</v>
      </c>
      <c r="AA205" s="99" t="str">
        <f t="shared" si="5"/>
        <v>'31000346417689020000000000000000',</v>
      </c>
      <c r="AB205" s="99"/>
      <c r="AC205" s="99"/>
      <c r="AD205" s="99"/>
      <c r="AE205" s="99"/>
      <c r="AF205" s="99"/>
      <c r="AG205" t="s">
        <v>1559</v>
      </c>
      <c r="AH205" s="99" t="e">
        <f>VLOOKUP(AG205,#REF!,1,0)</f>
        <v>#REF!</v>
      </c>
      <c r="AI205" s="99"/>
      <c r="AJ205" s="99"/>
      <c r="AK205" t="s">
        <v>1560</v>
      </c>
      <c r="AL205" s="99" t="e">
        <f>VLOOKUP(AK205,#REF!,1,0)</f>
        <v>#REF!</v>
      </c>
    </row>
    <row r="206" spans="26:38">
      <c r="Z206" t="s">
        <v>1561</v>
      </c>
      <c r="AA206" s="99" t="str">
        <f t="shared" si="5"/>
        <v>'31000319408938096000000000000000',</v>
      </c>
      <c r="AB206" s="99"/>
      <c r="AC206" s="99"/>
      <c r="AD206" s="99"/>
      <c r="AE206" s="99"/>
      <c r="AF206" s="99"/>
      <c r="AG206" t="s">
        <v>1562</v>
      </c>
      <c r="AH206" s="99" t="e">
        <f>VLOOKUP(AG206,#REF!,1,0)</f>
        <v>#REF!</v>
      </c>
      <c r="AI206" s="99"/>
      <c r="AJ206" s="99"/>
      <c r="AK206" t="s">
        <v>1563</v>
      </c>
      <c r="AL206" s="99" t="e">
        <f>VLOOKUP(AK206,#REF!,1,0)</f>
        <v>#REF!</v>
      </c>
    </row>
    <row r="207" spans="26:38">
      <c r="Z207" t="s">
        <v>1564</v>
      </c>
      <c r="AA207" s="99" t="str">
        <f t="shared" si="5"/>
        <v>'31000030661377001000000000000000',</v>
      </c>
      <c r="AB207" s="99"/>
      <c r="AC207" s="99"/>
      <c r="AD207" s="99"/>
      <c r="AE207" s="99"/>
      <c r="AF207" s="99"/>
      <c r="AG207" t="s">
        <v>1565</v>
      </c>
      <c r="AH207" s="99" t="e">
        <f>VLOOKUP(AG207,#REF!,1,0)</f>
        <v>#REF!</v>
      </c>
      <c r="AI207" s="99"/>
      <c r="AJ207" s="99"/>
      <c r="AK207" t="s">
        <v>1566</v>
      </c>
      <c r="AL207" s="99" t="e">
        <f>VLOOKUP(AK207,#REF!,1,0)</f>
        <v>#REF!</v>
      </c>
    </row>
    <row r="208" spans="26:38">
      <c r="Z208" t="s">
        <v>1567</v>
      </c>
      <c r="AA208" s="99" t="str">
        <f t="shared" si="5"/>
        <v>'31000353312328020000000000000000',</v>
      </c>
      <c r="AB208" s="99"/>
      <c r="AC208" s="99"/>
      <c r="AD208" s="99"/>
      <c r="AE208" s="99"/>
      <c r="AF208" s="99"/>
      <c r="AG208" t="s">
        <v>1568</v>
      </c>
      <c r="AH208" s="99" t="e">
        <f>VLOOKUP(AG208,#REF!,1,0)</f>
        <v>#REF!</v>
      </c>
      <c r="AI208" s="99"/>
      <c r="AJ208" s="99"/>
      <c r="AK208" t="s">
        <v>1569</v>
      </c>
      <c r="AL208" s="99" t="e">
        <f>VLOOKUP(AK208,#REF!,1,0)</f>
        <v>#REF!</v>
      </c>
    </row>
    <row r="209" spans="26:38">
      <c r="Z209" t="s">
        <v>1211</v>
      </c>
      <c r="AA209" s="99" t="str">
        <f t="shared" si="5"/>
        <v>'31000035452973001000000000000000',</v>
      </c>
      <c r="AB209" s="99"/>
      <c r="AC209" s="99"/>
      <c r="AD209" s="99"/>
      <c r="AE209" s="99"/>
      <c r="AF209" s="99"/>
      <c r="AG209" t="s">
        <v>1570</v>
      </c>
      <c r="AH209" s="99" t="e">
        <f>VLOOKUP(AG209,#REF!,1,0)</f>
        <v>#REF!</v>
      </c>
      <c r="AI209" s="99"/>
      <c r="AJ209" s="99"/>
      <c r="AK209" t="s">
        <v>854</v>
      </c>
      <c r="AL209" s="99" t="e">
        <f>VLOOKUP(AK209,#REF!,1,0)</f>
        <v>#REF!</v>
      </c>
    </row>
    <row r="210" spans="26:38">
      <c r="Z210" t="s">
        <v>1571</v>
      </c>
      <c r="AA210" s="99" t="str">
        <f t="shared" si="5"/>
        <v>'31000040424297001000000000000000',</v>
      </c>
      <c r="AB210" s="99"/>
      <c r="AC210" s="99"/>
      <c r="AD210" s="99"/>
      <c r="AE210" s="99"/>
      <c r="AF210" s="99"/>
      <c r="AG210" t="s">
        <v>1572</v>
      </c>
      <c r="AH210" s="99" t="e">
        <f>VLOOKUP(AG210,#REF!,1,0)</f>
        <v>#REF!</v>
      </c>
      <c r="AI210" s="99"/>
      <c r="AJ210" s="99"/>
      <c r="AK210" t="s">
        <v>1242</v>
      </c>
      <c r="AL210" s="99" t="e">
        <f>VLOOKUP(AK210,#REF!,1,0)</f>
        <v>#REF!</v>
      </c>
    </row>
    <row r="211" spans="26:38">
      <c r="Z211" t="s">
        <v>1573</v>
      </c>
      <c r="AA211" s="99" t="str">
        <f t="shared" si="5"/>
        <v>'31000041326751001000000000000000',</v>
      </c>
      <c r="AB211" s="99"/>
      <c r="AC211" s="99"/>
      <c r="AD211" s="99"/>
      <c r="AE211" s="99"/>
      <c r="AF211" s="99"/>
      <c r="AG211" t="s">
        <v>1574</v>
      </c>
      <c r="AH211" s="99" t="e">
        <f>VLOOKUP(AG211,#REF!,1,0)</f>
        <v>#REF!</v>
      </c>
      <c r="AI211" s="99"/>
      <c r="AJ211" s="99"/>
      <c r="AK211" t="s">
        <v>1187</v>
      </c>
      <c r="AL211" s="99" t="e">
        <f>VLOOKUP(AK211,#REF!,1,0)</f>
        <v>#REF!</v>
      </c>
    </row>
    <row r="212" spans="26:38">
      <c r="Z212" t="s">
        <v>1032</v>
      </c>
      <c r="AA212" s="99" t="str">
        <f t="shared" si="5"/>
        <v>'31000051471968001000000000000000',</v>
      </c>
      <c r="AB212" s="99"/>
      <c r="AC212" s="99"/>
      <c r="AD212" s="99"/>
      <c r="AE212" s="99"/>
      <c r="AF212" s="99"/>
      <c r="AG212" t="s">
        <v>1575</v>
      </c>
      <c r="AH212" s="99" t="e">
        <f>VLOOKUP(AG212,#REF!,1,0)</f>
        <v>#REF!</v>
      </c>
      <c r="AI212" s="99"/>
      <c r="AJ212" s="99"/>
      <c r="AK212" t="s">
        <v>1062</v>
      </c>
      <c r="AL212" s="99" t="e">
        <f>VLOOKUP(AK212,#REF!,1,0)</f>
        <v>#REF!</v>
      </c>
    </row>
    <row r="213" spans="26:38">
      <c r="Z213" t="s">
        <v>1576</v>
      </c>
      <c r="AA213" s="99" t="str">
        <f t="shared" si="5"/>
        <v>'31000053213217020000000000000000',</v>
      </c>
      <c r="AB213" s="99"/>
      <c r="AC213" s="99"/>
      <c r="AD213" s="99"/>
      <c r="AE213" s="99"/>
      <c r="AF213" s="99"/>
      <c r="AG213" t="s">
        <v>1577</v>
      </c>
      <c r="AH213" s="99" t="e">
        <f>VLOOKUP(AG213,#REF!,1,0)</f>
        <v>#REF!</v>
      </c>
      <c r="AI213" s="99"/>
      <c r="AJ213" s="99"/>
      <c r="AK213" t="s">
        <v>1578</v>
      </c>
      <c r="AL213" s="99" t="e">
        <f>VLOOKUP(AK213,#REF!,1,0)</f>
        <v>#REF!</v>
      </c>
    </row>
    <row r="214" spans="26:38">
      <c r="Z214" t="s">
        <v>1579</v>
      </c>
      <c r="AA214" s="99" t="str">
        <f t="shared" si="5"/>
        <v>'31000803409397020000000000000000',</v>
      </c>
      <c r="AB214" s="99"/>
      <c r="AC214" s="99"/>
      <c r="AD214" s="99"/>
      <c r="AE214" s="99"/>
      <c r="AF214" s="99"/>
      <c r="AG214" t="s">
        <v>1580</v>
      </c>
      <c r="AH214" s="99" t="e">
        <f>VLOOKUP(AG214,#REF!,1,0)</f>
        <v>#REF!</v>
      </c>
      <c r="AI214" s="99"/>
      <c r="AJ214" s="99"/>
      <c r="AK214" t="s">
        <v>1197</v>
      </c>
      <c r="AL214" s="99" t="e">
        <f>VLOOKUP(AK214,#REF!,1,0)</f>
        <v>#REF!</v>
      </c>
    </row>
    <row r="215" spans="26:38">
      <c r="Z215" t="s">
        <v>1581</v>
      </c>
      <c r="AA215" s="99" t="str">
        <f t="shared" si="5"/>
        <v>'31000340035537020000000000000000',</v>
      </c>
      <c r="AB215" s="99"/>
      <c r="AC215" s="99"/>
      <c r="AD215" s="99"/>
      <c r="AE215" s="99"/>
      <c r="AF215" s="99"/>
      <c r="AG215" t="s">
        <v>1582</v>
      </c>
      <c r="AH215" s="99" t="e">
        <f>VLOOKUP(AG215,#REF!,1,0)</f>
        <v>#REF!</v>
      </c>
      <c r="AI215" s="99"/>
      <c r="AJ215" s="99"/>
      <c r="AK215" t="s">
        <v>1583</v>
      </c>
      <c r="AL215" s="99" t="e">
        <f>VLOOKUP(AK215,#REF!,1,0)</f>
        <v>#REF!</v>
      </c>
    </row>
    <row r="216" spans="26:38">
      <c r="Z216" t="s">
        <v>1584</v>
      </c>
      <c r="AA216" s="99" t="str">
        <f t="shared" si="5"/>
        <v>'31000347374772020000000000000000',</v>
      </c>
      <c r="AB216" s="99"/>
      <c r="AC216" s="99"/>
      <c r="AD216" s="99"/>
      <c r="AE216" s="99"/>
      <c r="AF216" s="99"/>
      <c r="AG216" t="s">
        <v>1585</v>
      </c>
      <c r="AH216" s="99" t="e">
        <f>VLOOKUP(AG216,#REF!,1,0)</f>
        <v>#REF!</v>
      </c>
      <c r="AI216" s="99"/>
      <c r="AJ216" s="99"/>
      <c r="AK216" t="s">
        <v>1586</v>
      </c>
      <c r="AL216" s="99" t="e">
        <f>VLOOKUP(AK216,#REF!,1,0)</f>
        <v>#REF!</v>
      </c>
    </row>
    <row r="217" spans="26:38">
      <c r="Z217" t="s">
        <v>1587</v>
      </c>
      <c r="AA217" s="99" t="str">
        <f t="shared" si="5"/>
        <v>'31000007506316001000000000000000',</v>
      </c>
      <c r="AB217" s="99"/>
      <c r="AC217" s="99"/>
      <c r="AD217" s="99"/>
      <c r="AE217" s="99"/>
      <c r="AF217" s="99"/>
      <c r="AG217" t="s">
        <v>1588</v>
      </c>
      <c r="AH217" s="99" t="e">
        <f>VLOOKUP(AG217,#REF!,1,0)</f>
        <v>#REF!</v>
      </c>
      <c r="AI217" s="99"/>
      <c r="AJ217" s="99"/>
      <c r="AK217" t="s">
        <v>1534</v>
      </c>
      <c r="AL217" s="99" t="e">
        <f>VLOOKUP(AK217,#REF!,1,0)</f>
        <v>#REF!</v>
      </c>
    </row>
    <row r="218" spans="26:38">
      <c r="Z218" t="s">
        <v>1589</v>
      </c>
      <c r="AA218" s="99" t="str">
        <f t="shared" si="5"/>
        <v>'31000312726724096000000000000000',</v>
      </c>
      <c r="AB218" s="99"/>
      <c r="AC218" s="99"/>
      <c r="AD218" s="99"/>
      <c r="AE218" s="99"/>
      <c r="AF218" s="99"/>
      <c r="AG218" t="s">
        <v>1590</v>
      </c>
      <c r="AH218" s="99" t="e">
        <f>VLOOKUP(AG218,#REF!,1,0)</f>
        <v>#REF!</v>
      </c>
      <c r="AI218" s="99"/>
      <c r="AJ218" s="99"/>
      <c r="AK218" t="s">
        <v>1045</v>
      </c>
      <c r="AL218" s="99" t="e">
        <f>VLOOKUP(AK218,#REF!,1,0)</f>
        <v>#REF!</v>
      </c>
    </row>
    <row r="219" spans="26:38">
      <c r="Z219" t="s">
        <v>1591</v>
      </c>
      <c r="AA219" s="99" t="str">
        <f t="shared" si="5"/>
        <v>'31000314944201020000000000000000',</v>
      </c>
      <c r="AB219" s="99"/>
      <c r="AC219" s="99"/>
      <c r="AD219" s="99"/>
      <c r="AE219" s="99"/>
      <c r="AF219" s="99"/>
      <c r="AG219" t="s">
        <v>1592</v>
      </c>
      <c r="AH219" s="99" t="e">
        <f>VLOOKUP(AG219,#REF!,1,0)</f>
        <v>#REF!</v>
      </c>
      <c r="AI219" s="99"/>
      <c r="AJ219" s="99"/>
      <c r="AK219" t="s">
        <v>1593</v>
      </c>
      <c r="AL219" s="99" t="e">
        <f>VLOOKUP(AK219,#REF!,1,0)</f>
        <v>#REF!</v>
      </c>
    </row>
    <row r="220" spans="26:38">
      <c r="Z220" t="s">
        <v>1594</v>
      </c>
      <c r="AA220" s="99" t="str">
        <f t="shared" si="5"/>
        <v>'31003197837870011598371100000001',</v>
      </c>
      <c r="AB220" s="99"/>
      <c r="AC220" s="99"/>
      <c r="AD220" s="99"/>
      <c r="AE220" s="99"/>
      <c r="AF220" s="99"/>
      <c r="AG220" t="s">
        <v>1595</v>
      </c>
      <c r="AH220" s="99" t="e">
        <f>VLOOKUP(AG220,#REF!,1,0)</f>
        <v>#REF!</v>
      </c>
      <c r="AI220" s="99"/>
      <c r="AJ220" s="99"/>
      <c r="AK220" t="s">
        <v>1596</v>
      </c>
      <c r="AL220" s="99" t="e">
        <f>VLOOKUP(AK220,#REF!,1,0)</f>
        <v>#REF!</v>
      </c>
    </row>
    <row r="221" spans="26:38">
      <c r="Z221" t="s">
        <v>1597</v>
      </c>
      <c r="AA221" s="99" t="str">
        <f t="shared" si="5"/>
        <v>'31000007719709001000000000000000',</v>
      </c>
      <c r="AB221" s="99"/>
      <c r="AC221" s="99"/>
      <c r="AD221" s="99"/>
      <c r="AE221" s="99"/>
      <c r="AF221" s="99"/>
      <c r="AG221" t="s">
        <v>1598</v>
      </c>
      <c r="AH221" s="99" t="e">
        <f>VLOOKUP(AG221,#REF!,1,0)</f>
        <v>#REF!</v>
      </c>
      <c r="AI221" s="99"/>
      <c r="AJ221" s="99"/>
      <c r="AK221" t="s">
        <v>1599</v>
      </c>
      <c r="AL221" s="99" t="e">
        <f>VLOOKUP(AK221,#REF!,1,0)</f>
        <v>#REF!</v>
      </c>
    </row>
    <row r="222" spans="26:38">
      <c r="Z222" t="s">
        <v>1372</v>
      </c>
      <c r="AA222" s="99" t="str">
        <f t="shared" si="5"/>
        <v>'31000350063510020000000000000000',</v>
      </c>
      <c r="AB222" s="99"/>
      <c r="AC222" s="99"/>
      <c r="AD222" s="99"/>
      <c r="AE222" s="99"/>
      <c r="AF222" s="99"/>
      <c r="AG222" t="s">
        <v>1600</v>
      </c>
      <c r="AH222" s="99" t="e">
        <f>VLOOKUP(AG222,#REF!,1,0)</f>
        <v>#REF!</v>
      </c>
      <c r="AI222" s="99"/>
      <c r="AJ222" s="99"/>
      <c r="AK222" t="s">
        <v>1466</v>
      </c>
      <c r="AL222" s="99" t="e">
        <f>VLOOKUP(AK222,#REF!,1,0)</f>
        <v>#REF!</v>
      </c>
    </row>
    <row r="223" spans="26:38">
      <c r="Z223" t="s">
        <v>1045</v>
      </c>
      <c r="AA223" s="99" t="str">
        <f t="shared" si="5"/>
        <v>'31000002501973001000000000000000',</v>
      </c>
      <c r="AB223" s="99"/>
      <c r="AC223" s="99"/>
      <c r="AD223" s="99"/>
      <c r="AE223" s="99"/>
      <c r="AF223" s="99"/>
      <c r="AG223" t="s">
        <v>1601</v>
      </c>
      <c r="AH223" s="99" t="e">
        <f>VLOOKUP(AG223,#REF!,1,0)</f>
        <v>#REF!</v>
      </c>
      <c r="AI223" s="99"/>
      <c r="AJ223" s="99"/>
      <c r="AK223" t="s">
        <v>1602</v>
      </c>
      <c r="AL223" s="99" t="e">
        <f>VLOOKUP(AK223,#REF!,1,0)</f>
        <v>#REF!</v>
      </c>
    </row>
    <row r="224" spans="26:38">
      <c r="Z224" t="s">
        <v>1603</v>
      </c>
      <c r="AA224" s="99" t="str">
        <f t="shared" si="5"/>
        <v>'31000344304434020000000000000000',</v>
      </c>
      <c r="AB224" s="99"/>
      <c r="AC224" s="99"/>
      <c r="AD224" s="99"/>
      <c r="AE224" s="99"/>
      <c r="AF224" s="99"/>
      <c r="AG224" t="s">
        <v>1604</v>
      </c>
      <c r="AH224" s="99" t="e">
        <f>VLOOKUP(AG224,#REF!,1,0)</f>
        <v>#REF!</v>
      </c>
      <c r="AI224" s="99"/>
      <c r="AJ224" s="99"/>
      <c r="AK224" t="s">
        <v>1605</v>
      </c>
      <c r="AL224" s="99" t="e">
        <f>VLOOKUP(AK224,#REF!,1,0)</f>
        <v>#REF!</v>
      </c>
    </row>
    <row r="225" spans="26:38">
      <c r="Z225" t="s">
        <v>1606</v>
      </c>
      <c r="AA225" s="99" t="str">
        <f t="shared" si="5"/>
        <v>'31000346160768020000000000000000',</v>
      </c>
      <c r="AB225" s="99"/>
      <c r="AC225" s="99"/>
      <c r="AD225" s="99"/>
      <c r="AE225" s="99"/>
      <c r="AF225" s="99"/>
      <c r="AG225" t="s">
        <v>1607</v>
      </c>
      <c r="AH225" s="99" t="e">
        <f>VLOOKUP(AG225,#REF!,1,0)</f>
        <v>#REF!</v>
      </c>
      <c r="AI225" s="99"/>
      <c r="AJ225" s="99"/>
      <c r="AK225" t="s">
        <v>1474</v>
      </c>
      <c r="AL225" s="99" t="e">
        <f>VLOOKUP(AK225,#REF!,1,0)</f>
        <v>#REF!</v>
      </c>
    </row>
    <row r="226" spans="26:38">
      <c r="Z226" t="s">
        <v>1608</v>
      </c>
      <c r="AA226" s="99" t="str">
        <f t="shared" si="5"/>
        <v>'31000322431589020000000000000000',</v>
      </c>
      <c r="AB226" s="99"/>
      <c r="AC226" s="99"/>
      <c r="AD226" s="99"/>
      <c r="AE226" s="99"/>
      <c r="AF226" s="99"/>
      <c r="AG226" t="s">
        <v>1609</v>
      </c>
      <c r="AH226" s="99" t="e">
        <f>VLOOKUP(AG226,#REF!,1,0)</f>
        <v>#REF!</v>
      </c>
      <c r="AI226" s="99"/>
      <c r="AJ226" s="99"/>
      <c r="AK226" t="s">
        <v>1384</v>
      </c>
      <c r="AL226" s="99" t="e">
        <f>VLOOKUP(AK226,#REF!,1,0)</f>
        <v>#REF!</v>
      </c>
    </row>
    <row r="227" spans="26:38">
      <c r="Z227" t="s">
        <v>1308</v>
      </c>
      <c r="AA227" s="99" t="str">
        <f t="shared" si="5"/>
        <v>'31232100638357020000000000000000',</v>
      </c>
      <c r="AB227" s="99"/>
      <c r="AC227" s="99"/>
      <c r="AD227" s="99"/>
      <c r="AE227" s="99"/>
      <c r="AF227" s="99"/>
      <c r="AG227" t="s">
        <v>1610</v>
      </c>
      <c r="AH227" s="99" t="e">
        <f>VLOOKUP(AG227,#REF!,1,0)</f>
        <v>#REF!</v>
      </c>
      <c r="AI227" s="99"/>
      <c r="AJ227" s="99"/>
      <c r="AK227" t="s">
        <v>1611</v>
      </c>
      <c r="AL227" s="99" t="e">
        <f>VLOOKUP(AK227,#REF!,1,0)</f>
        <v>#REF!</v>
      </c>
    </row>
    <row r="228" spans="26:38">
      <c r="Z228" t="s">
        <v>1612</v>
      </c>
      <c r="AA228" s="99" t="str">
        <f t="shared" si="5"/>
        <v>'31000339725510020000000000000000',</v>
      </c>
      <c r="AB228" s="99"/>
      <c r="AC228" s="99"/>
      <c r="AD228" s="99"/>
      <c r="AE228" s="99"/>
      <c r="AF228" s="99"/>
      <c r="AG228" t="s">
        <v>1613</v>
      </c>
      <c r="AH228" s="99" t="e">
        <f>VLOOKUP(AG228,#REF!,1,0)</f>
        <v>#REF!</v>
      </c>
      <c r="AI228" s="99"/>
      <c r="AJ228" s="99"/>
      <c r="AK228" t="s">
        <v>1614</v>
      </c>
      <c r="AL228" s="99" t="e">
        <f>VLOOKUP(AK228,#REF!,1,0)</f>
        <v>#REF!</v>
      </c>
    </row>
    <row r="229" spans="26:38">
      <c r="Z229" t="s">
        <v>1615</v>
      </c>
      <c r="AA229" s="99" t="str">
        <f t="shared" si="5"/>
        <v>'31000346175741020000000000000000',</v>
      </c>
      <c r="AB229" s="99"/>
      <c r="AC229" s="99"/>
      <c r="AD229" s="99"/>
      <c r="AE229" s="99"/>
      <c r="AF229" s="99"/>
      <c r="AG229" t="s">
        <v>1616</v>
      </c>
      <c r="AH229" s="99" t="e">
        <f>VLOOKUP(AG229,#REF!,1,0)</f>
        <v>#REF!</v>
      </c>
      <c r="AI229" s="99"/>
      <c r="AJ229" s="99"/>
      <c r="AK229" t="s">
        <v>1617</v>
      </c>
      <c r="AL229" s="99" t="e">
        <f>VLOOKUP(AK229,#REF!,1,0)</f>
        <v>#REF!</v>
      </c>
    </row>
    <row r="230" spans="26:38">
      <c r="Z230" t="s">
        <v>1618</v>
      </c>
      <c r="AA230" s="99" t="str">
        <f t="shared" si="5"/>
        <v>'31003196469490011646212200000001',</v>
      </c>
      <c r="AB230" s="99"/>
      <c r="AC230" s="99"/>
      <c r="AD230" s="99"/>
      <c r="AE230" s="99"/>
      <c r="AF230" s="99"/>
      <c r="AG230" t="s">
        <v>1619</v>
      </c>
      <c r="AH230" s="99" t="e">
        <f>VLOOKUP(AG230,#REF!,1,0)</f>
        <v>#REF!</v>
      </c>
      <c r="AI230" s="99"/>
      <c r="AJ230" s="99"/>
      <c r="AK230" t="s">
        <v>1611</v>
      </c>
      <c r="AL230" s="99" t="e">
        <f>VLOOKUP(AK230,#REF!,1,0)</f>
        <v>#REF!</v>
      </c>
    </row>
    <row r="231" spans="26:38">
      <c r="Z231" t="s">
        <v>1620</v>
      </c>
      <c r="AA231" s="99" t="str">
        <f t="shared" si="5"/>
        <v>'31000312483533020000000000000000',</v>
      </c>
      <c r="AB231" s="99"/>
      <c r="AC231" s="99"/>
      <c r="AD231" s="99"/>
      <c r="AE231" s="99"/>
      <c r="AF231" s="99"/>
      <c r="AG231" t="s">
        <v>1621</v>
      </c>
      <c r="AH231" s="99" t="e">
        <f>VLOOKUP(AG231,#REF!,1,0)</f>
        <v>#REF!</v>
      </c>
      <c r="AI231" s="99"/>
      <c r="AJ231" s="99"/>
      <c r="AK231" t="s">
        <v>1622</v>
      </c>
      <c r="AL231" s="99" t="e">
        <f>VLOOKUP(AK231,#REF!,1,0)</f>
        <v>#REF!</v>
      </c>
    </row>
    <row r="232" spans="26:38">
      <c r="Z232" t="s">
        <v>1623</v>
      </c>
      <c r="AA232" s="99" t="str">
        <f t="shared" si="5"/>
        <v>'31000356271091020000000000000000',</v>
      </c>
      <c r="AB232" s="99"/>
      <c r="AC232" s="99"/>
      <c r="AD232" s="99"/>
      <c r="AE232" s="99"/>
      <c r="AF232" s="99"/>
      <c r="AG232" t="s">
        <v>1624</v>
      </c>
      <c r="AH232" s="99" t="e">
        <f>VLOOKUP(AG232,#REF!,1,0)</f>
        <v>#REF!</v>
      </c>
      <c r="AI232" s="99"/>
      <c r="AJ232" s="99"/>
      <c r="AK232" t="s">
        <v>1625</v>
      </c>
      <c r="AL232" s="99" t="e">
        <f>VLOOKUP(AK232,#REF!,1,0)</f>
        <v>#REF!</v>
      </c>
    </row>
    <row r="233" spans="26:38">
      <c r="Z233" t="s">
        <v>1083</v>
      </c>
      <c r="AA233" s="99" t="str">
        <f t="shared" si="5"/>
        <v>'31000801037736096000000000000000',</v>
      </c>
      <c r="AB233" s="99"/>
      <c r="AC233" s="99"/>
      <c r="AD233" s="99"/>
      <c r="AE233" s="99"/>
      <c r="AF233" s="99"/>
      <c r="AG233" t="s">
        <v>1626</v>
      </c>
      <c r="AH233" s="99" t="e">
        <f>VLOOKUP(AG233,#REF!,1,0)</f>
        <v>#REF!</v>
      </c>
      <c r="AI233" s="99"/>
      <c r="AJ233" s="99"/>
      <c r="AK233" t="s">
        <v>1625</v>
      </c>
      <c r="AL233" s="99" t="e">
        <f>VLOOKUP(AK233,#REF!,1,0)</f>
        <v>#REF!</v>
      </c>
    </row>
    <row r="234" spans="26:38">
      <c r="Z234" t="s">
        <v>1627</v>
      </c>
      <c r="AA234" s="99" t="str">
        <f t="shared" si="5"/>
        <v>'31000804334214020000000000000000',</v>
      </c>
      <c r="AB234" s="99"/>
      <c r="AC234" s="99"/>
      <c r="AD234" s="99"/>
      <c r="AE234" s="99"/>
      <c r="AF234" s="99"/>
      <c r="AG234" t="s">
        <v>1628</v>
      </c>
      <c r="AH234" s="99" t="e">
        <f>VLOOKUP(AG234,#REF!,1,0)</f>
        <v>#REF!</v>
      </c>
      <c r="AI234" s="99"/>
      <c r="AJ234" s="99"/>
      <c r="AK234" t="s">
        <v>1629</v>
      </c>
      <c r="AL234" s="99" t="e">
        <f>VLOOKUP(AK234,#REF!,1,0)</f>
        <v>#REF!</v>
      </c>
    </row>
    <row r="235" spans="26:38">
      <c r="Z235" t="s">
        <v>1630</v>
      </c>
      <c r="AA235" s="99" t="str">
        <f t="shared" si="5"/>
        <v>'31000321094339020000000000000000',</v>
      </c>
      <c r="AB235" s="99"/>
      <c r="AC235" s="99"/>
      <c r="AD235" s="99"/>
      <c r="AE235" s="99"/>
      <c r="AF235" s="99"/>
      <c r="AG235" t="s">
        <v>1631</v>
      </c>
      <c r="AH235" s="99" t="e">
        <f>VLOOKUP(AG235,#REF!,1,0)</f>
        <v>#REF!</v>
      </c>
      <c r="AI235" s="99"/>
      <c r="AJ235" s="99"/>
      <c r="AK235" t="s">
        <v>1632</v>
      </c>
      <c r="AL235" s="99" t="e">
        <f>VLOOKUP(AK235,#REF!,1,0)</f>
        <v>#REF!</v>
      </c>
    </row>
    <row r="236" spans="26:38">
      <c r="Z236" t="s">
        <v>1633</v>
      </c>
      <c r="AA236" s="99" t="str">
        <f t="shared" si="5"/>
        <v>'31000100202299598000000000000000',</v>
      </c>
      <c r="AB236" s="99"/>
      <c r="AC236" s="99"/>
      <c r="AD236" s="99"/>
      <c r="AE236" s="99"/>
      <c r="AF236" s="99"/>
      <c r="AG236" t="s">
        <v>1634</v>
      </c>
      <c r="AH236" s="99" t="e">
        <f>VLOOKUP(AG236,#REF!,1,0)</f>
        <v>#REF!</v>
      </c>
      <c r="AI236" s="99"/>
      <c r="AJ236" s="99"/>
      <c r="AK236" t="s">
        <v>1635</v>
      </c>
      <c r="AL236" s="99" t="e">
        <f>VLOOKUP(AK236,#REF!,1,0)</f>
        <v>#REF!</v>
      </c>
    </row>
    <row r="237" spans="26:38">
      <c r="Z237" t="s">
        <v>1636</v>
      </c>
      <c r="AA237" s="99" t="str">
        <f t="shared" si="5"/>
        <v>'31000317044009020000000000000000',</v>
      </c>
      <c r="AB237" s="99"/>
      <c r="AC237" s="99"/>
      <c r="AD237" s="99"/>
      <c r="AE237" s="99"/>
      <c r="AF237" s="99"/>
      <c r="AG237" t="s">
        <v>1637</v>
      </c>
      <c r="AH237" s="99" t="e">
        <f>VLOOKUP(AG237,#REF!,1,0)</f>
        <v>#REF!</v>
      </c>
      <c r="AI237" s="99"/>
      <c r="AJ237" s="99"/>
      <c r="AK237" t="s">
        <v>1638</v>
      </c>
      <c r="AL237" s="99" t="e">
        <f>VLOOKUP(AK237,#REF!,1,0)</f>
        <v>#REF!</v>
      </c>
    </row>
    <row r="238" spans="26:38">
      <c r="Z238" t="s">
        <v>1639</v>
      </c>
      <c r="AA238" s="99" t="str">
        <f t="shared" si="5"/>
        <v>'31000352010121020000000000000000',</v>
      </c>
      <c r="AB238" s="99"/>
      <c r="AC238" s="99"/>
      <c r="AD238" s="99"/>
      <c r="AE238" s="99"/>
      <c r="AF238" s="99"/>
      <c r="AG238" t="s">
        <v>1640</v>
      </c>
      <c r="AH238" s="99" t="e">
        <f>VLOOKUP(AG238,#REF!,1,0)</f>
        <v>#REF!</v>
      </c>
      <c r="AI238" s="99"/>
      <c r="AJ238" s="99"/>
      <c r="AK238" t="s">
        <v>1641</v>
      </c>
      <c r="AL238" s="99" t="e">
        <f>VLOOKUP(AK238,#REF!,1,0)</f>
        <v>#REF!</v>
      </c>
    </row>
    <row r="239" spans="26:38">
      <c r="Z239" t="s">
        <v>1642</v>
      </c>
      <c r="AA239" s="99" t="str">
        <f t="shared" si="5"/>
        <v>'31000323578420020000000000000000',</v>
      </c>
      <c r="AB239" s="99"/>
      <c r="AC239" s="99"/>
      <c r="AD239" s="99"/>
      <c r="AE239" s="99"/>
      <c r="AF239" s="99"/>
      <c r="AG239" t="s">
        <v>1643</v>
      </c>
      <c r="AH239" s="99" t="e">
        <f>VLOOKUP(AG239,#REF!,1,0)</f>
        <v>#REF!</v>
      </c>
      <c r="AI239" s="99"/>
      <c r="AJ239" s="99"/>
      <c r="AK239" t="s">
        <v>1336</v>
      </c>
      <c r="AL239" s="99" t="e">
        <f>VLOOKUP(AK239,#REF!,1,0)</f>
        <v>#REF!</v>
      </c>
    </row>
    <row r="240" spans="26:38">
      <c r="Z240" t="s">
        <v>1644</v>
      </c>
      <c r="AA240" s="99" t="str">
        <f t="shared" si="5"/>
        <v>'31000352226156020000000000000000',</v>
      </c>
      <c r="AB240" s="99"/>
      <c r="AC240" s="99"/>
      <c r="AD240" s="99"/>
      <c r="AE240" s="99"/>
      <c r="AF240" s="99"/>
      <c r="AG240" t="s">
        <v>1645</v>
      </c>
      <c r="AH240" s="99" t="e">
        <f>VLOOKUP(AG240,#REF!,1,0)</f>
        <v>#REF!</v>
      </c>
      <c r="AI240" s="99"/>
      <c r="AJ240" s="99"/>
      <c r="AK240" t="s">
        <v>1646</v>
      </c>
      <c r="AL240" s="99" t="e">
        <f>VLOOKUP(AK240,#REF!,1,0)</f>
        <v>#REF!</v>
      </c>
    </row>
    <row r="241" spans="26:38">
      <c r="Z241" t="s">
        <v>1647</v>
      </c>
      <c r="AA241" s="99" t="str">
        <f t="shared" si="5"/>
        <v>'31000353102547020000000000000000',</v>
      </c>
      <c r="AB241" s="99"/>
      <c r="AC241" s="99"/>
      <c r="AD241" s="99"/>
      <c r="AE241" s="99"/>
      <c r="AF241" s="99"/>
      <c r="AG241" t="s">
        <v>1648</v>
      </c>
      <c r="AH241" s="99" t="e">
        <f>VLOOKUP(AG241,#REF!,1,0)</f>
        <v>#REF!</v>
      </c>
      <c r="AI241" s="99"/>
      <c r="AJ241" s="99"/>
      <c r="AK241" t="s">
        <v>1256</v>
      </c>
      <c r="AL241" s="99" t="e">
        <f>VLOOKUP(AK241,#REF!,1,0)</f>
        <v>#REF!</v>
      </c>
    </row>
    <row r="242" spans="26:38">
      <c r="Z242" t="s">
        <v>1311</v>
      </c>
      <c r="AA242" s="99" t="str">
        <f t="shared" si="5"/>
        <v>'31000317296450020000000000000000',</v>
      </c>
      <c r="AB242" s="99"/>
      <c r="AC242" s="99"/>
      <c r="AD242" s="99"/>
      <c r="AE242" s="99"/>
      <c r="AF242" s="99"/>
      <c r="AG242" t="s">
        <v>1649</v>
      </c>
      <c r="AH242" s="99" t="e">
        <f>VLOOKUP(AG242,#REF!,1,0)</f>
        <v>#REF!</v>
      </c>
      <c r="AI242" s="99"/>
      <c r="AJ242" s="99"/>
      <c r="AK242" t="s">
        <v>1256</v>
      </c>
      <c r="AL242" s="99" t="e">
        <f>VLOOKUP(AK242,#REF!,1,0)</f>
        <v>#REF!</v>
      </c>
    </row>
    <row r="243" spans="26:38">
      <c r="Z243" t="s">
        <v>1650</v>
      </c>
      <c r="AA243" s="99" t="str">
        <f t="shared" si="5"/>
        <v>'31000322835557020000000000000000',</v>
      </c>
      <c r="AB243" s="99"/>
      <c r="AC243" s="99"/>
      <c r="AD243" s="99"/>
      <c r="AE243" s="99"/>
      <c r="AF243" s="99"/>
      <c r="AG243" t="s">
        <v>1651</v>
      </c>
      <c r="AH243" s="99" t="e">
        <f>VLOOKUP(AG243,#REF!,1,0)</f>
        <v>#REF!</v>
      </c>
      <c r="AI243" s="99"/>
      <c r="AJ243" s="99"/>
      <c r="AK243" t="s">
        <v>1652</v>
      </c>
      <c r="AL243" s="99" t="e">
        <f>VLOOKUP(AK243,#REF!,1,0)</f>
        <v>#REF!</v>
      </c>
    </row>
    <row r="244" spans="26:38">
      <c r="Z244" t="s">
        <v>1653</v>
      </c>
      <c r="AA244" s="99" t="str">
        <f t="shared" si="5"/>
        <v>'31000351419323020000000000000000',</v>
      </c>
      <c r="AB244" s="99"/>
      <c r="AC244" s="99"/>
      <c r="AD244" s="99"/>
      <c r="AE244" s="99"/>
      <c r="AF244" s="99"/>
      <c r="AG244" t="s">
        <v>1654</v>
      </c>
      <c r="AH244" s="99" t="e">
        <f>VLOOKUP(AG244,#REF!,1,0)</f>
        <v>#REF!</v>
      </c>
      <c r="AI244" s="99"/>
      <c r="AJ244" s="99"/>
      <c r="AK244" t="s">
        <v>1655</v>
      </c>
      <c r="AL244" s="99" t="e">
        <f>VLOOKUP(AK244,#REF!,1,0)</f>
        <v>#REF!</v>
      </c>
    </row>
    <row r="245" spans="26:38">
      <c r="Z245" t="s">
        <v>1656</v>
      </c>
      <c r="AA245" s="99" t="str">
        <f t="shared" si="5"/>
        <v>'31000055470443020000000000000000',</v>
      </c>
      <c r="AB245" s="99"/>
      <c r="AC245" s="99"/>
      <c r="AD245" s="99"/>
      <c r="AE245" s="99"/>
      <c r="AF245" s="99"/>
      <c r="AG245" t="s">
        <v>1657</v>
      </c>
      <c r="AH245" s="99" t="e">
        <f>VLOOKUP(AG245,#REF!,1,0)</f>
        <v>#REF!</v>
      </c>
      <c r="AI245" s="99"/>
      <c r="AJ245" s="99"/>
      <c r="AK245" t="s">
        <v>1279</v>
      </c>
      <c r="AL245" s="99" t="e">
        <f>VLOOKUP(AK245,#REF!,1,0)</f>
        <v>#REF!</v>
      </c>
    </row>
    <row r="246" spans="26:38">
      <c r="Z246" t="s">
        <v>1658</v>
      </c>
      <c r="AA246" s="99" t="str">
        <f t="shared" si="5"/>
        <v>'31000348194211020000000000000000',</v>
      </c>
      <c r="AB246" s="99"/>
      <c r="AC246" s="99"/>
      <c r="AD246" s="99"/>
      <c r="AE246" s="99"/>
      <c r="AF246" s="99"/>
      <c r="AG246" t="s">
        <v>1659</v>
      </c>
      <c r="AH246" s="99" t="e">
        <f>VLOOKUP(AG246,#REF!,1,0)</f>
        <v>#REF!</v>
      </c>
      <c r="AI246" s="99"/>
      <c r="AJ246" s="99"/>
      <c r="AK246" t="s">
        <v>1660</v>
      </c>
      <c r="AL246" s="99" t="e">
        <f>VLOOKUP(AK246,#REF!,1,0)</f>
        <v>#REF!</v>
      </c>
    </row>
    <row r="247" spans="26:38">
      <c r="Z247" t="s">
        <v>1661</v>
      </c>
      <c r="AA247" s="99" t="str">
        <f t="shared" si="5"/>
        <v>'31000800768902020000000000000000',</v>
      </c>
      <c r="AB247" s="99"/>
      <c r="AC247" s="99"/>
      <c r="AD247" s="99"/>
      <c r="AE247" s="99"/>
      <c r="AF247" s="99"/>
      <c r="AG247" t="s">
        <v>1662</v>
      </c>
      <c r="AH247" s="99" t="e">
        <f>VLOOKUP(AG247,#REF!,1,0)</f>
        <v>#REF!</v>
      </c>
      <c r="AI247" s="99"/>
      <c r="AJ247" s="99"/>
      <c r="AK247" t="s">
        <v>1663</v>
      </c>
      <c r="AL247" s="99" t="e">
        <f>VLOOKUP(AK247,#REF!,1,0)</f>
        <v>#REF!</v>
      </c>
    </row>
    <row r="248" spans="26:38">
      <c r="Z248" t="s">
        <v>1664</v>
      </c>
      <c r="AA248" s="99" t="str">
        <f t="shared" si="5"/>
        <v>'31000351195162020000000000000000',</v>
      </c>
      <c r="AB248" s="99"/>
      <c r="AC248" s="99"/>
      <c r="AD248" s="99"/>
      <c r="AE248" s="99"/>
      <c r="AF248" s="99"/>
      <c r="AG248" t="s">
        <v>1665</v>
      </c>
      <c r="AH248" s="99" t="e">
        <f>VLOOKUP(AG248,#REF!,1,0)</f>
        <v>#REF!</v>
      </c>
      <c r="AI248" s="99"/>
      <c r="AJ248" s="99"/>
      <c r="AK248" t="s">
        <v>1666</v>
      </c>
      <c r="AL248" s="99" t="e">
        <f>VLOOKUP(AK248,#REF!,1,0)</f>
        <v>#REF!</v>
      </c>
    </row>
    <row r="249" spans="26:38">
      <c r="Z249" t="s">
        <v>1064</v>
      </c>
      <c r="AA249" s="99" t="str">
        <f t="shared" si="5"/>
        <v>'31000315138612096000000000000000',</v>
      </c>
      <c r="AB249" s="99"/>
      <c r="AC249" s="99"/>
      <c r="AD249" s="99"/>
      <c r="AE249" s="99"/>
      <c r="AF249" s="99"/>
      <c r="AG249" t="s">
        <v>1667</v>
      </c>
      <c r="AH249" s="99" t="e">
        <f>VLOOKUP(AG249,#REF!,1,0)</f>
        <v>#REF!</v>
      </c>
      <c r="AI249" s="99"/>
      <c r="AJ249" s="99"/>
      <c r="AK249" t="s">
        <v>1668</v>
      </c>
      <c r="AL249" s="99" t="e">
        <f>VLOOKUP(AK249,#REF!,1,0)</f>
        <v>#REF!</v>
      </c>
    </row>
    <row r="250" spans="26:38">
      <c r="Z250" t="s">
        <v>1602</v>
      </c>
      <c r="AA250" s="99" t="str">
        <f t="shared" si="5"/>
        <v>'31003172530080011610847200000001',</v>
      </c>
      <c r="AB250" s="99"/>
      <c r="AC250" s="99"/>
      <c r="AD250" s="99"/>
      <c r="AE250" s="99"/>
      <c r="AF250" s="99"/>
      <c r="AG250" t="s">
        <v>1669</v>
      </c>
      <c r="AH250" s="99" t="e">
        <f>VLOOKUP(AG250,#REF!,1,0)</f>
        <v>#REF!</v>
      </c>
      <c r="AI250" s="99"/>
      <c r="AJ250" s="99"/>
      <c r="AK250" t="s">
        <v>1670</v>
      </c>
      <c r="AL250" s="99" t="e">
        <f>VLOOKUP(AK250,#REF!,1,0)</f>
        <v>#REF!</v>
      </c>
    </row>
    <row r="251" spans="26:38">
      <c r="Z251" t="s">
        <v>1217</v>
      </c>
      <c r="AA251" s="99" t="str">
        <f t="shared" si="5"/>
        <v>'31000339696307020000000000000000',</v>
      </c>
      <c r="AB251" s="99"/>
      <c r="AC251" s="99"/>
      <c r="AD251" s="99"/>
      <c r="AE251" s="99"/>
      <c r="AF251" s="99"/>
      <c r="AG251" t="s">
        <v>1671</v>
      </c>
      <c r="AH251" s="99" t="e">
        <f>VLOOKUP(AG251,#REF!,1,0)</f>
        <v>#REF!</v>
      </c>
      <c r="AI251" s="99"/>
      <c r="AJ251" s="99"/>
      <c r="AK251" t="s">
        <v>1672</v>
      </c>
      <c r="AL251" s="99" t="e">
        <f>VLOOKUP(AK251,#REF!,1,0)</f>
        <v>#REF!</v>
      </c>
    </row>
    <row r="252" spans="26:38">
      <c r="Z252" t="s">
        <v>1673</v>
      </c>
      <c r="AA252" s="99" t="str">
        <f t="shared" si="5"/>
        <v>'31000317715813096000000000000000',</v>
      </c>
      <c r="AB252" s="99"/>
      <c r="AC252" s="99"/>
      <c r="AD252" s="99"/>
      <c r="AE252" s="99"/>
      <c r="AF252" s="99"/>
      <c r="AG252" t="s">
        <v>1674</v>
      </c>
      <c r="AH252" s="99" t="e">
        <f>VLOOKUP(AG252,#REF!,1,0)</f>
        <v>#REF!</v>
      </c>
      <c r="AI252" s="99"/>
      <c r="AJ252" s="99"/>
      <c r="AK252" t="s">
        <v>1599</v>
      </c>
      <c r="AL252" s="99" t="e">
        <f>VLOOKUP(AK252,#REF!,1,0)</f>
        <v>#REF!</v>
      </c>
    </row>
    <row r="253" spans="26:38">
      <c r="Z253" t="s">
        <v>1675</v>
      </c>
      <c r="AA253" s="99" t="str">
        <f t="shared" si="5"/>
        <v>'31000041402078039000000000000000',</v>
      </c>
      <c r="AB253" s="99"/>
      <c r="AC253" s="99"/>
      <c r="AD253" s="99"/>
      <c r="AE253" s="99"/>
      <c r="AF253" s="99"/>
      <c r="AG253" t="s">
        <v>1676</v>
      </c>
      <c r="AH253" s="99" t="e">
        <f>VLOOKUP(AG253,#REF!,1,0)</f>
        <v>#REF!</v>
      </c>
      <c r="AI253" s="99"/>
      <c r="AJ253" s="99"/>
      <c r="AK253" t="s">
        <v>1096</v>
      </c>
      <c r="AL253" s="99" t="e">
        <f>VLOOKUP(AK253,#REF!,1,0)</f>
        <v>#REF!</v>
      </c>
    </row>
    <row r="254" spans="26:38">
      <c r="Z254" t="s">
        <v>1677</v>
      </c>
      <c r="AA254" s="99" t="str">
        <f t="shared" si="5"/>
        <v>'31000352381670020000000000000000',</v>
      </c>
      <c r="AB254" s="99"/>
      <c r="AC254" s="99"/>
      <c r="AD254" s="99"/>
      <c r="AE254" s="99"/>
      <c r="AF254" s="99"/>
      <c r="AG254" t="s">
        <v>1678</v>
      </c>
      <c r="AH254" s="99" t="e">
        <f>VLOOKUP(AG254,#REF!,1,0)</f>
        <v>#REF!</v>
      </c>
      <c r="AI254" s="99"/>
      <c r="AJ254" s="99"/>
      <c r="AK254" t="s">
        <v>1086</v>
      </c>
      <c r="AL254" s="99" t="e">
        <f>VLOOKUP(AK254,#REF!,1,0)</f>
        <v>#REF!</v>
      </c>
    </row>
    <row r="255" spans="26:38">
      <c r="Z255" t="s">
        <v>1679</v>
      </c>
      <c r="AA255" s="99" t="str">
        <f t="shared" si="5"/>
        <v>'31000350720416020000000000000000',</v>
      </c>
      <c r="AB255" s="99"/>
      <c r="AC255" s="99"/>
      <c r="AD255" s="99"/>
      <c r="AE255" s="99"/>
      <c r="AF255" s="99"/>
      <c r="AG255" t="s">
        <v>1680</v>
      </c>
      <c r="AH255" s="99" t="e">
        <f>VLOOKUP(AG255,#REF!,1,0)</f>
        <v>#REF!</v>
      </c>
      <c r="AI255" s="99"/>
      <c r="AJ255" s="99"/>
      <c r="AK255" t="s">
        <v>1681</v>
      </c>
      <c r="AL255" s="99" t="e">
        <f>VLOOKUP(AK255,#REF!,1,0)</f>
        <v>#REF!</v>
      </c>
    </row>
    <row r="256" spans="26:38">
      <c r="Z256" t="s">
        <v>1682</v>
      </c>
      <c r="AA256" s="99" t="str">
        <f t="shared" si="5"/>
        <v>'31000802790409020000000000000000',</v>
      </c>
      <c r="AB256" s="99"/>
      <c r="AC256" s="99"/>
      <c r="AD256" s="99"/>
      <c r="AE256" s="99"/>
      <c r="AF256" s="99"/>
      <c r="AG256" t="s">
        <v>1683</v>
      </c>
      <c r="AH256" s="99" t="e">
        <f>VLOOKUP(AG256,#REF!,1,0)</f>
        <v>#REF!</v>
      </c>
      <c r="AI256" s="99"/>
      <c r="AJ256" s="99"/>
      <c r="AK256" t="s">
        <v>1684</v>
      </c>
      <c r="AL256" s="99" t="e">
        <f>VLOOKUP(AK256,#REF!,1,0)</f>
        <v>#REF!</v>
      </c>
    </row>
    <row r="257" spans="26:38">
      <c r="Z257" t="s">
        <v>1685</v>
      </c>
      <c r="AA257" s="99" t="str">
        <f t="shared" si="5"/>
        <v>'31000032294931001000000000000000',</v>
      </c>
      <c r="AB257" s="99"/>
      <c r="AC257" s="99"/>
      <c r="AD257" s="99"/>
      <c r="AE257" s="99"/>
      <c r="AF257" s="99"/>
      <c r="AG257" t="s">
        <v>1686</v>
      </c>
      <c r="AH257" s="99" t="e">
        <f>VLOOKUP(AG257,#REF!,1,0)</f>
        <v>#REF!</v>
      </c>
      <c r="AI257" s="99"/>
      <c r="AJ257" s="99"/>
      <c r="AK257" t="s">
        <v>1687</v>
      </c>
      <c r="AL257" s="99" t="e">
        <f>VLOOKUP(AK257,#REF!,1,0)</f>
        <v>#REF!</v>
      </c>
    </row>
    <row r="258" spans="26:38">
      <c r="Z258" t="s">
        <v>1688</v>
      </c>
      <c r="AA258" s="99" t="str">
        <f t="shared" si="5"/>
        <v>'31000321039151020000000000000000',</v>
      </c>
      <c r="AB258" s="99"/>
      <c r="AC258" s="99"/>
      <c r="AD258" s="99"/>
      <c r="AE258" s="99"/>
      <c r="AF258" s="99"/>
      <c r="AG258" t="s">
        <v>1689</v>
      </c>
      <c r="AH258" s="99" t="e">
        <f>VLOOKUP(AG258,#REF!,1,0)</f>
        <v>#REF!</v>
      </c>
      <c r="AI258" s="99"/>
      <c r="AJ258" s="99"/>
      <c r="AK258" t="s">
        <v>1224</v>
      </c>
      <c r="AL258" s="99" t="e">
        <f>VLOOKUP(AK258,#REF!,1,0)</f>
        <v>#REF!</v>
      </c>
    </row>
    <row r="259" spans="26:38">
      <c r="Z259" t="s">
        <v>1690</v>
      </c>
      <c r="AA259" s="99" t="str">
        <f t="shared" si="5"/>
        <v>'31000352194255020000000000000000',</v>
      </c>
      <c r="AB259" s="99"/>
      <c r="AC259" s="99"/>
      <c r="AD259" s="99"/>
      <c r="AE259" s="99"/>
      <c r="AF259" s="99"/>
      <c r="AG259" t="s">
        <v>1691</v>
      </c>
      <c r="AH259" s="99" t="e">
        <f>VLOOKUP(AG259,#REF!,1,0)</f>
        <v>#REF!</v>
      </c>
      <c r="AI259" s="99"/>
      <c r="AJ259" s="99"/>
      <c r="AK259" t="s">
        <v>1692</v>
      </c>
      <c r="AL259" s="99" t="e">
        <f>VLOOKUP(AK259,#REF!,1,0)</f>
        <v>#REF!</v>
      </c>
    </row>
    <row r="260" spans="26:38">
      <c r="Z260" t="s">
        <v>1693</v>
      </c>
      <c r="AA260" s="99" t="str">
        <f t="shared" si="5"/>
        <v>'31000054255928020000000000000000',</v>
      </c>
      <c r="AB260" s="99"/>
      <c r="AC260" s="99"/>
      <c r="AD260" s="99"/>
      <c r="AE260" s="99"/>
      <c r="AF260" s="99"/>
      <c r="AG260" t="s">
        <v>1694</v>
      </c>
      <c r="AH260" s="99" t="e">
        <f>VLOOKUP(AG260,#REF!,1,0)</f>
        <v>#REF!</v>
      </c>
      <c r="AI260" s="99"/>
      <c r="AJ260" s="99"/>
      <c r="AK260" t="s">
        <v>1695</v>
      </c>
      <c r="AL260" s="99" t="e">
        <f>VLOOKUP(AK260,#REF!,1,0)</f>
        <v>#REF!</v>
      </c>
    </row>
    <row r="261" spans="26:38">
      <c r="Z261" t="s">
        <v>1696</v>
      </c>
      <c r="AA261" s="99" t="str">
        <f t="shared" si="5"/>
        <v>'31000349322951020000000000000000',</v>
      </c>
      <c r="AB261" s="99"/>
      <c r="AC261" s="99"/>
      <c r="AD261" s="99"/>
      <c r="AE261" s="99"/>
      <c r="AF261" s="99"/>
      <c r="AG261" t="s">
        <v>1697</v>
      </c>
      <c r="AH261" s="99" t="e">
        <f>VLOOKUP(AG261,#REF!,1,0)</f>
        <v>#REF!</v>
      </c>
      <c r="AI261" s="99"/>
      <c r="AJ261" s="99"/>
      <c r="AK261" t="s">
        <v>1636</v>
      </c>
      <c r="AL261" s="99" t="e">
        <f>VLOOKUP(AK261,#REF!,1,0)</f>
        <v>#REF!</v>
      </c>
    </row>
    <row r="262" spans="26:38">
      <c r="Z262" t="s">
        <v>1698</v>
      </c>
      <c r="AA262" s="99" t="str">
        <f t="shared" si="5"/>
        <v>'31000352490489020000000000000000',</v>
      </c>
      <c r="AB262" s="99"/>
      <c r="AC262" s="99"/>
      <c r="AD262" s="99"/>
      <c r="AE262" s="99"/>
      <c r="AF262" s="99"/>
      <c r="AG262" t="s">
        <v>1699</v>
      </c>
      <c r="AH262" s="99" t="e">
        <f>VLOOKUP(AG262,#REF!,1,0)</f>
        <v>#REF!</v>
      </c>
      <c r="AI262" s="99"/>
      <c r="AJ262" s="99"/>
      <c r="AK262" t="s">
        <v>1321</v>
      </c>
      <c r="AL262" s="99" t="e">
        <f>VLOOKUP(AK262,#REF!,1,0)</f>
        <v>#REF!</v>
      </c>
    </row>
    <row r="263" spans="26:38">
      <c r="Z263" t="s">
        <v>1700</v>
      </c>
      <c r="AA263" s="99" t="str">
        <f t="shared" si="5"/>
        <v>'31000318096858096000000000000000',</v>
      </c>
      <c r="AB263" s="99"/>
      <c r="AC263" s="99"/>
      <c r="AD263" s="99"/>
      <c r="AE263" s="99"/>
      <c r="AF263" s="99"/>
      <c r="AG263" t="s">
        <v>1701</v>
      </c>
      <c r="AH263" s="99" t="e">
        <f>VLOOKUP(AG263,#REF!,1,0)</f>
        <v>#REF!</v>
      </c>
      <c r="AI263" s="99"/>
      <c r="AJ263" s="99"/>
      <c r="AK263" t="s">
        <v>1702</v>
      </c>
      <c r="AL263" s="99" t="e">
        <f>VLOOKUP(AK263,#REF!,1,0)</f>
        <v>#REF!</v>
      </c>
    </row>
    <row r="264" spans="26:38">
      <c r="Z264" t="s">
        <v>1703</v>
      </c>
      <c r="AA264" s="99" t="str">
        <f t="shared" si="5"/>
        <v>'31000348511646020000000000000000',</v>
      </c>
      <c r="AB264" s="99"/>
      <c r="AC264" s="99"/>
      <c r="AD264" s="99"/>
      <c r="AE264" s="99"/>
      <c r="AF264" s="99"/>
      <c r="AG264" t="s">
        <v>1704</v>
      </c>
      <c r="AH264" s="99" t="e">
        <f>VLOOKUP(AG264,#REF!,1,0)</f>
        <v>#REF!</v>
      </c>
      <c r="AI264" s="99"/>
      <c r="AJ264" s="99"/>
      <c r="AK264" t="s">
        <v>1705</v>
      </c>
      <c r="AL264" s="99" t="e">
        <f>VLOOKUP(AK264,#REF!,1,0)</f>
        <v>#REF!</v>
      </c>
    </row>
    <row r="265" spans="26:38">
      <c r="Z265" t="s">
        <v>1706</v>
      </c>
      <c r="AA265" s="99" t="str">
        <f t="shared" ref="AA265:AA328" si="6">"'"&amp;Z265&amp;"',"</f>
        <v>'31000318600907096000000000000000',</v>
      </c>
      <c r="AB265" s="99"/>
      <c r="AC265" s="99"/>
      <c r="AD265" s="99"/>
      <c r="AE265" s="99"/>
      <c r="AF265" s="99"/>
      <c r="AG265" t="s">
        <v>1707</v>
      </c>
      <c r="AH265" s="99" t="e">
        <f>VLOOKUP(AG265,#REF!,1,0)</f>
        <v>#REF!</v>
      </c>
      <c r="AI265" s="99"/>
      <c r="AJ265" s="99"/>
      <c r="AK265" t="s">
        <v>1708</v>
      </c>
      <c r="AL265" s="99" t="e">
        <f>VLOOKUP(AK265,#REF!,1,0)</f>
        <v>#REF!</v>
      </c>
    </row>
    <row r="266" spans="26:38">
      <c r="Z266" t="s">
        <v>1709</v>
      </c>
      <c r="AA266" s="99" t="str">
        <f t="shared" si="6"/>
        <v>'31000321510201020000000000000000',</v>
      </c>
      <c r="AB266" s="99"/>
      <c r="AC266" s="99"/>
      <c r="AD266" s="99"/>
      <c r="AE266" s="99"/>
      <c r="AF266" s="99"/>
      <c r="AG266" t="s">
        <v>1710</v>
      </c>
      <c r="AH266" s="99" t="e">
        <f>VLOOKUP(AG266,#REF!,1,0)</f>
        <v>#REF!</v>
      </c>
      <c r="AI266" s="99"/>
      <c r="AJ266" s="99"/>
      <c r="AK266" t="s">
        <v>1711</v>
      </c>
      <c r="AL266" s="99" t="e">
        <f>VLOOKUP(AK266,#REF!,1,0)</f>
        <v>#REF!</v>
      </c>
    </row>
    <row r="267" spans="26:38">
      <c r="Z267" t="s">
        <v>1712</v>
      </c>
      <c r="AA267" s="99" t="str">
        <f t="shared" si="6"/>
        <v>'31000335878883020000000000000000',</v>
      </c>
      <c r="AB267" s="99"/>
      <c r="AC267" s="99"/>
      <c r="AD267" s="99"/>
      <c r="AE267" s="99"/>
      <c r="AF267" s="99"/>
      <c r="AG267" t="s">
        <v>1713</v>
      </c>
      <c r="AH267" s="99" t="e">
        <f>VLOOKUP(AG267,#REF!,1,0)</f>
        <v>#REF!</v>
      </c>
      <c r="AI267" s="99"/>
      <c r="AJ267" s="99"/>
      <c r="AK267" t="s">
        <v>1714</v>
      </c>
      <c r="AL267" s="99" t="e">
        <f>VLOOKUP(AK267,#REF!,1,0)</f>
        <v>#REF!</v>
      </c>
    </row>
    <row r="268" spans="26:38">
      <c r="Z268" t="s">
        <v>1715</v>
      </c>
      <c r="AA268" s="99" t="str">
        <f t="shared" si="6"/>
        <v>'31000331964299020000000000000000',</v>
      </c>
      <c r="AB268" s="99"/>
      <c r="AC268" s="99"/>
      <c r="AD268" s="99"/>
      <c r="AE268" s="99"/>
      <c r="AF268" s="99"/>
      <c r="AG268" t="s">
        <v>1716</v>
      </c>
      <c r="AH268" s="99" t="e">
        <f>VLOOKUP(AG268,#REF!,1,0)</f>
        <v>#REF!</v>
      </c>
      <c r="AI268" s="99"/>
      <c r="AJ268" s="99"/>
      <c r="AK268" t="s">
        <v>1717</v>
      </c>
      <c r="AL268" s="99" t="e">
        <f>VLOOKUP(AK268,#REF!,1,0)</f>
        <v>#REF!</v>
      </c>
    </row>
    <row r="269" spans="26:38">
      <c r="Z269" t="s">
        <v>1718</v>
      </c>
      <c r="AA269" s="99" t="str">
        <f t="shared" si="6"/>
        <v>'31212702436157020000000000000000',</v>
      </c>
      <c r="AB269" s="99"/>
      <c r="AC269" s="99"/>
      <c r="AD269" s="99"/>
      <c r="AE269" s="99"/>
      <c r="AF269" s="99"/>
      <c r="AG269" t="s">
        <v>1719</v>
      </c>
      <c r="AH269" s="99" t="e">
        <f>VLOOKUP(AG269,#REF!,1,0)</f>
        <v>#REF!</v>
      </c>
      <c r="AI269" s="99"/>
      <c r="AJ269" s="99"/>
      <c r="AK269" t="s">
        <v>1397</v>
      </c>
      <c r="AL269" s="99" t="e">
        <f>VLOOKUP(AK269,#REF!,1,0)</f>
        <v>#REF!</v>
      </c>
    </row>
    <row r="270" spans="26:38">
      <c r="Z270" t="s">
        <v>1720</v>
      </c>
      <c r="AA270" s="99" t="str">
        <f t="shared" si="6"/>
        <v>'31000315022147096000000000000000',</v>
      </c>
      <c r="AB270" s="99"/>
      <c r="AC270" s="99"/>
      <c r="AD270" s="99"/>
      <c r="AE270" s="99"/>
      <c r="AF270" s="99"/>
      <c r="AG270" t="s">
        <v>1721</v>
      </c>
      <c r="AH270" s="99" t="e">
        <f>VLOOKUP(AG270,#REF!,1,0)</f>
        <v>#REF!</v>
      </c>
      <c r="AI270" s="99"/>
      <c r="AJ270" s="99"/>
      <c r="AK270" t="s">
        <v>1722</v>
      </c>
      <c r="AL270" s="99" t="e">
        <f>VLOOKUP(AK270,#REF!,1,0)</f>
        <v>#REF!</v>
      </c>
    </row>
    <row r="271" spans="26:38">
      <c r="Z271" t="s">
        <v>1723</v>
      </c>
      <c r="AA271" s="99" t="str">
        <f t="shared" si="6"/>
        <v>'31000335065416020000000000000000',</v>
      </c>
      <c r="AB271" s="99"/>
      <c r="AC271" s="99"/>
      <c r="AD271" s="99"/>
      <c r="AE271" s="99"/>
      <c r="AF271" s="99"/>
      <c r="AG271" t="s">
        <v>1724</v>
      </c>
      <c r="AH271" s="99" t="e">
        <f>VLOOKUP(AG271,#REF!,1,0)</f>
        <v>#REF!</v>
      </c>
      <c r="AI271" s="99"/>
      <c r="AJ271" s="99"/>
      <c r="AK271" t="s">
        <v>1725</v>
      </c>
      <c r="AL271" s="99" t="e">
        <f>VLOOKUP(AK271,#REF!,1,0)</f>
        <v>#REF!</v>
      </c>
    </row>
    <row r="272" spans="26:38">
      <c r="Z272" t="s">
        <v>1726</v>
      </c>
      <c r="AA272" s="99" t="str">
        <f t="shared" si="6"/>
        <v>'31237703468523020000000000000000',</v>
      </c>
      <c r="AB272" s="99"/>
      <c r="AC272" s="99"/>
      <c r="AD272" s="99"/>
      <c r="AE272" s="99"/>
      <c r="AF272" s="99"/>
      <c r="AG272" t="s">
        <v>1727</v>
      </c>
      <c r="AH272" s="99" t="e">
        <f>VLOOKUP(AG272,#REF!,1,0)</f>
        <v>#REF!</v>
      </c>
      <c r="AI272" s="99"/>
      <c r="AJ272" s="99"/>
      <c r="AK272" t="s">
        <v>1728</v>
      </c>
      <c r="AL272" s="99" t="e">
        <f>VLOOKUP(AK272,#REF!,1,0)</f>
        <v>#REF!</v>
      </c>
    </row>
    <row r="273" spans="26:38">
      <c r="Z273" t="s">
        <v>1663</v>
      </c>
      <c r="AA273" s="99" t="str">
        <f t="shared" si="6"/>
        <v>'31000343791417020000000000000000',</v>
      </c>
      <c r="AB273" s="99"/>
      <c r="AC273" s="99"/>
      <c r="AD273" s="99"/>
      <c r="AE273" s="99"/>
      <c r="AF273" s="99"/>
      <c r="AG273" t="s">
        <v>1729</v>
      </c>
      <c r="AH273" s="99" t="e">
        <f>VLOOKUP(AG273,#REF!,1,0)</f>
        <v>#REF!</v>
      </c>
      <c r="AI273" s="99"/>
      <c r="AJ273" s="99"/>
      <c r="AK273" t="s">
        <v>1730</v>
      </c>
      <c r="AL273" s="99" t="e">
        <f>VLOOKUP(AK273,#REF!,1,0)</f>
        <v>#REF!</v>
      </c>
    </row>
    <row r="274" spans="26:38">
      <c r="Z274" t="s">
        <v>1731</v>
      </c>
      <c r="AA274" s="99" t="str">
        <f t="shared" si="6"/>
        <v>'31000321782248020000000000000000',</v>
      </c>
      <c r="AB274" s="99"/>
      <c r="AC274" s="99"/>
      <c r="AD274" s="99"/>
      <c r="AE274" s="99"/>
      <c r="AF274" s="99"/>
      <c r="AG274" t="s">
        <v>1732</v>
      </c>
      <c r="AH274" s="99" t="e">
        <f>VLOOKUP(AG274,#REF!,1,0)</f>
        <v>#REF!</v>
      </c>
      <c r="AI274" s="99"/>
      <c r="AJ274" s="99"/>
      <c r="AK274" t="s">
        <v>1733</v>
      </c>
      <c r="AL274" s="99" t="e">
        <f>VLOOKUP(AK274,#REF!,1,0)</f>
        <v>#REF!</v>
      </c>
    </row>
    <row r="275" spans="26:38">
      <c r="Z275" t="s">
        <v>1734</v>
      </c>
      <c r="AA275" s="99" t="str">
        <f t="shared" si="6"/>
        <v>'31000351461762020000000000000000',</v>
      </c>
      <c r="AB275" s="99"/>
      <c r="AC275" s="99"/>
      <c r="AD275" s="99"/>
      <c r="AE275" s="99"/>
      <c r="AF275" s="99"/>
      <c r="AG275" t="s">
        <v>1735</v>
      </c>
      <c r="AH275" s="99" t="e">
        <f>VLOOKUP(AG275,#REF!,1,0)</f>
        <v>#REF!</v>
      </c>
      <c r="AI275" s="99"/>
      <c r="AJ275" s="99"/>
      <c r="AK275" t="s">
        <v>1736</v>
      </c>
      <c r="AL275" s="99" t="e">
        <f>VLOOKUP(AK275,#REF!,1,0)</f>
        <v>#REF!</v>
      </c>
    </row>
    <row r="276" spans="26:38">
      <c r="Z276" t="s">
        <v>1737</v>
      </c>
      <c r="AA276" s="99" t="str">
        <f t="shared" si="6"/>
        <v>'31000352616521020000000000000000',</v>
      </c>
      <c r="AB276" s="99"/>
      <c r="AC276" s="99"/>
      <c r="AD276" s="99"/>
      <c r="AE276" s="99"/>
      <c r="AF276" s="99"/>
      <c r="AG276" t="s">
        <v>1738</v>
      </c>
      <c r="AH276" s="99" t="e">
        <f>VLOOKUP(AG276,#REF!,1,0)</f>
        <v>#REF!</v>
      </c>
      <c r="AI276" s="99"/>
      <c r="AJ276" s="99"/>
      <c r="AK276" t="s">
        <v>1739</v>
      </c>
      <c r="AL276" s="99" t="e">
        <f>VLOOKUP(AK276,#REF!,1,0)</f>
        <v>#REF!</v>
      </c>
    </row>
    <row r="277" spans="26:38">
      <c r="Z277" t="s">
        <v>1740</v>
      </c>
      <c r="AA277" s="99" t="str">
        <f t="shared" si="6"/>
        <v>'31003184870890011666837500000001',</v>
      </c>
      <c r="AB277" s="99"/>
      <c r="AC277" s="99"/>
      <c r="AD277" s="99"/>
      <c r="AE277" s="99"/>
      <c r="AF277" s="99"/>
      <c r="AG277" t="s">
        <v>1741</v>
      </c>
      <c r="AH277" s="99" t="e">
        <f>VLOOKUP(AG277,#REF!,1,0)</f>
        <v>#REF!</v>
      </c>
      <c r="AI277" s="99"/>
      <c r="AJ277" s="99"/>
      <c r="AK277" t="s">
        <v>1177</v>
      </c>
      <c r="AL277" s="99" t="e">
        <f>VLOOKUP(AK277,#REF!,1,0)</f>
        <v>#REF!</v>
      </c>
    </row>
    <row r="278" spans="26:38">
      <c r="Z278" t="s">
        <v>1742</v>
      </c>
      <c r="AA278" s="99" t="str">
        <f t="shared" si="6"/>
        <v>'31000325616319020000000000000000',</v>
      </c>
      <c r="AB278" s="99"/>
      <c r="AC278" s="99"/>
      <c r="AD278" s="99"/>
      <c r="AE278" s="99"/>
      <c r="AF278" s="99"/>
      <c r="AG278" t="s">
        <v>1743</v>
      </c>
      <c r="AH278" s="99" t="e">
        <f>VLOOKUP(AG278,#REF!,1,0)</f>
        <v>#REF!</v>
      </c>
      <c r="AI278" s="99"/>
      <c r="AJ278" s="99"/>
      <c r="AK278" t="s">
        <v>1744</v>
      </c>
      <c r="AL278" s="99" t="e">
        <f>VLOOKUP(AK278,#REF!,1,0)</f>
        <v>#REF!</v>
      </c>
    </row>
    <row r="279" spans="26:38">
      <c r="Z279" t="s">
        <v>1672</v>
      </c>
      <c r="AA279" s="99" t="str">
        <f t="shared" si="6"/>
        <v>'31000329365509020000000000000000',</v>
      </c>
      <c r="AB279" s="99"/>
      <c r="AC279" s="99"/>
      <c r="AD279" s="99"/>
      <c r="AE279" s="99"/>
      <c r="AF279" s="99"/>
      <c r="AG279" t="s">
        <v>1745</v>
      </c>
      <c r="AH279" s="99" t="e">
        <f>VLOOKUP(AG279,#REF!,1,0)</f>
        <v>#REF!</v>
      </c>
      <c r="AI279" s="99"/>
      <c r="AJ279" s="99"/>
      <c r="AK279" t="s">
        <v>1746</v>
      </c>
      <c r="AL279" s="99" t="e">
        <f>VLOOKUP(AK279,#REF!,1,0)</f>
        <v>#REF!</v>
      </c>
    </row>
    <row r="280" spans="26:38">
      <c r="Z280" t="s">
        <v>1747</v>
      </c>
      <c r="AA280" s="99" t="str">
        <f t="shared" si="6"/>
        <v>'31000341724352020000000000000000',</v>
      </c>
      <c r="AB280" s="99"/>
      <c r="AC280" s="99"/>
      <c r="AD280" s="99"/>
      <c r="AE280" s="99"/>
      <c r="AF280" s="99"/>
      <c r="AG280" t="s">
        <v>1748</v>
      </c>
      <c r="AH280" s="99" t="e">
        <f>VLOOKUP(AG280,#REF!,1,0)</f>
        <v>#REF!</v>
      </c>
      <c r="AI280" s="99"/>
      <c r="AJ280" s="99"/>
      <c r="AK280" t="s">
        <v>1522</v>
      </c>
      <c r="AL280" s="99" t="e">
        <f>VLOOKUP(AK280,#REF!,1,0)</f>
        <v>#REF!</v>
      </c>
    </row>
    <row r="281" spans="26:38">
      <c r="Z281" t="s">
        <v>1749</v>
      </c>
      <c r="AA281" s="99" t="str">
        <f t="shared" si="6"/>
        <v>'31000340737322020000000000000000',</v>
      </c>
      <c r="AB281" s="99"/>
      <c r="AC281" s="99"/>
      <c r="AD281" s="99"/>
      <c r="AE281" s="99"/>
      <c r="AF281" s="99"/>
      <c r="AG281" t="s">
        <v>1750</v>
      </c>
      <c r="AH281" s="99" t="e">
        <f>VLOOKUP(AG281,#REF!,1,0)</f>
        <v>#REF!</v>
      </c>
      <c r="AI281" s="99"/>
      <c r="AJ281" s="99"/>
      <c r="AK281" t="s">
        <v>1573</v>
      </c>
      <c r="AL281" s="99" t="e">
        <f>VLOOKUP(AK281,#REF!,1,0)</f>
        <v>#REF!</v>
      </c>
    </row>
    <row r="282" spans="26:38">
      <c r="Z282" t="s">
        <v>1751</v>
      </c>
      <c r="AA282" s="99" t="str">
        <f t="shared" si="6"/>
        <v>'31000352310539020000000000000000',</v>
      </c>
      <c r="AB282" s="99"/>
      <c r="AC282" s="99"/>
      <c r="AD282" s="99"/>
      <c r="AE282" s="99"/>
      <c r="AF282" s="99"/>
      <c r="AG282" t="s">
        <v>1752</v>
      </c>
      <c r="AH282" s="99" t="e">
        <f>VLOOKUP(AG282,#REF!,1,0)</f>
        <v>#REF!</v>
      </c>
      <c r="AI282" s="99"/>
      <c r="AJ282" s="99"/>
      <c r="AK282" t="s">
        <v>1603</v>
      </c>
      <c r="AL282" s="99" t="e">
        <f>VLOOKUP(AK282,#REF!,1,0)</f>
        <v>#REF!</v>
      </c>
    </row>
    <row r="283" spans="26:38">
      <c r="Z283" t="s">
        <v>1208</v>
      </c>
      <c r="AA283" s="99" t="str">
        <f t="shared" si="6"/>
        <v>'31005125118620011678229400000001',</v>
      </c>
      <c r="AB283" s="99"/>
      <c r="AC283" s="99"/>
      <c r="AD283" s="99"/>
      <c r="AE283" s="99"/>
      <c r="AF283" s="99"/>
      <c r="AG283" t="s">
        <v>1753</v>
      </c>
      <c r="AH283" s="99" t="e">
        <f>VLOOKUP(AG283,#REF!,1,0)</f>
        <v>#REF!</v>
      </c>
      <c r="AI283" s="99"/>
      <c r="AJ283" s="99"/>
      <c r="AK283" t="s">
        <v>1586</v>
      </c>
      <c r="AL283" s="99" t="e">
        <f>VLOOKUP(AK283,#REF!,1,0)</f>
        <v>#REF!</v>
      </c>
    </row>
    <row r="284" spans="26:38">
      <c r="Z284" t="s">
        <v>1596</v>
      </c>
      <c r="AA284" s="99" t="str">
        <f t="shared" si="6"/>
        <v>'31000310522253090069729980100000',</v>
      </c>
      <c r="AB284" s="99"/>
      <c r="AC284" s="99"/>
      <c r="AD284" s="99"/>
      <c r="AE284" s="99"/>
      <c r="AF284" s="99"/>
      <c r="AG284" t="s">
        <v>1754</v>
      </c>
      <c r="AH284" s="99" t="e">
        <f>VLOOKUP(AG284,#REF!,1,0)</f>
        <v>#REF!</v>
      </c>
      <c r="AI284" s="99"/>
      <c r="AJ284" s="99"/>
      <c r="AK284" t="s">
        <v>1755</v>
      </c>
      <c r="AL284" s="99" t="e">
        <f>VLOOKUP(AK284,#REF!,1,0)</f>
        <v>#REF!</v>
      </c>
    </row>
    <row r="285" spans="26:38">
      <c r="Z285" t="s">
        <v>1756</v>
      </c>
      <c r="AA285" s="99" t="str">
        <f t="shared" si="6"/>
        <v>'31000806639396020000000000000000',</v>
      </c>
      <c r="AB285" s="99"/>
      <c r="AC285" s="99"/>
      <c r="AD285" s="99"/>
      <c r="AE285" s="99"/>
      <c r="AF285" s="99"/>
      <c r="AG285" t="s">
        <v>1757</v>
      </c>
      <c r="AH285" s="99" t="e">
        <f>VLOOKUP(AG285,#REF!,1,0)</f>
        <v>#REF!</v>
      </c>
      <c r="AI285" s="99"/>
      <c r="AJ285" s="99"/>
      <c r="AK285" t="s">
        <v>1589</v>
      </c>
      <c r="AL285" s="99" t="e">
        <f>VLOOKUP(AK285,#REF!,1,0)</f>
        <v>#REF!</v>
      </c>
    </row>
    <row r="286" spans="26:38">
      <c r="Z286" t="s">
        <v>1299</v>
      </c>
      <c r="AA286" s="99" t="str">
        <f t="shared" si="6"/>
        <v>'31000345086758020000000000000000',</v>
      </c>
      <c r="AB286" s="99"/>
      <c r="AC286" s="99"/>
      <c r="AD286" s="99"/>
      <c r="AE286" s="99"/>
      <c r="AF286" s="99"/>
      <c r="AG286" t="s">
        <v>1758</v>
      </c>
      <c r="AH286" s="99" t="e">
        <f>VLOOKUP(AG286,#REF!,1,0)</f>
        <v>#REF!</v>
      </c>
      <c r="AI286" s="99"/>
      <c r="AJ286" s="99"/>
      <c r="AK286" t="s">
        <v>915</v>
      </c>
      <c r="AL286" s="99" t="e">
        <f>VLOOKUP(AK286,#REF!,1,0)</f>
        <v>#REF!</v>
      </c>
    </row>
    <row r="287" spans="26:38">
      <c r="Z287" t="s">
        <v>1759</v>
      </c>
      <c r="AA287" s="99" t="str">
        <f t="shared" si="6"/>
        <v>'31005122230480011717269100000001',</v>
      </c>
      <c r="AB287" s="99"/>
      <c r="AC287" s="99"/>
      <c r="AD287" s="99"/>
      <c r="AE287" s="99"/>
      <c r="AF287" s="99"/>
      <c r="AG287" t="s">
        <v>1760</v>
      </c>
      <c r="AH287" s="99" t="e">
        <f>VLOOKUP(AG287,#REF!,1,0)</f>
        <v>#REF!</v>
      </c>
      <c r="AI287" s="99"/>
      <c r="AJ287" s="99"/>
      <c r="AK287" t="s">
        <v>1761</v>
      </c>
      <c r="AL287" s="99" t="e">
        <f>VLOOKUP(AK287,#REF!,1,0)</f>
        <v>#REF!</v>
      </c>
    </row>
    <row r="288" spans="26:38">
      <c r="Z288" t="s">
        <v>1762</v>
      </c>
      <c r="AA288" s="99" t="str">
        <f t="shared" si="6"/>
        <v>'31003191838470011690612200000001',</v>
      </c>
      <c r="AB288" s="99"/>
      <c r="AC288" s="99"/>
      <c r="AD288" s="99"/>
      <c r="AE288" s="99"/>
      <c r="AF288" s="99"/>
      <c r="AG288" t="s">
        <v>1763</v>
      </c>
      <c r="AH288" s="99" t="e">
        <f>VLOOKUP(AG288,#REF!,1,0)</f>
        <v>#REF!</v>
      </c>
      <c r="AI288" s="99"/>
      <c r="AJ288" s="99"/>
      <c r="AK288" t="s">
        <v>1075</v>
      </c>
      <c r="AL288" s="99" t="e">
        <f>VLOOKUP(AK288,#REF!,1,0)</f>
        <v>#REF!</v>
      </c>
    </row>
    <row r="289" spans="26:38">
      <c r="Z289" t="s">
        <v>1764</v>
      </c>
      <c r="AA289" s="99" t="str">
        <f t="shared" si="6"/>
        <v>'31000353428439020000000000000000',</v>
      </c>
      <c r="AB289" s="99"/>
      <c r="AC289" s="99"/>
      <c r="AD289" s="99"/>
      <c r="AE289" s="99"/>
      <c r="AF289" s="99"/>
      <c r="AG289" t="s">
        <v>1765</v>
      </c>
      <c r="AH289" s="99" t="e">
        <f>VLOOKUP(AG289,#REF!,1,0)</f>
        <v>#REF!</v>
      </c>
      <c r="AI289" s="99"/>
      <c r="AJ289" s="99"/>
      <c r="AK289" t="s">
        <v>1144</v>
      </c>
      <c r="AL289" s="99" t="e">
        <f>VLOOKUP(AK289,#REF!,1,0)</f>
        <v>#REF!</v>
      </c>
    </row>
    <row r="290" spans="26:38">
      <c r="Z290" t="s">
        <v>1766</v>
      </c>
      <c r="AA290" s="99" t="str">
        <f t="shared" si="6"/>
        <v>'31218802058870020000000000000000',</v>
      </c>
      <c r="AB290" s="99"/>
      <c r="AC290" s="99"/>
      <c r="AD290" s="99"/>
      <c r="AE290" s="99"/>
      <c r="AF290" s="99"/>
      <c r="AG290" t="s">
        <v>1767</v>
      </c>
      <c r="AH290" s="99" t="e">
        <f>VLOOKUP(AG290,#REF!,1,0)</f>
        <v>#REF!</v>
      </c>
      <c r="AI290" s="99"/>
      <c r="AJ290" s="99"/>
      <c r="AK290" t="s">
        <v>1462</v>
      </c>
      <c r="AL290" s="99" t="e">
        <f>VLOOKUP(AK290,#REF!,1,0)</f>
        <v>#REF!</v>
      </c>
    </row>
    <row r="291" spans="26:38">
      <c r="Z291" t="s">
        <v>1768</v>
      </c>
      <c r="AA291" s="99" t="str">
        <f t="shared" si="6"/>
        <v>'31000349765399020000000000000000',</v>
      </c>
      <c r="AB291" s="99"/>
      <c r="AC291" s="99"/>
      <c r="AD291" s="99"/>
      <c r="AE291" s="99"/>
      <c r="AF291" s="99"/>
      <c r="AG291" t="s">
        <v>1769</v>
      </c>
      <c r="AH291" s="99" t="e">
        <f>VLOOKUP(AG291,#REF!,1,0)</f>
        <v>#REF!</v>
      </c>
      <c r="AI291" s="99"/>
      <c r="AJ291" s="99"/>
      <c r="AK291" t="s">
        <v>1111</v>
      </c>
      <c r="AL291" s="99" t="e">
        <f>VLOOKUP(AK291,#REF!,1,0)</f>
        <v>#REF!</v>
      </c>
    </row>
    <row r="292" spans="26:38">
      <c r="Z292" t="s">
        <v>1770</v>
      </c>
      <c r="AA292" s="99" t="str">
        <f t="shared" si="6"/>
        <v>'31000348909170020000000000000000',</v>
      </c>
      <c r="AB292" s="99"/>
      <c r="AC292" s="99"/>
      <c r="AD292" s="99"/>
      <c r="AE292" s="99"/>
      <c r="AF292" s="99"/>
      <c r="AG292" t="s">
        <v>1771</v>
      </c>
      <c r="AH292" s="99" t="e">
        <f>VLOOKUP(AG292,#REF!,1,0)</f>
        <v>#REF!</v>
      </c>
      <c r="AI292" s="99"/>
      <c r="AJ292" s="99"/>
      <c r="AK292" t="s">
        <v>1152</v>
      </c>
      <c r="AL292" s="99" t="e">
        <f>VLOOKUP(AK292,#REF!,1,0)</f>
        <v>#REF!</v>
      </c>
    </row>
    <row r="293" spans="26:38">
      <c r="Z293" t="s">
        <v>1772</v>
      </c>
      <c r="AA293" s="99" t="str">
        <f t="shared" si="6"/>
        <v>'31000349491046020000000000000000',</v>
      </c>
      <c r="AB293" s="99"/>
      <c r="AC293" s="99"/>
      <c r="AD293" s="99"/>
      <c r="AE293" s="99"/>
      <c r="AF293" s="99"/>
      <c r="AG293" t="s">
        <v>1773</v>
      </c>
      <c r="AH293" s="99" t="e">
        <f>VLOOKUP(AG293,#REF!,1,0)</f>
        <v>#REF!</v>
      </c>
      <c r="AI293" s="99"/>
      <c r="AJ293" s="99"/>
      <c r="AK293" t="s">
        <v>1774</v>
      </c>
      <c r="AL293" s="99" t="e">
        <f>VLOOKUP(AK293,#REF!,1,0)</f>
        <v>#REF!</v>
      </c>
    </row>
    <row r="294" spans="26:38">
      <c r="Z294" t="s">
        <v>1775</v>
      </c>
      <c r="AA294" s="99" t="str">
        <f t="shared" si="6"/>
        <v>'31000351672236020000000000000000',</v>
      </c>
      <c r="AB294" s="99"/>
      <c r="AC294" s="99"/>
      <c r="AD294" s="99"/>
      <c r="AE294" s="99"/>
      <c r="AF294" s="99"/>
      <c r="AG294" t="s">
        <v>1776</v>
      </c>
      <c r="AH294" s="99" t="e">
        <f>VLOOKUP(AG294,#REF!,1,0)</f>
        <v>#REF!</v>
      </c>
      <c r="AI294" s="99"/>
      <c r="AJ294" s="99"/>
      <c r="AK294" t="s">
        <v>1777</v>
      </c>
      <c r="AL294" s="99" t="e">
        <f>VLOOKUP(AK294,#REF!,1,0)</f>
        <v>#REF!</v>
      </c>
    </row>
    <row r="295" spans="26:38">
      <c r="Z295" t="s">
        <v>1778</v>
      </c>
      <c r="AA295" s="99" t="str">
        <f t="shared" si="6"/>
        <v>'31000334231605020000000000000000',</v>
      </c>
      <c r="AB295" s="99"/>
      <c r="AC295" s="99"/>
      <c r="AD295" s="99"/>
      <c r="AE295" s="99"/>
      <c r="AF295" s="99"/>
      <c r="AG295" t="s">
        <v>1779</v>
      </c>
      <c r="AH295" s="99" t="e">
        <f>VLOOKUP(AG295,#REF!,1,0)</f>
        <v>#REF!</v>
      </c>
      <c r="AI295" s="99"/>
      <c r="AJ295" s="99"/>
      <c r="AK295" t="s">
        <v>1780</v>
      </c>
      <c r="AL295" s="99" t="e">
        <f>VLOOKUP(AK295,#REF!,1,0)</f>
        <v>#REF!</v>
      </c>
    </row>
    <row r="296" spans="26:38">
      <c r="Z296" t="s">
        <v>1781</v>
      </c>
      <c r="AA296" s="99" t="str">
        <f t="shared" si="6"/>
        <v>'31000338777710020000000000000000',</v>
      </c>
      <c r="AB296" s="99"/>
      <c r="AC296" s="99"/>
      <c r="AD296" s="99"/>
      <c r="AE296" s="99"/>
      <c r="AF296" s="99"/>
      <c r="AG296" t="s">
        <v>1782</v>
      </c>
      <c r="AH296" s="99" t="e">
        <f>VLOOKUP(AG296,#REF!,1,0)</f>
        <v>#REF!</v>
      </c>
      <c r="AI296" s="99"/>
      <c r="AJ296" s="99"/>
      <c r="AK296" t="s">
        <v>1157</v>
      </c>
      <c r="AL296" s="99" t="e">
        <f>VLOOKUP(AK296,#REF!,1,0)</f>
        <v>#REF!</v>
      </c>
    </row>
    <row r="297" spans="26:38">
      <c r="Z297" t="s">
        <v>1783</v>
      </c>
      <c r="AA297" s="99" t="str">
        <f t="shared" si="6"/>
        <v>'31000351723807020000000000000000',</v>
      </c>
      <c r="AB297" s="99"/>
      <c r="AC297" s="99"/>
      <c r="AD297" s="99"/>
      <c r="AE297" s="99"/>
      <c r="AF297" s="99"/>
      <c r="AG297" t="s">
        <v>1784</v>
      </c>
      <c r="AH297" s="99" t="e">
        <f>VLOOKUP(AG297,#REF!,1,0)</f>
        <v>#REF!</v>
      </c>
      <c r="AI297" s="99"/>
      <c r="AJ297" s="99"/>
      <c r="AK297" t="s">
        <v>1521</v>
      </c>
      <c r="AL297" s="99" t="e">
        <f>VLOOKUP(AK297,#REF!,1,0)</f>
        <v>#REF!</v>
      </c>
    </row>
    <row r="298" spans="26:38">
      <c r="Z298" t="s">
        <v>1785</v>
      </c>
      <c r="AA298" s="99" t="str">
        <f t="shared" si="6"/>
        <v>'31000353141511020000000000000000',</v>
      </c>
      <c r="AB298" s="99"/>
      <c r="AC298" s="99"/>
      <c r="AD298" s="99"/>
      <c r="AE298" s="99"/>
      <c r="AF298" s="99"/>
      <c r="AG298" t="s">
        <v>1786</v>
      </c>
      <c r="AH298" s="99" t="e">
        <f>VLOOKUP(AG298,#REF!,1,0)</f>
        <v>#REF!</v>
      </c>
      <c r="AI298" s="99"/>
      <c r="AJ298" s="99"/>
      <c r="AK298" t="s">
        <v>1787</v>
      </c>
      <c r="AL298" s="99" t="e">
        <f>VLOOKUP(AK298,#REF!,1,0)</f>
        <v>#REF!</v>
      </c>
    </row>
    <row r="299" spans="26:38">
      <c r="Z299" t="s">
        <v>1273</v>
      </c>
      <c r="AA299" s="99" t="str">
        <f t="shared" si="6"/>
        <v>'31000323948516020000000000000000',</v>
      </c>
      <c r="AB299" s="99"/>
      <c r="AC299" s="99"/>
      <c r="AD299" s="99"/>
      <c r="AE299" s="99"/>
      <c r="AF299" s="99"/>
      <c r="AG299" t="s">
        <v>1788</v>
      </c>
      <c r="AH299" s="99" t="e">
        <f>VLOOKUP(AG299,#REF!,1,0)</f>
        <v>#REF!</v>
      </c>
      <c r="AI299" s="99"/>
      <c r="AJ299" s="99"/>
      <c r="AK299" t="s">
        <v>1789</v>
      </c>
      <c r="AL299" s="99" t="e">
        <f>VLOOKUP(AK299,#REF!,1,0)</f>
        <v>#REF!</v>
      </c>
    </row>
    <row r="300" spans="26:38">
      <c r="Z300" t="s">
        <v>1790</v>
      </c>
      <c r="AA300" s="99" t="str">
        <f t="shared" si="6"/>
        <v>'31000351980845020000000000000000',</v>
      </c>
      <c r="AB300" s="99"/>
      <c r="AC300" s="99"/>
      <c r="AD300" s="99"/>
      <c r="AE300" s="99"/>
      <c r="AF300" s="99"/>
      <c r="AG300" t="s">
        <v>1791</v>
      </c>
      <c r="AH300" s="99" t="e">
        <f>VLOOKUP(AG300,#REF!,1,0)</f>
        <v>#REF!</v>
      </c>
      <c r="AI300" s="99"/>
      <c r="AJ300" s="99"/>
      <c r="AK300" t="s">
        <v>1792</v>
      </c>
      <c r="AL300" s="99" t="e">
        <f>VLOOKUP(AK300,#REF!,1,0)</f>
        <v>#REF!</v>
      </c>
    </row>
    <row r="301" spans="26:38">
      <c r="Z301" t="s">
        <v>1793</v>
      </c>
      <c r="AA301" s="99" t="str">
        <f t="shared" si="6"/>
        <v>'31000354874250020000000000000000',</v>
      </c>
      <c r="AB301" s="99"/>
      <c r="AC301" s="99"/>
      <c r="AD301" s="99"/>
      <c r="AE301" s="99"/>
      <c r="AF301" s="99"/>
      <c r="AG301" t="s">
        <v>1794</v>
      </c>
      <c r="AH301" s="99" t="e">
        <f>VLOOKUP(AG301,#REF!,1,0)</f>
        <v>#REF!</v>
      </c>
      <c r="AI301" s="99"/>
      <c r="AJ301" s="99"/>
      <c r="AK301" t="s">
        <v>1795</v>
      </c>
      <c r="AL301" s="99" t="e">
        <f>VLOOKUP(AK301,#REF!,1,0)</f>
        <v>#REF!</v>
      </c>
    </row>
    <row r="302" spans="26:38">
      <c r="Z302" t="s">
        <v>1010</v>
      </c>
      <c r="AA302" s="99" t="str">
        <f t="shared" si="6"/>
        <v>'31000801037728096000000000000000',</v>
      </c>
      <c r="AB302" s="99"/>
      <c r="AC302" s="99"/>
      <c r="AD302" s="99"/>
      <c r="AE302" s="99"/>
      <c r="AF302" s="99"/>
      <c r="AG302" t="s">
        <v>1796</v>
      </c>
      <c r="AH302" s="99" t="e">
        <f>VLOOKUP(AG302,#REF!,1,0)</f>
        <v>#REF!</v>
      </c>
      <c r="AI302" s="99"/>
      <c r="AJ302" s="99"/>
      <c r="AK302" t="s">
        <v>1797</v>
      </c>
      <c r="AL302" s="99" t="e">
        <f>VLOOKUP(AK302,#REF!,1,0)</f>
        <v>#REF!</v>
      </c>
    </row>
    <row r="303" spans="26:38">
      <c r="Z303" t="s">
        <v>1798</v>
      </c>
      <c r="AA303" s="99" t="str">
        <f t="shared" si="6"/>
        <v>'31000352064425020000000000000000',</v>
      </c>
      <c r="AB303" s="99"/>
      <c r="AC303" s="99"/>
      <c r="AD303" s="99"/>
      <c r="AE303" s="99"/>
      <c r="AF303" s="99"/>
      <c r="AG303" t="s">
        <v>1799</v>
      </c>
      <c r="AH303" s="99" t="e">
        <f>VLOOKUP(AG303,#REF!,1,0)</f>
        <v>#REF!</v>
      </c>
      <c r="AI303" s="99"/>
      <c r="AJ303" s="99"/>
      <c r="AK303" t="s">
        <v>1736</v>
      </c>
      <c r="AL303" s="99" t="e">
        <f>VLOOKUP(AK303,#REF!,1,0)</f>
        <v>#REF!</v>
      </c>
    </row>
    <row r="304" spans="26:38">
      <c r="Z304" t="s">
        <v>1800</v>
      </c>
      <c r="AA304" s="99" t="str">
        <f t="shared" si="6"/>
        <v>'31000346995429020000000000000000',</v>
      </c>
      <c r="AB304" s="99"/>
      <c r="AC304" s="99"/>
      <c r="AD304" s="99"/>
      <c r="AE304" s="99"/>
      <c r="AF304" s="99"/>
      <c r="AG304" t="s">
        <v>1801</v>
      </c>
      <c r="AH304" s="99" t="e">
        <f>VLOOKUP(AG304,#REF!,1,0)</f>
        <v>#REF!</v>
      </c>
      <c r="AI304" s="99"/>
      <c r="AJ304" s="99"/>
      <c r="AK304" t="s">
        <v>1802</v>
      </c>
      <c r="AL304" s="99" t="e">
        <f>VLOOKUP(AK304,#REF!,1,0)</f>
        <v>#REF!</v>
      </c>
    </row>
    <row r="305" spans="26:38">
      <c r="Z305" t="s">
        <v>1803</v>
      </c>
      <c r="AA305" s="99" t="str">
        <f t="shared" si="6"/>
        <v>'31215104088790020000000000000000',</v>
      </c>
      <c r="AB305" s="99"/>
      <c r="AC305" s="99"/>
      <c r="AD305" s="99"/>
      <c r="AE305" s="99"/>
      <c r="AF305" s="99"/>
      <c r="AG305" t="s">
        <v>1804</v>
      </c>
      <c r="AH305" s="99" t="e">
        <f>VLOOKUP(AG305,#REF!,1,0)</f>
        <v>#REF!</v>
      </c>
      <c r="AI305" s="99"/>
      <c r="AJ305" s="99"/>
      <c r="AK305" t="s">
        <v>1805</v>
      </c>
      <c r="AL305" s="99" t="e">
        <f>VLOOKUP(AK305,#REF!,1,0)</f>
        <v>#REF!</v>
      </c>
    </row>
    <row r="306" spans="26:38">
      <c r="Z306" t="s">
        <v>1017</v>
      </c>
      <c r="AA306" s="99" t="str">
        <f t="shared" si="6"/>
        <v>'31000005882027001000000000000000',</v>
      </c>
      <c r="AB306" s="99"/>
      <c r="AC306" s="99"/>
      <c r="AD306" s="99"/>
      <c r="AE306" s="99"/>
      <c r="AF306" s="99"/>
      <c r="AG306" t="s">
        <v>1806</v>
      </c>
      <c r="AH306" s="99" t="e">
        <f>VLOOKUP(AG306,#REF!,1,0)</f>
        <v>#REF!</v>
      </c>
      <c r="AI306" s="99"/>
      <c r="AJ306" s="99"/>
      <c r="AK306" t="s">
        <v>1807</v>
      </c>
      <c r="AL306" s="99" t="e">
        <f>VLOOKUP(AK306,#REF!,1,0)</f>
        <v>#REF!</v>
      </c>
    </row>
    <row r="307" spans="26:38">
      <c r="Z307" t="s">
        <v>1279</v>
      </c>
      <c r="AA307" s="99" t="str">
        <f t="shared" si="6"/>
        <v>'31000009094126001000000000000000',</v>
      </c>
      <c r="AB307" s="99"/>
      <c r="AC307" s="99"/>
      <c r="AD307" s="99"/>
      <c r="AE307" s="99"/>
      <c r="AF307" s="99"/>
      <c r="AG307" t="s">
        <v>1808</v>
      </c>
      <c r="AH307" s="99" t="e">
        <f>VLOOKUP(AG307,#REF!,1,0)</f>
        <v>#REF!</v>
      </c>
      <c r="AI307" s="99"/>
      <c r="AJ307" s="99"/>
      <c r="AK307" t="s">
        <v>1809</v>
      </c>
      <c r="AL307" s="99" t="e">
        <f>VLOOKUP(AK307,#REF!,1,0)</f>
        <v>#REF!</v>
      </c>
    </row>
    <row r="308" spans="26:38">
      <c r="Z308" t="s">
        <v>1288</v>
      </c>
      <c r="AA308" s="99" t="str">
        <f t="shared" si="6"/>
        <v>'31000351847903020000000000000000',</v>
      </c>
      <c r="AB308" s="99"/>
      <c r="AC308" s="99"/>
      <c r="AD308" s="99"/>
      <c r="AE308" s="99"/>
      <c r="AF308" s="99"/>
      <c r="AG308" t="s">
        <v>1810</v>
      </c>
      <c r="AH308" s="99" t="e">
        <f>VLOOKUP(AG308,#REF!,1,0)</f>
        <v>#REF!</v>
      </c>
      <c r="AI308" s="99"/>
      <c r="AJ308" s="99"/>
      <c r="AK308" t="s">
        <v>1811</v>
      </c>
      <c r="AL308" s="99" t="e">
        <f>VLOOKUP(AK308,#REF!,1,0)</f>
        <v>#REF!</v>
      </c>
    </row>
    <row r="309" spans="26:38">
      <c r="Z309" t="s">
        <v>1180</v>
      </c>
      <c r="AA309" s="99" t="str">
        <f t="shared" si="6"/>
        <v>'31000326471839020000000000000000',</v>
      </c>
      <c r="AB309" s="99"/>
      <c r="AC309" s="99"/>
      <c r="AD309" s="99"/>
      <c r="AE309" s="99"/>
      <c r="AF309" s="99"/>
      <c r="AG309" t="s">
        <v>1812</v>
      </c>
      <c r="AH309" s="99" t="e">
        <f>VLOOKUP(AG309,#REF!,1,0)</f>
        <v>#REF!</v>
      </c>
      <c r="AI309" s="99"/>
      <c r="AJ309" s="99"/>
      <c r="AK309" t="s">
        <v>1813</v>
      </c>
      <c r="AL309" s="99" t="e">
        <f>VLOOKUP(AK309,#REF!,1,0)</f>
        <v>#REF!</v>
      </c>
    </row>
    <row r="310" spans="26:38">
      <c r="Z310" t="s">
        <v>1814</v>
      </c>
      <c r="AA310" s="99" t="str">
        <f t="shared" si="6"/>
        <v>'31000350952472020000000000000000',</v>
      </c>
      <c r="AB310" s="99"/>
      <c r="AC310" s="99"/>
      <c r="AD310" s="99"/>
      <c r="AE310" s="99"/>
      <c r="AF310" s="99"/>
      <c r="AG310" t="s">
        <v>1815</v>
      </c>
      <c r="AH310" s="99" t="e">
        <f>VLOOKUP(AG310,#REF!,1,0)</f>
        <v>#REF!</v>
      </c>
      <c r="AI310" s="99"/>
      <c r="AJ310" s="99"/>
      <c r="AK310" t="s">
        <v>1269</v>
      </c>
      <c r="AL310" s="99" t="e">
        <f>VLOOKUP(AK310,#REF!,1,0)</f>
        <v>#REF!</v>
      </c>
    </row>
    <row r="311" spans="26:38">
      <c r="Z311" t="s">
        <v>1816</v>
      </c>
      <c r="AA311" s="99" t="str">
        <f t="shared" si="6"/>
        <v>'31000351210185020000000000000000',</v>
      </c>
      <c r="AB311" s="99"/>
      <c r="AC311" s="99"/>
      <c r="AD311" s="99"/>
      <c r="AE311" s="99"/>
      <c r="AF311" s="99"/>
      <c r="AG311" t="s">
        <v>1817</v>
      </c>
      <c r="AH311" s="99" t="e">
        <f>VLOOKUP(AG311,#REF!,1,0)</f>
        <v>#REF!</v>
      </c>
      <c r="AI311" s="99"/>
      <c r="AJ311" s="99"/>
      <c r="AK311" t="s">
        <v>1818</v>
      </c>
      <c r="AL311" s="99" t="e">
        <f>VLOOKUP(AK311,#REF!,1,0)</f>
        <v>#REF!</v>
      </c>
    </row>
    <row r="312" spans="26:38">
      <c r="Z312" t="s">
        <v>1819</v>
      </c>
      <c r="AA312" s="99" t="str">
        <f t="shared" si="6"/>
        <v>'31000801547875020000000000000000',</v>
      </c>
      <c r="AB312" s="99"/>
      <c r="AC312" s="99"/>
      <c r="AD312" s="99"/>
      <c r="AE312" s="99"/>
      <c r="AF312" s="99"/>
      <c r="AG312" t="s">
        <v>1820</v>
      </c>
      <c r="AH312" s="99" t="e">
        <f>VLOOKUP(AG312,#REF!,1,0)</f>
        <v>#REF!</v>
      </c>
      <c r="AI312" s="99"/>
      <c r="AJ312" s="99"/>
      <c r="AK312" t="s">
        <v>1269</v>
      </c>
      <c r="AL312" s="99" t="e">
        <f>VLOOKUP(AK312,#REF!,1,0)</f>
        <v>#REF!</v>
      </c>
    </row>
    <row r="313" spans="26:38">
      <c r="Z313" t="s">
        <v>1174</v>
      </c>
      <c r="AA313" s="99" t="str">
        <f t="shared" si="6"/>
        <v>'31000315507494020000000000000000',</v>
      </c>
      <c r="AB313" s="99"/>
      <c r="AC313" s="99"/>
      <c r="AD313" s="99"/>
      <c r="AE313" s="99"/>
      <c r="AF313" s="99"/>
      <c r="AG313" t="s">
        <v>1821</v>
      </c>
      <c r="AH313" s="99" t="e">
        <f>VLOOKUP(AG313,#REF!,1,0)</f>
        <v>#REF!</v>
      </c>
      <c r="AI313" s="99"/>
      <c r="AJ313" s="99"/>
      <c r="AK313" t="s">
        <v>1822</v>
      </c>
      <c r="AL313" s="99" t="e">
        <f>VLOOKUP(AK313,#REF!,1,0)</f>
        <v>#REF!</v>
      </c>
    </row>
    <row r="314" spans="26:38">
      <c r="Z314" t="s">
        <v>1823</v>
      </c>
      <c r="AA314" s="99" t="str">
        <f t="shared" si="6"/>
        <v>'31000317460718020000000000000000',</v>
      </c>
      <c r="AB314" s="99"/>
      <c r="AC314" s="99"/>
      <c r="AD314" s="99"/>
      <c r="AE314" s="99"/>
      <c r="AF314" s="99"/>
      <c r="AG314" t="s">
        <v>1824</v>
      </c>
      <c r="AH314" s="99" t="e">
        <f>VLOOKUP(AG314,#REF!,1,0)</f>
        <v>#REF!</v>
      </c>
      <c r="AI314" s="99"/>
      <c r="AJ314" s="99"/>
      <c r="AK314" t="s">
        <v>1825</v>
      </c>
      <c r="AL314" s="99" t="e">
        <f>VLOOKUP(AK314,#REF!,1,0)</f>
        <v>#REF!</v>
      </c>
    </row>
    <row r="315" spans="26:38">
      <c r="Z315" t="s">
        <v>1826</v>
      </c>
      <c r="AA315" s="99" t="str">
        <f t="shared" si="6"/>
        <v>'31000317680223096000000000000000',</v>
      </c>
      <c r="AB315" s="99"/>
      <c r="AC315" s="99"/>
      <c r="AD315" s="99"/>
      <c r="AE315" s="99"/>
      <c r="AF315" s="99"/>
      <c r="AG315" t="s">
        <v>1827</v>
      </c>
      <c r="AH315" s="99" t="e">
        <f>VLOOKUP(AG315,#REF!,1,0)</f>
        <v>#REF!</v>
      </c>
      <c r="AI315" s="99"/>
      <c r="AJ315" s="99"/>
      <c r="AK315" t="s">
        <v>1828</v>
      </c>
      <c r="AL315" s="99" t="e">
        <f>VLOOKUP(AK315,#REF!,1,0)</f>
        <v>#REF!</v>
      </c>
    </row>
    <row r="316" spans="26:38">
      <c r="Z316" t="s">
        <v>1829</v>
      </c>
      <c r="AA316" s="99" t="str">
        <f t="shared" si="6"/>
        <v>'31000803971099020000000000000000',</v>
      </c>
      <c r="AB316" s="99"/>
      <c r="AC316" s="99"/>
      <c r="AD316" s="99"/>
      <c r="AE316" s="99"/>
      <c r="AF316" s="99"/>
      <c r="AG316" t="s">
        <v>1830</v>
      </c>
      <c r="AH316" s="99" t="e">
        <f>VLOOKUP(AG316,#REF!,1,0)</f>
        <v>#REF!</v>
      </c>
      <c r="AI316" s="99"/>
      <c r="AJ316" s="99"/>
      <c r="AK316" t="s">
        <v>1547</v>
      </c>
      <c r="AL316" s="99" t="e">
        <f>VLOOKUP(AK316,#REF!,1,0)</f>
        <v>#REF!</v>
      </c>
    </row>
    <row r="317" spans="26:38">
      <c r="Z317" t="s">
        <v>1831</v>
      </c>
      <c r="AA317" s="99" t="str">
        <f t="shared" si="6"/>
        <v>'31005127091720011648617400000001',</v>
      </c>
      <c r="AB317" s="99"/>
      <c r="AC317" s="99"/>
      <c r="AD317" s="99"/>
      <c r="AE317" s="99"/>
      <c r="AF317" s="99"/>
      <c r="AG317" t="s">
        <v>1832</v>
      </c>
      <c r="AH317" s="99" t="e">
        <f>VLOOKUP(AG317,#REF!,1,0)</f>
        <v>#REF!</v>
      </c>
      <c r="AI317" s="99"/>
      <c r="AJ317" s="99"/>
      <c r="AK317" t="s">
        <v>1075</v>
      </c>
      <c r="AL317" s="99" t="e">
        <f>VLOOKUP(AK317,#REF!,1,0)</f>
        <v>#REF!</v>
      </c>
    </row>
    <row r="318" spans="26:38">
      <c r="Z318" t="s">
        <v>1833</v>
      </c>
      <c r="AA318" s="99" t="str">
        <f t="shared" si="6"/>
        <v>'31000340497034020000000000000000',</v>
      </c>
      <c r="AB318" s="99"/>
      <c r="AC318" s="99"/>
      <c r="AD318" s="99"/>
      <c r="AE318" s="99"/>
      <c r="AF318" s="99"/>
      <c r="AG318" t="s">
        <v>1834</v>
      </c>
      <c r="AH318" s="99" t="e">
        <f>VLOOKUP(AG318,#REF!,1,0)</f>
        <v>#REF!</v>
      </c>
      <c r="AI318" s="99"/>
      <c r="AJ318" s="99"/>
      <c r="AK318" t="s">
        <v>1835</v>
      </c>
      <c r="AL318" s="99" t="e">
        <f>VLOOKUP(AK318,#REF!,1,0)</f>
        <v>#REF!</v>
      </c>
    </row>
    <row r="319" spans="26:38">
      <c r="Z319" t="s">
        <v>1836</v>
      </c>
      <c r="AA319" s="99" t="str">
        <f t="shared" si="6"/>
        <v>'31000352147436020000000000000000',</v>
      </c>
      <c r="AB319" s="99"/>
      <c r="AC319" s="99"/>
      <c r="AD319" s="99"/>
      <c r="AE319" s="99"/>
      <c r="AF319" s="99"/>
      <c r="AG319"/>
      <c r="AH319" s="99"/>
      <c r="AI319" s="99"/>
      <c r="AJ319" s="99"/>
      <c r="AK319" t="s">
        <v>923</v>
      </c>
      <c r="AL319" s="99" t="e">
        <f>VLOOKUP(AK319,#REF!,1,0)</f>
        <v>#REF!</v>
      </c>
    </row>
    <row r="320" spans="26:38">
      <c r="Z320" t="s">
        <v>1837</v>
      </c>
      <c r="AA320" s="99" t="str">
        <f t="shared" si="6"/>
        <v>'31000353346086020000000000000000',</v>
      </c>
      <c r="AB320" s="99"/>
      <c r="AC320" s="99"/>
      <c r="AD320" s="99"/>
      <c r="AE320" s="99"/>
      <c r="AF320" s="99"/>
      <c r="AG320"/>
      <c r="AH320" s="99"/>
      <c r="AI320" s="99"/>
      <c r="AJ320" s="99"/>
      <c r="AK320" t="s">
        <v>1838</v>
      </c>
      <c r="AL320" s="99" t="e">
        <f>VLOOKUP(AK320,#REF!,1,0)</f>
        <v>#REF!</v>
      </c>
    </row>
    <row r="321" spans="26:38">
      <c r="Z321" t="s">
        <v>1839</v>
      </c>
      <c r="AA321" s="99" t="str">
        <f t="shared" si="6"/>
        <v>'31000312863568096000000000000000',</v>
      </c>
      <c r="AB321" s="99"/>
      <c r="AC321" s="99"/>
      <c r="AD321" s="99"/>
      <c r="AE321" s="99"/>
      <c r="AF321" s="99"/>
      <c r="AG321"/>
      <c r="AH321" s="99"/>
      <c r="AI321" s="99"/>
      <c r="AJ321" s="99"/>
      <c r="AK321" t="s">
        <v>1221</v>
      </c>
      <c r="AL321" s="99" t="e">
        <f>VLOOKUP(AK321,#REF!,1,0)</f>
        <v>#REF!</v>
      </c>
    </row>
    <row r="322" spans="26:38">
      <c r="Z322" t="s">
        <v>1733</v>
      </c>
      <c r="AA322" s="99" t="str">
        <f t="shared" si="6"/>
        <v>'31000342577411020000000000000000',</v>
      </c>
      <c r="AB322" s="99"/>
      <c r="AC322" s="99"/>
      <c r="AD322" s="99"/>
      <c r="AE322" s="99"/>
      <c r="AF322" s="99"/>
      <c r="AG322"/>
      <c r="AH322" s="99"/>
      <c r="AI322" s="99"/>
      <c r="AJ322" s="99"/>
      <c r="AK322" t="s">
        <v>1030</v>
      </c>
      <c r="AL322" s="99" t="e">
        <f>VLOOKUP(AK322,#REF!,1,0)</f>
        <v>#REF!</v>
      </c>
    </row>
    <row r="323" spans="26:38">
      <c r="Z323" t="s">
        <v>1840</v>
      </c>
      <c r="AA323" s="99" t="str">
        <f t="shared" si="6"/>
        <v>'31000313538128096000000000000000',</v>
      </c>
      <c r="AB323" s="99"/>
      <c r="AC323" s="99"/>
      <c r="AD323" s="99"/>
      <c r="AE323" s="99"/>
      <c r="AF323" s="99"/>
      <c r="AG323"/>
      <c r="AH323" s="99"/>
      <c r="AI323" s="99"/>
      <c r="AJ323" s="99"/>
      <c r="AK323" t="s">
        <v>1043</v>
      </c>
      <c r="AL323" s="99" t="e">
        <f>VLOOKUP(AK323,#REF!,1,0)</f>
        <v>#REF!</v>
      </c>
    </row>
    <row r="324" spans="26:38">
      <c r="Z324" t="s">
        <v>997</v>
      </c>
      <c r="AA324" s="99" t="str">
        <f t="shared" si="6"/>
        <v>'31000353282836020000000000000000',</v>
      </c>
      <c r="AB324" s="99"/>
      <c r="AC324" s="99"/>
      <c r="AD324" s="99"/>
      <c r="AE324" s="99"/>
      <c r="AF324" s="99"/>
      <c r="AG324"/>
      <c r="AH324" s="99"/>
      <c r="AI324" s="99"/>
      <c r="AJ324" s="99"/>
      <c r="AK324" t="s">
        <v>1841</v>
      </c>
      <c r="AL324" s="99" t="e">
        <f>VLOOKUP(AK324,#REF!,1,0)</f>
        <v>#REF!</v>
      </c>
    </row>
    <row r="325" spans="26:38">
      <c r="Z325" t="s">
        <v>1842</v>
      </c>
      <c r="AA325" s="99" t="str">
        <f t="shared" si="6"/>
        <v>'31000351627867020000000000000000',</v>
      </c>
      <c r="AB325" s="99"/>
      <c r="AC325" s="99"/>
      <c r="AD325" s="99"/>
      <c r="AE325" s="99"/>
      <c r="AF325" s="99"/>
      <c r="AG325"/>
      <c r="AH325" s="99"/>
      <c r="AI325" s="99"/>
      <c r="AJ325" s="99"/>
      <c r="AK325" t="s">
        <v>1311</v>
      </c>
      <c r="AL325" s="99" t="e">
        <f>VLOOKUP(AK325,#REF!,1,0)</f>
        <v>#REF!</v>
      </c>
    </row>
    <row r="326" spans="26:38">
      <c r="Z326" t="s">
        <v>1563</v>
      </c>
      <c r="AA326" s="99" t="str">
        <f t="shared" si="6"/>
        <v>'31000039440801001000000000000000',</v>
      </c>
      <c r="AB326" s="99"/>
      <c r="AC326" s="99"/>
      <c r="AD326" s="99"/>
      <c r="AE326" s="99"/>
      <c r="AF326" s="99"/>
      <c r="AG326"/>
      <c r="AH326" s="99"/>
      <c r="AI326" s="99"/>
      <c r="AJ326" s="99"/>
      <c r="AK326" t="s">
        <v>1214</v>
      </c>
      <c r="AL326" s="99" t="e">
        <f>VLOOKUP(AK326,#REF!,1,0)</f>
        <v>#REF!</v>
      </c>
    </row>
    <row r="327" spans="26:38">
      <c r="Z327" t="s">
        <v>1843</v>
      </c>
      <c r="AA327" s="99" t="str">
        <f t="shared" si="6"/>
        <v>'31000352500238020000000000000000',</v>
      </c>
      <c r="AB327" s="99"/>
      <c r="AC327" s="99"/>
      <c r="AD327" s="99"/>
      <c r="AE327" s="99"/>
      <c r="AF327" s="99"/>
      <c r="AG327"/>
      <c r="AH327" s="99"/>
      <c r="AI327" s="99"/>
      <c r="AJ327" s="99"/>
      <c r="AK327" t="s">
        <v>1688</v>
      </c>
      <c r="AL327" s="99" t="e">
        <f>VLOOKUP(AK327,#REF!,1,0)</f>
        <v>#REF!</v>
      </c>
    </row>
    <row r="328" spans="26:38">
      <c r="Z328" t="s">
        <v>1844</v>
      </c>
      <c r="AA328" s="99" t="str">
        <f t="shared" si="6"/>
        <v>'31000324267379020000000000000000',</v>
      </c>
      <c r="AB328" s="99"/>
      <c r="AC328" s="99"/>
      <c r="AD328" s="99"/>
      <c r="AE328" s="99"/>
      <c r="AF328" s="99"/>
      <c r="AG328"/>
      <c r="AH328" s="99"/>
      <c r="AI328" s="99"/>
      <c r="AJ328" s="99"/>
      <c r="AK328" t="s">
        <v>1226</v>
      </c>
      <c r="AL328" s="99" t="e">
        <f>VLOOKUP(AK328,#REF!,1,0)</f>
        <v>#REF!</v>
      </c>
    </row>
    <row r="329" spans="26:38">
      <c r="Z329" t="s">
        <v>1845</v>
      </c>
      <c r="AA329" s="99" t="str">
        <f t="shared" ref="AA329:AA392" si="7">"'"&amp;Z329&amp;"',"</f>
        <v>'31000352956299020000000000000000',</v>
      </c>
      <c r="AB329" s="99"/>
      <c r="AC329" s="99"/>
      <c r="AD329" s="99"/>
      <c r="AE329" s="99"/>
      <c r="AF329" s="99"/>
      <c r="AG329"/>
      <c r="AH329" s="99"/>
      <c r="AI329" s="99"/>
      <c r="AJ329" s="99"/>
      <c r="AK329" t="s">
        <v>1846</v>
      </c>
      <c r="AL329" s="99" t="e">
        <f>VLOOKUP(AK329,#REF!,1,0)</f>
        <v>#REF!</v>
      </c>
    </row>
    <row r="330" spans="26:38">
      <c r="Z330" t="s">
        <v>1569</v>
      </c>
      <c r="AA330" s="99" t="str">
        <f t="shared" si="7"/>
        <v>'31000348948632020000000000000000',</v>
      </c>
      <c r="AB330" s="99"/>
      <c r="AC330" s="99"/>
      <c r="AD330" s="99"/>
      <c r="AE330" s="99"/>
      <c r="AF330" s="99"/>
      <c r="AG330"/>
      <c r="AH330" s="99"/>
      <c r="AI330" s="99"/>
      <c r="AJ330" s="99"/>
      <c r="AK330" t="s">
        <v>1847</v>
      </c>
      <c r="AL330" s="99" t="e">
        <f>VLOOKUP(AK330,#REF!,1,0)</f>
        <v>#REF!</v>
      </c>
    </row>
    <row r="331" spans="26:38">
      <c r="Z331" t="s">
        <v>1848</v>
      </c>
      <c r="AA331" s="99" t="str">
        <f t="shared" si="7"/>
        <v>'31214201713092020000000000000000',</v>
      </c>
      <c r="AB331" s="99"/>
      <c r="AC331" s="99"/>
      <c r="AD331" s="99"/>
      <c r="AE331" s="99"/>
      <c r="AF331" s="99"/>
      <c r="AG331" s="99"/>
      <c r="AH331" s="99"/>
      <c r="AI331" s="99"/>
      <c r="AJ331" s="99"/>
      <c r="AK331" t="s">
        <v>1849</v>
      </c>
      <c r="AL331" s="99" t="e">
        <f>VLOOKUP(AK331,#REF!,1,0)</f>
        <v>#REF!</v>
      </c>
    </row>
    <row r="332" spans="26:38">
      <c r="Z332" t="s">
        <v>1850</v>
      </c>
      <c r="AA332" s="99" t="str">
        <f t="shared" si="7"/>
        <v>'31000337572617020000000000000000',</v>
      </c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</row>
    <row r="333" spans="26:38">
      <c r="Z333" t="s">
        <v>1851</v>
      </c>
      <c r="AA333" s="99" t="str">
        <f t="shared" si="7"/>
        <v>'31000349234487020000000000000000',</v>
      </c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</row>
    <row r="334" spans="26:38">
      <c r="Z334" t="s">
        <v>1852</v>
      </c>
      <c r="AA334" s="99" t="str">
        <f t="shared" si="7"/>
        <v>'31000331027980020000000000000000',</v>
      </c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</row>
    <row r="335" spans="26:38">
      <c r="Z335" t="s">
        <v>1853</v>
      </c>
      <c r="AA335" s="99" t="str">
        <f t="shared" si="7"/>
        <v>'31000341391459020000000000000000',</v>
      </c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</row>
    <row r="336" spans="26:38">
      <c r="Z336" t="s">
        <v>1854</v>
      </c>
      <c r="AA336" s="99" t="str">
        <f t="shared" si="7"/>
        <v>'31000806352255020000000000000000',</v>
      </c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</row>
    <row r="337" spans="26:27">
      <c r="Z337" t="s">
        <v>1440</v>
      </c>
      <c r="AA337" s="99" t="str">
        <f t="shared" si="7"/>
        <v>'31000028462087001000000000000000',</v>
      </c>
    </row>
    <row r="338" spans="26:27">
      <c r="Z338" t="s">
        <v>1855</v>
      </c>
      <c r="AA338" s="99" t="str">
        <f t="shared" si="7"/>
        <v>'31000345527389020000000000000000',</v>
      </c>
    </row>
    <row r="339" spans="26:27">
      <c r="Z339" t="s">
        <v>1856</v>
      </c>
      <c r="AA339" s="99" t="str">
        <f t="shared" si="7"/>
        <v>'31000347516752020000000000000000',</v>
      </c>
    </row>
    <row r="340" spans="26:27">
      <c r="Z340" t="s">
        <v>1451</v>
      </c>
      <c r="AA340" s="99" t="str">
        <f t="shared" si="7"/>
        <v>'31000354044136020000000000000000',</v>
      </c>
    </row>
    <row r="341" spans="26:27">
      <c r="Z341" t="s">
        <v>1857</v>
      </c>
      <c r="AA341" s="99" t="str">
        <f t="shared" si="7"/>
        <v>'31000336673259020000000000000000',</v>
      </c>
    </row>
    <row r="342" spans="26:27">
      <c r="Z342" t="s">
        <v>1858</v>
      </c>
      <c r="AA342" s="99" t="str">
        <f t="shared" si="7"/>
        <v>'31000351545564020000000000000000',</v>
      </c>
    </row>
    <row r="343" spans="26:27">
      <c r="Z343" t="s">
        <v>1859</v>
      </c>
      <c r="AA343" s="99" t="str">
        <f t="shared" si="7"/>
        <v>'31000353154274020000000000000000',</v>
      </c>
    </row>
    <row r="344" spans="26:27">
      <c r="Z344" t="s">
        <v>1860</v>
      </c>
      <c r="AA344" s="99" t="str">
        <f t="shared" si="7"/>
        <v>'31000039863463001000000000000000',</v>
      </c>
    </row>
    <row r="345" spans="26:27">
      <c r="Z345" t="s">
        <v>1861</v>
      </c>
      <c r="AA345" s="99" t="str">
        <f t="shared" si="7"/>
        <v>'31000346110516020000000000000000',</v>
      </c>
    </row>
    <row r="346" spans="26:27">
      <c r="Z346" t="s">
        <v>1862</v>
      </c>
      <c r="AA346" s="99" t="str">
        <f t="shared" si="7"/>
        <v>'31000352870458020000000000000000',</v>
      </c>
    </row>
    <row r="347" spans="26:27">
      <c r="Z347" t="s">
        <v>1863</v>
      </c>
      <c r="AA347" s="99" t="str">
        <f t="shared" si="7"/>
        <v>'31000318372219020000000000000000',</v>
      </c>
    </row>
    <row r="348" spans="26:27">
      <c r="Z348" t="s">
        <v>1864</v>
      </c>
      <c r="AA348" s="99" t="str">
        <f t="shared" si="7"/>
        <v>'31210302776025020000000000000000',</v>
      </c>
    </row>
    <row r="349" spans="26:27">
      <c r="Z349" t="s">
        <v>1865</v>
      </c>
      <c r="AA349" s="99" t="str">
        <f t="shared" si="7"/>
        <v>'31000335306158020000000000000000',</v>
      </c>
    </row>
    <row r="350" spans="26:27">
      <c r="Z350" t="s">
        <v>1025</v>
      </c>
      <c r="AA350" s="99" t="str">
        <f t="shared" si="7"/>
        <v>'31000352368891020000000000000000',</v>
      </c>
    </row>
    <row r="351" spans="26:27">
      <c r="Z351" t="s">
        <v>1161</v>
      </c>
      <c r="AA351" s="99" t="str">
        <f t="shared" si="7"/>
        <v>'31000317176298020000000000000000',</v>
      </c>
    </row>
    <row r="352" spans="26:27">
      <c r="Z352" t="s">
        <v>1866</v>
      </c>
      <c r="AA352" s="99" t="str">
        <f t="shared" si="7"/>
        <v>'31000352443710020000000000000000',</v>
      </c>
    </row>
    <row r="353" spans="26:27">
      <c r="Z353" t="s">
        <v>1867</v>
      </c>
      <c r="AA353" s="99" t="str">
        <f t="shared" si="7"/>
        <v>'31000318563849097000000000000000',</v>
      </c>
    </row>
    <row r="354" spans="26:27">
      <c r="Z354" t="s">
        <v>1744</v>
      </c>
      <c r="AA354" s="99" t="str">
        <f t="shared" si="7"/>
        <v>'31000100202415731000000000000000',</v>
      </c>
    </row>
    <row r="355" spans="26:27">
      <c r="Z355" t="s">
        <v>1660</v>
      </c>
      <c r="AA355" s="99" t="str">
        <f t="shared" si="7"/>
        <v>'31000006501552001000000000000000',</v>
      </c>
    </row>
    <row r="356" spans="26:27">
      <c r="Z356" t="s">
        <v>1183</v>
      </c>
      <c r="AA356" s="99" t="str">
        <f t="shared" si="7"/>
        <v>'31000347935168020000000000000000',</v>
      </c>
    </row>
    <row r="357" spans="26:27">
      <c r="Z357" t="s">
        <v>1868</v>
      </c>
      <c r="AA357" s="99" t="str">
        <f t="shared" si="7"/>
        <v>'31000806651417020000000000000000',</v>
      </c>
    </row>
    <row r="358" spans="26:27">
      <c r="Z358" t="s">
        <v>1358</v>
      </c>
      <c r="AA358" s="99" t="str">
        <f t="shared" si="7"/>
        <v>'31000359428094020000000000000000',</v>
      </c>
    </row>
    <row r="359" spans="26:27">
      <c r="Z359" t="s">
        <v>1869</v>
      </c>
      <c r="AA359" s="99" t="str">
        <f t="shared" si="7"/>
        <v>'31000346693115020000000000000000',</v>
      </c>
    </row>
    <row r="360" spans="26:27">
      <c r="Z360" t="s">
        <v>1739</v>
      </c>
      <c r="AA360" s="99" t="str">
        <f t="shared" si="7"/>
        <v>'31000338671160020000000000000000',</v>
      </c>
    </row>
    <row r="361" spans="26:27">
      <c r="Z361" t="s">
        <v>1870</v>
      </c>
      <c r="AA361" s="99" t="str">
        <f t="shared" si="7"/>
        <v>'31003180007110011601254500000001',</v>
      </c>
    </row>
    <row r="362" spans="26:27">
      <c r="Z362" t="s">
        <v>1871</v>
      </c>
      <c r="AA362" s="99" t="str">
        <f t="shared" si="7"/>
        <v>'31000353300786020000000000000000',</v>
      </c>
    </row>
    <row r="363" spans="26:27">
      <c r="Z363" t="s">
        <v>1872</v>
      </c>
      <c r="AA363" s="99" t="str">
        <f t="shared" si="7"/>
        <v>'31000353379541020000000000000000',</v>
      </c>
    </row>
    <row r="364" spans="26:27">
      <c r="Z364" t="s">
        <v>1873</v>
      </c>
      <c r="AA364" s="99" t="str">
        <f t="shared" si="7"/>
        <v>'31000323159122020000000000000000',</v>
      </c>
    </row>
    <row r="365" spans="26:27">
      <c r="Z365" t="s">
        <v>1874</v>
      </c>
      <c r="AA365" s="99" t="str">
        <f t="shared" si="7"/>
        <v>'31000326926451020000000000000000',</v>
      </c>
    </row>
    <row r="366" spans="26:27">
      <c r="Z366" t="s">
        <v>1875</v>
      </c>
      <c r="AA366" s="99" t="str">
        <f t="shared" si="7"/>
        <v>'31000041232501001000000000000000',</v>
      </c>
    </row>
    <row r="367" spans="26:27">
      <c r="Z367" t="s">
        <v>1360</v>
      </c>
      <c r="AA367" s="99" t="str">
        <f t="shared" si="7"/>
        <v>'31000314353015020000000000000000',</v>
      </c>
    </row>
    <row r="368" spans="26:27">
      <c r="Z368" t="s">
        <v>1560</v>
      </c>
      <c r="AA368" s="99" t="str">
        <f t="shared" si="7"/>
        <v>'31000041363772001000000000000000',</v>
      </c>
    </row>
    <row r="369" spans="26:27">
      <c r="Z369" t="s">
        <v>1446</v>
      </c>
      <c r="AA369" s="99" t="str">
        <f t="shared" si="7"/>
        <v>'31000354730460020000000000000000',</v>
      </c>
    </row>
    <row r="370" spans="26:27">
      <c r="Z370" t="s">
        <v>1876</v>
      </c>
      <c r="AA370" s="99" t="str">
        <f t="shared" si="7"/>
        <v>'31000348230122020000000000000000',</v>
      </c>
    </row>
    <row r="371" spans="26:27">
      <c r="Z371" t="s">
        <v>1877</v>
      </c>
      <c r="AA371" s="99" t="str">
        <f t="shared" si="7"/>
        <v>'31000319111954020000000000000000',</v>
      </c>
    </row>
    <row r="372" spans="26:27">
      <c r="Z372" t="s">
        <v>1878</v>
      </c>
      <c r="AA372" s="99" t="str">
        <f t="shared" si="7"/>
        <v>'31000347348461020000000000000000',</v>
      </c>
    </row>
    <row r="373" spans="26:27">
      <c r="Z373" t="s">
        <v>1879</v>
      </c>
      <c r="AA373" s="99" t="str">
        <f t="shared" si="7"/>
        <v>'31000352441060020000000000000000',</v>
      </c>
    </row>
    <row r="374" spans="26:27">
      <c r="Z374" t="s">
        <v>1880</v>
      </c>
      <c r="AA374" s="99" t="str">
        <f t="shared" si="7"/>
        <v>'31000333070624020000000000000000',</v>
      </c>
    </row>
    <row r="375" spans="26:27">
      <c r="Z375" t="s">
        <v>1795</v>
      </c>
      <c r="AA375" s="99" t="str">
        <f t="shared" si="7"/>
        <v>'31000314735682020000000000000000',</v>
      </c>
    </row>
    <row r="376" spans="26:27">
      <c r="Z376" t="s">
        <v>1363</v>
      </c>
      <c r="AA376" s="99" t="str">
        <f t="shared" si="7"/>
        <v>'31000051735997020000000000000000',</v>
      </c>
    </row>
    <row r="377" spans="26:27">
      <c r="Z377" t="s">
        <v>1881</v>
      </c>
      <c r="AA377" s="99" t="str">
        <f t="shared" si="7"/>
        <v>'31000340079790020000000000000000',</v>
      </c>
    </row>
    <row r="378" spans="26:27">
      <c r="Z378" t="s">
        <v>1355</v>
      </c>
      <c r="AA378" s="99" t="str">
        <f t="shared" si="7"/>
        <v>'31000310972727020000000000000000',</v>
      </c>
    </row>
    <row r="379" spans="26:27">
      <c r="Z379" t="s">
        <v>1882</v>
      </c>
      <c r="AA379" s="99" t="str">
        <f t="shared" si="7"/>
        <v>'31000350043546020000000000000000',</v>
      </c>
    </row>
    <row r="380" spans="26:27">
      <c r="Z380" t="s">
        <v>1285</v>
      </c>
      <c r="AA380" s="99" t="str">
        <f t="shared" si="7"/>
        <v>'31000051902076020000000000000000',</v>
      </c>
    </row>
    <row r="381" spans="26:27">
      <c r="Z381" t="s">
        <v>1883</v>
      </c>
      <c r="AA381" s="99" t="str">
        <f t="shared" si="7"/>
        <v>'31000350312388020000000000000000',</v>
      </c>
    </row>
    <row r="382" spans="26:27">
      <c r="Z382" t="s">
        <v>1884</v>
      </c>
      <c r="AA382" s="99" t="str">
        <f t="shared" si="7"/>
        <v>'31000345791720020000000000000000',</v>
      </c>
    </row>
    <row r="383" spans="26:27">
      <c r="Z383" t="s">
        <v>1885</v>
      </c>
      <c r="AA383" s="99" t="str">
        <f t="shared" si="7"/>
        <v>'31000807229023020000000000000000',</v>
      </c>
    </row>
    <row r="384" spans="26:27">
      <c r="Z384" t="s">
        <v>1886</v>
      </c>
      <c r="AA384" s="99" t="str">
        <f t="shared" si="7"/>
        <v>'31000336707412020000000000000000',</v>
      </c>
    </row>
    <row r="385" spans="26:27">
      <c r="Z385" t="s">
        <v>1887</v>
      </c>
      <c r="AA385" s="99" t="str">
        <f t="shared" si="7"/>
        <v>'31000351625663020000000000000000',</v>
      </c>
    </row>
    <row r="386" spans="26:27">
      <c r="Z386" t="s">
        <v>1725</v>
      </c>
      <c r="AA386" s="99" t="str">
        <f t="shared" si="7"/>
        <v>'31000310518875096000000000000000',</v>
      </c>
    </row>
    <row r="387" spans="26:27">
      <c r="Z387" t="s">
        <v>1268</v>
      </c>
      <c r="AA387" s="99" t="str">
        <f t="shared" si="7"/>
        <v>'31000317355057096000000000000000',</v>
      </c>
    </row>
    <row r="388" spans="26:27">
      <c r="Z388" t="s">
        <v>1430</v>
      </c>
      <c r="AA388" s="99" t="str">
        <f t="shared" si="7"/>
        <v>'31000302352309096000000000000000',</v>
      </c>
    </row>
    <row r="389" spans="26:27">
      <c r="Z389" t="s">
        <v>1888</v>
      </c>
      <c r="AA389" s="99" t="str">
        <f t="shared" si="7"/>
        <v>'31000348652523020000000000000000',</v>
      </c>
    </row>
    <row r="390" spans="26:27">
      <c r="Z390" t="s">
        <v>1889</v>
      </c>
      <c r="AA390" s="99" t="str">
        <f t="shared" si="7"/>
        <v>'31000003225515001000000000000000',</v>
      </c>
    </row>
    <row r="391" spans="26:27">
      <c r="Z391" t="s">
        <v>1890</v>
      </c>
      <c r="AA391" s="99" t="str">
        <f t="shared" si="7"/>
        <v>'31000349695968020000000000000000',</v>
      </c>
    </row>
    <row r="392" spans="26:27">
      <c r="Z392" t="s">
        <v>1891</v>
      </c>
      <c r="AA392" s="99" t="str">
        <f t="shared" si="7"/>
        <v>'31000351796399020000000000000000',</v>
      </c>
    </row>
    <row r="393" spans="26:27">
      <c r="Z393" t="s">
        <v>1892</v>
      </c>
      <c r="AA393" s="99" t="str">
        <f t="shared" ref="AA393:AA456" si="8">"'"&amp;Z393&amp;"',"</f>
        <v>'31000352305091020000000000000000',</v>
      </c>
    </row>
    <row r="394" spans="26:27">
      <c r="Z394" t="s">
        <v>1893</v>
      </c>
      <c r="AA394" s="99" t="str">
        <f t="shared" si="8"/>
        <v>'31202600017078020000000000000000',</v>
      </c>
    </row>
    <row r="395" spans="26:27">
      <c r="Z395" t="s">
        <v>1894</v>
      </c>
      <c r="AA395" s="99" t="str">
        <f t="shared" si="8"/>
        <v>'31000024318759001000000000000000',</v>
      </c>
    </row>
    <row r="396" spans="26:27">
      <c r="Z396" t="s">
        <v>1256</v>
      </c>
      <c r="AA396" s="99" t="str">
        <f t="shared" si="8"/>
        <v>'31000326647545020000000000000000',</v>
      </c>
    </row>
    <row r="397" spans="26:27">
      <c r="Z397" t="s">
        <v>1895</v>
      </c>
      <c r="AA397" s="99" t="str">
        <f t="shared" si="8"/>
        <v>'31000353301024020000000000000000',</v>
      </c>
    </row>
    <row r="398" spans="26:27">
      <c r="Z398" t="s">
        <v>1896</v>
      </c>
      <c r="AA398" s="99" t="str">
        <f t="shared" si="8"/>
        <v>'31000050899045001000000000000000',</v>
      </c>
    </row>
    <row r="399" spans="26:27">
      <c r="Z399" t="s">
        <v>1897</v>
      </c>
      <c r="AA399" s="99" t="str">
        <f t="shared" si="8"/>
        <v>'31000350216274020000000000000000',</v>
      </c>
    </row>
    <row r="400" spans="26:27">
      <c r="Z400" t="s">
        <v>1898</v>
      </c>
      <c r="AA400" s="99" t="str">
        <f t="shared" si="8"/>
        <v>'31000318202200020000000000000000',</v>
      </c>
    </row>
    <row r="401" spans="26:27">
      <c r="Z401" t="s">
        <v>1533</v>
      </c>
      <c r="AA401" s="99" t="str">
        <f t="shared" si="8"/>
        <v>'31000348641534020000000000000000',</v>
      </c>
    </row>
    <row r="402" spans="26:27">
      <c r="Z402" t="s">
        <v>1899</v>
      </c>
      <c r="AA402" s="99" t="str">
        <f t="shared" si="8"/>
        <v>'31000318209626096000000000000000',</v>
      </c>
    </row>
    <row r="403" spans="26:27">
      <c r="Z403" t="s">
        <v>956</v>
      </c>
      <c r="AA403" s="99" t="str">
        <f t="shared" si="8"/>
        <v>'31000353543039020000000000000000',</v>
      </c>
    </row>
    <row r="404" spans="26:27">
      <c r="Z404" t="s">
        <v>1130</v>
      </c>
      <c r="AA404" s="99" t="str">
        <f t="shared" si="8"/>
        <v>'31000806144934020000000000000000',</v>
      </c>
    </row>
    <row r="405" spans="26:27">
      <c r="Z405" t="s">
        <v>1348</v>
      </c>
      <c r="AA405" s="99" t="str">
        <f t="shared" si="8"/>
        <v>'31000350446756020000000000000000',</v>
      </c>
    </row>
    <row r="406" spans="26:27">
      <c r="Z406" t="s">
        <v>1900</v>
      </c>
      <c r="AA406" s="99" t="str">
        <f t="shared" si="8"/>
        <v>'31000335699255020000000000000000',</v>
      </c>
    </row>
    <row r="407" spans="26:27">
      <c r="Z407" t="s">
        <v>1146</v>
      </c>
      <c r="AA407" s="99" t="str">
        <f t="shared" si="8"/>
        <v>'31000316520230096000000000000000',</v>
      </c>
    </row>
    <row r="408" spans="26:27">
      <c r="Z408" t="s">
        <v>1901</v>
      </c>
      <c r="AA408" s="99" t="str">
        <f t="shared" si="8"/>
        <v>'31000321395637020000000000000000',</v>
      </c>
    </row>
    <row r="409" spans="26:27">
      <c r="Z409" t="s">
        <v>1902</v>
      </c>
      <c r="AA409" s="99" t="str">
        <f t="shared" si="8"/>
        <v>'31000353181533020000000000000000',</v>
      </c>
    </row>
    <row r="410" spans="26:27">
      <c r="Z410" t="s">
        <v>1903</v>
      </c>
      <c r="AA410" s="99" t="str">
        <f t="shared" si="8"/>
        <v>'31000350435510020000000000000000',</v>
      </c>
    </row>
    <row r="411" spans="26:27">
      <c r="Z411" t="s">
        <v>1536</v>
      </c>
      <c r="AA411" s="99" t="str">
        <f t="shared" si="8"/>
        <v>'31000350697267020000000000000000',</v>
      </c>
    </row>
    <row r="412" spans="26:27">
      <c r="Z412" t="s">
        <v>1541</v>
      </c>
      <c r="AA412" s="99" t="str">
        <f t="shared" si="8"/>
        <v>'31000351357937020000000000000000',</v>
      </c>
    </row>
    <row r="413" spans="26:27">
      <c r="Z413" t="s">
        <v>1904</v>
      </c>
      <c r="AA413" s="99" t="str">
        <f t="shared" si="8"/>
        <v>'31000342114108020000000000000000',</v>
      </c>
    </row>
    <row r="414" spans="26:27">
      <c r="Z414" t="s">
        <v>1905</v>
      </c>
      <c r="AA414" s="99" t="str">
        <f t="shared" si="8"/>
        <v>'31000354657044020000000000000000',</v>
      </c>
    </row>
    <row r="415" spans="26:27">
      <c r="Z415" t="s">
        <v>1906</v>
      </c>
      <c r="AA415" s="99" t="str">
        <f t="shared" si="8"/>
        <v>'31000353771598020000000000000000',</v>
      </c>
    </row>
    <row r="416" spans="26:27">
      <c r="Z416" t="s">
        <v>1142</v>
      </c>
      <c r="AA416" s="99" t="str">
        <f t="shared" si="8"/>
        <v>'31000355192934020000000000000000',</v>
      </c>
    </row>
    <row r="417" spans="26:27">
      <c r="Z417" t="s">
        <v>1907</v>
      </c>
      <c r="AA417" s="99" t="str">
        <f t="shared" si="8"/>
        <v>'31000345916285020000000000000000',</v>
      </c>
    </row>
    <row r="418" spans="26:27">
      <c r="Z418" t="s">
        <v>1908</v>
      </c>
      <c r="AA418" s="99" t="str">
        <f t="shared" si="8"/>
        <v>'31000349378649020000000000000000',</v>
      </c>
    </row>
    <row r="419" spans="26:27">
      <c r="Z419" t="s">
        <v>1909</v>
      </c>
      <c r="AA419" s="99" t="str">
        <f t="shared" si="8"/>
        <v>'31000340935355020000000000000000',</v>
      </c>
    </row>
    <row r="420" spans="26:27">
      <c r="Z420" t="s">
        <v>1350</v>
      </c>
      <c r="AA420" s="99" t="str">
        <f t="shared" si="8"/>
        <v>'31000346690780020000000000000000',</v>
      </c>
    </row>
    <row r="421" spans="26:27">
      <c r="Z421" t="s">
        <v>1910</v>
      </c>
      <c r="AA421" s="99" t="str">
        <f t="shared" si="8"/>
        <v>'31000349527575020000000000000000',</v>
      </c>
    </row>
    <row r="422" spans="26:27">
      <c r="Z422" t="s">
        <v>1911</v>
      </c>
      <c r="AA422" s="99" t="str">
        <f t="shared" si="8"/>
        <v>'31000330688584020000000000000000',</v>
      </c>
    </row>
    <row r="423" spans="26:27">
      <c r="Z423" t="s">
        <v>1138</v>
      </c>
      <c r="AA423" s="99" t="str">
        <f t="shared" si="8"/>
        <v>'31000344678142020000000000000000',</v>
      </c>
    </row>
    <row r="424" spans="26:27">
      <c r="Z424" t="s">
        <v>1253</v>
      </c>
      <c r="AA424" s="99" t="str">
        <f t="shared" si="8"/>
        <v>'31000802647013020000000000000000',</v>
      </c>
    </row>
    <row r="425" spans="26:27">
      <c r="Z425" t="s">
        <v>1912</v>
      </c>
      <c r="AA425" s="99" t="str">
        <f t="shared" si="8"/>
        <v>'31000352370863020000000000000000',</v>
      </c>
    </row>
    <row r="426" spans="26:27">
      <c r="Z426" t="s">
        <v>1432</v>
      </c>
      <c r="AA426" s="99" t="str">
        <f t="shared" si="8"/>
        <v>'31000343639269020000000000000000',</v>
      </c>
    </row>
    <row r="427" spans="26:27">
      <c r="Z427" t="s">
        <v>1352</v>
      </c>
      <c r="AA427" s="99" t="str">
        <f t="shared" si="8"/>
        <v>'31000300080456096000000000000000',</v>
      </c>
    </row>
    <row r="428" spans="26:27">
      <c r="Z428" t="s">
        <v>1913</v>
      </c>
      <c r="AA428" s="99" t="str">
        <f t="shared" si="8"/>
        <v>'31000349745391020000000000000000',</v>
      </c>
    </row>
    <row r="429" spans="26:27">
      <c r="Z429" t="s">
        <v>1914</v>
      </c>
      <c r="AA429" s="99" t="str">
        <f t="shared" si="8"/>
        <v>'31000802485737020000000000000000',</v>
      </c>
    </row>
    <row r="430" spans="26:27">
      <c r="Z430" t="s">
        <v>1915</v>
      </c>
      <c r="AA430" s="99" t="str">
        <f t="shared" si="8"/>
        <v>'31000803608758020000000000000000',</v>
      </c>
    </row>
    <row r="431" spans="26:27">
      <c r="Z431" t="s">
        <v>1916</v>
      </c>
      <c r="AA431" s="99" t="str">
        <f t="shared" si="8"/>
        <v>'31000041266640001000000000000000',</v>
      </c>
    </row>
    <row r="432" spans="26:27">
      <c r="Z432" t="s">
        <v>1917</v>
      </c>
      <c r="AA432" s="99" t="str">
        <f t="shared" si="8"/>
        <v>'31000051550340001000000000000000',</v>
      </c>
    </row>
    <row r="433" spans="26:27">
      <c r="Z433" t="s">
        <v>1918</v>
      </c>
      <c r="AA433" s="99" t="str">
        <f t="shared" si="8"/>
        <v>'31000807163545020000000000000000',</v>
      </c>
    </row>
    <row r="434" spans="26:27">
      <c r="Z434" t="s">
        <v>1919</v>
      </c>
      <c r="AA434" s="99" t="str">
        <f t="shared" si="8"/>
        <v>'31000353857587020000000000000000',</v>
      </c>
    </row>
    <row r="435" spans="26:27">
      <c r="Z435" t="s">
        <v>1538</v>
      </c>
      <c r="AA435" s="99" t="str">
        <f t="shared" si="8"/>
        <v>'31000037600280001000000000000000',</v>
      </c>
    </row>
    <row r="436" spans="26:27">
      <c r="Z436" t="s">
        <v>1652</v>
      </c>
      <c r="AA436" s="99" t="str">
        <f t="shared" si="8"/>
        <v>'31000323198534020000000000000000',</v>
      </c>
    </row>
    <row r="437" spans="26:27">
      <c r="Z437" t="s">
        <v>1920</v>
      </c>
      <c r="AA437" s="99" t="str">
        <f t="shared" si="8"/>
        <v>'31000325488024020000000000000000',</v>
      </c>
    </row>
    <row r="438" spans="26:27">
      <c r="Z438" t="s">
        <v>1921</v>
      </c>
      <c r="AA438" s="99" t="str">
        <f t="shared" si="8"/>
        <v>'31000318504837020000000000000000',</v>
      </c>
    </row>
    <row r="439" spans="26:27">
      <c r="Z439" t="s">
        <v>1922</v>
      </c>
      <c r="AA439" s="99" t="str">
        <f t="shared" si="8"/>
        <v>'31000352955689020000000000000000',</v>
      </c>
    </row>
    <row r="440" spans="26:27">
      <c r="Z440" t="s">
        <v>1923</v>
      </c>
      <c r="AA440" s="99" t="str">
        <f t="shared" si="8"/>
        <v>'31000345745338020000000000000000',</v>
      </c>
    </row>
    <row r="441" spans="26:27">
      <c r="Z441" t="s">
        <v>1924</v>
      </c>
      <c r="AA441" s="99" t="str">
        <f t="shared" si="8"/>
        <v>'31000347705025020000000000000000',</v>
      </c>
    </row>
    <row r="442" spans="26:27">
      <c r="Z442" t="s">
        <v>1925</v>
      </c>
      <c r="AA442" s="99" t="str">
        <f t="shared" si="8"/>
        <v>'31200605212775020000000000000000',</v>
      </c>
    </row>
    <row r="443" spans="26:27">
      <c r="Z443" t="s">
        <v>1427</v>
      </c>
      <c r="AA443" s="99" t="str">
        <f t="shared" si="8"/>
        <v>'31000352444445020000000000000000',</v>
      </c>
    </row>
    <row r="444" spans="26:27">
      <c r="Z444" t="s">
        <v>1926</v>
      </c>
      <c r="AA444" s="99" t="str">
        <f t="shared" si="8"/>
        <v>'31000801606382020000000000000000',</v>
      </c>
    </row>
    <row r="445" spans="26:27">
      <c r="Z445" t="s">
        <v>1927</v>
      </c>
      <c r="AA445" s="99" t="str">
        <f t="shared" si="8"/>
        <v>'31000030125856001000000000000000',</v>
      </c>
    </row>
    <row r="446" spans="26:27">
      <c r="Z446" t="s">
        <v>1928</v>
      </c>
      <c r="AA446" s="99" t="str">
        <f t="shared" si="8"/>
        <v>'31000313614664020000000000000000',</v>
      </c>
    </row>
    <row r="447" spans="26:27">
      <c r="Z447" t="s">
        <v>1435</v>
      </c>
      <c r="AA447" s="99" t="str">
        <f t="shared" si="8"/>
        <v>'31000312251996096000000000000000',</v>
      </c>
    </row>
    <row r="448" spans="26:27">
      <c r="Z448" t="s">
        <v>1717</v>
      </c>
      <c r="AA448" s="99" t="str">
        <f t="shared" si="8"/>
        <v>'31000336365039020000000000000000',</v>
      </c>
    </row>
    <row r="449" spans="26:27">
      <c r="Z449" t="s">
        <v>1929</v>
      </c>
      <c r="AA449" s="99" t="str">
        <f t="shared" si="8"/>
        <v>'31000348839229020000000000000000',</v>
      </c>
    </row>
    <row r="450" spans="26:27">
      <c r="Z450" t="s">
        <v>1930</v>
      </c>
      <c r="AA450" s="99" t="str">
        <f t="shared" si="8"/>
        <v>'31000350397892020000000000000000',</v>
      </c>
    </row>
    <row r="451" spans="26:27">
      <c r="Z451" t="s">
        <v>1931</v>
      </c>
      <c r="AA451" s="99" t="str">
        <f t="shared" si="8"/>
        <v>'31000352127693020000000000000000',</v>
      </c>
    </row>
    <row r="452" spans="26:27">
      <c r="Z452" t="s">
        <v>1932</v>
      </c>
      <c r="AA452" s="99" t="str">
        <f t="shared" si="8"/>
        <v>'31000315921199096000000000000000',</v>
      </c>
    </row>
    <row r="453" spans="26:27">
      <c r="Z453" t="s">
        <v>1933</v>
      </c>
      <c r="AA453" s="99" t="str">
        <f t="shared" si="8"/>
        <v>'31000313982053020000000000000000',</v>
      </c>
    </row>
    <row r="454" spans="26:27">
      <c r="Z454" t="s">
        <v>925</v>
      </c>
      <c r="AA454" s="99" t="str">
        <f t="shared" si="8"/>
        <v>'31000007076095001000000000000000',</v>
      </c>
    </row>
    <row r="455" spans="26:27">
      <c r="Z455" t="s">
        <v>1934</v>
      </c>
      <c r="AA455" s="99" t="str">
        <f t="shared" si="8"/>
        <v>'31211506235279020000000000000000',</v>
      </c>
    </row>
    <row r="456" spans="26:27">
      <c r="Z456" t="s">
        <v>1935</v>
      </c>
      <c r="AA456" s="99" t="str">
        <f t="shared" si="8"/>
        <v>'31000353398871020000000000000000',</v>
      </c>
    </row>
    <row r="457" spans="26:27">
      <c r="Z457" t="s">
        <v>1936</v>
      </c>
      <c r="AA457" s="99" t="str">
        <f t="shared" ref="AA457:AA520" si="9">"'"&amp;Z457&amp;"',"</f>
        <v>'31000321206487020000000000000000',</v>
      </c>
    </row>
    <row r="458" spans="26:27">
      <c r="Z458" t="s">
        <v>1937</v>
      </c>
      <c r="AA458" s="99" t="str">
        <f t="shared" si="9"/>
        <v>'31000327771336020000000000000000',</v>
      </c>
    </row>
    <row r="459" spans="26:27">
      <c r="Z459" t="s">
        <v>1629</v>
      </c>
      <c r="AA459" s="99" t="str">
        <f t="shared" si="9"/>
        <v>'31000316532235096000000000000000',</v>
      </c>
    </row>
    <row r="460" spans="26:27">
      <c r="Z460" t="s">
        <v>1938</v>
      </c>
      <c r="AA460" s="99" t="str">
        <f t="shared" si="9"/>
        <v>'31000353438768020000000000000000',</v>
      </c>
    </row>
    <row r="461" spans="26:27">
      <c r="Z461" t="s">
        <v>1939</v>
      </c>
      <c r="AA461" s="99" t="str">
        <f t="shared" si="9"/>
        <v>'31000339531892020000000000000000',</v>
      </c>
    </row>
    <row r="462" spans="26:27">
      <c r="Z462" t="s">
        <v>1940</v>
      </c>
      <c r="AA462" s="99" t="str">
        <f t="shared" si="9"/>
        <v>'31000344008688020000000000000000',</v>
      </c>
    </row>
    <row r="463" spans="26:27">
      <c r="Z463" t="s">
        <v>1941</v>
      </c>
      <c r="AA463" s="99" t="str">
        <f t="shared" si="9"/>
        <v>'31000340874455020000000000000000',</v>
      </c>
    </row>
    <row r="464" spans="26:27">
      <c r="Z464" t="s">
        <v>1942</v>
      </c>
      <c r="AA464" s="99" t="str">
        <f t="shared" si="9"/>
        <v>'31000345045150020000000000000000',</v>
      </c>
    </row>
    <row r="465" spans="26:27">
      <c r="Z465" t="s">
        <v>1943</v>
      </c>
      <c r="AA465" s="99" t="str">
        <f t="shared" si="9"/>
        <v>'31204501343606020000000000000000',</v>
      </c>
    </row>
    <row r="466" spans="26:27">
      <c r="Z466" t="s">
        <v>1944</v>
      </c>
      <c r="AA466" s="99" t="str">
        <f t="shared" si="9"/>
        <v>'31000348948160020000000000000000',</v>
      </c>
    </row>
    <row r="467" spans="26:27">
      <c r="Z467" t="s">
        <v>1345</v>
      </c>
      <c r="AA467" s="99" t="str">
        <f t="shared" si="9"/>
        <v>'31003198182320011598665200000001',</v>
      </c>
    </row>
    <row r="468" spans="26:27">
      <c r="Z468" t="s">
        <v>1945</v>
      </c>
      <c r="AA468" s="99" t="str">
        <f t="shared" si="9"/>
        <v>'31000344744563020000000000000000',</v>
      </c>
    </row>
    <row r="469" spans="26:27">
      <c r="Z469" t="s">
        <v>1946</v>
      </c>
      <c r="AA469" s="99" t="str">
        <f t="shared" si="9"/>
        <v>'31000345672482020000000000000000',</v>
      </c>
    </row>
    <row r="470" spans="26:27">
      <c r="Z470" t="s">
        <v>1947</v>
      </c>
      <c r="AA470" s="99" t="str">
        <f t="shared" si="9"/>
        <v>'31000323861834020000000000000000',</v>
      </c>
    </row>
    <row r="471" spans="26:27">
      <c r="Z471" t="s">
        <v>1708</v>
      </c>
      <c r="AA471" s="99" t="str">
        <f t="shared" si="9"/>
        <v>'31000341318080020000000000000000',</v>
      </c>
    </row>
    <row r="472" spans="26:27">
      <c r="Z472" t="s">
        <v>1625</v>
      </c>
      <c r="AA472" s="99" t="str">
        <f t="shared" si="9"/>
        <v>'31000029216709001000000000000000',</v>
      </c>
    </row>
    <row r="473" spans="26:27">
      <c r="Z473" t="s">
        <v>1948</v>
      </c>
      <c r="AA473" s="99" t="str">
        <f t="shared" si="9"/>
        <v>'31000348351118020000000000000000',</v>
      </c>
    </row>
    <row r="474" spans="26:27">
      <c r="Z474" t="s">
        <v>1949</v>
      </c>
      <c r="AA474" s="99" t="str">
        <f t="shared" si="9"/>
        <v>'31000348872147020000000000000000',</v>
      </c>
    </row>
    <row r="475" spans="26:27">
      <c r="Z475" t="s">
        <v>1950</v>
      </c>
      <c r="AA475" s="99" t="str">
        <f t="shared" si="9"/>
        <v>'31000325380890020000000000000000',</v>
      </c>
    </row>
    <row r="476" spans="26:27">
      <c r="Z476" t="s">
        <v>974</v>
      </c>
      <c r="AA476" s="99" t="str">
        <f t="shared" si="9"/>
        <v>'31000352172152020000000000000000',</v>
      </c>
    </row>
    <row r="477" spans="26:27">
      <c r="Z477" t="s">
        <v>1951</v>
      </c>
      <c r="AA477" s="99" t="str">
        <f t="shared" si="9"/>
        <v>'31000054151861020000000000000000',</v>
      </c>
    </row>
    <row r="478" spans="26:27">
      <c r="Z478" t="s">
        <v>1519</v>
      </c>
      <c r="AA478" s="99" t="str">
        <f t="shared" si="9"/>
        <v>'31000351428647020000000000000000',</v>
      </c>
    </row>
    <row r="479" spans="26:27">
      <c r="Z479" t="s">
        <v>1952</v>
      </c>
      <c r="AA479" s="99" t="str">
        <f t="shared" si="9"/>
        <v>'31222401760446020000000000000000',</v>
      </c>
    </row>
    <row r="480" spans="26:27">
      <c r="Z480" t="s">
        <v>1953</v>
      </c>
      <c r="AA480" s="99" t="str">
        <f t="shared" si="9"/>
        <v>'31000314277239096000000000000000',</v>
      </c>
    </row>
    <row r="481" spans="26:27">
      <c r="Z481" t="s">
        <v>1507</v>
      </c>
      <c r="AA481" s="99" t="str">
        <f t="shared" si="9"/>
        <v>'31000314428817020000000000000000',</v>
      </c>
    </row>
    <row r="482" spans="26:27">
      <c r="Z482" t="s">
        <v>1954</v>
      </c>
      <c r="AA482" s="99" t="str">
        <f t="shared" si="9"/>
        <v>'31000321158472020000000000000000',</v>
      </c>
    </row>
    <row r="483" spans="26:27">
      <c r="Z483" t="s">
        <v>1955</v>
      </c>
      <c r="AA483" s="99" t="str">
        <f t="shared" si="9"/>
        <v>'31000356839533020000000000000000',</v>
      </c>
    </row>
    <row r="484" spans="26:27">
      <c r="Z484" t="s">
        <v>1956</v>
      </c>
      <c r="AA484" s="99" t="str">
        <f t="shared" si="9"/>
        <v>'31000323570682020000000000000000',</v>
      </c>
    </row>
    <row r="485" spans="26:27">
      <c r="Z485" t="s">
        <v>1957</v>
      </c>
      <c r="AA485" s="99" t="str">
        <f t="shared" si="9"/>
        <v>'31000100202180087000000000000000',</v>
      </c>
    </row>
    <row r="486" spans="26:27">
      <c r="Z486" t="s">
        <v>1958</v>
      </c>
      <c r="AA486" s="99" t="str">
        <f t="shared" si="9"/>
        <v>'31000352751120020000000000000000',</v>
      </c>
    </row>
    <row r="487" spans="26:27">
      <c r="Z487" t="s">
        <v>1959</v>
      </c>
      <c r="AA487" s="99" t="str">
        <f t="shared" si="9"/>
        <v>'31000351331320020000000000000000',</v>
      </c>
    </row>
    <row r="488" spans="26:27">
      <c r="Z488" t="s">
        <v>1622</v>
      </c>
      <c r="AA488" s="99" t="str">
        <f t="shared" si="9"/>
        <v>'31000344557221020000000000000000',</v>
      </c>
    </row>
    <row r="489" spans="26:27">
      <c r="Z489" t="s">
        <v>1960</v>
      </c>
      <c r="AA489" s="99" t="str">
        <f t="shared" si="9"/>
        <v>'31000351321420020000000000000000',</v>
      </c>
    </row>
    <row r="490" spans="26:27">
      <c r="Z490" t="s">
        <v>1961</v>
      </c>
      <c r="AA490" s="99" t="str">
        <f t="shared" si="9"/>
        <v>'31000055624882020000000000000000',</v>
      </c>
    </row>
    <row r="491" spans="26:27">
      <c r="Z491" t="s">
        <v>1705</v>
      </c>
      <c r="AA491" s="99" t="str">
        <f t="shared" si="9"/>
        <v>'31000002793659001000000000000000',</v>
      </c>
    </row>
    <row r="492" spans="26:27">
      <c r="Z492" t="s">
        <v>1962</v>
      </c>
      <c r="AA492" s="99" t="str">
        <f t="shared" si="9"/>
        <v>'31000006012843001000000000000000',</v>
      </c>
    </row>
    <row r="493" spans="26:27">
      <c r="Z493" t="s">
        <v>1789</v>
      </c>
      <c r="AA493" s="99" t="str">
        <f t="shared" si="9"/>
        <v>'31000100201589114000000000000000',</v>
      </c>
    </row>
    <row r="494" spans="26:27">
      <c r="Z494" t="s">
        <v>1963</v>
      </c>
      <c r="AA494" s="99" t="str">
        <f t="shared" si="9"/>
        <v>'31000347297536020000000000000000',</v>
      </c>
    </row>
    <row r="495" spans="26:27">
      <c r="Z495" t="s">
        <v>1964</v>
      </c>
      <c r="AA495" s="99" t="str">
        <f t="shared" si="9"/>
        <v>'31000339062492020000000000000000',</v>
      </c>
    </row>
    <row r="496" spans="26:27">
      <c r="Z496" t="s">
        <v>1510</v>
      </c>
      <c r="AA496" s="99" t="str">
        <f t="shared" si="9"/>
        <v>'31000600541807096000000000000000',</v>
      </c>
    </row>
    <row r="497" spans="26:27">
      <c r="Z497" t="s">
        <v>1965</v>
      </c>
      <c r="AA497" s="99" t="str">
        <f t="shared" si="9"/>
        <v>'31000349177876020000000000000000',</v>
      </c>
    </row>
    <row r="498" spans="26:27">
      <c r="Z498" t="s">
        <v>1966</v>
      </c>
      <c r="AA498" s="99" t="str">
        <f t="shared" si="9"/>
        <v>'31000312655683096000000000000000',</v>
      </c>
    </row>
    <row r="499" spans="26:27">
      <c r="Z499" t="s">
        <v>1967</v>
      </c>
      <c r="AA499" s="99" t="str">
        <f t="shared" si="9"/>
        <v>'31000352899408020000000000000000',</v>
      </c>
    </row>
    <row r="500" spans="26:27">
      <c r="Z500" t="s">
        <v>1968</v>
      </c>
      <c r="AA500" s="99" t="str">
        <f t="shared" si="9"/>
        <v>'31000352464427020000000000000000',</v>
      </c>
    </row>
    <row r="501" spans="26:27">
      <c r="Z501" t="s">
        <v>1247</v>
      </c>
      <c r="AA501" s="99" t="str">
        <f t="shared" si="9"/>
        <v>'31000351207058020000000000000000',</v>
      </c>
    </row>
    <row r="502" spans="26:27">
      <c r="Z502" t="s">
        <v>1502</v>
      </c>
      <c r="AA502" s="99" t="str">
        <f t="shared" si="9"/>
        <v>'31000335035237020000000000000000',</v>
      </c>
    </row>
    <row r="503" spans="26:27">
      <c r="Z503" t="s">
        <v>1969</v>
      </c>
      <c r="AA503" s="99" t="str">
        <f t="shared" si="9"/>
        <v>'31003194629730011523511300000001',</v>
      </c>
    </row>
    <row r="504" spans="26:27">
      <c r="Z504" t="s">
        <v>1970</v>
      </c>
      <c r="AA504" s="99" t="str">
        <f t="shared" si="9"/>
        <v>'31000010721785541000000000000000',</v>
      </c>
    </row>
    <row r="505" spans="26:27">
      <c r="Z505" t="s">
        <v>1714</v>
      </c>
      <c r="AA505" s="99" t="str">
        <f t="shared" si="9"/>
        <v>'31000316409161020000000000000000',</v>
      </c>
    </row>
    <row r="506" spans="26:27">
      <c r="Z506" t="s">
        <v>1971</v>
      </c>
      <c r="AA506" s="99" t="str">
        <f t="shared" si="9"/>
        <v>'31000347961560020000000000000000',</v>
      </c>
    </row>
    <row r="507" spans="26:27">
      <c r="Z507" t="s">
        <v>1972</v>
      </c>
      <c r="AA507" s="99" t="str">
        <f t="shared" si="9"/>
        <v>'31000336696813020000000000000000',</v>
      </c>
    </row>
    <row r="508" spans="26:27">
      <c r="Z508" t="s">
        <v>1497</v>
      </c>
      <c r="AA508" s="99" t="str">
        <f t="shared" si="9"/>
        <v>'31000806627649020000000000000000',</v>
      </c>
    </row>
    <row r="509" spans="26:27">
      <c r="Z509" t="s">
        <v>1973</v>
      </c>
      <c r="AA509" s="99" t="str">
        <f t="shared" si="9"/>
        <v>'31000348518567020000000000000000',</v>
      </c>
    </row>
    <row r="510" spans="26:27">
      <c r="Z510" t="s">
        <v>1974</v>
      </c>
      <c r="AA510" s="99" t="str">
        <f t="shared" si="9"/>
        <v>'31000349052905020000000000000000',</v>
      </c>
    </row>
    <row r="511" spans="26:27">
      <c r="Z511" t="s">
        <v>1975</v>
      </c>
      <c r="AA511" s="99" t="str">
        <f t="shared" si="9"/>
        <v>'31000336407591020000000000000000',</v>
      </c>
    </row>
    <row r="512" spans="26:27">
      <c r="Z512" t="s">
        <v>1339</v>
      </c>
      <c r="AA512" s="99" t="str">
        <f t="shared" si="9"/>
        <v>'31000805323398020000000000000000',</v>
      </c>
    </row>
    <row r="513" spans="26:27">
      <c r="Z513" t="s">
        <v>1419</v>
      </c>
      <c r="AA513" s="99" t="str">
        <f t="shared" si="9"/>
        <v>'31000318183813096000000000000000',</v>
      </c>
    </row>
    <row r="514" spans="26:27">
      <c r="Z514" t="s">
        <v>1976</v>
      </c>
      <c r="AA514" s="99" t="str">
        <f t="shared" si="9"/>
        <v>'31005126225400011688994700000001',</v>
      </c>
    </row>
    <row r="515" spans="26:27">
      <c r="Z515" t="s">
        <v>1977</v>
      </c>
      <c r="AA515" s="99" t="str">
        <f t="shared" si="9"/>
        <v>'31000352237666020000000000000000',</v>
      </c>
    </row>
    <row r="516" spans="26:27">
      <c r="Z516" t="s">
        <v>1978</v>
      </c>
      <c r="AA516" s="99" t="str">
        <f t="shared" si="9"/>
        <v>'31000800483188096000000000000000',</v>
      </c>
    </row>
    <row r="517" spans="26:27">
      <c r="Z517" t="s">
        <v>1494</v>
      </c>
      <c r="AA517" s="99" t="str">
        <f t="shared" si="9"/>
        <v>'31000008656327021000000000000000',</v>
      </c>
    </row>
    <row r="518" spans="26:27">
      <c r="Z518" t="s">
        <v>1979</v>
      </c>
      <c r="AA518" s="99" t="str">
        <f t="shared" si="9"/>
        <v>'31000351301455020000000000000000',</v>
      </c>
    </row>
    <row r="519" spans="26:27">
      <c r="Z519" t="s">
        <v>874</v>
      </c>
      <c r="AA519" s="99" t="str">
        <f t="shared" si="9"/>
        <v>'31000356273543020000000000000000',</v>
      </c>
    </row>
    <row r="520" spans="26:27">
      <c r="Z520" t="s">
        <v>1638</v>
      </c>
      <c r="AA520" s="99" t="str">
        <f t="shared" si="9"/>
        <v>'31000314775464020000000000000000',</v>
      </c>
    </row>
    <row r="521" spans="26:27">
      <c r="Z521" t="s">
        <v>1342</v>
      </c>
      <c r="AA521" s="99" t="str">
        <f t="shared" ref="AA521:AA584" si="10">"'"&amp;Z521&amp;"',"</f>
        <v>'31000313198659096000000000000000',</v>
      </c>
    </row>
    <row r="522" spans="26:27">
      <c r="Z522" t="s">
        <v>1980</v>
      </c>
      <c r="AA522" s="99" t="str">
        <f t="shared" si="10"/>
        <v>'31000806838295020000000000000000',</v>
      </c>
    </row>
    <row r="523" spans="26:27">
      <c r="Z523" t="s">
        <v>1981</v>
      </c>
      <c r="AA523" s="99" t="str">
        <f t="shared" si="10"/>
        <v>'31000315394992020000000000000000',</v>
      </c>
    </row>
    <row r="524" spans="26:27">
      <c r="Z524" t="s">
        <v>1982</v>
      </c>
      <c r="AA524" s="99" t="str">
        <f t="shared" si="10"/>
        <v>'31000352367778020000000000000000',</v>
      </c>
    </row>
    <row r="525" spans="26:27">
      <c r="Z525" t="s">
        <v>1983</v>
      </c>
      <c r="AA525" s="99" t="str">
        <f t="shared" si="10"/>
        <v>'31000804472253020000000000000000',</v>
      </c>
    </row>
    <row r="526" spans="26:27">
      <c r="Z526" t="s">
        <v>1984</v>
      </c>
      <c r="AA526" s="99" t="str">
        <f t="shared" si="10"/>
        <v>'31000312235809096000000000000000',</v>
      </c>
    </row>
    <row r="527" spans="26:27">
      <c r="Z527" t="s">
        <v>1985</v>
      </c>
      <c r="AA527" s="99" t="str">
        <f t="shared" si="10"/>
        <v>'31000347334297020000000000000000',</v>
      </c>
    </row>
    <row r="528" spans="26:27">
      <c r="Z528" t="s">
        <v>1807</v>
      </c>
      <c r="AA528" s="99" t="str">
        <f t="shared" si="10"/>
        <v>'31025300200040249000000000000000',</v>
      </c>
    </row>
    <row r="529" spans="26:27">
      <c r="Z529" t="s">
        <v>1986</v>
      </c>
      <c r="AA529" s="99" t="str">
        <f t="shared" si="10"/>
        <v>'31000053067050020000000000000000',</v>
      </c>
    </row>
    <row r="530" spans="26:27">
      <c r="Z530" t="s">
        <v>1987</v>
      </c>
      <c r="AA530" s="99" t="str">
        <f t="shared" si="10"/>
        <v>'31000331224819020000000000000000',</v>
      </c>
    </row>
    <row r="531" spans="26:27">
      <c r="Z531" t="s">
        <v>1988</v>
      </c>
      <c r="AA531" s="99" t="str">
        <f t="shared" si="10"/>
        <v>'31000347099312020000000000000000',</v>
      </c>
    </row>
    <row r="532" spans="26:27">
      <c r="Z532" t="s">
        <v>1989</v>
      </c>
      <c r="AA532" s="99" t="str">
        <f t="shared" si="10"/>
        <v>'31000352046760020000000000000000',</v>
      </c>
    </row>
    <row r="533" spans="26:27">
      <c r="Z533" t="s">
        <v>1990</v>
      </c>
      <c r="AA533" s="99" t="str">
        <f t="shared" si="10"/>
        <v>'31000350201011020000000000000000',</v>
      </c>
    </row>
    <row r="534" spans="26:27">
      <c r="Z534" t="s">
        <v>1991</v>
      </c>
      <c r="AA534" s="99" t="str">
        <f t="shared" si="10"/>
        <v>'31000336438091020000000000000000',</v>
      </c>
    </row>
    <row r="535" spans="26:27">
      <c r="Z535" t="s">
        <v>1992</v>
      </c>
      <c r="AA535" s="99" t="str">
        <f t="shared" si="10"/>
        <v>'31000346990610020000000000000000',</v>
      </c>
    </row>
    <row r="536" spans="26:27">
      <c r="Z536" t="s">
        <v>1780</v>
      </c>
      <c r="AA536" s="99" t="str">
        <f t="shared" si="10"/>
        <v>'31000354936190020000000000000000',</v>
      </c>
    </row>
    <row r="537" spans="26:27">
      <c r="Z537" t="s">
        <v>1993</v>
      </c>
      <c r="AA537" s="99" t="str">
        <f t="shared" si="10"/>
        <v>'31000351095370020000000000000000',</v>
      </c>
    </row>
    <row r="538" spans="26:27">
      <c r="Z538" t="s">
        <v>1994</v>
      </c>
      <c r="AA538" s="99" t="str">
        <f t="shared" si="10"/>
        <v>'31000319252500096000000000000000',</v>
      </c>
    </row>
    <row r="539" spans="26:27">
      <c r="Z539" t="s">
        <v>1995</v>
      </c>
      <c r="AA539" s="99" t="str">
        <f t="shared" si="10"/>
        <v>'31000327314418020000000000000000',</v>
      </c>
    </row>
    <row r="540" spans="26:27">
      <c r="Z540" t="s">
        <v>1996</v>
      </c>
      <c r="AA540" s="99" t="str">
        <f t="shared" si="10"/>
        <v>'31000353003984020000000000000000',</v>
      </c>
    </row>
    <row r="541" spans="26:27">
      <c r="Z541" t="s">
        <v>1997</v>
      </c>
      <c r="AA541" s="99" t="str">
        <f t="shared" si="10"/>
        <v>'31000349811193020000000000000000',</v>
      </c>
    </row>
    <row r="542" spans="26:27">
      <c r="Z542" t="s">
        <v>1998</v>
      </c>
      <c r="AA542" s="99" t="str">
        <f t="shared" si="10"/>
        <v>'31000350188218020000000000000000',</v>
      </c>
    </row>
    <row r="543" spans="26:27">
      <c r="Z543" t="s">
        <v>1154</v>
      </c>
      <c r="AA543" s="99" t="str">
        <f t="shared" si="10"/>
        <v>'31000036636745001000000000000000',</v>
      </c>
    </row>
    <row r="544" spans="26:27">
      <c r="Z544" t="s">
        <v>1157</v>
      </c>
      <c r="AA544" s="99" t="str">
        <f t="shared" si="10"/>
        <v>'31000311291936096000000000000000',</v>
      </c>
    </row>
    <row r="545" spans="26:27">
      <c r="Z545" t="s">
        <v>1999</v>
      </c>
      <c r="AA545" s="99" t="str">
        <f t="shared" si="10"/>
        <v>'31000344796258020000000000000000',</v>
      </c>
    </row>
    <row r="546" spans="26:27">
      <c r="Z546" t="s">
        <v>2000</v>
      </c>
      <c r="AA546" s="99" t="str">
        <f t="shared" si="10"/>
        <v>'31000340034324020000000000000000',</v>
      </c>
    </row>
    <row r="547" spans="26:27">
      <c r="Z547" t="s">
        <v>2001</v>
      </c>
      <c r="AA547" s="99" t="str">
        <f t="shared" si="10"/>
        <v>'31000349036064020000000000000000',</v>
      </c>
    </row>
    <row r="548" spans="26:27">
      <c r="Z548" t="s">
        <v>2002</v>
      </c>
      <c r="AA548" s="99" t="str">
        <f t="shared" si="10"/>
        <v>'31000352366283020000000000000000',</v>
      </c>
    </row>
    <row r="549" spans="26:27">
      <c r="Z549" t="s">
        <v>2003</v>
      </c>
      <c r="AA549" s="99" t="str">
        <f t="shared" si="10"/>
        <v>'31000801091999020000000000000000',</v>
      </c>
    </row>
    <row r="550" spans="26:27">
      <c r="Z550" t="s">
        <v>1513</v>
      </c>
      <c r="AA550" s="99" t="str">
        <f t="shared" si="10"/>
        <v>'31000312585948096000000000000000',</v>
      </c>
    </row>
    <row r="551" spans="26:27">
      <c r="Z551" t="s">
        <v>2004</v>
      </c>
      <c r="AA551" s="99" t="str">
        <f t="shared" si="10"/>
        <v>'31000323987019020000000000000000',</v>
      </c>
    </row>
    <row r="552" spans="26:27">
      <c r="Z552" t="s">
        <v>2005</v>
      </c>
      <c r="AA552" s="99" t="str">
        <f t="shared" si="10"/>
        <v>'31000322760029020000000000000000',</v>
      </c>
    </row>
    <row r="553" spans="26:27">
      <c r="Z553" t="s">
        <v>2006</v>
      </c>
      <c r="AA553" s="99" t="str">
        <f t="shared" si="10"/>
        <v>'31000804839782020000000000000000',</v>
      </c>
    </row>
    <row r="554" spans="26:27">
      <c r="Z554" t="s">
        <v>965</v>
      </c>
      <c r="AA554" s="99" t="str">
        <f t="shared" si="10"/>
        <v>'31000312974472096000000000000000',</v>
      </c>
    </row>
    <row r="555" spans="26:27">
      <c r="Z555" t="s">
        <v>2007</v>
      </c>
      <c r="AA555" s="99" t="str">
        <f t="shared" si="10"/>
        <v>'31000318209247020000000000000000',</v>
      </c>
    </row>
    <row r="556" spans="26:27">
      <c r="Z556" t="s">
        <v>2008</v>
      </c>
      <c r="AA556" s="99" t="str">
        <f t="shared" si="10"/>
        <v>'31000353314092020000000000000000',</v>
      </c>
    </row>
    <row r="557" spans="26:27">
      <c r="Z557" t="s">
        <v>2009</v>
      </c>
      <c r="AA557" s="99" t="str">
        <f t="shared" si="10"/>
        <v>'31000351399079020000000000000000',</v>
      </c>
    </row>
    <row r="558" spans="26:27">
      <c r="Z558" t="s">
        <v>2010</v>
      </c>
      <c r="AA558" s="99" t="str">
        <f t="shared" si="10"/>
        <v>'31000352040755020000000000000000',</v>
      </c>
    </row>
    <row r="559" spans="26:27">
      <c r="Z559" t="s">
        <v>2011</v>
      </c>
      <c r="AA559" s="99" t="str">
        <f t="shared" si="10"/>
        <v>'31000806269293020000000000000000',</v>
      </c>
    </row>
    <row r="560" spans="26:27">
      <c r="Z560" t="s">
        <v>2012</v>
      </c>
      <c r="AA560" s="99" t="str">
        <f t="shared" si="10"/>
        <v>'31000336388866020000000000000000',</v>
      </c>
    </row>
    <row r="561" spans="26:27">
      <c r="Z561" t="s">
        <v>2013</v>
      </c>
      <c r="AA561" s="99" t="str">
        <f t="shared" si="10"/>
        <v>'31000350158120020000000000000000',</v>
      </c>
    </row>
    <row r="562" spans="26:27">
      <c r="Z562" t="s">
        <v>2014</v>
      </c>
      <c r="AA562" s="99" t="str">
        <f t="shared" si="10"/>
        <v>'31000352276193020000000000000000',</v>
      </c>
    </row>
    <row r="563" spans="26:27">
      <c r="Z563" t="s">
        <v>2015</v>
      </c>
      <c r="AA563" s="99" t="str">
        <f t="shared" si="10"/>
        <v>'31000352922150020000000000000000',</v>
      </c>
    </row>
    <row r="564" spans="26:27">
      <c r="Z564" t="s">
        <v>2016</v>
      </c>
      <c r="AA564" s="99" t="str">
        <f t="shared" si="10"/>
        <v>'31000341904038020000000000000000',</v>
      </c>
    </row>
    <row r="565" spans="26:27">
      <c r="Z565" t="s">
        <v>1417</v>
      </c>
      <c r="AA565" s="99" t="str">
        <f t="shared" si="10"/>
        <v>'31000332944126020000000000000000',</v>
      </c>
    </row>
    <row r="566" spans="26:27">
      <c r="Z566" t="s">
        <v>2017</v>
      </c>
      <c r="AA566" s="99" t="str">
        <f t="shared" si="10"/>
        <v>'31000345192853020000000000000000',</v>
      </c>
    </row>
    <row r="567" spans="26:27">
      <c r="Z567" t="s">
        <v>2018</v>
      </c>
      <c r="AA567" s="99" t="str">
        <f t="shared" si="10"/>
        <v>'31000352265725020000000000000000',</v>
      </c>
    </row>
    <row r="568" spans="26:27">
      <c r="Z568" t="s">
        <v>2019</v>
      </c>
      <c r="AA568" s="99" t="str">
        <f t="shared" si="10"/>
        <v>'31000346968343020000000000000000',</v>
      </c>
    </row>
    <row r="569" spans="26:27">
      <c r="Z569" t="s">
        <v>2020</v>
      </c>
      <c r="AA569" s="99" t="str">
        <f t="shared" si="10"/>
        <v>'31000349493877020000000000000000',</v>
      </c>
    </row>
    <row r="570" spans="26:27">
      <c r="Z570" t="s">
        <v>2021</v>
      </c>
      <c r="AA570" s="99" t="str">
        <f t="shared" si="10"/>
        <v>'31000305788103096000000000000000',</v>
      </c>
    </row>
    <row r="571" spans="26:27">
      <c r="Z571" t="s">
        <v>2022</v>
      </c>
      <c r="AA571" s="99" t="str">
        <f t="shared" si="10"/>
        <v>'31005123240900011624671700000001',</v>
      </c>
    </row>
    <row r="572" spans="26:27">
      <c r="Z572" t="s">
        <v>891</v>
      </c>
      <c r="AA572" s="99" t="str">
        <f t="shared" si="10"/>
        <v>'31000352232170020000000000000000',</v>
      </c>
    </row>
    <row r="573" spans="26:27">
      <c r="Z573" t="s">
        <v>2023</v>
      </c>
      <c r="AA573" s="99" t="str">
        <f t="shared" si="10"/>
        <v>'31000350178821020000000000000000',</v>
      </c>
    </row>
    <row r="574" spans="26:27">
      <c r="Z574" t="s">
        <v>1409</v>
      </c>
      <c r="AA574" s="99" t="str">
        <f t="shared" si="10"/>
        <v>'31000320486882020000000000000000',</v>
      </c>
    </row>
    <row r="575" spans="26:27">
      <c r="Z575" t="s">
        <v>2024</v>
      </c>
      <c r="AA575" s="99" t="str">
        <f t="shared" si="10"/>
        <v>'31000353639555020000000000000000',</v>
      </c>
    </row>
    <row r="576" spans="26:27">
      <c r="Z576" t="s">
        <v>2025</v>
      </c>
      <c r="AA576" s="99" t="str">
        <f t="shared" si="10"/>
        <v>'31000340128118020000000000000000',</v>
      </c>
    </row>
    <row r="577" spans="26:27">
      <c r="Z577" t="s">
        <v>2026</v>
      </c>
      <c r="AA577" s="99" t="str">
        <f t="shared" si="10"/>
        <v>'31000346322004020000000000000000',</v>
      </c>
    </row>
    <row r="578" spans="26:27">
      <c r="Z578" t="s">
        <v>2027</v>
      </c>
      <c r="AA578" s="99" t="str">
        <f t="shared" si="10"/>
        <v>'31000353043360020000000000000000',</v>
      </c>
    </row>
    <row r="579" spans="26:27">
      <c r="Z579" t="s">
        <v>2028</v>
      </c>
      <c r="AA579" s="99" t="str">
        <f t="shared" si="10"/>
        <v>'31000345114139020000000000000000',</v>
      </c>
    </row>
    <row r="580" spans="26:27">
      <c r="Z580" t="s">
        <v>2029</v>
      </c>
      <c r="AA580" s="99" t="str">
        <f t="shared" si="10"/>
        <v>'31000351639839020000000000000000',</v>
      </c>
    </row>
    <row r="581" spans="26:27">
      <c r="Z581" t="s">
        <v>2030</v>
      </c>
      <c r="AA581" s="99" t="str">
        <f t="shared" si="10"/>
        <v>'31000352533783020000000000000000',</v>
      </c>
    </row>
    <row r="582" spans="26:27">
      <c r="Z582" t="s">
        <v>2031</v>
      </c>
      <c r="AA582" s="99" t="str">
        <f t="shared" si="10"/>
        <v>'31000342741306020000000000000000',</v>
      </c>
    </row>
    <row r="583" spans="26:27">
      <c r="Z583" t="s">
        <v>2032</v>
      </c>
      <c r="AA583" s="99" t="str">
        <f t="shared" si="10"/>
        <v>'31005126943370011629937300000001',</v>
      </c>
    </row>
    <row r="584" spans="26:27">
      <c r="Z584" t="s">
        <v>2033</v>
      </c>
      <c r="AA584" s="99" t="str">
        <f t="shared" si="10"/>
        <v>'31000340312175020000000000000000',</v>
      </c>
    </row>
    <row r="585" spans="26:27">
      <c r="Z585" t="s">
        <v>1632</v>
      </c>
      <c r="AA585" s="99" t="str">
        <f t="shared" ref="AA585:AA648" si="11">"'"&amp;Z585&amp;"',"</f>
        <v>'31000346282513020000000000000000',</v>
      </c>
    </row>
    <row r="586" spans="26:27">
      <c r="Z586" t="s">
        <v>2034</v>
      </c>
      <c r="AA586" s="99" t="str">
        <f t="shared" si="11"/>
        <v>'31000352155785020000000000000000',</v>
      </c>
    </row>
    <row r="587" spans="26:27">
      <c r="Z587" t="s">
        <v>2035</v>
      </c>
      <c r="AA587" s="99" t="str">
        <f t="shared" si="11"/>
        <v>'31000340729923020000000000000000',</v>
      </c>
    </row>
    <row r="588" spans="26:27">
      <c r="Z588" t="s">
        <v>2036</v>
      </c>
      <c r="AA588" s="99" t="str">
        <f t="shared" si="11"/>
        <v>'31000312918354096000000000000000',</v>
      </c>
    </row>
    <row r="589" spans="26:27">
      <c r="Z589" t="s">
        <v>2037</v>
      </c>
      <c r="AA589" s="99" t="str">
        <f t="shared" si="11"/>
        <v>'31000353125548020000000000000000',</v>
      </c>
    </row>
    <row r="590" spans="26:27">
      <c r="Z590" t="s">
        <v>2038</v>
      </c>
      <c r="AA590" s="99" t="str">
        <f t="shared" si="11"/>
        <v>'31000343644921020000000000000000',</v>
      </c>
    </row>
    <row r="591" spans="26:27">
      <c r="Z591" t="s">
        <v>2039</v>
      </c>
      <c r="AA591" s="99" t="str">
        <f t="shared" si="11"/>
        <v>'31000353410650020000000000000000',</v>
      </c>
    </row>
    <row r="592" spans="26:27">
      <c r="Z592" t="s">
        <v>1223</v>
      </c>
      <c r="AA592" s="99" t="str">
        <f t="shared" si="11"/>
        <v>'31000314631998020000000000000000',</v>
      </c>
    </row>
    <row r="593" spans="26:27">
      <c r="Z593" t="s">
        <v>2040</v>
      </c>
      <c r="AA593" s="99" t="str">
        <f t="shared" si="11"/>
        <v>'31000350722669020000000000000000',</v>
      </c>
    </row>
    <row r="594" spans="26:27">
      <c r="Z594" t="s">
        <v>2041</v>
      </c>
      <c r="AA594" s="99" t="str">
        <f t="shared" si="11"/>
        <v>'31000352380474020000000000000000',</v>
      </c>
    </row>
    <row r="595" spans="26:27">
      <c r="Z595" t="s">
        <v>2042</v>
      </c>
      <c r="AA595" s="99" t="str">
        <f t="shared" si="11"/>
        <v>'31003187410880011561660100000001',</v>
      </c>
    </row>
    <row r="596" spans="26:27">
      <c r="Z596" t="s">
        <v>1093</v>
      </c>
      <c r="AA596" s="99" t="str">
        <f t="shared" si="11"/>
        <v>'31003188205040011593087300000001',</v>
      </c>
    </row>
    <row r="597" spans="26:27">
      <c r="Z597" t="s">
        <v>2043</v>
      </c>
      <c r="AA597" s="99" t="str">
        <f t="shared" si="11"/>
        <v>'31000021230456001000000000000000',</v>
      </c>
    </row>
    <row r="598" spans="26:27">
      <c r="Z598" t="s">
        <v>2044</v>
      </c>
      <c r="AA598" s="99" t="str">
        <f t="shared" si="11"/>
        <v>'31000338865044020000000000000000',</v>
      </c>
    </row>
    <row r="599" spans="26:27">
      <c r="Z599" t="s">
        <v>2045</v>
      </c>
      <c r="AA599" s="99" t="str">
        <f t="shared" si="11"/>
        <v>'31000351103935020000000000000000',</v>
      </c>
    </row>
    <row r="600" spans="26:27">
      <c r="Z600" t="s">
        <v>2046</v>
      </c>
      <c r="AA600" s="99" t="str">
        <f t="shared" si="11"/>
        <v>'31000343317742020000000000000000',</v>
      </c>
    </row>
    <row r="601" spans="26:27">
      <c r="Z601" t="s">
        <v>2047</v>
      </c>
      <c r="AA601" s="99" t="str">
        <f t="shared" si="11"/>
        <v>'31000807185415020000000000000000',</v>
      </c>
    </row>
    <row r="602" spans="26:27">
      <c r="Z602" t="s">
        <v>2048</v>
      </c>
      <c r="AA602" s="99" t="str">
        <f t="shared" si="11"/>
        <v>'31000351638252020000000000000000',</v>
      </c>
    </row>
    <row r="603" spans="26:27">
      <c r="Z603" t="s">
        <v>2049</v>
      </c>
      <c r="AA603" s="99" t="str">
        <f t="shared" si="11"/>
        <v>'31000352117710020000000000000000',</v>
      </c>
    </row>
    <row r="604" spans="26:27">
      <c r="Z604" t="s">
        <v>2050</v>
      </c>
      <c r="AA604" s="99" t="str">
        <f t="shared" si="11"/>
        <v>'31000348104889020000000000000000',</v>
      </c>
    </row>
    <row r="605" spans="26:27">
      <c r="Z605" t="s">
        <v>2051</v>
      </c>
      <c r="AA605" s="99" t="str">
        <f t="shared" si="11"/>
        <v>'31000352607405020000000000000000',</v>
      </c>
    </row>
    <row r="606" spans="26:27">
      <c r="Z606" t="s">
        <v>1316</v>
      </c>
      <c r="AA606" s="99" t="str">
        <f t="shared" si="11"/>
        <v>'31000312812763096000000000000000',</v>
      </c>
    </row>
    <row r="607" spans="26:27">
      <c r="Z607" t="s">
        <v>2052</v>
      </c>
      <c r="AA607" s="99" t="str">
        <f t="shared" si="11"/>
        <v>'31000352627361020000000000000000',</v>
      </c>
    </row>
    <row r="608" spans="26:27">
      <c r="Z608" t="s">
        <v>2053</v>
      </c>
      <c r="AA608" s="99" t="str">
        <f t="shared" si="11"/>
        <v>'31000356814320020000000000000000',</v>
      </c>
    </row>
    <row r="609" spans="26:27">
      <c r="Z609" t="s">
        <v>2054</v>
      </c>
      <c r="AA609" s="99" t="str">
        <f t="shared" si="11"/>
        <v>'31000339332937020000000000000000',</v>
      </c>
    </row>
    <row r="610" spans="26:27">
      <c r="Z610" t="s">
        <v>2055</v>
      </c>
      <c r="AA610" s="99" t="str">
        <f t="shared" si="11"/>
        <v>'31000351840031020000000000000000',</v>
      </c>
    </row>
    <row r="611" spans="26:27">
      <c r="Z611" t="s">
        <v>2056</v>
      </c>
      <c r="AA611" s="99" t="str">
        <f t="shared" si="11"/>
        <v>'31000333918350020000000000000000',</v>
      </c>
    </row>
    <row r="612" spans="26:27">
      <c r="Z612" t="s">
        <v>2057</v>
      </c>
      <c r="AA612" s="99" t="str">
        <f t="shared" si="11"/>
        <v>'31000346387668020000000000000000',</v>
      </c>
    </row>
    <row r="613" spans="26:27">
      <c r="Z613" t="s">
        <v>2058</v>
      </c>
      <c r="AA613" s="99" t="str">
        <f t="shared" si="11"/>
        <v>'31000352356128020000000000000000',</v>
      </c>
    </row>
    <row r="614" spans="26:27">
      <c r="Z614" t="s">
        <v>2059</v>
      </c>
      <c r="AA614" s="99" t="str">
        <f t="shared" si="11"/>
        <v>'31000807279978020000000000000000',</v>
      </c>
    </row>
    <row r="615" spans="26:27">
      <c r="Z615" t="s">
        <v>2060</v>
      </c>
      <c r="AA615" s="99" t="str">
        <f t="shared" si="11"/>
        <v>'31000348588156020000000000000000',</v>
      </c>
    </row>
    <row r="616" spans="26:27">
      <c r="Z616" t="s">
        <v>2061</v>
      </c>
      <c r="AA616" s="99" t="str">
        <f t="shared" si="11"/>
        <v>'31000349554033020000000000000000',</v>
      </c>
    </row>
    <row r="617" spans="26:27">
      <c r="Z617" t="s">
        <v>2062</v>
      </c>
      <c r="AA617" s="99" t="str">
        <f t="shared" si="11"/>
        <v>'31000352596186020000000000000000',</v>
      </c>
    </row>
    <row r="618" spans="26:27">
      <c r="Z618" t="s">
        <v>2063</v>
      </c>
      <c r="AA618" s="99" t="str">
        <f t="shared" si="11"/>
        <v>'31000353396958020000000000000000',</v>
      </c>
    </row>
    <row r="619" spans="26:27">
      <c r="Z619" t="s">
        <v>2064</v>
      </c>
      <c r="AA619" s="99" t="str">
        <f t="shared" si="11"/>
        <v>'31003158088470011125690500000001',</v>
      </c>
    </row>
    <row r="620" spans="26:27">
      <c r="Z620" t="s">
        <v>2065</v>
      </c>
      <c r="AA620" s="99" t="str">
        <f t="shared" si="11"/>
        <v>'31000345653706020000000000000000',</v>
      </c>
    </row>
    <row r="621" spans="26:27">
      <c r="Z621" t="s">
        <v>2066</v>
      </c>
      <c r="AA621" s="99" t="str">
        <f t="shared" si="11"/>
        <v>'31000337251725020000000000000000',</v>
      </c>
    </row>
    <row r="622" spans="26:27">
      <c r="Z622" t="s">
        <v>2067</v>
      </c>
      <c r="AA622" s="99" t="str">
        <f t="shared" si="11"/>
        <v>'31228800871512020000000000000000',</v>
      </c>
    </row>
    <row r="623" spans="26:27">
      <c r="Z623" t="s">
        <v>1484</v>
      </c>
      <c r="AA623" s="99" t="str">
        <f t="shared" si="11"/>
        <v>'31000040509205001000000000000000',</v>
      </c>
    </row>
    <row r="624" spans="26:27">
      <c r="Z624" t="s">
        <v>2068</v>
      </c>
      <c r="AA624" s="99" t="str">
        <f t="shared" si="11"/>
        <v>'31000348042428020000000000000000',</v>
      </c>
    </row>
    <row r="625" spans="26:27">
      <c r="Z625" t="s">
        <v>2069</v>
      </c>
      <c r="AA625" s="99" t="str">
        <f t="shared" si="11"/>
        <v>'31225104055177020000000000000000',</v>
      </c>
    </row>
    <row r="626" spans="26:27">
      <c r="Z626" t="s">
        <v>2070</v>
      </c>
      <c r="AA626" s="99" t="str">
        <f t="shared" si="11"/>
        <v>'31000317526856020000000000000000',</v>
      </c>
    </row>
    <row r="627" spans="26:27">
      <c r="Z627" t="s">
        <v>2071</v>
      </c>
      <c r="AA627" s="99" t="str">
        <f t="shared" si="11"/>
        <v>'31000804633029020000000000000000',</v>
      </c>
    </row>
    <row r="628" spans="26:27">
      <c r="Z628" t="s">
        <v>2072</v>
      </c>
      <c r="AA628" s="99" t="str">
        <f t="shared" si="11"/>
        <v>'31000344787695020000000000000000',</v>
      </c>
    </row>
    <row r="629" spans="26:27">
      <c r="Z629" t="s">
        <v>2073</v>
      </c>
      <c r="AA629" s="99" t="str">
        <f t="shared" si="11"/>
        <v>'31000352659539020000000000000000',</v>
      </c>
    </row>
    <row r="630" spans="26:27">
      <c r="Z630" t="s">
        <v>2074</v>
      </c>
      <c r="AA630" s="99" t="str">
        <f t="shared" si="11"/>
        <v>'31000353671574020000000000000000',</v>
      </c>
    </row>
    <row r="631" spans="26:27">
      <c r="Z631" t="s">
        <v>2075</v>
      </c>
      <c r="AA631" s="99" t="str">
        <f t="shared" si="11"/>
        <v>'31000332360596020000000000000000',</v>
      </c>
    </row>
    <row r="632" spans="26:27">
      <c r="Z632" t="s">
        <v>2076</v>
      </c>
      <c r="AA632" s="99" t="str">
        <f t="shared" si="11"/>
        <v>'31000347357736020000000000000000',</v>
      </c>
    </row>
    <row r="633" spans="26:27">
      <c r="Z633" t="s">
        <v>2077</v>
      </c>
      <c r="AA633" s="99" t="str">
        <f t="shared" si="11"/>
        <v>'31000348824304020000000000000000',</v>
      </c>
    </row>
    <row r="634" spans="26:27">
      <c r="Z634" t="s">
        <v>2078</v>
      </c>
      <c r="AA634" s="99" t="str">
        <f t="shared" si="11"/>
        <v>'31000351598506020000000000000000',</v>
      </c>
    </row>
    <row r="635" spans="26:27">
      <c r="Z635" t="s">
        <v>2079</v>
      </c>
      <c r="AA635" s="99" t="str">
        <f t="shared" si="11"/>
        <v>'31000352897303020000000000000000',</v>
      </c>
    </row>
    <row r="636" spans="26:27">
      <c r="Z636" t="s">
        <v>2080</v>
      </c>
      <c r="AA636" s="99" t="str">
        <f t="shared" si="11"/>
        <v>'31000310552438020000000000000000',</v>
      </c>
    </row>
    <row r="637" spans="26:27">
      <c r="Z637" t="s">
        <v>2081</v>
      </c>
      <c r="AA637" s="99" t="str">
        <f t="shared" si="11"/>
        <v>'31000004288606001000000000000000',</v>
      </c>
    </row>
    <row r="638" spans="26:27">
      <c r="Z638" t="s">
        <v>2082</v>
      </c>
      <c r="AA638" s="99" t="str">
        <f t="shared" si="11"/>
        <v>'31000100202208698000000000000000',</v>
      </c>
    </row>
    <row r="639" spans="26:27">
      <c r="Z639" t="s">
        <v>2083</v>
      </c>
      <c r="AA639" s="99" t="str">
        <f t="shared" si="11"/>
        <v>'31000323055924020000000000000000',</v>
      </c>
    </row>
    <row r="640" spans="26:27">
      <c r="Z640" t="s">
        <v>2084</v>
      </c>
      <c r="AA640" s="99" t="str">
        <f t="shared" si="11"/>
        <v>'31000348137160020000000000000000',</v>
      </c>
    </row>
    <row r="641" spans="26:27">
      <c r="Z641" t="s">
        <v>1761</v>
      </c>
      <c r="AA641" s="99" t="str">
        <f t="shared" si="11"/>
        <v>'31000355578082020000000000000000',</v>
      </c>
    </row>
    <row r="642" spans="26:27">
      <c r="Z642" t="s">
        <v>2085</v>
      </c>
      <c r="AA642" s="99" t="str">
        <f t="shared" si="11"/>
        <v>'31000355813372020000000000000000',</v>
      </c>
    </row>
    <row r="643" spans="26:27">
      <c r="Z643" t="s">
        <v>2086</v>
      </c>
      <c r="AA643" s="99" t="str">
        <f t="shared" si="11"/>
        <v>'31000344235398020000000000000000',</v>
      </c>
    </row>
    <row r="644" spans="26:27">
      <c r="Z644" t="s">
        <v>1835</v>
      </c>
      <c r="AA644" s="99" t="str">
        <f t="shared" si="11"/>
        <v>'31000021511780001000000000000000',</v>
      </c>
    </row>
    <row r="645" spans="26:27">
      <c r="Z645" t="s">
        <v>2087</v>
      </c>
      <c r="AA645" s="99" t="str">
        <f t="shared" si="11"/>
        <v>'31000351296796020000000000000000',</v>
      </c>
    </row>
    <row r="646" spans="26:27">
      <c r="Z646" t="s">
        <v>2088</v>
      </c>
      <c r="AA646" s="99" t="str">
        <f t="shared" si="11"/>
        <v>'31000344949105020000000000000000',</v>
      </c>
    </row>
    <row r="647" spans="26:27">
      <c r="Z647" t="s">
        <v>2089</v>
      </c>
      <c r="AA647" s="99" t="str">
        <f t="shared" si="11"/>
        <v>'31000041167960035000000000000000',</v>
      </c>
    </row>
    <row r="648" spans="26:27">
      <c r="Z648" t="s">
        <v>2090</v>
      </c>
      <c r="AA648" s="99" t="str">
        <f t="shared" si="11"/>
        <v>'31000800399567020000000000000000',</v>
      </c>
    </row>
    <row r="649" spans="26:27">
      <c r="Z649" t="s">
        <v>2091</v>
      </c>
      <c r="AA649" s="99" t="str">
        <f t="shared" ref="AA649:AA712" si="12">"'"&amp;Z649&amp;"',"</f>
        <v>'31000350260264020000000000000000',</v>
      </c>
    </row>
    <row r="650" spans="26:27">
      <c r="Z650" t="s">
        <v>2092</v>
      </c>
      <c r="AA650" s="99" t="str">
        <f t="shared" si="12"/>
        <v>'31000040245482001000000000000000',</v>
      </c>
    </row>
    <row r="651" spans="26:27">
      <c r="Z651" t="s">
        <v>1687</v>
      </c>
      <c r="AA651" s="99" t="str">
        <f t="shared" si="12"/>
        <v>'31000316024341020000000000000000',</v>
      </c>
    </row>
    <row r="652" spans="26:27">
      <c r="Z652" t="s">
        <v>1462</v>
      </c>
      <c r="AA652" s="99" t="str">
        <f t="shared" si="12"/>
        <v>'31000305090492096000000000000000',</v>
      </c>
    </row>
    <row r="653" spans="26:27">
      <c r="Z653" t="s">
        <v>2093</v>
      </c>
      <c r="AA653" s="99" t="str">
        <f t="shared" si="12"/>
        <v>'31000806869381020000000000000000',</v>
      </c>
    </row>
    <row r="654" spans="26:27">
      <c r="Z654" t="s">
        <v>2094</v>
      </c>
      <c r="AA654" s="99" t="str">
        <f t="shared" si="12"/>
        <v>'31000802147527020000000000000000',</v>
      </c>
    </row>
    <row r="655" spans="26:27">
      <c r="Z655" t="s">
        <v>1681</v>
      </c>
      <c r="AA655" s="99" t="str">
        <f t="shared" si="12"/>
        <v>'31000807314098020000000000000000',</v>
      </c>
    </row>
    <row r="656" spans="26:27">
      <c r="Z656" t="s">
        <v>2095</v>
      </c>
      <c r="AA656" s="99" t="str">
        <f t="shared" si="12"/>
        <v>'31005119867120011629251000000001',</v>
      </c>
    </row>
    <row r="657" spans="26:27">
      <c r="Z657" t="s">
        <v>2096</v>
      </c>
      <c r="AA657" s="99" t="str">
        <f t="shared" si="12"/>
        <v>'31000348058267020000000000000000',</v>
      </c>
    </row>
    <row r="658" spans="26:27">
      <c r="Z658" t="s">
        <v>2097</v>
      </c>
      <c r="AA658" s="99" t="str">
        <f t="shared" si="12"/>
        <v>'31000316175753096000000000000000',</v>
      </c>
    </row>
    <row r="659" spans="26:27">
      <c r="Z659" t="s">
        <v>1684</v>
      </c>
      <c r="AA659" s="99" t="str">
        <f t="shared" si="12"/>
        <v>'31000313697312096000000000000000',</v>
      </c>
    </row>
    <row r="660" spans="26:27">
      <c r="Z660" t="s">
        <v>2098</v>
      </c>
      <c r="AA660" s="99" t="str">
        <f t="shared" si="12"/>
        <v>'31000322418487020000000000000000',</v>
      </c>
    </row>
    <row r="661" spans="26:27">
      <c r="Z661" t="s">
        <v>2099</v>
      </c>
      <c r="AA661" s="99" t="str">
        <f t="shared" si="12"/>
        <v>'31000807700403020000000000000000',</v>
      </c>
    </row>
    <row r="662" spans="26:27">
      <c r="Z662" t="s">
        <v>2100</v>
      </c>
      <c r="AA662" s="99" t="str">
        <f t="shared" si="12"/>
        <v>'31000327140383020000000000000000',</v>
      </c>
    </row>
    <row r="663" spans="26:27">
      <c r="Z663" t="s">
        <v>1838</v>
      </c>
      <c r="AA663" s="99" t="str">
        <f t="shared" si="12"/>
        <v>'31000321171889020000000000000000',</v>
      </c>
    </row>
    <row r="664" spans="26:27">
      <c r="Z664" t="s">
        <v>2101</v>
      </c>
      <c r="AA664" s="99" t="str">
        <f t="shared" si="12"/>
        <v>'31000352300134020000000000000000',</v>
      </c>
    </row>
    <row r="665" spans="26:27">
      <c r="Z665" t="s">
        <v>2102</v>
      </c>
      <c r="AA665" s="99" t="str">
        <f t="shared" si="12"/>
        <v>'31000332162406020000000000000000',</v>
      </c>
    </row>
    <row r="666" spans="26:27">
      <c r="Z666" t="s">
        <v>2103</v>
      </c>
      <c r="AA666" s="99" t="str">
        <f t="shared" si="12"/>
        <v>'31000344294437020000000000000000',</v>
      </c>
    </row>
    <row r="667" spans="26:27">
      <c r="Z667" t="s">
        <v>1655</v>
      </c>
      <c r="AA667" s="99" t="str">
        <f t="shared" si="12"/>
        <v>'31000318513382020000000000000000',</v>
      </c>
    </row>
    <row r="668" spans="26:27">
      <c r="Z668" t="s">
        <v>1177</v>
      </c>
      <c r="AA668" s="99" t="str">
        <f t="shared" si="12"/>
        <v>'31000312925052096000000000000000',</v>
      </c>
    </row>
    <row r="669" spans="26:27">
      <c r="Z669" t="s">
        <v>2104</v>
      </c>
      <c r="AA669" s="99" t="str">
        <f t="shared" si="12"/>
        <v>'31000352220035020000000000000000',</v>
      </c>
    </row>
    <row r="670" spans="26:27">
      <c r="Z670" t="s">
        <v>2105</v>
      </c>
      <c r="AA670" s="99" t="str">
        <f t="shared" si="12"/>
        <v>'31000313066047096000000000000000',</v>
      </c>
    </row>
    <row r="671" spans="26:27">
      <c r="Z671" t="s">
        <v>2106</v>
      </c>
      <c r="AA671" s="99" t="str">
        <f t="shared" si="12"/>
        <v>'31000349077985020000000000000000',</v>
      </c>
    </row>
    <row r="672" spans="26:27">
      <c r="Z672" t="s">
        <v>1746</v>
      </c>
      <c r="AA672" s="99" t="str">
        <f t="shared" si="12"/>
        <v>'31000040959387001000000000000000',</v>
      </c>
    </row>
    <row r="673" spans="26:27">
      <c r="Z673" t="s">
        <v>2107</v>
      </c>
      <c r="AA673" s="99" t="str">
        <f t="shared" si="12"/>
        <v>'31000337680519020000000000000000',</v>
      </c>
    </row>
    <row r="674" spans="26:27">
      <c r="Z674" t="s">
        <v>2108</v>
      </c>
      <c r="AA674" s="99" t="str">
        <f t="shared" si="12"/>
        <v>'31000029416152001000000000000000',</v>
      </c>
    </row>
    <row r="675" spans="26:27">
      <c r="Z675" t="s">
        <v>2109</v>
      </c>
      <c r="AA675" s="99" t="str">
        <f t="shared" si="12"/>
        <v>'31000805942213020000000000000000',</v>
      </c>
    </row>
    <row r="676" spans="26:27">
      <c r="Z676" t="s">
        <v>2110</v>
      </c>
      <c r="AA676" s="99" t="str">
        <f t="shared" si="12"/>
        <v>'31000349705767020000000000000000',</v>
      </c>
    </row>
    <row r="677" spans="26:27">
      <c r="Z677" t="s">
        <v>2111</v>
      </c>
      <c r="AA677" s="99" t="str">
        <f t="shared" si="12"/>
        <v>'31005122431670011632139300000001',</v>
      </c>
    </row>
    <row r="678" spans="26:27">
      <c r="Z678" t="s">
        <v>1554</v>
      </c>
      <c r="AA678" s="99" t="str">
        <f t="shared" si="12"/>
        <v>'31035300200043076000000000000000',</v>
      </c>
    </row>
    <row r="679" spans="26:27">
      <c r="Z679" t="s">
        <v>1164</v>
      </c>
      <c r="AA679" s="99" t="str">
        <f t="shared" si="12"/>
        <v>'31000342417550020000000000000000',</v>
      </c>
    </row>
    <row r="680" spans="26:27">
      <c r="Z680" t="s">
        <v>2112</v>
      </c>
      <c r="AA680" s="99" t="str">
        <f t="shared" si="12"/>
        <v>'31000806307788020000000000000000',</v>
      </c>
    </row>
    <row r="681" spans="26:27">
      <c r="Z681" t="s">
        <v>1186</v>
      </c>
      <c r="AA681" s="99" t="str">
        <f t="shared" si="12"/>
        <v>'31000100201981865000000000000000',</v>
      </c>
    </row>
    <row r="682" spans="26:27">
      <c r="Z682" t="s">
        <v>2113</v>
      </c>
      <c r="AA682" s="99" t="str">
        <f t="shared" si="12"/>
        <v>'31000346246450020000000000000000',</v>
      </c>
    </row>
    <row r="683" spans="26:27">
      <c r="Z683" t="s">
        <v>2114</v>
      </c>
      <c r="AA683" s="99" t="str">
        <f t="shared" si="12"/>
        <v>'31000335516806020000000000000000',</v>
      </c>
    </row>
    <row r="684" spans="26:27">
      <c r="Z684" t="s">
        <v>2115</v>
      </c>
      <c r="AA684" s="99" t="str">
        <f t="shared" si="12"/>
        <v>'31000801641041020000000000000000',</v>
      </c>
    </row>
    <row r="685" spans="26:27">
      <c r="Z685" t="s">
        <v>2116</v>
      </c>
      <c r="AA685" s="99" t="str">
        <f t="shared" si="12"/>
        <v>'31000349735616020000000000000000',</v>
      </c>
    </row>
    <row r="686" spans="26:27">
      <c r="Z686" t="s">
        <v>1802</v>
      </c>
      <c r="AA686" s="99" t="str">
        <f t="shared" si="12"/>
        <v>'31000352099785020000000000000000',</v>
      </c>
    </row>
    <row r="687" spans="26:27">
      <c r="Z687" t="s">
        <v>1276</v>
      </c>
      <c r="AA687" s="99" t="str">
        <f t="shared" si="12"/>
        <v>'31000342278093020000000000000000',</v>
      </c>
    </row>
    <row r="688" spans="26:27">
      <c r="Z688" t="s">
        <v>1443</v>
      </c>
      <c r="AA688" s="99" t="str">
        <f t="shared" si="12"/>
        <v>'31000346751665020000000000000000',</v>
      </c>
    </row>
    <row r="689" spans="26:27">
      <c r="Z689" t="s">
        <v>2117</v>
      </c>
      <c r="AA689" s="99" t="str">
        <f t="shared" si="12"/>
        <v>'31000806110562020000000000000000',</v>
      </c>
    </row>
    <row r="690" spans="26:27">
      <c r="Z690" t="s">
        <v>1557</v>
      </c>
      <c r="AA690" s="99" t="str">
        <f t="shared" si="12"/>
        <v>'31003173465540011671762500000001',</v>
      </c>
    </row>
    <row r="691" spans="26:27">
      <c r="Z691" t="s">
        <v>1728</v>
      </c>
      <c r="AA691" s="99" t="str">
        <f t="shared" si="12"/>
        <v>'31000313441661096000000000000000',</v>
      </c>
    </row>
    <row r="692" spans="26:27">
      <c r="Z692" t="s">
        <v>2118</v>
      </c>
      <c r="AA692" s="99" t="str">
        <f t="shared" si="12"/>
        <v>'31000040660205001000000000000000',</v>
      </c>
    </row>
    <row r="693" spans="26:27">
      <c r="Z693" t="s">
        <v>2119</v>
      </c>
      <c r="AA693" s="99" t="str">
        <f t="shared" si="12"/>
        <v>'31000334860239020000000000000000',</v>
      </c>
    </row>
    <row r="694" spans="26:27">
      <c r="Z694" t="s">
        <v>2120</v>
      </c>
      <c r="AA694" s="99" t="str">
        <f t="shared" si="12"/>
        <v>'31000345174448020000000000000000',</v>
      </c>
    </row>
    <row r="695" spans="26:27">
      <c r="Z695" t="s">
        <v>2121</v>
      </c>
      <c r="AA695" s="99" t="str">
        <f t="shared" si="12"/>
        <v>'31000347424635020000000000000000',</v>
      </c>
    </row>
    <row r="696" spans="26:27">
      <c r="Z696" t="s">
        <v>1730</v>
      </c>
      <c r="AA696" s="99" t="str">
        <f t="shared" si="12"/>
        <v>'31000358584871020000000000000000',</v>
      </c>
    </row>
    <row r="697" spans="26:27">
      <c r="Z697" t="s">
        <v>1168</v>
      </c>
      <c r="AA697" s="99" t="str">
        <f t="shared" si="12"/>
        <v>'31000313172928096000000000000000',</v>
      </c>
    </row>
    <row r="698" spans="26:27">
      <c r="Z698" t="s">
        <v>1736</v>
      </c>
      <c r="AA698" s="99" t="str">
        <f t="shared" si="12"/>
        <v>'31000314796627020000000000000000',</v>
      </c>
    </row>
    <row r="699" spans="26:27">
      <c r="Z699" t="s">
        <v>2122</v>
      </c>
      <c r="AA699" s="99" t="str">
        <f t="shared" si="12"/>
        <v>'31000323272339020000000000000000',</v>
      </c>
    </row>
    <row r="700" spans="26:27">
      <c r="Z700" t="s">
        <v>2123</v>
      </c>
      <c r="AA700" s="99" t="str">
        <f t="shared" si="12"/>
        <v>'31000352299104020000000000000000',</v>
      </c>
    </row>
    <row r="701" spans="26:27">
      <c r="Z701" t="s">
        <v>1449</v>
      </c>
      <c r="AA701" s="99" t="str">
        <f t="shared" si="12"/>
        <v>'31000349130883020000000000000000',</v>
      </c>
    </row>
    <row r="702" spans="26:27">
      <c r="Z702" t="s">
        <v>2124</v>
      </c>
      <c r="AA702" s="99" t="str">
        <f t="shared" si="12"/>
        <v>'31000352481496020000000000000000',</v>
      </c>
    </row>
    <row r="703" spans="26:27">
      <c r="Z703" t="s">
        <v>2125</v>
      </c>
      <c r="AA703" s="99" t="str">
        <f t="shared" si="12"/>
        <v>'31000351305613020000000000000000',</v>
      </c>
    </row>
    <row r="704" spans="26:27">
      <c r="Z704" t="s">
        <v>2126</v>
      </c>
      <c r="AA704" s="99" t="str">
        <f t="shared" si="12"/>
        <v>'31000352393659020000000000000000',</v>
      </c>
    </row>
    <row r="705" spans="26:27">
      <c r="Z705" t="s">
        <v>1566</v>
      </c>
      <c r="AA705" s="99" t="str">
        <f t="shared" si="12"/>
        <v>'31000352524014020000000000000000',</v>
      </c>
    </row>
    <row r="706" spans="26:27">
      <c r="Z706" t="s">
        <v>1551</v>
      </c>
      <c r="AA706" s="99" t="str">
        <f t="shared" si="12"/>
        <v>'31000321924170020000000000000000',</v>
      </c>
    </row>
    <row r="707" spans="26:27">
      <c r="Z707" t="s">
        <v>2127</v>
      </c>
      <c r="AA707" s="99" t="str">
        <f t="shared" si="12"/>
        <v>'31000337124484020000000000000000',</v>
      </c>
    </row>
    <row r="708" spans="26:27">
      <c r="Z708" t="s">
        <v>2128</v>
      </c>
      <c r="AA708" s="99" t="str">
        <f t="shared" si="12"/>
        <v>'31000344462109020000000000000000',</v>
      </c>
    </row>
    <row r="709" spans="26:27">
      <c r="Z709" t="s">
        <v>2129</v>
      </c>
      <c r="AA709" s="99" t="str">
        <f t="shared" si="12"/>
        <v>'31000315896920096000000000000000',</v>
      </c>
    </row>
    <row r="710" spans="26:27">
      <c r="Z710" t="s">
        <v>2130</v>
      </c>
      <c r="AA710" s="99" t="str">
        <f t="shared" si="12"/>
        <v>'31000806634181020000000000000000',</v>
      </c>
    </row>
    <row r="711" spans="26:27">
      <c r="Z711" t="s">
        <v>2131</v>
      </c>
      <c r="AA711" s="99" t="str">
        <f t="shared" si="12"/>
        <v>'31000328224228020000000000000000',</v>
      </c>
    </row>
    <row r="712" spans="26:27">
      <c r="Z712" t="s">
        <v>1465</v>
      </c>
      <c r="AA712" s="99" t="str">
        <f t="shared" si="12"/>
        <v>'31000313370829096000000000000000',</v>
      </c>
    </row>
    <row r="713" spans="26:27">
      <c r="Z713" t="s">
        <v>2132</v>
      </c>
      <c r="AA713" s="99" t="str">
        <f t="shared" ref="AA713:AA776" si="13">"'"&amp;Z713&amp;"',"</f>
        <v>'31000315930570096000000000000000',</v>
      </c>
    </row>
    <row r="714" spans="26:27">
      <c r="Z714" t="s">
        <v>1038</v>
      </c>
      <c r="AA714" s="99" t="str">
        <f t="shared" si="13"/>
        <v>'31000028045294001000000000000000',</v>
      </c>
    </row>
    <row r="715" spans="26:27">
      <c r="Z715" t="s">
        <v>2133</v>
      </c>
      <c r="AA715" s="99" t="str">
        <f t="shared" si="13"/>
        <v>'31000206287384001000000000000000',</v>
      </c>
    </row>
    <row r="716" spans="26:27">
      <c r="Z716" t="s">
        <v>2134</v>
      </c>
      <c r="AA716" s="99" t="str">
        <f t="shared" si="13"/>
        <v>'31000352139573020000000000000000',</v>
      </c>
    </row>
    <row r="717" spans="26:27">
      <c r="Z717" t="s">
        <v>2135</v>
      </c>
      <c r="AA717" s="99" t="str">
        <f t="shared" si="13"/>
        <v>'31000351215937020000000000000000',</v>
      </c>
    </row>
    <row r="718" spans="26:27">
      <c r="Z718" t="s">
        <v>2136</v>
      </c>
      <c r="AA718" s="99" t="str">
        <f t="shared" si="13"/>
        <v>'31000346382594020000000000000000',</v>
      </c>
    </row>
    <row r="719" spans="26:27">
      <c r="Z719" t="s">
        <v>2137</v>
      </c>
      <c r="AA719" s="99" t="str">
        <f t="shared" si="13"/>
        <v>'31000317563610020000000000000000',</v>
      </c>
    </row>
    <row r="720" spans="26:27">
      <c r="Z720" t="s">
        <v>2138</v>
      </c>
      <c r="AA720" s="99" t="str">
        <f t="shared" si="13"/>
        <v>'31000352370764020000000000000000',</v>
      </c>
    </row>
    <row r="721" spans="26:27">
      <c r="Z721" t="s">
        <v>2139</v>
      </c>
      <c r="AA721" s="99" t="str">
        <f t="shared" si="13"/>
        <v>'31000350382704020000000000000000',</v>
      </c>
    </row>
    <row r="722" spans="26:27">
      <c r="Z722" t="s">
        <v>2140</v>
      </c>
      <c r="AA722" s="99" t="str">
        <f t="shared" si="13"/>
        <v>'31000353337218020000000000000000',</v>
      </c>
    </row>
    <row r="723" spans="26:27">
      <c r="Z723" t="s">
        <v>2141</v>
      </c>
      <c r="AA723" s="99" t="str">
        <f t="shared" si="13"/>
        <v>'31000352188463020000000000000000',</v>
      </c>
    </row>
    <row r="724" spans="26:27">
      <c r="Z724" t="s">
        <v>1822</v>
      </c>
      <c r="AA724" s="99" t="str">
        <f t="shared" si="13"/>
        <v>'31000318260091020000000000000000',</v>
      </c>
    </row>
    <row r="725" spans="26:27">
      <c r="Z725" t="s">
        <v>2142</v>
      </c>
      <c r="AA725" s="99" t="str">
        <f t="shared" si="13"/>
        <v>'31000802136165020000000000000000',</v>
      </c>
    </row>
    <row r="726" spans="26:27">
      <c r="Z726" t="s">
        <v>2143</v>
      </c>
      <c r="AA726" s="99" t="str">
        <f t="shared" si="13"/>
        <v>'31000338920518020000000000000000',</v>
      </c>
    </row>
    <row r="727" spans="26:27">
      <c r="Z727" t="s">
        <v>1205</v>
      </c>
      <c r="AA727" s="99" t="str">
        <f t="shared" si="13"/>
        <v>'31000351680379020000000000000000',</v>
      </c>
    </row>
    <row r="728" spans="26:27">
      <c r="Z728" t="s">
        <v>2144</v>
      </c>
      <c r="AA728" s="99" t="str">
        <f t="shared" si="13"/>
        <v>'31000343790567020000000000000000',</v>
      </c>
    </row>
    <row r="729" spans="26:27">
      <c r="Z729" t="s">
        <v>2145</v>
      </c>
      <c r="AA729" s="99" t="str">
        <f t="shared" si="13"/>
        <v>'31000351171023020000000000000000',</v>
      </c>
    </row>
    <row r="730" spans="26:27">
      <c r="Z730" t="s">
        <v>1599</v>
      </c>
      <c r="AA730" s="99" t="str">
        <f t="shared" si="13"/>
        <v>'31000353441259020000000000000000',</v>
      </c>
    </row>
    <row r="731" spans="26:27">
      <c r="Z731" t="s">
        <v>2146</v>
      </c>
      <c r="AA731" s="99" t="str">
        <f t="shared" si="13"/>
        <v>'31000333335308020000000000000000',</v>
      </c>
    </row>
    <row r="732" spans="26:27">
      <c r="Z732" t="s">
        <v>2147</v>
      </c>
      <c r="AA732" s="99" t="str">
        <f t="shared" si="13"/>
        <v>'31000347207485020000000000000000',</v>
      </c>
    </row>
    <row r="733" spans="26:27">
      <c r="Z733" t="s">
        <v>2148</v>
      </c>
      <c r="AA733" s="99" t="str">
        <f t="shared" si="13"/>
        <v>'31000805596662020000000000000000',</v>
      </c>
    </row>
    <row r="734" spans="26:27">
      <c r="Z734" t="s">
        <v>2149</v>
      </c>
      <c r="AA734" s="99" t="str">
        <f t="shared" si="13"/>
        <v>'31000806299498020000000000000000',</v>
      </c>
    </row>
    <row r="735" spans="26:27">
      <c r="Z735" t="s">
        <v>2150</v>
      </c>
      <c r="AA735" s="99" t="str">
        <f t="shared" si="13"/>
        <v>'31000345055944020000000000000000',</v>
      </c>
    </row>
    <row r="736" spans="26:27">
      <c r="Z736" t="s">
        <v>2151</v>
      </c>
      <c r="AA736" s="99" t="str">
        <f t="shared" si="13"/>
        <v>'31000352904828020000000000000000',</v>
      </c>
    </row>
    <row r="737" spans="26:27">
      <c r="Z737" t="s">
        <v>1302</v>
      </c>
      <c r="AA737" s="99" t="str">
        <f t="shared" si="13"/>
        <v>'31000804642137020000000000000000',</v>
      </c>
    </row>
    <row r="738" spans="26:27">
      <c r="Z738" t="s">
        <v>2152</v>
      </c>
      <c r="AA738" s="99" t="str">
        <f t="shared" si="13"/>
        <v>'31000351519734020000000000000000',</v>
      </c>
    </row>
    <row r="739" spans="26:27">
      <c r="Z739" t="s">
        <v>2153</v>
      </c>
      <c r="AA739" s="99" t="str">
        <f t="shared" si="13"/>
        <v>'31000317735464096000000000000000',</v>
      </c>
    </row>
    <row r="740" spans="26:27">
      <c r="Z740" t="s">
        <v>2154</v>
      </c>
      <c r="AA740" s="99" t="str">
        <f t="shared" si="13"/>
        <v>'31000351707925020000000000000000',</v>
      </c>
    </row>
    <row r="741" spans="26:27">
      <c r="Z741" t="s">
        <v>2155</v>
      </c>
      <c r="AA741" s="99" t="str">
        <f t="shared" si="13"/>
        <v>'31000324942674020000000000000000',</v>
      </c>
    </row>
    <row r="742" spans="26:27">
      <c r="Z742" t="s">
        <v>1828</v>
      </c>
      <c r="AA742" s="99" t="str">
        <f t="shared" si="13"/>
        <v>'31000346365581020000000000000000',</v>
      </c>
    </row>
    <row r="743" spans="26:27">
      <c r="Z743" t="s">
        <v>2156</v>
      </c>
      <c r="AA743" s="99" t="str">
        <f t="shared" si="13"/>
        <v>'31000354853601020000000000000000',</v>
      </c>
    </row>
    <row r="744" spans="26:27">
      <c r="Z744" t="s">
        <v>2157</v>
      </c>
      <c r="AA744" s="99" t="str">
        <f t="shared" si="13"/>
        <v>'31000352289329020000000000000000',</v>
      </c>
    </row>
    <row r="745" spans="26:27">
      <c r="Z745" t="s">
        <v>2158</v>
      </c>
      <c r="AA745" s="99" t="str">
        <f t="shared" si="13"/>
        <v>'31000353059945020000000000000000',</v>
      </c>
    </row>
    <row r="746" spans="26:27">
      <c r="Z746" t="s">
        <v>2159</v>
      </c>
      <c r="AA746" s="99" t="str">
        <f t="shared" si="13"/>
        <v>'31000321050745020000000000000000',</v>
      </c>
    </row>
    <row r="747" spans="26:27">
      <c r="Z747" t="s">
        <v>2160</v>
      </c>
      <c r="AA747" s="99" t="str">
        <f t="shared" si="13"/>
        <v>'31000351808202020000000000000000',</v>
      </c>
    </row>
    <row r="748" spans="26:27">
      <c r="Z748" t="s">
        <v>1825</v>
      </c>
      <c r="AA748" s="99" t="str">
        <f t="shared" si="13"/>
        <v>'31000337420858020000000000000000',</v>
      </c>
    </row>
    <row r="749" spans="26:27">
      <c r="Z749" t="s">
        <v>1586</v>
      </c>
      <c r="AA749" s="99" t="str">
        <f t="shared" si="13"/>
        <v>'31000053308496020000000000000000',</v>
      </c>
    </row>
    <row r="750" spans="26:27">
      <c r="Z750" t="s">
        <v>2161</v>
      </c>
      <c r="AA750" s="99" t="str">
        <f t="shared" si="13"/>
        <v>'31000351903870020000000000000000',</v>
      </c>
    </row>
    <row r="751" spans="26:27">
      <c r="Z751" t="s">
        <v>2162</v>
      </c>
      <c r="AA751" s="99" t="str">
        <f t="shared" si="13"/>
        <v>'31000352266640020000000000000000',</v>
      </c>
    </row>
    <row r="752" spans="26:27">
      <c r="Z752" t="s">
        <v>1327</v>
      </c>
      <c r="AA752" s="99" t="str">
        <f t="shared" si="13"/>
        <v>'31000040557285001000000000000000',</v>
      </c>
    </row>
    <row r="753" spans="26:27">
      <c r="Z753" t="s">
        <v>1530</v>
      </c>
      <c r="AA753" s="99" t="str">
        <f t="shared" si="13"/>
        <v>'31000051138382020000000000000000',</v>
      </c>
    </row>
    <row r="754" spans="26:27">
      <c r="Z754" t="s">
        <v>2163</v>
      </c>
      <c r="AA754" s="99" t="str">
        <f t="shared" si="13"/>
        <v>'31000352265691020000000000000000',</v>
      </c>
    </row>
    <row r="755" spans="26:27">
      <c r="Z755" t="s">
        <v>2164</v>
      </c>
      <c r="AA755" s="99" t="str">
        <f t="shared" si="13"/>
        <v>'31000319635978020000000000000000',</v>
      </c>
    </row>
    <row r="756" spans="26:27">
      <c r="Z756" t="s">
        <v>900</v>
      </c>
      <c r="AA756" s="99" t="str">
        <f t="shared" si="13"/>
        <v>'31000346984126020000000000000000',</v>
      </c>
    </row>
    <row r="757" spans="26:27">
      <c r="Z757" t="s">
        <v>2165</v>
      </c>
      <c r="AA757" s="99" t="str">
        <f t="shared" si="13"/>
        <v>'31000348015135020000000000000000',</v>
      </c>
    </row>
    <row r="758" spans="26:27">
      <c r="Z758" t="s">
        <v>2166</v>
      </c>
      <c r="AA758" s="99" t="str">
        <f t="shared" si="13"/>
        <v>'31000807176984020000000000000000',</v>
      </c>
    </row>
    <row r="759" spans="26:27">
      <c r="Z759" t="s">
        <v>2167</v>
      </c>
      <c r="AA759" s="99" t="str">
        <f t="shared" si="13"/>
        <v>'31000322191407020000000000000000',</v>
      </c>
    </row>
    <row r="760" spans="26:27">
      <c r="Z760" t="s">
        <v>1404</v>
      </c>
      <c r="AA760" s="99" t="str">
        <f t="shared" si="13"/>
        <v>'31000316662743096000000000000000',</v>
      </c>
    </row>
    <row r="761" spans="26:27">
      <c r="Z761" t="s">
        <v>2168</v>
      </c>
      <c r="AA761" s="99" t="str">
        <f t="shared" si="13"/>
        <v>'31000330280432020000000000000000',</v>
      </c>
    </row>
    <row r="762" spans="26:27">
      <c r="Z762" t="s">
        <v>2169</v>
      </c>
      <c r="AA762" s="99" t="str">
        <f t="shared" si="13"/>
        <v>'31000343397710020000000000000000',</v>
      </c>
    </row>
    <row r="763" spans="26:27">
      <c r="Z763" t="s">
        <v>2170</v>
      </c>
      <c r="AA763" s="99" t="str">
        <f t="shared" si="13"/>
        <v>'31000349686165020000000000000000',</v>
      </c>
    </row>
    <row r="764" spans="26:27">
      <c r="Z764" t="s">
        <v>2171</v>
      </c>
      <c r="AA764" s="99" t="str">
        <f t="shared" si="13"/>
        <v>'31005122422690011671150000000001',</v>
      </c>
    </row>
    <row r="765" spans="26:27">
      <c r="Z765" t="s">
        <v>2172</v>
      </c>
      <c r="AA765" s="99" t="str">
        <f t="shared" si="13"/>
        <v>'31000011017787541000000000000000',</v>
      </c>
    </row>
    <row r="766" spans="26:27">
      <c r="Z766" t="s">
        <v>1641</v>
      </c>
      <c r="AA766" s="99" t="str">
        <f t="shared" si="13"/>
        <v>'31000346408050020000000000000000',</v>
      </c>
    </row>
    <row r="767" spans="26:27">
      <c r="Z767" t="s">
        <v>2173</v>
      </c>
      <c r="AA767" s="99" t="str">
        <f t="shared" si="13"/>
        <v>'31000359004952020000000000000000',</v>
      </c>
    </row>
    <row r="768" spans="26:27">
      <c r="Z768" t="s">
        <v>2174</v>
      </c>
      <c r="AA768" s="99" t="str">
        <f t="shared" si="13"/>
        <v>'31000353044996020000000000000000',</v>
      </c>
    </row>
    <row r="769" spans="26:27">
      <c r="Z769" t="s">
        <v>2175</v>
      </c>
      <c r="AA769" s="99" t="str">
        <f t="shared" si="13"/>
        <v>'31000351934297020000000000000000',</v>
      </c>
    </row>
    <row r="770" spans="26:27">
      <c r="Z770" t="s">
        <v>2176</v>
      </c>
      <c r="AA770" s="99" t="str">
        <f t="shared" si="13"/>
        <v>'31000356725518020000000000000000',</v>
      </c>
    </row>
    <row r="771" spans="26:27">
      <c r="Z771" t="s">
        <v>2177</v>
      </c>
      <c r="AA771" s="99" t="str">
        <f t="shared" si="13"/>
        <v>'31000345728813020000000000000000',</v>
      </c>
    </row>
    <row r="772" spans="26:27">
      <c r="Z772" t="s">
        <v>1389</v>
      </c>
      <c r="AA772" s="99" t="str">
        <f t="shared" si="13"/>
        <v>'31000802177540020000000000000000',</v>
      </c>
    </row>
    <row r="773" spans="26:27">
      <c r="Z773" t="s">
        <v>1813</v>
      </c>
      <c r="AA773" s="99" t="str">
        <f t="shared" si="13"/>
        <v>'31000344103398020000000000000000',</v>
      </c>
    </row>
    <row r="774" spans="26:27">
      <c r="Z774" t="s">
        <v>2178</v>
      </c>
      <c r="AA774" s="99" t="str">
        <f t="shared" si="13"/>
        <v>'31000345049053020000000000000000',</v>
      </c>
    </row>
    <row r="775" spans="26:27">
      <c r="Z775" t="s">
        <v>2179</v>
      </c>
      <c r="AA775" s="99" t="str">
        <f t="shared" si="13"/>
        <v>'31233501061047020000000000000000',</v>
      </c>
    </row>
    <row r="776" spans="26:27">
      <c r="Z776" t="s">
        <v>2180</v>
      </c>
      <c r="AA776" s="99" t="str">
        <f t="shared" si="13"/>
        <v>'31000318555854020000000000000000',</v>
      </c>
    </row>
    <row r="777" spans="26:27">
      <c r="Z777" t="s">
        <v>1330</v>
      </c>
      <c r="AA777" s="99" t="str">
        <f t="shared" ref="AA777:AA840" si="14">"'"&amp;Z777&amp;"',"</f>
        <v>'31000337540416020000000000000000',</v>
      </c>
    </row>
    <row r="778" spans="26:27">
      <c r="Z778" t="s">
        <v>2181</v>
      </c>
      <c r="AA778" s="99" t="str">
        <f t="shared" si="14"/>
        <v>'31000344840965020000000000000000',</v>
      </c>
    </row>
    <row r="779" spans="26:27">
      <c r="Z779" t="s">
        <v>2182</v>
      </c>
      <c r="AA779" s="99" t="str">
        <f t="shared" si="14"/>
        <v>'31000337529427020000000000000000',</v>
      </c>
    </row>
    <row r="780" spans="26:27">
      <c r="Z780" t="s">
        <v>2183</v>
      </c>
      <c r="AA780" s="99" t="str">
        <f t="shared" si="14"/>
        <v>'31000353251831020000000000000000',</v>
      </c>
    </row>
    <row r="781" spans="26:27">
      <c r="Z781" t="s">
        <v>2184</v>
      </c>
      <c r="AA781" s="99" t="str">
        <f t="shared" si="14"/>
        <v>'31237500631382020000000000000000',</v>
      </c>
    </row>
    <row r="782" spans="26:27">
      <c r="Z782" t="s">
        <v>2185</v>
      </c>
      <c r="AA782" s="99" t="str">
        <f t="shared" si="14"/>
        <v>'31000352118783020000000000000000',</v>
      </c>
    </row>
    <row r="783" spans="26:27">
      <c r="Z783" t="s">
        <v>1250</v>
      </c>
      <c r="AA783" s="99" t="str">
        <f t="shared" si="14"/>
        <v>'31000354818042020000000000000000',</v>
      </c>
    </row>
    <row r="784" spans="26:27">
      <c r="Z784" t="s">
        <v>2186</v>
      </c>
      <c r="AA784" s="99" t="str">
        <f t="shared" si="14"/>
        <v>'31000040570757001000000000000000',</v>
      </c>
    </row>
    <row r="785" spans="26:27">
      <c r="Z785" t="s">
        <v>2187</v>
      </c>
      <c r="AA785" s="99" t="str">
        <f t="shared" si="14"/>
        <v>'31000802488160020000000000000000',</v>
      </c>
    </row>
    <row r="786" spans="26:27">
      <c r="Z786" t="s">
        <v>2188</v>
      </c>
      <c r="AA786" s="99" t="str">
        <f t="shared" si="14"/>
        <v>'31000329597333020000000000000000',</v>
      </c>
    </row>
    <row r="787" spans="26:27">
      <c r="Z787" t="s">
        <v>2189</v>
      </c>
      <c r="AA787" s="99" t="str">
        <f t="shared" si="14"/>
        <v>'31000310033123096000000000000000',</v>
      </c>
    </row>
    <row r="788" spans="26:27">
      <c r="Z788" t="s">
        <v>2190</v>
      </c>
      <c r="AA788" s="99" t="str">
        <f t="shared" si="14"/>
        <v>'31000351833697020000000000000000',</v>
      </c>
    </row>
    <row r="789" spans="26:27">
      <c r="Z789" t="s">
        <v>2191</v>
      </c>
      <c r="AA789" s="99" t="str">
        <f t="shared" si="14"/>
        <v>'31000802838398020000000000000000',</v>
      </c>
    </row>
    <row r="790" spans="26:27">
      <c r="Z790" t="s">
        <v>2192</v>
      </c>
      <c r="AA790" s="99" t="str">
        <f t="shared" si="14"/>
        <v>'31000353400248020000000000000000',</v>
      </c>
    </row>
    <row r="791" spans="26:27">
      <c r="Z791" t="s">
        <v>2193</v>
      </c>
      <c r="AA791" s="99" t="str">
        <f t="shared" si="14"/>
        <v>'31000359267708020000000000000000',</v>
      </c>
    </row>
    <row r="792" spans="26:27">
      <c r="Z792" t="s">
        <v>2194</v>
      </c>
      <c r="AA792" s="99" t="str">
        <f t="shared" si="14"/>
        <v>'31000332935306020000000000000000',</v>
      </c>
    </row>
    <row r="793" spans="26:27">
      <c r="Z793" t="s">
        <v>2195</v>
      </c>
      <c r="AA793" s="99" t="str">
        <f t="shared" si="14"/>
        <v>'31000350690247020000000000000000',</v>
      </c>
    </row>
    <row r="794" spans="26:27">
      <c r="Z794" t="s">
        <v>2196</v>
      </c>
      <c r="AA794" s="99" t="str">
        <f t="shared" si="14"/>
        <v>'31000338865127020000000000000000',</v>
      </c>
    </row>
    <row r="795" spans="26:27">
      <c r="Z795" t="s">
        <v>2197</v>
      </c>
      <c r="AA795" s="99" t="str">
        <f t="shared" si="14"/>
        <v>'31000347579743020000000000000000',</v>
      </c>
    </row>
    <row r="796" spans="26:27">
      <c r="Z796" t="s">
        <v>1150</v>
      </c>
      <c r="AA796" s="99" t="str">
        <f t="shared" si="14"/>
        <v>'31000353949251020000000000000000',</v>
      </c>
    </row>
    <row r="797" spans="26:27">
      <c r="Z797" t="s">
        <v>2198</v>
      </c>
      <c r="AA797" s="99" t="str">
        <f t="shared" si="14"/>
        <v>'31000342659284020000000000000000',</v>
      </c>
    </row>
    <row r="798" spans="26:27">
      <c r="Z798" t="s">
        <v>2199</v>
      </c>
      <c r="AA798" s="99" t="str">
        <f t="shared" si="14"/>
        <v>'31000344842904020000000000000000',</v>
      </c>
    </row>
    <row r="799" spans="26:27">
      <c r="Z799" t="s">
        <v>2200</v>
      </c>
      <c r="AA799" s="99" t="str">
        <f t="shared" si="14"/>
        <v>'31000348408843020000000000000000',</v>
      </c>
    </row>
    <row r="800" spans="26:27">
      <c r="Z800" t="s">
        <v>2201</v>
      </c>
      <c r="AA800" s="99" t="str">
        <f t="shared" si="14"/>
        <v>'31030800200000336000000000000000',</v>
      </c>
    </row>
    <row r="801" spans="26:27">
      <c r="Z801" t="s">
        <v>2202</v>
      </c>
      <c r="AA801" s="99" t="str">
        <f t="shared" si="14"/>
        <v>'31000341248766020000000000000000',</v>
      </c>
    </row>
    <row r="802" spans="26:27">
      <c r="Z802" t="s">
        <v>2203</v>
      </c>
      <c r="AA802" s="99" t="str">
        <f t="shared" si="14"/>
        <v>'31000339271853020000000000000000',</v>
      </c>
    </row>
    <row r="803" spans="26:27">
      <c r="Z803" t="s">
        <v>2204</v>
      </c>
      <c r="AA803" s="99" t="str">
        <f t="shared" si="14"/>
        <v>'31000806174626020000000000000000',</v>
      </c>
    </row>
    <row r="804" spans="26:27">
      <c r="Z804" t="s">
        <v>2205</v>
      </c>
      <c r="AA804" s="99" t="str">
        <f t="shared" si="14"/>
        <v>'31000354325584020000000000000000',</v>
      </c>
    </row>
    <row r="805" spans="26:27">
      <c r="Z805" t="s">
        <v>2206</v>
      </c>
      <c r="AA805" s="99" t="str">
        <f t="shared" si="14"/>
        <v>'31000350112747020000000000000000',</v>
      </c>
    </row>
    <row r="806" spans="26:27">
      <c r="Z806" t="s">
        <v>2207</v>
      </c>
      <c r="AA806" s="99" t="str">
        <f t="shared" si="14"/>
        <v>'31005126589610011660299500000001',</v>
      </c>
    </row>
    <row r="807" spans="26:27">
      <c r="Z807" t="s">
        <v>2208</v>
      </c>
      <c r="AA807" s="99" t="str">
        <f t="shared" si="14"/>
        <v>'31000050227155001000000000000000',</v>
      </c>
    </row>
    <row r="808" spans="26:27">
      <c r="Z808" t="s">
        <v>2209</v>
      </c>
      <c r="AA808" s="99" t="str">
        <f t="shared" si="14"/>
        <v>'31000314971450096000000000000000',</v>
      </c>
    </row>
    <row r="809" spans="26:27">
      <c r="Z809" t="s">
        <v>2210</v>
      </c>
      <c r="AA809" s="99" t="str">
        <f t="shared" si="14"/>
        <v>'31000352333879020000000000000000',</v>
      </c>
    </row>
    <row r="810" spans="26:27">
      <c r="Z810" t="s">
        <v>2211</v>
      </c>
      <c r="AA810" s="99" t="str">
        <f t="shared" si="14"/>
        <v>'31000356325731020000000000000000',</v>
      </c>
    </row>
    <row r="811" spans="26:27">
      <c r="Z811" t="s">
        <v>2212</v>
      </c>
      <c r="AA811" s="99" t="str">
        <f t="shared" si="14"/>
        <v>'31000601485079096000000000000000',</v>
      </c>
    </row>
    <row r="812" spans="26:27">
      <c r="Z812" t="s">
        <v>2213</v>
      </c>
      <c r="AA812" s="99" t="str">
        <f t="shared" si="14"/>
        <v>'31000322718258020000000000000000',</v>
      </c>
    </row>
    <row r="813" spans="26:27">
      <c r="Z813" t="s">
        <v>2214</v>
      </c>
      <c r="AA813" s="99" t="str">
        <f t="shared" si="14"/>
        <v>'31000348330666020000000000000000',</v>
      </c>
    </row>
    <row r="814" spans="26:27">
      <c r="Z814" t="s">
        <v>2215</v>
      </c>
      <c r="AA814" s="99" t="str">
        <f t="shared" si="14"/>
        <v>'31000327540368020000000000000000',</v>
      </c>
    </row>
    <row r="815" spans="26:27">
      <c r="Z815" t="s">
        <v>2216</v>
      </c>
      <c r="AA815" s="99" t="str">
        <f t="shared" si="14"/>
        <v>'31000805487078020000000000000000',</v>
      </c>
    </row>
    <row r="816" spans="26:27">
      <c r="Z816" t="s">
        <v>2217</v>
      </c>
      <c r="AA816" s="99" t="str">
        <f t="shared" si="14"/>
        <v>'31000341700733020000000000000000',</v>
      </c>
    </row>
    <row r="817" spans="26:27">
      <c r="Z817" t="s">
        <v>2218</v>
      </c>
      <c r="AA817" s="99" t="str">
        <f t="shared" si="14"/>
        <v>'31000343676436020000000000000000',</v>
      </c>
    </row>
    <row r="818" spans="26:27">
      <c r="Z818" t="s">
        <v>1809</v>
      </c>
      <c r="AA818" s="99" t="str">
        <f t="shared" si="14"/>
        <v>'31000352129905020000000000000000',</v>
      </c>
    </row>
    <row r="819" spans="26:27">
      <c r="Z819" t="s">
        <v>2219</v>
      </c>
      <c r="AA819" s="99" t="str">
        <f t="shared" si="14"/>
        <v>'31000349089618020000000000000000',</v>
      </c>
    </row>
    <row r="820" spans="26:27">
      <c r="Z820" t="s">
        <v>1711</v>
      </c>
      <c r="AA820" s="99" t="str">
        <f t="shared" si="14"/>
        <v>'31000306429509096000000000000000',</v>
      </c>
    </row>
    <row r="821" spans="26:27">
      <c r="Z821" t="s">
        <v>2220</v>
      </c>
      <c r="AA821" s="99" t="str">
        <f t="shared" si="14"/>
        <v>'31000342511030020000000000000000',</v>
      </c>
    </row>
    <row r="822" spans="26:27">
      <c r="Z822" t="s">
        <v>2221</v>
      </c>
      <c r="AA822" s="99" t="str">
        <f t="shared" si="14"/>
        <v>'31000355148530020000000000000000',</v>
      </c>
    </row>
    <row r="823" spans="26:27">
      <c r="Z823" t="s">
        <v>2222</v>
      </c>
      <c r="AA823" s="99" t="str">
        <f t="shared" si="14"/>
        <v>'31000803706875020000000000000000',</v>
      </c>
    </row>
    <row r="824" spans="26:27">
      <c r="Z824" t="s">
        <v>1635</v>
      </c>
      <c r="AA824" s="99" t="str">
        <f t="shared" si="14"/>
        <v>'31038600200039918000000000000000',</v>
      </c>
    </row>
    <row r="825" spans="26:27">
      <c r="Z825" t="s">
        <v>1490</v>
      </c>
      <c r="AA825" s="99" t="str">
        <f t="shared" si="14"/>
        <v>'31000329064839020000000000000000',</v>
      </c>
    </row>
    <row r="826" spans="26:27">
      <c r="Z826" t="s">
        <v>882</v>
      </c>
      <c r="AA826" s="99" t="str">
        <f t="shared" si="14"/>
        <v>'31000331251028020000000000000000',</v>
      </c>
    </row>
    <row r="827" spans="26:27">
      <c r="Z827" t="s">
        <v>2223</v>
      </c>
      <c r="AA827" s="99" t="str">
        <f t="shared" si="14"/>
        <v>'31000343629427020000000000000000',</v>
      </c>
    </row>
    <row r="828" spans="26:27">
      <c r="Z828" t="s">
        <v>2224</v>
      </c>
      <c r="AA828" s="99" t="str">
        <f t="shared" si="14"/>
        <v>'31000322172969020000000000000000',</v>
      </c>
    </row>
    <row r="829" spans="26:27">
      <c r="Z829" t="s">
        <v>2225</v>
      </c>
      <c r="AA829" s="99" t="str">
        <f t="shared" si="14"/>
        <v>'31000352100484020000000000000000',</v>
      </c>
    </row>
    <row r="830" spans="26:27">
      <c r="Z830" t="s">
        <v>2226</v>
      </c>
      <c r="AA830" s="99" t="str">
        <f t="shared" si="14"/>
        <v>'31000321958103020000000000000000',</v>
      </c>
    </row>
    <row r="831" spans="26:27">
      <c r="Z831" t="s">
        <v>2227</v>
      </c>
      <c r="AA831" s="99" t="str">
        <f t="shared" si="14"/>
        <v>'31000346705299020000000000000000',</v>
      </c>
    </row>
    <row r="832" spans="26:27">
      <c r="Z832" t="s">
        <v>1811</v>
      </c>
      <c r="AA832" s="99" t="str">
        <f t="shared" si="14"/>
        <v>'31000313650528020000000000000000',</v>
      </c>
    </row>
    <row r="833" spans="26:27">
      <c r="Z833" t="s">
        <v>1499</v>
      </c>
      <c r="AA833" s="99" t="str">
        <f t="shared" si="14"/>
        <v>'31000318541357097000000000000000',</v>
      </c>
    </row>
    <row r="834" spans="26:27">
      <c r="Z834" t="s">
        <v>2228</v>
      </c>
      <c r="AA834" s="99" t="str">
        <f t="shared" si="14"/>
        <v>'82000000008039452000530000706972',</v>
      </c>
    </row>
    <row r="835" spans="26:27">
      <c r="Z835" t="s">
        <v>2229</v>
      </c>
      <c r="AA835" s="99" t="str">
        <f t="shared" si="14"/>
        <v>'31000315109837096000000000000000',</v>
      </c>
    </row>
    <row r="836" spans="26:27">
      <c r="Z836" t="s">
        <v>2230</v>
      </c>
      <c r="AA836" s="99" t="str">
        <f t="shared" si="14"/>
        <v>'31000342452995020000000000000000',</v>
      </c>
    </row>
    <row r="837" spans="26:27">
      <c r="Z837" t="s">
        <v>1695</v>
      </c>
      <c r="AA837" s="99" t="str">
        <f t="shared" si="14"/>
        <v>'31000315885915096000000000000000',</v>
      </c>
    </row>
    <row r="838" spans="26:27">
      <c r="Z838" t="s">
        <v>2231</v>
      </c>
      <c r="AA838" s="99" t="str">
        <f t="shared" si="14"/>
        <v>'31000344924421020000000000000000',</v>
      </c>
    </row>
    <row r="839" spans="26:27">
      <c r="Z839" t="s">
        <v>2232</v>
      </c>
      <c r="AA839" s="99" t="str">
        <f t="shared" si="14"/>
        <v>'31000324919706020000000000000000',</v>
      </c>
    </row>
    <row r="840" spans="26:27">
      <c r="Z840" t="s">
        <v>2233</v>
      </c>
      <c r="AA840" s="99" t="str">
        <f t="shared" si="14"/>
        <v>'31000352625555020000000000000000',</v>
      </c>
    </row>
    <row r="841" spans="26:27">
      <c r="Z841" t="s">
        <v>2234</v>
      </c>
      <c r="AA841" s="99" t="str">
        <f t="shared" ref="AA841:AA904" si="15">"'"&amp;Z841&amp;"',"</f>
        <v>'31000340067449020000000000000000',</v>
      </c>
    </row>
    <row r="842" spans="26:27">
      <c r="Z842" t="s">
        <v>2235</v>
      </c>
      <c r="AA842" s="99" t="str">
        <f t="shared" si="15"/>
        <v>'31000344731891020000000000000000',</v>
      </c>
    </row>
    <row r="843" spans="26:27">
      <c r="Z843" t="s">
        <v>1841</v>
      </c>
      <c r="AA843" s="99" t="str">
        <f t="shared" si="15"/>
        <v>'31000344351740020000000000000000',</v>
      </c>
    </row>
    <row r="844" spans="26:27">
      <c r="Z844" t="s">
        <v>2236</v>
      </c>
      <c r="AA844" s="99" t="str">
        <f t="shared" si="15"/>
        <v>'31000352680717020000000000000000',</v>
      </c>
    </row>
    <row r="845" spans="26:27">
      <c r="Z845" t="s">
        <v>2237</v>
      </c>
      <c r="AA845" s="99" t="str">
        <f t="shared" si="15"/>
        <v>'31000340667719020000000000000000',</v>
      </c>
    </row>
    <row r="846" spans="26:27">
      <c r="Z846" t="s">
        <v>2238</v>
      </c>
      <c r="AA846" s="99" t="str">
        <f t="shared" si="15"/>
        <v>'31000356534365020000000000000000',</v>
      </c>
    </row>
    <row r="847" spans="26:27">
      <c r="Z847" t="s">
        <v>2239</v>
      </c>
      <c r="AA847" s="99" t="str">
        <f t="shared" si="15"/>
        <v>'31000006327324021000000000000000',</v>
      </c>
    </row>
    <row r="848" spans="26:27">
      <c r="Z848" t="s">
        <v>1214</v>
      </c>
      <c r="AA848" s="99" t="str">
        <f t="shared" si="15"/>
        <v>'31000310123379096000000000000000',</v>
      </c>
    </row>
    <row r="849" spans="26:27">
      <c r="Z849" t="s">
        <v>2240</v>
      </c>
      <c r="AA849" s="99" t="str">
        <f t="shared" si="15"/>
        <v>'31000318285162096000000000000000',</v>
      </c>
    </row>
    <row r="850" spans="26:27">
      <c r="Z850" t="s">
        <v>2241</v>
      </c>
      <c r="AA850" s="99" t="str">
        <f t="shared" si="15"/>
        <v>'31000317230236020000000000000000',</v>
      </c>
    </row>
    <row r="851" spans="26:27">
      <c r="Z851" t="s">
        <v>2242</v>
      </c>
      <c r="AA851" s="99" t="str">
        <f t="shared" si="15"/>
        <v>'31000009873714021000000000000000',</v>
      </c>
    </row>
    <row r="852" spans="26:27">
      <c r="Z852" t="s">
        <v>2243</v>
      </c>
      <c r="AA852" s="99" t="str">
        <f t="shared" si="15"/>
        <v>'31000350373158020000000000000000',</v>
      </c>
    </row>
    <row r="853" spans="26:27">
      <c r="Z853" t="s">
        <v>2244</v>
      </c>
      <c r="AA853" s="99" t="str">
        <f t="shared" si="15"/>
        <v>'31000353239323020000000000000000',</v>
      </c>
    </row>
    <row r="854" spans="26:27">
      <c r="Z854" t="s">
        <v>2245</v>
      </c>
      <c r="AA854" s="99" t="str">
        <f t="shared" si="15"/>
        <v>'31000353426672020000000000000000',</v>
      </c>
    </row>
    <row r="855" spans="26:27">
      <c r="Z855" t="s">
        <v>2246</v>
      </c>
      <c r="AA855" s="99" t="str">
        <f t="shared" si="15"/>
        <v>'31003189428430011657625500000001',</v>
      </c>
    </row>
    <row r="856" spans="26:27">
      <c r="Z856" t="s">
        <v>2247</v>
      </c>
      <c r="AA856" s="99" t="str">
        <f t="shared" si="15"/>
        <v>'31000326443713020000000000000000',</v>
      </c>
    </row>
    <row r="857" spans="26:27">
      <c r="Z857" t="s">
        <v>2248</v>
      </c>
      <c r="AA857" s="99" t="str">
        <f t="shared" si="15"/>
        <v>'31000348559686020000000000000000',</v>
      </c>
    </row>
    <row r="858" spans="26:27">
      <c r="Z858" t="s">
        <v>2249</v>
      </c>
      <c r="AA858" s="99" t="str">
        <f t="shared" si="15"/>
        <v>'31000344424422020000000000000000',</v>
      </c>
    </row>
    <row r="859" spans="26:27">
      <c r="Z859" t="s">
        <v>2250</v>
      </c>
      <c r="AA859" s="99" t="str">
        <f t="shared" si="15"/>
        <v>'31000351446060020000000000000000',</v>
      </c>
    </row>
    <row r="860" spans="26:27">
      <c r="Z860" t="s">
        <v>2251</v>
      </c>
      <c r="AA860" s="99" t="str">
        <f t="shared" si="15"/>
        <v>'31000341301516020000000000000000',</v>
      </c>
    </row>
    <row r="861" spans="26:27">
      <c r="Z861" t="s">
        <v>2252</v>
      </c>
      <c r="AA861" s="99" t="str">
        <f t="shared" si="15"/>
        <v>'31000353206421020000000000000000',</v>
      </c>
    </row>
    <row r="862" spans="26:27">
      <c r="Z862" t="s">
        <v>2253</v>
      </c>
      <c r="AA862" s="99" t="str">
        <f t="shared" si="15"/>
        <v>'31000352968187020000000000000000',</v>
      </c>
    </row>
    <row r="863" spans="26:27">
      <c r="Z863" t="s">
        <v>2254</v>
      </c>
      <c r="AA863" s="99" t="str">
        <f t="shared" si="15"/>
        <v>'31000000124596001000000000000000',</v>
      </c>
    </row>
    <row r="864" spans="26:27">
      <c r="Z864" t="s">
        <v>2255</v>
      </c>
      <c r="AA864" s="99" t="str">
        <f t="shared" si="15"/>
        <v>'31000348629216020000000000000000',</v>
      </c>
    </row>
    <row r="865" spans="26:27">
      <c r="Z865" t="s">
        <v>1692</v>
      </c>
      <c r="AA865" s="99" t="str">
        <f t="shared" si="15"/>
        <v>'31000336992998020000000000000000',</v>
      </c>
    </row>
    <row r="866" spans="26:27">
      <c r="Z866" t="s">
        <v>2256</v>
      </c>
      <c r="AA866" s="99" t="str">
        <f t="shared" si="15"/>
        <v>'31000351646404020000000000000000',</v>
      </c>
    </row>
    <row r="867" spans="26:27">
      <c r="Z867" t="s">
        <v>2257</v>
      </c>
      <c r="AA867" s="99" t="str">
        <f t="shared" si="15"/>
        <v>'31000353410569020000000000000000',</v>
      </c>
    </row>
    <row r="868" spans="26:27">
      <c r="Z868" t="s">
        <v>2258</v>
      </c>
      <c r="AA868" s="99" t="str">
        <f t="shared" si="15"/>
        <v>'31000316585275020000000000000000',</v>
      </c>
    </row>
    <row r="869" spans="26:27">
      <c r="Z869" t="s">
        <v>2259</v>
      </c>
      <c r="AA869" s="99" t="str">
        <f t="shared" si="15"/>
        <v>'31005128509500011673246800000001',</v>
      </c>
    </row>
    <row r="870" spans="26:27">
      <c r="Z870" t="s">
        <v>2260</v>
      </c>
      <c r="AA870" s="99" t="str">
        <f t="shared" si="15"/>
        <v>'31000352944626020000000000000000',</v>
      </c>
    </row>
    <row r="871" spans="26:27">
      <c r="Z871" t="s">
        <v>2261</v>
      </c>
      <c r="AA871" s="99" t="str">
        <f t="shared" si="15"/>
        <v>'31000344377448020000000000000000',</v>
      </c>
    </row>
    <row r="872" spans="26:27">
      <c r="Z872" t="s">
        <v>2262</v>
      </c>
      <c r="AA872" s="99" t="str">
        <f t="shared" si="15"/>
        <v>'31000315156390096000000000000000',</v>
      </c>
    </row>
    <row r="873" spans="26:27">
      <c r="Z873" t="s">
        <v>1422</v>
      </c>
      <c r="AA873" s="99" t="str">
        <f t="shared" si="15"/>
        <v>'31000311675286096000000000000000',</v>
      </c>
    </row>
    <row r="874" spans="26:27">
      <c r="Z874" t="s">
        <v>2263</v>
      </c>
      <c r="AA874" s="99" t="str">
        <f t="shared" si="15"/>
        <v>'31000800724699020000000000000000',</v>
      </c>
    </row>
    <row r="875" spans="26:27">
      <c r="Z875" t="s">
        <v>2264</v>
      </c>
      <c r="AA875" s="99" t="str">
        <f t="shared" si="15"/>
        <v>'31000349589211020000000000000000',</v>
      </c>
    </row>
    <row r="876" spans="26:27">
      <c r="Z876" t="s">
        <v>2265</v>
      </c>
      <c r="AA876" s="99" t="str">
        <f t="shared" si="15"/>
        <v>'31000206958977001000000000000000',</v>
      </c>
    </row>
    <row r="877" spans="26:27">
      <c r="Z877" t="s">
        <v>2266</v>
      </c>
      <c r="AA877" s="99" t="str">
        <f t="shared" si="15"/>
        <v>'31000333971318020000000000000000',</v>
      </c>
    </row>
    <row r="878" spans="26:27">
      <c r="Z878" t="s">
        <v>1516</v>
      </c>
      <c r="AA878" s="99" t="str">
        <f t="shared" si="15"/>
        <v>'31000342464107020000000000000000',</v>
      </c>
    </row>
    <row r="879" spans="26:27">
      <c r="Z879" t="s">
        <v>1792</v>
      </c>
      <c r="AA879" s="99" t="str">
        <f t="shared" si="15"/>
        <v>'31000358010125020000000000000000',</v>
      </c>
    </row>
    <row r="880" spans="26:27">
      <c r="Z880" t="s">
        <v>2267</v>
      </c>
      <c r="AA880" s="99" t="str">
        <f t="shared" si="15"/>
        <v>'31000334471045020000000000000000',</v>
      </c>
    </row>
    <row r="881" spans="26:27">
      <c r="Z881" t="s">
        <v>2268</v>
      </c>
      <c r="AA881" s="99" t="str">
        <f t="shared" si="15"/>
        <v>'31000348752497020000000000000000',</v>
      </c>
    </row>
    <row r="882" spans="26:27">
      <c r="Z882" t="s">
        <v>2269</v>
      </c>
      <c r="AA882" s="99" t="str">
        <f t="shared" si="15"/>
        <v>'31000334461046020000000000000000',</v>
      </c>
    </row>
    <row r="883" spans="26:27">
      <c r="Z883" t="s">
        <v>1262</v>
      </c>
      <c r="AA883" s="99" t="str">
        <f t="shared" si="15"/>
        <v>'31000355785547020000000000000000',</v>
      </c>
    </row>
    <row r="884" spans="26:27">
      <c r="Z884" t="s">
        <v>2270</v>
      </c>
      <c r="AA884" s="99" t="str">
        <f t="shared" si="15"/>
        <v>'31000350414788020000000000000000',</v>
      </c>
    </row>
    <row r="885" spans="26:27">
      <c r="Z885" t="s">
        <v>2271</v>
      </c>
      <c r="AA885" s="99" t="str">
        <f t="shared" si="15"/>
        <v>'31000360251980020000000000000000',</v>
      </c>
    </row>
    <row r="886" spans="26:27">
      <c r="Z886" t="s">
        <v>1524</v>
      </c>
      <c r="AA886" s="99" t="str">
        <f t="shared" si="15"/>
        <v>'31003126064400011594199200000001',</v>
      </c>
    </row>
    <row r="887" spans="26:27">
      <c r="Z887" t="s">
        <v>1259</v>
      </c>
      <c r="AA887" s="99" t="str">
        <f t="shared" si="15"/>
        <v>'31000029926439001000000000000000',</v>
      </c>
    </row>
    <row r="888" spans="26:27">
      <c r="Z888" t="s">
        <v>2272</v>
      </c>
      <c r="AA888" s="99" t="str">
        <f t="shared" si="15"/>
        <v>'31000355931422020000000000000000',</v>
      </c>
    </row>
    <row r="889" spans="26:27">
      <c r="Z889" t="s">
        <v>2273</v>
      </c>
      <c r="AA889" s="99" t="str">
        <f t="shared" si="15"/>
        <v>'31000348601207020000000000000000',</v>
      </c>
    </row>
    <row r="890" spans="26:27">
      <c r="Z890" t="s">
        <v>2274</v>
      </c>
      <c r="AA890" s="99" t="str">
        <f t="shared" si="15"/>
        <v>'31000350662337020000000000000000',</v>
      </c>
    </row>
    <row r="891" spans="26:27">
      <c r="Z891" t="s">
        <v>2275</v>
      </c>
      <c r="AA891" s="99" t="str">
        <f t="shared" si="15"/>
        <v>'31000349345598020000000000000000',</v>
      </c>
    </row>
    <row r="892" spans="26:27">
      <c r="Z892" t="s">
        <v>2276</v>
      </c>
      <c r="AA892" s="99" t="str">
        <f t="shared" si="15"/>
        <v>'31000351637270020000000000000000',</v>
      </c>
    </row>
    <row r="893" spans="26:27">
      <c r="Z893" t="s">
        <v>2277</v>
      </c>
      <c r="AA893" s="99" t="str">
        <f t="shared" si="15"/>
        <v>'31000318285154096000000000000000',</v>
      </c>
    </row>
    <row r="894" spans="26:27">
      <c r="Z894" t="s">
        <v>2278</v>
      </c>
      <c r="AA894" s="99" t="str">
        <f t="shared" si="15"/>
        <v>'31000344479343020000000000000000',</v>
      </c>
    </row>
    <row r="895" spans="26:27">
      <c r="Z895" t="s">
        <v>2279</v>
      </c>
      <c r="AA895" s="99" t="str">
        <f t="shared" si="15"/>
        <v>'31000347165451020000000000000000',</v>
      </c>
    </row>
    <row r="896" spans="26:27">
      <c r="Z896" t="s">
        <v>2280</v>
      </c>
      <c r="AA896" s="99" t="str">
        <f t="shared" si="15"/>
        <v>'31000344940708020000000000000000',</v>
      </c>
    </row>
    <row r="897" spans="26:27">
      <c r="Z897" t="s">
        <v>2281</v>
      </c>
      <c r="AA897" s="99" t="str">
        <f t="shared" si="15"/>
        <v>'31000353002945020000000000000000',</v>
      </c>
    </row>
    <row r="898" spans="26:27">
      <c r="Z898" t="s">
        <v>1787</v>
      </c>
      <c r="AA898" s="99" t="str">
        <f t="shared" si="15"/>
        <v>'31000343348200020000000000000000',</v>
      </c>
    </row>
    <row r="899" spans="26:27">
      <c r="Z899" t="s">
        <v>2282</v>
      </c>
      <c r="AA899" s="99" t="str">
        <f t="shared" si="15"/>
        <v>'31000352751492020000000000000000',</v>
      </c>
    </row>
    <row r="900" spans="26:27">
      <c r="Z900" t="s">
        <v>2283</v>
      </c>
      <c r="AA900" s="99" t="str">
        <f t="shared" si="15"/>
        <v>'31000344545218020000000000000000',</v>
      </c>
    </row>
    <row r="901" spans="26:27">
      <c r="Z901" t="s">
        <v>1265</v>
      </c>
      <c r="AA901" s="99" t="str">
        <f t="shared" si="15"/>
        <v>'31000353430997020000000000000000',</v>
      </c>
    </row>
    <row r="902" spans="26:27">
      <c r="Z902" t="s">
        <v>2284</v>
      </c>
      <c r="AA902" s="99" t="str">
        <f t="shared" si="15"/>
        <v>'31000054521725020000000000000000',</v>
      </c>
    </row>
    <row r="903" spans="26:27">
      <c r="Z903" t="s">
        <v>2285</v>
      </c>
      <c r="AA903" s="99" t="str">
        <f t="shared" si="15"/>
        <v>'31000324476236020000000000000000',</v>
      </c>
    </row>
    <row r="904" spans="26:27">
      <c r="Z904" t="s">
        <v>2286</v>
      </c>
      <c r="AA904" s="99" t="str">
        <f t="shared" si="15"/>
        <v>'31000041133973001000000000000000',</v>
      </c>
    </row>
    <row r="905" spans="26:27">
      <c r="Z905" t="s">
        <v>2287</v>
      </c>
      <c r="AA905" s="99" t="str">
        <f t="shared" ref="AA905:AA968" si="16">"'"&amp;Z905&amp;"',"</f>
        <v>'31000337646650020000000000000000',</v>
      </c>
    </row>
    <row r="906" spans="26:27">
      <c r="Z906" t="s">
        <v>2288</v>
      </c>
      <c r="AA906" s="99" t="str">
        <f t="shared" si="16"/>
        <v>'31000321401955020000000000000000',</v>
      </c>
    </row>
    <row r="907" spans="26:27">
      <c r="Z907" t="s">
        <v>1487</v>
      </c>
      <c r="AA907" s="99" t="str">
        <f t="shared" si="16"/>
        <v>'31000023557035001000000000000000',</v>
      </c>
    </row>
    <row r="908" spans="26:27">
      <c r="Z908" t="s">
        <v>2289</v>
      </c>
      <c r="AA908" s="99" t="str">
        <f t="shared" si="16"/>
        <v>'31000055546069020000000000000000',</v>
      </c>
    </row>
    <row r="909" spans="26:27">
      <c r="Z909" t="s">
        <v>2290</v>
      </c>
      <c r="AA909" s="99" t="str">
        <f t="shared" si="16"/>
        <v>'31000326031575020000000000000000',</v>
      </c>
    </row>
    <row r="910" spans="26:27">
      <c r="Z910" t="s">
        <v>2291</v>
      </c>
      <c r="AA910" s="99" t="str">
        <f t="shared" si="16"/>
        <v>'31000346996559020000000000000000',</v>
      </c>
    </row>
    <row r="911" spans="26:27">
      <c r="Z911" t="s">
        <v>1702</v>
      </c>
      <c r="AA911" s="99" t="str">
        <f t="shared" si="16"/>
        <v>'31000348709497020000000000000000',</v>
      </c>
    </row>
    <row r="912" spans="26:27">
      <c r="Z912" t="s">
        <v>2292</v>
      </c>
      <c r="AA912" s="99" t="str">
        <f t="shared" si="16"/>
        <v>'31000349039449020000000000000000',</v>
      </c>
    </row>
    <row r="913" spans="26:27">
      <c r="Z913" t="s">
        <v>1229</v>
      </c>
      <c r="AA913" s="99" t="str">
        <f t="shared" si="16"/>
        <v>'31000354461041020000000000000000',</v>
      </c>
    </row>
    <row r="914" spans="26:27">
      <c r="Z914" t="s">
        <v>2293</v>
      </c>
      <c r="AA914" s="99" t="str">
        <f t="shared" si="16"/>
        <v>'31000356057029020000000000000000',</v>
      </c>
    </row>
    <row r="915" spans="26:27">
      <c r="Z915" t="s">
        <v>2294</v>
      </c>
      <c r="AA915" s="99" t="str">
        <f t="shared" si="16"/>
        <v>'31003193405360011685014100000001',</v>
      </c>
    </row>
    <row r="916" spans="26:27">
      <c r="Z916" t="s">
        <v>2295</v>
      </c>
      <c r="AA916" s="99" t="str">
        <f t="shared" si="16"/>
        <v>'31000310296035096000000000000000',</v>
      </c>
    </row>
    <row r="917" spans="26:27">
      <c r="Z917" t="s">
        <v>1474</v>
      </c>
      <c r="AA917" s="99" t="str">
        <f t="shared" si="16"/>
        <v>'31000310375730096000000000000000',</v>
      </c>
    </row>
    <row r="918" spans="26:27">
      <c r="Z918" t="s">
        <v>2296</v>
      </c>
      <c r="AA918" s="99" t="str">
        <f t="shared" si="16"/>
        <v>'31000326357111020000000000000000',</v>
      </c>
    </row>
    <row r="919" spans="26:27">
      <c r="Z919" t="s">
        <v>2297</v>
      </c>
      <c r="AA919" s="99" t="str">
        <f t="shared" si="16"/>
        <v>'31005123545560011654157300000001',</v>
      </c>
    </row>
    <row r="920" spans="26:27">
      <c r="Z920" t="s">
        <v>2298</v>
      </c>
      <c r="AA920" s="99" t="str">
        <f t="shared" si="16"/>
        <v>'31000352045010020000000000000000',</v>
      </c>
    </row>
    <row r="921" spans="26:27">
      <c r="Z921" t="s">
        <v>2299</v>
      </c>
      <c r="AA921" s="99" t="str">
        <f t="shared" si="16"/>
        <v>'31000347080577020000000000000000',</v>
      </c>
    </row>
    <row r="922" spans="26:27">
      <c r="Z922" t="s">
        <v>1098</v>
      </c>
      <c r="AA922" s="99" t="str">
        <f t="shared" si="16"/>
        <v>'31026000200006658000000000000000',</v>
      </c>
    </row>
    <row r="923" spans="26:27">
      <c r="Z923" t="s">
        <v>2300</v>
      </c>
      <c r="AA923" s="99" t="str">
        <f t="shared" si="16"/>
        <v>'31000351936052020000000000000000',</v>
      </c>
    </row>
    <row r="924" spans="26:27">
      <c r="Z924" t="s">
        <v>2301</v>
      </c>
      <c r="AA924" s="99" t="str">
        <f t="shared" si="16"/>
        <v>'31000807295024020000000000000000',</v>
      </c>
    </row>
    <row r="925" spans="26:27">
      <c r="Z925" t="s">
        <v>2302</v>
      </c>
      <c r="AA925" s="99" t="str">
        <f t="shared" si="16"/>
        <v>'31000352983673020000000000000000',</v>
      </c>
    </row>
    <row r="926" spans="26:27">
      <c r="Z926" t="s">
        <v>2303</v>
      </c>
      <c r="AA926" s="99" t="str">
        <f t="shared" si="16"/>
        <v>'31000313628573020000000000000000',</v>
      </c>
    </row>
    <row r="927" spans="26:27">
      <c r="Z927" t="s">
        <v>2304</v>
      </c>
      <c r="AA927" s="99" t="str">
        <f t="shared" si="16"/>
        <v>'31000346408712020000000000000000',</v>
      </c>
    </row>
    <row r="928" spans="26:27">
      <c r="Z928" t="s">
        <v>2305</v>
      </c>
      <c r="AA928" s="99" t="str">
        <f t="shared" si="16"/>
        <v>'31000346930665020000000000000000',</v>
      </c>
    </row>
    <row r="929" spans="26:27">
      <c r="Z929" t="s">
        <v>2306</v>
      </c>
      <c r="AA929" s="99" t="str">
        <f t="shared" si="16"/>
        <v>'31000348139729020000000000000000',</v>
      </c>
    </row>
    <row r="930" spans="26:27">
      <c r="Z930" t="s">
        <v>1605</v>
      </c>
      <c r="AA930" s="99" t="str">
        <f t="shared" si="16"/>
        <v>'31000350997840020000000000000000',</v>
      </c>
    </row>
    <row r="931" spans="26:27">
      <c r="Z931" t="s">
        <v>1324</v>
      </c>
      <c r="AA931" s="99" t="str">
        <f t="shared" si="16"/>
        <v>'31005118663930011674800200000001',</v>
      </c>
    </row>
    <row r="932" spans="26:27">
      <c r="Z932" t="s">
        <v>2307</v>
      </c>
      <c r="AA932" s="99" t="str">
        <f t="shared" si="16"/>
        <v>'31000352474111020000000000000000',</v>
      </c>
    </row>
    <row r="933" spans="26:27">
      <c r="Z933" t="s">
        <v>2308</v>
      </c>
      <c r="AA933" s="99" t="str">
        <f t="shared" si="16"/>
        <v>'31000316175761096000000000000000',</v>
      </c>
    </row>
    <row r="934" spans="26:27">
      <c r="Z934" t="s">
        <v>1321</v>
      </c>
      <c r="AA934" s="99" t="str">
        <f t="shared" si="16"/>
        <v>'31000322266753020000000000000000',</v>
      </c>
    </row>
    <row r="935" spans="26:27">
      <c r="Z935" t="s">
        <v>1384</v>
      </c>
      <c r="AA935" s="99" t="str">
        <f t="shared" si="16"/>
        <v>'31000023975647001000000000000000',</v>
      </c>
    </row>
    <row r="936" spans="26:27">
      <c r="Z936" t="s">
        <v>1479</v>
      </c>
      <c r="AA936" s="99" t="str">
        <f t="shared" si="16"/>
        <v>'31000303567863096000000000000000',</v>
      </c>
    </row>
    <row r="937" spans="26:27">
      <c r="Z937" t="s">
        <v>2309</v>
      </c>
      <c r="AA937" s="99" t="str">
        <f t="shared" si="16"/>
        <v>'31000312735253096000000000000000',</v>
      </c>
    </row>
    <row r="938" spans="26:27">
      <c r="Z938" t="s">
        <v>2310</v>
      </c>
      <c r="AA938" s="99" t="str">
        <f t="shared" si="16"/>
        <v>'31000317999490096000000000000000',</v>
      </c>
    </row>
    <row r="939" spans="26:27">
      <c r="Z939" t="s">
        <v>2311</v>
      </c>
      <c r="AA939" s="99" t="str">
        <f t="shared" si="16"/>
        <v>'31000353250890020000000000000000',</v>
      </c>
    </row>
    <row r="940" spans="26:27">
      <c r="Z940" t="s">
        <v>1846</v>
      </c>
      <c r="AA940" s="99" t="str">
        <f t="shared" si="16"/>
        <v>'31000323367105020000000000000000',</v>
      </c>
    </row>
    <row r="941" spans="26:27">
      <c r="Z941" t="s">
        <v>2312</v>
      </c>
      <c r="AA941" s="99" t="str">
        <f t="shared" si="16"/>
        <v>'31000352403250020000000000000000',</v>
      </c>
    </row>
    <row r="942" spans="26:27">
      <c r="Z942" t="s">
        <v>2313</v>
      </c>
      <c r="AA942" s="99" t="str">
        <f t="shared" si="16"/>
        <v>'31000356072127020000000000000000',</v>
      </c>
    </row>
    <row r="943" spans="26:27">
      <c r="Z943" t="s">
        <v>1108</v>
      </c>
      <c r="AA943" s="99" t="str">
        <f t="shared" si="16"/>
        <v>'31000310970415096000000000000000',</v>
      </c>
    </row>
    <row r="944" spans="26:27">
      <c r="Z944" t="s">
        <v>1777</v>
      </c>
      <c r="AA944" s="99" t="str">
        <f t="shared" si="16"/>
        <v>'31000350308378020000000000000000',</v>
      </c>
    </row>
    <row r="945" spans="26:27">
      <c r="Z945" t="s">
        <v>2314</v>
      </c>
      <c r="AA945" s="99" t="str">
        <f t="shared" si="16"/>
        <v>'31000313293518096000000000000000',</v>
      </c>
    </row>
    <row r="946" spans="26:27">
      <c r="Z946" t="s">
        <v>2315</v>
      </c>
      <c r="AA946" s="99" t="str">
        <f t="shared" si="16"/>
        <v>'31039000200029176000000000000000',</v>
      </c>
    </row>
    <row r="947" spans="26:27">
      <c r="Z947" t="s">
        <v>2316</v>
      </c>
      <c r="AA947" s="99" t="str">
        <f t="shared" si="16"/>
        <v>'31000353258679020000000000000000',</v>
      </c>
    </row>
    <row r="948" spans="26:27">
      <c r="Z948" t="s">
        <v>2317</v>
      </c>
      <c r="AA948" s="99" t="str">
        <f t="shared" si="16"/>
        <v>'31000343663426020000000000000000',</v>
      </c>
    </row>
    <row r="949" spans="26:27">
      <c r="Z949" t="s">
        <v>2318</v>
      </c>
      <c r="AA949" s="99" t="str">
        <f t="shared" si="16"/>
        <v>'31000319226356020000000000000000',</v>
      </c>
    </row>
    <row r="950" spans="26:27">
      <c r="Z950" t="s">
        <v>2319</v>
      </c>
      <c r="AA950" s="99" t="str">
        <f t="shared" si="16"/>
        <v>'31000325424920020000000000000000',</v>
      </c>
    </row>
    <row r="951" spans="26:27">
      <c r="Z951" t="s">
        <v>2320</v>
      </c>
      <c r="AA951" s="99" t="str">
        <f t="shared" si="16"/>
        <v>'31000352269974020000000000000000',</v>
      </c>
    </row>
    <row r="952" spans="26:27">
      <c r="Z952" t="s">
        <v>2321</v>
      </c>
      <c r="AA952" s="99" t="str">
        <f t="shared" si="16"/>
        <v>'31000349524283020000000000000000',</v>
      </c>
    </row>
    <row r="953" spans="26:27">
      <c r="Z953" t="s">
        <v>2322</v>
      </c>
      <c r="AA953" s="99" t="str">
        <f t="shared" si="16"/>
        <v>'31022900200189913000000000000000',</v>
      </c>
    </row>
    <row r="954" spans="26:27">
      <c r="Z954" t="s">
        <v>1226</v>
      </c>
      <c r="AA954" s="99" t="str">
        <f t="shared" si="16"/>
        <v>'31000801924164096000000000000000',</v>
      </c>
    </row>
    <row r="955" spans="26:27">
      <c r="Z955" t="s">
        <v>1386</v>
      </c>
      <c r="AA955" s="99" t="str">
        <f t="shared" si="16"/>
        <v>'31000055894592020000000000000000',</v>
      </c>
    </row>
    <row r="956" spans="26:27">
      <c r="Z956" t="s">
        <v>1378</v>
      </c>
      <c r="AA956" s="99" t="str">
        <f t="shared" si="16"/>
        <v>'31000352276011020000000000000000',</v>
      </c>
    </row>
    <row r="957" spans="26:27">
      <c r="Z957" t="s">
        <v>2323</v>
      </c>
      <c r="AA957" s="99" t="str">
        <f t="shared" si="16"/>
        <v>'31000353846440020000000000000000',</v>
      </c>
    </row>
    <row r="958" spans="26:27">
      <c r="Z958" t="s">
        <v>1614</v>
      </c>
      <c r="AA958" s="99" t="str">
        <f t="shared" si="16"/>
        <v>'31000038409379001000000000000000',</v>
      </c>
    </row>
    <row r="959" spans="26:27">
      <c r="Z959" t="s">
        <v>1849</v>
      </c>
      <c r="AA959" s="99" t="str">
        <f t="shared" si="16"/>
        <v>'31000312274618096000000000000000',</v>
      </c>
    </row>
    <row r="960" spans="26:27">
      <c r="Z960" t="s">
        <v>1103</v>
      </c>
      <c r="AA960" s="99" t="str">
        <f t="shared" si="16"/>
        <v>'31000303861092096000000000000000',</v>
      </c>
    </row>
    <row r="961" spans="26:27">
      <c r="Z961" t="s">
        <v>2324</v>
      </c>
      <c r="AA961" s="99" t="str">
        <f t="shared" si="16"/>
        <v>'31000352159332020000000000000000',</v>
      </c>
    </row>
    <row r="962" spans="26:27">
      <c r="Z962" t="s">
        <v>2325</v>
      </c>
      <c r="AA962" s="99" t="str">
        <f t="shared" si="16"/>
        <v>'31000314890643096000000000000000',</v>
      </c>
    </row>
    <row r="963" spans="26:27">
      <c r="Z963" t="s">
        <v>2326</v>
      </c>
      <c r="AA963" s="99" t="str">
        <f t="shared" si="16"/>
        <v>'31000347459821020000000000000000',</v>
      </c>
    </row>
    <row r="964" spans="26:27">
      <c r="Z964" t="s">
        <v>1088</v>
      </c>
      <c r="AA964" s="99" t="str">
        <f t="shared" si="16"/>
        <v>'31000805061840020000000000000000',</v>
      </c>
    </row>
    <row r="965" spans="26:27">
      <c r="Z965" t="s">
        <v>2327</v>
      </c>
      <c r="AA965" s="99" t="str">
        <f t="shared" si="16"/>
        <v>'31000803406484020000000000000000',</v>
      </c>
    </row>
    <row r="966" spans="26:27">
      <c r="Z966" t="s">
        <v>1232</v>
      </c>
      <c r="AA966" s="99" t="str">
        <f t="shared" si="16"/>
        <v>'31000342749127020000000000000000',</v>
      </c>
    </row>
    <row r="967" spans="26:27">
      <c r="Z967" t="s">
        <v>2328</v>
      </c>
      <c r="AA967" s="99" t="str">
        <f t="shared" si="16"/>
        <v>'31000317291039096000000000000000',</v>
      </c>
    </row>
    <row r="968" spans="26:27">
      <c r="Z968" t="s">
        <v>2329</v>
      </c>
      <c r="AA968" s="99" t="str">
        <f t="shared" si="16"/>
        <v>'31000349624943020000000000000000',</v>
      </c>
    </row>
    <row r="969" spans="26:27">
      <c r="Z969" t="s">
        <v>2330</v>
      </c>
      <c r="AA969" s="99" t="str">
        <f t="shared" ref="AA969:AA1032" si="17">"'"&amp;Z969&amp;"',"</f>
        <v>'31000800575463020000000000000000',</v>
      </c>
    </row>
    <row r="970" spans="26:27">
      <c r="Z970" t="s">
        <v>1611</v>
      </c>
      <c r="AA970" s="99" t="str">
        <f t="shared" si="17"/>
        <v>'31000353536892020000000000000000',</v>
      </c>
    </row>
    <row r="971" spans="26:27">
      <c r="Z971" t="s">
        <v>2331</v>
      </c>
      <c r="AA971" s="99" t="str">
        <f t="shared" si="17"/>
        <v>'31000329949823020000000000000000',</v>
      </c>
    </row>
    <row r="972" spans="26:27">
      <c r="Z972" t="s">
        <v>2332</v>
      </c>
      <c r="AA972" s="99" t="str">
        <f t="shared" si="17"/>
        <v>'31000354490024020000000000000000',</v>
      </c>
    </row>
    <row r="973" spans="26:27">
      <c r="Z973" t="s">
        <v>2333</v>
      </c>
      <c r="AA973" s="99" t="str">
        <f t="shared" si="17"/>
        <v>'31000322232276020000000000000000',</v>
      </c>
    </row>
    <row r="974" spans="26:27">
      <c r="Z974" t="s">
        <v>865</v>
      </c>
      <c r="AA974" s="99" t="str">
        <f t="shared" si="17"/>
        <v>'31000316092768096000000000000000',</v>
      </c>
    </row>
    <row r="975" spans="26:27">
      <c r="Z975" t="s">
        <v>2334</v>
      </c>
      <c r="AA975" s="99" t="str">
        <f t="shared" si="17"/>
        <v>'31000316694654096000000000000000',</v>
      </c>
    </row>
    <row r="976" spans="26:27">
      <c r="Z976" t="s">
        <v>1414</v>
      </c>
      <c r="AA976" s="99" t="str">
        <f t="shared" si="17"/>
        <v>'31000314875207020000000000000000',</v>
      </c>
    </row>
    <row r="977" spans="26:27">
      <c r="Z977" t="s">
        <v>2335</v>
      </c>
      <c r="AA977" s="99" t="str">
        <f t="shared" si="17"/>
        <v>'31000351753697020000000000000000',</v>
      </c>
    </row>
    <row r="978" spans="26:27">
      <c r="Z978" t="s">
        <v>2336</v>
      </c>
      <c r="AA978" s="99" t="str">
        <f t="shared" si="17"/>
        <v>'31000351679223020000000000000000',</v>
      </c>
    </row>
    <row r="979" spans="26:27">
      <c r="Z979" t="s">
        <v>2337</v>
      </c>
      <c r="AA979" s="99" t="str">
        <f t="shared" si="17"/>
        <v>'31000352906724020000000000000000',</v>
      </c>
    </row>
    <row r="980" spans="26:27">
      <c r="Z980" t="s">
        <v>2338</v>
      </c>
      <c r="AA980" s="99" t="str">
        <f t="shared" si="17"/>
        <v>'31005121318040011568159200000001',</v>
      </c>
    </row>
    <row r="981" spans="26:27">
      <c r="Z981" t="s">
        <v>2339</v>
      </c>
      <c r="AA981" s="99" t="str">
        <f t="shared" si="17"/>
        <v>'31000312835336020000000000000000',</v>
      </c>
    </row>
    <row r="982" spans="26:27">
      <c r="Z982" t="s">
        <v>2340</v>
      </c>
      <c r="AA982" s="99" t="str">
        <f t="shared" si="17"/>
        <v>'31000346405031020000000000000000',</v>
      </c>
    </row>
    <row r="983" spans="26:27">
      <c r="Z983" t="s">
        <v>2341</v>
      </c>
      <c r="AA983" s="99" t="str">
        <f t="shared" si="17"/>
        <v>'31000351149623020000000000000000',</v>
      </c>
    </row>
    <row r="984" spans="26:27">
      <c r="Z984" t="s">
        <v>2342</v>
      </c>
      <c r="AA984" s="99" t="str">
        <f t="shared" si="17"/>
        <v>'31003193778930011595553200000001',</v>
      </c>
    </row>
    <row r="985" spans="26:27">
      <c r="Z985" t="s">
        <v>2343</v>
      </c>
      <c r="AA985" s="99" t="str">
        <f t="shared" si="17"/>
        <v>'31030900200004450000000000000000',</v>
      </c>
    </row>
    <row r="986" spans="26:27">
      <c r="Z986" t="s">
        <v>2344</v>
      </c>
      <c r="AA986" s="99" t="str">
        <f t="shared" si="17"/>
        <v>'31000800543172020000000000000000',</v>
      </c>
    </row>
    <row r="987" spans="26:27">
      <c r="Z987" t="s">
        <v>2345</v>
      </c>
      <c r="AA987" s="99" t="str">
        <f t="shared" si="17"/>
        <v>'31000350491588020000000000000000',</v>
      </c>
    </row>
    <row r="988" spans="26:27">
      <c r="Z988" t="s">
        <v>2346</v>
      </c>
      <c r="AA988" s="99" t="str">
        <f t="shared" si="17"/>
        <v>'31003189188450011634144000000001',</v>
      </c>
    </row>
    <row r="989" spans="26:27">
      <c r="Z989" t="s">
        <v>2347</v>
      </c>
      <c r="AA989" s="99" t="str">
        <f t="shared" si="17"/>
        <v>'31217602161505020000000000000000',</v>
      </c>
    </row>
    <row r="990" spans="26:27">
      <c r="Z990" t="s">
        <v>1396</v>
      </c>
      <c r="AA990" s="99" t="str">
        <f t="shared" si="17"/>
        <v>'31000343054469020000000000000000',</v>
      </c>
    </row>
    <row r="991" spans="26:27">
      <c r="Z991" t="s">
        <v>2348</v>
      </c>
      <c r="AA991" s="99" t="str">
        <f t="shared" si="17"/>
        <v>'31000008955964021000000000000000',</v>
      </c>
    </row>
    <row r="992" spans="26:27">
      <c r="Z992" t="s">
        <v>2349</v>
      </c>
      <c r="AA992" s="99" t="str">
        <f t="shared" si="17"/>
        <v>'31000351789352020000000000000000',</v>
      </c>
    </row>
    <row r="993" spans="26:27">
      <c r="Z993" t="s">
        <v>1527</v>
      </c>
      <c r="AA993" s="99" t="str">
        <f t="shared" si="17"/>
        <v>'31000805077184020000000000000000',</v>
      </c>
    </row>
    <row r="994" spans="26:27">
      <c r="Z994" t="s">
        <v>2350</v>
      </c>
      <c r="AA994" s="99" t="str">
        <f t="shared" si="17"/>
        <v>'31000325834623020000000000000000',</v>
      </c>
    </row>
    <row r="995" spans="26:27">
      <c r="Z995" t="s">
        <v>2351</v>
      </c>
      <c r="AA995" s="99" t="str">
        <f t="shared" si="17"/>
        <v>'31000350002625020000000000000000',</v>
      </c>
    </row>
    <row r="996" spans="26:27">
      <c r="Z996" t="s">
        <v>2352</v>
      </c>
      <c r="AA996" s="99" t="str">
        <f t="shared" si="17"/>
        <v>'31000330136469020000000000000000',</v>
      </c>
    </row>
    <row r="997" spans="26:27">
      <c r="Z997" t="s">
        <v>2353</v>
      </c>
      <c r="AA997" s="99" t="str">
        <f t="shared" si="17"/>
        <v>'31000347340922020000000000000000',</v>
      </c>
    </row>
    <row r="998" spans="26:27">
      <c r="Z998" t="s">
        <v>2354</v>
      </c>
      <c r="AA998" s="99" t="str">
        <f t="shared" si="17"/>
        <v>'31000356262207020000000000000000',</v>
      </c>
    </row>
    <row r="999" spans="26:27">
      <c r="Z999" t="s">
        <v>2355</v>
      </c>
      <c r="AA999" s="99" t="str">
        <f t="shared" si="17"/>
        <v>'31000032122100001000000000000000',</v>
      </c>
    </row>
    <row r="1000" spans="26:27">
      <c r="Z1000" t="s">
        <v>2356</v>
      </c>
      <c r="AA1000" s="99" t="str">
        <f t="shared" si="17"/>
        <v>'31000346845301020000000000000000',</v>
      </c>
    </row>
    <row r="1001" spans="26:27">
      <c r="Z1001" t="s">
        <v>2357</v>
      </c>
      <c r="AA1001" s="99" t="str">
        <f t="shared" si="17"/>
        <v>'31000347539861020000000000000000',</v>
      </c>
    </row>
    <row r="1002" spans="26:27">
      <c r="Z1002" t="s">
        <v>1722</v>
      </c>
      <c r="AA1002" s="99" t="str">
        <f t="shared" si="17"/>
        <v>'31000352012150020000000000000000',</v>
      </c>
    </row>
    <row r="1003" spans="26:27">
      <c r="Z1003" t="s">
        <v>1818</v>
      </c>
      <c r="AA1003" s="99" t="str">
        <f t="shared" si="17"/>
        <v>'31000309913384096000000000000000',</v>
      </c>
    </row>
    <row r="1004" spans="26:27">
      <c r="Z1004" t="s">
        <v>1126</v>
      </c>
      <c r="AA1004" s="99" t="str">
        <f t="shared" si="17"/>
        <v>'31000344783033020000000000000000',</v>
      </c>
    </row>
    <row r="1005" spans="26:27">
      <c r="Z1005" t="s">
        <v>1244</v>
      </c>
      <c r="AA1005" s="99" t="str">
        <f t="shared" si="17"/>
        <v>'31000050563013001000000000000000',</v>
      </c>
    </row>
    <row r="1006" spans="26:27">
      <c r="Z1006" t="s">
        <v>2358</v>
      </c>
      <c r="AA1006" s="99" t="str">
        <f t="shared" si="17"/>
        <v>'31210302839260020000000000000000',</v>
      </c>
    </row>
    <row r="1007" spans="26:27">
      <c r="Z1007" t="s">
        <v>2359</v>
      </c>
      <c r="AA1007" s="99" t="str">
        <f t="shared" si="17"/>
        <v>'31000352525680020000000000000000',</v>
      </c>
    </row>
    <row r="1008" spans="26:27">
      <c r="Z1008" t="s">
        <v>2360</v>
      </c>
      <c r="AA1008" s="99" t="str">
        <f t="shared" si="17"/>
        <v>'31000351771038020000000000000000',</v>
      </c>
    </row>
    <row r="1009" spans="26:27">
      <c r="Z1009" t="s">
        <v>1646</v>
      </c>
      <c r="AA1009" s="99" t="str">
        <f t="shared" si="17"/>
        <v>'31036700200021973000000000000000',</v>
      </c>
    </row>
    <row r="1010" spans="26:27">
      <c r="Z1010" t="s">
        <v>2361</v>
      </c>
      <c r="AA1010" s="99" t="str">
        <f t="shared" si="17"/>
        <v>'31003184555680011573267500000001',</v>
      </c>
    </row>
    <row r="1011" spans="26:27">
      <c r="Z1011" t="s">
        <v>2362</v>
      </c>
      <c r="AA1011" s="99" t="str">
        <f t="shared" si="17"/>
        <v>'31000352835543020000000000000000',</v>
      </c>
    </row>
    <row r="1012" spans="26:27">
      <c r="Z1012" t="s">
        <v>2363</v>
      </c>
      <c r="AA1012" s="99" t="str">
        <f t="shared" si="17"/>
        <v>'31000349082787020000000000000000',</v>
      </c>
    </row>
    <row r="1013" spans="26:27">
      <c r="Z1013" t="s">
        <v>2364</v>
      </c>
      <c r="AA1013" s="99" t="str">
        <f t="shared" si="17"/>
        <v>'31000350331891020000000000000000',</v>
      </c>
    </row>
    <row r="1014" spans="26:27">
      <c r="Z1014" t="s">
        <v>2365</v>
      </c>
      <c r="AA1014" s="99" t="str">
        <f t="shared" si="17"/>
        <v>'31000318044172020000000000000000',</v>
      </c>
    </row>
    <row r="1015" spans="26:27">
      <c r="Z1015" t="s">
        <v>948</v>
      </c>
      <c r="AA1015" s="99" t="str">
        <f t="shared" si="17"/>
        <v>'31000803407755020000000000000000',</v>
      </c>
    </row>
    <row r="1016" spans="26:27">
      <c r="Z1016" t="s">
        <v>2366</v>
      </c>
      <c r="AA1016" s="99" t="str">
        <f t="shared" si="17"/>
        <v>'31000352290632020000000000000000',</v>
      </c>
    </row>
    <row r="1017" spans="26:27">
      <c r="Z1017" t="s">
        <v>2367</v>
      </c>
      <c r="AA1017" s="99" t="str">
        <f t="shared" si="17"/>
        <v>'31216803291654020000000000000000',</v>
      </c>
    </row>
    <row r="1018" spans="26:27">
      <c r="Z1018" t="s">
        <v>2368</v>
      </c>
      <c r="AA1018" s="99" t="str">
        <f t="shared" si="17"/>
        <v>'31003193435310011615753100000001',</v>
      </c>
    </row>
    <row r="1019" spans="26:27">
      <c r="Z1019" t="s">
        <v>2369</v>
      </c>
      <c r="AA1019" s="99" t="str">
        <f t="shared" si="17"/>
        <v>'31000351923704020000000000000000',</v>
      </c>
    </row>
    <row r="1020" spans="26:27">
      <c r="Z1020" t="s">
        <v>2370</v>
      </c>
      <c r="AA1020" s="99" t="str">
        <f t="shared" si="17"/>
        <v>'31000318566719097000000000000000',</v>
      </c>
    </row>
    <row r="1021" spans="26:27">
      <c r="Z1021" t="s">
        <v>940</v>
      </c>
      <c r="AA1021" s="99" t="str">
        <f t="shared" si="17"/>
        <v>'31000315132805096000000000000000',</v>
      </c>
    </row>
    <row r="1022" spans="26:27">
      <c r="Z1022" t="s">
        <v>2371</v>
      </c>
      <c r="AA1022" s="99" t="str">
        <f t="shared" si="17"/>
        <v>'31000346191557020000000000000000',</v>
      </c>
    </row>
    <row r="1023" spans="26:27">
      <c r="Z1023" t="s">
        <v>933</v>
      </c>
      <c r="AA1023" s="99" t="str">
        <f t="shared" si="17"/>
        <v>'31000317696427096000000000000000',</v>
      </c>
    </row>
    <row r="1024" spans="26:27">
      <c r="Z1024" t="s">
        <v>2372</v>
      </c>
      <c r="AA1024" s="99" t="str">
        <f t="shared" si="17"/>
        <v>'31000351814747020000000000000000',</v>
      </c>
    </row>
    <row r="1025" spans="26:27">
      <c r="Z1025" t="s">
        <v>2373</v>
      </c>
      <c r="AA1025" s="99" t="str">
        <f t="shared" si="17"/>
        <v>'31000352953569020000000000000000',</v>
      </c>
    </row>
    <row r="1026" spans="26:27">
      <c r="Z1026" t="s">
        <v>2374</v>
      </c>
      <c r="AA1026" s="99" t="str">
        <f t="shared" si="17"/>
        <v>'31000039685100001000000000000000',</v>
      </c>
    </row>
    <row r="1027" spans="26:27">
      <c r="Z1027" t="s">
        <v>1134</v>
      </c>
      <c r="AA1027" s="99" t="str">
        <f t="shared" si="17"/>
        <v>'31000339422258020000000000000000',</v>
      </c>
    </row>
    <row r="1028" spans="26:27">
      <c r="Z1028" t="s">
        <v>2375</v>
      </c>
      <c r="AA1028" s="99" t="str">
        <f t="shared" si="17"/>
        <v>'31000346688800020000000000000000',</v>
      </c>
    </row>
    <row r="1029" spans="26:27">
      <c r="Z1029" t="s">
        <v>2376</v>
      </c>
      <c r="AA1029" s="99" t="str">
        <f t="shared" si="17"/>
        <v>'31000353471934020000000000000000',</v>
      </c>
    </row>
    <row r="1030" spans="26:27">
      <c r="Z1030" t="s">
        <v>2377</v>
      </c>
      <c r="AA1030" s="99" t="str">
        <f t="shared" si="17"/>
        <v>'31000326944579020000000000000000',</v>
      </c>
    </row>
    <row r="1031" spans="26:27">
      <c r="Z1031" t="s">
        <v>2378</v>
      </c>
      <c r="AA1031" s="99" t="str">
        <f t="shared" si="17"/>
        <v>'31000347517941020000000000000000',</v>
      </c>
    </row>
    <row r="1032" spans="26:27">
      <c r="Z1032" t="s">
        <v>2379</v>
      </c>
      <c r="AA1032" s="99" t="str">
        <f t="shared" si="17"/>
        <v>'31000352309788020000000000000000',</v>
      </c>
    </row>
    <row r="1033" spans="26:27">
      <c r="Z1033" t="s">
        <v>2380</v>
      </c>
      <c r="AA1033" s="99" t="str">
        <f t="shared" ref="AA1033:AA1096" si="18">"'"&amp;Z1033&amp;"',"</f>
        <v>'31000311850053096000000000000000',</v>
      </c>
    </row>
    <row r="1034" spans="26:27">
      <c r="Z1034" t="s">
        <v>1521</v>
      </c>
      <c r="AA1034" s="99" t="str">
        <f t="shared" si="18"/>
        <v>'31000323780844020000000000000000',</v>
      </c>
    </row>
    <row r="1035" spans="26:27">
      <c r="Z1035" t="s">
        <v>2381</v>
      </c>
      <c r="AA1035" s="99" t="str">
        <f t="shared" si="18"/>
        <v>'31000332737876020000000000000000',</v>
      </c>
    </row>
    <row r="1036" spans="26:27">
      <c r="Z1036" t="s">
        <v>1424</v>
      </c>
      <c r="AA1036" s="99" t="str">
        <f t="shared" si="18"/>
        <v>'31000313476733096000000000000000',</v>
      </c>
    </row>
    <row r="1037" spans="26:27">
      <c r="Z1037" t="s">
        <v>2382</v>
      </c>
      <c r="AA1037" s="99" t="str">
        <f t="shared" si="18"/>
        <v>'31000352261013020000000000000000',</v>
      </c>
    </row>
    <row r="1038" spans="26:27">
      <c r="Z1038" t="s">
        <v>982</v>
      </c>
      <c r="AA1038" s="99" t="str">
        <f t="shared" si="18"/>
        <v>'31216202873810020000000000000000',</v>
      </c>
    </row>
    <row r="1039" spans="26:27">
      <c r="Z1039" t="s">
        <v>2383</v>
      </c>
      <c r="AA1039" s="99" t="str">
        <f t="shared" si="18"/>
        <v>'31000352908373020000000000000000',</v>
      </c>
    </row>
    <row r="1040" spans="26:27">
      <c r="Z1040" t="s">
        <v>2384</v>
      </c>
      <c r="AA1040" s="99" t="str">
        <f t="shared" si="18"/>
        <v>'31000340645129020000000000000000',</v>
      </c>
    </row>
    <row r="1041" spans="26:27">
      <c r="Z1041" t="s">
        <v>2385</v>
      </c>
      <c r="AA1041" s="99" t="str">
        <f t="shared" si="18"/>
        <v>'31225203458552020000000000000000',</v>
      </c>
    </row>
    <row r="1042" spans="26:27">
      <c r="Z1042" t="s">
        <v>2386</v>
      </c>
      <c r="AA1042" s="99" t="str">
        <f t="shared" si="18"/>
        <v>'31000309918516096000000000000000',</v>
      </c>
    </row>
    <row r="1043" spans="26:27">
      <c r="Z1043" t="s">
        <v>2387</v>
      </c>
      <c r="AA1043" s="99" t="str">
        <f t="shared" si="18"/>
        <v>'31000353262069020000000000000000',</v>
      </c>
    </row>
    <row r="1044" spans="26:27">
      <c r="Z1044" t="s">
        <v>2388</v>
      </c>
      <c r="AA1044" s="99" t="str">
        <f t="shared" si="18"/>
        <v>'31000341320011020000000000000000',</v>
      </c>
    </row>
    <row r="1045" spans="26:27">
      <c r="Z1045" t="s">
        <v>2389</v>
      </c>
      <c r="AA1045" s="99" t="str">
        <f t="shared" si="18"/>
        <v>'31000352902822020000000000000000',</v>
      </c>
    </row>
    <row r="1046" spans="26:27">
      <c r="Z1046" t="s">
        <v>2390</v>
      </c>
      <c r="AA1046" s="99" t="str">
        <f t="shared" si="18"/>
        <v>'31000357829319020000000000000000',</v>
      </c>
    </row>
    <row r="1047" spans="26:27">
      <c r="Z1047" t="s">
        <v>2391</v>
      </c>
      <c r="AA1047" s="99" t="str">
        <f t="shared" si="18"/>
        <v>'31000355279822020000000000000000',</v>
      </c>
    </row>
    <row r="1048" spans="26:27">
      <c r="Z1048" t="s">
        <v>2392</v>
      </c>
      <c r="AA1048" s="99" t="str">
        <f t="shared" si="18"/>
        <v>'31000349651011020000000000000000',</v>
      </c>
    </row>
    <row r="1049" spans="26:27">
      <c r="Z1049" t="s">
        <v>2393</v>
      </c>
      <c r="AA1049" s="99" t="str">
        <f t="shared" si="18"/>
        <v>'31000357242067020000000000000000',</v>
      </c>
    </row>
    <row r="1050" spans="26:27">
      <c r="Z1050" t="s">
        <v>2394</v>
      </c>
      <c r="AA1050" s="99" t="str">
        <f t="shared" si="18"/>
        <v>'31000321547856020000000000000000',</v>
      </c>
    </row>
    <row r="1051" spans="26:27">
      <c r="Z1051" t="s">
        <v>2395</v>
      </c>
      <c r="AA1051" s="99" t="str">
        <f t="shared" si="18"/>
        <v>'31000351828895020000000000000000',</v>
      </c>
    </row>
    <row r="1052" spans="26:27">
      <c r="Z1052" t="s">
        <v>2396</v>
      </c>
      <c r="AA1052" s="99" t="str">
        <f t="shared" si="18"/>
        <v>'31000353391421020000000000000000',</v>
      </c>
    </row>
    <row r="1053" spans="26:27">
      <c r="Z1053" t="s">
        <v>2397</v>
      </c>
      <c r="AA1053" s="99" t="str">
        <f t="shared" si="18"/>
        <v>'31000326173054020000000000000000',</v>
      </c>
    </row>
    <row r="1054" spans="26:27">
      <c r="Z1054" t="s">
        <v>1189</v>
      </c>
      <c r="AA1054" s="99" t="str">
        <f t="shared" si="18"/>
        <v>'31000347129069020000000000000000',</v>
      </c>
    </row>
    <row r="1055" spans="26:27">
      <c r="Z1055" t="s">
        <v>2398</v>
      </c>
      <c r="AA1055" s="99" t="str">
        <f t="shared" si="18"/>
        <v>'31000349901960020000000000000000',</v>
      </c>
    </row>
    <row r="1056" spans="26:27">
      <c r="Z1056" t="s">
        <v>2399</v>
      </c>
      <c r="AA1056" s="99" t="str">
        <f t="shared" si="18"/>
        <v>'31000321537543020000000000000000',</v>
      </c>
    </row>
    <row r="1057" spans="26:27">
      <c r="Z1057" t="s">
        <v>2400</v>
      </c>
      <c r="AA1057" s="99" t="str">
        <f t="shared" si="18"/>
        <v>'31000346431102020000000000000000',</v>
      </c>
    </row>
    <row r="1058" spans="26:27">
      <c r="Z1058" t="s">
        <v>2401</v>
      </c>
      <c r="AA1058" s="99" t="str">
        <f t="shared" si="18"/>
        <v>'31000339401237020000000000000000',</v>
      </c>
    </row>
    <row r="1059" spans="26:27">
      <c r="Z1059" t="s">
        <v>2402</v>
      </c>
      <c r="AA1059" s="99" t="str">
        <f t="shared" si="18"/>
        <v>'31000357441610020000000000000000',</v>
      </c>
    </row>
    <row r="1060" spans="26:27">
      <c r="Z1060" t="s">
        <v>2403</v>
      </c>
      <c r="AA1060" s="99" t="str">
        <f t="shared" si="18"/>
        <v>'31000353200630020000000000000000',</v>
      </c>
    </row>
    <row r="1061" spans="26:27">
      <c r="Z1061" t="s">
        <v>1194</v>
      </c>
      <c r="AA1061" s="99" t="str">
        <f t="shared" si="18"/>
        <v>'31000313575799096000000000000000',</v>
      </c>
    </row>
    <row r="1062" spans="26:27">
      <c r="Z1062" t="s">
        <v>2404</v>
      </c>
      <c r="AA1062" s="99" t="str">
        <f t="shared" si="18"/>
        <v>'31000344343267020000000000000000',</v>
      </c>
    </row>
    <row r="1063" spans="26:27">
      <c r="Z1063" t="s">
        <v>1578</v>
      </c>
      <c r="AA1063" s="99" t="str">
        <f t="shared" si="18"/>
        <v>'31202102102119020000000000000000',</v>
      </c>
    </row>
    <row r="1064" spans="26:27">
      <c r="Z1064" t="s">
        <v>1805</v>
      </c>
      <c r="AA1064" s="99" t="str">
        <f t="shared" si="18"/>
        <v>'31000351423127020000000000000000',</v>
      </c>
    </row>
    <row r="1065" spans="26:27">
      <c r="Z1065" t="s">
        <v>1171</v>
      </c>
      <c r="AA1065" s="99" t="str">
        <f t="shared" si="18"/>
        <v>'31000340392052020000000000000000',</v>
      </c>
    </row>
    <row r="1066" spans="26:27">
      <c r="Z1066" t="s">
        <v>1546</v>
      </c>
      <c r="AA1066" s="99" t="str">
        <f t="shared" si="18"/>
        <v>'31000001870685001000000000000000',</v>
      </c>
    </row>
    <row r="1067" spans="26:27">
      <c r="Z1067" t="s">
        <v>1004</v>
      </c>
      <c r="AA1067" s="99" t="str">
        <f t="shared" si="18"/>
        <v>'31000310637493096000000000000000',</v>
      </c>
    </row>
    <row r="1068" spans="26:27">
      <c r="Z1068" t="s">
        <v>2405</v>
      </c>
      <c r="AA1068" s="99" t="str">
        <f t="shared" si="18"/>
        <v>'31000352041449020000000000000000',</v>
      </c>
    </row>
    <row r="1069" spans="26:27">
      <c r="Z1069" t="s">
        <v>2406</v>
      </c>
      <c r="AA1069" s="99" t="str">
        <f t="shared" si="18"/>
        <v>'31000352312386020000000000000000',</v>
      </c>
    </row>
    <row r="1070" spans="26:27">
      <c r="Z1070" t="s">
        <v>2407</v>
      </c>
      <c r="AA1070" s="99" t="str">
        <f t="shared" si="18"/>
        <v>'31000335067610020000000000000000',</v>
      </c>
    </row>
    <row r="1071" spans="26:27">
      <c r="Z1071" t="s">
        <v>2408</v>
      </c>
      <c r="AA1071" s="99" t="str">
        <f t="shared" si="18"/>
        <v>'31000314994676096000000000000000',</v>
      </c>
    </row>
    <row r="1072" spans="26:27">
      <c r="Z1072" t="s">
        <v>1797</v>
      </c>
      <c r="AA1072" s="99" t="str">
        <f t="shared" si="18"/>
        <v>'31000053098881020000000000000000',</v>
      </c>
    </row>
    <row r="1073" spans="26:27">
      <c r="Z1073" t="s">
        <v>2409</v>
      </c>
      <c r="AA1073" s="99" t="str">
        <f t="shared" si="18"/>
        <v>'31000343857655020000000000000000',</v>
      </c>
    </row>
    <row r="1074" spans="26:27">
      <c r="Z1074" t="s">
        <v>2410</v>
      </c>
      <c r="AA1074" s="99" t="str">
        <f t="shared" si="18"/>
        <v>'31000353432936020000000000000000',</v>
      </c>
    </row>
    <row r="1075" spans="26:27">
      <c r="Z1075" t="s">
        <v>2411</v>
      </c>
      <c r="AA1075" s="99" t="str">
        <f t="shared" si="18"/>
        <v>'31000340728925020000000000000000',</v>
      </c>
    </row>
    <row r="1076" spans="26:27">
      <c r="Z1076" t="s">
        <v>2412</v>
      </c>
      <c r="AA1076" s="99" t="str">
        <f t="shared" si="18"/>
        <v>'31000008897432021000000000000000',</v>
      </c>
    </row>
    <row r="1077" spans="26:27">
      <c r="Z1077" t="s">
        <v>2413</v>
      </c>
      <c r="AA1077" s="99" t="str">
        <f t="shared" si="18"/>
        <v>'31000041351241001000000000000000',</v>
      </c>
    </row>
    <row r="1078" spans="26:27">
      <c r="Z1078" t="s">
        <v>1282</v>
      </c>
      <c r="AA1078" s="99" t="str">
        <f t="shared" si="18"/>
        <v>'31000314157340096000000000000000',</v>
      </c>
    </row>
    <row r="1079" spans="26:27">
      <c r="Z1079" t="s">
        <v>2414</v>
      </c>
      <c r="AA1079" s="99" t="str">
        <f t="shared" si="18"/>
        <v>'31000342426726020000000000000000',</v>
      </c>
    </row>
    <row r="1080" spans="26:27">
      <c r="Z1080" t="s">
        <v>2415</v>
      </c>
      <c r="AA1080" s="99" t="str">
        <f t="shared" si="18"/>
        <v>'31000351197283020000000000000000',</v>
      </c>
    </row>
    <row r="1081" spans="26:27">
      <c r="Z1081" t="s">
        <v>2416</v>
      </c>
      <c r="AA1081" s="99" t="str">
        <f t="shared" si="18"/>
        <v>'31000802280013020000000000000000',</v>
      </c>
    </row>
    <row r="1082" spans="26:27">
      <c r="Z1082" t="s">
        <v>1666</v>
      </c>
      <c r="AA1082" s="99" t="str">
        <f t="shared" si="18"/>
        <v>'31000311444105096000000000000000',</v>
      </c>
    </row>
    <row r="1083" spans="26:27">
      <c r="Z1083" t="s">
        <v>2417</v>
      </c>
      <c r="AA1083" s="99" t="str">
        <f t="shared" si="18"/>
        <v>'31000336963486020000000000000000',</v>
      </c>
    </row>
    <row r="1084" spans="26:27">
      <c r="Z1084" t="s">
        <v>2418</v>
      </c>
      <c r="AA1084" s="99" t="str">
        <f t="shared" si="18"/>
        <v>'31000332569055020000000000000000',</v>
      </c>
    </row>
    <row r="1085" spans="26:27">
      <c r="Z1085" t="s">
        <v>1593</v>
      </c>
      <c r="AA1085" s="99" t="str">
        <f t="shared" si="18"/>
        <v>'31000344024339020000000000000000',</v>
      </c>
    </row>
    <row r="1086" spans="26:27">
      <c r="Z1086" t="s">
        <v>2419</v>
      </c>
      <c r="AA1086" s="99" t="str">
        <f t="shared" si="18"/>
        <v>'31000055322792020000000000000000',</v>
      </c>
    </row>
    <row r="1087" spans="26:27">
      <c r="Z1087" t="s">
        <v>2420</v>
      </c>
      <c r="AA1087" s="99" t="str">
        <f t="shared" si="18"/>
        <v>'31000316802514020000000000000000',</v>
      </c>
    </row>
    <row r="1088" spans="26:27">
      <c r="Z1088" t="s">
        <v>2421</v>
      </c>
      <c r="AA1088" s="99" t="str">
        <f t="shared" si="18"/>
        <v>'31000346241568020000000000000000',</v>
      </c>
    </row>
    <row r="1089" spans="26:27">
      <c r="Z1089" t="s">
        <v>2422</v>
      </c>
      <c r="AA1089" s="99" t="str">
        <f t="shared" si="18"/>
        <v>'31000322023170020000000000000000',</v>
      </c>
    </row>
    <row r="1090" spans="26:27">
      <c r="Z1090" t="s">
        <v>1668</v>
      </c>
      <c r="AA1090" s="99" t="str">
        <f t="shared" si="18"/>
        <v>'31000029707183001000000000000000',</v>
      </c>
    </row>
    <row r="1091" spans="26:27">
      <c r="Z1091" t="s">
        <v>2423</v>
      </c>
      <c r="AA1091" s="99" t="str">
        <f t="shared" si="18"/>
        <v>'31000349360654020000000000000000',</v>
      </c>
    </row>
    <row r="1092" spans="26:27">
      <c r="Z1092" t="s">
        <v>1670</v>
      </c>
      <c r="AA1092" s="99" t="str">
        <f t="shared" si="18"/>
        <v>'31000323416761020000000000000000',</v>
      </c>
    </row>
    <row r="1093" spans="26:27">
      <c r="Z1093" t="s">
        <v>1583</v>
      </c>
      <c r="AA1093" s="99" t="str">
        <f t="shared" si="18"/>
        <v>'31000324894859020000000000000000',</v>
      </c>
    </row>
    <row r="1094" spans="26:27">
      <c r="Z1094" t="s">
        <v>2424</v>
      </c>
      <c r="AA1094" s="99" t="str">
        <f t="shared" si="18"/>
        <v>'31000312921045020000000000000000',</v>
      </c>
    </row>
    <row r="1095" spans="26:27">
      <c r="Z1095" t="s">
        <v>1052</v>
      </c>
      <c r="AA1095" s="99" t="str">
        <f t="shared" si="18"/>
        <v>'31000325686247020000000000000000',</v>
      </c>
    </row>
    <row r="1096" spans="26:27">
      <c r="Z1096" t="s">
        <v>2425</v>
      </c>
      <c r="AA1096" s="99" t="str">
        <f t="shared" si="18"/>
        <v>'31000343862622020000000000000000',</v>
      </c>
    </row>
    <row r="1097" spans="26:27">
      <c r="Z1097" t="s">
        <v>2426</v>
      </c>
      <c r="AA1097" s="99" t="str">
        <f t="shared" ref="AA1097:AA1137" si="19">"'"&amp;Z1097&amp;"',"</f>
        <v>'31000320774618020000000000000000',</v>
      </c>
    </row>
    <row r="1098" spans="26:27">
      <c r="Z1098" t="s">
        <v>1755</v>
      </c>
      <c r="AA1098" s="99" t="str">
        <f t="shared" si="19"/>
        <v>'31003198627560011660851900000001',</v>
      </c>
    </row>
    <row r="1099" spans="26:27">
      <c r="Z1099" t="s">
        <v>2427</v>
      </c>
      <c r="AA1099" s="99" t="str">
        <f t="shared" si="19"/>
        <v>'31000353303129020000000000000000',</v>
      </c>
    </row>
    <row r="1100" spans="26:27">
      <c r="Z1100" t="s">
        <v>2428</v>
      </c>
      <c r="AA1100" s="99" t="str">
        <f t="shared" si="19"/>
        <v>'31000332290751020000000000000000',</v>
      </c>
    </row>
    <row r="1101" spans="26:27">
      <c r="Z1101" t="s">
        <v>2429</v>
      </c>
      <c r="AA1101" s="99" t="str">
        <f t="shared" si="19"/>
        <v>'31000334687327020000000000000000',</v>
      </c>
    </row>
    <row r="1102" spans="26:27">
      <c r="Z1102" t="s">
        <v>2430</v>
      </c>
      <c r="AA1102" s="99" t="str">
        <f t="shared" si="19"/>
        <v>'31000319408953096000000000000000',</v>
      </c>
    </row>
    <row r="1103" spans="26:27">
      <c r="Z1103" t="s">
        <v>2431</v>
      </c>
      <c r="AA1103" s="99" t="str">
        <f t="shared" si="19"/>
        <v>'31005125968080011666608000000001',</v>
      </c>
    </row>
    <row r="1104" spans="26:27">
      <c r="Z1104" t="s">
        <v>2432</v>
      </c>
      <c r="AA1104" s="99" t="str">
        <f t="shared" si="19"/>
        <v>'31000352596228020000000000000000',</v>
      </c>
    </row>
    <row r="1105" spans="26:27">
      <c r="Z1105" t="s">
        <v>2433</v>
      </c>
      <c r="AA1105" s="99" t="str">
        <f t="shared" si="19"/>
        <v>'31000806469422020000000000000000',</v>
      </c>
    </row>
    <row r="1106" spans="26:27">
      <c r="Z1106" t="s">
        <v>2434</v>
      </c>
      <c r="AA1106" s="99" t="str">
        <f t="shared" si="19"/>
        <v>'31000340733396020000000000000000',</v>
      </c>
    </row>
    <row r="1107" spans="26:27">
      <c r="Z1107" t="s">
        <v>2435</v>
      </c>
      <c r="AA1107" s="99" t="str">
        <f t="shared" si="19"/>
        <v>'31000352209822020000000000000000',</v>
      </c>
    </row>
    <row r="1108" spans="26:27">
      <c r="Z1108" t="s">
        <v>2436</v>
      </c>
      <c r="AA1108" s="99" t="str">
        <f t="shared" si="19"/>
        <v>'31000351174936020000000000000000',</v>
      </c>
    </row>
    <row r="1109" spans="26:27">
      <c r="Z1109" t="s">
        <v>1375</v>
      </c>
      <c r="AA1109" s="99" t="str">
        <f t="shared" si="19"/>
        <v>'31000321733407020000000000000000',</v>
      </c>
    </row>
    <row r="1110" spans="26:27">
      <c r="Z1110" t="s">
        <v>1774</v>
      </c>
      <c r="AA1110" s="99" t="str">
        <f t="shared" si="19"/>
        <v>'31000344448405020000000000000000',</v>
      </c>
    </row>
    <row r="1111" spans="26:27">
      <c r="Z1111" t="s">
        <v>2437</v>
      </c>
      <c r="AA1111" s="99" t="str">
        <f t="shared" si="19"/>
        <v>'31000807139057020000000000000000',</v>
      </c>
    </row>
    <row r="1112" spans="26:27">
      <c r="Z1112" t="s">
        <v>2438</v>
      </c>
      <c r="AA1112" s="99" t="str">
        <f t="shared" si="19"/>
        <v>'31003197933800011658382600000001',</v>
      </c>
    </row>
    <row r="1113" spans="26:27">
      <c r="Z1113" t="s">
        <v>1077</v>
      </c>
      <c r="AA1113" s="99" t="str">
        <f t="shared" si="19"/>
        <v>'31000309574111096000000000000000',</v>
      </c>
    </row>
    <row r="1114" spans="26:27">
      <c r="Z1114" t="s">
        <v>2439</v>
      </c>
      <c r="AA1114" s="99" t="str">
        <f t="shared" si="19"/>
        <v>'31000357276701020000000000000000',</v>
      </c>
    </row>
    <row r="1115" spans="26:27">
      <c r="Z1115" t="s">
        <v>2440</v>
      </c>
      <c r="AA1115" s="99" t="str">
        <f t="shared" si="19"/>
        <v>'31003199003380011571749600000001',</v>
      </c>
    </row>
    <row r="1116" spans="26:27">
      <c r="Z1116" t="s">
        <v>2441</v>
      </c>
      <c r="AA1116" s="99" t="str">
        <f t="shared" si="19"/>
        <v>'31000352784105020000000000000000',</v>
      </c>
    </row>
    <row r="1117" spans="26:27">
      <c r="Z1117" t="s">
        <v>2442</v>
      </c>
      <c r="AA1117" s="99" t="str">
        <f t="shared" si="19"/>
        <v>'31000349673668020000000000000000',</v>
      </c>
    </row>
    <row r="1118" spans="26:27">
      <c r="Z1118" t="s">
        <v>1381</v>
      </c>
      <c r="AA1118" s="99" t="str">
        <f t="shared" si="19"/>
        <v>'31003199529750011542949000000001',</v>
      </c>
    </row>
    <row r="1119" spans="26:27">
      <c r="Z1119" t="s">
        <v>2443</v>
      </c>
      <c r="AA1119" s="99" t="str">
        <f t="shared" si="19"/>
        <v>'31000346838272020000000000000000',</v>
      </c>
    </row>
    <row r="1120" spans="26:27">
      <c r="Z1120" t="s">
        <v>2444</v>
      </c>
      <c r="AA1120" s="99" t="str">
        <f t="shared" si="19"/>
        <v>'31000351696664020000000000000000',</v>
      </c>
    </row>
    <row r="1121" spans="26:27">
      <c r="Z1121" t="s">
        <v>2445</v>
      </c>
      <c r="AA1121" s="99" t="str">
        <f t="shared" si="19"/>
        <v>'31000343882463020000000000000000',</v>
      </c>
    </row>
    <row r="1122" spans="26:27">
      <c r="Z1122" t="s">
        <v>2446</v>
      </c>
      <c r="AA1122" s="99" t="str">
        <f t="shared" si="19"/>
        <v>'31000351882199020000000000000000',</v>
      </c>
    </row>
    <row r="1123" spans="26:27">
      <c r="Z1123" t="s">
        <v>2447</v>
      </c>
      <c r="AA1123" s="99" t="str">
        <f t="shared" si="19"/>
        <v>'31000352925005020000000000000000',</v>
      </c>
    </row>
    <row r="1124" spans="26:27">
      <c r="Z1124" t="s">
        <v>2448</v>
      </c>
      <c r="AA1124" s="99" t="str">
        <f t="shared" si="19"/>
        <v>'31000022584778001000000000000000',</v>
      </c>
    </row>
    <row r="1125" spans="26:27">
      <c r="Z1125" t="s">
        <v>2449</v>
      </c>
      <c r="AA1125" s="99" t="str">
        <f t="shared" si="19"/>
        <v>'31000802147576020000000000000000',</v>
      </c>
    </row>
    <row r="1126" spans="26:27">
      <c r="Z1126" t="s">
        <v>1617</v>
      </c>
      <c r="AA1126" s="99" t="str">
        <f t="shared" si="19"/>
        <v>'31000321457510020000000000000000',</v>
      </c>
    </row>
    <row r="1127" spans="26:27">
      <c r="Z1127" t="s">
        <v>2450</v>
      </c>
      <c r="AA1127" s="99" t="str">
        <f t="shared" si="19"/>
        <v>'31000351846376020000000000000000',</v>
      </c>
    </row>
    <row r="1128" spans="26:27">
      <c r="Z1128" t="s">
        <v>2451</v>
      </c>
      <c r="AA1128" s="99" t="str">
        <f t="shared" si="19"/>
        <v>'31005126014380011548463300000001',</v>
      </c>
    </row>
    <row r="1129" spans="26:27">
      <c r="Z1129" t="s">
        <v>2452</v>
      </c>
      <c r="AA1129" s="99" t="str">
        <f t="shared" si="19"/>
        <v>'31000339449889020000000000000000',</v>
      </c>
    </row>
    <row r="1130" spans="26:27">
      <c r="Z1130" t="s">
        <v>2453</v>
      </c>
      <c r="AA1130" s="99" t="str">
        <f t="shared" si="19"/>
        <v>'31000351991685020000000000000000',</v>
      </c>
    </row>
    <row r="1131" spans="26:27">
      <c r="Z1131" t="s">
        <v>2454</v>
      </c>
      <c r="AA1131" s="99" t="str">
        <f t="shared" si="19"/>
        <v>'31000351924892020000000000000000',</v>
      </c>
    </row>
    <row r="1132" spans="26:27">
      <c r="Z1132" t="s">
        <v>2455</v>
      </c>
      <c r="AA1132" s="99" t="str">
        <f t="shared" si="19"/>
        <v>'31000801038262096000000000000000',</v>
      </c>
    </row>
    <row r="1133" spans="26:27">
      <c r="Z1133" t="s">
        <v>1847</v>
      </c>
      <c r="AA1133" s="99" t="str">
        <f t="shared" si="19"/>
        <v>'31000341147018020000000000000000',</v>
      </c>
    </row>
    <row r="1134" spans="26:27">
      <c r="Z1134" t="s">
        <v>2456</v>
      </c>
      <c r="AA1134" s="99" t="str">
        <f t="shared" si="19"/>
        <v>'31000347155940020000000000000000',</v>
      </c>
    </row>
    <row r="1135" spans="26:27">
      <c r="Z1135" t="s">
        <v>2457</v>
      </c>
      <c r="AA1135" s="99" t="str">
        <f t="shared" si="19"/>
        <v>'31000351950301020000000000000000',</v>
      </c>
    </row>
    <row r="1136" spans="26:27">
      <c r="Z1136" t="s">
        <v>2458</v>
      </c>
      <c r="AA1136" s="99" t="str">
        <f t="shared" si="19"/>
        <v>'31000352167434020000000000000000',</v>
      </c>
    </row>
    <row r="1137" spans="26:27">
      <c r="Z1137" t="s">
        <v>2459</v>
      </c>
      <c r="AA1137" s="99" t="str">
        <f t="shared" si="19"/>
        <v>'31225701779347020000000000000000',</v>
      </c>
    </row>
  </sheetData>
  <autoFilter ref="F7:G54" xr:uid="{1449F28F-0E8D-421C-AB51-B446C7A25F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43C88-CE23-4BE8-9E29-F956BEE4B59D}"/>
</file>

<file path=customXml/itemProps2.xml><?xml version="1.0" encoding="utf-8"?>
<ds:datastoreItem xmlns:ds="http://schemas.openxmlformats.org/officeDocument/2006/customXml" ds:itemID="{7DC1C15D-DA47-41CD-B09A-1E0FA5FC1C27}"/>
</file>

<file path=customXml/itemProps3.xml><?xml version="1.0" encoding="utf-8"?>
<ds:datastoreItem xmlns:ds="http://schemas.openxmlformats.org/officeDocument/2006/customXml" ds:itemID="{5EC74D4D-73FB-4AA7-83E8-7B998BEAF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Nádia Genebra Ahmad</dc:creator>
  <cp:keywords/>
  <dc:description/>
  <cp:lastModifiedBy>Hélder Filipe Felicidade Fernandes</cp:lastModifiedBy>
  <cp:revision/>
  <dcterms:created xsi:type="dcterms:W3CDTF">2024-07-10T10:14:21Z</dcterms:created>
  <dcterms:modified xsi:type="dcterms:W3CDTF">2025-10-24T09:14:29Z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2024-07-10T18:56:07Z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95fa4bb7-cea6-4bd8-bbd3-25d8119440f5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