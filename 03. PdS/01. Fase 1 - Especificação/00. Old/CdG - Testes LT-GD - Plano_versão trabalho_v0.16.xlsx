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namedSheetViews/namedSheetView2.xml" ContentType="application/vnd.ms-excel.namedsheetview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429" documentId="8_{A5D5BE52-74DA-4EB3-9F36-94981AC28396}" xr6:coauthVersionLast="47" xr6:coauthVersionMax="47" xr10:uidLastSave="{ED5BCC80-A380-45A9-A658-EB26C9863E61}"/>
  <bookViews>
    <workbookView xWindow="-120" yWindow="-16320" windowWidth="29040" windowHeight="15840" tabRatio="856" activeTab="4" xr2:uid="{00000000-000D-0000-FFFF-FFFF00000000}"/>
  </bookViews>
  <sheets>
    <sheet name="1. Status Resumo" sheetId="15" r:id="rId1"/>
    <sheet name="2. Status Detalhe Campos" sheetId="17" r:id="rId2"/>
    <sheet name="3. Plano_Detalhado" sheetId="20" r:id="rId3"/>
    <sheet name="FC" sheetId="29" r:id="rId4"/>
    <sheet name="Sheet1" sheetId="38" r:id="rId5"/>
    <sheet name="Reunião 30jan" sheetId="35" r:id="rId6"/>
    <sheet name="Análise" sheetId="37" state="hidden" r:id="rId7"/>
    <sheet name="Macro_Plano_2025_v1" sheetId="24" state="hidden" r:id="rId8"/>
    <sheet name="Auxiliar_GD" sheetId="23" r:id="rId9"/>
    <sheet name="Pivots_GD" sheetId="25" r:id="rId10"/>
    <sheet name="Analise Campos FC" sheetId="31" state="hidden" r:id="rId11"/>
    <sheet name="Analise FC" sheetId="28" state="hidden" r:id="rId12"/>
  </sheets>
  <externalReferences>
    <externalReference r:id="rId13"/>
  </externalReferences>
  <definedNames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6" hidden="1">Análise!$B$3:$H$72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5" hidden="1">'Reunião 30jan'!$B$8:$I$77</definedName>
    <definedName name="_xlnm._FilterDatabase" localSheetId="4" hidden="1">Sheet1!$B$3:$I$3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<sst xmlns="http://schemas.openxmlformats.org/spreadsheetml/2006/main" count="4953" uniqueCount="508">
  <si>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</si>
  <si>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</si>
  <si>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</si>
  <si>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</si>
  <si>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</si>
  <si>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</si>
  <si>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</si>
  <si>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</si>
  <si>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</si>
  <si>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</si>
  <si>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</si>
  <si>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</si>
  <si>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</si>
  <si>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</si>
  <si>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</si>
  <si>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</si>
  <si>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</si>
  <si>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</si>
  <si>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</si>
  <si>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</si>
  <si>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</si>
  <si>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</si>
  <si>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</si>
  <si>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</si>
  <si>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</si>
  <si>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</si>
  <si>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</si>
  <si>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</si>
  <si>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</si>
  <si>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</si>
  <si>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</si>
  <si>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</si>
  <si>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</si>
  <si>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</si>
  <si>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</si>
  <si>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</si>
  <si>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</si>
  <si>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</si>
  <si>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</si>
  <si>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</si>
  <si>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</si>
  <si>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</si>
  <si>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</si>
  <si>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</si>
  <si>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</si>
  <si>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</si>
  <si>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</si>
  <si>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</si>
  <si>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</si>
  <si>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</si>
  <si>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</si>
  <si>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</si>
  <si>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</si>
  <si>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</si>
  <si>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</si>
  <si>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</si>
  <si>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</si>
  <si>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</si>
  <si>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</si>
  <si>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</si>
  <si>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</si>
  <si>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</si>
  <si>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</si>
  <si>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</si>
  <si>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</si>
  <si>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</si>
  <si>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</si>
  <si>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</si>
  <si>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</si>
  <si>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</si>
  <si>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</si>
  <si>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</si>
  <si>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</si>
  <si>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</si>
  <si>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</si>
  <si>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</si>
  <si>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</si>
  <si>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</si>
  <si>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</si>
  <si>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</si>
  <si>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</si>
  <si>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</si>
  <si>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</si>
  <si>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</si>
  <si>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</si>
  <si>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</si>
  <si>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</si>
  <si>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</si>
  <si>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</si>
  <si>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</si>
  <si>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</si>
  <si>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</si>
  <si>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</si>
  <si>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</si>
  <si>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</si>
  <si>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</si>
  <si>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</si>
  <si>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</si>
  <si>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</si>
  <si>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</si>
  <si>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</si>
  <si>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</si>
  <si>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</si>
  <si>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</si>
  <si>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</si>
  <si>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</si>
  <si>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</si>
  <si>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</si>
  <si>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</si>
  <si>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</si>
  <si>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</si>
  <si>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</si>
  <si>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</si>
  <si>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</si>
  <si>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</si>
  <si>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</si>
  <si>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</si>
  <si>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</si>
  <si>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</si>
  <si>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</si>
  <si>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</si>
  <si>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</si>
  <si>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</si>
  <si>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</si>
  <si>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</si>
  <si>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</si>
  <si>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</si>
  <si>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</si>
  <si>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</si>
  <si>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</si>
  <si>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</si>
  <si>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</si>
  <si>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</si>
  <si>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</si>
  <si>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</si>
  <si>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</si>
  <si>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</si>
  <si>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</si>
  <si>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</si>
  <si>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</si>
  <si>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</si>
  <si>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</si>
  <si>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</si>
  <si>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</si>
  <si>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</si>
  <si>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</si>
  <si>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</si>
  <si>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</si>
  <si>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</si>
  <si>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</si>
  <si>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</si>
  <si>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</si>
  <si>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</si>
  <si>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</si>
  <si>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</si>
  <si>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</si>
  <si>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</si>
  <si>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</si>
  <si>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</si>
  <si>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</si>
  <si>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</si>
  <si>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</si>
  <si>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</si>
  <si>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</si>
  <si>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</si>
  <si>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</si>
  <si>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</si>
  <si>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</si>
  <si>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</si>
  <si>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</si>
  <si>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</si>
  <si>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</si>
  <si>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</si>
  <si>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</si>
  <si>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</si>
  <si>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</si>
  <si>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</si>
  <si>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</si>
  <si>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</si>
  <si>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</si>
  <si>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</si>
  <si>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</si>
  <si>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</si>
  <si>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</si>
  <si>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</si>
  <si>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</si>
  <si>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</si>
  <si>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</si>
  <si>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</si>
  <si>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</si>
  <si>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</si>
  <si>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</si>
  <si>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</si>
  <si>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</si>
  <si>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</si>
  <si>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</si>
  <si>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</si>
  <si>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</si>
  <si>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</si>
  <si>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</si>
  <si>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</si>
  <si>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</si>
  <si>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</si>
  <si>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</si>
  <si>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</si>
  <si>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</si>
  <si>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</si>
  <si>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</si>
  <si>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</si>
  <si>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</si>
  <si>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</si>
  <si>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</si>
  <si>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</si>
  <si>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</si>
  <si>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</si>
  <si>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</si>
  <si>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</si>
  <si>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</si>
  <si>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</si>
  <si>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</si>
  <si>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</si>
  <si>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</si>
  <si>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</si>
  <si>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</si>
  <si>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</si>
  <si>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</si>
  <si>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</si>
  <si>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</si>
  <si>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</si>
  <si>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</si>
  <si>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</si>
  <si>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</si>
  <si>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</si>
  <si>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</si>
  <si>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</si>
  <si>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</si>
  <si>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</si>
  <si>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</si>
  <si>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</si>
  <si>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</si>
  <si>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</si>
  <si>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</si>
  <si>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</si>
  <si>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</si>
  <si>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</si>
  <si>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</si>
  <si>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</si>
  <si>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</si>
  <si>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</si>
  <si>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</si>
  <si>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</si>
  <si>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</si>
  <si>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</si>
  <si>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</si>
  <si>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</si>
  <si>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</si>
  <si>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</si>
  <si>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</si>
  <si>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</si>
  <si>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</si>
  <si>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</si>
  <si>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</si>
  <si>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</si>
  <si>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</si>
  <si>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</si>
  <si>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</si>
  <si>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</si>
  <si>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</si>
  <si>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</si>
  <si>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</si>
  <si>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</si>
  <si>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</si>
  <si>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</si>
  <si>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</si>
  <si>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</si>
  <si>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</si>
  <si>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</si>
  <si>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</si>
  <si>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</si>
  <si>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</si>
  <si>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</si>
  <si>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</si>
  <si>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</si>
  <si>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</si>
  <si>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</si>
  <si>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</si>
  <si>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</si>
  <si>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</si>
  <si>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</si>
  <si>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</si>
  <si>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</si>
  <si>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</si>
  <si>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</si>
  <si>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</si>
  <si>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</si>
  <si>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</si>
  <si>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</si>
  <si>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</si>
  <si>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</si>
  <si>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</si>
  <si>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</si>
  <si>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</si>
  <si>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</si>
  <si>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</si>
  <si>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</si>
  <si>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</si>
  <si>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</si>
  <si>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</si>
  <si>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Data Fim Real</t>
  </si>
  <si>
    <t>1.1</t>
  </si>
  <si>
    <t>=</t>
  </si>
  <si>
    <t>2.1</t>
  </si>
  <si>
    <t>3.1</t>
  </si>
  <si>
    <t>3.2</t>
  </si>
  <si>
    <t>3.3</t>
  </si>
  <si>
    <t>3.4</t>
  </si>
  <si>
    <t>4.1</t>
  </si>
  <si>
    <t>«</t>
  </si>
  <si>
    <t>4.2</t>
  </si>
  <si>
    <t>4.3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</si>
  <si>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</si>
  <si>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</si>
  <si>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</si>
  <si>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</si>
  <si>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</si>
  <si>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</si>
  <si>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</si>
  <si>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Outros Temas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</si>
  <si>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</si>
  <si>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</si>
  <si>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</si>
  <si>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</si>
  <si>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</si>
  <si>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</si>
  <si>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</si>
  <si>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</si>
  <si>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</si>
  <si>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</si>
  <si>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</si>
  <si>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</si>
  <si>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</si>
  <si>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</si>
  <si>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</si>
  <si>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</si>
  <si>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</si>
  <si>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</si>
  <si>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</si>
  <si>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</si>
  <si>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</si>
  <si>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</si>
  <si>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</si>
  <si>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</si>
  <si>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</si>
  <si>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</si>
  <si>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</si>
  <si>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</si>
  <si>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</si>
  <si>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</si>
  <si>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</si>
  <si>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</si>
  <si>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</si>
  <si>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</si>
  <si>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</si>
  <si>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</si>
  <si>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</si>
  <si>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</si>
  <si>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</si>
  <si>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</si>
  <si>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</si>
  <si>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</si>
  <si>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</si>
  <si>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</si>
  <si>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</si>
  <si>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</si>
  <si>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</si>
  <si>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</si>
  <si>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</si>
  <si>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</si>
  <si>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</si>
  <si>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</si>
  <si>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</si>
  <si>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</si>
  <si>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</si>
  <si>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</si>
  <si>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</si>
  <si>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</si>
  <si>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</si>
  <si>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</si>
  <si>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</si>
  <si>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</si>
  <si>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</si>
  <si>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</si>
  <si>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</si>
  <si>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</si>
  <si>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</si>
  <si>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</si>
  <si>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</si>
  <si>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Validação da especificação dos campos (total = 38)</t>
  </si>
  <si>
    <t>Especificação dos campos comuns com PM</t>
  </si>
  <si>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Especificação Deloitte</t>
    </r>
  </si>
  <si>
    <r>
      <t>Atualização da documentação (</t>
    </r>
    <r>
      <rPr>
        <i/>
        <sz val="11"/>
        <rFont val="Santander Text"/>
        <family val="2"/>
      </rPr>
      <t>word</t>
    </r>
    <r>
      <rPr>
        <sz val="11"/>
        <rFont val="Santander Text"/>
        <family val="2"/>
      </rPr>
      <t xml:space="preserve"> + </t>
    </r>
    <r>
      <rPr>
        <i/>
        <sz val="11"/>
        <rFont val="Santander Text"/>
        <family val="2"/>
      </rPr>
      <t>excel</t>
    </r>
    <r>
      <rPr>
        <sz val="11"/>
        <rFont val="Santander Text"/>
        <family val="2"/>
      </rPr>
      <t xml:space="preserve">) com a especificação </t>
    </r>
    <r>
      <rPr>
        <i/>
        <sz val="11"/>
        <rFont val="Santander Text"/>
        <family val="2"/>
      </rPr>
      <t>to-be</t>
    </r>
  </si>
  <si>
    <t>Especificação dos campos exclusivos do GD</t>
  </si>
  <si>
    <t>Atualização da especificação da Deloitte</t>
  </si>
  <si>
    <t>Implementação dos requisitos especificados</t>
  </si>
  <si>
    <t>Testes à implementação dos requisitos</t>
  </si>
  <si>
    <t>Testes regressivos</t>
  </si>
  <si>
    <t>Testes regressivos aos campos concluidos do GD</t>
  </si>
  <si>
    <t>3.5</t>
  </si>
  <si>
    <t>3.6</t>
  </si>
  <si>
    <t>Testes regressivos aos campos concluidos em âmbito do projeto anterior</t>
  </si>
  <si>
    <t>Especificação dos campos comuns com Pilar 3</t>
  </si>
  <si>
    <t>3.7</t>
  </si>
  <si>
    <t>Simulação das tabelas e campos especificados</t>
  </si>
  <si>
    <r>
      <t xml:space="preserve">Universo a reportar: desagregação por </t>
    </r>
    <r>
      <rPr>
        <i/>
        <sz val="11"/>
        <rFont val="Santander Text"/>
        <family val="2"/>
      </rPr>
      <t>Business Area</t>
    </r>
  </si>
  <si>
    <t>Contratos intra-mês: validação do universo da lt002</t>
  </si>
  <si>
    <t>Corporação</t>
  </si>
  <si>
    <t>0.</t>
  </si>
  <si>
    <t>Gestão</t>
  </si>
  <si>
    <t>0.1</t>
  </si>
  <si>
    <t>Reuniões de PdS</t>
  </si>
  <si>
    <t>Neyond/CdG/IT</t>
  </si>
  <si>
    <t>TBD</t>
  </si>
  <si>
    <r>
      <t xml:space="preserve">Validação da especificação </t>
    </r>
    <r>
      <rPr>
        <i/>
        <sz val="11"/>
        <rFont val="Santander Text"/>
        <family val="2"/>
      </rPr>
      <t>to-be</t>
    </r>
  </si>
  <si>
    <t>on-going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</si>
  <si>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</si>
  <si>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</si>
  <si>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</si>
  <si>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</si>
  <si>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</si>
  <si>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</si>
  <si>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</si>
  <si>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</si>
  <si>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</si>
  <si>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</si>
  <si>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</si>
  <si>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</si>
  <si>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</si>
  <si>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</si>
  <si>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</si>
  <si>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</si>
  <si>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</si>
  <si>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</si>
  <si>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</si>
  <si>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</si>
  <si>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</si>
  <si>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</si>
  <si>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</si>
  <si>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</si>
  <si>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</si>
  <si>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</si>
  <si>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</si>
  <si>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</si>
  <si>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</si>
  <si>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</si>
  <si>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</si>
  <si>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</si>
  <si>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</si>
  <si>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</si>
  <si>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</si>
  <si>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</si>
  <si>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</si>
  <si>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</si>
  <si>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</si>
  <si>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</si>
  <si>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</si>
  <si>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</si>
  <si>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</si>
  <si>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</si>
  <si>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</si>
  <si>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</si>
  <si>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</si>
  <si>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</si>
  <si>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</si>
  <si>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</si>
  <si>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</si>
  <si>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</si>
  <si>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</si>
  <si>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</si>
  <si>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</si>
  <si>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</si>
  <si>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</si>
  <si>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</si>
  <si>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</si>
  <si>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</si>
  <si>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</si>
  <si>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</si>
  <si>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</si>
  <si>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</si>
  <si>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</si>
  <si>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</si>
  <si>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</si>
  <si>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</si>
  <si>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</si>
  <si>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</si>
  <si>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</si>
  <si>
    <t>Ver com JB</t>
  </si>
  <si>
    <t>Pilar 3: data prevista de entrega 4/fev. Colocar ultima semana de fev</t>
  </si>
  <si>
    <t>Colocar ultima semana de fev</t>
  </si>
  <si>
    <t>sub-âmbito</t>
  </si>
  <si>
    <t>tabela</t>
  </si>
  <si>
    <t>campo</t>
  </si>
  <si>
    <t>status</t>
  </si>
  <si>
    <t>altera corporação?</t>
  </si>
  <si>
    <t>notas</t>
  </si>
  <si>
    <t>Package 1</t>
  </si>
  <si>
    <t>já enviado no word + excel</t>
  </si>
  <si>
    <t>necessário reenviar</t>
  </si>
  <si>
    <t>fase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</si>
</sst>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rgb="FF00B0F0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Santandr text"/>
    </font>
    <font>
      <b/>
      <sz val="10"/>
      <color theme="1"/>
      <name val="Santandr text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68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5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2" fillId="17" borderId="47" xfId="0" applyFont="1" applyFill="1" applyBorder="1" applyAlignment="1">
      <alignment vertical="center"/>
    </xf>
    <xf numFmtId="0" fontId="8" fillId="17" borderId="47" xfId="0" applyFont="1" applyFill="1" applyBorder="1" applyAlignment="1">
      <alignment horizontal="center" vertical="center"/>
    </xf>
    <xf numFmtId="2" fontId="8" fillId="17" borderId="47" xfId="0" applyNumberFormat="1" applyFont="1" applyFill="1" applyBorder="1" applyAlignment="1">
      <alignment horizontal="center" vertical="center"/>
    </xf>
    <xf numFmtId="9" fontId="8" fillId="17" borderId="47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59" fillId="0" borderId="0" xfId="0" quotePrefix="1" applyFont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60" fillId="12" borderId="38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0" fontId="9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indent="1"/>
    </xf>
    <xf numFmtId="16" fontId="3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1"/>
    </xf>
    <xf numFmtId="16" fontId="3" fillId="0" borderId="2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1" fillId="0" borderId="40" xfId="0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42" xfId="0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2" fillId="27" borderId="43" xfId="0" applyFont="1" applyFill="1" applyBorder="1" applyAlignment="1">
      <alignment vertical="center"/>
    </xf>
    <xf numFmtId="0" fontId="2" fillId="27" borderId="30" xfId="0" applyFont="1" applyFill="1" applyBorder="1" applyAlignment="1">
      <alignment vertical="center"/>
    </xf>
    <xf numFmtId="0" fontId="2" fillId="27" borderId="23" xfId="0" applyFont="1" applyFill="1" applyBorder="1" applyAlignment="1">
      <alignment vertical="center"/>
    </xf>
    <xf numFmtId="16" fontId="45" fillId="0" borderId="25" xfId="0" applyNumberFormat="1" applyFont="1" applyBorder="1" applyAlignment="1">
      <alignment horizontal="center" vertical="center"/>
    </xf>
    <xf numFmtId="0" fontId="2" fillId="27" borderId="43" xfId="0" applyFont="1" applyFill="1" applyBorder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27" borderId="28" xfId="0" applyFont="1" applyFill="1" applyBorder="1" applyAlignment="1">
      <alignment vertical="center"/>
    </xf>
    <xf numFmtId="16" fontId="45" fillId="0" borderId="0" xfId="0" applyNumberFormat="1" applyFont="1" applyAlignment="1">
      <alignment horizontal="center" vertical="center"/>
    </xf>
    <xf numFmtId="16" fontId="45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7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4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2" fillId="5" borderId="4" xfId="0" applyFont="1" applyFill="1" applyBorder="1" applyAlignment="1">
      <alignment vertical="center"/>
    </xf>
    <xf numFmtId="0" fontId="76" fillId="0" borderId="0" xfId="0" applyFont="1"/>
    <xf numFmtId="0" fontId="77" fillId="0" borderId="0" xfId="0" applyFont="1"/>
    <xf numFmtId="0" fontId="69" fillId="0" borderId="7" xfId="0" quotePrefix="1" applyFont="1" applyBorder="1" applyAlignment="1">
      <alignment horizontal="left" vertical="center" wrapText="1" indent="1"/>
    </xf>
    <xf numFmtId="0" fontId="69" fillId="0" borderId="8" xfId="0" applyFont="1" applyBorder="1" applyAlignment="1">
      <alignment horizontal="left" vertical="center" wrapText="1" indent="1"/>
    </xf>
    <xf numFmtId="0" fontId="69" fillId="0" borderId="9" xfId="0" applyFont="1" applyBorder="1" applyAlignment="1">
      <alignment horizontal="left" vertical="center" wrapText="1" indent="1"/>
    </xf>
    <xf numFmtId="0" fontId="69" fillId="0" borderId="10" xfId="0" applyFont="1" applyBorder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0" borderId="11" xfId="0" applyFont="1" applyBorder="1" applyAlignment="1">
      <alignment horizontal="left" vertical="center" wrapText="1" indent="1"/>
    </xf>
    <xf numFmtId="0" fontId="69" fillId="0" borderId="12" xfId="0" applyFont="1" applyBorder="1" applyAlignment="1">
      <alignment horizontal="left" vertical="center" wrapText="1" indent="1"/>
    </xf>
    <xf numFmtId="0" fontId="69" fillId="0" borderId="13" xfId="0" applyFont="1" applyBorder="1" applyAlignment="1">
      <alignment horizontal="left" vertical="center" wrapText="1" indent="1"/>
    </xf>
    <xf numFmtId="0" fontId="69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5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 vertic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75" fillId="28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trabalho_v0.16.xlsx]Pivots_GD!PivotTable1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trabalho_v0.16.xlsx]Pivots_GD!PivotTable2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trabalho_v0.16.xlsx]Pivots_GD!PivotTable4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trabalho_v0.16.xlsx]Pivots_GD!PivotTable5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75</xdr:row>
      <xdr:rowOff>9525</xdr:rowOff>
    </xdr:from>
    <xdr:to>
      <xdr:col>4</xdr:col>
      <xdr:colOff>438150</xdr:colOff>
      <xdr:row>89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133A25-918C-6FD6-399D-1593BC5DCD61}"/>
            </a:ext>
          </a:extLst>
        </xdr:cNvPr>
        <xdr:cNvSpPr txBox="1"/>
      </xdr:nvSpPr>
      <xdr:spPr>
        <a:xfrm>
          <a:off x="866775" y="13896975"/>
          <a:ext cx="6429375" cy="25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notas:</a:t>
          </a:r>
        </a:p>
        <a:p>
          <a:endParaRPr lang="pt-PT" sz="1100"/>
        </a:p>
        <a:p>
          <a:r>
            <a:rPr lang="pt-PT" sz="1100"/>
            <a:t>campos da lt007 colocar</a:t>
          </a:r>
          <a:r>
            <a:rPr lang="pt-PT" sz="1100" baseline="0"/>
            <a:t> na ultima semana de fev</a:t>
          </a:r>
        </a:p>
        <a:p>
          <a:r>
            <a:rPr lang="pt-PT" sz="1100" baseline="0"/>
            <a:t>tipo_veiculo colocar no inicio da proxima semana</a:t>
          </a:r>
        </a:p>
        <a:p>
          <a:r>
            <a:rPr lang="pt-PT" sz="1100" baseline="0"/>
            <a:t>tipo_veiculo + flag colocar para entrega no mesmo package</a:t>
          </a:r>
        </a:p>
        <a:p>
          <a:r>
            <a:rPr lang="pt-PT" sz="1100" baseline="0"/>
            <a:t>campos com _ccrr no mesmo package</a:t>
          </a:r>
        </a:p>
        <a:p>
          <a:r>
            <a:rPr lang="pt-PT" sz="1100" baseline="0"/>
            <a:t>campos ytd mesmo package</a:t>
          </a:r>
          <a:endParaRPr lang="pt-PT" sz="1100"/>
        </a:p>
        <a:p>
          <a:endParaRPr lang="pt-PT" sz="1100"/>
        </a:p>
        <a:p>
          <a:endParaRPr lang="pt-PT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257176</xdr:colOff>
      <xdr:row>0</xdr:row>
      <xdr:rowOff>142959</xdr:rowOff>
    </xdr:from>
    <xdr:to>
      <xdr:col>2</xdr:col>
      <xdr:colOff>447970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5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5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3" type="button" dataOnly="0" labelOnly="1" outline="0" axis="axisRow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M58" sqref="M58"/>
    </sheetView>
  </sheetViews>
  <sheetFormatPr defaultColWidth="0" defaultRowHeight="13.8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>
      <c r="A6" s="11"/>
      <c r="B6" s="21" t="s">
        <v>384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>
      <c r="A8" s="11"/>
      <c r="B8" s="338" t="s">
        <v>425</v>
      </c>
      <c r="C8" s="339"/>
      <c r="D8" s="339"/>
      <c r="E8" s="339"/>
      <c r="F8" s="339"/>
      <c r="G8" s="339"/>
      <c r="H8" s="339"/>
      <c r="I8" s="339"/>
      <c r="J8" s="339"/>
      <c r="K8" s="339"/>
      <c r="L8" s="339"/>
      <c r="M8" s="339"/>
      <c r="N8" s="339"/>
      <c r="O8" s="339"/>
      <c r="P8" s="339"/>
      <c r="Q8" s="339"/>
      <c r="R8" s="339"/>
      <c r="S8" s="339"/>
      <c r="T8" s="339"/>
      <c r="U8" s="340"/>
      <c r="V8" s="11"/>
    </row>
    <row r="9" spans="1:22" ht="17.399999999999999">
      <c r="A9" s="11"/>
      <c r="B9" s="341"/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3"/>
      <c r="V9" s="11"/>
    </row>
    <row r="10" spans="1:22" ht="17.399999999999999">
      <c r="A10" s="11"/>
      <c r="B10" s="341"/>
      <c r="C10" s="342"/>
      <c r="D10" s="342"/>
      <c r="E10" s="342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3"/>
      <c r="V10" s="11"/>
    </row>
    <row r="11" spans="1:22" ht="17.399999999999999">
      <c r="A11" s="11"/>
      <c r="B11" s="341"/>
      <c r="C11" s="342"/>
      <c r="D11" s="342"/>
      <c r="E11" s="342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3"/>
      <c r="V11" s="11"/>
    </row>
    <row r="12" spans="1:22" ht="17.399999999999999">
      <c r="A12" s="11"/>
      <c r="B12" s="341"/>
      <c r="C12" s="342"/>
      <c r="D12" s="342"/>
      <c r="E12" s="342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42"/>
      <c r="T12" s="342"/>
      <c r="U12" s="343"/>
      <c r="V12" s="11"/>
    </row>
    <row r="13" spans="1:22" ht="17.399999999999999">
      <c r="A13" s="11"/>
      <c r="B13" s="344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6"/>
      <c r="V13" s="11"/>
    </row>
    <row r="14" spans="1:22" ht="17.39999999999999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47" t="s">
        <v>424</v>
      </c>
      <c r="P19" s="348"/>
      <c r="Q19" s="348"/>
      <c r="R19" s="348"/>
      <c r="S19" s="348"/>
      <c r="T19" s="349"/>
      <c r="U19" s="17"/>
      <c r="V19" s="11"/>
    </row>
    <row r="20" spans="1:22" ht="17.399999999999999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50"/>
      <c r="P20" s="351"/>
      <c r="Q20" s="351"/>
      <c r="R20" s="351"/>
      <c r="S20" s="351"/>
      <c r="T20" s="352"/>
      <c r="U20" s="17"/>
      <c r="V20" s="11"/>
    </row>
    <row r="21" spans="1:22" ht="17.399999999999999" customHeight="1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50"/>
      <c r="P21" s="351"/>
      <c r="Q21" s="351"/>
      <c r="R21" s="351"/>
      <c r="S21" s="351"/>
      <c r="T21" s="352"/>
      <c r="U21" s="17"/>
      <c r="V21" s="11"/>
    </row>
    <row r="22" spans="1:22" ht="17.399999999999999" customHeight="1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50"/>
      <c r="P22" s="351"/>
      <c r="Q22" s="351"/>
      <c r="R22" s="351"/>
      <c r="S22" s="351"/>
      <c r="T22" s="352"/>
      <c r="U22" s="17"/>
      <c r="V22" s="11"/>
    </row>
    <row r="23" spans="1:22" ht="17.399999999999999" customHeight="1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50"/>
      <c r="P23" s="351"/>
      <c r="Q23" s="351"/>
      <c r="R23" s="351"/>
      <c r="S23" s="351"/>
      <c r="T23" s="352"/>
      <c r="U23" s="17"/>
      <c r="V23" s="11"/>
    </row>
    <row r="24" spans="1:22" ht="17.399999999999999" customHeight="1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50"/>
      <c r="P24" s="351"/>
      <c r="Q24" s="351"/>
      <c r="R24" s="351"/>
      <c r="S24" s="351"/>
      <c r="T24" s="352"/>
      <c r="U24" s="17"/>
      <c r="V24" s="11"/>
    </row>
    <row r="25" spans="1:22" ht="17.399999999999999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50"/>
      <c r="P25" s="351"/>
      <c r="Q25" s="351"/>
      <c r="R25" s="351"/>
      <c r="S25" s="351"/>
      <c r="T25" s="352"/>
      <c r="U25" s="17"/>
      <c r="V25" s="11"/>
    </row>
    <row r="26" spans="1:22" ht="17.399999999999999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50"/>
      <c r="P26" s="351"/>
      <c r="Q26" s="351"/>
      <c r="R26" s="351"/>
      <c r="S26" s="351"/>
      <c r="T26" s="352"/>
      <c r="U26" s="17"/>
      <c r="V26" s="11"/>
    </row>
    <row r="27" spans="1:22" ht="17.399999999999999">
      <c r="A27" s="11"/>
      <c r="B27" s="16"/>
      <c r="C27" s="1"/>
      <c r="D27" s="1"/>
      <c r="E27" s="1"/>
      <c r="F27" s="1"/>
      <c r="O27" s="350"/>
      <c r="P27" s="351"/>
      <c r="Q27" s="351"/>
      <c r="R27" s="351"/>
      <c r="S27" s="351"/>
      <c r="T27" s="352"/>
      <c r="U27" s="17"/>
      <c r="V27" s="11"/>
    </row>
    <row r="28" spans="1:22" ht="17.399999999999999">
      <c r="A28" s="11"/>
      <c r="B28" s="16"/>
      <c r="C28" s="1"/>
      <c r="D28" s="1"/>
      <c r="E28" s="1"/>
      <c r="F28" s="1"/>
      <c r="O28" s="350"/>
      <c r="P28" s="351"/>
      <c r="Q28" s="351"/>
      <c r="R28" s="351"/>
      <c r="S28" s="351"/>
      <c r="T28" s="352"/>
      <c r="U28" s="17"/>
      <c r="V28" s="11"/>
    </row>
    <row r="29" spans="1:22" ht="17.399999999999999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50"/>
      <c r="P29" s="351"/>
      <c r="Q29" s="351"/>
      <c r="R29" s="351"/>
      <c r="S29" s="351"/>
      <c r="T29" s="352"/>
      <c r="U29" s="17"/>
      <c r="V29" s="11"/>
    </row>
    <row r="30" spans="1:22" ht="17.399999999999999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50"/>
      <c r="P30" s="351"/>
      <c r="Q30" s="351"/>
      <c r="R30" s="351"/>
      <c r="S30" s="351"/>
      <c r="T30" s="352"/>
      <c r="U30" s="165"/>
      <c r="V30" s="11"/>
    </row>
    <row r="31" spans="1:22" ht="17.399999999999999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50"/>
      <c r="P31" s="351"/>
      <c r="Q31" s="351"/>
      <c r="R31" s="351"/>
      <c r="S31" s="351"/>
      <c r="T31" s="352"/>
      <c r="U31" s="165"/>
      <c r="V31" s="11"/>
    </row>
    <row r="32" spans="1:22" ht="17.399999999999999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50"/>
      <c r="P32" s="351"/>
      <c r="Q32" s="351"/>
      <c r="R32" s="351"/>
      <c r="S32" s="351"/>
      <c r="T32" s="352"/>
      <c r="U32" s="165"/>
      <c r="V32" s="11"/>
    </row>
    <row r="33" spans="1:22" ht="17.399999999999999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50"/>
      <c r="P33" s="351"/>
      <c r="Q33" s="351"/>
      <c r="R33" s="351"/>
      <c r="S33" s="351"/>
      <c r="T33" s="352"/>
      <c r="U33" s="165"/>
      <c r="V33" s="11"/>
    </row>
    <row r="34" spans="1:22" ht="17.399999999999999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50"/>
      <c r="P34" s="351"/>
      <c r="Q34" s="351"/>
      <c r="R34" s="351"/>
      <c r="S34" s="351"/>
      <c r="T34" s="352"/>
      <c r="U34" s="165"/>
      <c r="V34" s="11"/>
    </row>
    <row r="35" spans="1:22" ht="17.399999999999999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50"/>
      <c r="P35" s="351"/>
      <c r="Q35" s="351"/>
      <c r="R35" s="351"/>
      <c r="S35" s="351"/>
      <c r="T35" s="352"/>
      <c r="U35" s="165"/>
      <c r="V35" s="11"/>
    </row>
    <row r="36" spans="1:22" ht="17.399999999999999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50"/>
      <c r="P36" s="351"/>
      <c r="Q36" s="351"/>
      <c r="R36" s="351"/>
      <c r="S36" s="351"/>
      <c r="T36" s="352"/>
      <c r="U36" s="165"/>
      <c r="V36" s="11"/>
    </row>
    <row r="37" spans="1:22" ht="17.399999999999999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50"/>
      <c r="P37" s="351"/>
      <c r="Q37" s="351"/>
      <c r="R37" s="351"/>
      <c r="S37" s="351"/>
      <c r="T37" s="352"/>
      <c r="U37" s="165"/>
      <c r="V37" s="11"/>
    </row>
    <row r="38" spans="1:22" ht="17.399999999999999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53"/>
      <c r="P38" s="354"/>
      <c r="Q38" s="354"/>
      <c r="R38" s="354"/>
      <c r="S38" s="354"/>
      <c r="T38" s="355"/>
      <c r="U38" s="165"/>
      <c r="V38" s="11"/>
    </row>
    <row r="39" spans="1:22" ht="17.399999999999999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>
      <c r="A41" s="11"/>
      <c r="B41" s="21" t="s">
        <v>348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300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47" t="s">
        <v>493</v>
      </c>
      <c r="P45" s="348"/>
      <c r="Q45" s="348"/>
      <c r="R45" s="348"/>
      <c r="S45" s="348"/>
      <c r="T45" s="349"/>
      <c r="U45" s="17"/>
      <c r="V45" s="11"/>
    </row>
    <row r="46" spans="1:22" ht="17.399999999999999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38</v>
      </c>
      <c r="M46" s="147">
        <f t="shared" ref="M46:M51" si="1">L46/$L$51</f>
        <v>0.50666666666666671</v>
      </c>
      <c r="N46" s="147"/>
      <c r="O46" s="350"/>
      <c r="P46" s="351"/>
      <c r="Q46" s="351"/>
      <c r="R46" s="351"/>
      <c r="S46" s="351"/>
      <c r="T46" s="352"/>
      <c r="U46" s="17"/>
      <c r="V46" s="11"/>
    </row>
    <row r="47" spans="1:22" ht="17.399999999999999" customHeight="1">
      <c r="A47" s="11"/>
      <c r="B47" s="16"/>
      <c r="C47" s="1"/>
      <c r="D47" s="1"/>
      <c r="E47" s="1"/>
      <c r="F47" s="1"/>
      <c r="G47" s="1"/>
      <c r="H47" s="38" t="s">
        <v>346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50"/>
      <c r="P47" s="351"/>
      <c r="Q47" s="351"/>
      <c r="R47" s="351"/>
      <c r="S47" s="351"/>
      <c r="T47" s="352"/>
      <c r="U47" s="17"/>
      <c r="V47" s="11"/>
    </row>
    <row r="48" spans="1:22" ht="17.399999999999999" customHeight="1">
      <c r="A48" s="11"/>
      <c r="B48" s="16"/>
      <c r="C48" s="1"/>
      <c r="D48" s="146"/>
      <c r="E48" s="146"/>
      <c r="F48" s="1"/>
      <c r="G48" s="1"/>
      <c r="H48" s="38" t="s">
        <v>347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50"/>
      <c r="P48" s="351"/>
      <c r="Q48" s="351"/>
      <c r="R48" s="351"/>
      <c r="S48" s="351"/>
      <c r="T48" s="352"/>
      <c r="U48" s="17"/>
      <c r="V48" s="11"/>
    </row>
    <row r="49" spans="1:22" ht="17.399999999999999" customHeight="1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50"/>
      <c r="P49" s="351"/>
      <c r="Q49" s="351"/>
      <c r="R49" s="351"/>
      <c r="S49" s="351"/>
      <c r="T49" s="352"/>
      <c r="U49" s="17"/>
      <c r="V49" s="11"/>
    </row>
    <row r="50" spans="1:22" ht="17.399999999999999" customHeight="1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11</v>
      </c>
      <c r="M50" s="147">
        <f t="shared" si="1"/>
        <v>0.14666666666666667</v>
      </c>
      <c r="N50" s="147"/>
      <c r="O50" s="350"/>
      <c r="P50" s="351"/>
      <c r="Q50" s="351"/>
      <c r="R50" s="351"/>
      <c r="S50" s="351"/>
      <c r="T50" s="352"/>
      <c r="U50" s="17"/>
      <c r="V50" s="11"/>
    </row>
    <row r="51" spans="1:22" ht="19.2">
      <c r="A51" s="11"/>
      <c r="B51" s="16"/>
      <c r="C51" s="1"/>
      <c r="D51" s="1"/>
      <c r="E51" s="1"/>
      <c r="F51" s="1"/>
      <c r="G51" s="1"/>
      <c r="H51" s="148" t="s">
        <v>426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301"/>
      <c r="O51" s="350"/>
      <c r="P51" s="351"/>
      <c r="Q51" s="351"/>
      <c r="R51" s="351"/>
      <c r="S51" s="351"/>
      <c r="T51" s="352"/>
      <c r="U51" s="17"/>
      <c r="V51" s="11"/>
    </row>
    <row r="52" spans="1:22" ht="17.399999999999999">
      <c r="A52" s="11"/>
      <c r="B52" s="16"/>
      <c r="C52" s="1"/>
      <c r="D52" s="1"/>
      <c r="E52" s="1"/>
      <c r="F52" s="1"/>
      <c r="G52" s="1"/>
      <c r="H52" s="356" t="s">
        <v>492</v>
      </c>
      <c r="I52" s="356"/>
      <c r="J52" s="356"/>
      <c r="K52" s="356"/>
      <c r="L52" s="356"/>
      <c r="M52" s="356"/>
      <c r="N52" s="167"/>
      <c r="O52" s="350"/>
      <c r="P52" s="351"/>
      <c r="Q52" s="351"/>
      <c r="R52" s="351"/>
      <c r="S52" s="351"/>
      <c r="T52" s="352"/>
      <c r="U52" s="17"/>
      <c r="V52" s="11"/>
    </row>
    <row r="53" spans="1:22" ht="17.399999999999999" customHeight="1">
      <c r="A53" s="11"/>
      <c r="B53" s="16"/>
      <c r="C53" s="1"/>
      <c r="D53" s="1"/>
      <c r="E53" s="1"/>
      <c r="F53" s="1"/>
      <c r="H53" s="356"/>
      <c r="I53" s="356"/>
      <c r="J53" s="356"/>
      <c r="K53" s="356"/>
      <c r="L53" s="356"/>
      <c r="M53" s="356"/>
      <c r="O53" s="350"/>
      <c r="P53" s="351"/>
      <c r="Q53" s="351"/>
      <c r="R53" s="351"/>
      <c r="S53" s="351"/>
      <c r="T53" s="352"/>
      <c r="U53" s="17"/>
      <c r="V53" s="11"/>
    </row>
    <row r="54" spans="1:22" ht="17.399999999999999">
      <c r="A54" s="11"/>
      <c r="B54" s="16"/>
      <c r="C54" s="1"/>
      <c r="D54" s="1"/>
      <c r="E54" s="1"/>
      <c r="F54" s="1"/>
      <c r="H54" s="357" t="s">
        <v>494</v>
      </c>
      <c r="I54" s="357"/>
      <c r="J54" s="357"/>
      <c r="K54" s="357"/>
      <c r="L54" s="357"/>
      <c r="M54" s="357"/>
      <c r="O54" s="350"/>
      <c r="P54" s="351"/>
      <c r="Q54" s="351"/>
      <c r="R54" s="351"/>
      <c r="S54" s="351"/>
      <c r="T54" s="352"/>
      <c r="U54" s="17"/>
      <c r="V54" s="11"/>
    </row>
    <row r="55" spans="1:22" ht="17.399999999999999">
      <c r="A55" s="11"/>
      <c r="B55" s="16"/>
      <c r="C55" s="1"/>
      <c r="D55" s="1"/>
      <c r="E55" s="1"/>
      <c r="F55" s="1"/>
      <c r="G55" s="1"/>
      <c r="H55" s="357"/>
      <c r="I55" s="357"/>
      <c r="J55" s="357"/>
      <c r="K55" s="357"/>
      <c r="L55" s="357"/>
      <c r="M55" s="357"/>
      <c r="N55" s="1"/>
      <c r="O55" s="350"/>
      <c r="P55" s="351"/>
      <c r="Q55" s="351"/>
      <c r="R55" s="351"/>
      <c r="S55" s="351"/>
      <c r="T55" s="352"/>
      <c r="U55" s="17"/>
      <c r="V55" s="11"/>
    </row>
    <row r="56" spans="1:22" ht="17.399999999999999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50"/>
      <c r="P56" s="351"/>
      <c r="Q56" s="351"/>
      <c r="R56" s="351"/>
      <c r="S56" s="351"/>
      <c r="T56" s="352"/>
      <c r="U56" s="165"/>
      <c r="V56" s="11"/>
    </row>
    <row r="57" spans="1:22" ht="17.399999999999999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50"/>
      <c r="P57" s="351"/>
      <c r="Q57" s="351"/>
      <c r="R57" s="351"/>
      <c r="S57" s="351"/>
      <c r="T57" s="352"/>
      <c r="U57" s="165"/>
      <c r="V57" s="11"/>
    </row>
    <row r="58" spans="1:22" ht="17.399999999999999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50"/>
      <c r="P58" s="351"/>
      <c r="Q58" s="351"/>
      <c r="R58" s="351"/>
      <c r="S58" s="351"/>
      <c r="T58" s="352"/>
      <c r="U58" s="165"/>
      <c r="V58" s="11"/>
    </row>
    <row r="59" spans="1:22" ht="17.399999999999999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50"/>
      <c r="P59" s="351"/>
      <c r="Q59" s="351"/>
      <c r="R59" s="351"/>
      <c r="S59" s="351"/>
      <c r="T59" s="352"/>
      <c r="U59" s="165"/>
      <c r="V59" s="11"/>
    </row>
    <row r="60" spans="1:22" ht="17.399999999999999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50"/>
      <c r="P60" s="351"/>
      <c r="Q60" s="351"/>
      <c r="R60" s="351"/>
      <c r="S60" s="351"/>
      <c r="T60" s="352"/>
      <c r="U60" s="165"/>
      <c r="V60" s="11"/>
    </row>
    <row r="61" spans="1:22" ht="17.399999999999999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50"/>
      <c r="P61" s="351"/>
      <c r="Q61" s="351"/>
      <c r="R61" s="351"/>
      <c r="S61" s="351"/>
      <c r="T61" s="352"/>
      <c r="U61" s="165"/>
      <c r="V61" s="11"/>
    </row>
    <row r="62" spans="1:22" ht="17.399999999999999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50"/>
      <c r="P62" s="351"/>
      <c r="Q62" s="351"/>
      <c r="R62" s="351"/>
      <c r="S62" s="351"/>
      <c r="T62" s="352"/>
      <c r="U62" s="165"/>
      <c r="V62" s="11"/>
    </row>
    <row r="63" spans="1:22" ht="17.399999999999999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50"/>
      <c r="P63" s="351"/>
      <c r="Q63" s="351"/>
      <c r="R63" s="351"/>
      <c r="S63" s="351"/>
      <c r="T63" s="352"/>
      <c r="U63" s="165"/>
      <c r="V63" s="11"/>
    </row>
    <row r="64" spans="1:22" ht="17.399999999999999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50"/>
      <c r="P64" s="351"/>
      <c r="Q64" s="351"/>
      <c r="R64" s="351"/>
      <c r="S64" s="351"/>
      <c r="T64" s="352"/>
      <c r="U64" s="165"/>
      <c r="V64" s="11"/>
    </row>
    <row r="65" spans="1:22" ht="17.399999999999999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53"/>
      <c r="P65" s="354"/>
      <c r="Q65" s="354"/>
      <c r="R65" s="354"/>
      <c r="S65" s="354"/>
      <c r="T65" s="355"/>
      <c r="U65" s="165"/>
      <c r="V65" s="11"/>
    </row>
    <row r="66" spans="1:22" ht="17.399999999999999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pane="topRight" activeCell="D136" sqref="D136"/>
      <selection pane="bottomLeft" activeCell="D136" sqref="D136"/>
      <selection pane="bottomRight" activeCell="F56" sqref="F56"/>
    </sheetView>
  </sheetViews>
  <sheetFormatPr defaultColWidth="0" defaultRowHeight="13.8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50000000000001" hidden="1" customHeight="1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50000000000001" hidden="1" customHeight="1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50000000000001" hidden="1" customHeight="1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50000000000001" hidden="1" customHeight="1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50000000000001" hidden="1" customHeight="1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50000000000001" hidden="1" customHeight="1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50000000000001" hidden="1" customHeight="1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50000000000001" hidden="1" customHeight="1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50000000000001" hidden="1" customHeight="1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50000000000001" hidden="1" customHeight="1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50000000000001" hidden="1" customHeight="1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50000000000001" hidden="1" customHeight="1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50000000000001" hidden="1" customHeight="1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50000000000001" hidden="1" customHeight="1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50000000000001" hidden="1" customHeight="1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50000000000001" hidden="1" customHeight="1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50000000000001" hidden="1" customHeight="1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50000000000001" hidden="1" customHeight="1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50000000000001" hidden="1" customHeight="1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50000000000001" hidden="1" customHeight="1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50000000000001" hidden="1" customHeight="1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50000000000001" hidden="1" customHeight="1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50000000000001" hidden="1" customHeight="1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50000000000001" hidden="1" customHeight="1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50000000000001" hidden="1" customHeight="1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50000000000001" hidden="1" customHeight="1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50000000000001" hidden="1" customHeight="1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50000000000001" hidden="1" customHeight="1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50000000000001" hidden="1" customHeight="1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50000000000001" hidden="1" customHeight="1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50000000000001" hidden="1" customHeight="1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50000000000001" hidden="1" customHeight="1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50000000000001" hidden="1" customHeight="1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50000000000001" hidden="1" customHeight="1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50000000000001" hidden="1" customHeight="1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50000000000001" hidden="1" customHeight="1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50000000000001" hidden="1" customHeight="1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50000000000001" customHeight="1">
      <c r="A45" s="2"/>
      <c r="B45" s="48" t="s">
        <v>35</v>
      </c>
      <c r="C45" s="184" t="s">
        <v>345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50000000000001" customHeight="1">
      <c r="A46" s="2"/>
      <c r="B46" s="48" t="s">
        <v>35</v>
      </c>
      <c r="C46" s="184" t="s">
        <v>345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50000000000001" customHeight="1">
      <c r="A47" s="2"/>
      <c r="B47" s="48" t="s">
        <v>35</v>
      </c>
      <c r="C47" s="184" t="s">
        <v>345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50000000000001" customHeight="1">
      <c r="A48" s="2"/>
      <c r="B48" s="48" t="s">
        <v>35</v>
      </c>
      <c r="C48" s="184" t="s">
        <v>345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50000000000001" customHeight="1">
      <c r="A49" s="2"/>
      <c r="B49" s="48" t="s">
        <v>35</v>
      </c>
      <c r="C49" s="184" t="s">
        <v>345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50000000000001" customHeight="1">
      <c r="A50" s="2"/>
      <c r="B50" s="48" t="s">
        <v>35</v>
      </c>
      <c r="C50" s="184" t="s">
        <v>345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50000000000001" customHeight="1">
      <c r="A51" s="2"/>
      <c r="B51" s="48" t="s">
        <v>35</v>
      </c>
      <c r="C51" s="184" t="s">
        <v>345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50000000000001" customHeight="1">
      <c r="A52" s="2"/>
      <c r="B52" s="48" t="s">
        <v>35</v>
      </c>
      <c r="C52" s="184" t="s">
        <v>345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50000000000001" customHeight="1">
      <c r="A53" s="2"/>
      <c r="B53" s="48" t="s">
        <v>35</v>
      </c>
      <c r="C53" s="184" t="s">
        <v>345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50000000000001" customHeight="1">
      <c r="A54" s="2"/>
      <c r="B54" s="48" t="s">
        <v>35</v>
      </c>
      <c r="C54" s="184" t="s">
        <v>345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50000000000001" customHeight="1">
      <c r="A55" s="2"/>
      <c r="B55" s="48" t="s">
        <v>35</v>
      </c>
      <c r="C55" s="184" t="s">
        <v>345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50000000000001" customHeight="1">
      <c r="A56" s="2"/>
      <c r="B56" s="48" t="s">
        <v>35</v>
      </c>
      <c r="C56" s="184" t="s">
        <v>345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50000000000001" customHeight="1">
      <c r="A57" s="2"/>
      <c r="B57" s="48" t="s">
        <v>35</v>
      </c>
      <c r="C57" s="184" t="s">
        <v>345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50000000000001" customHeight="1">
      <c r="A58" s="2"/>
      <c r="B58" s="48" t="s">
        <v>35</v>
      </c>
      <c r="C58" s="184" t="s">
        <v>345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50000000000001" customHeight="1">
      <c r="A59" s="2"/>
      <c r="B59" s="48" t="s">
        <v>35</v>
      </c>
      <c r="C59" s="184" t="s">
        <v>345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50000000000001" customHeight="1">
      <c r="A60" s="2"/>
      <c r="B60" s="48" t="s">
        <v>35</v>
      </c>
      <c r="C60" s="184" t="s">
        <v>345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50000000000001" customHeight="1">
      <c r="A61" s="2"/>
      <c r="B61" s="48" t="s">
        <v>35</v>
      </c>
      <c r="C61" s="184" t="s">
        <v>345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50000000000001" customHeight="1">
      <c r="A62" s="2"/>
      <c r="B62" s="48" t="s">
        <v>35</v>
      </c>
      <c r="C62" s="184" t="s">
        <v>345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50000000000001" customHeight="1">
      <c r="A63" s="2"/>
      <c r="B63" s="48" t="s">
        <v>35</v>
      </c>
      <c r="C63" s="184" t="s">
        <v>345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50000000000001" customHeight="1">
      <c r="A64" s="2"/>
      <c r="B64" s="48" t="s">
        <v>35</v>
      </c>
      <c r="C64" s="184" t="s">
        <v>345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50000000000001" customHeight="1">
      <c r="A65" s="2"/>
      <c r="B65" s="48" t="s">
        <v>35</v>
      </c>
      <c r="C65" s="184" t="s">
        <v>345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50000000000001" customHeight="1">
      <c r="A66" s="2"/>
      <c r="B66" s="48" t="s">
        <v>35</v>
      </c>
      <c r="C66" s="184" t="s">
        <v>345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50000000000001" customHeight="1">
      <c r="A67" s="2"/>
      <c r="B67" s="48" t="s">
        <v>35</v>
      </c>
      <c r="C67" s="184" t="s">
        <v>345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50000000000001" customHeight="1">
      <c r="A68" s="2"/>
      <c r="B68" s="48" t="s">
        <v>35</v>
      </c>
      <c r="C68" s="184" t="s">
        <v>345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50000000000001" customHeight="1">
      <c r="A69" s="2"/>
      <c r="B69" s="48" t="s">
        <v>35</v>
      </c>
      <c r="C69" s="184" t="s">
        <v>345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50000000000001" customHeight="1">
      <c r="A70" s="2"/>
      <c r="B70" s="48" t="s">
        <v>35</v>
      </c>
      <c r="C70" s="184" t="s">
        <v>345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50000000000001" customHeight="1">
      <c r="A71" s="2"/>
      <c r="B71" s="48" t="s">
        <v>35</v>
      </c>
      <c r="C71" s="184" t="s">
        <v>345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50000000000001" customHeight="1">
      <c r="A72" s="2"/>
      <c r="B72" s="48" t="s">
        <v>35</v>
      </c>
      <c r="C72" s="184" t="s">
        <v>345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50000000000001" customHeight="1">
      <c r="A73" s="2"/>
      <c r="B73" s="48" t="s">
        <v>35</v>
      </c>
      <c r="C73" s="184" t="s">
        <v>345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50000000000001" customHeight="1">
      <c r="A74" s="2"/>
      <c r="B74" s="48" t="s">
        <v>35</v>
      </c>
      <c r="C74" s="184" t="s">
        <v>345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428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Ver com JB</v>
      </c>
      <c r="J74" s="187"/>
      <c r="K74" s="188"/>
      <c r="L74" s="188"/>
      <c r="M74" s="188"/>
      <c r="N74" s="188"/>
    </row>
    <row r="75" spans="1:14" ht="16.350000000000001" customHeight="1">
      <c r="A75" s="2"/>
      <c r="B75" s="48" t="s">
        <v>35</v>
      </c>
      <c r="C75" s="184" t="s">
        <v>345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/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Novo campo adicionado à listagem a 28/jan.</v>
      </c>
      <c r="J75" s="187"/>
      <c r="K75" s="188"/>
      <c r="L75" s="188"/>
      <c r="M75" s="188"/>
      <c r="N75" s="188"/>
    </row>
    <row r="76" spans="1:14" ht="16.350000000000001" customHeight="1">
      <c r="A76" s="2"/>
      <c r="B76" s="48" t="s">
        <v>35</v>
      </c>
      <c r="C76" s="184" t="s">
        <v>345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 Colocar ultima semana de fev</v>
      </c>
      <c r="J76" s="187"/>
      <c r="K76" s="188"/>
      <c r="L76" s="188"/>
      <c r="M76" s="188"/>
      <c r="N76" s="188"/>
    </row>
    <row r="77" spans="1:14" ht="16.350000000000001" customHeight="1">
      <c r="A77" s="2"/>
      <c r="B77" s="48" t="s">
        <v>35</v>
      </c>
      <c r="C77" s="184" t="s">
        <v>345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50000000000001" customHeight="1">
      <c r="A78" s="2"/>
      <c r="B78" s="48" t="s">
        <v>35</v>
      </c>
      <c r="C78" s="184" t="s">
        <v>345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>Colocar ultima semana de fev</v>
      </c>
      <c r="J78" s="187"/>
      <c r="K78" s="188"/>
      <c r="L78" s="188"/>
      <c r="M78" s="188"/>
      <c r="N78" s="188"/>
    </row>
    <row r="79" spans="1:14" ht="16.350000000000001" customHeight="1">
      <c r="A79" s="2"/>
      <c r="B79" s="48" t="s">
        <v>35</v>
      </c>
      <c r="C79" s="184" t="s">
        <v>345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>Colocar ultima semana de fev</v>
      </c>
      <c r="J79" s="191"/>
      <c r="K79" s="192"/>
      <c r="L79" s="192"/>
      <c r="M79" s="192"/>
      <c r="N79" s="192"/>
    </row>
    <row r="80" spans="1:14" ht="16.350000000000001" customHeight="1">
      <c r="A80" s="2"/>
      <c r="B80" s="48" t="s">
        <v>35</v>
      </c>
      <c r="C80" s="184" t="s">
        <v>345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50000000000001" customHeight="1">
      <c r="A81" s="2"/>
      <c r="B81" s="48" t="s">
        <v>35</v>
      </c>
      <c r="C81" s="184" t="s">
        <v>345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50000000000001" customHeight="1">
      <c r="A82" s="2"/>
      <c r="B82" s="48" t="s">
        <v>35</v>
      </c>
      <c r="C82" s="184" t="s">
        <v>345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50000000000001" customHeight="1">
      <c r="A83" s="2"/>
      <c r="B83" s="48" t="s">
        <v>35</v>
      </c>
      <c r="C83" s="184" t="s">
        <v>345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50000000000001" customHeight="1">
      <c r="A84" s="2"/>
      <c r="B84" s="48" t="s">
        <v>35</v>
      </c>
      <c r="C84" s="184" t="s">
        <v>345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50000000000001" customHeight="1">
      <c r="A85" s="2"/>
      <c r="B85" s="48" t="s">
        <v>35</v>
      </c>
      <c r="C85" s="184" t="s">
        <v>345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50000000000001" customHeight="1">
      <c r="A86" s="2"/>
      <c r="B86" s="48" t="s">
        <v>35</v>
      </c>
      <c r="C86" s="184" t="s">
        <v>345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5. Por Iniciar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50000000000001" customHeight="1">
      <c r="A87" s="2"/>
      <c r="B87" s="48" t="s">
        <v>35</v>
      </c>
      <c r="C87" s="184" t="s">
        <v>345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50000000000001" customHeight="1">
      <c r="A88" s="2"/>
      <c r="B88" s="48" t="s">
        <v>35</v>
      </c>
      <c r="C88" s="184" t="s">
        <v>345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50000000000001" customHeight="1">
      <c r="A89" s="2"/>
      <c r="B89" s="48" t="s">
        <v>35</v>
      </c>
      <c r="C89" s="184" t="s">
        <v>345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50000000000001" customHeight="1">
      <c r="A90" s="2"/>
      <c r="B90" s="48" t="s">
        <v>35</v>
      </c>
      <c r="C90" s="184" t="s">
        <v>345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50000000000001" customHeight="1">
      <c r="A91" s="2"/>
      <c r="B91" s="48" t="s">
        <v>35</v>
      </c>
      <c r="C91" s="184" t="s">
        <v>345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50000000000001" customHeight="1">
      <c r="A92" s="2"/>
      <c r="B92" s="48" t="s">
        <v>35</v>
      </c>
      <c r="C92" s="184" t="s">
        <v>345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50000000000001" customHeight="1">
      <c r="A93" s="2"/>
      <c r="B93" s="48" t="s">
        <v>35</v>
      </c>
      <c r="C93" s="184" t="s">
        <v>345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50000000000001" customHeight="1">
      <c r="A94" s="2"/>
      <c r="B94" s="48" t="s">
        <v>35</v>
      </c>
      <c r="C94" s="184" t="s">
        <v>345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50000000000001" customHeight="1">
      <c r="A95" s="2"/>
      <c r="B95" s="48" t="s">
        <v>35</v>
      </c>
      <c r="C95" s="184" t="s">
        <v>345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50000000000001" customHeight="1">
      <c r="A96" s="2"/>
      <c r="B96" s="48" t="s">
        <v>35</v>
      </c>
      <c r="C96" s="184" t="s">
        <v>345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50000000000001" customHeight="1">
      <c r="A97" s="2"/>
      <c r="B97" s="48" t="s">
        <v>35</v>
      </c>
      <c r="C97" s="184" t="s">
        <v>345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50000000000001" customHeight="1">
      <c r="A98" s="2"/>
      <c r="B98" s="48" t="s">
        <v>35</v>
      </c>
      <c r="C98" s="184" t="s">
        <v>345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50000000000001" customHeight="1">
      <c r="A99" s="2"/>
      <c r="B99" s="48" t="s">
        <v>35</v>
      </c>
      <c r="C99" s="184" t="s">
        <v>345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50000000000001" customHeight="1">
      <c r="A100" s="2"/>
      <c r="B100" s="48" t="s">
        <v>35</v>
      </c>
      <c r="C100" s="184" t="s">
        <v>345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50000000000001" customHeight="1">
      <c r="A101" s="2"/>
      <c r="B101" s="48" t="s">
        <v>35</v>
      </c>
      <c r="C101" s="184" t="s">
        <v>345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50000000000001" customHeight="1">
      <c r="A102" s="2"/>
      <c r="B102" s="48" t="s">
        <v>35</v>
      </c>
      <c r="C102" s="184" t="s">
        <v>345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50000000000001" customHeight="1">
      <c r="A103" s="2"/>
      <c r="B103" s="48" t="s">
        <v>35</v>
      </c>
      <c r="C103" s="184" t="s">
        <v>345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50000000000001" customHeight="1">
      <c r="A104" s="2"/>
      <c r="B104" s="48" t="s">
        <v>35</v>
      </c>
      <c r="C104" s="184" t="s">
        <v>345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50000000000001" customHeight="1">
      <c r="A105" s="2"/>
      <c r="B105" s="48" t="s">
        <v>35</v>
      </c>
      <c r="C105" s="184" t="s">
        <v>345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50000000000001" customHeight="1">
      <c r="A106" s="2"/>
      <c r="B106" s="48" t="s">
        <v>35</v>
      </c>
      <c r="C106" s="184" t="s">
        <v>345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50000000000001" customHeight="1">
      <c r="A107" s="2"/>
      <c r="B107" s="48" t="s">
        <v>35</v>
      </c>
      <c r="C107" s="184" t="s">
        <v>345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50000000000001" customHeight="1">
      <c r="A108" s="2"/>
      <c r="B108" s="48" t="s">
        <v>35</v>
      </c>
      <c r="C108" s="184" t="s">
        <v>345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50000000000001" customHeight="1">
      <c r="A109" s="2"/>
      <c r="B109" s="48" t="s">
        <v>35</v>
      </c>
      <c r="C109" s="184" t="s">
        <v>345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50000000000001" customHeight="1">
      <c r="A110" s="2"/>
      <c r="B110" s="48" t="s">
        <v>35</v>
      </c>
      <c r="C110" s="184" t="s">
        <v>345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50000000000001" customHeight="1">
      <c r="A111" s="2"/>
      <c r="B111" s="48" t="s">
        <v>35</v>
      </c>
      <c r="C111" s="184" t="s">
        <v>345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50000000000001" customHeight="1">
      <c r="A112" s="2"/>
      <c r="B112" s="48" t="s">
        <v>35</v>
      </c>
      <c r="C112" s="184" t="s">
        <v>345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50000000000001" customHeight="1">
      <c r="A113" s="2"/>
      <c r="B113" s="48" t="s">
        <v>35</v>
      </c>
      <c r="C113" s="184" t="s">
        <v>345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50000000000001" customHeight="1">
      <c r="A114" s="2"/>
      <c r="B114" s="48" t="s">
        <v>35</v>
      </c>
      <c r="C114" s="184" t="s">
        <v>345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50000000000001" customHeight="1">
      <c r="A115" s="2"/>
      <c r="B115" s="48" t="s">
        <v>35</v>
      </c>
      <c r="C115" s="184" t="s">
        <v>345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50000000000001" customHeight="1">
      <c r="A116" s="2"/>
      <c r="B116" s="48" t="s">
        <v>35</v>
      </c>
      <c r="C116" s="184" t="s">
        <v>345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>Ver com JB</v>
      </c>
      <c r="J116" s="187"/>
      <c r="K116" s="188"/>
      <c r="L116" s="188"/>
      <c r="M116" s="188"/>
      <c r="N116" s="188"/>
    </row>
    <row r="117" spans="1:14" ht="16.350000000000001" customHeight="1">
      <c r="A117" s="2"/>
      <c r="B117" s="48" t="s">
        <v>35</v>
      </c>
      <c r="C117" s="184" t="s">
        <v>345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4/fev. Colocar ultima semana de fev</v>
      </c>
      <c r="J117" s="187"/>
      <c r="K117" s="188"/>
      <c r="L117" s="188"/>
      <c r="M117" s="188"/>
      <c r="N117" s="188"/>
    </row>
    <row r="118" spans="1:14" ht="16.350000000000001" customHeight="1">
      <c r="A118" s="2"/>
      <c r="B118" s="48" t="s">
        <v>35</v>
      </c>
      <c r="C118" s="184" t="s">
        <v>345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4/fev. Colocar ultima semana de fev</v>
      </c>
      <c r="J118" s="187"/>
      <c r="K118" s="188"/>
      <c r="L118" s="188"/>
      <c r="M118" s="188"/>
      <c r="N118" s="188"/>
    </row>
    <row r="119" spans="1:14" ht="16.350000000000001" customHeight="1">
      <c r="A119" s="2"/>
      <c r="B119" s="48" t="s">
        <v>35</v>
      </c>
      <c r="C119" s="184" t="s">
        <v>345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4/fev. Colocar ultima semana de fev</v>
      </c>
      <c r="J119" s="191"/>
      <c r="K119" s="192"/>
      <c r="L119" s="192"/>
      <c r="M119" s="192"/>
      <c r="N119" s="192"/>
    </row>
    <row r="120" spans="1:14" ht="16.350000000000001" hidden="1" customHeight="1">
      <c r="A120" s="2"/>
      <c r="B120" s="48" t="s">
        <v>35</v>
      </c>
      <c r="C120" s="209" t="s">
        <v>385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50000000000001" hidden="1" customHeight="1">
      <c r="A121" s="2"/>
      <c r="B121" s="48" t="s">
        <v>35</v>
      </c>
      <c r="C121" s="209" t="s">
        <v>385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50000000000001" hidden="1" customHeight="1">
      <c r="A122" s="2"/>
      <c r="B122" s="48" t="s">
        <v>35</v>
      </c>
      <c r="C122" s="209" t="s">
        <v>385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50000000000001" hidden="1" customHeight="1">
      <c r="A123" s="2"/>
      <c r="B123" s="48" t="s">
        <v>35</v>
      </c>
      <c r="C123" s="209" t="s">
        <v>385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50000000000001" hidden="1" customHeight="1">
      <c r="A124" s="2"/>
      <c r="B124" s="48" t="s">
        <v>35</v>
      </c>
      <c r="C124" s="209" t="s">
        <v>385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50000000000001" hidden="1" customHeight="1">
      <c r="A125" s="2"/>
      <c r="B125" s="48" t="s">
        <v>35</v>
      </c>
      <c r="C125" s="209" t="s">
        <v>385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50000000000001" hidden="1" customHeight="1">
      <c r="A126" s="2"/>
      <c r="B126" s="48" t="s">
        <v>35</v>
      </c>
      <c r="C126" s="209" t="s">
        <v>385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50000000000001" hidden="1" customHeight="1">
      <c r="A127" s="2"/>
      <c r="B127" s="48" t="s">
        <v>35</v>
      </c>
      <c r="C127" s="209" t="s">
        <v>385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50000000000001" hidden="1" customHeight="1">
      <c r="A128" s="2"/>
      <c r="B128" s="48" t="s">
        <v>35</v>
      </c>
      <c r="C128" s="209" t="s">
        <v>385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50000000000001" hidden="1" customHeight="1">
      <c r="A129" s="2"/>
      <c r="B129" s="48" t="s">
        <v>35</v>
      </c>
      <c r="C129" s="209" t="s">
        <v>385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50000000000001" hidden="1" customHeight="1">
      <c r="A130" s="2"/>
      <c r="B130" s="48" t="s">
        <v>35</v>
      </c>
      <c r="C130" s="209" t="s">
        <v>385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50000000000001" hidden="1" customHeight="1">
      <c r="A131" s="2"/>
      <c r="B131" s="48" t="s">
        <v>35</v>
      </c>
      <c r="C131" s="209" t="s">
        <v>385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50000000000001" hidden="1" customHeight="1">
      <c r="A132" s="2"/>
      <c r="B132" s="48" t="s">
        <v>35</v>
      </c>
      <c r="C132" s="209" t="s">
        <v>385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50000000000001" hidden="1" customHeight="1">
      <c r="A133" s="2"/>
      <c r="B133" s="48" t="s">
        <v>35</v>
      </c>
      <c r="C133" s="209" t="s">
        <v>385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50000000000001" hidden="1" customHeight="1">
      <c r="A134" s="2"/>
      <c r="B134" s="48" t="s">
        <v>35</v>
      </c>
      <c r="C134" s="209" t="s">
        <v>385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50000000000001" hidden="1" customHeight="1">
      <c r="A135" s="2"/>
      <c r="B135" s="48" t="s">
        <v>35</v>
      </c>
      <c r="C135" s="209" t="s">
        <v>385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50000000000001" hidden="1" customHeight="1">
      <c r="A136" s="2"/>
      <c r="B136" s="48" t="s">
        <v>35</v>
      </c>
      <c r="C136" s="209" t="s">
        <v>385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50000000000001" hidden="1" customHeight="1">
      <c r="A137" s="2"/>
      <c r="B137" s="48" t="s">
        <v>35</v>
      </c>
      <c r="C137" s="209" t="s">
        <v>385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50000000000001" hidden="1" customHeight="1">
      <c r="A138" s="2"/>
      <c r="B138" s="48" t="s">
        <v>35</v>
      </c>
      <c r="C138" s="209" t="s">
        <v>385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50000000000001" hidden="1" customHeight="1">
      <c r="A139" s="2"/>
      <c r="B139" s="48" t="s">
        <v>35</v>
      </c>
      <c r="C139" s="209" t="s">
        <v>385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50000000000001" hidden="1" customHeight="1">
      <c r="A140" s="2"/>
      <c r="B140" s="48" t="s">
        <v>35</v>
      </c>
      <c r="C140" s="209" t="s">
        <v>385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50000000000001" hidden="1" customHeight="1">
      <c r="A141" s="2"/>
      <c r="B141" s="48" t="s">
        <v>35</v>
      </c>
      <c r="C141" s="209" t="s">
        <v>385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50000000000001" hidden="1" customHeight="1">
      <c r="A142" s="2"/>
      <c r="B142" s="48" t="s">
        <v>35</v>
      </c>
      <c r="C142" s="209" t="s">
        <v>385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50000000000001" hidden="1" customHeight="1">
      <c r="A143" s="2"/>
      <c r="B143" s="48" t="s">
        <v>35</v>
      </c>
      <c r="C143" s="209" t="s">
        <v>386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50000000000001" hidden="1" customHeight="1">
      <c r="A144" s="2"/>
      <c r="B144" s="48" t="s">
        <v>35</v>
      </c>
      <c r="C144" s="209" t="s">
        <v>386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50000000000001" hidden="1" customHeight="1">
      <c r="A145" s="2"/>
      <c r="B145" s="48" t="s">
        <v>35</v>
      </c>
      <c r="C145" s="209" t="s">
        <v>386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50000000000001" hidden="1" customHeight="1">
      <c r="A146" s="2"/>
      <c r="B146" s="48" t="s">
        <v>35</v>
      </c>
      <c r="C146" s="209" t="s">
        <v>386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50000000000001" hidden="1" customHeight="1">
      <c r="A147" s="2"/>
      <c r="B147" s="48" t="s">
        <v>35</v>
      </c>
      <c r="C147" s="209" t="s">
        <v>386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50000000000001" hidden="1" customHeight="1">
      <c r="A148" s="2"/>
      <c r="B148" s="48" t="s">
        <v>35</v>
      </c>
      <c r="C148" s="209" t="s">
        <v>386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50000000000001" hidden="1" customHeight="1">
      <c r="A149" s="2"/>
      <c r="B149" s="48" t="s">
        <v>35</v>
      </c>
      <c r="C149" s="209" t="s">
        <v>386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50000000000001" hidden="1" customHeight="1">
      <c r="A150" s="2"/>
      <c r="B150" s="48" t="s">
        <v>35</v>
      </c>
      <c r="C150" s="209" t="s">
        <v>386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50000000000001" hidden="1" customHeight="1">
      <c r="A151" s="2"/>
      <c r="B151" s="48" t="s">
        <v>35</v>
      </c>
      <c r="C151" s="209" t="s">
        <v>386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50000000000001" hidden="1" customHeight="1">
      <c r="A152" s="2"/>
      <c r="B152" s="48" t="s">
        <v>35</v>
      </c>
      <c r="C152" s="209" t="s">
        <v>386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50000000000001" hidden="1" customHeight="1">
      <c r="A153" s="2"/>
      <c r="B153" s="48" t="s">
        <v>35</v>
      </c>
      <c r="C153" s="209" t="s">
        <v>386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50000000000001" hidden="1" customHeight="1">
      <c r="A154" s="2"/>
      <c r="B154" s="48" t="s">
        <v>35</v>
      </c>
      <c r="C154" s="209" t="s">
        <v>386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50000000000001" hidden="1" customHeight="1">
      <c r="A155" s="2"/>
      <c r="B155" s="48" t="s">
        <v>35</v>
      </c>
      <c r="C155" s="209" t="s">
        <v>386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50000000000001" hidden="1" customHeight="1">
      <c r="A156" s="2"/>
      <c r="B156" s="48" t="s">
        <v>35</v>
      </c>
      <c r="C156" s="209" t="s">
        <v>386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50000000000001" hidden="1" customHeight="1">
      <c r="A157" s="2"/>
      <c r="B157" s="48" t="s">
        <v>35</v>
      </c>
      <c r="C157" s="209" t="s">
        <v>386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50000000000001" hidden="1" customHeight="1">
      <c r="A158" s="2"/>
      <c r="B158" s="48" t="s">
        <v>35</v>
      </c>
      <c r="C158" s="209" t="s">
        <v>386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50000000000001" hidden="1" customHeight="1">
      <c r="A159" s="2"/>
      <c r="B159" s="48" t="s">
        <v>35</v>
      </c>
      <c r="C159" s="209" t="s">
        <v>386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50000000000001" hidden="1" customHeight="1">
      <c r="A160" s="2"/>
      <c r="B160" s="48" t="s">
        <v>35</v>
      </c>
      <c r="C160" s="209" t="s">
        <v>386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50000000000001" hidden="1" customHeight="1">
      <c r="A161" s="2"/>
      <c r="B161" s="48" t="s">
        <v>35</v>
      </c>
      <c r="C161" s="209" t="s">
        <v>386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50000000000001" hidden="1" customHeight="1">
      <c r="A162" s="2"/>
      <c r="B162" s="48" t="s">
        <v>35</v>
      </c>
      <c r="C162" s="209" t="s">
        <v>386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50000000000001" hidden="1" customHeight="1">
      <c r="A163" s="2"/>
      <c r="B163" s="48" t="s">
        <v>35</v>
      </c>
      <c r="C163" s="209" t="s">
        <v>386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50000000000001" hidden="1" customHeight="1">
      <c r="A164" s="2"/>
      <c r="B164" s="48" t="s">
        <v>35</v>
      </c>
      <c r="C164" s="209" t="s">
        <v>386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50000000000001" hidden="1" customHeight="1">
      <c r="A165" s="2"/>
      <c r="B165" s="48" t="s">
        <v>35</v>
      </c>
      <c r="C165" s="209" t="s">
        <v>386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50000000000001" hidden="1" customHeight="1">
      <c r="A166" s="2"/>
      <c r="B166" s="48" t="s">
        <v>35</v>
      </c>
      <c r="C166" s="209" t="s">
        <v>386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50000000000001" hidden="1" customHeight="1">
      <c r="A167" s="2"/>
      <c r="B167" s="48" t="s">
        <v>35</v>
      </c>
      <c r="C167" s="209" t="s">
        <v>386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50000000000001" hidden="1" customHeight="1">
      <c r="A168" s="2"/>
      <c r="B168" s="48" t="s">
        <v>35</v>
      </c>
      <c r="C168" s="209" t="s">
        <v>386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50000000000001" hidden="1" customHeight="1">
      <c r="A169" s="2"/>
      <c r="B169" s="48" t="s">
        <v>35</v>
      </c>
      <c r="C169" s="209" t="s">
        <v>386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50000000000001" hidden="1" customHeight="1">
      <c r="A170" s="2"/>
      <c r="B170" s="48" t="s">
        <v>35</v>
      </c>
      <c r="C170" s="209" t="s">
        <v>386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50000000000001" hidden="1" customHeight="1">
      <c r="A171" s="2"/>
      <c r="B171" s="48" t="s">
        <v>35</v>
      </c>
      <c r="C171" s="209" t="s">
        <v>386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50000000000001" hidden="1" customHeight="1">
      <c r="A172" s="2"/>
      <c r="B172" s="48" t="s">
        <v>35</v>
      </c>
      <c r="C172" s="209" t="s">
        <v>386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50000000000001" hidden="1" customHeight="1">
      <c r="A173" s="2"/>
      <c r="B173" s="48" t="s">
        <v>35</v>
      </c>
      <c r="C173" s="209" t="s">
        <v>386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50000000000001" hidden="1" customHeight="1">
      <c r="A174" s="2"/>
      <c r="B174" s="48" t="s">
        <v>35</v>
      </c>
      <c r="C174" s="209" t="s">
        <v>386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50000000000001" hidden="1" customHeight="1">
      <c r="A175" s="2"/>
      <c r="B175" s="48" t="s">
        <v>35</v>
      </c>
      <c r="C175" s="209" t="s">
        <v>386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50000000000001" hidden="1" customHeight="1">
      <c r="A176" s="2"/>
      <c r="B176" s="48" t="s">
        <v>35</v>
      </c>
      <c r="C176" s="209" t="s">
        <v>386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50000000000001" hidden="1" customHeight="1">
      <c r="A177" s="2"/>
      <c r="B177" s="48" t="s">
        <v>35</v>
      </c>
      <c r="C177" s="209" t="s">
        <v>386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50000000000001" hidden="1" customHeight="1">
      <c r="A178" s="2"/>
      <c r="B178" s="48" t="s">
        <v>35</v>
      </c>
      <c r="C178" s="209" t="s">
        <v>386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50000000000001" hidden="1" customHeight="1">
      <c r="A179" s="2"/>
      <c r="B179" s="48" t="s">
        <v>35</v>
      </c>
      <c r="C179" s="209" t="s">
        <v>386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50000000000001" hidden="1" customHeight="1">
      <c r="A180" s="2"/>
      <c r="B180" s="48" t="s">
        <v>35</v>
      </c>
      <c r="C180" s="209" t="s">
        <v>386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50000000000001" hidden="1" customHeight="1">
      <c r="A181" s="2"/>
      <c r="B181" s="48" t="s">
        <v>35</v>
      </c>
      <c r="C181" s="209" t="s">
        <v>386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50000000000001" hidden="1" customHeight="1">
      <c r="A182" s="2"/>
      <c r="B182" s="48" t="s">
        <v>35</v>
      </c>
      <c r="C182" s="209" t="s">
        <v>386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50000000000001" hidden="1" customHeight="1">
      <c r="A183" s="2"/>
      <c r="B183" s="48" t="s">
        <v>35</v>
      </c>
      <c r="C183" s="209" t="s">
        <v>386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50000000000001" hidden="1" customHeight="1">
      <c r="A184" s="2"/>
      <c r="B184" s="48" t="s">
        <v>35</v>
      </c>
      <c r="C184" s="209" t="s">
        <v>386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50000000000001" hidden="1" customHeight="1">
      <c r="A185" s="2"/>
      <c r="B185" s="48" t="s">
        <v>35</v>
      </c>
      <c r="C185" s="209" t="s">
        <v>386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50000000000001" hidden="1" customHeight="1">
      <c r="A186" s="2"/>
      <c r="B186" s="48" t="s">
        <v>35</v>
      </c>
      <c r="C186" s="209" t="s">
        <v>386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50000000000001" hidden="1" customHeight="1">
      <c r="A187" s="2"/>
      <c r="B187" s="48" t="s">
        <v>35</v>
      </c>
      <c r="C187" s="209" t="s">
        <v>386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50000000000001" customHeight="1">
      <c r="A188" s="2"/>
    </row>
    <row r="189" spans="1:14" ht="16.350000000000001" customHeight="1">
      <c r="A189" s="2"/>
    </row>
    <row r="190" spans="1:14" ht="16.350000000000001" customHeight="1">
      <c r="A190" s="2"/>
    </row>
    <row r="191" spans="1:14" ht="16.350000000000001" customHeight="1">
      <c r="A191" s="2"/>
    </row>
    <row r="192" spans="1:14" ht="16.350000000000001" customHeight="1">
      <c r="A192" s="2"/>
    </row>
    <row r="193" spans="1:1" ht="16.350000000000001" customHeight="1">
      <c r="A193" s="2"/>
    </row>
    <row r="194" spans="1:1" ht="16.350000000000001" customHeight="1">
      <c r="A194" s="2"/>
    </row>
    <row r="195" spans="1:1" ht="16.350000000000001" customHeight="1">
      <c r="A195" s="2"/>
    </row>
    <row r="196" spans="1:1" ht="16.350000000000001" customHeight="1">
      <c r="A196" s="2"/>
    </row>
    <row r="197" spans="1:1" ht="16.350000000000001" customHeight="1">
      <c r="A197" s="2"/>
    </row>
    <row r="198" spans="1:1" ht="16.350000000000001" customHeight="1">
      <c r="A198" s="2"/>
    </row>
    <row r="199" spans="1:1" ht="16.350000000000001" customHeight="1">
      <c r="A199" s="2"/>
    </row>
    <row r="200" spans="1:1" ht="16.350000000000001" customHeight="1">
      <c r="A200" s="2"/>
    </row>
    <row r="201" spans="1:1" ht="16.350000000000001" customHeight="1">
      <c r="A201" s="2"/>
    </row>
    <row r="202" spans="1:1" ht="16.350000000000001" customHeight="1">
      <c r="A202" s="2"/>
    </row>
    <row r="203" spans="1:1" ht="16.350000000000001" customHeight="1">
      <c r="A203" s="2"/>
    </row>
    <row r="204" spans="1:1" ht="16.350000000000001" customHeight="1">
      <c r="A204" s="2"/>
    </row>
    <row r="205" spans="1:1" ht="16.350000000000001" customHeight="1">
      <c r="A205" s="2"/>
    </row>
    <row r="206" spans="1:1" ht="16.350000000000001" customHeight="1">
      <c r="A206" s="2"/>
    </row>
    <row r="207" spans="1:1" ht="16.350000000000001" customHeight="1">
      <c r="A207" s="2"/>
    </row>
    <row r="208" spans="1:1" ht="16.350000000000001" customHeight="1">
      <c r="A208" s="2"/>
    </row>
    <row r="209" spans="1:1" ht="16.350000000000001" customHeight="1">
      <c r="A209" s="2"/>
    </row>
    <row r="210" spans="1:1" ht="16.350000000000001" customHeight="1">
      <c r="A210" s="2"/>
    </row>
    <row r="211" spans="1:1" ht="16.350000000000001" customHeight="1">
      <c r="A211" s="2"/>
    </row>
    <row r="212" spans="1:1" ht="16.350000000000001" customHeight="1">
      <c r="A212" s="2"/>
    </row>
    <row r="213" spans="1:1" ht="16.350000000000001" customHeight="1">
      <c r="A213" s="2"/>
    </row>
    <row r="214" spans="1:1" ht="16.350000000000001" customHeight="1">
      <c r="A214" s="2"/>
    </row>
    <row r="215" spans="1:1" ht="16.350000000000001" customHeight="1">
      <c r="A215" s="2"/>
    </row>
    <row r="216" spans="1:1" ht="16.350000000000001" customHeight="1">
      <c r="A216" s="2"/>
    </row>
    <row r="217" spans="1:1" ht="16.350000000000001" customHeight="1">
      <c r="A217" s="2"/>
    </row>
    <row r="218" spans="1:1" ht="16.350000000000001" customHeight="1">
      <c r="A218" s="2"/>
    </row>
    <row r="219" spans="1:1" ht="16.350000000000001" customHeight="1">
      <c r="A219" s="2"/>
    </row>
    <row r="220" spans="1:1" ht="16.350000000000001" customHeight="1">
      <c r="A220" s="2"/>
    </row>
    <row r="221" spans="1:1" ht="16.350000000000001" customHeight="1">
      <c r="A221" s="2"/>
    </row>
    <row r="222" spans="1:1" ht="16.350000000000001" customHeight="1">
      <c r="A222" s="2"/>
    </row>
    <row r="223" spans="1:1" ht="16.350000000000001" customHeight="1">
      <c r="A223" s="2"/>
    </row>
    <row r="224" spans="1:1" ht="16.350000000000001" customHeight="1">
      <c r="A224" s="2"/>
    </row>
    <row r="225" spans="1:1" ht="16.350000000000001" customHeight="1">
      <c r="A225" s="2"/>
    </row>
    <row r="226" spans="1:1" ht="16.350000000000001" customHeight="1">
      <c r="A226" s="2"/>
    </row>
    <row r="227" spans="1:1" ht="16.350000000000001" customHeight="1">
      <c r="A227" s="2"/>
    </row>
    <row r="228" spans="1:1" ht="16.350000000000001" customHeight="1">
      <c r="A228" s="2"/>
    </row>
    <row r="229" spans="1:1" ht="16.350000000000001" customHeight="1">
      <c r="A229" s="2"/>
    </row>
    <row r="230" spans="1:1" ht="16.350000000000001" customHeight="1">
      <c r="A230" s="2"/>
    </row>
    <row r="231" spans="1:1" ht="16.350000000000001" customHeight="1">
      <c r="A231" s="2"/>
    </row>
    <row r="232" spans="1:1" ht="16.350000000000001" customHeight="1">
      <c r="A232" s="2"/>
    </row>
    <row r="233" spans="1:1" ht="16.350000000000001" customHeight="1">
      <c r="A233" s="2"/>
    </row>
    <row r="234" spans="1:1" ht="16.350000000000001" customHeight="1">
      <c r="A234" s="2"/>
    </row>
    <row r="235" spans="1:1" ht="16.350000000000001" customHeight="1">
      <c r="A235" s="2"/>
    </row>
    <row r="236" spans="1:1" ht="16.350000000000001" customHeight="1">
      <c r="A236" s="2"/>
    </row>
    <row r="237" spans="1:1" ht="16.350000000000001" customHeight="1">
      <c r="A237" s="2"/>
    </row>
    <row r="238" spans="1:1" ht="16.350000000000001" customHeight="1">
      <c r="A238" s="2"/>
    </row>
    <row r="239" spans="1:1" ht="16.350000000000001" customHeight="1">
      <c r="A239" s="2"/>
    </row>
    <row r="240" spans="1:1" ht="16.350000000000001" customHeight="1">
      <c r="A240" s="2"/>
    </row>
    <row r="241" spans="1:1" ht="16.350000000000001" customHeight="1">
      <c r="A241" s="2"/>
    </row>
    <row r="242" spans="1:1" ht="16.350000000000001" customHeight="1">
      <c r="A242" s="2"/>
    </row>
    <row r="243" spans="1:1" ht="16.350000000000001" customHeight="1">
      <c r="A243" s="2"/>
    </row>
    <row r="244" spans="1:1" ht="16.350000000000001" customHeight="1">
      <c r="A244" s="2"/>
    </row>
    <row r="245" spans="1:1" ht="16.350000000000001" customHeight="1">
      <c r="A245" s="2"/>
    </row>
    <row r="246" spans="1:1" ht="16.350000000000001" customHeight="1">
      <c r="A246" s="2"/>
    </row>
    <row r="247" spans="1:1" ht="16.350000000000001" customHeight="1">
      <c r="A247" s="2"/>
    </row>
    <row r="248" spans="1:1" ht="16.350000000000001" customHeight="1">
      <c r="A248" s="2"/>
    </row>
    <row r="249" spans="1:1" ht="16.350000000000001" customHeight="1">
      <c r="A249" s="2"/>
    </row>
    <row r="250" spans="1:1" ht="16.350000000000001" customHeight="1">
      <c r="A250" s="2"/>
    </row>
    <row r="251" spans="1:1" ht="16.350000000000001" customHeight="1">
      <c r="A251" s="2"/>
    </row>
    <row r="252" spans="1:1" ht="16.350000000000001" customHeight="1">
      <c r="A252" s="2"/>
    </row>
    <row r="253" spans="1:1" ht="16.350000000000001" customHeight="1">
      <c r="A253" s="2"/>
    </row>
    <row r="254" spans="1:1" ht="16.350000000000001" customHeight="1">
      <c r="A254" s="2"/>
    </row>
    <row r="255" spans="1:1" ht="16.350000000000001" customHeight="1">
      <c r="A255" s="2"/>
    </row>
    <row r="256" spans="1:1" ht="16.350000000000001" customHeight="1">
      <c r="A256" s="2"/>
    </row>
    <row r="257" spans="1:1" ht="16.350000000000001" customHeight="1">
      <c r="A257" s="2"/>
    </row>
    <row r="258" spans="1:1" ht="16.350000000000001" customHeight="1">
      <c r="A258" s="2"/>
    </row>
    <row r="259" spans="1:1" ht="16.350000000000001" customHeight="1">
      <c r="A259" s="2"/>
    </row>
    <row r="260" spans="1:1" ht="16.350000000000001" customHeight="1">
      <c r="A260" s="2"/>
    </row>
    <row r="261" spans="1:1" ht="16.350000000000001" customHeight="1">
      <c r="A261" s="2"/>
    </row>
    <row r="262" spans="1:1" ht="16.350000000000001" customHeight="1">
      <c r="A262" s="2"/>
    </row>
    <row r="263" spans="1:1" ht="16.350000000000001" customHeight="1">
      <c r="A263" s="2"/>
    </row>
    <row r="264" spans="1:1" ht="16.350000000000001" customHeight="1">
      <c r="A264" s="2"/>
    </row>
    <row r="265" spans="1:1" ht="16.350000000000001" customHeight="1">
      <c r="A265" s="2"/>
    </row>
    <row r="266" spans="1:1" ht="16.350000000000001" customHeight="1">
      <c r="A266" s="2"/>
    </row>
    <row r="267" spans="1:1" ht="16.350000000000001" customHeight="1">
      <c r="A267" s="2"/>
    </row>
    <row r="268" spans="1:1" ht="16.350000000000001" customHeight="1">
      <c r="A268" s="2"/>
    </row>
    <row r="269" spans="1:1" ht="16.350000000000001" customHeight="1">
      <c r="A269" s="2"/>
    </row>
    <row r="270" spans="1:1" ht="16.350000000000001" customHeight="1">
      <c r="A270" s="2"/>
    </row>
    <row r="271" spans="1:1" ht="16.350000000000001" customHeight="1">
      <c r="A271" s="2"/>
    </row>
    <row r="272" spans="1:1" ht="16.350000000000001" customHeight="1">
      <c r="A272" s="2"/>
    </row>
    <row r="273" spans="1:1" ht="16.350000000000001" customHeight="1">
      <c r="A273" s="2"/>
    </row>
    <row r="274" spans="1:1" ht="16.350000000000001" customHeight="1">
      <c r="A274" s="2"/>
    </row>
    <row r="275" spans="1:1" ht="16.350000000000001" customHeight="1">
      <c r="A275" s="2"/>
    </row>
    <row r="276" spans="1:1" ht="16.350000000000001" customHeight="1">
      <c r="A276" s="2"/>
    </row>
    <row r="277" spans="1:1" ht="16.350000000000001" customHeight="1">
      <c r="A277" s="2"/>
    </row>
    <row r="278" spans="1:1" ht="16.350000000000001" customHeight="1">
      <c r="A278" s="2"/>
    </row>
    <row r="279" spans="1:1" ht="16.350000000000001" customHeight="1">
      <c r="A279" s="2"/>
    </row>
    <row r="280" spans="1:1" ht="16.350000000000001" customHeight="1">
      <c r="A280" s="2"/>
    </row>
    <row r="281" spans="1:1" ht="16.350000000000001" customHeight="1">
      <c r="A281" s="2"/>
    </row>
    <row r="282" spans="1:1" ht="16.350000000000001" customHeight="1">
      <c r="A282" s="2"/>
    </row>
    <row r="283" spans="1:1" ht="16.350000000000001" customHeight="1">
      <c r="A283" s="2"/>
    </row>
    <row r="284" spans="1:1" ht="16.350000000000001" customHeight="1">
      <c r="A284" s="2"/>
    </row>
    <row r="285" spans="1:1" ht="16.350000000000001" customHeight="1">
      <c r="A285" s="2"/>
    </row>
    <row r="286" spans="1:1" ht="16.350000000000001" customHeight="1">
      <c r="A286" s="2"/>
    </row>
    <row r="287" spans="1:1" ht="16.350000000000001" customHeight="1">
      <c r="A287" s="2"/>
    </row>
    <row r="288" spans="1:1" ht="16.350000000000001" customHeight="1">
      <c r="A288" s="2"/>
    </row>
    <row r="289" spans="1:1" ht="16.350000000000001" customHeight="1">
      <c r="A289" s="2"/>
    </row>
    <row r="290" spans="1:1" ht="16.350000000000001" customHeight="1">
      <c r="A290" s="2"/>
    </row>
    <row r="291" spans="1:1" ht="16.350000000000001" customHeight="1">
      <c r="A291" s="2"/>
    </row>
    <row r="292" spans="1:1" ht="16.350000000000001" customHeight="1">
      <c r="A292" s="2"/>
    </row>
    <row r="293" spans="1:1" ht="16.350000000000001" customHeight="1">
      <c r="A293" s="2"/>
    </row>
    <row r="294" spans="1:1" ht="16.350000000000001" customHeight="1">
      <c r="A294" s="2"/>
    </row>
    <row r="295" spans="1:1" ht="16.350000000000001" customHeight="1">
      <c r="A295" s="2"/>
    </row>
    <row r="296" spans="1:1" ht="16.350000000000001" customHeight="1">
      <c r="A296" s="2"/>
    </row>
    <row r="297" spans="1:1" ht="16.350000000000001" customHeight="1">
      <c r="A297" s="2"/>
    </row>
    <row r="298" spans="1:1" ht="16.350000000000001" customHeight="1">
      <c r="A298" s="2"/>
    </row>
    <row r="299" spans="1:1" ht="16.350000000000001" customHeight="1">
      <c r="A299" s="2"/>
    </row>
    <row r="300" spans="1:1" ht="16.350000000000001" customHeight="1">
      <c r="A300" s="2"/>
    </row>
    <row r="301" spans="1:1" ht="16.350000000000001" customHeight="1">
      <c r="A301" s="2"/>
    </row>
    <row r="302" spans="1:1" ht="16.350000000000001" customHeight="1">
      <c r="A302" s="2"/>
    </row>
    <row r="303" spans="1:1" ht="16.350000000000001" customHeight="1">
      <c r="A303" s="2"/>
    </row>
    <row r="304" spans="1:1" ht="16.350000000000001" customHeight="1">
      <c r="A304" s="2"/>
    </row>
    <row r="305" spans="1:1" ht="16.350000000000001" customHeight="1">
      <c r="A305" s="2"/>
    </row>
    <row r="306" spans="1:1" ht="16.350000000000001" customHeight="1">
      <c r="A306" s="2"/>
    </row>
    <row r="307" spans="1:1" ht="16.350000000000001" customHeight="1">
      <c r="A307" s="2"/>
    </row>
    <row r="308" spans="1:1" ht="16.350000000000001" customHeight="1">
      <c r="A308" s="2"/>
    </row>
    <row r="309" spans="1:1" ht="16.350000000000001" customHeight="1">
      <c r="A309" s="2"/>
    </row>
    <row r="310" spans="1:1" ht="16.350000000000001" customHeight="1">
      <c r="A310" s="2"/>
    </row>
    <row r="311" spans="1:1" ht="16.350000000000001" customHeight="1">
      <c r="A311" s="2"/>
    </row>
    <row r="312" spans="1:1" ht="16.350000000000001" customHeight="1">
      <c r="A312" s="2"/>
    </row>
    <row r="313" spans="1:1" ht="16.350000000000001" customHeight="1">
      <c r="A313" s="2"/>
    </row>
    <row r="314" spans="1:1" ht="16.350000000000001" customHeight="1">
      <c r="A314" s="2"/>
    </row>
    <row r="315" spans="1:1" ht="16.350000000000001" customHeight="1">
      <c r="A315" s="2"/>
    </row>
    <row r="316" spans="1:1" ht="16.350000000000001" customHeight="1">
      <c r="A316" s="2"/>
    </row>
    <row r="317" spans="1:1" ht="16.350000000000001" customHeight="1">
      <c r="A317" s="2"/>
    </row>
    <row r="318" spans="1:1" ht="16.350000000000001" customHeight="1">
      <c r="A318" s="2"/>
    </row>
    <row r="319" spans="1:1" ht="16.350000000000001" customHeight="1">
      <c r="A319" s="2"/>
    </row>
    <row r="320" spans="1:1" ht="16.350000000000001" customHeight="1">
      <c r="A320" s="2"/>
    </row>
    <row r="321" spans="1:1" ht="16.350000000000001" customHeight="1">
      <c r="A321" s="2"/>
    </row>
    <row r="322" spans="1:1" ht="16.350000000000001" customHeight="1">
      <c r="A322" s="2"/>
    </row>
    <row r="323" spans="1:1" ht="16.350000000000001" customHeight="1">
      <c r="A323" s="2"/>
    </row>
    <row r="324" spans="1:1" ht="16.350000000000001" customHeight="1">
      <c r="A324" s="2"/>
    </row>
    <row r="325" spans="1:1" ht="16.350000000000001" customHeight="1">
      <c r="A325" s="2"/>
    </row>
    <row r="326" spans="1:1" ht="16.350000000000001" customHeight="1">
      <c r="A326" s="2"/>
    </row>
    <row r="327" spans="1:1" ht="16.350000000000001" customHeight="1">
      <c r="A327" s="2"/>
    </row>
    <row r="328" spans="1:1" ht="16.350000000000001" customHeight="1">
      <c r="A328" s="2"/>
    </row>
    <row r="329" spans="1:1" ht="16.350000000000001" customHeight="1">
      <c r="A329" s="2"/>
    </row>
    <row r="330" spans="1:1" ht="16.350000000000001" customHeight="1">
      <c r="A330" s="2"/>
    </row>
    <row r="331" spans="1:1" ht="16.350000000000001" customHeight="1">
      <c r="A331" s="2"/>
    </row>
    <row r="332" spans="1:1" ht="16.350000000000001" customHeight="1">
      <c r="A332" s="2"/>
    </row>
    <row r="333" spans="1:1" ht="16.350000000000001" customHeight="1">
      <c r="A333" s="2"/>
    </row>
    <row r="334" spans="1:1" ht="16.350000000000001" customHeight="1">
      <c r="A334" s="2"/>
    </row>
    <row r="335" spans="1:1" ht="16.350000000000001" customHeight="1">
      <c r="A335" s="2"/>
    </row>
    <row r="336" spans="1:1" ht="16.350000000000001" customHeight="1">
      <c r="A336" s="2"/>
    </row>
    <row r="337" spans="1:1" ht="16.350000000000001" customHeight="1">
      <c r="A337" s="2"/>
    </row>
    <row r="338" spans="1:1" ht="16.350000000000001" customHeight="1">
      <c r="A338" s="2"/>
    </row>
    <row r="339" spans="1:1" ht="16.350000000000001" customHeight="1">
      <c r="A339" s="2"/>
    </row>
    <row r="340" spans="1:1" ht="16.350000000000001" customHeight="1">
      <c r="A340" s="2"/>
    </row>
    <row r="341" spans="1:1" ht="16.350000000000001" customHeight="1">
      <c r="A341" s="2"/>
    </row>
    <row r="342" spans="1:1" ht="16.350000000000001" customHeight="1">
      <c r="A342" s="2"/>
    </row>
    <row r="343" spans="1:1" ht="16.350000000000001" customHeight="1">
      <c r="A343" s="2"/>
    </row>
    <row r="344" spans="1:1" ht="16.350000000000001" customHeight="1">
      <c r="A344" s="2"/>
    </row>
    <row r="345" spans="1:1" ht="16.350000000000001" customHeight="1">
      <c r="A345" s="2"/>
    </row>
    <row r="346" spans="1:1" ht="16.350000000000001" customHeight="1">
      <c r="A346" s="2"/>
    </row>
    <row r="347" spans="1:1" ht="16.350000000000001" customHeight="1">
      <c r="A347" s="2"/>
    </row>
    <row r="348" spans="1:1" ht="16.350000000000001" customHeight="1">
      <c r="A348" s="2"/>
    </row>
    <row r="349" spans="1:1" ht="16.350000000000001" customHeight="1">
      <c r="A349" s="2"/>
    </row>
    <row r="350" spans="1:1" ht="16.350000000000001" customHeight="1">
      <c r="A350" s="2"/>
    </row>
    <row r="351" spans="1:1" ht="16.350000000000001" customHeight="1">
      <c r="A351" s="2"/>
    </row>
    <row r="352" spans="1:1" ht="16.350000000000001" customHeight="1">
      <c r="A352" s="2"/>
    </row>
    <row r="353" spans="1:1" ht="16.350000000000001" customHeight="1">
      <c r="A353" s="2"/>
    </row>
    <row r="354" spans="1:1" ht="16.350000000000001" customHeight="1">
      <c r="A354" s="2"/>
    </row>
    <row r="355" spans="1:1" ht="16.350000000000001" customHeight="1">
      <c r="A355" s="2"/>
    </row>
    <row r="356" spans="1:1" ht="16.350000000000001" customHeight="1">
      <c r="A356" s="2"/>
    </row>
    <row r="357" spans="1:1" ht="16.350000000000001" customHeight="1">
      <c r="A357" s="2"/>
    </row>
    <row r="358" spans="1:1" ht="16.350000000000001" customHeight="1">
      <c r="A358" s="2"/>
    </row>
    <row r="359" spans="1:1" ht="16.350000000000001" customHeight="1">
      <c r="A359" s="2"/>
    </row>
    <row r="360" spans="1:1" ht="16.350000000000001" customHeight="1">
      <c r="A360" s="2"/>
    </row>
    <row r="361" spans="1:1" ht="16.350000000000001" customHeight="1">
      <c r="A361" s="2"/>
    </row>
    <row r="362" spans="1:1" ht="16.350000000000001" customHeight="1">
      <c r="A362" s="2"/>
    </row>
    <row r="363" spans="1:1" ht="16.350000000000001" customHeight="1">
      <c r="A363" s="2"/>
    </row>
    <row r="364" spans="1:1" ht="16.350000000000001" customHeight="1">
      <c r="A364" s="2"/>
    </row>
    <row r="365" spans="1:1" ht="16.350000000000001" customHeight="1">
      <c r="A365" s="2"/>
    </row>
    <row r="366" spans="1:1" ht="16.350000000000001" customHeight="1">
      <c r="A366" s="2"/>
    </row>
    <row r="367" spans="1:1" ht="16.350000000000001" customHeight="1">
      <c r="A367" s="2"/>
    </row>
    <row r="368" spans="1:1" ht="16.350000000000001" customHeight="1">
      <c r="A368" s="2"/>
    </row>
    <row r="369" spans="1:1" ht="16.350000000000001" customHeight="1">
      <c r="A369" s="2"/>
    </row>
    <row r="370" spans="1:1" ht="16.350000000000001" customHeight="1">
      <c r="A370" s="2"/>
    </row>
    <row r="371" spans="1:1" ht="16.350000000000001" customHeight="1">
      <c r="A371" s="2"/>
    </row>
    <row r="372" spans="1:1" ht="16.350000000000001" customHeight="1">
      <c r="A372" s="2"/>
    </row>
    <row r="373" spans="1:1" ht="16.350000000000001" customHeight="1">
      <c r="A373" s="2"/>
    </row>
    <row r="374" spans="1:1" ht="16.350000000000001" customHeight="1">
      <c r="A374" s="2"/>
    </row>
    <row r="375" spans="1:1" ht="16.350000000000001" customHeight="1">
      <c r="A375" s="2"/>
    </row>
    <row r="376" spans="1:1" ht="16.350000000000001" customHeight="1">
      <c r="A376" s="2"/>
    </row>
    <row r="377" spans="1:1" ht="16.350000000000001" customHeight="1">
      <c r="A377" s="2"/>
    </row>
    <row r="378" spans="1:1" ht="16.350000000000001" customHeight="1">
      <c r="A378" s="2"/>
    </row>
    <row r="379" spans="1:1" ht="16.350000000000001" customHeight="1">
      <c r="A379" s="2"/>
    </row>
    <row r="380" spans="1:1" ht="16.350000000000001" customHeight="1">
      <c r="A380" s="2"/>
    </row>
    <row r="381" spans="1:1" ht="16.350000000000001" customHeight="1">
      <c r="A381" s="2"/>
    </row>
    <row r="382" spans="1:1" ht="16.350000000000001" customHeight="1">
      <c r="A382" s="2"/>
    </row>
    <row r="383" spans="1:1" ht="16.350000000000001" customHeight="1">
      <c r="A383" s="2"/>
    </row>
    <row r="384" spans="1:1" ht="16.350000000000001" customHeight="1">
      <c r="A384" s="2"/>
    </row>
    <row r="385" spans="1:1" ht="16.350000000000001" customHeight="1">
      <c r="A385" s="2"/>
    </row>
    <row r="386" spans="1:1" ht="16.350000000000001" customHeight="1">
      <c r="A386" s="2"/>
    </row>
    <row r="387" spans="1:1" ht="16.350000000000001" customHeight="1">
      <c r="A387" s="2"/>
    </row>
    <row r="388" spans="1:1" ht="16.350000000000001" customHeight="1">
      <c r="A388" s="2"/>
    </row>
    <row r="389" spans="1:1" ht="16.350000000000001" customHeight="1">
      <c r="A389" s="2"/>
    </row>
    <row r="390" spans="1:1" ht="16.350000000000001" customHeight="1">
      <c r="A390" s="2"/>
    </row>
    <row r="391" spans="1:1" ht="16.350000000000001" customHeight="1">
      <c r="A391" s="2"/>
    </row>
    <row r="392" spans="1:1" ht="16.350000000000001" customHeight="1">
      <c r="A392" s="2"/>
    </row>
    <row r="393" spans="1:1" ht="16.350000000000001" customHeight="1">
      <c r="A393" s="2"/>
    </row>
    <row r="394" spans="1:1" ht="16.350000000000001" customHeight="1">
      <c r="A394" s="2"/>
    </row>
    <row r="395" spans="1:1" ht="16.350000000000001" customHeight="1">
      <c r="A395" s="2"/>
    </row>
    <row r="396" spans="1:1" ht="16.350000000000001" customHeight="1">
      <c r="A396" s="2"/>
    </row>
    <row r="397" spans="1:1" ht="16.350000000000001" customHeight="1">
      <c r="A397" s="2"/>
    </row>
    <row r="398" spans="1:1" ht="16.350000000000001" customHeight="1">
      <c r="A398" s="2"/>
    </row>
    <row r="399" spans="1:1" ht="16.350000000000001" customHeight="1">
      <c r="A399" s="2"/>
    </row>
    <row r="400" spans="1:1" ht="16.350000000000001" customHeight="1">
      <c r="A400" s="2"/>
    </row>
    <row r="401" spans="1:1" ht="16.350000000000001" customHeight="1">
      <c r="A401" s="2"/>
    </row>
    <row r="402" spans="1:1" ht="16.350000000000001" customHeight="1">
      <c r="A402" s="2"/>
    </row>
    <row r="403" spans="1:1" ht="16.350000000000001" customHeight="1">
      <c r="A403" s="2"/>
    </row>
    <row r="404" spans="1:1" ht="16.350000000000001" customHeight="1">
      <c r="A404" s="2"/>
    </row>
    <row r="405" spans="1:1" ht="16.350000000000001" customHeight="1">
      <c r="A405" s="2"/>
    </row>
    <row r="406" spans="1:1" ht="16.350000000000001" customHeight="1">
      <c r="A406" s="2"/>
    </row>
    <row r="407" spans="1:1" ht="16.350000000000001" customHeight="1">
      <c r="A407" s="2"/>
    </row>
    <row r="408" spans="1:1" ht="16.350000000000001" customHeight="1">
      <c r="A408" s="2"/>
    </row>
    <row r="409" spans="1:1" ht="16.350000000000001" customHeight="1">
      <c r="A409" s="2"/>
    </row>
    <row r="410" spans="1:1" ht="16.350000000000001" customHeight="1">
      <c r="A410" s="2"/>
    </row>
    <row r="411" spans="1:1" ht="16.350000000000001" customHeight="1">
      <c r="A411" s="2"/>
    </row>
    <row r="412" spans="1:1" ht="16.350000000000001" customHeight="1">
      <c r="A412" s="2"/>
    </row>
    <row r="413" spans="1:1" ht="16.350000000000001" customHeight="1">
      <c r="A413" s="2"/>
    </row>
    <row r="414" spans="1:1" ht="16.350000000000001" customHeight="1">
      <c r="A414" s="2"/>
    </row>
    <row r="415" spans="1:1" ht="16.350000000000001" customHeight="1">
      <c r="A415" s="2"/>
    </row>
    <row r="416" spans="1:1" ht="16.350000000000001" customHeight="1">
      <c r="A416" s="2"/>
    </row>
    <row r="417" spans="1:1" ht="16.350000000000001" customHeight="1">
      <c r="A417" s="2"/>
    </row>
    <row r="418" spans="1:1" ht="16.350000000000001" customHeight="1">
      <c r="A418" s="2"/>
    </row>
    <row r="419" spans="1:1" ht="16.350000000000001" customHeight="1">
      <c r="A419" s="2"/>
    </row>
    <row r="420" spans="1:1" ht="16.350000000000001" customHeight="1">
      <c r="A420" s="2"/>
    </row>
    <row r="421" spans="1:1" ht="16.350000000000001" customHeight="1">
      <c r="A421" s="2"/>
    </row>
    <row r="422" spans="1:1" ht="16.350000000000001" customHeight="1">
      <c r="A422" s="2"/>
    </row>
    <row r="423" spans="1:1" ht="16.350000000000001" customHeight="1">
      <c r="A423" s="2"/>
    </row>
    <row r="424" spans="1:1" ht="16.350000000000001" customHeight="1">
      <c r="A424" s="2"/>
    </row>
    <row r="425" spans="1:1" ht="16.350000000000001" customHeight="1">
      <c r="A425" s="2"/>
    </row>
    <row r="426" spans="1:1" ht="16.350000000000001" customHeight="1">
      <c r="A426" s="2"/>
    </row>
    <row r="427" spans="1:1" ht="16.350000000000001" customHeight="1">
      <c r="A427" s="2"/>
    </row>
    <row r="428" spans="1:1" ht="16.350000000000001" customHeight="1">
      <c r="A428" s="2"/>
    </row>
    <row r="429" spans="1:1" ht="16.350000000000001" customHeight="1">
      <c r="A429" s="2"/>
    </row>
    <row r="430" spans="1:1" ht="16.350000000000001" customHeight="1">
      <c r="A430" s="2"/>
    </row>
    <row r="431" spans="1:1">
      <c r="A431" s="2"/>
    </row>
    <row r="432" spans="1:1">
      <c r="A432" s="2"/>
    </row>
    <row r="433" spans="1:1">
      <c r="A433" s="2"/>
    </row>
    <row r="434" spans="1:1" ht="16.350000000000001" customHeight="1">
      <c r="A434" s="2"/>
    </row>
    <row r="435" spans="1:1" ht="16.350000000000001" customHeight="1">
      <c r="A435" s="2"/>
    </row>
    <row r="436" spans="1:1" ht="16.350000000000001" customHeight="1">
      <c r="A436" s="2"/>
    </row>
    <row r="437" spans="1:1" ht="16.350000000000001" customHeight="1">
      <c r="A437" s="2"/>
    </row>
    <row r="438" spans="1:1" ht="16.350000000000001" customHeight="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 ht="16.350000000000001" customHeight="1">
      <c r="A450" s="2"/>
    </row>
    <row r="451" spans="1:1" ht="16.350000000000001" customHeight="1">
      <c r="A451" s="2"/>
    </row>
    <row r="452" spans="1:1" ht="16.350000000000001" customHeight="1">
      <c r="A452" s="2"/>
    </row>
    <row r="453" spans="1:1" ht="16.350000000000001" customHeight="1">
      <c r="A453" s="2"/>
    </row>
    <row r="454" spans="1:1" ht="16.350000000000001" customHeight="1">
      <c r="A454" s="2"/>
    </row>
    <row r="455" spans="1:1" ht="16.350000000000001" customHeight="1">
      <c r="A455" s="2"/>
    </row>
    <row r="456" spans="1:1" ht="16.350000000000001" customHeight="1">
      <c r="A456" s="2"/>
    </row>
    <row r="457" spans="1:1" ht="16.350000000000001" customHeight="1">
      <c r="A457" s="2"/>
    </row>
    <row r="458" spans="1:1" ht="16.350000000000001" customHeight="1">
      <c r="A458" s="2"/>
    </row>
    <row r="459" spans="1:1" ht="16.350000000000001" customHeight="1">
      <c r="A459" s="2"/>
    </row>
    <row r="460" spans="1:1" ht="16.350000000000001" customHeight="1">
      <c r="A460" s="2"/>
    </row>
    <row r="461" spans="1:1" ht="16.350000000000001" customHeight="1">
      <c r="A461" s="2"/>
    </row>
    <row r="462" spans="1:1" ht="16.350000000000001" customHeight="1">
      <c r="A462" s="2"/>
    </row>
    <row r="463" spans="1:1" ht="16.350000000000001" customHeight="1">
      <c r="A463" s="2"/>
    </row>
    <row r="464" spans="1:1" ht="16.350000000000001" customHeight="1">
      <c r="A464" s="2"/>
    </row>
    <row r="465" spans="1:1" ht="16.350000000000001" customHeight="1">
      <c r="A465" s="2"/>
    </row>
    <row r="466" spans="1:1" ht="16.350000000000001" customHeight="1">
      <c r="A466" s="2"/>
    </row>
    <row r="467" spans="1:1" ht="16.350000000000001" customHeight="1">
      <c r="A467" s="2"/>
    </row>
    <row r="468" spans="1:1" ht="16.350000000000001" customHeight="1">
      <c r="A468" s="2"/>
    </row>
    <row r="469" spans="1:1" ht="16.350000000000001" customHeight="1">
      <c r="A469" s="2"/>
    </row>
    <row r="470" spans="1:1" ht="16.350000000000001" customHeight="1">
      <c r="A470" s="2"/>
    </row>
    <row r="471" spans="1:1" ht="16.350000000000001" customHeight="1">
      <c r="A471" s="2"/>
    </row>
    <row r="472" spans="1:1" ht="16.350000000000001" customHeight="1">
      <c r="A472" s="2"/>
    </row>
    <row r="473" spans="1:1" ht="16.350000000000001" customHeight="1">
      <c r="A473" s="2"/>
    </row>
    <row r="474" spans="1:1" ht="16.350000000000001" customHeight="1">
      <c r="A474" s="2"/>
    </row>
    <row r="475" spans="1:1" ht="16.350000000000001" customHeight="1">
      <c r="A475" s="2"/>
    </row>
    <row r="476" spans="1:1" ht="16.350000000000001" customHeight="1">
      <c r="A476" s="2"/>
    </row>
    <row r="477" spans="1:1" ht="16.350000000000001" customHeight="1">
      <c r="A477" s="2"/>
    </row>
    <row r="478" spans="1:1" ht="16.350000000000001" customHeight="1">
      <c r="A478" s="2"/>
    </row>
    <row r="479" spans="1:1" ht="16.350000000000001" customHeight="1">
      <c r="A479" s="2"/>
    </row>
    <row r="480" spans="1:1" ht="16.350000000000001" customHeight="1">
      <c r="A480" s="2"/>
    </row>
    <row r="481" spans="1:1" ht="16.350000000000001" customHeight="1">
      <c r="A481" s="2"/>
    </row>
    <row r="482" spans="1:1" ht="16.350000000000001" customHeight="1">
      <c r="A482" s="2"/>
    </row>
    <row r="483" spans="1:1" ht="16.350000000000001" customHeight="1">
      <c r="A483" s="2"/>
    </row>
    <row r="484" spans="1:1" ht="16.350000000000001" customHeight="1">
      <c r="A484" s="2"/>
    </row>
    <row r="485" spans="1:1" ht="16.350000000000001" customHeight="1">
      <c r="A485" s="2"/>
    </row>
    <row r="486" spans="1:1" ht="16.350000000000001" customHeight="1">
      <c r="A486" s="2"/>
    </row>
    <row r="487" spans="1:1" ht="16.350000000000001" customHeight="1">
      <c r="A487" s="2"/>
    </row>
    <row r="488" spans="1:1" ht="16.350000000000001" customHeight="1">
      <c r="A488" s="2"/>
    </row>
    <row r="489" spans="1:1" ht="16.350000000000001" customHeight="1">
      <c r="A489" s="2"/>
    </row>
    <row r="490" spans="1:1" ht="16.350000000000001" customHeight="1">
      <c r="A490" s="2"/>
    </row>
    <row r="491" spans="1:1" ht="16.350000000000001" customHeight="1">
      <c r="A491" s="2"/>
    </row>
    <row r="492" spans="1:1" ht="16.350000000000001" customHeight="1">
      <c r="A492" s="2"/>
    </row>
    <row r="493" spans="1:1" ht="16.350000000000001" customHeight="1">
      <c r="A493" s="2"/>
    </row>
    <row r="494" spans="1:1" ht="16.350000000000001" customHeight="1">
      <c r="A494" s="2"/>
    </row>
    <row r="495" spans="1:1" ht="16.350000000000001" customHeight="1">
      <c r="A495" s="2"/>
    </row>
    <row r="496" spans="1:1" ht="16.350000000000001" customHeight="1">
      <c r="A496" s="2"/>
    </row>
    <row r="497" spans="1:1" ht="16.350000000000001" customHeight="1">
      <c r="A497" s="2"/>
    </row>
    <row r="498" spans="1:1" ht="16.350000000000001" customHeight="1">
      <c r="A498" s="2"/>
    </row>
    <row r="499" spans="1:1">
      <c r="A499" s="2"/>
    </row>
    <row r="500" spans="1:1">
      <c r="A500" s="2"/>
    </row>
    <row r="501" spans="1:1" ht="16.350000000000001" customHeight="1">
      <c r="A501" s="2"/>
    </row>
    <row r="502" spans="1:1" ht="16.350000000000001" customHeight="1">
      <c r="A502" s="2"/>
    </row>
    <row r="503" spans="1:1" ht="16.350000000000001" customHeight="1">
      <c r="A503" s="2"/>
    </row>
    <row r="504" spans="1:1" ht="16.350000000000001" customHeight="1">
      <c r="A504" s="2"/>
    </row>
    <row r="505" spans="1:1" ht="16.350000000000001" customHeight="1">
      <c r="A505" s="2"/>
    </row>
    <row r="506" spans="1:1" ht="16.350000000000001" customHeight="1">
      <c r="A506" s="2"/>
    </row>
    <row r="507" spans="1:1" ht="16.350000000000001" customHeight="1">
      <c r="A507" s="2"/>
    </row>
    <row r="508" spans="1:1" ht="16.350000000000001" customHeight="1">
      <c r="A508" s="2"/>
    </row>
    <row r="509" spans="1:1" ht="16.350000000000001" customHeight="1">
      <c r="A509" s="2"/>
    </row>
    <row r="510" spans="1:1" ht="16.350000000000001" customHeight="1">
      <c r="A510" s="2"/>
    </row>
    <row r="511" spans="1:1" ht="16.350000000000001" customHeight="1">
      <c r="A511" s="2"/>
    </row>
    <row r="512" spans="1:1" ht="16.350000000000001" customHeight="1">
      <c r="A512" s="2"/>
    </row>
    <row r="513" spans="1:1" ht="16.350000000000001" customHeight="1">
      <c r="A513" s="2"/>
    </row>
    <row r="514" spans="1:1" ht="16.350000000000001" customHeight="1">
      <c r="A514" s="2"/>
    </row>
    <row r="515" spans="1:1" ht="16.350000000000001" customHeight="1">
      <c r="A515" s="2"/>
    </row>
    <row r="516" spans="1:1" ht="16.350000000000001" customHeight="1">
      <c r="A516" s="2"/>
    </row>
    <row r="517" spans="1:1" ht="16.350000000000001" customHeight="1">
      <c r="A517" s="2"/>
    </row>
    <row r="518" spans="1:1" ht="16.350000000000001" customHeight="1">
      <c r="A518" s="2"/>
    </row>
    <row r="519" spans="1:1" ht="16.350000000000001" customHeight="1">
      <c r="A519" s="2"/>
    </row>
    <row r="520" spans="1:1" ht="16.350000000000001" customHeight="1">
      <c r="A520" s="2"/>
    </row>
    <row r="521" spans="1:1" ht="16.350000000000001" customHeight="1">
      <c r="A521" s="2"/>
    </row>
    <row r="522" spans="1:1" ht="16.350000000000001" customHeight="1">
      <c r="A522" s="2"/>
    </row>
    <row r="523" spans="1:1" ht="16.350000000000001" customHeight="1">
      <c r="A523" s="2"/>
    </row>
    <row r="524" spans="1:1" ht="16.350000000000001" customHeight="1">
      <c r="A524" s="2"/>
    </row>
    <row r="525" spans="1:1" ht="16.350000000000001" customHeight="1">
      <c r="A525" s="2"/>
    </row>
    <row r="526" spans="1:1" ht="16.350000000000001" customHeight="1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80" zoomScaleNormal="80" workbookViewId="0">
      <pane xSplit="1" ySplit="8" topLeftCell="B57" activePane="bottomRight" state="frozen"/>
      <selection pane="topRight" activeCell="B1" sqref="B1"/>
      <selection pane="bottomLeft" activeCell="A9" sqref="A9"/>
      <selection pane="bottomRight" activeCell="D78" sqref="D78"/>
    </sheetView>
  </sheetViews>
  <sheetFormatPr defaultColWidth="0" defaultRowHeight="17.399999999999999" zeroHeight="1" outlineLevelRow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30.3984375" style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305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>
      <c r="N1" s="1"/>
      <c r="O1" s="1"/>
      <c r="P1" s="1"/>
      <c r="AK1" s="12"/>
    </row>
    <row r="2" spans="1:81">
      <c r="N2" s="1"/>
      <c r="O2" s="1"/>
      <c r="P2" s="1"/>
    </row>
    <row r="3" spans="1:81">
      <c r="N3" s="1"/>
      <c r="O3" s="1"/>
      <c r="P3" s="1"/>
    </row>
    <row r="4" spans="1:81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306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>
      <c r="N5" s="1"/>
      <c r="O5" s="1"/>
      <c r="P5" s="1"/>
      <c r="R5" s="8"/>
    </row>
    <row r="6" spans="1:81">
      <c r="N6" s="1"/>
      <c r="O6" s="1"/>
      <c r="P6" s="1"/>
    </row>
    <row r="7" spans="1:81">
      <c r="N7" s="1"/>
      <c r="O7" s="1"/>
      <c r="P7" s="1"/>
      <c r="R7" s="358" t="s">
        <v>33</v>
      </c>
      <c r="S7" s="358"/>
      <c r="T7" s="358"/>
      <c r="U7" s="358"/>
      <c r="V7" s="358"/>
      <c r="W7" s="358"/>
      <c r="X7" s="358"/>
      <c r="Y7" s="358"/>
      <c r="Z7" s="358"/>
      <c r="AA7" s="358"/>
      <c r="AB7" s="358"/>
      <c r="AC7" s="358"/>
      <c r="AD7" s="358"/>
      <c r="AE7" s="358"/>
      <c r="AF7" s="358"/>
      <c r="AG7" s="358"/>
      <c r="AH7" s="358"/>
      <c r="AI7" s="358"/>
      <c r="AJ7" s="358"/>
      <c r="AK7" s="358"/>
      <c r="AL7" s="358"/>
      <c r="AM7" s="358"/>
      <c r="AN7" s="358" t="s">
        <v>134</v>
      </c>
      <c r="AO7" s="358"/>
      <c r="AP7" s="358"/>
      <c r="AQ7" s="358"/>
      <c r="AR7" s="358"/>
      <c r="AS7" s="358"/>
      <c r="AT7" s="358"/>
      <c r="AU7" s="358"/>
      <c r="AV7" s="358"/>
      <c r="AW7" s="358"/>
      <c r="AX7" s="358"/>
      <c r="AY7" s="358"/>
      <c r="AZ7" s="358"/>
      <c r="BA7" s="358"/>
      <c r="BB7" s="358"/>
      <c r="BC7" s="358"/>
      <c r="BD7" s="358"/>
      <c r="BE7" s="358"/>
      <c r="BF7" s="358"/>
      <c r="BG7" s="358"/>
      <c r="BH7" s="358" t="s">
        <v>252</v>
      </c>
      <c r="BI7" s="358"/>
      <c r="BJ7" s="358"/>
      <c r="BK7" s="358"/>
      <c r="BL7" s="358"/>
      <c r="BM7" s="358"/>
      <c r="BN7" s="358"/>
      <c r="BO7" s="358"/>
      <c r="BP7" s="358"/>
      <c r="BQ7" s="358"/>
      <c r="BR7" s="358"/>
      <c r="BS7" s="358"/>
      <c r="BT7" s="358"/>
      <c r="BU7" s="358"/>
      <c r="BV7" s="358"/>
      <c r="BW7" s="358"/>
      <c r="BX7" s="358"/>
      <c r="BY7" s="358"/>
      <c r="BZ7" s="358"/>
      <c r="CA7" s="358"/>
      <c r="CB7" s="358"/>
    </row>
    <row r="8" spans="1:81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468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50000000000001" customHeight="1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307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308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309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309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309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309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309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309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309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309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309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309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309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309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309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309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309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309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309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309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309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309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309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309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309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309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309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309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309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309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309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309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309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309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309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309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309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309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309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35" customHeight="1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310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>
      <c r="B49" s="141" t="s">
        <v>375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31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>
      <c r="A50" s="212" t="s">
        <v>345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329" t="s">
        <v>268</v>
      </c>
      <c r="H50" s="5" t="s">
        <v>40</v>
      </c>
      <c r="I50" s="331" t="s">
        <v>466</v>
      </c>
      <c r="J50" s="33">
        <f>K50*8</f>
        <v>0</v>
      </c>
      <c r="K50" s="33"/>
      <c r="L50" s="33"/>
      <c r="M50" s="33"/>
      <c r="N50" s="140"/>
      <c r="O50" s="140"/>
      <c r="P50" s="140"/>
      <c r="Q50" s="312" t="s">
        <v>485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>
      <c r="A51" s="212" t="s">
        <v>345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329" t="s">
        <v>268</v>
      </c>
      <c r="H51" s="5" t="s">
        <v>40</v>
      </c>
      <c r="I51" s="331" t="s">
        <v>467</v>
      </c>
      <c r="J51" s="33"/>
      <c r="K51" s="33"/>
      <c r="L51" s="33"/>
      <c r="M51" s="33"/>
      <c r="N51" s="140"/>
      <c r="O51" s="140"/>
      <c r="P51" s="140"/>
      <c r="Q51" s="312" t="s">
        <v>485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>
      <c r="A52" s="212" t="s">
        <v>345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329" t="s">
        <v>268</v>
      </c>
      <c r="H52" s="5" t="s">
        <v>40</v>
      </c>
      <c r="I52" s="331" t="s">
        <v>466</v>
      </c>
      <c r="J52" s="33"/>
      <c r="K52" s="33"/>
      <c r="L52" s="33"/>
      <c r="M52" s="33"/>
      <c r="N52" s="140"/>
      <c r="O52" s="140"/>
      <c r="P52" s="140"/>
      <c r="Q52" s="312" t="s">
        <v>485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>
      <c r="A53" s="212" t="s">
        <v>345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329" t="s">
        <v>268</v>
      </c>
      <c r="H53" s="5" t="s">
        <v>40</v>
      </c>
      <c r="I53" s="331" t="s">
        <v>466</v>
      </c>
      <c r="J53" s="33"/>
      <c r="K53" s="33"/>
      <c r="L53" s="33"/>
      <c r="M53" s="33"/>
      <c r="N53" s="140"/>
      <c r="O53" s="140"/>
      <c r="P53" s="140"/>
      <c r="Q53" s="312" t="s">
        <v>485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>
      <c r="A54" s="212" t="s">
        <v>345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31" t="s">
        <v>467</v>
      </c>
      <c r="J54" s="33"/>
      <c r="K54" s="33"/>
      <c r="L54" s="33"/>
      <c r="M54" s="33"/>
      <c r="N54" s="140"/>
      <c r="O54" s="140"/>
      <c r="P54" s="140"/>
      <c r="Q54" s="312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>
      <c r="A55" s="212" t="s">
        <v>345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329" t="s">
        <v>268</v>
      </c>
      <c r="H55" s="5" t="s">
        <v>40</v>
      </c>
      <c r="I55" s="331" t="s">
        <v>466</v>
      </c>
      <c r="J55" s="33"/>
      <c r="K55" s="33"/>
      <c r="L55" s="33"/>
      <c r="M55" s="33"/>
      <c r="N55" s="140"/>
      <c r="O55" s="140"/>
      <c r="P55" s="140"/>
      <c r="Q55" s="312" t="s">
        <v>485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>
      <c r="A56" s="212" t="s">
        <v>345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274</v>
      </c>
      <c r="H56" s="5" t="s">
        <v>346</v>
      </c>
      <c r="I56" s="331" t="s">
        <v>466</v>
      </c>
      <c r="J56" s="33"/>
      <c r="K56" s="33"/>
      <c r="L56" s="33"/>
      <c r="M56" s="33"/>
      <c r="N56" s="140"/>
      <c r="O56" s="140"/>
      <c r="P56" s="140"/>
      <c r="Q56" s="312" t="s">
        <v>486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>
      <c r="A57" s="212" t="s">
        <v>345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31" t="s">
        <v>467</v>
      </c>
      <c r="J57" s="33"/>
      <c r="K57" s="33"/>
      <c r="L57" s="33"/>
      <c r="M57" s="33"/>
      <c r="N57" s="140"/>
      <c r="O57" s="140"/>
      <c r="P57" s="140"/>
      <c r="Q57" s="312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>
      <c r="A58" s="212" t="s">
        <v>345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329" t="s">
        <v>268</v>
      </c>
      <c r="H58" s="5" t="s">
        <v>40</v>
      </c>
      <c r="I58" s="331" t="s">
        <v>466</v>
      </c>
      <c r="J58" s="33"/>
      <c r="K58" s="33"/>
      <c r="L58" s="33"/>
      <c r="M58" s="33"/>
      <c r="N58" s="140"/>
      <c r="O58" s="140"/>
      <c r="P58" s="140"/>
      <c r="Q58" s="312" t="s">
        <v>485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>
      <c r="A59" s="212" t="s">
        <v>345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329" t="s">
        <v>268</v>
      </c>
      <c r="H59" s="5" t="s">
        <v>40</v>
      </c>
      <c r="I59" s="331" t="s">
        <v>466</v>
      </c>
      <c r="J59" s="33"/>
      <c r="K59" s="33"/>
      <c r="L59" s="33"/>
      <c r="M59" s="33"/>
      <c r="N59" s="140"/>
      <c r="O59" s="140"/>
      <c r="P59" s="140"/>
      <c r="Q59" s="312" t="s">
        <v>485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>
      <c r="A60" s="212" t="s">
        <v>345</v>
      </c>
      <c r="B60" s="4" t="s">
        <v>17</v>
      </c>
      <c r="C60" s="9" t="s">
        <v>376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331" t="s">
        <v>467</v>
      </c>
      <c r="J60" s="33"/>
      <c r="K60" s="33"/>
      <c r="L60" s="33"/>
      <c r="M60" s="33"/>
      <c r="N60" s="140"/>
      <c r="O60" s="140"/>
      <c r="P60" s="140"/>
      <c r="Q60" s="312" t="s">
        <v>388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>
      <c r="A61" s="212" t="s">
        <v>345</v>
      </c>
      <c r="B61" s="4" t="s">
        <v>17</v>
      </c>
      <c r="C61" s="9" t="s">
        <v>376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331" t="s">
        <v>467</v>
      </c>
      <c r="J61" s="33"/>
      <c r="K61" s="33"/>
      <c r="L61" s="33"/>
      <c r="M61" s="33"/>
      <c r="N61" s="140"/>
      <c r="O61" s="140"/>
      <c r="P61" s="140"/>
      <c r="Q61" s="312" t="s">
        <v>388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>
      <c r="A62" s="212" t="s">
        <v>345</v>
      </c>
      <c r="B62" s="4" t="s">
        <v>17</v>
      </c>
      <c r="C62" s="9" t="s">
        <v>376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331" t="s">
        <v>467</v>
      </c>
      <c r="J62" s="33"/>
      <c r="K62" s="33"/>
      <c r="L62" s="33"/>
      <c r="M62" s="33"/>
      <c r="N62" s="140"/>
      <c r="O62" s="140"/>
      <c r="P62" s="140"/>
      <c r="Q62" s="312" t="s">
        <v>388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>
      <c r="A63" s="212" t="s">
        <v>345</v>
      </c>
      <c r="B63" s="4" t="s">
        <v>17</v>
      </c>
      <c r="C63" s="9" t="s">
        <v>376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331" t="s">
        <v>467</v>
      </c>
      <c r="J63" s="33"/>
      <c r="K63" s="33"/>
      <c r="L63" s="33"/>
      <c r="M63" s="33"/>
      <c r="N63" s="140"/>
      <c r="O63" s="140"/>
      <c r="P63" s="140"/>
      <c r="Q63" s="312" t="s">
        <v>388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>
      <c r="A64" s="212" t="s">
        <v>345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329" t="s">
        <v>268</v>
      </c>
      <c r="H64" s="5" t="s">
        <v>40</v>
      </c>
      <c r="I64" s="331" t="s">
        <v>466</v>
      </c>
      <c r="J64" s="33"/>
      <c r="K64" s="33"/>
      <c r="L64" s="33"/>
      <c r="M64" s="33"/>
      <c r="N64" s="140"/>
      <c r="O64" s="140"/>
      <c r="P64" s="140"/>
      <c r="Q64" s="312" t="s">
        <v>485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>
      <c r="A65" s="212" t="s">
        <v>345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31" t="s">
        <v>467</v>
      </c>
      <c r="J65" s="33"/>
      <c r="K65" s="33"/>
      <c r="L65" s="33"/>
      <c r="M65" s="33"/>
      <c r="N65" s="140"/>
      <c r="O65" s="140"/>
      <c r="P65" s="140"/>
      <c r="Q65" s="312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>
      <c r="A66" s="212" t="s">
        <v>345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329" t="s">
        <v>268</v>
      </c>
      <c r="H66" s="5" t="s">
        <v>40</v>
      </c>
      <c r="I66" s="331" t="s">
        <v>466</v>
      </c>
      <c r="J66" s="33"/>
      <c r="K66" s="33"/>
      <c r="L66" s="33"/>
      <c r="M66" s="33"/>
      <c r="N66" s="140"/>
      <c r="O66" s="140"/>
      <c r="P66" s="140"/>
      <c r="Q66" s="312" t="s">
        <v>485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>
      <c r="A67" s="212" t="s">
        <v>345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329" t="s">
        <v>268</v>
      </c>
      <c r="H67" s="5" t="s">
        <v>40</v>
      </c>
      <c r="I67" s="331" t="s">
        <v>466</v>
      </c>
      <c r="J67" s="33"/>
      <c r="K67" s="33"/>
      <c r="L67" s="33"/>
      <c r="M67" s="33"/>
      <c r="N67" s="140"/>
      <c r="O67" s="140"/>
      <c r="P67" s="140"/>
      <c r="Q67" s="312" t="s">
        <v>485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>
      <c r="A68" s="212" t="s">
        <v>345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31" t="s">
        <v>467</v>
      </c>
      <c r="J68" s="33"/>
      <c r="K68" s="33"/>
      <c r="L68" s="33"/>
      <c r="M68" s="33"/>
      <c r="N68" s="140"/>
      <c r="O68" s="140"/>
      <c r="P68" s="140"/>
      <c r="Q68" s="312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>
      <c r="A69" s="212" t="s">
        <v>345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329" t="s">
        <v>268</v>
      </c>
      <c r="H69" s="5" t="s">
        <v>40</v>
      </c>
      <c r="I69" s="331" t="s">
        <v>466</v>
      </c>
      <c r="J69" s="33"/>
      <c r="K69" s="33"/>
      <c r="L69" s="33"/>
      <c r="M69" s="33"/>
      <c r="N69" s="140"/>
      <c r="O69" s="140"/>
      <c r="P69" s="140"/>
      <c r="Q69" s="312" t="s">
        <v>485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>
      <c r="A70" s="212" t="s">
        <v>345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329" t="s">
        <v>268</v>
      </c>
      <c r="H70" s="5" t="s">
        <v>40</v>
      </c>
      <c r="I70" s="331" t="s">
        <v>466</v>
      </c>
      <c r="J70" s="33"/>
      <c r="K70" s="33"/>
      <c r="L70" s="33"/>
      <c r="M70" s="33"/>
      <c r="N70" s="140"/>
      <c r="O70" s="140"/>
      <c r="P70" s="140"/>
      <c r="Q70" s="312" t="s">
        <v>485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>
      <c r="A71" s="212" t="s">
        <v>345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329" t="s">
        <v>40</v>
      </c>
      <c r="H71" s="5" t="s">
        <v>346</v>
      </c>
      <c r="I71" s="331" t="s">
        <v>466</v>
      </c>
      <c r="J71" s="33"/>
      <c r="K71" s="33"/>
      <c r="L71" s="33"/>
      <c r="M71" s="33"/>
      <c r="N71" s="140"/>
      <c r="O71" s="140"/>
      <c r="P71" s="140"/>
      <c r="Q71" s="312" t="s">
        <v>486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>
      <c r="A72" s="212" t="s">
        <v>345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329" t="s">
        <v>40</v>
      </c>
      <c r="H72" s="5" t="s">
        <v>346</v>
      </c>
      <c r="I72" s="331" t="s">
        <v>466</v>
      </c>
      <c r="J72" s="33"/>
      <c r="K72" s="33"/>
      <c r="L72" s="33"/>
      <c r="M72" s="33"/>
      <c r="N72" s="140"/>
      <c r="O72" s="140"/>
      <c r="P72" s="140"/>
      <c r="Q72" s="312" t="s">
        <v>486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>
      <c r="A73" s="212" t="s">
        <v>345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329" t="s">
        <v>40</v>
      </c>
      <c r="H73" s="5" t="s">
        <v>346</v>
      </c>
      <c r="I73" s="331" t="s">
        <v>466</v>
      </c>
      <c r="J73" s="33"/>
      <c r="K73" s="33"/>
      <c r="L73" s="33"/>
      <c r="M73" s="33"/>
      <c r="N73" s="140"/>
      <c r="O73" s="140"/>
      <c r="P73" s="140"/>
      <c r="Q73" s="312" t="s">
        <v>486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>
      <c r="A74" s="212" t="s">
        <v>345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329" t="s">
        <v>40</v>
      </c>
      <c r="H74" s="5" t="s">
        <v>346</v>
      </c>
      <c r="I74" s="331" t="s">
        <v>466</v>
      </c>
      <c r="J74" s="33"/>
      <c r="K74" s="33"/>
      <c r="L74" s="33"/>
      <c r="M74" s="33"/>
      <c r="N74" s="140"/>
      <c r="O74" s="140"/>
      <c r="P74" s="140"/>
      <c r="Q74" s="312" t="s">
        <v>486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>
      <c r="A75" s="212" t="s">
        <v>345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329" t="s">
        <v>40</v>
      </c>
      <c r="H75" s="5" t="s">
        <v>346</v>
      </c>
      <c r="I75" s="331" t="s">
        <v>466</v>
      </c>
      <c r="J75" s="33"/>
      <c r="K75" s="33"/>
      <c r="L75" s="33"/>
      <c r="M75" s="33"/>
      <c r="N75" s="140"/>
      <c r="O75" s="140"/>
      <c r="P75" s="140"/>
      <c r="Q75" s="312" t="s">
        <v>486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>
      <c r="A76" s="212" t="s">
        <v>345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329" t="s">
        <v>40</v>
      </c>
      <c r="H76" s="5" t="s">
        <v>346</v>
      </c>
      <c r="I76" s="331" t="s">
        <v>466</v>
      </c>
      <c r="J76" s="33"/>
      <c r="K76" s="33"/>
      <c r="L76" s="33"/>
      <c r="M76" s="33"/>
      <c r="N76" s="140"/>
      <c r="O76" s="140"/>
      <c r="P76" s="140"/>
      <c r="Q76" s="312" t="s">
        <v>486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>
      <c r="A77" s="212" t="s">
        <v>345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329" t="s">
        <v>40</v>
      </c>
      <c r="H77" s="5" t="s">
        <v>346</v>
      </c>
      <c r="I77" s="331" t="s">
        <v>466</v>
      </c>
      <c r="J77" s="33"/>
      <c r="K77" s="33"/>
      <c r="L77" s="33"/>
      <c r="M77" s="33"/>
      <c r="N77" s="140"/>
      <c r="O77" s="140"/>
      <c r="P77" s="140"/>
      <c r="Q77" s="312" t="s">
        <v>486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>
      <c r="A78" s="212" t="s">
        <v>345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329" t="s">
        <v>40</v>
      </c>
      <c r="H78" s="5" t="s">
        <v>346</v>
      </c>
      <c r="I78" s="331" t="s">
        <v>466</v>
      </c>
      <c r="J78" s="33"/>
      <c r="K78" s="33"/>
      <c r="L78" s="33"/>
      <c r="M78" s="33"/>
      <c r="N78" s="140"/>
      <c r="O78" s="140"/>
      <c r="P78" s="140"/>
      <c r="Q78" s="312" t="s">
        <v>486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>
      <c r="A79" s="212" t="s">
        <v>345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346</v>
      </c>
      <c r="H79" s="5" t="s">
        <v>346</v>
      </c>
      <c r="I79" s="332" t="s">
        <v>15</v>
      </c>
      <c r="J79" s="33"/>
      <c r="K79" s="33"/>
      <c r="L79" s="33"/>
      <c r="M79" s="33"/>
      <c r="N79" s="140"/>
      <c r="O79" s="140"/>
      <c r="P79" s="140"/>
      <c r="Q79" s="312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>
      <c r="A80" s="212" t="s">
        <v>345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346</v>
      </c>
      <c r="H80" s="5" t="s">
        <v>346</v>
      </c>
      <c r="I80" s="332" t="s">
        <v>15</v>
      </c>
      <c r="J80" s="33"/>
      <c r="K80" s="33"/>
      <c r="L80" s="33"/>
      <c r="M80" s="33"/>
      <c r="N80" s="140"/>
      <c r="O80" s="140"/>
      <c r="P80" s="140"/>
      <c r="Q80" s="312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>
      <c r="A81" s="212" t="s">
        <v>345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346</v>
      </c>
      <c r="H81" s="5" t="s">
        <v>346</v>
      </c>
      <c r="I81" s="332" t="s">
        <v>15</v>
      </c>
      <c r="J81" s="33"/>
      <c r="K81" s="33"/>
      <c r="L81" s="33"/>
      <c r="M81" s="33"/>
      <c r="N81" s="140"/>
      <c r="O81" s="140"/>
      <c r="P81" s="140"/>
      <c r="Q81" s="312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>
      <c r="A82" s="212" t="s">
        <v>345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346</v>
      </c>
      <c r="H82" s="5" t="s">
        <v>346</v>
      </c>
      <c r="I82" s="332" t="s">
        <v>15</v>
      </c>
      <c r="J82" s="33"/>
      <c r="K82" s="33"/>
      <c r="L82" s="33"/>
      <c r="M82" s="33"/>
      <c r="N82" s="140"/>
      <c r="O82" s="140"/>
      <c r="P82" s="140"/>
      <c r="Q82" s="312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>
      <c r="A83" s="212" t="s">
        <v>345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346</v>
      </c>
      <c r="H83" s="5" t="s">
        <v>346</v>
      </c>
      <c r="I83" s="332" t="s">
        <v>15</v>
      </c>
      <c r="J83" s="33"/>
      <c r="K83" s="33"/>
      <c r="L83" s="33"/>
      <c r="M83" s="33"/>
      <c r="N83" s="140"/>
      <c r="O83" s="140"/>
      <c r="P83" s="140"/>
      <c r="Q83" s="312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>
      <c r="A84" s="212" t="s">
        <v>345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346</v>
      </c>
      <c r="H84" s="5" t="s">
        <v>346</v>
      </c>
      <c r="I84" s="332" t="s">
        <v>15</v>
      </c>
      <c r="J84" s="33"/>
      <c r="K84" s="33"/>
      <c r="L84" s="33"/>
      <c r="M84" s="33"/>
      <c r="N84" s="140"/>
      <c r="O84" s="140"/>
      <c r="P84" s="140"/>
      <c r="Q84" s="312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>
      <c r="A85" s="212" t="s">
        <v>345</v>
      </c>
      <c r="B85" s="4" t="s">
        <v>17</v>
      </c>
      <c r="C85" s="9" t="s">
        <v>377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331" t="s">
        <v>467</v>
      </c>
      <c r="J85" s="33"/>
      <c r="K85" s="33"/>
      <c r="L85" s="33"/>
      <c r="M85" s="33"/>
      <c r="N85" s="140"/>
      <c r="O85" s="140"/>
      <c r="P85" s="140"/>
      <c r="Q85" s="312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>
      <c r="A86" s="212" t="s">
        <v>345</v>
      </c>
      <c r="B86" s="4" t="s">
        <v>17</v>
      </c>
      <c r="C86" s="9" t="s">
        <v>447</v>
      </c>
      <c r="D86" s="9" t="s">
        <v>21</v>
      </c>
      <c r="E86" s="5" t="s">
        <v>29</v>
      </c>
      <c r="F86" s="5" t="s">
        <v>111</v>
      </c>
      <c r="G86" s="329" t="s">
        <v>274</v>
      </c>
      <c r="H86" s="5" t="s">
        <v>40</v>
      </c>
      <c r="I86" s="331" t="s">
        <v>467</v>
      </c>
      <c r="J86" s="33"/>
      <c r="K86" s="33"/>
      <c r="L86" s="33"/>
      <c r="M86" s="33"/>
      <c r="N86" s="140"/>
      <c r="O86" s="140"/>
      <c r="P86" s="140"/>
      <c r="Q86" s="312" t="s">
        <v>474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>
      <c r="A87" s="212" t="s">
        <v>345</v>
      </c>
      <c r="B87" s="4" t="s">
        <v>17</v>
      </c>
      <c r="C87" s="9" t="s">
        <v>447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331" t="s">
        <v>467</v>
      </c>
      <c r="J87" s="33"/>
      <c r="K87" s="33"/>
      <c r="L87" s="33"/>
      <c r="M87" s="33"/>
      <c r="N87" s="140"/>
      <c r="O87" s="140"/>
      <c r="P87" s="140"/>
      <c r="Q87" s="312" t="s">
        <v>475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>
      <c r="A88" s="212" t="s">
        <v>345</v>
      </c>
      <c r="B88" s="4" t="s">
        <v>17</v>
      </c>
      <c r="C88" s="9" t="s">
        <v>377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331" t="s">
        <v>467</v>
      </c>
      <c r="J88" s="33"/>
      <c r="K88" s="33"/>
      <c r="L88" s="33"/>
      <c r="M88" s="33"/>
      <c r="N88" s="140"/>
      <c r="O88" s="140"/>
      <c r="P88" s="140"/>
      <c r="Q88" s="312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>
      <c r="A89" s="212" t="s">
        <v>345</v>
      </c>
      <c r="B89" s="4" t="s">
        <v>17</v>
      </c>
      <c r="C89" s="9" t="s">
        <v>377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331" t="s">
        <v>467</v>
      </c>
      <c r="J89" s="33"/>
      <c r="K89" s="33"/>
      <c r="L89" s="33"/>
      <c r="M89" s="33"/>
      <c r="N89" s="140"/>
      <c r="O89" s="140"/>
      <c r="P89" s="140"/>
      <c r="Q89" s="312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>
      <c r="A90" s="212" t="s">
        <v>345</v>
      </c>
      <c r="B90" s="4" t="s">
        <v>17</v>
      </c>
      <c r="C90" s="9" t="s">
        <v>377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331" t="s">
        <v>467</v>
      </c>
      <c r="J90" s="33"/>
      <c r="K90" s="33"/>
      <c r="L90" s="33"/>
      <c r="M90" s="33"/>
      <c r="N90" s="140"/>
      <c r="O90" s="140"/>
      <c r="P90" s="140"/>
      <c r="Q90" s="312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>
      <c r="A91" s="212" t="s">
        <v>345</v>
      </c>
      <c r="B91" s="4" t="s">
        <v>17</v>
      </c>
      <c r="C91" s="9" t="s">
        <v>447</v>
      </c>
      <c r="D91" s="9" t="s">
        <v>21</v>
      </c>
      <c r="E91" s="5" t="s">
        <v>29</v>
      </c>
      <c r="F91" s="5" t="s">
        <v>55</v>
      </c>
      <c r="G91" s="329" t="s">
        <v>274</v>
      </c>
      <c r="H91" s="5" t="s">
        <v>40</v>
      </c>
      <c r="I91" s="331" t="s">
        <v>467</v>
      </c>
      <c r="J91" s="33"/>
      <c r="K91" s="33"/>
      <c r="L91" s="33"/>
      <c r="M91" s="33"/>
      <c r="N91" s="140"/>
      <c r="O91" s="140"/>
      <c r="P91" s="140"/>
      <c r="Q91" s="312" t="s">
        <v>476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>
      <c r="A92" s="212" t="s">
        <v>345</v>
      </c>
      <c r="B92" s="4" t="s">
        <v>17</v>
      </c>
      <c r="C92" s="9" t="s">
        <v>377</v>
      </c>
      <c r="D92" s="9" t="s">
        <v>21</v>
      </c>
      <c r="E92" s="5" t="s">
        <v>29</v>
      </c>
      <c r="F92" s="5" t="s">
        <v>69</v>
      </c>
      <c r="G92" s="329" t="s">
        <v>274</v>
      </c>
      <c r="H92" s="5" t="s">
        <v>40</v>
      </c>
      <c r="I92" s="331" t="s">
        <v>467</v>
      </c>
      <c r="J92" s="33"/>
      <c r="K92" s="33"/>
      <c r="L92" s="33"/>
      <c r="M92" s="33"/>
      <c r="N92" s="140"/>
      <c r="O92" s="140"/>
      <c r="P92" s="140"/>
      <c r="Q92" s="312" t="s">
        <v>487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>
      <c r="A93" s="212" t="s">
        <v>345</v>
      </c>
      <c r="B93" s="4" t="s">
        <v>17</v>
      </c>
      <c r="C93" s="9" t="s">
        <v>377</v>
      </c>
      <c r="D93" s="9" t="s">
        <v>21</v>
      </c>
      <c r="E93" s="5" t="s">
        <v>29</v>
      </c>
      <c r="F93" s="5" t="s">
        <v>56</v>
      </c>
      <c r="G93" s="329" t="s">
        <v>274</v>
      </c>
      <c r="H93" s="5" t="s">
        <v>40</v>
      </c>
      <c r="I93" s="331" t="s">
        <v>467</v>
      </c>
      <c r="J93" s="33"/>
      <c r="K93" s="33"/>
      <c r="L93" s="33"/>
      <c r="M93" s="33"/>
      <c r="N93" s="140"/>
      <c r="O93" s="140"/>
      <c r="P93" s="140"/>
      <c r="Q93" s="312" t="s">
        <v>487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>
      <c r="A94" s="212" t="s">
        <v>345</v>
      </c>
      <c r="B94" s="4" t="s">
        <v>17</v>
      </c>
      <c r="C94" s="9" t="s">
        <v>377</v>
      </c>
      <c r="D94" s="9" t="s">
        <v>21</v>
      </c>
      <c r="E94" s="5" t="s">
        <v>29</v>
      </c>
      <c r="F94" s="330" t="s">
        <v>70</v>
      </c>
      <c r="G94" s="5" t="s">
        <v>40</v>
      </c>
      <c r="H94" s="5" t="s">
        <v>40</v>
      </c>
      <c r="I94" s="331" t="s">
        <v>466</v>
      </c>
      <c r="J94" s="33"/>
      <c r="K94" s="33"/>
      <c r="L94" s="33"/>
      <c r="M94" s="33"/>
      <c r="N94" s="140"/>
      <c r="O94" s="140"/>
      <c r="P94" s="140"/>
      <c r="Q94" s="312" t="s">
        <v>491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>
      <c r="A95" s="212" t="s">
        <v>345</v>
      </c>
      <c r="B95" s="4" t="s">
        <v>17</v>
      </c>
      <c r="C95" s="9" t="s">
        <v>377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331" t="s">
        <v>467</v>
      </c>
      <c r="J95" s="33"/>
      <c r="K95" s="33"/>
      <c r="L95" s="33"/>
      <c r="M95" s="33"/>
      <c r="N95" s="140"/>
      <c r="O95" s="140"/>
      <c r="P95" s="140"/>
      <c r="Q95" s="312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>
      <c r="A96" s="212" t="s">
        <v>345</v>
      </c>
      <c r="B96" s="4" t="s">
        <v>17</v>
      </c>
      <c r="C96" s="9" t="s">
        <v>377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331" t="s">
        <v>467</v>
      </c>
      <c r="J96" s="33"/>
      <c r="K96" s="33"/>
      <c r="L96" s="33"/>
      <c r="M96" s="33"/>
      <c r="N96" s="140"/>
      <c r="O96" s="140"/>
      <c r="P96" s="140"/>
      <c r="Q96" s="312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>
      <c r="A97" s="212" t="s">
        <v>345</v>
      </c>
      <c r="B97" s="4" t="s">
        <v>17</v>
      </c>
      <c r="C97" s="9" t="s">
        <v>377</v>
      </c>
      <c r="D97" s="9" t="s">
        <v>21</v>
      </c>
      <c r="E97" s="5" t="s">
        <v>29</v>
      </c>
      <c r="F97" s="330" t="s">
        <v>73</v>
      </c>
      <c r="G97" s="5" t="s">
        <v>40</v>
      </c>
      <c r="H97" s="5" t="s">
        <v>40</v>
      </c>
      <c r="I97" s="331" t="s">
        <v>466</v>
      </c>
      <c r="J97" s="33"/>
      <c r="K97" s="33"/>
      <c r="L97" s="33"/>
      <c r="M97" s="33"/>
      <c r="N97" s="140"/>
      <c r="O97" s="140"/>
      <c r="P97" s="140"/>
      <c r="Q97" s="312" t="s">
        <v>491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>
      <c r="A98" s="212" t="s">
        <v>345</v>
      </c>
      <c r="B98" s="4" t="s">
        <v>17</v>
      </c>
      <c r="C98" s="9" t="s">
        <v>447</v>
      </c>
      <c r="D98" s="9" t="s">
        <v>21</v>
      </c>
      <c r="E98" s="5" t="s">
        <v>29</v>
      </c>
      <c r="F98" s="5" t="s">
        <v>74</v>
      </c>
      <c r="G98" s="329" t="s">
        <v>274</v>
      </c>
      <c r="H98" s="5" t="s">
        <v>40</v>
      </c>
      <c r="I98" s="331" t="s">
        <v>467</v>
      </c>
      <c r="J98" s="33"/>
      <c r="K98" s="33"/>
      <c r="L98" s="33"/>
      <c r="M98" s="33"/>
      <c r="N98" s="140"/>
      <c r="O98" s="140"/>
      <c r="P98" s="140"/>
      <c r="Q98" s="312" t="s">
        <v>477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>
      <c r="A99" s="212" t="s">
        <v>345</v>
      </c>
      <c r="B99" s="4" t="s">
        <v>17</v>
      </c>
      <c r="C99" s="9" t="s">
        <v>377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331" t="s">
        <v>467</v>
      </c>
      <c r="J99" s="33"/>
      <c r="K99" s="33"/>
      <c r="L99" s="33"/>
      <c r="M99" s="33"/>
      <c r="N99" s="140"/>
      <c r="O99" s="140"/>
      <c r="P99" s="140"/>
      <c r="Q99" s="312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>
      <c r="A100" s="212" t="s">
        <v>345</v>
      </c>
      <c r="B100" s="4" t="s">
        <v>17</v>
      </c>
      <c r="C100" s="9" t="s">
        <v>447</v>
      </c>
      <c r="D100" s="9" t="s">
        <v>21</v>
      </c>
      <c r="E100" s="5" t="s">
        <v>29</v>
      </c>
      <c r="F100" s="5" t="s">
        <v>76</v>
      </c>
      <c r="G100" s="329" t="s">
        <v>274</v>
      </c>
      <c r="H100" s="5" t="s">
        <v>40</v>
      </c>
      <c r="I100" s="331" t="s">
        <v>467</v>
      </c>
      <c r="J100" s="33"/>
      <c r="K100" s="33"/>
      <c r="L100" s="33"/>
      <c r="M100" s="33"/>
      <c r="N100" s="140"/>
      <c r="O100" s="140"/>
      <c r="P100" s="140"/>
      <c r="Q100" s="312" t="s">
        <v>474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>
      <c r="A101" s="212" t="s">
        <v>345</v>
      </c>
      <c r="B101" s="4" t="s">
        <v>17</v>
      </c>
      <c r="C101" s="9" t="s">
        <v>377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331" t="s">
        <v>467</v>
      </c>
      <c r="J101" s="33"/>
      <c r="K101" s="33"/>
      <c r="L101" s="33"/>
      <c r="M101" s="33"/>
      <c r="N101" s="140"/>
      <c r="O101" s="140"/>
      <c r="P101" s="140"/>
      <c r="Q101" s="312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>
      <c r="A102" s="212" t="s">
        <v>345</v>
      </c>
      <c r="B102" s="4" t="s">
        <v>17</v>
      </c>
      <c r="C102" s="9" t="s">
        <v>377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331" t="s">
        <v>467</v>
      </c>
      <c r="J102" s="33"/>
      <c r="K102" s="33"/>
      <c r="L102" s="33"/>
      <c r="M102" s="33"/>
      <c r="N102" s="140"/>
      <c r="O102" s="140"/>
      <c r="P102" s="140"/>
      <c r="Q102" s="312" t="s">
        <v>490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>
      <c r="A103" s="212" t="s">
        <v>345</v>
      </c>
      <c r="B103" s="4" t="s">
        <v>17</v>
      </c>
      <c r="C103" s="9" t="s">
        <v>377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331" t="s">
        <v>467</v>
      </c>
      <c r="J103" s="33"/>
      <c r="K103" s="33"/>
      <c r="L103" s="33"/>
      <c r="M103" s="33"/>
      <c r="N103" s="140"/>
      <c r="O103" s="140"/>
      <c r="P103" s="140"/>
      <c r="Q103" s="312" t="s">
        <v>488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>
      <c r="A104" s="212" t="s">
        <v>345</v>
      </c>
      <c r="B104" s="4" t="s">
        <v>17</v>
      </c>
      <c r="C104" s="9" t="s">
        <v>17</v>
      </c>
      <c r="D104" s="9" t="s">
        <v>21</v>
      </c>
      <c r="E104" s="5" t="s">
        <v>29</v>
      </c>
      <c r="F104" s="5" t="s">
        <v>66</v>
      </c>
      <c r="G104" s="329" t="s">
        <v>274</v>
      </c>
      <c r="H104" s="5" t="s">
        <v>40</v>
      </c>
      <c r="I104" s="331" t="s">
        <v>466</v>
      </c>
      <c r="J104" s="33"/>
      <c r="K104" s="33"/>
      <c r="L104" s="33"/>
      <c r="M104" s="33"/>
      <c r="N104" s="140"/>
      <c r="O104" s="140"/>
      <c r="P104" s="140"/>
      <c r="Q104" s="312" t="s">
        <v>474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>
      <c r="A105" s="212" t="s">
        <v>345</v>
      </c>
      <c r="B105" s="4" t="s">
        <v>17</v>
      </c>
      <c r="C105" s="9" t="s">
        <v>377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331" t="s">
        <v>467</v>
      </c>
      <c r="J105" s="33"/>
      <c r="K105" s="33"/>
      <c r="L105" s="33"/>
      <c r="M105" s="33"/>
      <c r="N105" s="140"/>
      <c r="O105" s="140"/>
      <c r="P105" s="140"/>
      <c r="Q105" s="312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>
      <c r="A106" s="212" t="s">
        <v>345</v>
      </c>
      <c r="B106" s="4" t="s">
        <v>17</v>
      </c>
      <c r="C106" s="9" t="s">
        <v>377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331" t="s">
        <v>467</v>
      </c>
      <c r="J106" s="33"/>
      <c r="K106" s="33"/>
      <c r="L106" s="33"/>
      <c r="M106" s="33"/>
      <c r="N106" s="140"/>
      <c r="O106" s="140"/>
      <c r="P106" s="140"/>
      <c r="Q106" s="312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>
      <c r="A107" s="212" t="s">
        <v>345</v>
      </c>
      <c r="B107" s="4" t="s">
        <v>17</v>
      </c>
      <c r="C107" s="9" t="s">
        <v>377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331" t="s">
        <v>467</v>
      </c>
      <c r="J107" s="33"/>
      <c r="K107" s="33"/>
      <c r="L107" s="33"/>
      <c r="M107" s="33"/>
      <c r="N107" s="140"/>
      <c r="O107" s="140"/>
      <c r="P107" s="140"/>
      <c r="Q107" s="312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>
      <c r="A108" s="212" t="s">
        <v>345</v>
      </c>
      <c r="B108" s="4" t="s">
        <v>17</v>
      </c>
      <c r="C108" s="9" t="s">
        <v>377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331" t="s">
        <v>467</v>
      </c>
      <c r="J108" s="33"/>
      <c r="K108" s="33"/>
      <c r="L108" s="33"/>
      <c r="M108" s="33"/>
      <c r="N108" s="140"/>
      <c r="O108" s="140"/>
      <c r="P108" s="140"/>
      <c r="Q108" s="312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>
      <c r="A109" s="212" t="s">
        <v>345</v>
      </c>
      <c r="B109" s="4" t="s">
        <v>17</v>
      </c>
      <c r="C109" s="9" t="s">
        <v>377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331" t="s">
        <v>467</v>
      </c>
      <c r="J109" s="33"/>
      <c r="K109" s="33"/>
      <c r="L109" s="33"/>
      <c r="M109" s="33"/>
      <c r="N109" s="140"/>
      <c r="O109" s="140"/>
      <c r="P109" s="140"/>
      <c r="Q109" s="312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>
      <c r="A110" s="212" t="s">
        <v>345</v>
      </c>
      <c r="B110" s="4" t="s">
        <v>17</v>
      </c>
      <c r="C110" s="9" t="s">
        <v>377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331" t="s">
        <v>467</v>
      </c>
      <c r="J110" s="33"/>
      <c r="K110" s="33"/>
      <c r="L110" s="33"/>
      <c r="M110" s="33"/>
      <c r="N110" s="140"/>
      <c r="O110" s="140"/>
      <c r="P110" s="140"/>
      <c r="Q110" s="312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>
      <c r="A111" s="212" t="s">
        <v>345</v>
      </c>
      <c r="B111" s="4" t="s">
        <v>17</v>
      </c>
      <c r="C111" s="9" t="s">
        <v>377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331" t="s">
        <v>467</v>
      </c>
      <c r="J111" s="33"/>
      <c r="K111" s="33"/>
      <c r="L111" s="33"/>
      <c r="M111" s="33"/>
      <c r="N111" s="140"/>
      <c r="O111" s="140"/>
      <c r="P111" s="140"/>
      <c r="Q111" s="312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>
      <c r="A112" s="212" t="s">
        <v>345</v>
      </c>
      <c r="B112" s="4" t="s">
        <v>17</v>
      </c>
      <c r="C112" s="9" t="s">
        <v>377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331" t="s">
        <v>467</v>
      </c>
      <c r="J112" s="33"/>
      <c r="K112" s="33"/>
      <c r="L112" s="33"/>
      <c r="M112" s="33"/>
      <c r="N112" s="140"/>
      <c r="O112" s="140"/>
      <c r="P112" s="140"/>
      <c r="Q112" s="312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>
      <c r="A113" s="212" t="s">
        <v>345</v>
      </c>
      <c r="B113" s="4" t="s">
        <v>17</v>
      </c>
      <c r="C113" s="9" t="s">
        <v>377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331" t="s">
        <v>467</v>
      </c>
      <c r="J113" s="33"/>
      <c r="K113" s="33"/>
      <c r="L113" s="33"/>
      <c r="M113" s="33"/>
      <c r="N113" s="140"/>
      <c r="O113" s="140"/>
      <c r="P113" s="140"/>
      <c r="Q113" s="312" t="s">
        <v>489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>
      <c r="A114" s="212" t="s">
        <v>345</v>
      </c>
      <c r="B114" s="4" t="s">
        <v>17</v>
      </c>
      <c r="C114" s="9" t="s">
        <v>427</v>
      </c>
      <c r="D114" s="9" t="s">
        <v>21</v>
      </c>
      <c r="E114" s="5" t="s">
        <v>28</v>
      </c>
      <c r="F114" s="5" t="s">
        <v>428</v>
      </c>
      <c r="G114" s="329" t="s">
        <v>274</v>
      </c>
      <c r="H114" s="5" t="s">
        <v>274</v>
      </c>
      <c r="I114" s="332" t="s">
        <v>467</v>
      </c>
      <c r="J114" s="33"/>
      <c r="K114" s="33"/>
      <c r="L114" s="33"/>
      <c r="M114" s="33"/>
      <c r="N114" s="140"/>
      <c r="O114" s="140"/>
      <c r="P114" s="140"/>
      <c r="Q114" s="312" t="s">
        <v>495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>
      <c r="A115" s="212" t="s">
        <v>345</v>
      </c>
      <c r="B115" s="4" t="s">
        <v>17</v>
      </c>
      <c r="C115" s="9" t="s">
        <v>378</v>
      </c>
      <c r="D115" s="9" t="s">
        <v>21</v>
      </c>
      <c r="E115" s="5" t="s">
        <v>28</v>
      </c>
      <c r="F115" s="5" t="s">
        <v>118</v>
      </c>
      <c r="G115" s="329" t="s">
        <v>274</v>
      </c>
      <c r="H115" s="5"/>
      <c r="I115" s="332" t="s">
        <v>15</v>
      </c>
      <c r="J115" s="33"/>
      <c r="K115" s="33"/>
      <c r="L115" s="33"/>
      <c r="M115" s="33"/>
      <c r="N115" s="140"/>
      <c r="O115" s="140"/>
      <c r="P115" s="140"/>
      <c r="Q115" s="312" t="s">
        <v>440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>
      <c r="A116" s="212" t="s">
        <v>345</v>
      </c>
      <c r="B116" s="4" t="s">
        <v>17</v>
      </c>
      <c r="C116" s="9" t="s">
        <v>439</v>
      </c>
      <c r="D116" s="9" t="s">
        <v>21</v>
      </c>
      <c r="E116" s="5" t="s">
        <v>108</v>
      </c>
      <c r="F116" s="335" t="s">
        <v>116</v>
      </c>
      <c r="G116" s="5" t="s">
        <v>346</v>
      </c>
      <c r="H116" s="5" t="s">
        <v>346</v>
      </c>
      <c r="I116" s="332" t="s">
        <v>467</v>
      </c>
      <c r="J116" s="33"/>
      <c r="K116" s="33"/>
      <c r="L116" s="33"/>
      <c r="M116" s="33"/>
      <c r="N116" s="140"/>
      <c r="O116" s="140"/>
      <c r="P116" s="140"/>
      <c r="Q116" s="312" t="s">
        <v>496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>
      <c r="A117" s="212" t="s">
        <v>345</v>
      </c>
      <c r="B117" s="4" t="s">
        <v>17</v>
      </c>
      <c r="C117" s="9" t="s">
        <v>439</v>
      </c>
      <c r="D117" s="9" t="s">
        <v>21</v>
      </c>
      <c r="E117" s="5" t="s">
        <v>29</v>
      </c>
      <c r="F117" s="5" t="s">
        <v>64</v>
      </c>
      <c r="G117" s="329" t="s">
        <v>346</v>
      </c>
      <c r="H117" s="5" t="s">
        <v>274</v>
      </c>
      <c r="I117" s="331" t="s">
        <v>466</v>
      </c>
      <c r="J117" s="33"/>
      <c r="K117" s="33"/>
      <c r="L117" s="33"/>
      <c r="M117" s="33"/>
      <c r="N117" s="140"/>
      <c r="O117" s="140"/>
      <c r="P117" s="140"/>
      <c r="Q117" s="312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>
      <c r="A118" s="212" t="s">
        <v>345</v>
      </c>
      <c r="B118" s="4" t="s">
        <v>17</v>
      </c>
      <c r="C118" s="9" t="s">
        <v>379</v>
      </c>
      <c r="D118" s="9" t="s">
        <v>21</v>
      </c>
      <c r="E118" s="5" t="s">
        <v>108</v>
      </c>
      <c r="F118" s="335" t="s">
        <v>58</v>
      </c>
      <c r="G118" s="5" t="s">
        <v>346</v>
      </c>
      <c r="H118" s="5" t="s">
        <v>346</v>
      </c>
      <c r="I118" s="331" t="s">
        <v>467</v>
      </c>
      <c r="J118" s="33"/>
      <c r="K118" s="33"/>
      <c r="L118" s="33"/>
      <c r="M118" s="33"/>
      <c r="N118" s="140"/>
      <c r="O118" s="140"/>
      <c r="P118" s="140"/>
      <c r="Q118" s="312" t="s">
        <v>497</v>
      </c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>
      <c r="A119" s="212" t="s">
        <v>345</v>
      </c>
      <c r="B119" s="4" t="s">
        <v>17</v>
      </c>
      <c r="C119" s="9" t="s">
        <v>379</v>
      </c>
      <c r="D119" s="9" t="s">
        <v>21</v>
      </c>
      <c r="E119" s="5" t="s">
        <v>108</v>
      </c>
      <c r="F119" s="335" t="s">
        <v>59</v>
      </c>
      <c r="G119" s="5" t="s">
        <v>346</v>
      </c>
      <c r="H119" s="5" t="s">
        <v>346</v>
      </c>
      <c r="I119" s="331" t="s">
        <v>467</v>
      </c>
      <c r="J119" s="33"/>
      <c r="K119" s="33"/>
      <c r="L119" s="33"/>
      <c r="M119" s="33"/>
      <c r="N119" s="140"/>
      <c r="O119" s="140"/>
      <c r="P119" s="140"/>
      <c r="Q119" s="312" t="s">
        <v>497</v>
      </c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>
      <c r="A120" s="212" t="s">
        <v>345</v>
      </c>
      <c r="B120" s="4" t="s">
        <v>17</v>
      </c>
      <c r="C120" s="9" t="s">
        <v>377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331" t="s">
        <v>467</v>
      </c>
      <c r="J120" s="33"/>
      <c r="K120" s="33"/>
      <c r="L120" s="33"/>
      <c r="M120" s="33"/>
      <c r="N120" s="140"/>
      <c r="O120" s="140"/>
      <c r="P120" s="140"/>
      <c r="Q120" s="312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>
      <c r="A121" s="212" t="s">
        <v>345</v>
      </c>
      <c r="B121" s="4" t="s">
        <v>17</v>
      </c>
      <c r="C121" s="9" t="s">
        <v>427</v>
      </c>
      <c r="D121" s="9" t="s">
        <v>21</v>
      </c>
      <c r="E121" s="5" t="s">
        <v>275</v>
      </c>
      <c r="F121" s="5" t="s">
        <v>117</v>
      </c>
      <c r="G121" s="329" t="s">
        <v>346</v>
      </c>
      <c r="H121" s="5" t="s">
        <v>274</v>
      </c>
      <c r="I121" s="331" t="s">
        <v>467</v>
      </c>
      <c r="J121" s="33"/>
      <c r="K121" s="33"/>
      <c r="L121" s="33"/>
      <c r="M121" s="33"/>
      <c r="N121" s="140"/>
      <c r="O121" s="140"/>
      <c r="P121" s="140"/>
      <c r="Q121" s="312" t="s">
        <v>495</v>
      </c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>
      <c r="A122" s="212" t="s">
        <v>345</v>
      </c>
      <c r="B122" s="4" t="s">
        <v>17</v>
      </c>
      <c r="C122" s="9" t="s">
        <v>379</v>
      </c>
      <c r="D122" s="9" t="s">
        <v>21</v>
      </c>
      <c r="E122" s="5" t="s">
        <v>108</v>
      </c>
      <c r="F122" s="335" t="s">
        <v>51</v>
      </c>
      <c r="G122" s="329" t="s">
        <v>346</v>
      </c>
      <c r="H122" s="5" t="s">
        <v>274</v>
      </c>
      <c r="I122" s="331" t="s">
        <v>467</v>
      </c>
      <c r="J122" s="33"/>
      <c r="K122" s="33"/>
      <c r="L122" s="33"/>
      <c r="M122" s="33"/>
      <c r="N122" s="140"/>
      <c r="O122" s="140"/>
      <c r="P122" s="140"/>
      <c r="Q122" s="312" t="s">
        <v>496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>
      <c r="A123" s="212" t="s">
        <v>345</v>
      </c>
      <c r="B123" s="4" t="s">
        <v>17</v>
      </c>
      <c r="C123" s="9" t="s">
        <v>379</v>
      </c>
      <c r="D123" s="9" t="s">
        <v>21</v>
      </c>
      <c r="E123" s="5" t="s">
        <v>108</v>
      </c>
      <c r="F123" s="335" t="s">
        <v>52</v>
      </c>
      <c r="G123" s="329" t="s">
        <v>346</v>
      </c>
      <c r="H123" s="5" t="s">
        <v>274</v>
      </c>
      <c r="I123" s="331" t="s">
        <v>467</v>
      </c>
      <c r="J123" s="33"/>
      <c r="K123" s="33"/>
      <c r="L123" s="33"/>
      <c r="M123" s="33"/>
      <c r="N123" s="140"/>
      <c r="O123" s="140"/>
      <c r="P123" s="140"/>
      <c r="Q123" s="312" t="s">
        <v>496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>
      <c r="A124" s="212" t="s">
        <v>345</v>
      </c>
      <c r="B124" s="4" t="s">
        <v>17</v>
      </c>
      <c r="C124" s="9" t="s">
        <v>379</v>
      </c>
      <c r="D124" s="9" t="s">
        <v>21</v>
      </c>
      <c r="E124" s="5" t="s">
        <v>108</v>
      </c>
      <c r="F124" s="335" t="s">
        <v>53</v>
      </c>
      <c r="G124" s="329" t="s">
        <v>346</v>
      </c>
      <c r="H124" s="5" t="s">
        <v>274</v>
      </c>
      <c r="I124" s="331" t="s">
        <v>467</v>
      </c>
      <c r="J124" s="33"/>
      <c r="K124" s="33"/>
      <c r="L124" s="33"/>
      <c r="M124" s="33"/>
      <c r="N124" s="140"/>
      <c r="O124" s="140"/>
      <c r="P124" s="140"/>
      <c r="Q124" s="312" t="s">
        <v>496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35" customHeight="1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313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>
      <c r="B126" s="141" t="s">
        <v>381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31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>
      <c r="A127" s="212" t="s">
        <v>385</v>
      </c>
      <c r="B127" s="4" t="s">
        <v>17</v>
      </c>
      <c r="C127" s="9" t="s">
        <v>376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314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>
      <c r="A128" s="212" t="s">
        <v>385</v>
      </c>
      <c r="B128" s="4" t="s">
        <v>17</v>
      </c>
      <c r="C128" s="9" t="s">
        <v>376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314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>
      <c r="A129" s="212" t="s">
        <v>385</v>
      </c>
      <c r="B129" s="4" t="s">
        <v>17</v>
      </c>
      <c r="C129" s="9" t="s">
        <v>376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314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>
      <c r="A130" s="212" t="s">
        <v>385</v>
      </c>
      <c r="B130" s="4" t="s">
        <v>17</v>
      </c>
      <c r="C130" s="9" t="s">
        <v>376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314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>
      <c r="A131" s="212" t="s">
        <v>385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312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>
      <c r="A132" s="212" t="s">
        <v>385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312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>
      <c r="A133" s="212" t="s">
        <v>385</v>
      </c>
      <c r="B133" s="4" t="s">
        <v>17</v>
      </c>
      <c r="C133" s="9" t="s">
        <v>376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312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>
      <c r="A134" s="212" t="s">
        <v>385</v>
      </c>
      <c r="B134" s="4" t="s">
        <v>17</v>
      </c>
      <c r="C134" s="9" t="s">
        <v>377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312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>
      <c r="A135" s="212" t="s">
        <v>385</v>
      </c>
      <c r="B135" s="4" t="s">
        <v>17</v>
      </c>
      <c r="C135" s="9" t="s">
        <v>377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312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>
      <c r="A136" s="212" t="s">
        <v>385</v>
      </c>
      <c r="B136" s="4" t="s">
        <v>17</v>
      </c>
      <c r="C136" s="9" t="s">
        <v>377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312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>
      <c r="A137" s="212" t="s">
        <v>385</v>
      </c>
      <c r="B137" s="4" t="s">
        <v>17</v>
      </c>
      <c r="C137" s="9" t="s">
        <v>377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312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>
      <c r="A138" s="212" t="s">
        <v>385</v>
      </c>
      <c r="B138" s="4" t="s">
        <v>17</v>
      </c>
      <c r="C138" s="9" t="s">
        <v>377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312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>
      <c r="A139" s="212" t="s">
        <v>385</v>
      </c>
      <c r="B139" s="4" t="s">
        <v>17</v>
      </c>
      <c r="C139" s="9" t="s">
        <v>377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312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>
      <c r="A140" s="212" t="s">
        <v>385</v>
      </c>
      <c r="B140" s="4" t="s">
        <v>17</v>
      </c>
      <c r="C140" s="9" t="s">
        <v>377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312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>
      <c r="A141" s="212" t="s">
        <v>385</v>
      </c>
      <c r="B141" s="4" t="s">
        <v>17</v>
      </c>
      <c r="C141" s="9" t="s">
        <v>377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312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>
      <c r="A142" s="212" t="s">
        <v>385</v>
      </c>
      <c r="B142" s="4" t="s">
        <v>17</v>
      </c>
      <c r="C142" s="9" t="s">
        <v>377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312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>
      <c r="A143" s="212" t="s">
        <v>385</v>
      </c>
      <c r="B143" s="4" t="s">
        <v>17</v>
      </c>
      <c r="C143" s="9" t="s">
        <v>377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312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>
      <c r="A144" s="212" t="s">
        <v>385</v>
      </c>
      <c r="B144" s="4" t="s">
        <v>17</v>
      </c>
      <c r="C144" s="9" t="s">
        <v>377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312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>
      <c r="A145" s="212" t="s">
        <v>385</v>
      </c>
      <c r="B145" s="4" t="s">
        <v>17</v>
      </c>
      <c r="C145" s="9" t="s">
        <v>377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315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>
      <c r="A146" s="212" t="s">
        <v>385</v>
      </c>
      <c r="B146" s="4" t="s">
        <v>17</v>
      </c>
      <c r="C146" s="9" t="s">
        <v>377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312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>
      <c r="A147" s="212" t="s">
        <v>385</v>
      </c>
      <c r="B147" s="4" t="s">
        <v>17</v>
      </c>
      <c r="C147" s="9" t="s">
        <v>377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312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>
      <c r="A148" s="212" t="s">
        <v>385</v>
      </c>
      <c r="B148" s="4" t="s">
        <v>17</v>
      </c>
      <c r="C148" s="9" t="s">
        <v>377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312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>
      <c r="A149" s="212" t="s">
        <v>385</v>
      </c>
      <c r="B149" s="4" t="s">
        <v>17</v>
      </c>
      <c r="C149" s="9" t="s">
        <v>377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312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35" customHeight="1">
      <c r="D150" s="206"/>
      <c r="P150" s="1"/>
      <c r="BI150" s="1" t="s">
        <v>31</v>
      </c>
      <c r="BO150" s="1" t="s">
        <v>31</v>
      </c>
    </row>
    <row r="151" spans="1:80" ht="17.850000000000001" customHeight="1">
      <c r="B151" s="141" t="s">
        <v>382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31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>
      <c r="A152" s="212" t="s">
        <v>386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314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>
      <c r="A153" s="212" t="s">
        <v>386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314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>
      <c r="A154" s="212" t="s">
        <v>386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314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>
      <c r="A155" s="212" t="s">
        <v>386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314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>
      <c r="A156" s="212" t="s">
        <v>386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314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>
      <c r="A157" s="212" t="s">
        <v>386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314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>
      <c r="A158" s="212" t="s">
        <v>386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314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>
      <c r="A159" s="212" t="s">
        <v>386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314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>
      <c r="A160" s="212" t="s">
        <v>386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314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>
      <c r="A161" s="212" t="s">
        <v>386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314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>
      <c r="A162" s="212" t="s">
        <v>386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314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>
      <c r="A163" s="212" t="s">
        <v>386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314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>
      <c r="A164" s="212" t="s">
        <v>386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314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>
      <c r="A165" s="212" t="s">
        <v>386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314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>
      <c r="A166" s="212" t="s">
        <v>386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314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>
      <c r="A167" s="212" t="s">
        <v>386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314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>
      <c r="A168" s="212" t="s">
        <v>386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314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>
      <c r="A169" s="212" t="s">
        <v>386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314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>
      <c r="A170" s="212" t="s">
        <v>386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314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>
      <c r="A171" s="212" t="s">
        <v>386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314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>
      <c r="A172" s="212" t="s">
        <v>386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314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>
      <c r="A173" s="212" t="s">
        <v>386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314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>
      <c r="A174" s="212" t="s">
        <v>386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314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>
      <c r="A175" s="212" t="s">
        <v>386</v>
      </c>
      <c r="B175" s="4" t="s">
        <v>17</v>
      </c>
      <c r="C175" s="9" t="s">
        <v>377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314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>
      <c r="A176" s="212" t="s">
        <v>386</v>
      </c>
      <c r="B176" s="4" t="s">
        <v>17</v>
      </c>
      <c r="C176" s="9" t="s">
        <v>377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314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>
      <c r="A177" s="212" t="s">
        <v>386</v>
      </c>
      <c r="B177" s="4" t="s">
        <v>17</v>
      </c>
      <c r="C177" s="9" t="s">
        <v>377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314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>
      <c r="A178" s="212" t="s">
        <v>386</v>
      </c>
      <c r="B178" s="4" t="s">
        <v>17</v>
      </c>
      <c r="C178" s="9" t="s">
        <v>377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314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>
      <c r="A179" s="212" t="s">
        <v>386</v>
      </c>
      <c r="B179" s="4" t="s">
        <v>17</v>
      </c>
      <c r="C179" s="9" t="s">
        <v>377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314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>
      <c r="A180" s="212" t="s">
        <v>386</v>
      </c>
      <c r="B180" s="4" t="s">
        <v>17</v>
      </c>
      <c r="C180" s="9" t="s">
        <v>377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314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>
      <c r="A181" s="212" t="s">
        <v>386</v>
      </c>
      <c r="B181" s="4" t="s">
        <v>17</v>
      </c>
      <c r="C181" s="9" t="s">
        <v>377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314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>
      <c r="A182" s="212" t="s">
        <v>386</v>
      </c>
      <c r="B182" s="4" t="s">
        <v>17</v>
      </c>
      <c r="C182" s="9" t="s">
        <v>377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314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>
      <c r="A183" s="212" t="s">
        <v>386</v>
      </c>
      <c r="B183" s="4" t="s">
        <v>17</v>
      </c>
      <c r="C183" s="9" t="s">
        <v>377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314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>
      <c r="A184" s="212" t="s">
        <v>386</v>
      </c>
      <c r="B184" s="4" t="s">
        <v>17</v>
      </c>
      <c r="C184" s="9" t="s">
        <v>377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314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>
      <c r="A185" s="212" t="s">
        <v>386</v>
      </c>
      <c r="B185" s="4" t="s">
        <v>17</v>
      </c>
      <c r="C185" s="9" t="s">
        <v>377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314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>
      <c r="A186" s="212" t="s">
        <v>386</v>
      </c>
      <c r="B186" s="4" t="s">
        <v>17</v>
      </c>
      <c r="C186" s="9" t="s">
        <v>377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314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>
      <c r="A187" s="212" t="s">
        <v>386</v>
      </c>
      <c r="B187" s="4" t="s">
        <v>17</v>
      </c>
      <c r="C187" s="9" t="s">
        <v>378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314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>
      <c r="A188" s="212" t="s">
        <v>386</v>
      </c>
      <c r="B188" s="4" t="s">
        <v>17</v>
      </c>
      <c r="C188" s="9" t="s">
        <v>377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314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>
      <c r="A189" s="212" t="s">
        <v>386</v>
      </c>
      <c r="B189" s="4" t="s">
        <v>17</v>
      </c>
      <c r="C189" s="9" t="s">
        <v>380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314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>
      <c r="A190" s="212" t="s">
        <v>386</v>
      </c>
      <c r="B190" s="4" t="s">
        <v>17</v>
      </c>
      <c r="C190" s="9" t="s">
        <v>379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314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>
      <c r="A191" s="212" t="s">
        <v>386</v>
      </c>
      <c r="B191" s="4" t="s">
        <v>17</v>
      </c>
      <c r="C191" s="9" t="s">
        <v>379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314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>
      <c r="A192" s="212" t="s">
        <v>386</v>
      </c>
      <c r="B192" s="4" t="s">
        <v>17</v>
      </c>
      <c r="C192" s="9" t="s">
        <v>377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314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>
      <c r="A193" s="212" t="s">
        <v>386</v>
      </c>
      <c r="B193" s="4" t="s">
        <v>17</v>
      </c>
      <c r="C193" s="9" t="s">
        <v>383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314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>
      <c r="A194" s="212" t="s">
        <v>386</v>
      </c>
      <c r="B194" s="4" t="s">
        <v>17</v>
      </c>
      <c r="C194" s="9" t="s">
        <v>379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314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>
      <c r="A195" s="212" t="s">
        <v>386</v>
      </c>
      <c r="B195" s="4" t="s">
        <v>17</v>
      </c>
      <c r="C195" s="9" t="s">
        <v>379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314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>
      <c r="A196" s="212" t="s">
        <v>386</v>
      </c>
      <c r="B196" s="4" t="s">
        <v>17</v>
      </c>
      <c r="C196" s="9" t="s">
        <v>379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314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35" customHeight="1">
      <c r="D197" s="206"/>
      <c r="P197" s="1"/>
    </row>
    <row r="198" spans="1:80" ht="17.850000000000001" customHeight="1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311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>
      <c r="P199" s="1"/>
    </row>
    <row r="200" spans="1:80"/>
    <row r="201" spans="1:80"/>
    <row r="202" spans="1:80"/>
    <row r="203" spans="1:80"/>
    <row r="204" spans="1:80"/>
    <row r="205" spans="1:80"/>
    <row r="206" spans="1:80"/>
    <row r="207" spans="1:80"/>
    <row r="208" spans="1:80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3" priority="103" operator="equal">
      <formula>#REF!</formula>
    </cfRule>
  </conditionalFormatting>
  <conditionalFormatting sqref="G151:G196">
    <cfRule type="cellIs" dxfId="60" priority="38" operator="equal">
      <formula>#REF!</formula>
    </cfRule>
  </conditionalFormatting>
  <conditionalFormatting sqref="G198">
    <cfRule type="cellIs" dxfId="50" priority="27" operator="equal">
      <formula>#REF!</formula>
    </cfRule>
  </conditionalFormatting>
  <conditionalFormatting sqref="G56:H56">
    <cfRule type="cellIs" dxfId="45" priority="48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14" operator="lessThan">
      <formula>0</formula>
    </cfRule>
    <cfRule type="cellIs" dxfId="37" priority="115" operator="greaterThanOrEqual">
      <formula>0</formula>
    </cfRule>
  </conditionalFormatting>
  <conditionalFormatting sqref="P126:P149">
    <cfRule type="cellIs" dxfId="36" priority="40" operator="lessThan">
      <formula>0</formula>
    </cfRule>
    <cfRule type="cellIs" dxfId="35" priority="41" operator="greaterThanOrEqual">
      <formula>0</formula>
    </cfRule>
  </conditionalFormatting>
  <conditionalFormatting sqref="P151:P196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98">
    <cfRule type="cellIs" dxfId="32" priority="20" operator="greaterThanOrEqual">
      <formula>0</formula>
    </cfRule>
    <cfRule type="cellIs" dxfId="31" priority="19" operator="lessThan">
      <formula>0</formula>
    </cfRule>
  </conditionalFormatting>
  <conditionalFormatting sqref="R5">
    <cfRule type="cellIs" dxfId="30" priority="142" operator="notEqual">
      <formula>0</formula>
    </cfRule>
  </conditionalFormatting>
  <conditionalFormatting sqref="R10:CB47 R50:CB124 R127:CB130 R145:CB145">
    <cfRule type="cellIs" dxfId="29" priority="140" operator="greaterThan">
      <formula>0</formula>
    </cfRule>
  </conditionalFormatting>
  <conditionalFormatting sqref="R152:CB196">
    <cfRule type="cellIs" dxfId="28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46"/>
  <sheetViews>
    <sheetView showGridLines="0" zoomScale="80" zoomScaleNormal="80" workbookViewId="0">
      <selection activeCell="L37" sqref="L37"/>
    </sheetView>
  </sheetViews>
  <sheetFormatPr defaultColWidth="8" defaultRowHeight="17.399999999999999"/>
  <cols>
    <col min="1" max="1" width="4.09765625" style="246" customWidth="1"/>
    <col min="2" max="2" width="5.59765625" style="38" customWidth="1"/>
    <col min="3" max="3" width="58.5" style="38" bestFit="1" customWidth="1"/>
    <col min="4" max="4" width="13" style="38" bestFit="1" customWidth="1"/>
    <col min="5" max="5" width="7.19921875" style="38" customWidth="1"/>
    <col min="6" max="6" width="9.09765625" style="38" customWidth="1"/>
    <col min="7" max="7" width="8" style="38" customWidth="1"/>
    <col min="8" max="8" width="11.59765625" style="38" bestFit="1" customWidth="1"/>
    <col min="9" max="9" width="1" style="38" customWidth="1"/>
    <col min="10" max="11" width="5.69921875" style="38" customWidth="1"/>
    <col min="12" max="66" width="2.69921875" style="38" customWidth="1"/>
    <col min="67" max="67" width="3.19921875" style="38" customWidth="1"/>
    <col min="68" max="16384" width="8" style="38"/>
  </cols>
  <sheetData>
    <row r="1" spans="1:67">
      <c r="A1" s="38"/>
    </row>
    <row r="2" spans="1:67">
      <c r="A2" s="38"/>
    </row>
    <row r="3" spans="1:67">
      <c r="A3" s="38"/>
    </row>
    <row r="4" spans="1:67" ht="2.25" customHeight="1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  <c r="BH4" s="280"/>
      <c r="BI4" s="280"/>
      <c r="BJ4" s="280"/>
      <c r="BK4" s="280"/>
      <c r="BL4" s="280"/>
      <c r="BM4" s="280"/>
      <c r="BN4" s="280"/>
    </row>
    <row r="6" spans="1:67">
      <c r="B6" s="247" t="s">
        <v>326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</row>
    <row r="7" spans="1:67" ht="18" thickBot="1"/>
    <row r="8" spans="1:67" ht="18" thickBot="1">
      <c r="F8" s="363" t="s">
        <v>292</v>
      </c>
      <c r="G8" s="364"/>
      <c r="J8" s="363" t="s">
        <v>293</v>
      </c>
      <c r="K8" s="364"/>
      <c r="L8" s="359" t="s">
        <v>294</v>
      </c>
      <c r="M8" s="359"/>
      <c r="N8" s="359"/>
      <c r="O8" s="359"/>
      <c r="P8" s="359"/>
      <c r="Q8" s="359" t="s">
        <v>295</v>
      </c>
      <c r="R8" s="359"/>
      <c r="S8" s="359"/>
      <c r="T8" s="359"/>
      <c r="U8" s="359"/>
      <c r="V8" s="359" t="s">
        <v>296</v>
      </c>
      <c r="W8" s="359"/>
      <c r="X8" s="359"/>
      <c r="Y8" s="359"/>
      <c r="Z8" s="359"/>
      <c r="AA8" s="359" t="s">
        <v>297</v>
      </c>
      <c r="AB8" s="359"/>
      <c r="AC8" s="359"/>
      <c r="AD8" s="359"/>
      <c r="AE8" s="359"/>
      <c r="AF8" s="359" t="s">
        <v>298</v>
      </c>
      <c r="AG8" s="359"/>
      <c r="AH8" s="359"/>
      <c r="AI8" s="359"/>
      <c r="AJ8" s="359"/>
      <c r="AK8" s="359" t="s">
        <v>299</v>
      </c>
      <c r="AL8" s="359"/>
      <c r="AM8" s="359"/>
      <c r="AN8" s="359"/>
      <c r="AO8" s="359"/>
      <c r="AP8" s="359" t="s">
        <v>300</v>
      </c>
      <c r="AQ8" s="359"/>
      <c r="AR8" s="359"/>
      <c r="AS8" s="359"/>
      <c r="AT8" s="359"/>
      <c r="AU8" s="359" t="s">
        <v>301</v>
      </c>
      <c r="AV8" s="359"/>
      <c r="AW8" s="359"/>
      <c r="AX8" s="359"/>
      <c r="AY8" s="359"/>
      <c r="AZ8" s="359" t="s">
        <v>302</v>
      </c>
      <c r="BA8" s="359"/>
      <c r="BB8" s="359"/>
      <c r="BC8" s="359"/>
      <c r="BD8" s="359"/>
      <c r="BE8" s="359" t="s">
        <v>303</v>
      </c>
      <c r="BF8" s="359"/>
      <c r="BG8" s="359"/>
      <c r="BH8" s="359"/>
      <c r="BI8" s="359"/>
      <c r="BJ8" s="359" t="s">
        <v>304</v>
      </c>
      <c r="BK8" s="359"/>
      <c r="BL8" s="359"/>
      <c r="BM8" s="359"/>
      <c r="BN8" s="363"/>
    </row>
    <row r="9" spans="1:67" ht="18" thickBot="1">
      <c r="B9" s="249" t="s">
        <v>136</v>
      </c>
      <c r="C9" s="249" t="s">
        <v>305</v>
      </c>
      <c r="D9" s="250" t="s">
        <v>50</v>
      </c>
      <c r="E9" s="250" t="s">
        <v>5</v>
      </c>
      <c r="F9" s="251" t="s">
        <v>306</v>
      </c>
      <c r="G9" s="251" t="s">
        <v>307</v>
      </c>
      <c r="H9" s="249" t="s">
        <v>308</v>
      </c>
      <c r="I9" s="252"/>
      <c r="J9" s="360" t="s">
        <v>339</v>
      </c>
      <c r="K9" s="362"/>
      <c r="L9" s="360" t="s">
        <v>340</v>
      </c>
      <c r="M9" s="361"/>
      <c r="N9" s="361"/>
      <c r="O9" s="361"/>
      <c r="P9" s="362"/>
      <c r="Q9" s="360" t="s">
        <v>329</v>
      </c>
      <c r="R9" s="361"/>
      <c r="S9" s="361"/>
      <c r="T9" s="361"/>
      <c r="U9" s="362"/>
      <c r="V9" s="360" t="s">
        <v>330</v>
      </c>
      <c r="W9" s="361"/>
      <c r="X9" s="361"/>
      <c r="Y9" s="361"/>
      <c r="Z9" s="362"/>
      <c r="AA9" s="360" t="s">
        <v>331</v>
      </c>
      <c r="AB9" s="361"/>
      <c r="AC9" s="361"/>
      <c r="AD9" s="361"/>
      <c r="AE9" s="362"/>
      <c r="AF9" s="360" t="s">
        <v>337</v>
      </c>
      <c r="AG9" s="361"/>
      <c r="AH9" s="361"/>
      <c r="AI9" s="361"/>
      <c r="AJ9" s="362"/>
      <c r="AK9" s="360" t="s">
        <v>332</v>
      </c>
      <c r="AL9" s="361"/>
      <c r="AM9" s="361"/>
      <c r="AN9" s="361"/>
      <c r="AO9" s="362"/>
      <c r="AP9" s="360" t="s">
        <v>333</v>
      </c>
      <c r="AQ9" s="361"/>
      <c r="AR9" s="361"/>
      <c r="AS9" s="361"/>
      <c r="AT9" s="362"/>
      <c r="AU9" s="360" t="s">
        <v>334</v>
      </c>
      <c r="AV9" s="361"/>
      <c r="AW9" s="361"/>
      <c r="AX9" s="361"/>
      <c r="AY9" s="362"/>
      <c r="AZ9" s="360" t="s">
        <v>338</v>
      </c>
      <c r="BA9" s="361"/>
      <c r="BB9" s="361"/>
      <c r="BC9" s="361"/>
      <c r="BD9" s="362"/>
      <c r="BE9" s="360" t="s">
        <v>335</v>
      </c>
      <c r="BF9" s="361"/>
      <c r="BG9" s="361"/>
      <c r="BH9" s="361"/>
      <c r="BI9" s="362"/>
      <c r="BJ9" s="360" t="s">
        <v>336</v>
      </c>
      <c r="BK9" s="361"/>
      <c r="BL9" s="361"/>
      <c r="BM9" s="361"/>
      <c r="BN9" s="362"/>
      <c r="BO9" s="288"/>
    </row>
    <row r="10" spans="1:67">
      <c r="B10" s="256" t="s">
        <v>416</v>
      </c>
      <c r="C10" s="256" t="s">
        <v>417</v>
      </c>
      <c r="D10" s="257"/>
      <c r="E10" s="284"/>
      <c r="F10" s="258"/>
      <c r="G10" s="258"/>
      <c r="H10" s="258"/>
      <c r="I10" s="259"/>
      <c r="J10" s="260"/>
      <c r="K10" s="260"/>
      <c r="L10" s="260"/>
      <c r="M10" s="216"/>
      <c r="N10" s="216"/>
      <c r="O10" s="216"/>
      <c r="P10" s="261"/>
      <c r="Q10" s="260"/>
      <c r="R10" s="216"/>
      <c r="S10" s="216"/>
      <c r="T10" s="216"/>
      <c r="U10" s="261"/>
      <c r="V10" s="260"/>
      <c r="W10" s="216"/>
      <c r="X10" s="216"/>
      <c r="Y10" s="216"/>
      <c r="Z10" s="261"/>
      <c r="AA10" s="260"/>
      <c r="AB10" s="262"/>
      <c r="AC10" s="262"/>
      <c r="AD10" s="216"/>
      <c r="AE10" s="261"/>
      <c r="AF10" s="260"/>
      <c r="AG10" s="282"/>
      <c r="AH10" s="216"/>
      <c r="AI10" s="216"/>
      <c r="AJ10" s="261"/>
      <c r="AK10" s="260"/>
      <c r="AL10" s="216"/>
      <c r="AM10" s="216"/>
      <c r="AN10" s="216"/>
      <c r="AO10" s="261"/>
      <c r="AP10" s="260"/>
      <c r="AQ10" s="216"/>
      <c r="AR10" s="216"/>
      <c r="AS10" s="216"/>
      <c r="AT10" s="263"/>
      <c r="AU10" s="260"/>
      <c r="AV10" s="216"/>
      <c r="AW10" s="216"/>
      <c r="AX10" s="216"/>
      <c r="AY10" s="263"/>
      <c r="AZ10" s="260"/>
      <c r="BA10" s="216"/>
      <c r="BB10" s="216"/>
      <c r="BC10" s="216"/>
      <c r="BD10" s="263"/>
      <c r="BE10" s="260"/>
      <c r="BF10" s="216"/>
      <c r="BG10" s="216"/>
      <c r="BH10" s="216"/>
      <c r="BI10" s="263"/>
      <c r="BJ10" s="260"/>
      <c r="BK10" s="216"/>
      <c r="BL10" s="216"/>
      <c r="BM10" s="216"/>
      <c r="BN10" s="263"/>
    </row>
    <row r="11" spans="1:67" ht="18" thickBot="1">
      <c r="B11" s="264" t="s">
        <v>418</v>
      </c>
      <c r="C11" s="265" t="s">
        <v>419</v>
      </c>
      <c r="D11" s="290" t="s">
        <v>420</v>
      </c>
      <c r="E11" s="299" t="s">
        <v>310</v>
      </c>
      <c r="F11" s="267">
        <v>45659</v>
      </c>
      <c r="G11" s="267"/>
      <c r="H11" s="267"/>
      <c r="I11" s="259"/>
      <c r="J11" s="291" t="s">
        <v>317</v>
      </c>
      <c r="K11" s="261"/>
      <c r="L11" s="268"/>
      <c r="M11" s="216"/>
      <c r="N11" s="216"/>
      <c r="O11" s="291" t="s">
        <v>317</v>
      </c>
      <c r="P11" s="261"/>
      <c r="Q11" s="268"/>
      <c r="R11" s="216"/>
      <c r="S11" s="216"/>
      <c r="T11" s="291" t="s">
        <v>317</v>
      </c>
      <c r="U11" s="261"/>
      <c r="V11" s="268"/>
      <c r="W11" s="216"/>
      <c r="X11" s="216"/>
      <c r="Y11" s="291" t="s">
        <v>317</v>
      </c>
      <c r="Z11" s="261"/>
      <c r="AA11" s="268"/>
      <c r="AB11" s="262"/>
      <c r="AC11" s="262"/>
      <c r="AD11" s="291" t="s">
        <v>317</v>
      </c>
      <c r="AE11" s="261"/>
      <c r="AF11" s="268"/>
      <c r="AG11" s="282"/>
      <c r="AH11" s="216"/>
      <c r="AI11" s="291" t="s">
        <v>317</v>
      </c>
      <c r="AJ11" s="261"/>
      <c r="AK11" s="268"/>
      <c r="AL11" s="216"/>
      <c r="AM11" s="216"/>
      <c r="AN11" s="291" t="s">
        <v>317</v>
      </c>
      <c r="AO11" s="261"/>
      <c r="AP11" s="268"/>
      <c r="AQ11" s="216"/>
      <c r="AR11" s="216"/>
      <c r="AS11" s="291" t="s">
        <v>317</v>
      </c>
      <c r="AT11" s="263"/>
      <c r="AU11" s="268"/>
      <c r="AV11" s="216"/>
      <c r="AW11" s="216"/>
      <c r="AX11" s="291" t="s">
        <v>317</v>
      </c>
      <c r="AY11" s="263"/>
      <c r="AZ11" s="268"/>
      <c r="BA11" s="216"/>
      <c r="BB11" s="216"/>
      <c r="BC11" s="291" t="s">
        <v>317</v>
      </c>
      <c r="BD11" s="263"/>
      <c r="BE11" s="268"/>
      <c r="BF11" s="216"/>
      <c r="BG11" s="216"/>
      <c r="BH11" s="291" t="s">
        <v>317</v>
      </c>
      <c r="BI11" s="263"/>
      <c r="BJ11" s="268"/>
      <c r="BK11" s="216"/>
      <c r="BL11" s="216"/>
      <c r="BM11" s="291" t="s">
        <v>317</v>
      </c>
      <c r="BN11" s="263"/>
    </row>
    <row r="12" spans="1:67" ht="3.75" customHeight="1" thickBot="1">
      <c r="B12" s="253"/>
      <c r="C12" s="254"/>
      <c r="D12" s="254"/>
      <c r="E12" s="254"/>
      <c r="F12" s="254"/>
      <c r="G12" s="254"/>
      <c r="H12" s="254"/>
      <c r="I12" s="254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5"/>
    </row>
    <row r="13" spans="1:67">
      <c r="B13" s="256" t="s">
        <v>143</v>
      </c>
      <c r="C13" s="256" t="s">
        <v>399</v>
      </c>
      <c r="D13" s="257"/>
      <c r="E13" s="284"/>
      <c r="F13" s="258"/>
      <c r="G13" s="258"/>
      <c r="H13" s="258"/>
      <c r="I13" s="259"/>
      <c r="J13" s="260"/>
      <c r="K13" s="260"/>
      <c r="L13" s="260"/>
      <c r="M13" s="216"/>
      <c r="N13" s="216"/>
      <c r="O13" s="216"/>
      <c r="P13" s="261"/>
      <c r="Q13" s="260"/>
      <c r="R13" s="216"/>
      <c r="S13" s="216"/>
      <c r="T13" s="216"/>
      <c r="U13" s="261"/>
      <c r="V13" s="260"/>
      <c r="W13" s="216"/>
      <c r="X13" s="216"/>
      <c r="Y13" s="216"/>
      <c r="Z13" s="261"/>
      <c r="AA13" s="260"/>
      <c r="AB13" s="262"/>
      <c r="AC13" s="262"/>
      <c r="AD13" s="216"/>
      <c r="AE13" s="261"/>
      <c r="AF13" s="260"/>
      <c r="AG13" s="282"/>
      <c r="AH13" s="216"/>
      <c r="AI13" s="216"/>
      <c r="AJ13" s="261"/>
      <c r="AK13" s="260"/>
      <c r="AL13" s="216"/>
      <c r="AM13" s="216"/>
      <c r="AN13" s="216"/>
      <c r="AO13" s="261"/>
      <c r="AP13" s="260"/>
      <c r="AQ13" s="216"/>
      <c r="AR13" s="216"/>
      <c r="AS13" s="216"/>
      <c r="AT13" s="263"/>
      <c r="AU13" s="260"/>
      <c r="AV13" s="216"/>
      <c r="AW13" s="216"/>
      <c r="AX13" s="216"/>
      <c r="AY13" s="263"/>
      <c r="AZ13" s="260"/>
      <c r="BA13" s="216"/>
      <c r="BB13" s="216"/>
      <c r="BC13" s="216"/>
      <c r="BD13" s="263"/>
      <c r="BE13" s="260"/>
      <c r="BF13" s="216"/>
      <c r="BG13" s="216"/>
      <c r="BH13" s="216"/>
      <c r="BI13" s="263"/>
      <c r="BJ13" s="260"/>
      <c r="BK13" s="216"/>
      <c r="BL13" s="216"/>
      <c r="BM13" s="216"/>
      <c r="BN13" s="263"/>
    </row>
    <row r="14" spans="1:67" ht="18" thickBot="1">
      <c r="B14" s="264" t="s">
        <v>309</v>
      </c>
      <c r="C14" s="265" t="s">
        <v>397</v>
      </c>
      <c r="D14" s="266" t="s">
        <v>121</v>
      </c>
      <c r="E14" s="240" t="s">
        <v>310</v>
      </c>
      <c r="F14" s="267">
        <v>45659</v>
      </c>
      <c r="G14" s="267">
        <v>45667</v>
      </c>
      <c r="H14" s="267"/>
      <c r="I14" s="259"/>
      <c r="J14" s="292"/>
      <c r="K14" s="293"/>
      <c r="L14" s="292"/>
      <c r="M14" s="294"/>
      <c r="N14" s="294"/>
      <c r="O14" s="294"/>
      <c r="P14" s="293"/>
      <c r="Q14" s="268"/>
      <c r="R14" s="216"/>
      <c r="S14" s="216"/>
      <c r="T14" s="216"/>
      <c r="U14" s="261"/>
      <c r="V14" s="268"/>
      <c r="W14" s="216"/>
      <c r="X14" s="216"/>
      <c r="Y14" s="216"/>
      <c r="Z14" s="261"/>
      <c r="AA14" s="268"/>
      <c r="AB14" s="262"/>
      <c r="AC14" s="262"/>
      <c r="AD14" s="216"/>
      <c r="AE14" s="261"/>
      <c r="AF14" s="268"/>
      <c r="AG14" s="282"/>
      <c r="AH14" s="216"/>
      <c r="AI14" s="216"/>
      <c r="AJ14" s="261"/>
      <c r="AK14" s="268"/>
      <c r="AL14" s="216"/>
      <c r="AM14" s="216"/>
      <c r="AN14" s="216"/>
      <c r="AO14" s="261"/>
      <c r="AP14" s="268"/>
      <c r="AQ14" s="216"/>
      <c r="AR14" s="216"/>
      <c r="AS14" s="216"/>
      <c r="AT14" s="263"/>
      <c r="AU14" s="268"/>
      <c r="AV14" s="216"/>
      <c r="AW14" s="216"/>
      <c r="AX14" s="216"/>
      <c r="AY14" s="263"/>
      <c r="AZ14" s="268"/>
      <c r="BA14" s="216"/>
      <c r="BB14" s="216"/>
      <c r="BC14" s="216"/>
      <c r="BD14" s="263"/>
      <c r="BE14" s="268"/>
      <c r="BF14" s="216"/>
      <c r="BG14" s="216"/>
      <c r="BH14" s="216"/>
      <c r="BI14" s="263"/>
      <c r="BJ14" s="268"/>
      <c r="BK14" s="216"/>
      <c r="BL14" s="216"/>
      <c r="BM14" s="216"/>
      <c r="BN14" s="263"/>
    </row>
    <row r="15" spans="1:67" ht="3.75" customHeight="1" thickBot="1">
      <c r="B15" s="253"/>
      <c r="C15" s="254"/>
      <c r="D15" s="254"/>
      <c r="E15" s="242"/>
      <c r="F15" s="273"/>
      <c r="G15" s="273"/>
      <c r="H15" s="273"/>
      <c r="I15" s="254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5"/>
      <c r="BK15" s="255"/>
      <c r="BL15" s="255"/>
      <c r="BM15" s="255"/>
      <c r="BN15" s="255"/>
    </row>
    <row r="16" spans="1:67">
      <c r="B16" s="256" t="s">
        <v>145</v>
      </c>
      <c r="C16" s="256" t="s">
        <v>406</v>
      </c>
      <c r="D16" s="257"/>
      <c r="E16" s="243"/>
      <c r="F16" s="258"/>
      <c r="G16" s="258"/>
      <c r="H16" s="258"/>
      <c r="I16" s="259"/>
      <c r="J16" s="260"/>
      <c r="K16" s="261"/>
      <c r="L16" s="268"/>
      <c r="M16" s="216"/>
      <c r="N16" s="216"/>
      <c r="O16" s="216"/>
      <c r="P16" s="261"/>
      <c r="Q16" s="268"/>
      <c r="R16" s="216"/>
      <c r="S16" s="216"/>
      <c r="T16" s="216"/>
      <c r="U16" s="261"/>
      <c r="V16" s="268"/>
      <c r="W16" s="216"/>
      <c r="X16" s="216"/>
      <c r="Y16" s="216"/>
      <c r="Z16" s="261"/>
      <c r="AA16" s="268"/>
      <c r="AB16" s="262"/>
      <c r="AC16" s="262"/>
      <c r="AD16" s="216"/>
      <c r="AE16" s="261"/>
      <c r="AF16" s="268"/>
      <c r="AG16" s="282"/>
      <c r="AH16" s="216"/>
      <c r="AI16" s="216"/>
      <c r="AJ16" s="261"/>
      <c r="AK16" s="268"/>
      <c r="AL16" s="216"/>
      <c r="AM16" s="216"/>
      <c r="AN16" s="216"/>
      <c r="AO16" s="261"/>
      <c r="AP16" s="268"/>
      <c r="AQ16" s="216"/>
      <c r="AR16" s="216"/>
      <c r="AS16" s="216"/>
      <c r="AT16" s="263"/>
      <c r="AU16" s="268"/>
      <c r="AV16" s="216"/>
      <c r="AW16" s="216"/>
      <c r="AX16" s="216"/>
      <c r="AY16" s="263"/>
      <c r="AZ16" s="268"/>
      <c r="BA16" s="216"/>
      <c r="BB16" s="216"/>
      <c r="BC16" s="216"/>
      <c r="BD16" s="263"/>
      <c r="BE16" s="268"/>
      <c r="BF16" s="216"/>
      <c r="BG16" s="216"/>
      <c r="BH16" s="216"/>
      <c r="BI16" s="263"/>
      <c r="BJ16" s="268"/>
      <c r="BK16" s="216"/>
      <c r="BL16" s="216"/>
      <c r="BM16" s="216"/>
      <c r="BN16" s="263"/>
    </row>
    <row r="17" spans="1:66" ht="18" thickBot="1">
      <c r="B17" s="274" t="s">
        <v>311</v>
      </c>
      <c r="C17" s="275" t="s">
        <v>409</v>
      </c>
      <c r="D17" s="266" t="s">
        <v>121</v>
      </c>
      <c r="E17" s="297" t="s">
        <v>310</v>
      </c>
      <c r="F17" s="304" t="s">
        <v>421</v>
      </c>
      <c r="G17" s="304" t="s">
        <v>421</v>
      </c>
      <c r="H17" s="276"/>
      <c r="I17" s="259"/>
      <c r="J17" s="268"/>
      <c r="K17" s="261"/>
      <c r="L17" s="268"/>
      <c r="M17" s="216"/>
      <c r="N17" s="216"/>
      <c r="O17" s="216"/>
      <c r="P17" s="261"/>
      <c r="Q17" s="268"/>
      <c r="R17" s="216"/>
      <c r="S17" s="216"/>
      <c r="T17" s="216"/>
      <c r="U17" s="261"/>
      <c r="V17" s="268"/>
      <c r="W17" s="216"/>
      <c r="X17" s="216"/>
      <c r="Y17" s="216"/>
      <c r="Z17" s="261"/>
      <c r="AA17" s="268"/>
      <c r="AB17" s="262"/>
      <c r="AC17" s="262"/>
      <c r="AD17" s="216"/>
      <c r="AE17" s="261"/>
      <c r="AF17" s="268"/>
      <c r="AG17" s="282"/>
      <c r="AH17" s="216"/>
      <c r="AI17" s="216"/>
      <c r="AJ17" s="261"/>
      <c r="AK17" s="268"/>
      <c r="AL17" s="216"/>
      <c r="AM17" s="216"/>
      <c r="AN17" s="216"/>
      <c r="AO17" s="261"/>
      <c r="AP17" s="268"/>
      <c r="AQ17" s="216"/>
      <c r="AR17" s="216"/>
      <c r="AS17" s="216"/>
      <c r="AT17" s="263"/>
      <c r="AU17" s="268"/>
      <c r="AV17" s="216"/>
      <c r="AW17" s="216"/>
      <c r="AX17" s="216"/>
      <c r="AY17" s="263"/>
      <c r="AZ17" s="268"/>
      <c r="BA17" s="216"/>
      <c r="BB17" s="216"/>
      <c r="BC17" s="216"/>
      <c r="BD17" s="263"/>
      <c r="BE17" s="268"/>
      <c r="BF17" s="216"/>
      <c r="BG17" s="216"/>
      <c r="BH17" s="216"/>
      <c r="BI17" s="263"/>
      <c r="BJ17" s="268"/>
      <c r="BK17" s="216"/>
      <c r="BL17" s="216"/>
      <c r="BM17" s="216"/>
      <c r="BN17" s="263"/>
    </row>
    <row r="18" spans="1:66" ht="3.75" customHeight="1" thickBot="1">
      <c r="B18" s="253"/>
      <c r="C18" s="254"/>
      <c r="D18" s="254"/>
      <c r="E18" s="242"/>
      <c r="F18" s="273"/>
      <c r="G18" s="273"/>
      <c r="H18" s="273"/>
      <c r="I18" s="254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N18" s="255"/>
    </row>
    <row r="19" spans="1:66">
      <c r="A19" s="272"/>
      <c r="B19" s="256" t="s">
        <v>147</v>
      </c>
      <c r="C19" s="256" t="s">
        <v>173</v>
      </c>
      <c r="D19" s="258"/>
      <c r="E19" s="243"/>
      <c r="F19" s="276"/>
      <c r="G19" s="276"/>
      <c r="H19" s="258"/>
      <c r="I19" s="259"/>
      <c r="J19" s="260"/>
      <c r="K19" s="261"/>
      <c r="L19" s="268"/>
      <c r="M19" s="216"/>
      <c r="N19" s="216"/>
      <c r="O19" s="216"/>
      <c r="P19" s="261"/>
      <c r="Q19" s="268"/>
      <c r="R19" s="216"/>
      <c r="S19" s="216"/>
      <c r="T19" s="216"/>
      <c r="U19" s="261"/>
      <c r="V19" s="268"/>
      <c r="W19" s="216"/>
      <c r="X19" s="216"/>
      <c r="Y19" s="216"/>
      <c r="Z19" s="261"/>
      <c r="AA19" s="268"/>
      <c r="AB19" s="262"/>
      <c r="AC19" s="262"/>
      <c r="AD19" s="216"/>
      <c r="AE19" s="261"/>
      <c r="AF19" s="268"/>
      <c r="AG19" s="282"/>
      <c r="AH19" s="216"/>
      <c r="AI19" s="216"/>
      <c r="AJ19" s="261"/>
      <c r="AK19" s="268"/>
      <c r="AL19" s="216"/>
      <c r="AM19" s="216"/>
      <c r="AN19" s="216"/>
      <c r="AO19" s="261"/>
      <c r="AP19" s="268"/>
      <c r="AQ19" s="216"/>
      <c r="AR19" s="216"/>
      <c r="AS19" s="216"/>
      <c r="AT19" s="263"/>
      <c r="AU19" s="268"/>
      <c r="AV19" s="216"/>
      <c r="AW19" s="216"/>
      <c r="AX19" s="216"/>
      <c r="AY19" s="263"/>
      <c r="AZ19" s="268"/>
      <c r="BA19" s="216"/>
      <c r="BB19" s="216"/>
      <c r="BC19" s="216"/>
      <c r="BD19" s="263"/>
      <c r="BE19" s="268"/>
      <c r="BF19" s="216"/>
      <c r="BG19" s="216"/>
      <c r="BH19" s="216"/>
      <c r="BI19" s="263"/>
      <c r="BJ19" s="268"/>
      <c r="BK19" s="216"/>
      <c r="BL19" s="216"/>
      <c r="BM19" s="216"/>
      <c r="BN19" s="263"/>
    </row>
    <row r="20" spans="1:66">
      <c r="B20" s="277" t="s">
        <v>312</v>
      </c>
      <c r="C20" s="275" t="s">
        <v>402</v>
      </c>
      <c r="D20" s="266" t="s">
        <v>121</v>
      </c>
      <c r="E20" s="241" t="s">
        <v>310</v>
      </c>
      <c r="F20" s="276">
        <v>45666</v>
      </c>
      <c r="G20" s="276">
        <v>45674</v>
      </c>
      <c r="H20" s="276"/>
      <c r="I20" s="259"/>
      <c r="J20" s="287"/>
      <c r="K20" s="261"/>
      <c r="L20" s="268"/>
      <c r="M20" s="216"/>
      <c r="N20" s="216"/>
      <c r="O20" s="294"/>
      <c r="P20" s="293"/>
      <c r="Q20" s="292"/>
      <c r="R20" s="294"/>
      <c r="S20" s="294"/>
      <c r="T20" s="294"/>
      <c r="U20" s="261"/>
      <c r="V20" s="268"/>
      <c r="W20" s="216"/>
      <c r="X20" s="216"/>
      <c r="Y20" s="216"/>
      <c r="Z20" s="261"/>
      <c r="AA20" s="268"/>
      <c r="AB20" s="262"/>
      <c r="AC20" s="262"/>
      <c r="AD20" s="216"/>
      <c r="AE20" s="261"/>
      <c r="AF20" s="268"/>
      <c r="AG20" s="282"/>
      <c r="AH20" s="216"/>
      <c r="AI20" s="216"/>
      <c r="AJ20" s="261"/>
      <c r="AK20" s="268"/>
      <c r="AL20" s="216"/>
      <c r="AM20" s="216"/>
      <c r="AN20" s="216"/>
      <c r="AO20" s="261"/>
      <c r="AP20" s="268"/>
      <c r="AQ20" s="216"/>
      <c r="AR20" s="216"/>
      <c r="AS20" s="216"/>
      <c r="AT20" s="263"/>
      <c r="AU20" s="268"/>
      <c r="AV20" s="216"/>
      <c r="AW20" s="216"/>
      <c r="AX20" s="216"/>
      <c r="AY20" s="263"/>
      <c r="AZ20" s="268"/>
      <c r="BA20" s="216"/>
      <c r="BB20" s="216"/>
      <c r="BC20" s="216"/>
      <c r="BD20" s="263"/>
      <c r="BE20" s="268"/>
      <c r="BF20" s="216"/>
      <c r="BG20" s="216"/>
      <c r="BH20" s="216"/>
      <c r="BI20" s="263"/>
      <c r="BJ20" s="268"/>
      <c r="BK20" s="216"/>
      <c r="BL20" s="216"/>
      <c r="BM20" s="216"/>
      <c r="BN20" s="263"/>
    </row>
    <row r="21" spans="1:66">
      <c r="B21" s="277" t="s">
        <v>313</v>
      </c>
      <c r="C21" s="270" t="s">
        <v>398</v>
      </c>
      <c r="D21" s="266" t="s">
        <v>121</v>
      </c>
      <c r="E21" s="241" t="s">
        <v>310</v>
      </c>
      <c r="F21" s="271">
        <v>45677</v>
      </c>
      <c r="G21" s="276">
        <v>45679</v>
      </c>
      <c r="H21" s="276"/>
      <c r="I21" s="259"/>
      <c r="J21" s="268"/>
      <c r="K21" s="261"/>
      <c r="L21" s="268"/>
      <c r="M21" s="216"/>
      <c r="N21" s="216"/>
      <c r="O21" s="216"/>
      <c r="P21" s="261"/>
      <c r="Q21" s="268"/>
      <c r="R21" s="216"/>
      <c r="S21" s="216"/>
      <c r="T21" s="216"/>
      <c r="U21" s="261"/>
      <c r="V21" s="292"/>
      <c r="W21" s="294"/>
      <c r="X21" s="294"/>
      <c r="Y21" s="216"/>
      <c r="Z21" s="261"/>
      <c r="AA21" s="268"/>
      <c r="AB21" s="262"/>
      <c r="AC21" s="262"/>
      <c r="AD21" s="216"/>
      <c r="AE21" s="261"/>
      <c r="AF21" s="268"/>
      <c r="AG21" s="282"/>
      <c r="AH21" s="216"/>
      <c r="AI21" s="216"/>
      <c r="AJ21" s="261"/>
      <c r="AK21" s="268"/>
      <c r="AL21" s="216"/>
      <c r="AM21" s="216"/>
      <c r="AN21" s="216"/>
      <c r="AO21" s="261"/>
      <c r="AP21" s="268"/>
      <c r="AQ21" s="216"/>
      <c r="AR21" s="216"/>
      <c r="AS21" s="216"/>
      <c r="AT21" s="263"/>
      <c r="AU21" s="268"/>
      <c r="AV21" s="216"/>
      <c r="AW21" s="216"/>
      <c r="AX21" s="216"/>
      <c r="AY21" s="263"/>
      <c r="AZ21" s="268"/>
      <c r="BA21" s="216"/>
      <c r="BB21" s="216"/>
      <c r="BC21" s="216"/>
      <c r="BD21" s="263"/>
      <c r="BE21" s="268"/>
      <c r="BF21" s="216"/>
      <c r="BG21" s="216"/>
      <c r="BH21" s="216"/>
      <c r="BI21" s="263"/>
      <c r="BJ21" s="268"/>
      <c r="BK21" s="216"/>
      <c r="BL21" s="216"/>
      <c r="BM21" s="216"/>
      <c r="BN21" s="263"/>
    </row>
    <row r="22" spans="1:66">
      <c r="B22" s="277" t="s">
        <v>314</v>
      </c>
      <c r="C22" s="270" t="s">
        <v>401</v>
      </c>
      <c r="D22" s="266" t="s">
        <v>121</v>
      </c>
      <c r="E22" s="298" t="s">
        <v>310</v>
      </c>
      <c r="F22" s="271">
        <v>45681</v>
      </c>
      <c r="G22" s="276"/>
      <c r="H22" s="276"/>
      <c r="I22" s="259"/>
      <c r="J22" s="268"/>
      <c r="K22" s="261"/>
      <c r="L22" s="268"/>
      <c r="M22" s="216"/>
      <c r="N22" s="216"/>
      <c r="O22" s="216"/>
      <c r="P22" s="261"/>
      <c r="Q22" s="268"/>
      <c r="R22" s="216"/>
      <c r="S22" s="216"/>
      <c r="T22" s="216"/>
      <c r="U22" s="261"/>
      <c r="V22" s="268"/>
      <c r="W22" s="216"/>
      <c r="X22" s="216"/>
      <c r="Y22" s="216"/>
      <c r="Z22" s="293"/>
      <c r="AA22" s="292"/>
      <c r="AB22" s="302"/>
      <c r="AC22" s="302"/>
      <c r="AD22" s="216"/>
      <c r="AE22" s="261"/>
      <c r="AF22" s="268"/>
      <c r="AG22" s="282"/>
      <c r="AH22" s="216"/>
      <c r="AI22" s="216"/>
      <c r="AJ22" s="261"/>
      <c r="AK22" s="268"/>
      <c r="AL22" s="216"/>
      <c r="AM22" s="216"/>
      <c r="AN22" s="216"/>
      <c r="AO22" s="261"/>
      <c r="AP22" s="268"/>
      <c r="AQ22" s="216"/>
      <c r="AR22" s="216"/>
      <c r="AS22" s="216"/>
      <c r="AT22" s="263"/>
      <c r="AU22" s="268"/>
      <c r="AV22" s="216"/>
      <c r="AW22" s="216"/>
      <c r="AX22" s="216"/>
      <c r="AY22" s="263"/>
      <c r="AZ22" s="268"/>
      <c r="BA22" s="216"/>
      <c r="BB22" s="216"/>
      <c r="BC22" s="216"/>
      <c r="BD22" s="263"/>
      <c r="BE22" s="268"/>
      <c r="BF22" s="216"/>
      <c r="BG22" s="216"/>
      <c r="BH22" s="216"/>
      <c r="BI22" s="263"/>
      <c r="BJ22" s="268"/>
      <c r="BK22" s="216"/>
      <c r="BL22" s="216"/>
      <c r="BM22" s="216"/>
      <c r="BN22" s="263"/>
    </row>
    <row r="23" spans="1:66">
      <c r="B23" s="277" t="s">
        <v>315</v>
      </c>
      <c r="C23" s="270" t="s">
        <v>410</v>
      </c>
      <c r="D23" s="266" t="s">
        <v>121</v>
      </c>
      <c r="E23" s="298" t="s">
        <v>310</v>
      </c>
      <c r="F23" s="271"/>
      <c r="G23" s="276"/>
      <c r="H23" s="276"/>
      <c r="I23" s="259"/>
      <c r="J23" s="268"/>
      <c r="K23" s="261"/>
      <c r="L23" s="268"/>
      <c r="M23" s="216"/>
      <c r="N23" s="216"/>
      <c r="O23" s="216"/>
      <c r="P23" s="261"/>
      <c r="Q23" s="268"/>
      <c r="R23" s="216"/>
      <c r="S23" s="216"/>
      <c r="T23" s="216"/>
      <c r="U23" s="261"/>
      <c r="V23" s="268"/>
      <c r="W23" s="216"/>
      <c r="X23" s="216"/>
      <c r="Y23" s="216"/>
      <c r="Z23" s="261"/>
      <c r="AA23" s="268"/>
      <c r="AB23" s="262"/>
      <c r="AC23" s="262"/>
      <c r="AD23" s="216"/>
      <c r="AE23" s="261"/>
      <c r="AF23" s="268"/>
      <c r="AG23" s="282"/>
      <c r="AH23" s="216"/>
      <c r="AI23" s="216"/>
      <c r="AJ23" s="261"/>
      <c r="AK23" s="268"/>
      <c r="AL23" s="216"/>
      <c r="AM23" s="216"/>
      <c r="AN23" s="216"/>
      <c r="AO23" s="261"/>
      <c r="AP23" s="268"/>
      <c r="AQ23" s="216"/>
      <c r="AR23" s="216"/>
      <c r="AS23" s="216"/>
      <c r="AT23" s="263"/>
      <c r="AU23" s="268"/>
      <c r="AV23" s="216"/>
      <c r="AW23" s="216"/>
      <c r="AX23" s="216"/>
      <c r="AY23" s="263"/>
      <c r="AZ23" s="268"/>
      <c r="BA23" s="216"/>
      <c r="BB23" s="216"/>
      <c r="BC23" s="216"/>
      <c r="BD23" s="263"/>
      <c r="BE23" s="268"/>
      <c r="BF23" s="216"/>
      <c r="BG23" s="216"/>
      <c r="BH23" s="216"/>
      <c r="BI23" s="263"/>
      <c r="BJ23" s="268"/>
      <c r="BK23" s="216"/>
      <c r="BL23" s="216"/>
      <c r="BM23" s="216"/>
      <c r="BN23" s="263"/>
    </row>
    <row r="24" spans="1:66">
      <c r="B24" s="277" t="s">
        <v>407</v>
      </c>
      <c r="C24" s="270" t="s">
        <v>400</v>
      </c>
      <c r="D24" s="266" t="s">
        <v>121</v>
      </c>
      <c r="E24" s="245" t="s">
        <v>310</v>
      </c>
      <c r="F24" s="295" t="s">
        <v>423</v>
      </c>
      <c r="G24" s="295" t="s">
        <v>423</v>
      </c>
      <c r="H24" s="276"/>
      <c r="I24" s="259"/>
      <c r="J24" s="268"/>
      <c r="K24" s="261"/>
      <c r="L24" s="268"/>
      <c r="M24" s="216"/>
      <c r="N24" s="216"/>
      <c r="O24" s="216"/>
      <c r="P24" s="261"/>
      <c r="Q24" s="292"/>
      <c r="R24" s="294"/>
      <c r="S24" s="294"/>
      <c r="T24" s="294"/>
      <c r="U24" s="293"/>
      <c r="V24" s="292"/>
      <c r="W24" s="294"/>
      <c r="X24" s="294"/>
      <c r="Y24" s="294"/>
      <c r="Z24" s="293"/>
      <c r="AA24" s="268"/>
      <c r="AB24" s="262"/>
      <c r="AC24" s="262"/>
      <c r="AD24" s="216"/>
      <c r="AE24" s="261"/>
      <c r="AF24" s="268"/>
      <c r="AG24" s="282"/>
      <c r="AH24" s="216"/>
      <c r="AI24" s="216"/>
      <c r="AJ24" s="261"/>
      <c r="AK24" s="268"/>
      <c r="AL24" s="216"/>
      <c r="AM24" s="216"/>
      <c r="AN24" s="216"/>
      <c r="AO24" s="261"/>
      <c r="AP24" s="268"/>
      <c r="AQ24" s="216"/>
      <c r="AR24" s="216"/>
      <c r="AS24" s="216"/>
      <c r="AT24" s="263"/>
      <c r="AU24" s="268"/>
      <c r="AV24" s="216"/>
      <c r="AW24" s="216"/>
      <c r="AX24" s="216"/>
      <c r="AY24" s="263"/>
      <c r="AZ24" s="268"/>
      <c r="BA24" s="216"/>
      <c r="BB24" s="216"/>
      <c r="BC24" s="216"/>
      <c r="BD24" s="263"/>
      <c r="BE24" s="268"/>
      <c r="BF24" s="216"/>
      <c r="BG24" s="216"/>
      <c r="BH24" s="216"/>
      <c r="BI24" s="263"/>
      <c r="BJ24" s="268"/>
      <c r="BK24" s="216"/>
      <c r="BL24" s="216"/>
      <c r="BM24" s="216"/>
      <c r="BN24" s="263"/>
    </row>
    <row r="25" spans="1:66">
      <c r="B25" s="277" t="s">
        <v>408</v>
      </c>
      <c r="C25" s="270" t="s">
        <v>422</v>
      </c>
      <c r="D25" s="266" t="s">
        <v>132</v>
      </c>
      <c r="E25" s="245" t="s">
        <v>310</v>
      </c>
      <c r="F25" s="295" t="s">
        <v>423</v>
      </c>
      <c r="G25" s="295" t="s">
        <v>423</v>
      </c>
      <c r="H25" s="276"/>
      <c r="I25" s="259"/>
      <c r="J25" s="268"/>
      <c r="K25" s="261"/>
      <c r="L25" s="268"/>
      <c r="M25" s="216"/>
      <c r="N25" s="216"/>
      <c r="O25" s="216"/>
      <c r="P25" s="261"/>
      <c r="Q25" s="268"/>
      <c r="R25" s="216"/>
      <c r="S25" s="216"/>
      <c r="T25" s="216"/>
      <c r="U25" s="293"/>
      <c r="V25" s="292"/>
      <c r="W25" s="294"/>
      <c r="X25" s="216"/>
      <c r="Y25" s="216"/>
      <c r="Z25" s="261"/>
      <c r="AA25" s="268"/>
      <c r="AB25" s="262"/>
      <c r="AC25" s="262"/>
      <c r="AD25" s="216"/>
      <c r="AE25" s="261"/>
      <c r="AF25" s="268"/>
      <c r="AG25" s="282"/>
      <c r="AH25" s="216"/>
      <c r="AI25" s="216"/>
      <c r="AJ25" s="261"/>
      <c r="AK25" s="268"/>
      <c r="AL25" s="216"/>
      <c r="AM25" s="216"/>
      <c r="AN25" s="216"/>
      <c r="AO25" s="261"/>
      <c r="AP25" s="268"/>
      <c r="AQ25" s="216"/>
      <c r="AR25" s="216"/>
      <c r="AS25" s="216"/>
      <c r="AT25" s="263"/>
      <c r="AU25" s="268"/>
      <c r="AV25" s="216"/>
      <c r="AW25" s="216"/>
      <c r="AX25" s="216"/>
      <c r="AY25" s="263"/>
      <c r="AZ25" s="268"/>
      <c r="BA25" s="216"/>
      <c r="BB25" s="216"/>
      <c r="BC25" s="216"/>
      <c r="BD25" s="263"/>
      <c r="BE25" s="268"/>
      <c r="BF25" s="216"/>
      <c r="BG25" s="216"/>
      <c r="BH25" s="216"/>
      <c r="BI25" s="263"/>
      <c r="BJ25" s="268"/>
      <c r="BK25" s="216"/>
      <c r="BL25" s="216"/>
      <c r="BM25" s="216"/>
      <c r="BN25" s="263"/>
    </row>
    <row r="26" spans="1:66" ht="18" thickBot="1">
      <c r="A26" s="272"/>
      <c r="B26" s="277" t="s">
        <v>411</v>
      </c>
      <c r="C26" s="270" t="s">
        <v>403</v>
      </c>
      <c r="D26" s="266" t="s">
        <v>396</v>
      </c>
      <c r="E26" s="298" t="s">
        <v>310</v>
      </c>
      <c r="F26" s="271"/>
      <c r="G26" s="276"/>
      <c r="H26" s="276"/>
      <c r="I26" s="259"/>
      <c r="J26" s="268"/>
      <c r="K26" s="261"/>
      <c r="L26" s="268"/>
      <c r="M26" s="216"/>
      <c r="N26" s="216"/>
      <c r="O26" s="216"/>
      <c r="P26" s="261"/>
      <c r="Q26" s="268"/>
      <c r="R26" s="216"/>
      <c r="S26" s="216"/>
      <c r="T26" s="216"/>
      <c r="U26" s="261"/>
      <c r="V26" s="268"/>
      <c r="W26" s="216"/>
      <c r="X26" s="216"/>
      <c r="Y26" s="216"/>
      <c r="Z26" s="261"/>
      <c r="AA26" s="268"/>
      <c r="AB26" s="262"/>
      <c r="AC26" s="262"/>
      <c r="AD26" s="216"/>
      <c r="AE26" s="261"/>
      <c r="AF26" s="268"/>
      <c r="AG26" s="282"/>
      <c r="AH26" s="216"/>
      <c r="AI26" s="216"/>
      <c r="AJ26" s="261"/>
      <c r="AK26" s="268"/>
      <c r="AL26" s="216"/>
      <c r="AM26" s="216"/>
      <c r="AN26" s="216"/>
      <c r="AO26" s="261"/>
      <c r="AP26" s="268"/>
      <c r="AQ26" s="216"/>
      <c r="AR26" s="216"/>
      <c r="AS26" s="216"/>
      <c r="AT26" s="263"/>
      <c r="AU26" s="268"/>
      <c r="AV26" s="216"/>
      <c r="AW26" s="216"/>
      <c r="AX26" s="216"/>
      <c r="AY26" s="263"/>
      <c r="AZ26" s="268"/>
      <c r="BA26" s="216"/>
      <c r="BB26" s="216"/>
      <c r="BC26" s="216"/>
      <c r="BD26" s="263"/>
      <c r="BE26" s="268"/>
      <c r="BF26" s="216"/>
      <c r="BG26" s="216"/>
      <c r="BH26" s="216"/>
      <c r="BI26" s="263"/>
      <c r="BJ26" s="268"/>
      <c r="BK26" s="216"/>
      <c r="BL26" s="216"/>
      <c r="BM26" s="216"/>
      <c r="BN26" s="263"/>
    </row>
    <row r="27" spans="1:66" ht="3.75" customHeight="1" thickBot="1">
      <c r="B27" s="253"/>
      <c r="C27" s="254"/>
      <c r="D27" s="254"/>
      <c r="E27" s="242"/>
      <c r="F27" s="273"/>
      <c r="G27" s="273"/>
      <c r="H27" s="273"/>
      <c r="I27" s="254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5"/>
      <c r="BD27" s="255"/>
      <c r="BE27" s="255"/>
      <c r="BF27" s="255"/>
      <c r="BG27" s="255"/>
      <c r="BH27" s="255"/>
      <c r="BI27" s="255"/>
      <c r="BJ27" s="255"/>
      <c r="BK27" s="255"/>
      <c r="BL27" s="255"/>
      <c r="BM27" s="255"/>
      <c r="BN27" s="255"/>
    </row>
    <row r="28" spans="1:66">
      <c r="B28" s="256" t="s">
        <v>172</v>
      </c>
      <c r="C28" s="256" t="s">
        <v>190</v>
      </c>
      <c r="D28" s="258"/>
      <c r="E28" s="244"/>
      <c r="F28" s="276"/>
      <c r="G28" s="276"/>
      <c r="H28" s="258"/>
      <c r="I28" s="259"/>
      <c r="J28" s="260"/>
      <c r="K28" s="261"/>
      <c r="L28" s="268"/>
      <c r="M28" s="216"/>
      <c r="N28" s="216"/>
      <c r="O28" s="216"/>
      <c r="P28" s="261"/>
      <c r="Q28" s="268"/>
      <c r="R28" s="216"/>
      <c r="S28" s="216"/>
      <c r="T28" s="216"/>
      <c r="U28" s="261"/>
      <c r="V28" s="268"/>
      <c r="W28" s="216"/>
      <c r="X28" s="216"/>
      <c r="Y28" s="216"/>
      <c r="Z28" s="261"/>
      <c r="AA28" s="268"/>
      <c r="AB28" s="262"/>
      <c r="AC28" s="262"/>
      <c r="AD28" s="216"/>
      <c r="AE28" s="261"/>
      <c r="AF28" s="268"/>
      <c r="AG28" s="282"/>
      <c r="AH28" s="216"/>
      <c r="AI28" s="216"/>
      <c r="AJ28" s="261"/>
      <c r="AK28" s="268"/>
      <c r="AL28" s="216"/>
      <c r="AM28" s="216"/>
      <c r="AN28" s="216"/>
      <c r="AO28" s="261"/>
      <c r="AP28" s="268"/>
      <c r="AQ28" s="216"/>
      <c r="AR28" s="216"/>
      <c r="AS28" s="216"/>
      <c r="AT28" s="263"/>
      <c r="AU28" s="268"/>
      <c r="AV28" s="216"/>
      <c r="AW28" s="216"/>
      <c r="AX28" s="216"/>
      <c r="AY28" s="263"/>
      <c r="AZ28" s="268"/>
      <c r="BA28" s="216"/>
      <c r="BB28" s="216"/>
      <c r="BC28" s="216"/>
      <c r="BD28" s="263"/>
      <c r="BE28" s="268"/>
      <c r="BF28" s="216"/>
      <c r="BG28" s="216"/>
      <c r="BH28" s="216"/>
      <c r="BI28" s="263"/>
      <c r="BJ28" s="268"/>
      <c r="BK28" s="216"/>
      <c r="BL28" s="216"/>
      <c r="BM28" s="216"/>
      <c r="BN28" s="263"/>
    </row>
    <row r="29" spans="1:66">
      <c r="B29" s="264" t="s">
        <v>316</v>
      </c>
      <c r="C29" s="265" t="s">
        <v>412</v>
      </c>
      <c r="D29" s="266" t="s">
        <v>121</v>
      </c>
      <c r="E29" s="297" t="s">
        <v>310</v>
      </c>
      <c r="F29" s="303" t="s">
        <v>421</v>
      </c>
      <c r="G29" s="303" t="s">
        <v>421</v>
      </c>
      <c r="H29" s="267"/>
      <c r="I29" s="259"/>
      <c r="J29" s="268"/>
      <c r="K29" s="261"/>
      <c r="L29" s="268"/>
      <c r="M29" s="216"/>
      <c r="N29" s="216"/>
      <c r="O29" s="216"/>
      <c r="P29" s="261"/>
      <c r="Q29" s="268"/>
      <c r="R29" s="216"/>
      <c r="S29" s="216"/>
      <c r="T29" s="216"/>
      <c r="U29" s="261"/>
      <c r="V29" s="268"/>
      <c r="W29" s="217"/>
      <c r="X29" s="216"/>
      <c r="Y29" s="216"/>
      <c r="Z29" s="261"/>
      <c r="AA29" s="268"/>
      <c r="AB29" s="262"/>
      <c r="AC29" s="262"/>
      <c r="AD29" s="216"/>
      <c r="AE29" s="261"/>
      <c r="AF29" s="268"/>
      <c r="AG29" s="282"/>
      <c r="AH29" s="216"/>
      <c r="AI29" s="216"/>
      <c r="AJ29" s="261"/>
      <c r="AK29" s="268"/>
      <c r="AL29" s="216"/>
      <c r="AM29" s="216"/>
      <c r="AN29" s="216"/>
      <c r="AO29" s="261"/>
      <c r="AP29" s="268"/>
      <c r="AQ29" s="216"/>
      <c r="AR29" s="216"/>
      <c r="AS29" s="216"/>
      <c r="AT29" s="263"/>
      <c r="AU29" s="268"/>
      <c r="AV29" s="216"/>
      <c r="AW29" s="216"/>
      <c r="AX29" s="216"/>
      <c r="AY29" s="263"/>
      <c r="AZ29" s="268"/>
      <c r="BA29" s="216"/>
      <c r="BB29" s="216"/>
      <c r="BC29" s="216"/>
      <c r="BD29" s="263"/>
      <c r="BE29" s="268"/>
      <c r="BF29" s="216"/>
      <c r="BG29" s="216"/>
      <c r="BH29" s="216"/>
      <c r="BI29" s="263"/>
      <c r="BJ29" s="268"/>
      <c r="BK29" s="216"/>
      <c r="BL29" s="216"/>
      <c r="BM29" s="216"/>
      <c r="BN29" s="263"/>
    </row>
    <row r="30" spans="1:66">
      <c r="B30" s="269" t="s">
        <v>318</v>
      </c>
      <c r="C30" s="270" t="s">
        <v>404</v>
      </c>
      <c r="D30" s="266" t="s">
        <v>121</v>
      </c>
      <c r="E30" s="298" t="s">
        <v>310</v>
      </c>
      <c r="F30" s="295" t="s">
        <v>421</v>
      </c>
      <c r="G30" s="295" t="s">
        <v>421</v>
      </c>
      <c r="H30" s="271"/>
      <c r="I30" s="259"/>
      <c r="J30" s="268"/>
      <c r="K30" s="261"/>
      <c r="L30" s="268"/>
      <c r="M30" s="216"/>
      <c r="N30" s="216"/>
      <c r="O30" s="216"/>
      <c r="P30" s="261"/>
      <c r="Q30" s="268"/>
      <c r="R30" s="216"/>
      <c r="S30" s="216"/>
      <c r="T30" s="216"/>
      <c r="U30" s="261"/>
      <c r="V30" s="278"/>
      <c r="W30" s="216"/>
      <c r="X30" s="216"/>
      <c r="Y30" s="216"/>
      <c r="Z30" s="261"/>
      <c r="AA30" s="278"/>
      <c r="AB30" s="262"/>
      <c r="AC30" s="262"/>
      <c r="AD30" s="217"/>
      <c r="AE30" s="261"/>
      <c r="AF30" s="268"/>
      <c r="AG30" s="282"/>
      <c r="AH30" s="216"/>
      <c r="AI30" s="216"/>
      <c r="AJ30" s="261"/>
      <c r="AK30" s="268"/>
      <c r="AL30" s="216"/>
      <c r="AM30" s="216"/>
      <c r="AN30" s="216"/>
      <c r="AO30" s="261"/>
      <c r="AP30" s="268"/>
      <c r="AQ30" s="216"/>
      <c r="AR30" s="216"/>
      <c r="AS30" s="216"/>
      <c r="AT30" s="263"/>
      <c r="AU30" s="268"/>
      <c r="AV30" s="216"/>
      <c r="AW30" s="216"/>
      <c r="AX30" s="216"/>
      <c r="AY30" s="263"/>
      <c r="AZ30" s="268"/>
      <c r="BA30" s="216"/>
      <c r="BB30" s="216"/>
      <c r="BC30" s="216"/>
      <c r="BD30" s="263"/>
      <c r="BE30" s="268"/>
      <c r="BF30" s="216"/>
      <c r="BG30" s="216"/>
      <c r="BH30" s="216"/>
      <c r="BI30" s="263"/>
      <c r="BJ30" s="268"/>
      <c r="BK30" s="216"/>
      <c r="BL30" s="216"/>
      <c r="BM30" s="216"/>
      <c r="BN30" s="263"/>
    </row>
    <row r="31" spans="1:66" ht="18" thickBot="1">
      <c r="A31" s="272"/>
      <c r="B31" s="269" t="s">
        <v>319</v>
      </c>
      <c r="C31" s="270" t="s">
        <v>405</v>
      </c>
      <c r="D31" s="266" t="s">
        <v>121</v>
      </c>
      <c r="E31" s="298" t="s">
        <v>310</v>
      </c>
      <c r="F31" s="295" t="s">
        <v>421</v>
      </c>
      <c r="G31" s="295" t="s">
        <v>421</v>
      </c>
      <c r="H31" s="271"/>
      <c r="I31" s="259"/>
      <c r="J31" s="268"/>
      <c r="K31" s="261"/>
      <c r="L31" s="268"/>
      <c r="M31" s="216"/>
      <c r="N31" s="216"/>
      <c r="O31" s="216"/>
      <c r="P31" s="261"/>
      <c r="Q31" s="268"/>
      <c r="R31" s="216"/>
      <c r="S31" s="216"/>
      <c r="T31" s="216"/>
      <c r="U31" s="261"/>
      <c r="V31" s="278"/>
      <c r="W31" s="216"/>
      <c r="X31" s="216"/>
      <c r="Y31" s="216"/>
      <c r="Z31" s="261"/>
      <c r="AA31" s="278"/>
      <c r="AB31" s="262"/>
      <c r="AC31" s="262"/>
      <c r="AD31" s="217"/>
      <c r="AE31" s="261"/>
      <c r="AF31" s="268"/>
      <c r="AG31" s="282"/>
      <c r="AH31" s="216"/>
      <c r="AI31" s="216"/>
      <c r="AJ31" s="261"/>
      <c r="AK31" s="268"/>
      <c r="AL31" s="216"/>
      <c r="AM31" s="216"/>
      <c r="AN31" s="216"/>
      <c r="AO31" s="261"/>
      <c r="AP31" s="268"/>
      <c r="AQ31" s="216"/>
      <c r="AR31" s="217"/>
      <c r="AS31" s="217"/>
      <c r="AT31" s="289"/>
      <c r="AU31" s="268"/>
      <c r="AV31" s="216"/>
      <c r="AW31" s="216"/>
      <c r="AX31" s="216"/>
      <c r="AY31" s="263"/>
      <c r="AZ31" s="268"/>
      <c r="BA31" s="216"/>
      <c r="BB31" s="216"/>
      <c r="BC31" s="216"/>
      <c r="BD31" s="263"/>
      <c r="BE31" s="268"/>
      <c r="BF31" s="216"/>
      <c r="BG31" s="216"/>
      <c r="BH31" s="216"/>
      <c r="BI31" s="263"/>
      <c r="BJ31" s="268"/>
      <c r="BK31" s="216"/>
      <c r="BL31" s="216"/>
      <c r="BM31" s="216"/>
      <c r="BN31" s="263"/>
    </row>
    <row r="32" spans="1:66" ht="3.75" customHeight="1" thickBot="1">
      <c r="B32" s="253"/>
      <c r="C32" s="254"/>
      <c r="D32" s="254"/>
      <c r="E32" s="242"/>
      <c r="F32" s="273"/>
      <c r="G32" s="273"/>
      <c r="H32" s="273"/>
      <c r="I32" s="254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  <c r="AX32" s="255"/>
      <c r="AY32" s="255"/>
      <c r="AZ32" s="255"/>
      <c r="BA32" s="255"/>
      <c r="BB32" s="255"/>
      <c r="BC32" s="255"/>
      <c r="BD32" s="255"/>
      <c r="BE32" s="255"/>
      <c r="BF32" s="255"/>
      <c r="BG32" s="255"/>
      <c r="BH32" s="255"/>
      <c r="BI32" s="255"/>
      <c r="BJ32" s="255"/>
      <c r="BK32" s="255"/>
      <c r="BL32" s="255"/>
      <c r="BM32" s="255"/>
      <c r="BN32" s="255"/>
    </row>
    <row r="33" spans="1:66">
      <c r="A33" s="272"/>
      <c r="B33" s="256" t="s">
        <v>189</v>
      </c>
      <c r="C33" s="256" t="s">
        <v>327</v>
      </c>
      <c r="D33" s="258"/>
      <c r="E33" s="244"/>
      <c r="F33" s="276"/>
      <c r="G33" s="276"/>
      <c r="H33" s="258"/>
      <c r="I33" s="259"/>
      <c r="J33" s="260"/>
      <c r="K33" s="261"/>
      <c r="L33" s="268"/>
      <c r="M33" s="216"/>
      <c r="N33" s="216"/>
      <c r="O33" s="216"/>
      <c r="P33" s="261"/>
      <c r="Q33" s="268"/>
      <c r="R33" s="216"/>
      <c r="S33" s="216"/>
      <c r="T33" s="216"/>
      <c r="U33" s="261"/>
      <c r="V33" s="268"/>
      <c r="W33" s="216"/>
      <c r="X33" s="216"/>
      <c r="Y33" s="216"/>
      <c r="Z33" s="261"/>
      <c r="AA33" s="268"/>
      <c r="AB33" s="262"/>
      <c r="AC33" s="262"/>
      <c r="AD33" s="216"/>
      <c r="AE33" s="261"/>
      <c r="AF33" s="268"/>
      <c r="AG33" s="282"/>
      <c r="AH33" s="216"/>
      <c r="AI33" s="216"/>
      <c r="AJ33" s="261"/>
      <c r="AK33" s="268"/>
      <c r="AL33" s="216"/>
      <c r="AM33" s="216"/>
      <c r="AN33" s="216"/>
      <c r="AO33" s="261"/>
      <c r="AP33" s="268"/>
      <c r="AQ33" s="216"/>
      <c r="AR33" s="216"/>
      <c r="AS33" s="216"/>
      <c r="AT33" s="263"/>
      <c r="AU33" s="268"/>
      <c r="AV33" s="216"/>
      <c r="AW33" s="216"/>
      <c r="AX33" s="216"/>
      <c r="AY33" s="263"/>
      <c r="AZ33" s="268"/>
      <c r="BA33" s="216"/>
      <c r="BB33" s="216"/>
      <c r="BC33" s="216"/>
      <c r="BD33" s="263"/>
      <c r="BE33" s="268"/>
      <c r="BF33" s="216"/>
      <c r="BG33" s="216"/>
      <c r="BH33" s="216"/>
      <c r="BI33" s="263"/>
      <c r="BJ33" s="268"/>
      <c r="BK33" s="216"/>
      <c r="BL33" s="216"/>
      <c r="BM33" s="216"/>
      <c r="BN33" s="263"/>
    </row>
    <row r="34" spans="1:66">
      <c r="B34" s="269" t="s">
        <v>320</v>
      </c>
      <c r="C34" s="270" t="s">
        <v>413</v>
      </c>
      <c r="D34" s="266" t="s">
        <v>415</v>
      </c>
      <c r="E34" s="245" t="s">
        <v>310</v>
      </c>
      <c r="F34" s="271" t="s">
        <v>15</v>
      </c>
      <c r="G34" s="271" t="s">
        <v>15</v>
      </c>
      <c r="H34" s="271"/>
      <c r="I34" s="259"/>
      <c r="J34" s="268"/>
      <c r="K34" s="261"/>
      <c r="L34" s="268"/>
      <c r="M34" s="216"/>
      <c r="N34" s="216"/>
      <c r="O34" s="216"/>
      <c r="P34" s="261"/>
      <c r="Q34" s="268"/>
      <c r="R34" s="216"/>
      <c r="S34" s="216"/>
      <c r="T34" s="216"/>
      <c r="U34" s="261"/>
      <c r="V34" s="278"/>
      <c r="W34" s="216"/>
      <c r="X34" s="216"/>
      <c r="Y34" s="216"/>
      <c r="Z34" s="261"/>
      <c r="AA34" s="278"/>
      <c r="AB34" s="262"/>
      <c r="AC34" s="262"/>
      <c r="AD34" s="216"/>
      <c r="AE34" s="261"/>
      <c r="AF34" s="268"/>
      <c r="AG34" s="282"/>
      <c r="AH34" s="216"/>
      <c r="AI34" s="216"/>
      <c r="AJ34" s="261"/>
      <c r="AK34" s="268"/>
      <c r="AL34" s="216"/>
      <c r="AM34" s="216"/>
      <c r="AN34" s="216"/>
      <c r="AO34" s="261"/>
      <c r="AP34" s="268"/>
      <c r="AQ34" s="216"/>
      <c r="AR34" s="216"/>
      <c r="AS34" s="216"/>
      <c r="AT34" s="263"/>
      <c r="AU34" s="268"/>
      <c r="AV34" s="216"/>
      <c r="AW34" s="216"/>
      <c r="AX34" s="216"/>
      <c r="AY34" s="263"/>
      <c r="AZ34" s="268"/>
      <c r="BA34" s="216"/>
      <c r="BB34" s="216"/>
      <c r="BC34" s="216"/>
      <c r="BD34" s="263"/>
      <c r="BE34" s="268"/>
      <c r="BF34" s="216"/>
      <c r="BG34" s="216"/>
      <c r="BH34" s="216"/>
      <c r="BI34" s="263"/>
      <c r="BJ34" s="268"/>
      <c r="BK34" s="216"/>
      <c r="BL34" s="216"/>
      <c r="BM34" s="216"/>
      <c r="BN34" s="263"/>
    </row>
    <row r="35" spans="1:66" ht="18" thickBot="1">
      <c r="B35" s="269" t="s">
        <v>328</v>
      </c>
      <c r="C35" s="270" t="s">
        <v>414</v>
      </c>
      <c r="D35" s="266" t="s">
        <v>121</v>
      </c>
      <c r="E35" s="245" t="s">
        <v>310</v>
      </c>
      <c r="F35" s="271">
        <v>45674</v>
      </c>
      <c r="G35" s="271"/>
      <c r="H35" s="271"/>
      <c r="I35" s="259"/>
      <c r="J35" s="268"/>
      <c r="K35" s="261"/>
      <c r="L35" s="268"/>
      <c r="M35" s="216"/>
      <c r="N35" s="216"/>
      <c r="O35" s="216"/>
      <c r="P35" s="261"/>
      <c r="Q35" s="268"/>
      <c r="R35" s="216"/>
      <c r="S35" s="216"/>
      <c r="T35" s="216"/>
      <c r="U35" s="293"/>
      <c r="V35" s="296"/>
      <c r="W35" s="294"/>
      <c r="X35" s="294"/>
      <c r="Y35" s="294"/>
      <c r="Z35" s="293"/>
      <c r="AA35" s="278"/>
      <c r="AB35" s="262"/>
      <c r="AC35" s="262"/>
      <c r="AD35" s="216"/>
      <c r="AE35" s="261"/>
      <c r="AF35" s="268"/>
      <c r="AG35" s="282"/>
      <c r="AH35" s="216"/>
      <c r="AI35" s="216"/>
      <c r="AJ35" s="261"/>
      <c r="AK35" s="268"/>
      <c r="AL35" s="216"/>
      <c r="AM35" s="216"/>
      <c r="AN35" s="216"/>
      <c r="AO35" s="261"/>
      <c r="AP35" s="268"/>
      <c r="AQ35" s="216"/>
      <c r="AR35" s="216"/>
      <c r="AS35" s="216"/>
      <c r="AT35" s="263"/>
      <c r="AU35" s="268"/>
      <c r="AV35" s="216"/>
      <c r="AW35" s="216"/>
      <c r="AX35" s="216"/>
      <c r="AY35" s="263"/>
      <c r="AZ35" s="268"/>
      <c r="BA35" s="216"/>
      <c r="BB35" s="216"/>
      <c r="BC35" s="216"/>
      <c r="BD35" s="263"/>
      <c r="BE35" s="268"/>
      <c r="BF35" s="216"/>
      <c r="BG35" s="216"/>
      <c r="BH35" s="216"/>
      <c r="BI35" s="263"/>
      <c r="BJ35" s="268"/>
      <c r="BK35" s="216"/>
      <c r="BL35" s="216"/>
      <c r="BM35" s="216"/>
      <c r="BN35" s="263"/>
    </row>
    <row r="36" spans="1:66" ht="3.75" customHeight="1" thickBot="1">
      <c r="B36" s="253"/>
      <c r="C36" s="254"/>
      <c r="D36" s="254"/>
      <c r="E36" s="273"/>
      <c r="F36" s="273"/>
      <c r="G36" s="273"/>
      <c r="H36" s="273"/>
      <c r="I36" s="254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  <c r="AX36" s="255"/>
      <c r="AY36" s="255"/>
      <c r="AZ36" s="255"/>
      <c r="BA36" s="255"/>
      <c r="BB36" s="255"/>
      <c r="BC36" s="255"/>
      <c r="BD36" s="255"/>
      <c r="BE36" s="255"/>
      <c r="BF36" s="255"/>
      <c r="BG36" s="255"/>
      <c r="BH36" s="255"/>
      <c r="BI36" s="255"/>
      <c r="BJ36" s="255"/>
      <c r="BK36" s="255"/>
      <c r="BL36" s="255"/>
      <c r="BM36" s="255"/>
      <c r="BN36" s="255"/>
    </row>
    <row r="38" spans="1:66">
      <c r="B38" s="279" t="s">
        <v>321</v>
      </c>
    </row>
    <row r="39" spans="1:66" ht="6.9" customHeight="1">
      <c r="B39" s="281"/>
    </row>
    <row r="40" spans="1:66">
      <c r="B40" s="282"/>
      <c r="C40" s="283" t="s">
        <v>322</v>
      </c>
    </row>
    <row r="41" spans="1:66" ht="6.9" customHeight="1"/>
    <row r="42" spans="1:66">
      <c r="B42" s="173" t="s">
        <v>310</v>
      </c>
      <c r="C42" s="38" t="s">
        <v>109</v>
      </c>
    </row>
    <row r="43" spans="1:66">
      <c r="B43" s="174" t="s">
        <v>310</v>
      </c>
      <c r="C43" s="38" t="s">
        <v>323</v>
      </c>
    </row>
    <row r="44" spans="1:66">
      <c r="B44" s="175" t="s">
        <v>310</v>
      </c>
      <c r="C44" s="38" t="s">
        <v>324</v>
      </c>
    </row>
    <row r="45" spans="1:66">
      <c r="B45" s="285" t="s">
        <v>317</v>
      </c>
      <c r="C45" s="38" t="s">
        <v>325</v>
      </c>
    </row>
    <row r="46" spans="1:66">
      <c r="B46" s="286"/>
    </row>
  </sheetData>
  <mergeCells count="25">
    <mergeCell ref="BJ9:BN9"/>
    <mergeCell ref="J8:K8"/>
    <mergeCell ref="J9:K9"/>
    <mergeCell ref="AF9:AJ9"/>
    <mergeCell ref="AK9:AO9"/>
    <mergeCell ref="AP9:AT9"/>
    <mergeCell ref="AU9:AY9"/>
    <mergeCell ref="AZ9:BD9"/>
    <mergeCell ref="L9:P9"/>
    <mergeCell ref="Q9:U9"/>
    <mergeCell ref="V9:Z9"/>
    <mergeCell ref="AA9:AE9"/>
    <mergeCell ref="BJ8:BN8"/>
    <mergeCell ref="AF8:AJ8"/>
    <mergeCell ref="AK8:AO8"/>
    <mergeCell ref="AU8:AY8"/>
    <mergeCell ref="AZ8:BD8"/>
    <mergeCell ref="BE8:BI8"/>
    <mergeCell ref="AA8:AE8"/>
    <mergeCell ref="BE9:BI9"/>
    <mergeCell ref="F8:G8"/>
    <mergeCell ref="L8:P8"/>
    <mergeCell ref="Q8:U8"/>
    <mergeCell ref="V8:Z8"/>
    <mergeCell ref="AP8:AT8"/>
  </mergeCells>
  <conditionalFormatting sqref="D12:E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F12:I12">
    <cfRule type="iconSet" priority="27">
      <iconSet>
        <cfvo type="percent" val="0"/>
        <cfvo type="percent" val="0" gte="0"/>
        <cfvo type="percent" val="100"/>
      </iconSet>
    </cfRule>
  </conditionalFormatting>
  <conditionalFormatting sqref="F15:I15">
    <cfRule type="iconSet" priority="22">
      <iconSet>
        <cfvo type="percent" val="0"/>
        <cfvo type="percent" val="0" gte="0"/>
        <cfvo type="percent" val="100"/>
      </iconSet>
    </cfRule>
  </conditionalFormatting>
  <conditionalFormatting sqref="F18:I18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7:I27">
    <cfRule type="iconSet" priority="15">
      <iconSet>
        <cfvo type="percent" val="0"/>
        <cfvo type="percent" val="0" gte="0"/>
        <cfvo type="percent" val="100"/>
      </iconSet>
    </cfRule>
  </conditionalFormatting>
  <conditionalFormatting sqref="F32:I32">
    <cfRule type="iconSet" priority="17">
      <iconSet>
        <cfvo type="percent" val="0"/>
        <cfvo type="percent" val="0" gte="0"/>
        <cfvo type="percent" val="100"/>
      </iconSet>
    </cfRule>
  </conditionalFormatting>
  <conditionalFormatting sqref="F36:I36">
    <cfRule type="iconSet" priority="4">
      <iconSet>
        <cfvo type="percent" val="0"/>
        <cfvo type="percent" val="0" gte="0"/>
        <cfvo type="percent" val="100"/>
      </iconSet>
    </cfRule>
  </conditionalFormatting>
  <conditionalFormatting sqref="I4">
    <cfRule type="cellIs" dxfId="27" priority="23" operator="equal">
      <formula>"Em Análise"</formula>
    </cfRule>
    <cfRule type="cellIs" dxfId="26" priority="24" operator="equal">
      <formula>"OK"</formula>
    </cfRule>
    <cfRule type="cellIs" dxfId="25" priority="25" operator="equal">
      <formula>"NOK"</formula>
    </cfRule>
  </conditionalFormatting>
  <conditionalFormatting sqref="I10">
    <cfRule type="iconSet" priority="2">
      <iconSet>
        <cfvo type="percent" val="0"/>
        <cfvo type="percent" val="0" gte="0"/>
        <cfvo type="percent" val="100"/>
      </iconSet>
    </cfRule>
  </conditionalFormatting>
  <conditionalFormatting sqref="I11">
    <cfRule type="iconSet" priority="3">
      <iconSet>
        <cfvo type="percent" val="0"/>
        <cfvo type="percent" val="0" gte="0"/>
        <cfvo type="percent" val="100"/>
      </iconSet>
    </cfRule>
  </conditionalFormatting>
  <conditionalFormatting sqref="I13">
    <cfRule type="iconSet" priority="26">
      <iconSet>
        <cfvo type="percent" val="0"/>
        <cfvo type="percent" val="0" gte="0"/>
        <cfvo type="percent" val="100"/>
      </iconSet>
    </cfRule>
  </conditionalFormatting>
  <conditionalFormatting sqref="I16">
    <cfRule type="iconSet" priority="21">
      <iconSet>
        <cfvo type="percent" val="0"/>
        <cfvo type="percent" val="0" gte="0"/>
        <cfvo type="percent" val="100"/>
      </iconSet>
    </cfRule>
  </conditionalFormatting>
  <conditionalFormatting sqref="I17 I14">
    <cfRule type="iconSet" priority="129">
      <iconSet>
        <cfvo type="percent" val="0"/>
        <cfvo type="percent" val="0" gte="0"/>
        <cfvo type="percent" val="100"/>
      </iconSet>
    </cfRule>
  </conditionalFormatting>
  <conditionalFormatting sqref="I19">
    <cfRule type="iconSet" priority="16">
      <iconSet>
        <cfvo type="percent" val="0"/>
        <cfvo type="percent" val="0" gte="0"/>
        <cfvo type="percent" val="100"/>
      </iconSet>
    </cfRule>
  </conditionalFormatting>
  <conditionalFormatting sqref="I20:I26">
    <cfRule type="iconSet" priority="7">
      <iconSet>
        <cfvo type="percent" val="0"/>
        <cfvo type="percent" val="0" gte="0"/>
        <cfvo type="percent" val="100"/>
      </iconSet>
    </cfRule>
  </conditionalFormatting>
  <conditionalFormatting sqref="I28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9:I31">
    <cfRule type="iconSet" priority="128">
      <iconSet>
        <cfvo type="percent" val="0"/>
        <cfvo type="percent" val="0" gte="0"/>
        <cfvo type="percent" val="100"/>
      </iconSet>
    </cfRule>
  </conditionalFormatting>
  <conditionalFormatting sqref="I33">
    <cfRule type="iconSet" priority="6">
      <iconSet>
        <cfvo type="percent" val="0"/>
        <cfvo type="percent" val="0" gte="0"/>
        <cfvo type="percent" val="100"/>
      </iconSet>
    </cfRule>
  </conditionalFormatting>
  <conditionalFormatting sqref="I34:I35">
    <cfRule type="iconSet" priority="5">
      <iconSet>
        <cfvo type="percent" val="0"/>
        <cfvo type="percent" val="0" gte="0"/>
        <cfvo type="percent" val="100"/>
      </iconSet>
    </cfRule>
  </conditionalFormatting>
  <conditionalFormatting sqref="J37:BN41">
    <cfRule type="cellIs" dxfId="24" priority="9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772-9038-4477-984F-8378D4AC0587}">
  <dimension ref="B3:I72"/>
  <sheetViews>
    <sheetView tabSelected="1" workbookViewId="0">
      <selection activeCell="E4" sqref="E4"/>
    </sheetView>
  </sheetViews>
  <sheetFormatPr defaultRowHeight="13.2"/>
  <cols>
    <col min="1" max="1" width="8.796875" style="336"/>
    <col min="2" max="2" width="29" style="336" bestFit="1" customWidth="1"/>
    <col min="3" max="3" width="16.5" style="336" bestFit="1" customWidth="1"/>
    <col min="4" max="4" width="35.69921875" style="336" bestFit="1" customWidth="1"/>
    <col min="5" max="6" width="35.69921875" style="336" customWidth="1"/>
    <col min="7" max="7" width="29.8984375" style="336" bestFit="1" customWidth="1"/>
    <col min="8" max="8" width="19.796875" style="336" bestFit="1" customWidth="1"/>
    <col min="9" max="9" width="134.3984375" style="336" bestFit="1" customWidth="1"/>
    <col min="10" max="16384" width="8.796875" style="336"/>
  </cols>
  <sheetData>
    <row r="3" spans="2:9">
      <c r="B3" s="337" t="s">
        <v>498</v>
      </c>
      <c r="C3" s="337" t="s">
        <v>499</v>
      </c>
      <c r="D3" s="337" t="s">
        <v>500</v>
      </c>
      <c r="E3" s="337" t="s">
        <v>507</v>
      </c>
      <c r="F3" s="337"/>
      <c r="G3" s="337" t="s">
        <v>501</v>
      </c>
      <c r="H3" s="337" t="s">
        <v>502</v>
      </c>
      <c r="I3" s="337" t="s">
        <v>503</v>
      </c>
    </row>
    <row r="4" spans="2:9">
      <c r="B4" s="336" t="s">
        <v>251</v>
      </c>
      <c r="C4" s="336" t="s">
        <v>29</v>
      </c>
      <c r="D4" s="336" t="s">
        <v>79</v>
      </c>
      <c r="F4" s="336" t="s">
        <v>506</v>
      </c>
      <c r="G4" s="336" t="s">
        <v>268</v>
      </c>
      <c r="H4" s="336" t="s">
        <v>466</v>
      </c>
      <c r="I4" s="336" t="s">
        <v>485</v>
      </c>
    </row>
    <row r="5" spans="2:9">
      <c r="B5" s="336" t="s">
        <v>251</v>
      </c>
      <c r="C5" s="336" t="s">
        <v>29</v>
      </c>
      <c r="D5" s="336" t="s">
        <v>60</v>
      </c>
      <c r="F5" s="336" t="s">
        <v>506</v>
      </c>
      <c r="G5" s="336" t="s">
        <v>268</v>
      </c>
      <c r="H5" s="336" t="s">
        <v>467</v>
      </c>
      <c r="I5" s="336" t="s">
        <v>485</v>
      </c>
    </row>
    <row r="6" spans="2:9">
      <c r="B6" s="336" t="s">
        <v>251</v>
      </c>
      <c r="C6" s="336" t="s">
        <v>29</v>
      </c>
      <c r="D6" s="336" t="s">
        <v>80</v>
      </c>
      <c r="F6" s="336" t="s">
        <v>506</v>
      </c>
      <c r="G6" s="336" t="s">
        <v>268</v>
      </c>
      <c r="H6" s="336" t="s">
        <v>466</v>
      </c>
      <c r="I6" s="336" t="s">
        <v>485</v>
      </c>
    </row>
    <row r="7" spans="2:9">
      <c r="B7" s="336" t="s">
        <v>251</v>
      </c>
      <c r="C7" s="336" t="s">
        <v>29</v>
      </c>
      <c r="D7" s="336" t="s">
        <v>81</v>
      </c>
      <c r="F7" s="336" t="s">
        <v>506</v>
      </c>
      <c r="G7" s="336" t="s">
        <v>268</v>
      </c>
      <c r="H7" s="336" t="s">
        <v>466</v>
      </c>
      <c r="I7" s="336" t="s">
        <v>485</v>
      </c>
    </row>
    <row r="8" spans="2:9">
      <c r="B8" s="336" t="s">
        <v>251</v>
      </c>
      <c r="C8" s="336" t="s">
        <v>29</v>
      </c>
      <c r="D8" s="336" t="s">
        <v>82</v>
      </c>
      <c r="G8" s="336" t="s">
        <v>40</v>
      </c>
      <c r="H8" s="336" t="s">
        <v>467</v>
      </c>
    </row>
    <row r="9" spans="2:9">
      <c r="B9" s="336" t="s">
        <v>251</v>
      </c>
      <c r="C9" s="336" t="s">
        <v>29</v>
      </c>
      <c r="D9" s="336" t="s">
        <v>83</v>
      </c>
      <c r="F9" s="336" t="s">
        <v>506</v>
      </c>
      <c r="G9" s="336" t="s">
        <v>268</v>
      </c>
      <c r="H9" s="336" t="s">
        <v>466</v>
      </c>
      <c r="I9" s="336" t="s">
        <v>485</v>
      </c>
    </row>
    <row r="10" spans="2:9">
      <c r="B10" s="336" t="s">
        <v>251</v>
      </c>
      <c r="C10" s="336" t="s">
        <v>29</v>
      </c>
      <c r="D10" s="336" t="s">
        <v>61</v>
      </c>
      <c r="G10" s="336" t="s">
        <v>274</v>
      </c>
      <c r="H10" s="336" t="s">
        <v>466</v>
      </c>
      <c r="I10" s="336" t="s">
        <v>486</v>
      </c>
    </row>
    <row r="11" spans="2:9">
      <c r="B11" s="336" t="s">
        <v>251</v>
      </c>
      <c r="C11" s="336" t="s">
        <v>29</v>
      </c>
      <c r="D11" s="336" t="s">
        <v>84</v>
      </c>
      <c r="G11" s="336" t="s">
        <v>40</v>
      </c>
      <c r="H11" s="336" t="s">
        <v>467</v>
      </c>
    </row>
    <row r="12" spans="2:9">
      <c r="B12" s="336" t="s">
        <v>251</v>
      </c>
      <c r="C12" s="336" t="s">
        <v>29</v>
      </c>
      <c r="D12" s="336" t="s">
        <v>85</v>
      </c>
      <c r="F12" s="336" t="s">
        <v>506</v>
      </c>
      <c r="G12" s="336" t="s">
        <v>268</v>
      </c>
      <c r="H12" s="336" t="s">
        <v>466</v>
      </c>
      <c r="I12" s="336" t="s">
        <v>485</v>
      </c>
    </row>
    <row r="13" spans="2:9">
      <c r="B13" s="336" t="s">
        <v>251</v>
      </c>
      <c r="C13" s="336" t="s">
        <v>29</v>
      </c>
      <c r="D13" s="336" t="s">
        <v>86</v>
      </c>
      <c r="F13" s="336" t="s">
        <v>506</v>
      </c>
      <c r="G13" s="336" t="s">
        <v>268</v>
      </c>
      <c r="H13" s="336" t="s">
        <v>466</v>
      </c>
      <c r="I13" s="336" t="s">
        <v>485</v>
      </c>
    </row>
    <row r="14" spans="2:9">
      <c r="B14" s="336" t="s">
        <v>376</v>
      </c>
      <c r="C14" s="336" t="s">
        <v>29</v>
      </c>
      <c r="D14" s="336" t="s">
        <v>62</v>
      </c>
      <c r="E14" s="336" t="s">
        <v>504</v>
      </c>
      <c r="F14" s="336" t="s">
        <v>505</v>
      </c>
      <c r="G14" s="336" t="s">
        <v>40</v>
      </c>
      <c r="H14" s="336" t="s">
        <v>467</v>
      </c>
      <c r="I14" s="336" t="s">
        <v>388</v>
      </c>
    </row>
    <row r="15" spans="2:9">
      <c r="B15" s="336" t="s">
        <v>376</v>
      </c>
      <c r="C15" s="336" t="s">
        <v>29</v>
      </c>
      <c r="D15" s="336" t="s">
        <v>87</v>
      </c>
      <c r="E15" s="336" t="s">
        <v>504</v>
      </c>
      <c r="F15" s="336" t="s">
        <v>505</v>
      </c>
      <c r="G15" s="336" t="s">
        <v>40</v>
      </c>
      <c r="H15" s="336" t="s">
        <v>467</v>
      </c>
      <c r="I15" s="336" t="s">
        <v>388</v>
      </c>
    </row>
    <row r="16" spans="2:9">
      <c r="B16" s="336" t="s">
        <v>376</v>
      </c>
      <c r="C16" s="336" t="s">
        <v>29</v>
      </c>
      <c r="D16" s="336" t="s">
        <v>88</v>
      </c>
      <c r="E16" s="336" t="s">
        <v>504</v>
      </c>
      <c r="F16" s="336" t="s">
        <v>505</v>
      </c>
      <c r="G16" s="336" t="s">
        <v>40</v>
      </c>
      <c r="H16" s="336" t="s">
        <v>467</v>
      </c>
      <c r="I16" s="336" t="s">
        <v>388</v>
      </c>
    </row>
    <row r="17" spans="2:9">
      <c r="B17" s="336" t="s">
        <v>376</v>
      </c>
      <c r="C17" s="336" t="s">
        <v>29</v>
      </c>
      <c r="D17" s="336" t="s">
        <v>89</v>
      </c>
      <c r="E17" s="336" t="s">
        <v>504</v>
      </c>
      <c r="F17" s="336" t="s">
        <v>505</v>
      </c>
      <c r="G17" s="336" t="s">
        <v>40</v>
      </c>
      <c r="H17" s="336" t="s">
        <v>467</v>
      </c>
      <c r="I17" s="336" t="s">
        <v>388</v>
      </c>
    </row>
    <row r="18" spans="2:9">
      <c r="B18" s="336" t="s">
        <v>251</v>
      </c>
      <c r="C18" s="336" t="s">
        <v>29</v>
      </c>
      <c r="D18" s="336" t="s">
        <v>90</v>
      </c>
      <c r="F18" s="336" t="s">
        <v>506</v>
      </c>
      <c r="G18" s="336" t="s">
        <v>268</v>
      </c>
      <c r="H18" s="336" t="s">
        <v>466</v>
      </c>
      <c r="I18" s="336" t="s">
        <v>485</v>
      </c>
    </row>
    <row r="19" spans="2:9">
      <c r="B19" s="336" t="s">
        <v>251</v>
      </c>
      <c r="C19" s="336" t="s">
        <v>29</v>
      </c>
      <c r="D19" s="336" t="s">
        <v>91</v>
      </c>
      <c r="G19" s="336" t="s">
        <v>40</v>
      </c>
      <c r="H19" s="336" t="s">
        <v>467</v>
      </c>
    </row>
    <row r="20" spans="2:9">
      <c r="B20" s="336" t="s">
        <v>251</v>
      </c>
      <c r="C20" s="336" t="s">
        <v>29</v>
      </c>
      <c r="D20" s="336" t="s">
        <v>92</v>
      </c>
      <c r="F20" s="336" t="s">
        <v>506</v>
      </c>
      <c r="G20" s="336" t="s">
        <v>268</v>
      </c>
      <c r="H20" s="336" t="s">
        <v>466</v>
      </c>
      <c r="I20" s="336" t="s">
        <v>485</v>
      </c>
    </row>
    <row r="21" spans="2:9">
      <c r="B21" s="336" t="s">
        <v>251</v>
      </c>
      <c r="C21" s="336" t="s">
        <v>29</v>
      </c>
      <c r="D21" s="336" t="s">
        <v>93</v>
      </c>
      <c r="F21" s="336" t="s">
        <v>506</v>
      </c>
      <c r="G21" s="336" t="s">
        <v>268</v>
      </c>
      <c r="H21" s="336" t="s">
        <v>466</v>
      </c>
      <c r="I21" s="336" t="s">
        <v>485</v>
      </c>
    </row>
    <row r="22" spans="2:9">
      <c r="B22" s="336" t="s">
        <v>251</v>
      </c>
      <c r="C22" s="336" t="s">
        <v>29</v>
      </c>
      <c r="D22" s="336" t="s">
        <v>94</v>
      </c>
      <c r="G22" s="336" t="s">
        <v>40</v>
      </c>
      <c r="H22" s="336" t="s">
        <v>467</v>
      </c>
    </row>
    <row r="23" spans="2:9">
      <c r="B23" s="336" t="s">
        <v>251</v>
      </c>
      <c r="C23" s="336" t="s">
        <v>29</v>
      </c>
      <c r="D23" s="336" t="s">
        <v>95</v>
      </c>
      <c r="F23" s="336" t="s">
        <v>506</v>
      </c>
      <c r="G23" s="336" t="s">
        <v>268</v>
      </c>
      <c r="H23" s="336" t="s">
        <v>466</v>
      </c>
      <c r="I23" s="336" t="s">
        <v>485</v>
      </c>
    </row>
    <row r="24" spans="2:9">
      <c r="B24" s="336" t="s">
        <v>251</v>
      </c>
      <c r="C24" s="336" t="s">
        <v>29</v>
      </c>
      <c r="D24" s="336" t="s">
        <v>96</v>
      </c>
      <c r="F24" s="336" t="s">
        <v>506</v>
      </c>
      <c r="G24" s="336" t="s">
        <v>268</v>
      </c>
      <c r="H24" s="336" t="s">
        <v>466</v>
      </c>
      <c r="I24" s="336" t="s">
        <v>485</v>
      </c>
    </row>
    <row r="25" spans="2:9">
      <c r="B25" s="336" t="s">
        <v>251</v>
      </c>
      <c r="C25" s="336" t="s">
        <v>29</v>
      </c>
      <c r="D25" s="336" t="s">
        <v>97</v>
      </c>
      <c r="G25" s="336" t="s">
        <v>40</v>
      </c>
      <c r="H25" s="336" t="s">
        <v>466</v>
      </c>
      <c r="I25" s="336" t="s">
        <v>486</v>
      </c>
    </row>
    <row r="26" spans="2:9">
      <c r="B26" s="336" t="s">
        <v>251</v>
      </c>
      <c r="C26" s="336" t="s">
        <v>29</v>
      </c>
      <c r="D26" s="336" t="s">
        <v>98</v>
      </c>
      <c r="G26" s="336" t="s">
        <v>40</v>
      </c>
      <c r="H26" s="336" t="s">
        <v>466</v>
      </c>
      <c r="I26" s="336" t="s">
        <v>486</v>
      </c>
    </row>
    <row r="27" spans="2:9">
      <c r="B27" s="336" t="s">
        <v>251</v>
      </c>
      <c r="C27" s="336" t="s">
        <v>29</v>
      </c>
      <c r="D27" s="336" t="s">
        <v>99</v>
      </c>
      <c r="G27" s="336" t="s">
        <v>40</v>
      </c>
      <c r="H27" s="336" t="s">
        <v>466</v>
      </c>
      <c r="I27" s="336" t="s">
        <v>486</v>
      </c>
    </row>
    <row r="28" spans="2:9">
      <c r="B28" s="336" t="s">
        <v>251</v>
      </c>
      <c r="C28" s="336" t="s">
        <v>29</v>
      </c>
      <c r="D28" s="336" t="s">
        <v>100</v>
      </c>
      <c r="G28" s="336" t="s">
        <v>40</v>
      </c>
      <c r="H28" s="336" t="s">
        <v>466</v>
      </c>
      <c r="I28" s="336" t="s">
        <v>486</v>
      </c>
    </row>
    <row r="29" spans="2:9">
      <c r="B29" s="336" t="s">
        <v>251</v>
      </c>
      <c r="C29" s="336" t="s">
        <v>29</v>
      </c>
      <c r="D29" s="336" t="s">
        <v>101</v>
      </c>
      <c r="G29" s="336" t="s">
        <v>40</v>
      </c>
      <c r="H29" s="336" t="s">
        <v>466</v>
      </c>
      <c r="I29" s="336" t="s">
        <v>486</v>
      </c>
    </row>
    <row r="30" spans="2:9">
      <c r="B30" s="336" t="s">
        <v>251</v>
      </c>
      <c r="C30" s="336" t="s">
        <v>29</v>
      </c>
      <c r="D30" s="336" t="s">
        <v>63</v>
      </c>
      <c r="G30" s="336" t="s">
        <v>40</v>
      </c>
      <c r="H30" s="336" t="s">
        <v>466</v>
      </c>
      <c r="I30" s="336" t="s">
        <v>486</v>
      </c>
    </row>
    <row r="31" spans="2:9">
      <c r="B31" s="336" t="s">
        <v>251</v>
      </c>
      <c r="C31" s="336" t="s">
        <v>29</v>
      </c>
      <c r="D31" s="336" t="s">
        <v>102</v>
      </c>
      <c r="G31" s="336" t="s">
        <v>40</v>
      </c>
      <c r="H31" s="336" t="s">
        <v>466</v>
      </c>
      <c r="I31" s="336" t="s">
        <v>486</v>
      </c>
    </row>
    <row r="32" spans="2:9">
      <c r="B32" s="336" t="s">
        <v>251</v>
      </c>
      <c r="C32" s="336" t="s">
        <v>29</v>
      </c>
      <c r="D32" s="336" t="s">
        <v>103</v>
      </c>
      <c r="G32" s="336" t="s">
        <v>40</v>
      </c>
      <c r="H32" s="336" t="s">
        <v>466</v>
      </c>
      <c r="I32" s="336" t="s">
        <v>486</v>
      </c>
    </row>
    <row r="33" spans="2:9">
      <c r="B33" s="336" t="s">
        <v>377</v>
      </c>
      <c r="C33" s="336" t="s">
        <v>29</v>
      </c>
      <c r="D33" s="336" t="s">
        <v>110</v>
      </c>
      <c r="G33" s="336" t="s">
        <v>40</v>
      </c>
      <c r="H33" s="336" t="s">
        <v>467</v>
      </c>
    </row>
    <row r="34" spans="2:9">
      <c r="B34" s="336" t="s">
        <v>447</v>
      </c>
      <c r="C34" s="336" t="s">
        <v>29</v>
      </c>
      <c r="D34" s="336" t="s">
        <v>111</v>
      </c>
      <c r="G34" s="336" t="s">
        <v>274</v>
      </c>
      <c r="H34" s="336" t="s">
        <v>467</v>
      </c>
      <c r="I34" s="336" t="s">
        <v>474</v>
      </c>
    </row>
    <row r="35" spans="2:9">
      <c r="B35" s="336" t="s">
        <v>447</v>
      </c>
      <c r="C35" s="336" t="s">
        <v>29</v>
      </c>
      <c r="D35" s="336" t="s">
        <v>112</v>
      </c>
      <c r="G35" s="336" t="s">
        <v>274</v>
      </c>
      <c r="H35" s="336" t="s">
        <v>467</v>
      </c>
      <c r="I35" s="336" t="s">
        <v>475</v>
      </c>
    </row>
    <row r="36" spans="2:9">
      <c r="B36" s="336" t="s">
        <v>377</v>
      </c>
      <c r="C36" s="336" t="s">
        <v>29</v>
      </c>
      <c r="D36" s="336" t="s">
        <v>51</v>
      </c>
      <c r="G36" s="336" t="s">
        <v>40</v>
      </c>
      <c r="H36" s="336" t="s">
        <v>467</v>
      </c>
    </row>
    <row r="37" spans="2:9">
      <c r="B37" s="336" t="s">
        <v>377</v>
      </c>
      <c r="C37" s="336" t="s">
        <v>29</v>
      </c>
      <c r="D37" s="336" t="s">
        <v>68</v>
      </c>
      <c r="G37" s="336" t="s">
        <v>40</v>
      </c>
      <c r="H37" s="336" t="s">
        <v>467</v>
      </c>
    </row>
    <row r="38" spans="2:9">
      <c r="B38" s="336" t="s">
        <v>377</v>
      </c>
      <c r="C38" s="336" t="s">
        <v>29</v>
      </c>
      <c r="D38" s="336" t="s">
        <v>52</v>
      </c>
      <c r="G38" s="336" t="s">
        <v>40</v>
      </c>
      <c r="H38" s="336" t="s">
        <v>467</v>
      </c>
    </row>
    <row r="39" spans="2:9">
      <c r="B39" s="336" t="s">
        <v>447</v>
      </c>
      <c r="C39" s="336" t="s">
        <v>29</v>
      </c>
      <c r="D39" s="336" t="s">
        <v>55</v>
      </c>
      <c r="G39" s="336" t="s">
        <v>274</v>
      </c>
      <c r="H39" s="336" t="s">
        <v>467</v>
      </c>
      <c r="I39" s="336" t="s">
        <v>476</v>
      </c>
    </row>
    <row r="40" spans="2:9">
      <c r="B40" s="336" t="s">
        <v>377</v>
      </c>
      <c r="C40" s="336" t="s">
        <v>29</v>
      </c>
      <c r="D40" s="336" t="s">
        <v>69</v>
      </c>
      <c r="G40" s="336" t="s">
        <v>274</v>
      </c>
      <c r="H40" s="336" t="s">
        <v>467</v>
      </c>
      <c r="I40" s="336" t="s">
        <v>487</v>
      </c>
    </row>
    <row r="41" spans="2:9">
      <c r="B41" s="336" t="s">
        <v>377</v>
      </c>
      <c r="C41" s="336" t="s">
        <v>29</v>
      </c>
      <c r="D41" s="336" t="s">
        <v>56</v>
      </c>
      <c r="G41" s="336" t="s">
        <v>274</v>
      </c>
      <c r="H41" s="336" t="s">
        <v>467</v>
      </c>
      <c r="I41" s="336" t="s">
        <v>487</v>
      </c>
    </row>
    <row r="42" spans="2:9">
      <c r="B42" s="336" t="s">
        <v>377</v>
      </c>
      <c r="C42" s="336" t="s">
        <v>29</v>
      </c>
      <c r="D42" s="336" t="s">
        <v>70</v>
      </c>
      <c r="G42" s="336" t="s">
        <v>40</v>
      </c>
      <c r="H42" s="336" t="s">
        <v>466</v>
      </c>
      <c r="I42" s="336" t="s">
        <v>491</v>
      </c>
    </row>
    <row r="43" spans="2:9">
      <c r="B43" s="336" t="s">
        <v>377</v>
      </c>
      <c r="C43" s="336" t="s">
        <v>29</v>
      </c>
      <c r="D43" s="336" t="s">
        <v>71</v>
      </c>
      <c r="G43" s="336" t="s">
        <v>40</v>
      </c>
      <c r="H43" s="336" t="s">
        <v>467</v>
      </c>
    </row>
    <row r="44" spans="2:9">
      <c r="B44" s="336" t="s">
        <v>377</v>
      </c>
      <c r="C44" s="336" t="s">
        <v>29</v>
      </c>
      <c r="D44" s="336" t="s">
        <v>72</v>
      </c>
      <c r="G44" s="336" t="s">
        <v>40</v>
      </c>
      <c r="H44" s="336" t="s">
        <v>467</v>
      </c>
    </row>
    <row r="45" spans="2:9">
      <c r="B45" s="336" t="s">
        <v>377</v>
      </c>
      <c r="C45" s="336" t="s">
        <v>29</v>
      </c>
      <c r="D45" s="336" t="s">
        <v>73</v>
      </c>
      <c r="G45" s="336" t="s">
        <v>40</v>
      </c>
      <c r="H45" s="336" t="s">
        <v>466</v>
      </c>
      <c r="I45" s="336" t="s">
        <v>491</v>
      </c>
    </row>
    <row r="46" spans="2:9">
      <c r="B46" s="336" t="s">
        <v>447</v>
      </c>
      <c r="C46" s="336" t="s">
        <v>29</v>
      </c>
      <c r="D46" s="336" t="s">
        <v>74</v>
      </c>
      <c r="G46" s="336" t="s">
        <v>274</v>
      </c>
      <c r="H46" s="336" t="s">
        <v>467</v>
      </c>
      <c r="I46" s="336" t="s">
        <v>477</v>
      </c>
    </row>
    <row r="47" spans="2:9">
      <c r="B47" s="336" t="s">
        <v>377</v>
      </c>
      <c r="C47" s="336" t="s">
        <v>29</v>
      </c>
      <c r="D47" s="336" t="s">
        <v>75</v>
      </c>
      <c r="G47" s="336" t="s">
        <v>40</v>
      </c>
      <c r="H47" s="336" t="s">
        <v>467</v>
      </c>
    </row>
    <row r="48" spans="2:9">
      <c r="B48" s="336" t="s">
        <v>447</v>
      </c>
      <c r="C48" s="336" t="s">
        <v>29</v>
      </c>
      <c r="D48" s="336" t="s">
        <v>76</v>
      </c>
      <c r="G48" s="336" t="s">
        <v>274</v>
      </c>
      <c r="H48" s="336" t="s">
        <v>467</v>
      </c>
      <c r="I48" s="336" t="s">
        <v>474</v>
      </c>
    </row>
    <row r="49" spans="2:9">
      <c r="B49" s="336" t="s">
        <v>377</v>
      </c>
      <c r="C49" s="336" t="s">
        <v>29</v>
      </c>
      <c r="D49" s="336" t="s">
        <v>77</v>
      </c>
      <c r="G49" s="336" t="s">
        <v>40</v>
      </c>
      <c r="H49" s="336" t="s">
        <v>467</v>
      </c>
    </row>
    <row r="50" spans="2:9">
      <c r="B50" s="336" t="s">
        <v>377</v>
      </c>
      <c r="C50" s="336" t="s">
        <v>29</v>
      </c>
      <c r="D50" s="336" t="s">
        <v>78</v>
      </c>
      <c r="G50" s="336" t="s">
        <v>40</v>
      </c>
      <c r="H50" s="336" t="s">
        <v>467</v>
      </c>
      <c r="I50" s="336" t="s">
        <v>490</v>
      </c>
    </row>
    <row r="51" spans="2:9">
      <c r="B51" s="336" t="s">
        <v>377</v>
      </c>
      <c r="C51" s="336" t="s">
        <v>29</v>
      </c>
      <c r="D51" s="336" t="s">
        <v>57</v>
      </c>
      <c r="G51" s="336" t="s">
        <v>40</v>
      </c>
      <c r="H51" s="336" t="s">
        <v>467</v>
      </c>
      <c r="I51" s="336" t="s">
        <v>488</v>
      </c>
    </row>
    <row r="52" spans="2:9">
      <c r="B52" s="336" t="s">
        <v>17</v>
      </c>
      <c r="C52" s="336" t="s">
        <v>29</v>
      </c>
      <c r="D52" s="336" t="s">
        <v>66</v>
      </c>
      <c r="G52" s="336" t="s">
        <v>274</v>
      </c>
      <c r="H52" s="336" t="s">
        <v>466</v>
      </c>
      <c r="I52" s="336" t="s">
        <v>474</v>
      </c>
    </row>
    <row r="53" spans="2:9">
      <c r="B53" s="336" t="s">
        <v>377</v>
      </c>
      <c r="C53" s="336" t="s">
        <v>275</v>
      </c>
      <c r="D53" s="336" t="s">
        <v>51</v>
      </c>
      <c r="G53" s="336" t="s">
        <v>40</v>
      </c>
      <c r="H53" s="336" t="s">
        <v>467</v>
      </c>
    </row>
    <row r="54" spans="2:9">
      <c r="B54" s="336" t="s">
        <v>377</v>
      </c>
      <c r="C54" s="336" t="s">
        <v>275</v>
      </c>
      <c r="D54" s="336" t="s">
        <v>52</v>
      </c>
      <c r="G54" s="336" t="s">
        <v>40</v>
      </c>
      <c r="H54" s="336" t="s">
        <v>467</v>
      </c>
    </row>
    <row r="55" spans="2:9">
      <c r="B55" s="336" t="s">
        <v>377</v>
      </c>
      <c r="C55" s="336" t="s">
        <v>275</v>
      </c>
      <c r="D55" s="336" t="s">
        <v>53</v>
      </c>
      <c r="G55" s="336" t="s">
        <v>40</v>
      </c>
      <c r="H55" s="336" t="s">
        <v>467</v>
      </c>
    </row>
    <row r="56" spans="2:9">
      <c r="B56" s="336" t="s">
        <v>377</v>
      </c>
      <c r="C56" s="336" t="s">
        <v>275</v>
      </c>
      <c r="D56" s="336" t="s">
        <v>113</v>
      </c>
      <c r="G56" s="336" t="s">
        <v>40</v>
      </c>
      <c r="H56" s="336" t="s">
        <v>467</v>
      </c>
    </row>
    <row r="57" spans="2:9">
      <c r="B57" s="336" t="s">
        <v>377</v>
      </c>
      <c r="C57" s="336" t="s">
        <v>28</v>
      </c>
      <c r="D57" s="336" t="s">
        <v>51</v>
      </c>
      <c r="G57" s="336" t="s">
        <v>40</v>
      </c>
      <c r="H57" s="336" t="s">
        <v>467</v>
      </c>
    </row>
    <row r="58" spans="2:9">
      <c r="B58" s="336" t="s">
        <v>377</v>
      </c>
      <c r="C58" s="336" t="s">
        <v>28</v>
      </c>
      <c r="D58" s="336" t="s">
        <v>52</v>
      </c>
      <c r="G58" s="336" t="s">
        <v>40</v>
      </c>
      <c r="H58" s="336" t="s">
        <v>467</v>
      </c>
    </row>
    <row r="59" spans="2:9">
      <c r="B59" s="336" t="s">
        <v>377</v>
      </c>
      <c r="C59" s="336" t="s">
        <v>28</v>
      </c>
      <c r="D59" s="336" t="s">
        <v>113</v>
      </c>
      <c r="G59" s="336" t="s">
        <v>40</v>
      </c>
      <c r="H59" s="336" t="s">
        <v>467</v>
      </c>
    </row>
    <row r="60" spans="2:9">
      <c r="B60" s="336" t="s">
        <v>377</v>
      </c>
      <c r="C60" s="336" t="s">
        <v>28</v>
      </c>
      <c r="D60" s="336" t="s">
        <v>114</v>
      </c>
      <c r="G60" s="336" t="s">
        <v>40</v>
      </c>
      <c r="H60" s="336" t="s">
        <v>467</v>
      </c>
    </row>
    <row r="61" spans="2:9">
      <c r="B61" s="336" t="s">
        <v>377</v>
      </c>
      <c r="C61" s="336" t="s">
        <v>28</v>
      </c>
      <c r="D61" s="336" t="s">
        <v>115</v>
      </c>
      <c r="G61" s="336" t="s">
        <v>40</v>
      </c>
      <c r="H61" s="336" t="s">
        <v>467</v>
      </c>
      <c r="I61" s="336" t="s">
        <v>489</v>
      </c>
    </row>
    <row r="62" spans="2:9">
      <c r="B62" s="336" t="s">
        <v>427</v>
      </c>
      <c r="C62" s="336" t="s">
        <v>28</v>
      </c>
      <c r="D62" s="336" t="s">
        <v>428</v>
      </c>
      <c r="G62" s="336" t="s">
        <v>274</v>
      </c>
      <c r="H62" s="336" t="s">
        <v>467</v>
      </c>
      <c r="I62" s="336" t="s">
        <v>495</v>
      </c>
    </row>
    <row r="63" spans="2:9">
      <c r="B63" s="336" t="s">
        <v>378</v>
      </c>
      <c r="C63" s="336" t="s">
        <v>28</v>
      </c>
      <c r="D63" s="336" t="s">
        <v>118</v>
      </c>
      <c r="G63" s="336" t="s">
        <v>274</v>
      </c>
      <c r="H63" s="336" t="s">
        <v>15</v>
      </c>
      <c r="I63" s="336" t="s">
        <v>440</v>
      </c>
    </row>
    <row r="64" spans="2:9">
      <c r="B64" s="336" t="s">
        <v>439</v>
      </c>
      <c r="C64" s="336" t="s">
        <v>108</v>
      </c>
      <c r="D64" s="336" t="s">
        <v>116</v>
      </c>
      <c r="G64" s="336" t="s">
        <v>346</v>
      </c>
      <c r="H64" s="336" t="s">
        <v>467</v>
      </c>
      <c r="I64" s="336" t="s">
        <v>496</v>
      </c>
    </row>
    <row r="65" spans="2:9">
      <c r="B65" s="336" t="s">
        <v>439</v>
      </c>
      <c r="C65" s="336" t="s">
        <v>29</v>
      </c>
      <c r="D65" s="336" t="s">
        <v>64</v>
      </c>
      <c r="G65" s="336" t="s">
        <v>346</v>
      </c>
      <c r="H65" s="336" t="s">
        <v>466</v>
      </c>
    </row>
    <row r="66" spans="2:9">
      <c r="B66" s="336" t="s">
        <v>379</v>
      </c>
      <c r="C66" s="336" t="s">
        <v>108</v>
      </c>
      <c r="D66" s="336" t="s">
        <v>58</v>
      </c>
      <c r="G66" s="336" t="s">
        <v>346</v>
      </c>
      <c r="H66" s="336" t="s">
        <v>467</v>
      </c>
      <c r="I66" s="336" t="s">
        <v>497</v>
      </c>
    </row>
    <row r="67" spans="2:9">
      <c r="B67" s="336" t="s">
        <v>379</v>
      </c>
      <c r="C67" s="336" t="s">
        <v>108</v>
      </c>
      <c r="D67" s="336" t="s">
        <v>59</v>
      </c>
      <c r="G67" s="336" t="s">
        <v>346</v>
      </c>
      <c r="H67" s="336" t="s">
        <v>467</v>
      </c>
      <c r="I67" s="336" t="s">
        <v>497</v>
      </c>
    </row>
    <row r="68" spans="2:9">
      <c r="B68" s="336" t="s">
        <v>377</v>
      </c>
      <c r="C68" s="336" t="s">
        <v>29</v>
      </c>
      <c r="D68" s="336" t="s">
        <v>53</v>
      </c>
      <c r="G68" s="336" t="s">
        <v>40</v>
      </c>
      <c r="H68" s="336" t="s">
        <v>467</v>
      </c>
    </row>
    <row r="69" spans="2:9">
      <c r="B69" s="336" t="s">
        <v>427</v>
      </c>
      <c r="C69" s="336" t="s">
        <v>275</v>
      </c>
      <c r="D69" s="336" t="s">
        <v>117</v>
      </c>
      <c r="G69" s="336" t="s">
        <v>346</v>
      </c>
      <c r="H69" s="336" t="s">
        <v>467</v>
      </c>
      <c r="I69" s="336" t="s">
        <v>495</v>
      </c>
    </row>
    <row r="70" spans="2:9">
      <c r="B70" s="336" t="s">
        <v>379</v>
      </c>
      <c r="C70" s="336" t="s">
        <v>108</v>
      </c>
      <c r="D70" s="336" t="s">
        <v>51</v>
      </c>
      <c r="G70" s="336" t="s">
        <v>346</v>
      </c>
      <c r="H70" s="336" t="s">
        <v>467</v>
      </c>
      <c r="I70" s="336" t="s">
        <v>496</v>
      </c>
    </row>
    <row r="71" spans="2:9">
      <c r="B71" s="336" t="s">
        <v>379</v>
      </c>
      <c r="C71" s="336" t="s">
        <v>108</v>
      </c>
      <c r="D71" s="336" t="s">
        <v>52</v>
      </c>
      <c r="G71" s="336" t="s">
        <v>346</v>
      </c>
      <c r="H71" s="336" t="s">
        <v>467</v>
      </c>
      <c r="I71" s="336" t="s">
        <v>496</v>
      </c>
    </row>
    <row r="72" spans="2:9">
      <c r="B72" s="336" t="s">
        <v>379</v>
      </c>
      <c r="C72" s="336" t="s">
        <v>108</v>
      </c>
      <c r="D72" s="336" t="s">
        <v>53</v>
      </c>
      <c r="G72" s="336" t="s">
        <v>346</v>
      </c>
      <c r="H72" s="336" t="s">
        <v>467</v>
      </c>
      <c r="I72" s="336" t="s">
        <v>496</v>
      </c>
    </row>
  </sheetData>
  <autoFilter ref="B3:I3" xr:uid="{8D9A5772-9038-4477-984F-8378D4AC0587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zoomScale="90" zoomScaleNormal="90" workbookViewId="0">
      <selection activeCell="E61" sqref="E61"/>
    </sheetView>
  </sheetViews>
  <sheetFormatPr defaultColWidth="8.59765625" defaultRowHeight="17.399999999999999" customHeight="1" zeroHeight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9.09765625" style="1" bestFit="1" customWidth="1"/>
    <col min="5" max="5" width="39.59765625" style="1" bestFit="1" customWidth="1"/>
    <col min="6" max="6" width="31.69921875" style="1" customWidth="1"/>
    <col min="7" max="7" width="32.3984375" style="1" bestFit="1" customWidth="1"/>
    <col min="8" max="8" width="149.69921875" style="305" customWidth="1"/>
    <col min="9" max="9" width="20.59765625" style="1" customWidth="1"/>
    <col min="10" max="10" width="3.69921875" customWidth="1"/>
    <col min="11" max="104" width="8.59765625" customWidth="1"/>
  </cols>
  <sheetData>
    <row r="1" spans="1:10" ht="16.95" customHeight="1">
      <c r="J1" s="1"/>
    </row>
    <row r="2" spans="1:10" ht="16.95" customHeight="1">
      <c r="J2" s="1"/>
    </row>
    <row r="3" spans="1:10" ht="16.95" customHeight="1">
      <c r="J3" s="1"/>
    </row>
    <row r="4" spans="1:10" ht="4.95" customHeight="1">
      <c r="A4" s="10"/>
      <c r="B4" s="10"/>
      <c r="C4" s="10"/>
      <c r="D4" s="10"/>
      <c r="E4" s="10"/>
      <c r="F4" s="10"/>
      <c r="G4" s="10"/>
      <c r="H4" s="306"/>
      <c r="I4" s="10"/>
      <c r="J4" s="10"/>
    </row>
    <row r="5" spans="1:10" ht="16.95" customHeight="1">
      <c r="J5" s="1"/>
    </row>
    <row r="6" spans="1:10" ht="16.95" customHeight="1">
      <c r="B6" s="23" t="s">
        <v>438</v>
      </c>
      <c r="C6" s="24"/>
      <c r="D6" s="24"/>
      <c r="E6" s="24"/>
      <c r="F6" s="24"/>
      <c r="G6" s="24"/>
      <c r="H6" s="320"/>
      <c r="I6" s="24"/>
    </row>
    <row r="7" spans="1:10" ht="16.95" customHeight="1"/>
    <row r="8" spans="1:10" ht="16.95" customHeight="1">
      <c r="B8" s="316" t="s">
        <v>0</v>
      </c>
      <c r="C8" s="316" t="s">
        <v>1</v>
      </c>
      <c r="D8" s="316" t="s">
        <v>3</v>
      </c>
      <c r="E8" s="316" t="s">
        <v>4</v>
      </c>
      <c r="F8" s="317" t="s">
        <v>469</v>
      </c>
      <c r="G8" s="316" t="s">
        <v>470</v>
      </c>
      <c r="H8" s="316" t="s">
        <v>13</v>
      </c>
      <c r="I8" s="316" t="s">
        <v>434</v>
      </c>
    </row>
    <row r="9" spans="1:10" ht="16.95" hidden="1" customHeight="1">
      <c r="A9" s="212"/>
      <c r="B9" s="324" t="s">
        <v>17</v>
      </c>
      <c r="C9" s="324" t="s">
        <v>433</v>
      </c>
      <c r="D9" s="318" t="s">
        <v>29</v>
      </c>
      <c r="E9" s="318" t="s">
        <v>79</v>
      </c>
      <c r="F9" s="318" t="s">
        <v>40</v>
      </c>
      <c r="G9" s="325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319" t="s">
        <v>471</v>
      </c>
      <c r="I9" s="201"/>
    </row>
    <row r="10" spans="1:10" ht="16.95" hidden="1" customHeight="1">
      <c r="A10" s="212"/>
      <c r="B10" s="324" t="s">
        <v>17</v>
      </c>
      <c r="C10" s="324" t="s">
        <v>433</v>
      </c>
      <c r="D10" s="318" t="s">
        <v>29</v>
      </c>
      <c r="E10" s="318" t="s">
        <v>60</v>
      </c>
      <c r="F10" s="318" t="s">
        <v>346</v>
      </c>
      <c r="G10" s="325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319" t="s">
        <v>450</v>
      </c>
      <c r="I10" s="201"/>
    </row>
    <row r="11" spans="1:10" ht="16.95" hidden="1" customHeight="1">
      <c r="A11" s="212"/>
      <c r="B11" s="324" t="s">
        <v>17</v>
      </c>
      <c r="C11" s="324" t="s">
        <v>433</v>
      </c>
      <c r="D11" s="318" t="s">
        <v>29</v>
      </c>
      <c r="E11" s="318" t="s">
        <v>80</v>
      </c>
      <c r="F11" s="318" t="s">
        <v>40</v>
      </c>
      <c r="G11" s="325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319" t="s">
        <v>471</v>
      </c>
      <c r="I11" s="201"/>
    </row>
    <row r="12" spans="1:10" ht="16.95" hidden="1" customHeight="1">
      <c r="A12" s="212"/>
      <c r="B12" s="324" t="s">
        <v>17</v>
      </c>
      <c r="C12" s="324" t="s">
        <v>433</v>
      </c>
      <c r="D12" s="318" t="s">
        <v>29</v>
      </c>
      <c r="E12" s="318" t="s">
        <v>81</v>
      </c>
      <c r="F12" s="318" t="s">
        <v>40</v>
      </c>
      <c r="G12" s="325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319" t="s">
        <v>471</v>
      </c>
      <c r="I12" s="201"/>
    </row>
    <row r="13" spans="1:10" ht="16.95" hidden="1" customHeight="1">
      <c r="A13" s="212"/>
      <c r="B13" s="324" t="s">
        <v>17</v>
      </c>
      <c r="C13" s="324" t="s">
        <v>433</v>
      </c>
      <c r="D13" s="318" t="s">
        <v>29</v>
      </c>
      <c r="E13" s="318" t="s">
        <v>82</v>
      </c>
      <c r="F13" s="318" t="s">
        <v>40</v>
      </c>
      <c r="G13" s="325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319"/>
      <c r="I13" s="201"/>
    </row>
    <row r="14" spans="1:10" ht="16.95" hidden="1" customHeight="1">
      <c r="A14" s="212"/>
      <c r="B14" s="324" t="s">
        <v>17</v>
      </c>
      <c r="C14" s="324" t="s">
        <v>433</v>
      </c>
      <c r="D14" s="318" t="s">
        <v>29</v>
      </c>
      <c r="E14" s="318" t="s">
        <v>83</v>
      </c>
      <c r="F14" s="318" t="s">
        <v>40</v>
      </c>
      <c r="G14" s="325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319" t="s">
        <v>471</v>
      </c>
      <c r="I14" s="201"/>
    </row>
    <row r="15" spans="1:10" ht="16.95" hidden="1" customHeight="1">
      <c r="A15" s="212"/>
      <c r="B15" s="324" t="s">
        <v>17</v>
      </c>
      <c r="C15" s="324" t="s">
        <v>433</v>
      </c>
      <c r="D15" s="318" t="s">
        <v>29</v>
      </c>
      <c r="E15" s="318" t="s">
        <v>61</v>
      </c>
      <c r="F15" s="318" t="s">
        <v>346</v>
      </c>
      <c r="G15" s="325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319" t="s">
        <v>387</v>
      </c>
      <c r="I15" s="201"/>
    </row>
    <row r="16" spans="1:10" ht="16.95" hidden="1" customHeight="1">
      <c r="A16" s="212"/>
      <c r="B16" s="324" t="s">
        <v>17</v>
      </c>
      <c r="C16" s="324" t="s">
        <v>433</v>
      </c>
      <c r="D16" s="318" t="s">
        <v>29</v>
      </c>
      <c r="E16" s="318" t="s">
        <v>84</v>
      </c>
      <c r="F16" s="318" t="s">
        <v>40</v>
      </c>
      <c r="G16" s="325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319"/>
      <c r="I16" s="201"/>
    </row>
    <row r="17" spans="1:9" ht="16.95" hidden="1" customHeight="1">
      <c r="A17" s="212"/>
      <c r="B17" s="324" t="s">
        <v>17</v>
      </c>
      <c r="C17" s="324" t="s">
        <v>433</v>
      </c>
      <c r="D17" s="318" t="s">
        <v>29</v>
      </c>
      <c r="E17" s="318" t="s">
        <v>85</v>
      </c>
      <c r="F17" s="318" t="s">
        <v>40</v>
      </c>
      <c r="G17" s="325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319" t="s">
        <v>471</v>
      </c>
      <c r="I17" s="201"/>
    </row>
    <row r="18" spans="1:9" ht="16.95" hidden="1" customHeight="1">
      <c r="A18" s="212"/>
      <c r="B18" s="324" t="s">
        <v>17</v>
      </c>
      <c r="C18" s="324" t="s">
        <v>433</v>
      </c>
      <c r="D18" s="318" t="s">
        <v>29</v>
      </c>
      <c r="E18" s="318" t="s">
        <v>86</v>
      </c>
      <c r="F18" s="318" t="s">
        <v>40</v>
      </c>
      <c r="G18" s="325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319" t="s">
        <v>471</v>
      </c>
      <c r="I18" s="201"/>
    </row>
    <row r="19" spans="1:9" ht="16.95" hidden="1" customHeight="1">
      <c r="A19" s="212"/>
      <c r="B19" s="324" t="s">
        <v>17</v>
      </c>
      <c r="C19" s="324" t="s">
        <v>376</v>
      </c>
      <c r="D19" s="318" t="s">
        <v>29</v>
      </c>
      <c r="E19" s="318" t="s">
        <v>62</v>
      </c>
      <c r="F19" s="318" t="s">
        <v>40</v>
      </c>
      <c r="G19" s="325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319" t="s">
        <v>444</v>
      </c>
      <c r="I19" s="201"/>
    </row>
    <row r="20" spans="1:9" ht="16.95" hidden="1" customHeight="1">
      <c r="A20" s="212"/>
      <c r="B20" s="324" t="s">
        <v>17</v>
      </c>
      <c r="C20" s="324" t="s">
        <v>376</v>
      </c>
      <c r="D20" s="318" t="s">
        <v>29</v>
      </c>
      <c r="E20" s="318" t="s">
        <v>87</v>
      </c>
      <c r="F20" s="318" t="s">
        <v>40</v>
      </c>
      <c r="G20" s="325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319" t="s">
        <v>441</v>
      </c>
      <c r="I20" s="201"/>
    </row>
    <row r="21" spans="1:9" ht="16.95" hidden="1" customHeight="1">
      <c r="A21" s="212"/>
      <c r="B21" s="324" t="s">
        <v>17</v>
      </c>
      <c r="C21" s="324" t="s">
        <v>376</v>
      </c>
      <c r="D21" s="318" t="s">
        <v>29</v>
      </c>
      <c r="E21" s="318" t="s">
        <v>88</v>
      </c>
      <c r="F21" s="318" t="s">
        <v>40</v>
      </c>
      <c r="G21" s="325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319" t="s">
        <v>442</v>
      </c>
      <c r="I21" s="201"/>
    </row>
    <row r="22" spans="1:9" ht="16.95" hidden="1" customHeight="1">
      <c r="A22" s="212"/>
      <c r="B22" s="324" t="s">
        <v>17</v>
      </c>
      <c r="C22" s="324" t="s">
        <v>376</v>
      </c>
      <c r="D22" s="318" t="s">
        <v>29</v>
      </c>
      <c r="E22" s="318" t="s">
        <v>89</v>
      </c>
      <c r="F22" s="318" t="s">
        <v>40</v>
      </c>
      <c r="G22" s="325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319" t="s">
        <v>443</v>
      </c>
      <c r="I22" s="201"/>
    </row>
    <row r="23" spans="1:9" ht="16.95" hidden="1" customHeight="1">
      <c r="A23" s="212"/>
      <c r="B23" s="324" t="s">
        <v>17</v>
      </c>
      <c r="C23" s="324" t="s">
        <v>433</v>
      </c>
      <c r="D23" s="318" t="s">
        <v>29</v>
      </c>
      <c r="E23" s="318" t="s">
        <v>90</v>
      </c>
      <c r="F23" s="318" t="s">
        <v>40</v>
      </c>
      <c r="G23" s="325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319" t="s">
        <v>471</v>
      </c>
      <c r="I23" s="201"/>
    </row>
    <row r="24" spans="1:9" ht="16.95" hidden="1" customHeight="1">
      <c r="A24" s="212"/>
      <c r="B24" s="324" t="s">
        <v>17</v>
      </c>
      <c r="C24" s="324" t="s">
        <v>433</v>
      </c>
      <c r="D24" s="318" t="s">
        <v>29</v>
      </c>
      <c r="E24" s="318" t="s">
        <v>91</v>
      </c>
      <c r="F24" s="318" t="s">
        <v>40</v>
      </c>
      <c r="G24" s="325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319"/>
      <c r="I24" s="201"/>
    </row>
    <row r="25" spans="1:9" ht="16.95" hidden="1" customHeight="1">
      <c r="A25" s="212"/>
      <c r="B25" s="324" t="s">
        <v>17</v>
      </c>
      <c r="C25" s="324" t="s">
        <v>433</v>
      </c>
      <c r="D25" s="318" t="s">
        <v>29</v>
      </c>
      <c r="E25" s="318" t="s">
        <v>92</v>
      </c>
      <c r="F25" s="318" t="s">
        <v>40</v>
      </c>
      <c r="G25" s="325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319" t="s">
        <v>471</v>
      </c>
      <c r="I25" s="201"/>
    </row>
    <row r="26" spans="1:9" ht="16.95" hidden="1" customHeight="1">
      <c r="A26" s="212"/>
      <c r="B26" s="324" t="s">
        <v>17</v>
      </c>
      <c r="C26" s="324" t="s">
        <v>433</v>
      </c>
      <c r="D26" s="318" t="s">
        <v>29</v>
      </c>
      <c r="E26" s="318" t="s">
        <v>93</v>
      </c>
      <c r="F26" s="318" t="s">
        <v>40</v>
      </c>
      <c r="G26" s="325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319" t="s">
        <v>471</v>
      </c>
      <c r="I26" s="201"/>
    </row>
    <row r="27" spans="1:9" ht="16.95" hidden="1" customHeight="1">
      <c r="A27" s="212"/>
      <c r="B27" s="324" t="s">
        <v>17</v>
      </c>
      <c r="C27" s="324" t="s">
        <v>433</v>
      </c>
      <c r="D27" s="318" t="s">
        <v>29</v>
      </c>
      <c r="E27" s="318" t="s">
        <v>94</v>
      </c>
      <c r="F27" s="318" t="s">
        <v>40</v>
      </c>
      <c r="G27" s="325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319"/>
      <c r="I27" s="201"/>
    </row>
    <row r="28" spans="1:9" ht="16.95" hidden="1" customHeight="1">
      <c r="A28" s="212"/>
      <c r="B28" s="324" t="s">
        <v>17</v>
      </c>
      <c r="C28" s="324" t="s">
        <v>433</v>
      </c>
      <c r="D28" s="318" t="s">
        <v>29</v>
      </c>
      <c r="E28" s="318" t="s">
        <v>95</v>
      </c>
      <c r="F28" s="318" t="s">
        <v>40</v>
      </c>
      <c r="G28" s="325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319" t="s">
        <v>471</v>
      </c>
      <c r="I28" s="201"/>
    </row>
    <row r="29" spans="1:9" ht="16.95" hidden="1" customHeight="1">
      <c r="A29" s="212"/>
      <c r="B29" s="324" t="s">
        <v>17</v>
      </c>
      <c r="C29" s="324" t="s">
        <v>433</v>
      </c>
      <c r="D29" s="318" t="s">
        <v>29</v>
      </c>
      <c r="E29" s="318" t="s">
        <v>96</v>
      </c>
      <c r="F29" s="318" t="s">
        <v>40</v>
      </c>
      <c r="G29" s="325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319" t="s">
        <v>471</v>
      </c>
      <c r="I29" s="201"/>
    </row>
    <row r="30" spans="1:9" ht="16.95" hidden="1" customHeight="1">
      <c r="A30" s="212"/>
      <c r="B30" s="324" t="s">
        <v>17</v>
      </c>
      <c r="C30" s="324" t="s">
        <v>433</v>
      </c>
      <c r="D30" s="318" t="s">
        <v>29</v>
      </c>
      <c r="E30" s="318" t="s">
        <v>97</v>
      </c>
      <c r="F30" s="318" t="s">
        <v>346</v>
      </c>
      <c r="G30" s="325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319" t="s">
        <v>472</v>
      </c>
      <c r="I30" s="201"/>
    </row>
    <row r="31" spans="1:9" ht="16.95" hidden="1" customHeight="1">
      <c r="A31" s="212"/>
      <c r="B31" s="324" t="s">
        <v>17</v>
      </c>
      <c r="C31" s="324" t="s">
        <v>433</v>
      </c>
      <c r="D31" s="318" t="s">
        <v>29</v>
      </c>
      <c r="E31" s="318" t="s">
        <v>98</v>
      </c>
      <c r="F31" s="318" t="s">
        <v>346</v>
      </c>
      <c r="G31" s="325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319" t="s">
        <v>472</v>
      </c>
      <c r="I31" s="201"/>
    </row>
    <row r="32" spans="1:9" ht="16.95" hidden="1" customHeight="1">
      <c r="A32" s="212"/>
      <c r="B32" s="324" t="s">
        <v>17</v>
      </c>
      <c r="C32" s="324" t="s">
        <v>433</v>
      </c>
      <c r="D32" s="318" t="s">
        <v>29</v>
      </c>
      <c r="E32" s="318" t="s">
        <v>99</v>
      </c>
      <c r="F32" s="318" t="s">
        <v>346</v>
      </c>
      <c r="G32" s="325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319" t="s">
        <v>472</v>
      </c>
      <c r="I32" s="201"/>
    </row>
    <row r="33" spans="1:9" ht="16.95" hidden="1" customHeight="1">
      <c r="A33" s="212"/>
      <c r="B33" s="324" t="s">
        <v>17</v>
      </c>
      <c r="C33" s="324" t="s">
        <v>433</v>
      </c>
      <c r="D33" s="318" t="s">
        <v>29</v>
      </c>
      <c r="E33" s="318" t="s">
        <v>100</v>
      </c>
      <c r="F33" s="318" t="s">
        <v>346</v>
      </c>
      <c r="G33" s="325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319" t="s">
        <v>472</v>
      </c>
      <c r="I33" s="201"/>
    </row>
    <row r="34" spans="1:9" ht="16.95" hidden="1" customHeight="1">
      <c r="A34" s="212"/>
      <c r="B34" s="324" t="s">
        <v>17</v>
      </c>
      <c r="C34" s="324" t="s">
        <v>433</v>
      </c>
      <c r="D34" s="318" t="s">
        <v>29</v>
      </c>
      <c r="E34" s="318" t="s">
        <v>101</v>
      </c>
      <c r="F34" s="318" t="s">
        <v>346</v>
      </c>
      <c r="G34" s="325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319" t="s">
        <v>472</v>
      </c>
      <c r="I34" s="201"/>
    </row>
    <row r="35" spans="1:9" ht="16.95" hidden="1" customHeight="1">
      <c r="A35" s="212"/>
      <c r="B35" s="324" t="s">
        <v>17</v>
      </c>
      <c r="C35" s="324" t="s">
        <v>433</v>
      </c>
      <c r="D35" s="318" t="s">
        <v>29</v>
      </c>
      <c r="E35" s="318" t="s">
        <v>63</v>
      </c>
      <c r="F35" s="318" t="s">
        <v>346</v>
      </c>
      <c r="G35" s="325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319" t="s">
        <v>387</v>
      </c>
      <c r="I35" s="201"/>
    </row>
    <row r="36" spans="1:9" ht="16.95" hidden="1" customHeight="1">
      <c r="A36" s="212"/>
      <c r="B36" s="324" t="s">
        <v>17</v>
      </c>
      <c r="C36" s="324" t="s">
        <v>433</v>
      </c>
      <c r="D36" s="318" t="s">
        <v>29</v>
      </c>
      <c r="E36" s="318" t="s">
        <v>102</v>
      </c>
      <c r="F36" s="318" t="s">
        <v>346</v>
      </c>
      <c r="G36" s="325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319" t="s">
        <v>472</v>
      </c>
      <c r="I36" s="201"/>
    </row>
    <row r="37" spans="1:9" ht="16.95" hidden="1" customHeight="1">
      <c r="A37" s="212"/>
      <c r="B37" s="324" t="s">
        <v>17</v>
      </c>
      <c r="C37" s="324" t="s">
        <v>433</v>
      </c>
      <c r="D37" s="318" t="s">
        <v>29</v>
      </c>
      <c r="E37" s="318" t="s">
        <v>103</v>
      </c>
      <c r="F37" s="318" t="s">
        <v>346</v>
      </c>
      <c r="G37" s="325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319" t="s">
        <v>472</v>
      </c>
      <c r="I37" s="201"/>
    </row>
    <row r="38" spans="1:9" ht="16.95" hidden="1" customHeight="1">
      <c r="A38" s="212"/>
      <c r="B38" s="324" t="s">
        <v>17</v>
      </c>
      <c r="C38" s="324" t="s">
        <v>377</v>
      </c>
      <c r="D38" s="318" t="s">
        <v>29</v>
      </c>
      <c r="E38" s="318" t="s">
        <v>110</v>
      </c>
      <c r="F38" s="318" t="s">
        <v>40</v>
      </c>
      <c r="G38" s="325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319"/>
      <c r="I38" s="201"/>
    </row>
    <row r="39" spans="1:9" ht="16.95" hidden="1" customHeight="1">
      <c r="A39" s="212"/>
      <c r="B39" s="324" t="s">
        <v>17</v>
      </c>
      <c r="C39" s="324" t="s">
        <v>447</v>
      </c>
      <c r="D39" s="318" t="s">
        <v>29</v>
      </c>
      <c r="E39" s="318" t="s">
        <v>111</v>
      </c>
      <c r="F39" s="318"/>
      <c r="G39" s="325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319" t="s">
        <v>431</v>
      </c>
      <c r="I39" s="201" t="s">
        <v>479</v>
      </c>
    </row>
    <row r="40" spans="1:9" ht="16.95" hidden="1" customHeight="1">
      <c r="A40" s="212"/>
      <c r="B40" s="324" t="s">
        <v>17</v>
      </c>
      <c r="C40" s="324" t="s">
        <v>447</v>
      </c>
      <c r="D40" s="318" t="s">
        <v>29</v>
      </c>
      <c r="E40" s="318" t="s">
        <v>112</v>
      </c>
      <c r="F40" s="318"/>
      <c r="G40" s="325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319" t="s">
        <v>435</v>
      </c>
      <c r="I40" s="201" t="s">
        <v>480</v>
      </c>
    </row>
    <row r="41" spans="1:9" ht="16.95" hidden="1" customHeight="1">
      <c r="A41" s="212"/>
      <c r="B41" s="324" t="s">
        <v>17</v>
      </c>
      <c r="C41" s="324" t="s">
        <v>377</v>
      </c>
      <c r="D41" s="318" t="s">
        <v>29</v>
      </c>
      <c r="E41" s="318" t="s">
        <v>51</v>
      </c>
      <c r="F41" s="318" t="s">
        <v>40</v>
      </c>
      <c r="G41" s="325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319"/>
      <c r="I41" s="201"/>
    </row>
    <row r="42" spans="1:9" ht="16.95" hidden="1" customHeight="1">
      <c r="A42" s="212"/>
      <c r="B42" s="324" t="s">
        <v>17</v>
      </c>
      <c r="C42" s="324" t="s">
        <v>377</v>
      </c>
      <c r="D42" s="318" t="s">
        <v>29</v>
      </c>
      <c r="E42" s="318" t="s">
        <v>68</v>
      </c>
      <c r="F42" s="318" t="s">
        <v>40</v>
      </c>
      <c r="G42" s="325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319"/>
      <c r="I42" s="201"/>
    </row>
    <row r="43" spans="1:9" ht="16.95" hidden="1" customHeight="1">
      <c r="A43" s="212"/>
      <c r="B43" s="324" t="s">
        <v>17</v>
      </c>
      <c r="C43" s="324" t="s">
        <v>377</v>
      </c>
      <c r="D43" s="318" t="s">
        <v>29</v>
      </c>
      <c r="E43" s="318" t="s">
        <v>52</v>
      </c>
      <c r="F43" s="318" t="s">
        <v>40</v>
      </c>
      <c r="G43" s="325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319"/>
      <c r="I43" s="201"/>
    </row>
    <row r="44" spans="1:9" ht="16.95" hidden="1" customHeight="1">
      <c r="A44" s="212"/>
      <c r="B44" s="324" t="s">
        <v>17</v>
      </c>
      <c r="C44" s="324" t="s">
        <v>447</v>
      </c>
      <c r="D44" s="318" t="s">
        <v>29</v>
      </c>
      <c r="E44" s="318" t="s">
        <v>55</v>
      </c>
      <c r="F44" s="318"/>
      <c r="G44" s="325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319" t="s">
        <v>429</v>
      </c>
      <c r="I44" s="201" t="s">
        <v>481</v>
      </c>
    </row>
    <row r="45" spans="1:9" ht="16.8" hidden="1" customHeight="1">
      <c r="A45" s="212"/>
      <c r="B45" s="324" t="s">
        <v>17</v>
      </c>
      <c r="C45" s="324" t="s">
        <v>377</v>
      </c>
      <c r="D45" s="318" t="s">
        <v>29</v>
      </c>
      <c r="E45" s="318" t="s">
        <v>69</v>
      </c>
      <c r="F45" s="318"/>
      <c r="G45" s="325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319" t="s">
        <v>432</v>
      </c>
      <c r="I45" s="201"/>
    </row>
    <row r="46" spans="1:9" ht="16.95" hidden="1" customHeight="1">
      <c r="A46" s="212"/>
      <c r="B46" s="324" t="s">
        <v>17</v>
      </c>
      <c r="C46" s="324" t="s">
        <v>377</v>
      </c>
      <c r="D46" s="318" t="s">
        <v>29</v>
      </c>
      <c r="E46" s="318" t="s">
        <v>56</v>
      </c>
      <c r="F46" s="318"/>
      <c r="G46" s="325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319" t="s">
        <v>432</v>
      </c>
      <c r="I46" s="201"/>
    </row>
    <row r="47" spans="1:9" ht="16.95" hidden="1" customHeight="1">
      <c r="A47" s="212"/>
      <c r="B47" s="324" t="s">
        <v>17</v>
      </c>
      <c r="C47" s="324" t="s">
        <v>377</v>
      </c>
      <c r="D47" s="318" t="s">
        <v>29</v>
      </c>
      <c r="E47" s="318" t="s">
        <v>70</v>
      </c>
      <c r="F47" s="318" t="s">
        <v>40</v>
      </c>
      <c r="G47" s="325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319"/>
      <c r="I47" s="201"/>
    </row>
    <row r="48" spans="1:9" ht="16.95" hidden="1" customHeight="1">
      <c r="A48" s="212"/>
      <c r="B48" s="324" t="s">
        <v>17</v>
      </c>
      <c r="C48" s="324" t="s">
        <v>377</v>
      </c>
      <c r="D48" s="318" t="s">
        <v>29</v>
      </c>
      <c r="E48" s="318" t="s">
        <v>71</v>
      </c>
      <c r="F48" s="318" t="s">
        <v>40</v>
      </c>
      <c r="G48" s="325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319"/>
      <c r="I48" s="201"/>
    </row>
    <row r="49" spans="1:9" ht="16.95" hidden="1" customHeight="1">
      <c r="A49" s="212"/>
      <c r="B49" s="324" t="s">
        <v>17</v>
      </c>
      <c r="C49" s="324" t="s">
        <v>377</v>
      </c>
      <c r="D49" s="318" t="s">
        <v>29</v>
      </c>
      <c r="E49" s="318" t="s">
        <v>72</v>
      </c>
      <c r="F49" s="318" t="s">
        <v>40</v>
      </c>
      <c r="G49" s="325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319"/>
      <c r="I49" s="201"/>
    </row>
    <row r="50" spans="1:9" ht="16.95" hidden="1" customHeight="1">
      <c r="A50" s="212"/>
      <c r="B50" s="324" t="s">
        <v>17</v>
      </c>
      <c r="C50" s="324" t="s">
        <v>377</v>
      </c>
      <c r="D50" s="318" t="s">
        <v>29</v>
      </c>
      <c r="E50" s="318" t="s">
        <v>73</v>
      </c>
      <c r="F50" s="318" t="s">
        <v>40</v>
      </c>
      <c r="G50" s="325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319"/>
      <c r="I50" s="201"/>
    </row>
    <row r="51" spans="1:9" ht="16.95" hidden="1" customHeight="1">
      <c r="A51" s="212"/>
      <c r="B51" s="324" t="s">
        <v>17</v>
      </c>
      <c r="C51" s="324" t="s">
        <v>447</v>
      </c>
      <c r="D51" s="318" t="s">
        <v>29</v>
      </c>
      <c r="E51" s="318" t="s">
        <v>74</v>
      </c>
      <c r="F51" s="318"/>
      <c r="G51" s="325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319" t="s">
        <v>430</v>
      </c>
      <c r="I51" s="201" t="s">
        <v>482</v>
      </c>
    </row>
    <row r="52" spans="1:9" ht="16.95" hidden="1" customHeight="1">
      <c r="A52" s="212"/>
      <c r="B52" s="324" t="s">
        <v>17</v>
      </c>
      <c r="C52" s="324" t="s">
        <v>377</v>
      </c>
      <c r="D52" s="318" t="s">
        <v>29</v>
      </c>
      <c r="E52" s="318" t="s">
        <v>75</v>
      </c>
      <c r="F52" s="318" t="s">
        <v>40</v>
      </c>
      <c r="G52" s="325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319"/>
      <c r="I52" s="201"/>
    </row>
    <row r="53" spans="1:9" ht="16.95" hidden="1" customHeight="1">
      <c r="A53" s="212"/>
      <c r="B53" s="324" t="s">
        <v>17</v>
      </c>
      <c r="C53" s="324" t="s">
        <v>447</v>
      </c>
      <c r="D53" s="318" t="s">
        <v>29</v>
      </c>
      <c r="E53" s="318" t="s">
        <v>76</v>
      </c>
      <c r="F53" s="318"/>
      <c r="G53" s="325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319" t="s">
        <v>431</v>
      </c>
      <c r="I53" s="201" t="s">
        <v>479</v>
      </c>
    </row>
    <row r="54" spans="1:9" ht="16.95" hidden="1" customHeight="1">
      <c r="A54" s="212"/>
      <c r="B54" s="324" t="s">
        <v>17</v>
      </c>
      <c r="C54" s="324" t="s">
        <v>377</v>
      </c>
      <c r="D54" s="318" t="s">
        <v>29</v>
      </c>
      <c r="E54" s="318" t="s">
        <v>77</v>
      </c>
      <c r="F54" s="318" t="s">
        <v>40</v>
      </c>
      <c r="G54" s="325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319"/>
      <c r="I54" s="201"/>
    </row>
    <row r="55" spans="1:9" ht="46.05" hidden="1" customHeight="1">
      <c r="A55" s="212"/>
      <c r="B55" s="324" t="s">
        <v>17</v>
      </c>
      <c r="C55" s="324" t="s">
        <v>377</v>
      </c>
      <c r="D55" s="318" t="s">
        <v>29</v>
      </c>
      <c r="E55" s="318" t="s">
        <v>78</v>
      </c>
      <c r="F55" s="328" t="s">
        <v>40</v>
      </c>
      <c r="G55" s="325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327" t="s">
        <v>483</v>
      </c>
      <c r="I55" s="201"/>
    </row>
    <row r="56" spans="1:9" ht="39.450000000000003" hidden="1" customHeight="1">
      <c r="A56" s="212"/>
      <c r="B56" s="324" t="s">
        <v>17</v>
      </c>
      <c r="C56" s="324" t="s">
        <v>377</v>
      </c>
      <c r="D56" s="318" t="s">
        <v>29</v>
      </c>
      <c r="E56" s="318" t="s">
        <v>57</v>
      </c>
      <c r="F56" s="328" t="s">
        <v>40</v>
      </c>
      <c r="G56" s="325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327" t="s">
        <v>478</v>
      </c>
      <c r="I56" s="201"/>
    </row>
    <row r="57" spans="1:9" ht="16.95" hidden="1" customHeight="1">
      <c r="A57" s="212"/>
      <c r="B57" s="324" t="s">
        <v>17</v>
      </c>
      <c r="C57" s="324" t="s">
        <v>447</v>
      </c>
      <c r="D57" s="318" t="s">
        <v>29</v>
      </c>
      <c r="E57" s="318" t="s">
        <v>66</v>
      </c>
      <c r="F57" s="318"/>
      <c r="G57" s="325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319" t="s">
        <v>431</v>
      </c>
      <c r="I57" s="201" t="s">
        <v>479</v>
      </c>
    </row>
    <row r="58" spans="1:9" ht="16.95" hidden="1" customHeight="1">
      <c r="A58" s="212"/>
      <c r="B58" s="324" t="s">
        <v>17</v>
      </c>
      <c r="C58" s="324" t="s">
        <v>377</v>
      </c>
      <c r="D58" s="318" t="s">
        <v>275</v>
      </c>
      <c r="E58" s="318" t="s">
        <v>51</v>
      </c>
      <c r="F58" s="318" t="s">
        <v>40</v>
      </c>
      <c r="G58" s="325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319"/>
      <c r="I58" s="201"/>
    </row>
    <row r="59" spans="1:9" ht="16.95" hidden="1" customHeight="1">
      <c r="A59" s="212"/>
      <c r="B59" s="324" t="s">
        <v>17</v>
      </c>
      <c r="C59" s="324" t="s">
        <v>377</v>
      </c>
      <c r="D59" s="318" t="s">
        <v>275</v>
      </c>
      <c r="E59" s="318" t="s">
        <v>52</v>
      </c>
      <c r="F59" s="318" t="s">
        <v>40</v>
      </c>
      <c r="G59" s="325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319"/>
      <c r="I59" s="201"/>
    </row>
    <row r="60" spans="1:9" ht="16.95" hidden="1" customHeight="1">
      <c r="A60" s="212"/>
      <c r="B60" s="324" t="s">
        <v>17</v>
      </c>
      <c r="C60" s="324" t="s">
        <v>377</v>
      </c>
      <c r="D60" s="318" t="s">
        <v>275</v>
      </c>
      <c r="E60" s="318" t="s">
        <v>53</v>
      </c>
      <c r="F60" s="318" t="s">
        <v>40</v>
      </c>
      <c r="G60" s="325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319"/>
      <c r="I60" s="201"/>
    </row>
    <row r="61" spans="1:9" ht="16.95" customHeight="1">
      <c r="A61" s="212"/>
      <c r="B61" s="324" t="s">
        <v>17</v>
      </c>
      <c r="C61" s="324" t="s">
        <v>377</v>
      </c>
      <c r="D61" s="318" t="s">
        <v>275</v>
      </c>
      <c r="E61" s="318" t="s">
        <v>113</v>
      </c>
      <c r="F61" s="318" t="s">
        <v>40</v>
      </c>
      <c r="G61" s="325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319"/>
      <c r="I61" s="201"/>
    </row>
    <row r="62" spans="1:9" ht="16.95" hidden="1" customHeight="1">
      <c r="A62" s="212"/>
      <c r="B62" s="324" t="s">
        <v>17</v>
      </c>
      <c r="C62" s="324" t="s">
        <v>377</v>
      </c>
      <c r="D62" s="318" t="s">
        <v>28</v>
      </c>
      <c r="E62" s="318" t="s">
        <v>51</v>
      </c>
      <c r="F62" s="318" t="s">
        <v>40</v>
      </c>
      <c r="G62" s="325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319"/>
      <c r="I62" s="201"/>
    </row>
    <row r="63" spans="1:9" ht="16.95" hidden="1" customHeight="1">
      <c r="A63" s="212"/>
      <c r="B63" s="324" t="s">
        <v>17</v>
      </c>
      <c r="C63" s="324" t="s">
        <v>377</v>
      </c>
      <c r="D63" s="318" t="s">
        <v>28</v>
      </c>
      <c r="E63" s="318" t="s">
        <v>52</v>
      </c>
      <c r="F63" s="318" t="s">
        <v>40</v>
      </c>
      <c r="G63" s="325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319"/>
      <c r="I63" s="201"/>
    </row>
    <row r="64" spans="1:9" ht="16.95" customHeight="1">
      <c r="A64" s="212"/>
      <c r="B64" s="324" t="s">
        <v>17</v>
      </c>
      <c r="C64" s="324" t="s">
        <v>377</v>
      </c>
      <c r="D64" s="318" t="s">
        <v>28</v>
      </c>
      <c r="E64" s="318" t="s">
        <v>113</v>
      </c>
      <c r="F64" s="318" t="s">
        <v>40</v>
      </c>
      <c r="G64" s="325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319"/>
      <c r="I64" s="201"/>
    </row>
    <row r="65" spans="1:9" ht="16.95" hidden="1" customHeight="1">
      <c r="A65" s="212"/>
      <c r="B65" s="324" t="s">
        <v>17</v>
      </c>
      <c r="C65" s="324" t="s">
        <v>377</v>
      </c>
      <c r="D65" s="318" t="s">
        <v>28</v>
      </c>
      <c r="E65" s="318" t="s">
        <v>114</v>
      </c>
      <c r="F65" s="318" t="s">
        <v>40</v>
      </c>
      <c r="G65" s="325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319"/>
      <c r="I65" s="201"/>
    </row>
    <row r="66" spans="1:9" ht="43.95" hidden="1" customHeight="1">
      <c r="A66" s="212"/>
      <c r="B66" s="324" t="s">
        <v>17</v>
      </c>
      <c r="C66" s="324" t="s">
        <v>377</v>
      </c>
      <c r="D66" s="318" t="s">
        <v>28</v>
      </c>
      <c r="E66" s="318" t="s">
        <v>115</v>
      </c>
      <c r="F66" s="328" t="s">
        <v>40</v>
      </c>
      <c r="G66" s="325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327" t="s">
        <v>484</v>
      </c>
      <c r="I66" s="201"/>
    </row>
    <row r="67" spans="1:9" ht="16.95" hidden="1" customHeight="1">
      <c r="A67" s="212"/>
      <c r="B67" s="324" t="s">
        <v>17</v>
      </c>
      <c r="C67" s="324" t="s">
        <v>427</v>
      </c>
      <c r="D67" s="318" t="s">
        <v>28</v>
      </c>
      <c r="E67" s="318" t="s">
        <v>428</v>
      </c>
      <c r="F67" s="318" t="s">
        <v>274</v>
      </c>
      <c r="G67" s="325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</v>
      </c>
      <c r="H67" s="319"/>
      <c r="I67" s="201"/>
    </row>
    <row r="68" spans="1:9" ht="16.95" hidden="1" customHeight="1">
      <c r="A68" s="212"/>
      <c r="B68" s="324" t="s">
        <v>17</v>
      </c>
      <c r="C68" s="324" t="s">
        <v>473</v>
      </c>
      <c r="D68" s="318" t="s">
        <v>28</v>
      </c>
      <c r="E68" s="318" t="s">
        <v>118</v>
      </c>
      <c r="F68" s="318" t="s">
        <v>274</v>
      </c>
      <c r="G68" s="325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N/A</v>
      </c>
      <c r="H68" s="319" t="s">
        <v>436</v>
      </c>
      <c r="I68" s="201"/>
    </row>
    <row r="69" spans="1:9" ht="16.8" hidden="1" customHeight="1">
      <c r="A69" s="212"/>
      <c r="B69" s="324" t="s">
        <v>17</v>
      </c>
      <c r="C69" s="324" t="s">
        <v>379</v>
      </c>
      <c r="D69" s="318" t="s">
        <v>108</v>
      </c>
      <c r="E69" s="318" t="s">
        <v>116</v>
      </c>
      <c r="F69" s="318" t="s">
        <v>346</v>
      </c>
      <c r="G69" s="325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319"/>
      <c r="I69" s="201"/>
    </row>
    <row r="70" spans="1:9" ht="16.95" hidden="1" customHeight="1">
      <c r="A70" s="212"/>
      <c r="B70" s="324" t="s">
        <v>17</v>
      </c>
      <c r="C70" s="324" t="s">
        <v>380</v>
      </c>
      <c r="D70" s="318" t="s">
        <v>29</v>
      </c>
      <c r="E70" s="318" t="s">
        <v>64</v>
      </c>
      <c r="F70" s="318" t="s">
        <v>346</v>
      </c>
      <c r="G70" s="325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319" t="s">
        <v>437</v>
      </c>
      <c r="I70" s="201"/>
    </row>
    <row r="71" spans="1:9" ht="16.95" hidden="1" customHeight="1">
      <c r="A71" s="212"/>
      <c r="B71" s="324" t="s">
        <v>17</v>
      </c>
      <c r="C71" s="324" t="s">
        <v>379</v>
      </c>
      <c r="D71" s="318" t="s">
        <v>108</v>
      </c>
      <c r="E71" s="318" t="s">
        <v>58</v>
      </c>
      <c r="F71" s="318" t="s">
        <v>346</v>
      </c>
      <c r="G71" s="325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319"/>
      <c r="I71" s="201"/>
    </row>
    <row r="72" spans="1:9" ht="16.95" hidden="1" customHeight="1">
      <c r="A72" s="212"/>
      <c r="B72" s="324" t="s">
        <v>17</v>
      </c>
      <c r="C72" s="324" t="s">
        <v>379</v>
      </c>
      <c r="D72" s="318" t="s">
        <v>108</v>
      </c>
      <c r="E72" s="318" t="s">
        <v>59</v>
      </c>
      <c r="F72" s="318" t="s">
        <v>346</v>
      </c>
      <c r="G72" s="325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319"/>
      <c r="I72" s="201"/>
    </row>
    <row r="73" spans="1:9" ht="16.95" hidden="1" customHeight="1">
      <c r="A73" s="212"/>
      <c r="B73" s="324" t="s">
        <v>17</v>
      </c>
      <c r="C73" s="324" t="s">
        <v>377</v>
      </c>
      <c r="D73" s="318" t="s">
        <v>29</v>
      </c>
      <c r="E73" s="318" t="s">
        <v>53</v>
      </c>
      <c r="F73" s="318" t="s">
        <v>40</v>
      </c>
      <c r="G73" s="325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319"/>
      <c r="I73" s="201"/>
    </row>
    <row r="74" spans="1:9" ht="16.95" hidden="1" customHeight="1">
      <c r="A74" s="212"/>
      <c r="B74" s="324" t="s">
        <v>17</v>
      </c>
      <c r="C74" s="324" t="s">
        <v>427</v>
      </c>
      <c r="D74" s="318" t="s">
        <v>275</v>
      </c>
      <c r="E74" s="318" t="s">
        <v>117</v>
      </c>
      <c r="F74" s="318" t="s">
        <v>346</v>
      </c>
      <c r="G74" s="325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319"/>
      <c r="I74" s="201"/>
    </row>
    <row r="75" spans="1:9" ht="16.95" hidden="1" customHeight="1">
      <c r="A75" s="326" t="s">
        <v>445</v>
      </c>
      <c r="B75" s="324" t="s">
        <v>17</v>
      </c>
      <c r="C75" s="324" t="s">
        <v>379</v>
      </c>
      <c r="D75" s="318" t="s">
        <v>108</v>
      </c>
      <c r="E75" s="318" t="s">
        <v>51</v>
      </c>
      <c r="F75" s="318" t="s">
        <v>346</v>
      </c>
      <c r="G75" s="325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319"/>
      <c r="I75" s="201"/>
    </row>
    <row r="76" spans="1:9" ht="16.95" hidden="1" customHeight="1">
      <c r="A76" s="326" t="s">
        <v>445</v>
      </c>
      <c r="B76" s="324" t="s">
        <v>17</v>
      </c>
      <c r="C76" s="324" t="s">
        <v>379</v>
      </c>
      <c r="D76" s="318" t="s">
        <v>108</v>
      </c>
      <c r="E76" s="318" t="s">
        <v>52</v>
      </c>
      <c r="F76" s="318" t="s">
        <v>346</v>
      </c>
      <c r="G76" s="325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319"/>
      <c r="I76" s="201"/>
    </row>
    <row r="77" spans="1:9" ht="16.95" hidden="1" customHeight="1">
      <c r="A77" s="326" t="s">
        <v>445</v>
      </c>
      <c r="B77" s="324" t="s">
        <v>17</v>
      </c>
      <c r="C77" s="324" t="s">
        <v>379</v>
      </c>
      <c r="D77" s="318" t="s">
        <v>108</v>
      </c>
      <c r="E77" s="318" t="s">
        <v>53</v>
      </c>
      <c r="F77" s="318" t="s">
        <v>346</v>
      </c>
      <c r="G77" s="325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319"/>
      <c r="I77" s="201"/>
    </row>
    <row r="78" spans="1:9" ht="17.399999999999999" customHeight="1"/>
    <row r="79" spans="1:9" ht="17.399999999999999" customHeight="1"/>
    <row r="80" spans="1:9" ht="17.399999999999999" customHeight="1"/>
    <row r="81" ht="17.399999999999999" customHeight="1"/>
    <row r="82" ht="17.399999999999999" customHeight="1"/>
    <row r="83" ht="17.399999999999999" customHeight="1"/>
    <row r="84" ht="17.399999999999999" customHeight="1"/>
    <row r="85" ht="17.399999999999999" customHeight="1"/>
    <row r="86" ht="17.399999999999999" customHeight="1"/>
    <row r="87" ht="17.399999999999999" customHeight="1"/>
    <row r="88" ht="17.399999999999999" customHeight="1"/>
    <row r="89" ht="17.399999999999999" customHeight="1"/>
    <row r="90" ht="17.399999999999999" customHeight="1"/>
    <row r="91" ht="17.399999999999999" customHeight="1"/>
    <row r="92" ht="17.399999999999999" customHeight="1"/>
    <row r="93" ht="17.399999999999999" customHeight="1"/>
    <row r="94" ht="17.399999999999999" customHeight="1"/>
    <row r="95" ht="17.399999999999999" customHeight="1"/>
    <row r="96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  <row r="101" ht="17.399999999999999" customHeight="1"/>
    <row r="102" ht="17.399999999999999" customHeight="1"/>
    <row r="103" ht="17.399999999999999" customHeight="1"/>
    <row r="104" ht="17.399999999999999" customHeight="1"/>
    <row r="105" ht="17.399999999999999" customHeight="1"/>
    <row r="106" ht="17.399999999999999" customHeight="1"/>
    <row r="107" ht="17.399999999999999" customHeight="1"/>
    <row r="108" ht="17.399999999999999" customHeight="1"/>
    <row r="109" ht="17.399999999999999" customHeight="1"/>
    <row r="110" ht="17.399999999999999" customHeight="1"/>
    <row r="111" ht="17.399999999999999" customHeight="1"/>
    <row r="112" ht="17.399999999999999" customHeight="1"/>
    <row r="113" ht="17.399999999999999" customHeight="1"/>
    <row r="114" ht="17.399999999999999" customHeight="1"/>
    <row r="115" ht="17.399999999999999" customHeight="1"/>
    <row r="116" ht="17.399999999999999" customHeight="1"/>
    <row r="117" ht="17.399999999999999" customHeight="1"/>
    <row r="118" ht="17.399999999999999" customHeight="1"/>
    <row r="119" ht="17.399999999999999" customHeight="1"/>
    <row r="120" ht="17.399999999999999" customHeight="1"/>
    <row r="121" ht="17.399999999999999" customHeight="1"/>
    <row r="122" ht="17.399999999999999" customHeight="1"/>
    <row r="123" ht="17.399999999999999" customHeight="1"/>
    <row r="124" ht="17.399999999999999" customHeight="1"/>
    <row r="125" ht="17.399999999999999" customHeight="1"/>
    <row r="126" ht="17.399999999999999" customHeight="1"/>
    <row r="127" ht="17.399999999999999" customHeight="1"/>
    <row r="128" ht="17.399999999999999" customHeight="1"/>
    <row r="129" ht="17.399999999999999" customHeight="1"/>
    <row r="130" ht="17.399999999999999" customHeight="1"/>
    <row r="131" ht="17.399999999999999" customHeight="1"/>
    <row r="132" ht="17.399999999999999" customHeight="1"/>
    <row r="133" ht="17.399999999999999" customHeight="1"/>
    <row r="134" ht="17.399999999999999" customHeight="1"/>
    <row r="135" ht="17.399999999999999" customHeight="1"/>
    <row r="136" ht="17.399999999999999" customHeight="1"/>
    <row r="137" ht="17.399999999999999" customHeight="1"/>
    <row r="138" ht="17.399999999999999" customHeight="1"/>
    <row r="139" ht="17.399999999999999" customHeight="1"/>
    <row r="140" ht="17.399999999999999" customHeight="1"/>
    <row r="141" ht="17.399999999999999" customHeight="1"/>
    <row r="142" ht="17.399999999999999" customHeight="1"/>
    <row r="143" ht="17.399999999999999" customHeight="1"/>
    <row r="144" ht="17.399999999999999" customHeight="1"/>
    <row r="145" ht="17.399999999999999" customHeight="1"/>
    <row r="146" ht="17.399999999999999" customHeight="1"/>
    <row r="147" ht="17.399999999999999" customHeight="1"/>
    <row r="148" ht="17.399999999999999" customHeight="1"/>
    <row r="149" ht="17.399999999999999" customHeight="1"/>
    <row r="150" ht="17.399999999999999" customHeight="1"/>
    <row r="151" ht="17.399999999999999" customHeight="1"/>
    <row r="152" ht="17.399999999999999" customHeight="1"/>
    <row r="153" ht="17.399999999999999" customHeight="1"/>
    <row r="154" ht="17.399999999999999" customHeight="1"/>
    <row r="155" ht="17.399999999999999" customHeight="1"/>
    <row r="156" ht="17.399999999999999" customHeight="1"/>
    <row r="157" ht="17.399999999999999" customHeight="1"/>
    <row r="158" ht="17.399999999999999" customHeight="1"/>
    <row r="159" ht="17.399999999999999" customHeight="1"/>
    <row r="160" ht="17.399999999999999" customHeight="1"/>
    <row r="161" ht="17.399999999999999" customHeight="1"/>
    <row r="162" ht="17.399999999999999" customHeight="1"/>
    <row r="163" ht="17.399999999999999" customHeight="1"/>
    <row r="164" ht="17.399999999999999" customHeight="1"/>
    <row r="165" ht="17.399999999999999" customHeight="1"/>
    <row r="166" ht="17.399999999999999" customHeight="1"/>
    <row r="167" ht="17.399999999999999" customHeight="1"/>
    <row r="168" ht="17.399999999999999" customHeight="1"/>
    <row r="169" ht="17.399999999999999" customHeight="1"/>
    <row r="170" ht="17.399999999999999" customHeight="1"/>
    <row r="171" ht="17.399999999999999" customHeight="1"/>
    <row r="172" ht="17.399999999999999" customHeight="1"/>
    <row r="173" ht="17.399999999999999" customHeight="1"/>
    <row r="174" ht="17.399999999999999" customHeight="1"/>
    <row r="175" ht="17.399999999999999" customHeight="1"/>
    <row r="176" ht="17.399999999999999" customHeight="1"/>
    <row r="177" ht="17.399999999999999" customHeight="1"/>
    <row r="178" ht="17.399999999999999" customHeight="1"/>
    <row r="179" ht="17.399999999999999" customHeight="1"/>
    <row r="180" ht="17.399999999999999" customHeight="1"/>
    <row r="181" ht="17.399999999999999" customHeight="1"/>
    <row r="182" ht="17.399999999999999" customHeight="1"/>
    <row r="183" ht="17.399999999999999" customHeight="1"/>
    <row r="184" ht="17.399999999999999" customHeight="1"/>
    <row r="185" ht="17.399999999999999" customHeight="1"/>
    <row r="186" ht="17.399999999999999" customHeight="1"/>
    <row r="187" ht="17.399999999999999" customHeight="1"/>
    <row r="188" ht="17.399999999999999" customHeight="1"/>
    <row r="189" ht="17.399999999999999" customHeight="1"/>
    <row r="190" ht="17.399999999999999" customHeight="1"/>
    <row r="191" ht="17.399999999999999" customHeight="1"/>
    <row r="192" ht="17.399999999999999" customHeight="1"/>
    <row r="193" ht="17.399999999999999" customHeight="1"/>
    <row r="194" ht="17.399999999999999" customHeight="1"/>
    <row r="195" ht="17.399999999999999" customHeight="1"/>
    <row r="196" ht="17.399999999999999" customHeight="1"/>
    <row r="197" ht="17.399999999999999" customHeight="1"/>
    <row r="198" ht="17.399999999999999" customHeight="1"/>
    <row r="199" ht="17.399999999999999" customHeight="1"/>
    <row r="200" ht="17.399999999999999" customHeight="1"/>
    <row r="201" ht="17.399999999999999" customHeight="1"/>
    <row r="202" ht="17.399999999999999" customHeight="1"/>
    <row r="203" ht="17.399999999999999" customHeight="1"/>
    <row r="204" ht="17.399999999999999" customHeight="1"/>
    <row r="205" ht="17.399999999999999" customHeight="1"/>
    <row r="206" ht="17.399999999999999" customHeight="1"/>
    <row r="207" ht="17.399999999999999" customHeight="1"/>
    <row r="208" ht="17.399999999999999" customHeight="1"/>
    <row r="209" ht="17.399999999999999" customHeight="1"/>
    <row r="210" ht="17.399999999999999" customHeight="1"/>
    <row r="211" ht="17.399999999999999" customHeight="1"/>
    <row r="212" ht="17.399999999999999" customHeight="1"/>
    <row r="213" ht="17.399999999999999" customHeight="1"/>
    <row r="214" ht="17.399999999999999" customHeight="1"/>
    <row r="215" ht="17.399999999999999" customHeight="1"/>
    <row r="216" ht="17.399999999999999" customHeight="1"/>
    <row r="217" ht="17.399999999999999" customHeight="1"/>
    <row r="218" ht="17.399999999999999" customHeight="1"/>
    <row r="219" ht="17.399999999999999" customHeight="1"/>
    <row r="220" ht="17.399999999999999" customHeight="1"/>
    <row r="221" ht="17.399999999999999" customHeight="1"/>
    <row r="222" ht="17.399999999999999" customHeight="1"/>
    <row r="223" ht="17.399999999999999" customHeight="1"/>
    <row r="224" ht="17.399999999999999" customHeight="1"/>
    <row r="225" ht="17.399999999999999" customHeight="1"/>
    <row r="226" ht="17.399999999999999" customHeight="1"/>
    <row r="227" ht="17.399999999999999" customHeight="1"/>
    <row r="228" ht="17.399999999999999" customHeight="1"/>
    <row r="229" ht="17.399999999999999" customHeight="1"/>
    <row r="230" ht="17.399999999999999" customHeight="1"/>
    <row r="231" ht="17.399999999999999" customHeight="1"/>
    <row r="232" ht="17.399999999999999" customHeight="1"/>
    <row r="233" ht="17.399999999999999" customHeight="1"/>
    <row r="234" ht="17.399999999999999" customHeight="1"/>
    <row r="235" ht="17.399999999999999" customHeight="1"/>
    <row r="236" ht="17.399999999999999" customHeight="1"/>
    <row r="237" ht="17.399999999999999" customHeight="1"/>
    <row r="238" ht="17.399999999999999" customHeight="1"/>
    <row r="239" ht="17.399999999999999" customHeight="1"/>
    <row r="240" ht="17.399999999999999" customHeight="1"/>
    <row r="241" ht="17.399999999999999" customHeight="1"/>
    <row r="242" ht="17.399999999999999" customHeight="1"/>
    <row r="243" ht="17.399999999999999" customHeight="1"/>
    <row r="244" ht="17.399999999999999" customHeight="1"/>
    <row r="245" ht="17.399999999999999" customHeight="1"/>
    <row r="246" ht="17.399999999999999" customHeight="1"/>
    <row r="247" ht="17.399999999999999" customHeight="1"/>
    <row r="248" ht="17.399999999999999" customHeight="1"/>
    <row r="249" ht="17.399999999999999" customHeight="1"/>
    <row r="250" ht="17.399999999999999" customHeight="1"/>
    <row r="251" ht="17.399999999999999" customHeight="1"/>
    <row r="252" ht="17.399999999999999" customHeight="1"/>
    <row r="253" ht="17.399999999999999" customHeight="1"/>
    <row r="254" ht="17.399999999999999" customHeight="1"/>
    <row r="255" ht="17.399999999999999" customHeight="1"/>
    <row r="256" ht="17.399999999999999" customHeight="1"/>
    <row r="257" ht="17.399999999999999" customHeight="1"/>
    <row r="258" ht="17.399999999999999" customHeight="1"/>
    <row r="259" ht="17.399999999999999" customHeight="1"/>
    <row r="260" ht="17.399999999999999" customHeight="1"/>
    <row r="261" ht="17.399999999999999" customHeight="1"/>
    <row r="262" ht="17.399999999999999" customHeight="1"/>
    <row r="263" ht="17.399999999999999" customHeight="1"/>
    <row r="264" ht="17.399999999999999" customHeight="1"/>
    <row r="265" ht="17.399999999999999" customHeight="1"/>
    <row r="266" ht="17.399999999999999" customHeight="1"/>
    <row r="267" ht="17.399999999999999" customHeight="1"/>
    <row r="268" ht="17.399999999999999" customHeight="1"/>
    <row r="269" ht="17.399999999999999" customHeight="1"/>
    <row r="270" ht="17.399999999999999" customHeight="1"/>
    <row r="271" ht="17.399999999999999" customHeight="1"/>
    <row r="272" ht="17.399999999999999" customHeight="1"/>
    <row r="273" ht="17.399999999999999" customHeight="1"/>
    <row r="274" ht="17.399999999999999" customHeight="1"/>
    <row r="275" ht="17.399999999999999" customHeight="1"/>
    <row r="276" ht="17.399999999999999" customHeight="1"/>
    <row r="277" ht="17.399999999999999" customHeight="1"/>
    <row r="278" ht="17.399999999999999" customHeight="1"/>
    <row r="279" ht="17.399999999999999" customHeight="1"/>
    <row r="280" ht="17.399999999999999" customHeight="1"/>
    <row r="281" ht="17.399999999999999" customHeight="1"/>
    <row r="282" ht="17.399999999999999" customHeight="1"/>
    <row r="283" ht="17.399999999999999" customHeight="1"/>
    <row r="284" ht="17.399999999999999" customHeight="1"/>
    <row r="285" ht="17.399999999999999" customHeight="1"/>
    <row r="286" ht="17.399999999999999" customHeight="1"/>
    <row r="287" ht="17.399999999999999" customHeight="1"/>
    <row r="288" ht="17.399999999999999" customHeight="1"/>
    <row r="289" ht="17.399999999999999" customHeight="1"/>
    <row r="290" ht="17.399999999999999" customHeight="1"/>
    <row r="291" ht="17.399999999999999" customHeight="1"/>
    <row r="292" ht="17.399999999999999" customHeight="1"/>
    <row r="293" ht="17.399999999999999" customHeight="1"/>
    <row r="294" ht="17.399999999999999" customHeight="1"/>
    <row r="295" ht="17.399999999999999" customHeight="1"/>
    <row r="296" ht="17.399999999999999" customHeight="1"/>
    <row r="297" ht="17.399999999999999" customHeight="1"/>
    <row r="298" ht="17.399999999999999" customHeight="1"/>
    <row r="299" ht="17.399999999999999" customHeight="1"/>
    <row r="300" ht="17.399999999999999" customHeight="1"/>
    <row r="301" ht="17.399999999999999" customHeight="1"/>
    <row r="302" ht="17.399999999999999" customHeight="1"/>
    <row r="303" ht="17.399999999999999" customHeight="1"/>
    <row r="304" ht="17.399999999999999" customHeight="1"/>
    <row r="305" ht="17.399999999999999" customHeight="1"/>
    <row r="306" ht="17.399999999999999" customHeight="1"/>
    <row r="307" ht="17.399999999999999" customHeight="1"/>
    <row r="308" ht="17.399999999999999" customHeight="1"/>
    <row r="309" ht="17.399999999999999" customHeight="1"/>
    <row r="310" ht="17.399999999999999" customHeight="1"/>
    <row r="311" ht="17.399999999999999" customHeight="1"/>
    <row r="312" ht="17.399999999999999" customHeight="1"/>
    <row r="313" ht="17.399999999999999" customHeight="1"/>
    <row r="314" ht="17.399999999999999" customHeight="1"/>
    <row r="315" ht="17.399999999999999" customHeight="1"/>
    <row r="316" ht="17.399999999999999" customHeight="1"/>
    <row r="317" ht="17.399999999999999" customHeight="1"/>
    <row r="318" ht="17.399999999999999" customHeight="1"/>
    <row r="319" ht="17.399999999999999" customHeight="1"/>
    <row r="320" ht="17.399999999999999" customHeight="1"/>
    <row r="321" ht="17.399999999999999" customHeight="1"/>
    <row r="322" ht="17.399999999999999" customHeight="1"/>
    <row r="323" ht="17.399999999999999" customHeight="1"/>
    <row r="324" ht="17.399999999999999" customHeight="1"/>
    <row r="325" ht="17.399999999999999" customHeight="1"/>
    <row r="326" ht="17.399999999999999" customHeight="1"/>
    <row r="327" ht="17.399999999999999" customHeight="1"/>
    <row r="328" ht="17.399999999999999" customHeight="1"/>
    <row r="329" ht="17.399999999999999" customHeight="1"/>
    <row r="330" ht="17.399999999999999" customHeight="1"/>
    <row r="331" ht="17.399999999999999" customHeight="1"/>
    <row r="332" ht="17.399999999999999" customHeight="1"/>
    <row r="333" ht="17.399999999999999" customHeight="1"/>
    <row r="334" ht="17.399999999999999" customHeight="1"/>
    <row r="335" ht="17.399999999999999" customHeight="1"/>
    <row r="336" ht="17.399999999999999" customHeight="1"/>
    <row r="337" ht="17.399999999999999" customHeight="1"/>
    <row r="338" ht="17.399999999999999" customHeight="1"/>
    <row r="339" ht="17.399999999999999" customHeight="1"/>
    <row r="340" ht="17.399999999999999" customHeight="1"/>
    <row r="341" ht="17.399999999999999" customHeight="1"/>
    <row r="342" ht="17.399999999999999" customHeight="1"/>
    <row r="343" ht="17.399999999999999" customHeight="1"/>
    <row r="344" ht="17.399999999999999" customHeight="1"/>
    <row r="345" ht="17.399999999999999" customHeight="1"/>
    <row r="346" ht="17.399999999999999" customHeight="1"/>
    <row r="347" ht="17.399999999999999" customHeight="1"/>
    <row r="348" ht="17.399999999999999" customHeight="1"/>
    <row r="349" ht="17.399999999999999" customHeight="1"/>
    <row r="350" ht="17.399999999999999" customHeight="1"/>
    <row r="351" ht="17.399999999999999" customHeight="1"/>
    <row r="352" ht="17.399999999999999" customHeight="1"/>
    <row r="353" ht="17.399999999999999" customHeight="1"/>
    <row r="354" ht="17.399999999999999" customHeight="1"/>
    <row r="355" ht="17.399999999999999" customHeight="1"/>
    <row r="356" ht="17.399999999999999" customHeight="1"/>
    <row r="357" ht="17.399999999999999" customHeight="1"/>
    <row r="358" ht="17.399999999999999" customHeight="1"/>
    <row r="359" ht="17.399999999999999" customHeight="1"/>
    <row r="360" ht="17.399999999999999" customHeight="1"/>
    <row r="361" ht="17.399999999999999" customHeight="1"/>
    <row r="362" ht="17.399999999999999" customHeight="1"/>
    <row r="363" ht="17.399999999999999" customHeight="1"/>
    <row r="364" ht="17.399999999999999" customHeight="1"/>
    <row r="365" ht="17.399999999999999" customHeight="1"/>
    <row r="366" ht="17.399999999999999" customHeight="1"/>
    <row r="367" ht="17.399999999999999" customHeight="1"/>
    <row r="368" ht="17.399999999999999" customHeight="1"/>
    <row r="369" ht="17.399999999999999" customHeight="1"/>
    <row r="370" ht="17.399999999999999" customHeight="1"/>
    <row r="371" ht="17.399999999999999" customHeight="1"/>
    <row r="372" ht="17.399999999999999" customHeight="1"/>
    <row r="373" ht="17.399999999999999" customHeight="1"/>
    <row r="374" ht="17.399999999999999" customHeight="1"/>
    <row r="375" ht="17.399999999999999" customHeight="1"/>
    <row r="376" ht="17.399999999999999" customHeight="1"/>
    <row r="377" ht="17.399999999999999" customHeight="1"/>
    <row r="378" ht="17.399999999999999" customHeight="1"/>
    <row r="379" ht="17.399999999999999" customHeight="1"/>
    <row r="380" ht="17.399999999999999" customHeight="1"/>
    <row r="381" ht="17.399999999999999" customHeight="1"/>
    <row r="382" ht="17.399999999999999" customHeight="1"/>
    <row r="383" ht="17.399999999999999" customHeight="1"/>
    <row r="384" ht="17.399999999999999" customHeight="1"/>
    <row r="385" ht="17.399999999999999" customHeight="1"/>
    <row r="386" ht="17.399999999999999" customHeight="1"/>
    <row r="387" ht="17.399999999999999" customHeight="1"/>
    <row r="388" ht="17.399999999999999" customHeight="1"/>
    <row r="389" ht="17.399999999999999" customHeight="1"/>
    <row r="390" ht="17.399999999999999" customHeight="1"/>
    <row r="391" ht="17.399999999999999" customHeight="1"/>
    <row r="392" ht="17.399999999999999" customHeight="1"/>
    <row r="393" ht="17.399999999999999" customHeight="1"/>
    <row r="394" ht="17.399999999999999" customHeight="1"/>
    <row r="395" ht="17.399999999999999" customHeight="1"/>
    <row r="396" ht="17.399999999999999" customHeight="1"/>
    <row r="397" ht="17.399999999999999" customHeight="1"/>
    <row r="398" ht="17.399999999999999" customHeight="1"/>
    <row r="399" ht="17.399999999999999" customHeight="1"/>
    <row r="400" ht="17.399999999999999" customHeight="1"/>
    <row r="401" ht="17.399999999999999" customHeight="1"/>
    <row r="402" ht="17.399999999999999" customHeight="1"/>
    <row r="403" ht="17.399999999999999" customHeight="1"/>
    <row r="404" ht="17.399999999999999" customHeight="1"/>
    <row r="405" ht="17.399999999999999" customHeight="1"/>
    <row r="406" ht="17.399999999999999" customHeight="1"/>
    <row r="407" ht="17.399999999999999" customHeight="1"/>
    <row r="408" ht="17.399999999999999" customHeight="1"/>
    <row r="409" ht="17.399999999999999" customHeight="1"/>
    <row r="410" ht="17.399999999999999" customHeight="1"/>
    <row r="411" ht="17.399999999999999" customHeight="1"/>
    <row r="412" ht="17.399999999999999" customHeight="1"/>
    <row r="413" ht="17.399999999999999" customHeight="1"/>
    <row r="414" ht="17.399999999999999" customHeight="1"/>
    <row r="415" ht="17.399999999999999" customHeight="1"/>
    <row r="416" ht="17.399999999999999" customHeight="1"/>
    <row r="417" ht="17.399999999999999" customHeight="1"/>
    <row r="418" ht="17.399999999999999" customHeight="1"/>
    <row r="419" ht="17.399999999999999" customHeight="1"/>
    <row r="420" ht="17.399999999999999" customHeight="1"/>
    <row r="421" ht="17.399999999999999" customHeight="1"/>
    <row r="422" ht="17.399999999999999" customHeight="1"/>
    <row r="423" ht="17.399999999999999" customHeight="1"/>
    <row r="424" ht="17.399999999999999" customHeight="1"/>
    <row r="425" ht="17.399999999999999" customHeight="1"/>
    <row r="426" ht="17.399999999999999" customHeight="1"/>
    <row r="427" ht="17.399999999999999" customHeight="1"/>
    <row r="428" ht="17.399999999999999" customHeight="1"/>
    <row r="429" ht="17.399999999999999" customHeight="1"/>
    <row r="430" ht="17.399999999999999" customHeight="1"/>
    <row r="431" ht="17.399999999999999" customHeight="1"/>
    <row r="432" ht="17.399999999999999" customHeight="1"/>
    <row r="433" ht="17.399999999999999" customHeight="1"/>
    <row r="434" ht="17.399999999999999" customHeight="1"/>
    <row r="435" ht="17.399999999999999" customHeight="1"/>
    <row r="436" ht="17.399999999999999" customHeight="1"/>
    <row r="437" ht="17.399999999999999" customHeight="1"/>
    <row r="438" ht="17.399999999999999" customHeight="1"/>
    <row r="439" ht="17.399999999999999" customHeight="1"/>
    <row r="440" ht="17.399999999999999" customHeight="1"/>
    <row r="441" ht="17.399999999999999" customHeight="1"/>
    <row r="442" ht="17.399999999999999" customHeight="1"/>
    <row r="443" ht="17.399999999999999" customHeight="1"/>
    <row r="444" ht="17.399999999999999" customHeight="1"/>
    <row r="445" ht="17.399999999999999" customHeight="1"/>
    <row r="446" ht="17.399999999999999" customHeight="1"/>
    <row r="447" ht="17.399999999999999" customHeight="1"/>
    <row r="448" ht="17.399999999999999" customHeight="1"/>
    <row r="449" ht="17.399999999999999" customHeight="1"/>
    <row r="450" ht="17.399999999999999" customHeight="1"/>
    <row r="451" ht="17.399999999999999" customHeight="1"/>
    <row r="452" ht="17.399999999999999" customHeight="1"/>
    <row r="453" ht="17.399999999999999" customHeight="1"/>
    <row r="454" ht="17.399999999999999" customHeight="1"/>
    <row r="455" ht="17.399999999999999" customHeight="1"/>
    <row r="456" ht="17.399999999999999" customHeight="1"/>
    <row r="457" ht="17.399999999999999" customHeight="1"/>
    <row r="458" ht="17.399999999999999" customHeight="1"/>
    <row r="459" ht="17.399999999999999" customHeight="1"/>
    <row r="460" ht="17.399999999999999" customHeight="1"/>
    <row r="461" ht="17.399999999999999" customHeight="1"/>
    <row r="462" ht="17.399999999999999" customHeight="1"/>
    <row r="463" ht="17.399999999999999" customHeight="1"/>
    <row r="464" ht="17.399999999999999" customHeight="1"/>
    <row r="465" ht="17.399999999999999" customHeight="1"/>
    <row r="466" ht="17.399999999999999" customHeight="1"/>
    <row r="467" ht="17.399999999999999" customHeight="1"/>
    <row r="468" ht="17.399999999999999" customHeight="1"/>
    <row r="469" ht="17.399999999999999" customHeight="1"/>
    <row r="470" ht="17.399999999999999" customHeight="1"/>
    <row r="471" ht="17.399999999999999" customHeight="1"/>
    <row r="472" ht="17.399999999999999" customHeight="1"/>
    <row r="473" ht="17.399999999999999" customHeight="1"/>
    <row r="474" ht="17.399999999999999" customHeight="1"/>
    <row r="475" ht="17.399999999999999" customHeight="1"/>
    <row r="476" ht="17.399999999999999" customHeight="1"/>
    <row r="477" ht="17.399999999999999" customHeight="1"/>
    <row r="478" ht="17.399999999999999" customHeight="1"/>
    <row r="479" ht="17.399999999999999" customHeight="1"/>
    <row r="480" ht="17.399999999999999" customHeight="1"/>
    <row r="481" ht="17.399999999999999" customHeight="1"/>
    <row r="482" ht="17.399999999999999" customHeight="1"/>
    <row r="483" ht="17.399999999999999" customHeight="1"/>
    <row r="484" ht="17.399999999999999" customHeight="1"/>
    <row r="485" ht="17.399999999999999" customHeight="1"/>
    <row r="486" ht="17.399999999999999" customHeight="1"/>
    <row r="487" ht="17.399999999999999" customHeight="1"/>
    <row r="488" ht="17.399999999999999" customHeight="1"/>
    <row r="489" ht="17.399999999999999" customHeight="1"/>
    <row r="490" ht="17.399999999999999" customHeight="1"/>
    <row r="491" ht="17.399999999999999" customHeight="1"/>
    <row r="492" ht="17.399999999999999" customHeight="1"/>
    <row r="493" ht="17.399999999999999" customHeight="1"/>
    <row r="494" ht="17.399999999999999" customHeight="1"/>
    <row r="495" ht="17.399999999999999" customHeight="1"/>
    <row r="496" ht="17.399999999999999" customHeight="1"/>
    <row r="497" ht="17.399999999999999" customHeight="1"/>
    <row r="498" ht="17.399999999999999" customHeight="1"/>
    <row r="499" ht="17.399999999999999" customHeight="1"/>
    <row r="500" ht="17.399999999999999" customHeight="1"/>
    <row r="501" ht="17.399999999999999" customHeight="1"/>
    <row r="502" ht="17.399999999999999" customHeight="1"/>
    <row r="503" ht="17.399999999999999" customHeight="1"/>
    <row r="504" ht="17.399999999999999" customHeight="1"/>
    <row r="505" ht="17.399999999999999" customHeight="1"/>
    <row r="506" ht="17.399999999999999" customHeight="1"/>
    <row r="507" ht="17.399999999999999" customHeight="1"/>
    <row r="508" ht="17.399999999999999" customHeight="1"/>
    <row r="509" ht="17.399999999999999" customHeight="1"/>
    <row r="510" ht="17.399999999999999" customHeight="1"/>
    <row r="511" ht="17.399999999999999" customHeight="1"/>
    <row r="512" ht="17.399999999999999" customHeight="1"/>
    <row r="513" ht="17.399999999999999" customHeight="1"/>
    <row r="514" ht="17.399999999999999" customHeight="1"/>
    <row r="515" ht="17.399999999999999" customHeight="1"/>
    <row r="516" ht="17.399999999999999" customHeight="1"/>
    <row r="517" ht="17.399999999999999" customHeight="1"/>
    <row r="518" ht="17.399999999999999" customHeight="1"/>
    <row r="519" ht="17.399999999999999" customHeight="1"/>
    <row r="520" ht="17.399999999999999" customHeight="1"/>
    <row r="521" ht="17.399999999999999" customHeight="1"/>
    <row r="522" ht="17.399999999999999" customHeight="1"/>
    <row r="523" ht="17.399999999999999" customHeight="1"/>
    <row r="524" ht="17.399999999999999" customHeight="1"/>
    <row r="525" ht="17.399999999999999" customHeight="1"/>
    <row r="526" ht="17.399999999999999" customHeight="1"/>
    <row r="527" ht="17.399999999999999" customHeight="1"/>
    <row r="528" ht="17.399999999999999" customHeight="1"/>
    <row r="529" ht="17.399999999999999" customHeight="1"/>
    <row r="530" ht="17.399999999999999" customHeight="1"/>
    <row r="531" ht="17.399999999999999" customHeight="1"/>
    <row r="532" ht="17.399999999999999" customHeight="1"/>
    <row r="533" ht="17.399999999999999" customHeight="1"/>
    <row r="534" ht="17.399999999999999" customHeight="1"/>
    <row r="535" ht="17.399999999999999" customHeight="1"/>
    <row r="536" ht="17.399999999999999" customHeight="1"/>
    <row r="537" ht="17.399999999999999" customHeight="1"/>
    <row r="538" ht="17.399999999999999" customHeight="1"/>
    <row r="539" ht="17.399999999999999" customHeight="1"/>
    <row r="540" ht="17.399999999999999" customHeight="1"/>
    <row r="541" ht="17.399999999999999" customHeight="1"/>
    <row r="542" ht="17.399999999999999" customHeight="1"/>
    <row r="543" ht="17.399999999999999" customHeight="1"/>
    <row r="544" ht="17.399999999999999" customHeight="1"/>
    <row r="545" ht="17.399999999999999" customHeight="1"/>
    <row r="546" ht="17.399999999999999" customHeight="1"/>
    <row r="547" ht="17.399999999999999" customHeight="1"/>
    <row r="548" ht="17.399999999999999" customHeight="1"/>
    <row r="549" ht="17.399999999999999" customHeight="1"/>
    <row r="550" ht="17.399999999999999" customHeight="1"/>
    <row r="551" ht="17.399999999999999" customHeight="1"/>
    <row r="552" ht="17.399999999999999" customHeight="1"/>
    <row r="553" ht="17.399999999999999" customHeight="1"/>
    <row r="554" ht="17.399999999999999" customHeight="1"/>
    <row r="555" ht="17.399999999999999" customHeight="1"/>
    <row r="556" ht="17.399999999999999" customHeight="1"/>
    <row r="557" ht="17.399999999999999" customHeight="1"/>
    <row r="558" ht="17.399999999999999" customHeight="1"/>
    <row r="559" ht="17.399999999999999" customHeight="1"/>
    <row r="560" ht="17.399999999999999" customHeight="1"/>
    <row r="561" ht="17.399999999999999" customHeight="1"/>
    <row r="562" ht="17.399999999999999" customHeight="1"/>
    <row r="563" ht="17.399999999999999" customHeight="1"/>
    <row r="564" ht="17.399999999999999" customHeight="1"/>
    <row r="565" ht="17.399999999999999" customHeight="1"/>
    <row r="566" ht="17.399999999999999" customHeight="1"/>
    <row r="567" ht="17.399999999999999" customHeight="1"/>
    <row r="568" ht="17.399999999999999" customHeight="1"/>
    <row r="569" ht="17.399999999999999" customHeight="1"/>
    <row r="570" ht="17.399999999999999" customHeight="1"/>
    <row r="571" ht="17.399999999999999" customHeight="1"/>
    <row r="572" ht="17.399999999999999" customHeight="1"/>
    <row r="573" ht="17.399999999999999" customHeight="1"/>
    <row r="574" ht="17.399999999999999" customHeight="1"/>
    <row r="575" ht="17.399999999999999" customHeight="1"/>
    <row r="576" ht="17.399999999999999" customHeight="1"/>
    <row r="577" ht="17.399999999999999" customHeight="1"/>
    <row r="578" ht="17.399999999999999" customHeight="1"/>
    <row r="579" ht="17.399999999999999" customHeight="1"/>
    <row r="580" ht="17.399999999999999" customHeight="1"/>
    <row r="581" ht="17.399999999999999" customHeight="1"/>
    <row r="582" ht="17.399999999999999" customHeight="1"/>
    <row r="583" ht="17.399999999999999" customHeight="1"/>
    <row r="584" ht="17.399999999999999" customHeight="1"/>
    <row r="585" ht="17.399999999999999" customHeight="1"/>
    <row r="586" ht="17.399999999999999" customHeight="1"/>
    <row r="587" ht="17.399999999999999" customHeight="1"/>
    <row r="588" ht="17.399999999999999" customHeight="1"/>
    <row r="589" ht="17.399999999999999" customHeight="1"/>
    <row r="590" ht="17.399999999999999" customHeight="1"/>
    <row r="591" ht="17.399999999999999" customHeight="1"/>
    <row r="592" ht="17.399999999999999" customHeight="1"/>
    <row r="593" ht="17.399999999999999" customHeight="1"/>
    <row r="594" ht="17.399999999999999" customHeight="1"/>
    <row r="595" ht="17.399999999999999" customHeight="1"/>
    <row r="596" ht="17.399999999999999" customHeight="1"/>
    <row r="597" ht="17.399999999999999" customHeight="1"/>
    <row r="598" ht="17.399999999999999" customHeight="1"/>
    <row r="599" ht="17.399999999999999" customHeight="1"/>
    <row r="600" ht="17.399999999999999" customHeight="1"/>
    <row r="601" ht="17.399999999999999" customHeight="1"/>
    <row r="602" ht="17.399999999999999" customHeight="1"/>
    <row r="603" ht="17.399999999999999" customHeight="1"/>
    <row r="604" ht="17.399999999999999" customHeight="1"/>
    <row r="605" ht="17.399999999999999" customHeight="1"/>
    <row r="606" ht="17.399999999999999" customHeight="1"/>
    <row r="607" ht="17.399999999999999" customHeight="1"/>
    <row r="608" ht="17.399999999999999" customHeight="1"/>
    <row r="609" ht="17.399999999999999" customHeight="1"/>
    <row r="610" ht="17.399999999999999" customHeight="1"/>
    <row r="611" ht="17.399999999999999" customHeight="1"/>
    <row r="612" ht="17.399999999999999" customHeight="1"/>
    <row r="613" ht="17.399999999999999" customHeight="1"/>
    <row r="614" ht="17.399999999999999" customHeight="1"/>
    <row r="615" ht="17.399999999999999" customHeight="1"/>
    <row r="616" ht="17.399999999999999" customHeight="1"/>
    <row r="617" ht="17.399999999999999" customHeight="1"/>
    <row r="618" ht="17.399999999999999" customHeight="1"/>
    <row r="619" ht="17.399999999999999" customHeight="1"/>
    <row r="620" ht="17.399999999999999" customHeight="1"/>
    <row r="621" ht="17.399999999999999" customHeight="1"/>
    <row r="622" ht="17.399999999999999" customHeight="1"/>
    <row r="623" ht="17.399999999999999" customHeight="1"/>
    <row r="624" ht="17.399999999999999" customHeight="1"/>
    <row r="625" ht="17.399999999999999" customHeight="1"/>
    <row r="626" ht="17.399999999999999" customHeight="1"/>
    <row r="627" ht="17.399999999999999" customHeight="1"/>
    <row r="628" ht="17.399999999999999" customHeight="1"/>
    <row r="629" ht="17.399999999999999" customHeight="1"/>
    <row r="630" ht="17.399999999999999" customHeight="1"/>
    <row r="631" ht="17.399999999999999" customHeight="1"/>
    <row r="632" ht="17.399999999999999" customHeight="1"/>
    <row r="633" ht="17.399999999999999" customHeight="1"/>
    <row r="634" ht="17.399999999999999" customHeight="1"/>
    <row r="635" ht="17.399999999999999" customHeight="1"/>
    <row r="636" ht="17.399999999999999" customHeight="1"/>
    <row r="637" ht="17.399999999999999" customHeight="1"/>
    <row r="638" ht="17.399999999999999" customHeight="1"/>
    <row r="639" ht="17.399999999999999" customHeight="1"/>
    <row r="640" ht="17.399999999999999" customHeight="1"/>
    <row r="641" ht="17.399999999999999" customHeight="1"/>
    <row r="642" ht="17.399999999999999" customHeight="1"/>
    <row r="643" ht="17.399999999999999" customHeight="1"/>
    <row r="644" ht="17.399999999999999" customHeight="1"/>
    <row r="645" ht="17.399999999999999" customHeight="1"/>
    <row r="646" ht="17.399999999999999" customHeight="1"/>
    <row r="647" ht="17.399999999999999" customHeight="1"/>
    <row r="648" ht="17.399999999999999" customHeight="1"/>
    <row r="649" ht="17.399999999999999" customHeight="1"/>
    <row r="650" ht="17.399999999999999" customHeight="1"/>
    <row r="651" ht="17.399999999999999" customHeight="1"/>
    <row r="652" ht="17.399999999999999" customHeight="1"/>
    <row r="653" ht="17.399999999999999" customHeight="1"/>
    <row r="654" ht="17.399999999999999" customHeight="1"/>
    <row r="655" ht="17.399999999999999" customHeight="1"/>
    <row r="656" ht="17.399999999999999" customHeight="1"/>
    <row r="657" ht="17.399999999999999" customHeight="1"/>
    <row r="658" ht="17.399999999999999" customHeight="1"/>
    <row r="659" ht="17.399999999999999" customHeight="1"/>
    <row r="660" ht="17.399999999999999" customHeight="1"/>
    <row r="661" ht="17.399999999999999" customHeight="1"/>
    <row r="662" ht="17.399999999999999" customHeight="1"/>
    <row r="663" ht="17.399999999999999" customHeight="1"/>
    <row r="664" ht="17.399999999999999" customHeight="1"/>
    <row r="665" ht="17.399999999999999" customHeight="1"/>
    <row r="666" ht="17.399999999999999" customHeight="1"/>
    <row r="667" ht="17.399999999999999" customHeight="1"/>
    <row r="668" ht="17.399999999999999" customHeight="1"/>
    <row r="669" ht="17.399999999999999" customHeight="1"/>
    <row r="670" ht="17.399999999999999" customHeight="1"/>
    <row r="671" ht="17.399999999999999" customHeight="1"/>
    <row r="672" ht="17.399999999999999" customHeight="1"/>
    <row r="673" ht="17.399999999999999" customHeight="1"/>
    <row r="674" ht="17.399999999999999" customHeight="1"/>
    <row r="675" ht="17.399999999999999" customHeight="1"/>
    <row r="676" ht="17.399999999999999" customHeight="1"/>
    <row r="677" ht="17.399999999999999" customHeight="1"/>
    <row r="678" ht="17.399999999999999" customHeight="1"/>
    <row r="679" ht="17.399999999999999" customHeight="1"/>
    <row r="680" ht="17.399999999999999" customHeight="1"/>
    <row r="681" ht="17.399999999999999" customHeight="1"/>
    <row r="682" ht="17.399999999999999" customHeight="1"/>
    <row r="683" ht="17.399999999999999" customHeight="1"/>
    <row r="684" ht="17.399999999999999" customHeight="1"/>
    <row r="685" ht="17.399999999999999" customHeight="1"/>
    <row r="686" ht="17.399999999999999" customHeight="1"/>
    <row r="687" ht="17.399999999999999" customHeight="1"/>
    <row r="688" ht="17.399999999999999" customHeight="1"/>
    <row r="689" ht="17.399999999999999" customHeight="1"/>
    <row r="690" ht="17.399999999999999" customHeight="1"/>
    <row r="691" ht="17.399999999999999" customHeight="1"/>
    <row r="692" ht="17.399999999999999" customHeight="1"/>
    <row r="693" ht="17.399999999999999" customHeight="1"/>
    <row r="694" ht="17.399999999999999" customHeight="1"/>
    <row r="695" ht="17.399999999999999" customHeight="1"/>
    <row r="696" ht="17.399999999999999" customHeight="1"/>
    <row r="697" ht="17.399999999999999" customHeight="1"/>
    <row r="698" ht="17.399999999999999" customHeight="1"/>
    <row r="699" ht="17.399999999999999" customHeight="1"/>
    <row r="700" ht="17.399999999999999" customHeight="1"/>
    <row r="701" ht="17.399999999999999" customHeight="1"/>
    <row r="702" ht="17.399999999999999" customHeight="1"/>
    <row r="703" ht="17.399999999999999" customHeight="1"/>
    <row r="704" ht="17.399999999999999" customHeight="1"/>
    <row r="705" ht="17.399999999999999" customHeight="1"/>
    <row r="706" ht="17.399999999999999" customHeight="1"/>
    <row r="707" ht="17.399999999999999" customHeight="1"/>
    <row r="708" ht="17.399999999999999" customHeight="1"/>
    <row r="709" ht="17.399999999999999" customHeight="1"/>
    <row r="710" ht="17.399999999999999" customHeight="1"/>
    <row r="711" ht="17.399999999999999" customHeight="1"/>
    <row r="712" ht="17.399999999999999" customHeight="1"/>
    <row r="713" ht="17.399999999999999" customHeight="1"/>
    <row r="714" ht="17.399999999999999" customHeight="1"/>
    <row r="715" ht="17.399999999999999" customHeight="1"/>
    <row r="716" ht="17.399999999999999" customHeight="1"/>
    <row r="717" ht="17.399999999999999" customHeight="1"/>
    <row r="718" ht="17.399999999999999" customHeight="1"/>
    <row r="719" ht="17.399999999999999" customHeight="1"/>
    <row r="720" ht="17.399999999999999" customHeight="1"/>
    <row r="721" ht="17.399999999999999" customHeight="1"/>
    <row r="722" ht="17.399999999999999" customHeight="1"/>
    <row r="723" ht="17.399999999999999" customHeight="1"/>
    <row r="724" ht="17.399999999999999" customHeight="1"/>
    <row r="725" ht="17.399999999999999" customHeight="1"/>
    <row r="726" ht="17.399999999999999" customHeight="1"/>
    <row r="727" ht="17.399999999999999" customHeight="1"/>
    <row r="728" ht="17.399999999999999" customHeight="1"/>
    <row r="729" ht="17.399999999999999" customHeight="1"/>
    <row r="730" ht="17.399999999999999" customHeight="1"/>
    <row r="731" ht="17.399999999999999" customHeight="1"/>
    <row r="732" ht="17.399999999999999" customHeight="1"/>
    <row r="733" ht="17.399999999999999" customHeight="1"/>
    <row r="734" ht="17.399999999999999" customHeight="1"/>
    <row r="735" ht="17.399999999999999" customHeight="1"/>
    <row r="736" ht="17.399999999999999" customHeight="1"/>
    <row r="737" ht="17.399999999999999" customHeight="1"/>
    <row r="738" ht="17.399999999999999" customHeight="1"/>
    <row r="739" ht="17.399999999999999" customHeight="1"/>
    <row r="740" ht="17.399999999999999" customHeight="1"/>
    <row r="741" ht="17.399999999999999" customHeight="1"/>
    <row r="742" ht="17.399999999999999" customHeight="1"/>
    <row r="743" ht="17.399999999999999" customHeight="1"/>
    <row r="744" ht="17.399999999999999" customHeight="1"/>
    <row r="745" ht="17.399999999999999" customHeight="1"/>
    <row r="746" ht="17.399999999999999" customHeight="1"/>
    <row r="747" ht="17.399999999999999" customHeight="1"/>
    <row r="748" ht="17.399999999999999" customHeight="1"/>
    <row r="749" ht="17.399999999999999" customHeight="1"/>
    <row r="750" ht="17.399999999999999" customHeight="1"/>
    <row r="751" ht="17.399999999999999" customHeight="1"/>
    <row r="752" ht="17.399999999999999" customHeight="1"/>
    <row r="753" ht="17.399999999999999" customHeight="1"/>
    <row r="754" ht="17.399999999999999" customHeight="1"/>
    <row r="755" ht="17.399999999999999" customHeight="1"/>
    <row r="756" ht="17.399999999999999" customHeight="1"/>
    <row r="757" ht="17.399999999999999" customHeight="1"/>
    <row r="758" ht="17.399999999999999" customHeight="1"/>
    <row r="759" ht="17.399999999999999" customHeight="1"/>
    <row r="760" ht="17.399999999999999" customHeight="1"/>
    <row r="761" ht="17.399999999999999" customHeight="1"/>
    <row r="762" ht="17.399999999999999" customHeight="1"/>
    <row r="763" ht="17.399999999999999" customHeight="1"/>
    <row r="764" ht="17.399999999999999" customHeight="1"/>
    <row r="765" ht="17.399999999999999" customHeight="1"/>
    <row r="766" ht="17.399999999999999" customHeight="1"/>
    <row r="767" ht="17.399999999999999" customHeight="1"/>
    <row r="768" ht="17.399999999999999" customHeight="1"/>
  </sheetData>
  <autoFilter ref="B8:I77" xr:uid="{643F601A-33FB-44EF-B845-7F08A05F1D8E}">
    <filterColumn colId="3">
      <filters>
        <filter val="PRTCTN_ID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9921875" defaultRowHeight="13.2"/>
  <cols>
    <col min="1" max="1" width="8.69921875" style="321"/>
    <col min="2" max="2" width="18.69921875" style="321" bestFit="1" customWidth="1"/>
    <col min="3" max="3" width="34.8984375" style="321" bestFit="1" customWidth="1"/>
    <col min="4" max="4" width="14.5" style="321" customWidth="1"/>
    <col min="5" max="5" width="12.59765625" style="321" customWidth="1"/>
    <col min="6" max="6" width="24.5" style="321" customWidth="1"/>
    <col min="7" max="7" width="8.69921875" style="321"/>
    <col min="8" max="8" width="41.3984375" style="321" bestFit="1" customWidth="1"/>
    <col min="9" max="16384" width="8.69921875" style="321"/>
  </cols>
  <sheetData>
    <row r="2" spans="2:8">
      <c r="D2" s="365" t="s">
        <v>462</v>
      </c>
      <c r="E2" s="365"/>
    </row>
    <row r="3" spans="2:8" ht="16.2">
      <c r="B3" s="322" t="s">
        <v>3</v>
      </c>
      <c r="C3" s="322" t="s">
        <v>4</v>
      </c>
      <c r="D3" s="322" t="s">
        <v>448</v>
      </c>
      <c r="E3" s="322" t="s">
        <v>449</v>
      </c>
      <c r="F3" s="322" t="s">
        <v>13</v>
      </c>
      <c r="G3" s="322" t="s">
        <v>5</v>
      </c>
      <c r="H3" s="322" t="s">
        <v>451</v>
      </c>
    </row>
    <row r="4" spans="2:8" ht="16.2">
      <c r="B4" s="323" t="s">
        <v>29</v>
      </c>
      <c r="C4" s="323" t="s">
        <v>79</v>
      </c>
      <c r="D4" s="323" t="s">
        <v>368</v>
      </c>
      <c r="E4" s="323" t="s">
        <v>446</v>
      </c>
      <c r="F4" s="323" t="s">
        <v>454</v>
      </c>
      <c r="G4" s="323" t="s">
        <v>461</v>
      </c>
      <c r="H4" s="323" t="s">
        <v>464</v>
      </c>
    </row>
    <row r="5" spans="2:8" ht="16.2" hidden="1">
      <c r="B5" s="323" t="s">
        <v>29</v>
      </c>
      <c r="C5" s="323" t="s">
        <v>60</v>
      </c>
      <c r="D5" s="323" t="s">
        <v>446</v>
      </c>
      <c r="E5" s="323" t="s">
        <v>446</v>
      </c>
      <c r="F5" s="323"/>
      <c r="G5" s="323"/>
      <c r="H5" s="323" t="s">
        <v>362</v>
      </c>
    </row>
    <row r="6" spans="2:8" ht="16.2">
      <c r="B6" s="323" t="s">
        <v>29</v>
      </c>
      <c r="C6" s="323" t="s">
        <v>80</v>
      </c>
      <c r="D6" s="323" t="s">
        <v>368</v>
      </c>
      <c r="E6" s="323" t="s">
        <v>446</v>
      </c>
      <c r="F6" s="323" t="s">
        <v>455</v>
      </c>
      <c r="G6" s="323" t="s">
        <v>461</v>
      </c>
      <c r="H6" s="323" t="s">
        <v>463</v>
      </c>
    </row>
    <row r="7" spans="2:8" ht="16.2">
      <c r="B7" s="323" t="s">
        <v>29</v>
      </c>
      <c r="C7" s="323" t="s">
        <v>81</v>
      </c>
      <c r="D7" s="323" t="s">
        <v>368</v>
      </c>
      <c r="E7" s="323" t="s">
        <v>446</v>
      </c>
      <c r="F7" s="323" t="s">
        <v>456</v>
      </c>
      <c r="G7" s="323" t="s">
        <v>461</v>
      </c>
      <c r="H7" s="323" t="s">
        <v>463</v>
      </c>
    </row>
    <row r="8" spans="2:8" ht="16.2" hidden="1">
      <c r="B8" s="323" t="s">
        <v>29</v>
      </c>
      <c r="C8" s="323" t="s">
        <v>82</v>
      </c>
      <c r="D8" s="323" t="s">
        <v>446</v>
      </c>
      <c r="E8" s="323" t="s">
        <v>446</v>
      </c>
      <c r="F8" s="323"/>
      <c r="G8" s="323" t="s">
        <v>461</v>
      </c>
      <c r="H8" s="323" t="s">
        <v>362</v>
      </c>
    </row>
    <row r="9" spans="2:8" ht="16.2">
      <c r="B9" s="323" t="s">
        <v>29</v>
      </c>
      <c r="C9" s="323" t="s">
        <v>83</v>
      </c>
      <c r="D9" s="323" t="s">
        <v>368</v>
      </c>
      <c r="E9" s="323" t="s">
        <v>446</v>
      </c>
      <c r="F9" s="323" t="s">
        <v>457</v>
      </c>
      <c r="G9" s="323" t="s">
        <v>461</v>
      </c>
      <c r="H9" s="323" t="s">
        <v>463</v>
      </c>
    </row>
    <row r="10" spans="2:8" ht="16.2">
      <c r="B10" s="323" t="s">
        <v>29</v>
      </c>
      <c r="C10" s="323" t="s">
        <v>61</v>
      </c>
      <c r="D10" s="323" t="s">
        <v>368</v>
      </c>
      <c r="E10" s="323" t="s">
        <v>368</v>
      </c>
      <c r="F10" s="323" t="s">
        <v>453</v>
      </c>
      <c r="G10" s="323"/>
      <c r="H10" s="323" t="s">
        <v>362</v>
      </c>
    </row>
    <row r="11" spans="2:8" ht="16.2" hidden="1">
      <c r="B11" s="323" t="s">
        <v>29</v>
      </c>
      <c r="C11" s="323" t="s">
        <v>84</v>
      </c>
      <c r="D11" s="323" t="s">
        <v>446</v>
      </c>
      <c r="E11" s="323" t="s">
        <v>446</v>
      </c>
      <c r="F11" s="323"/>
      <c r="G11" s="323" t="s">
        <v>461</v>
      </c>
      <c r="H11" s="323" t="s">
        <v>362</v>
      </c>
    </row>
    <row r="12" spans="2:8" ht="16.2">
      <c r="B12" s="323" t="s">
        <v>29</v>
      </c>
      <c r="C12" s="323" t="s">
        <v>85</v>
      </c>
      <c r="D12" s="323" t="s">
        <v>368</v>
      </c>
      <c r="E12" s="323" t="s">
        <v>446</v>
      </c>
      <c r="F12" s="323" t="s">
        <v>457</v>
      </c>
      <c r="G12" s="323" t="s">
        <v>461</v>
      </c>
      <c r="H12" s="323" t="s">
        <v>463</v>
      </c>
    </row>
    <row r="13" spans="2:8" ht="16.2">
      <c r="B13" s="323" t="s">
        <v>29</v>
      </c>
      <c r="C13" s="323" t="s">
        <v>86</v>
      </c>
      <c r="D13" s="323" t="s">
        <v>368</v>
      </c>
      <c r="E13" s="323" t="s">
        <v>446</v>
      </c>
      <c r="F13" s="323" t="s">
        <v>457</v>
      </c>
      <c r="G13" s="323" t="s">
        <v>461</v>
      </c>
      <c r="H13" s="323" t="s">
        <v>463</v>
      </c>
    </row>
    <row r="14" spans="2:8" ht="16.2" hidden="1">
      <c r="B14" s="323" t="s">
        <v>29</v>
      </c>
      <c r="C14" s="323" t="s">
        <v>62</v>
      </c>
      <c r="D14" s="323" t="s">
        <v>446</v>
      </c>
      <c r="E14" s="323" t="s">
        <v>446</v>
      </c>
      <c r="F14" s="323"/>
      <c r="G14" s="323" t="s">
        <v>461</v>
      </c>
      <c r="H14" s="323" t="s">
        <v>362</v>
      </c>
    </row>
    <row r="15" spans="2:8" ht="16.2" hidden="1">
      <c r="B15" s="323" t="s">
        <v>29</v>
      </c>
      <c r="C15" s="323" t="s">
        <v>87</v>
      </c>
      <c r="D15" s="323" t="s">
        <v>446</v>
      </c>
      <c r="E15" s="323" t="s">
        <v>446</v>
      </c>
      <c r="F15" s="323"/>
      <c r="G15" s="323" t="s">
        <v>461</v>
      </c>
      <c r="H15" s="323" t="s">
        <v>362</v>
      </c>
    </row>
    <row r="16" spans="2:8" ht="16.2" hidden="1">
      <c r="B16" s="323" t="s">
        <v>29</v>
      </c>
      <c r="C16" s="323" t="s">
        <v>88</v>
      </c>
      <c r="D16" s="323" t="s">
        <v>446</v>
      </c>
      <c r="E16" s="323" t="s">
        <v>446</v>
      </c>
      <c r="F16" s="323"/>
      <c r="G16" s="323" t="s">
        <v>461</v>
      </c>
      <c r="H16" s="323" t="s">
        <v>362</v>
      </c>
    </row>
    <row r="17" spans="2:8" ht="16.2">
      <c r="B17" s="323" t="s">
        <v>29</v>
      </c>
      <c r="C17" s="323" t="s">
        <v>89</v>
      </c>
      <c r="D17" s="323" t="s">
        <v>368</v>
      </c>
      <c r="E17" s="323" t="s">
        <v>368</v>
      </c>
      <c r="F17" s="323" t="s">
        <v>453</v>
      </c>
      <c r="G17" s="323" t="s">
        <v>461</v>
      </c>
      <c r="H17" s="323" t="s">
        <v>362</v>
      </c>
    </row>
    <row r="18" spans="2:8" ht="16.2">
      <c r="B18" s="323" t="s">
        <v>29</v>
      </c>
      <c r="C18" s="323" t="s">
        <v>90</v>
      </c>
      <c r="D18" s="323" t="s">
        <v>368</v>
      </c>
      <c r="E18" s="323" t="s">
        <v>446</v>
      </c>
      <c r="F18" s="323" t="s">
        <v>456</v>
      </c>
      <c r="G18" s="323" t="s">
        <v>461</v>
      </c>
      <c r="H18" s="323" t="s">
        <v>464</v>
      </c>
    </row>
    <row r="19" spans="2:8" ht="16.2" hidden="1">
      <c r="B19" s="323" t="s">
        <v>29</v>
      </c>
      <c r="C19" s="323" t="s">
        <v>91</v>
      </c>
      <c r="D19" s="323" t="s">
        <v>446</v>
      </c>
      <c r="E19" s="323" t="s">
        <v>446</v>
      </c>
      <c r="F19" s="323"/>
      <c r="G19" s="323" t="s">
        <v>461</v>
      </c>
      <c r="H19" s="323" t="s">
        <v>362</v>
      </c>
    </row>
    <row r="20" spans="2:8" ht="16.2">
      <c r="B20" s="323" t="s">
        <v>29</v>
      </c>
      <c r="C20" s="323" t="s">
        <v>92</v>
      </c>
      <c r="D20" s="323" t="s">
        <v>368</v>
      </c>
      <c r="E20" s="323" t="s">
        <v>446</v>
      </c>
      <c r="F20" s="323" t="s">
        <v>457</v>
      </c>
      <c r="G20" s="323" t="s">
        <v>461</v>
      </c>
      <c r="H20" s="323" t="s">
        <v>463</v>
      </c>
    </row>
    <row r="21" spans="2:8" ht="16.2">
      <c r="B21" s="323" t="s">
        <v>29</v>
      </c>
      <c r="C21" s="323" t="s">
        <v>93</v>
      </c>
      <c r="D21" s="323" t="s">
        <v>368</v>
      </c>
      <c r="E21" s="323" t="s">
        <v>446</v>
      </c>
      <c r="F21" s="323" t="s">
        <v>457</v>
      </c>
      <c r="G21" s="323" t="s">
        <v>461</v>
      </c>
      <c r="H21" s="323" t="s">
        <v>463</v>
      </c>
    </row>
    <row r="22" spans="2:8" ht="16.2" hidden="1">
      <c r="B22" s="323" t="s">
        <v>29</v>
      </c>
      <c r="C22" s="323" t="s">
        <v>94</v>
      </c>
      <c r="D22" s="323" t="s">
        <v>446</v>
      </c>
      <c r="E22" s="323" t="s">
        <v>446</v>
      </c>
      <c r="F22" s="323"/>
      <c r="G22" s="323" t="s">
        <v>461</v>
      </c>
      <c r="H22" s="323" t="s">
        <v>362</v>
      </c>
    </row>
    <row r="23" spans="2:8" ht="16.2">
      <c r="B23" s="323" t="s">
        <v>29</v>
      </c>
      <c r="C23" s="323" t="s">
        <v>95</v>
      </c>
      <c r="D23" s="323" t="s">
        <v>368</v>
      </c>
      <c r="E23" s="323" t="s">
        <v>446</v>
      </c>
      <c r="F23" s="323" t="s">
        <v>457</v>
      </c>
      <c r="G23" s="323" t="s">
        <v>461</v>
      </c>
      <c r="H23" s="323" t="s">
        <v>463</v>
      </c>
    </row>
    <row r="24" spans="2:8" ht="16.2">
      <c r="B24" s="323" t="s">
        <v>29</v>
      </c>
      <c r="C24" s="323" t="s">
        <v>96</v>
      </c>
      <c r="D24" s="323" t="s">
        <v>368</v>
      </c>
      <c r="E24" s="323" t="s">
        <v>446</v>
      </c>
      <c r="F24" s="323" t="s">
        <v>457</v>
      </c>
      <c r="G24" s="323" t="s">
        <v>461</v>
      </c>
      <c r="H24" s="323" t="s">
        <v>463</v>
      </c>
    </row>
    <row r="25" spans="2:8" ht="16.2">
      <c r="B25" s="323" t="s">
        <v>29</v>
      </c>
      <c r="C25" s="323" t="s">
        <v>97</v>
      </c>
      <c r="D25" s="323" t="s">
        <v>368</v>
      </c>
      <c r="E25" s="323" t="s">
        <v>446</v>
      </c>
      <c r="F25" s="323" t="s">
        <v>457</v>
      </c>
      <c r="G25" s="323"/>
      <c r="H25" s="323" t="s">
        <v>362</v>
      </c>
    </row>
    <row r="26" spans="2:8" ht="16.2">
      <c r="B26" s="323" t="s">
        <v>29</v>
      </c>
      <c r="C26" s="323" t="s">
        <v>98</v>
      </c>
      <c r="D26" s="323" t="s">
        <v>368</v>
      </c>
      <c r="E26" s="323" t="s">
        <v>446</v>
      </c>
      <c r="F26" s="323" t="s">
        <v>457</v>
      </c>
      <c r="G26" s="323"/>
      <c r="H26" s="323" t="s">
        <v>362</v>
      </c>
    </row>
    <row r="27" spans="2:8" ht="16.2">
      <c r="B27" s="323" t="s">
        <v>29</v>
      </c>
      <c r="C27" s="323" t="s">
        <v>99</v>
      </c>
      <c r="D27" s="323" t="s">
        <v>368</v>
      </c>
      <c r="E27" s="323" t="s">
        <v>446</v>
      </c>
      <c r="F27" s="323" t="s">
        <v>457</v>
      </c>
      <c r="G27" s="323"/>
      <c r="H27" s="323" t="s">
        <v>362</v>
      </c>
    </row>
    <row r="28" spans="2:8" ht="16.2">
      <c r="B28" s="323" t="s">
        <v>29</v>
      </c>
      <c r="C28" s="323" t="s">
        <v>100</v>
      </c>
      <c r="D28" s="323" t="s">
        <v>368</v>
      </c>
      <c r="E28" s="323" t="s">
        <v>446</v>
      </c>
      <c r="F28" s="323" t="s">
        <v>457</v>
      </c>
      <c r="G28" s="323"/>
      <c r="H28" s="323" t="s">
        <v>362</v>
      </c>
    </row>
    <row r="29" spans="2:8" ht="16.2">
      <c r="B29" s="323" t="s">
        <v>29</v>
      </c>
      <c r="C29" s="323" t="s">
        <v>101</v>
      </c>
      <c r="D29" s="323" t="s">
        <v>368</v>
      </c>
      <c r="E29" s="323" t="s">
        <v>446</v>
      </c>
      <c r="F29" s="323" t="s">
        <v>457</v>
      </c>
      <c r="G29" s="323"/>
      <c r="H29" s="323" t="s">
        <v>362</v>
      </c>
    </row>
    <row r="30" spans="2:8" ht="16.2">
      <c r="B30" s="323" t="s">
        <v>29</v>
      </c>
      <c r="C30" s="323" t="s">
        <v>63</v>
      </c>
      <c r="D30" s="323" t="s">
        <v>368</v>
      </c>
      <c r="E30" s="323" t="s">
        <v>368</v>
      </c>
      <c r="F30" s="323" t="s">
        <v>453</v>
      </c>
      <c r="G30" s="323"/>
      <c r="H30" s="323" t="s">
        <v>362</v>
      </c>
    </row>
    <row r="31" spans="2:8" ht="16.2">
      <c r="B31" s="323" t="s">
        <v>29</v>
      </c>
      <c r="C31" s="323" t="s">
        <v>102</v>
      </c>
      <c r="D31" s="323" t="s">
        <v>368</v>
      </c>
      <c r="E31" s="323" t="s">
        <v>446</v>
      </c>
      <c r="F31" s="323" t="s">
        <v>457</v>
      </c>
      <c r="G31" s="323"/>
      <c r="H31" s="323" t="s">
        <v>362</v>
      </c>
    </row>
    <row r="32" spans="2:8" ht="16.2">
      <c r="B32" s="323" t="s">
        <v>29</v>
      </c>
      <c r="C32" s="323" t="s">
        <v>103</v>
      </c>
      <c r="D32" s="323" t="s">
        <v>368</v>
      </c>
      <c r="E32" s="323" t="s">
        <v>446</v>
      </c>
      <c r="F32" s="323" t="s">
        <v>457</v>
      </c>
      <c r="G32" s="323"/>
      <c r="H32" s="323" t="s">
        <v>362</v>
      </c>
    </row>
    <row r="33" spans="2:8" ht="16.2" hidden="1">
      <c r="B33" s="323" t="s">
        <v>29</v>
      </c>
      <c r="C33" s="323" t="s">
        <v>110</v>
      </c>
      <c r="D33" s="323" t="s">
        <v>446</v>
      </c>
      <c r="E33" s="323" t="s">
        <v>446</v>
      </c>
      <c r="F33" s="323"/>
      <c r="G33" s="323" t="s">
        <v>461</v>
      </c>
      <c r="H33" s="323" t="s">
        <v>362</v>
      </c>
    </row>
    <row r="34" spans="2:8" ht="16.2" hidden="1">
      <c r="B34" s="323" t="s">
        <v>29</v>
      </c>
      <c r="C34" s="323" t="s">
        <v>111</v>
      </c>
      <c r="D34" s="323" t="s">
        <v>446</v>
      </c>
      <c r="E34" s="323" t="s">
        <v>446</v>
      </c>
      <c r="F34" s="323"/>
      <c r="G34" s="323" t="s">
        <v>461</v>
      </c>
      <c r="H34" s="323" t="s">
        <v>362</v>
      </c>
    </row>
    <row r="35" spans="2:8" ht="16.2" hidden="1">
      <c r="B35" s="323" t="s">
        <v>29</v>
      </c>
      <c r="C35" s="323" t="s">
        <v>112</v>
      </c>
      <c r="D35" s="323" t="s">
        <v>446</v>
      </c>
      <c r="E35" s="323" t="s">
        <v>446</v>
      </c>
      <c r="F35" s="323"/>
      <c r="G35" s="323" t="s">
        <v>461</v>
      </c>
      <c r="H35" s="323" t="s">
        <v>362</v>
      </c>
    </row>
    <row r="36" spans="2:8" ht="16.2" hidden="1">
      <c r="B36" s="323" t="s">
        <v>29</v>
      </c>
      <c r="C36" s="323" t="s">
        <v>51</v>
      </c>
      <c r="D36" s="323" t="s">
        <v>446</v>
      </c>
      <c r="E36" s="323" t="s">
        <v>446</v>
      </c>
      <c r="F36" s="323"/>
      <c r="G36" s="323" t="s">
        <v>461</v>
      </c>
      <c r="H36" s="323" t="s">
        <v>362</v>
      </c>
    </row>
    <row r="37" spans="2:8" ht="16.2" hidden="1">
      <c r="B37" s="323" t="s">
        <v>29</v>
      </c>
      <c r="C37" s="323" t="s">
        <v>68</v>
      </c>
      <c r="D37" s="323"/>
      <c r="E37" s="323" t="s">
        <v>446</v>
      </c>
      <c r="F37" s="323" t="s">
        <v>460</v>
      </c>
      <c r="G37" s="323" t="s">
        <v>461</v>
      </c>
      <c r="H37" s="323" t="s">
        <v>362</v>
      </c>
    </row>
    <row r="38" spans="2:8" ht="16.2" hidden="1">
      <c r="B38" s="323" t="s">
        <v>29</v>
      </c>
      <c r="C38" s="323" t="s">
        <v>52</v>
      </c>
      <c r="D38" s="323" t="s">
        <v>446</v>
      </c>
      <c r="E38" s="323" t="s">
        <v>446</v>
      </c>
      <c r="F38" s="323"/>
      <c r="G38" s="323" t="s">
        <v>461</v>
      </c>
      <c r="H38" s="323" t="s">
        <v>362</v>
      </c>
    </row>
    <row r="39" spans="2:8" ht="16.2" hidden="1">
      <c r="B39" s="323" t="s">
        <v>29</v>
      </c>
      <c r="C39" s="323" t="s">
        <v>55</v>
      </c>
      <c r="D39" s="323" t="s">
        <v>446</v>
      </c>
      <c r="E39" s="323" t="s">
        <v>446</v>
      </c>
      <c r="F39" s="323"/>
      <c r="G39" s="323" t="s">
        <v>461</v>
      </c>
      <c r="H39" s="323" t="s">
        <v>362</v>
      </c>
    </row>
    <row r="40" spans="2:8" ht="16.2" hidden="1">
      <c r="B40" s="323" t="s">
        <v>29</v>
      </c>
      <c r="C40" s="323" t="s">
        <v>69</v>
      </c>
      <c r="D40" s="323" t="s">
        <v>446</v>
      </c>
      <c r="E40" s="323" t="s">
        <v>446</v>
      </c>
      <c r="F40" s="323"/>
      <c r="G40" s="323" t="s">
        <v>461</v>
      </c>
      <c r="H40" s="323" t="s">
        <v>362</v>
      </c>
    </row>
    <row r="41" spans="2:8" ht="16.2" hidden="1">
      <c r="B41" s="323" t="s">
        <v>29</v>
      </c>
      <c r="C41" s="323" t="s">
        <v>56</v>
      </c>
      <c r="D41" s="323" t="s">
        <v>446</v>
      </c>
      <c r="E41" s="323" t="s">
        <v>446</v>
      </c>
      <c r="F41" s="323"/>
      <c r="G41" s="323" t="s">
        <v>461</v>
      </c>
      <c r="H41" s="323" t="s">
        <v>362</v>
      </c>
    </row>
    <row r="42" spans="2:8" ht="16.2">
      <c r="B42" s="323" t="s">
        <v>29</v>
      </c>
      <c r="C42" s="323" t="s">
        <v>70</v>
      </c>
      <c r="D42" s="323" t="s">
        <v>368</v>
      </c>
      <c r="E42" s="323" t="s">
        <v>368</v>
      </c>
      <c r="F42" s="323" t="s">
        <v>459</v>
      </c>
      <c r="G42" s="323" t="s">
        <v>461</v>
      </c>
      <c r="H42" s="323" t="s">
        <v>465</v>
      </c>
    </row>
    <row r="43" spans="2:8" ht="16.2" hidden="1">
      <c r="B43" s="323" t="s">
        <v>29</v>
      </c>
      <c r="C43" s="323" t="s">
        <v>71</v>
      </c>
      <c r="D43" s="323" t="s">
        <v>446</v>
      </c>
      <c r="E43" s="323" t="s">
        <v>446</v>
      </c>
      <c r="F43" s="323"/>
      <c r="G43" s="323" t="s">
        <v>461</v>
      </c>
      <c r="H43" s="323" t="s">
        <v>465</v>
      </c>
    </row>
    <row r="44" spans="2:8" ht="16.2" hidden="1">
      <c r="B44" s="323" t="s">
        <v>29</v>
      </c>
      <c r="C44" s="323" t="s">
        <v>72</v>
      </c>
      <c r="D44" s="323" t="s">
        <v>446</v>
      </c>
      <c r="E44" s="323" t="s">
        <v>446</v>
      </c>
      <c r="F44" s="323"/>
      <c r="G44" s="323" t="s">
        <v>461</v>
      </c>
      <c r="H44" s="323" t="s">
        <v>465</v>
      </c>
    </row>
    <row r="45" spans="2:8" ht="16.2">
      <c r="B45" s="323" t="s">
        <v>29</v>
      </c>
      <c r="C45" s="323" t="s">
        <v>73</v>
      </c>
      <c r="D45" s="323" t="s">
        <v>368</v>
      </c>
      <c r="E45" s="323" t="s">
        <v>446</v>
      </c>
      <c r="F45" s="323"/>
      <c r="G45" s="323" t="s">
        <v>461</v>
      </c>
      <c r="H45" s="323" t="s">
        <v>465</v>
      </c>
    </row>
    <row r="46" spans="2:8" ht="16.2" hidden="1">
      <c r="B46" s="323" t="s">
        <v>29</v>
      </c>
      <c r="C46" s="323" t="s">
        <v>74</v>
      </c>
      <c r="D46" s="323" t="s">
        <v>446</v>
      </c>
      <c r="E46" s="323" t="s">
        <v>446</v>
      </c>
      <c r="F46" s="323"/>
      <c r="G46" s="323" t="s">
        <v>461</v>
      </c>
      <c r="H46" s="323" t="s">
        <v>362</v>
      </c>
    </row>
    <row r="47" spans="2:8" ht="16.2" hidden="1">
      <c r="B47" s="323" t="s">
        <v>29</v>
      </c>
      <c r="C47" s="323" t="s">
        <v>75</v>
      </c>
      <c r="D47" s="323" t="s">
        <v>446</v>
      </c>
      <c r="E47" s="323" t="s">
        <v>446</v>
      </c>
      <c r="F47" s="323"/>
      <c r="G47" s="323" t="s">
        <v>461</v>
      </c>
      <c r="H47" s="323" t="s">
        <v>362</v>
      </c>
    </row>
    <row r="48" spans="2:8" ht="16.2" hidden="1">
      <c r="B48" s="323" t="s">
        <v>29</v>
      </c>
      <c r="C48" s="323" t="s">
        <v>76</v>
      </c>
      <c r="D48" s="323" t="s">
        <v>446</v>
      </c>
      <c r="E48" s="323" t="s">
        <v>446</v>
      </c>
      <c r="F48" s="323"/>
      <c r="G48" s="323" t="s">
        <v>461</v>
      </c>
      <c r="H48" s="323" t="s">
        <v>362</v>
      </c>
    </row>
    <row r="49" spans="2:8" ht="16.2" hidden="1">
      <c r="B49" s="323" t="s">
        <v>29</v>
      </c>
      <c r="C49" s="323" t="s">
        <v>77</v>
      </c>
      <c r="D49" s="323" t="s">
        <v>446</v>
      </c>
      <c r="E49" s="323" t="s">
        <v>446</v>
      </c>
      <c r="F49" s="323"/>
      <c r="G49" s="323" t="s">
        <v>461</v>
      </c>
      <c r="H49" s="323" t="s">
        <v>362</v>
      </c>
    </row>
    <row r="50" spans="2:8" ht="16.2" hidden="1">
      <c r="B50" s="323" t="s">
        <v>29</v>
      </c>
      <c r="C50" s="323" t="s">
        <v>78</v>
      </c>
      <c r="D50" s="323" t="s">
        <v>446</v>
      </c>
      <c r="E50" s="323" t="s">
        <v>446</v>
      </c>
      <c r="F50" s="323"/>
      <c r="G50" s="323" t="s">
        <v>461</v>
      </c>
      <c r="H50" s="323" t="s">
        <v>362</v>
      </c>
    </row>
    <row r="51" spans="2:8" ht="16.2" hidden="1">
      <c r="B51" s="323" t="s">
        <v>29</v>
      </c>
      <c r="C51" s="323" t="s">
        <v>57</v>
      </c>
      <c r="D51" s="323" t="s">
        <v>446</v>
      </c>
      <c r="E51" s="323" t="s">
        <v>446</v>
      </c>
      <c r="F51" s="323"/>
      <c r="G51" s="323" t="s">
        <v>461</v>
      </c>
      <c r="H51" s="323" t="s">
        <v>362</v>
      </c>
    </row>
    <row r="52" spans="2:8" ht="16.2">
      <c r="B52" s="323" t="s">
        <v>29</v>
      </c>
      <c r="C52" s="323" t="s">
        <v>66</v>
      </c>
      <c r="D52" s="323" t="s">
        <v>368</v>
      </c>
      <c r="E52" s="323" t="s">
        <v>446</v>
      </c>
      <c r="F52" s="323"/>
      <c r="G52" s="323" t="s">
        <v>461</v>
      </c>
      <c r="H52" s="323" t="s">
        <v>465</v>
      </c>
    </row>
    <row r="53" spans="2:8" ht="16.2" hidden="1">
      <c r="B53" s="323" t="s">
        <v>275</v>
      </c>
      <c r="C53" s="323" t="s">
        <v>51</v>
      </c>
      <c r="D53" s="323" t="s">
        <v>446</v>
      </c>
      <c r="E53" s="323" t="s">
        <v>446</v>
      </c>
      <c r="F53" s="323"/>
      <c r="G53" s="323" t="s">
        <v>461</v>
      </c>
      <c r="H53" s="323" t="s">
        <v>362</v>
      </c>
    </row>
    <row r="54" spans="2:8" ht="16.2" hidden="1">
      <c r="B54" s="323" t="s">
        <v>275</v>
      </c>
      <c r="C54" s="323" t="s">
        <v>52</v>
      </c>
      <c r="D54" s="323" t="s">
        <v>446</v>
      </c>
      <c r="E54" s="323" t="s">
        <v>446</v>
      </c>
      <c r="F54" s="323"/>
      <c r="G54" s="323" t="s">
        <v>461</v>
      </c>
      <c r="H54" s="323" t="s">
        <v>362</v>
      </c>
    </row>
    <row r="55" spans="2:8" ht="16.2" hidden="1">
      <c r="B55" s="323" t="s">
        <v>275</v>
      </c>
      <c r="C55" s="323" t="s">
        <v>53</v>
      </c>
      <c r="D55" s="323" t="s">
        <v>446</v>
      </c>
      <c r="E55" s="323" t="s">
        <v>446</v>
      </c>
      <c r="F55" s="323"/>
      <c r="G55" s="323" t="s">
        <v>461</v>
      </c>
      <c r="H55" s="323" t="s">
        <v>362</v>
      </c>
    </row>
    <row r="56" spans="2:8" ht="16.2" hidden="1">
      <c r="B56" s="323" t="s">
        <v>275</v>
      </c>
      <c r="C56" s="323" t="s">
        <v>113</v>
      </c>
      <c r="D56" s="323" t="s">
        <v>446</v>
      </c>
      <c r="E56" s="323" t="s">
        <v>446</v>
      </c>
      <c r="F56" s="323"/>
      <c r="G56" s="323" t="s">
        <v>461</v>
      </c>
      <c r="H56" s="323" t="s">
        <v>362</v>
      </c>
    </row>
    <row r="57" spans="2:8" ht="16.2" hidden="1">
      <c r="B57" s="323" t="s">
        <v>28</v>
      </c>
      <c r="C57" s="323" t="s">
        <v>51</v>
      </c>
      <c r="D57" s="323" t="s">
        <v>446</v>
      </c>
      <c r="E57" s="323" t="s">
        <v>446</v>
      </c>
      <c r="F57" s="323"/>
      <c r="G57" s="323" t="s">
        <v>461</v>
      </c>
      <c r="H57" s="323" t="s">
        <v>362</v>
      </c>
    </row>
    <row r="58" spans="2:8" ht="16.2" hidden="1">
      <c r="B58" s="323" t="s">
        <v>28</v>
      </c>
      <c r="C58" s="323" t="s">
        <v>52</v>
      </c>
      <c r="D58" s="323" t="s">
        <v>446</v>
      </c>
      <c r="E58" s="323" t="s">
        <v>446</v>
      </c>
      <c r="F58" s="323"/>
      <c r="G58" s="323" t="s">
        <v>461</v>
      </c>
      <c r="H58" s="323" t="s">
        <v>362</v>
      </c>
    </row>
    <row r="59" spans="2:8" ht="16.2" hidden="1">
      <c r="B59" s="323" t="s">
        <v>28</v>
      </c>
      <c r="C59" s="323" t="s">
        <v>113</v>
      </c>
      <c r="D59" s="323" t="s">
        <v>446</v>
      </c>
      <c r="E59" s="323" t="s">
        <v>446</v>
      </c>
      <c r="F59" s="323"/>
      <c r="G59" s="323" t="s">
        <v>461</v>
      </c>
      <c r="H59" s="323" t="s">
        <v>362</v>
      </c>
    </row>
    <row r="60" spans="2:8" ht="16.2" hidden="1">
      <c r="B60" s="323" t="s">
        <v>28</v>
      </c>
      <c r="C60" s="323" t="s">
        <v>114</v>
      </c>
      <c r="D60" s="323" t="s">
        <v>446</v>
      </c>
      <c r="E60" s="323" t="s">
        <v>368</v>
      </c>
      <c r="F60" s="323" t="s">
        <v>452</v>
      </c>
      <c r="G60" s="323" t="s">
        <v>461</v>
      </c>
      <c r="H60" s="323" t="s">
        <v>465</v>
      </c>
    </row>
    <row r="61" spans="2:8" ht="16.2" hidden="1">
      <c r="B61" s="323" t="s">
        <v>28</v>
      </c>
      <c r="C61" s="323" t="s">
        <v>115</v>
      </c>
      <c r="D61" s="323" t="s">
        <v>446</v>
      </c>
      <c r="E61" s="323" t="s">
        <v>446</v>
      </c>
      <c r="F61" s="323"/>
      <c r="G61" s="323" t="s">
        <v>461</v>
      </c>
      <c r="H61" s="323" t="s">
        <v>362</v>
      </c>
    </row>
    <row r="62" spans="2:8" ht="16.2" hidden="1">
      <c r="B62" s="323" t="s">
        <v>28</v>
      </c>
      <c r="C62" s="323" t="s">
        <v>428</v>
      </c>
      <c r="D62" s="323" t="s">
        <v>446</v>
      </c>
      <c r="E62" s="323" t="s">
        <v>446</v>
      </c>
      <c r="F62" s="323"/>
      <c r="G62" s="323"/>
      <c r="H62" s="323" t="s">
        <v>362</v>
      </c>
    </row>
    <row r="63" spans="2:8" ht="16.2" hidden="1">
      <c r="B63" s="323" t="s">
        <v>28</v>
      </c>
      <c r="C63" s="323" t="s">
        <v>118</v>
      </c>
      <c r="D63" s="323" t="s">
        <v>446</v>
      </c>
      <c r="E63" s="323" t="s">
        <v>446</v>
      </c>
      <c r="F63" s="323"/>
      <c r="G63" s="323"/>
      <c r="H63" s="323" t="s">
        <v>362</v>
      </c>
    </row>
    <row r="64" spans="2:8" ht="16.2" hidden="1">
      <c r="B64" s="323" t="s">
        <v>108</v>
      </c>
      <c r="C64" s="323" t="s">
        <v>116</v>
      </c>
      <c r="D64" s="323" t="s">
        <v>446</v>
      </c>
      <c r="E64" s="323" t="s">
        <v>446</v>
      </c>
      <c r="F64" s="323"/>
      <c r="G64" s="323"/>
      <c r="H64" s="323" t="s">
        <v>362</v>
      </c>
    </row>
    <row r="65" spans="2:8" ht="16.2">
      <c r="B65" s="323" t="s">
        <v>29</v>
      </c>
      <c r="C65" s="323" t="s">
        <v>64</v>
      </c>
      <c r="D65" s="323" t="s">
        <v>368</v>
      </c>
      <c r="E65" s="323" t="s">
        <v>368</v>
      </c>
      <c r="F65" s="323" t="s">
        <v>458</v>
      </c>
      <c r="G65" s="323"/>
      <c r="H65" s="323" t="s">
        <v>362</v>
      </c>
    </row>
    <row r="66" spans="2:8" ht="16.2" hidden="1">
      <c r="B66" s="323" t="s">
        <v>108</v>
      </c>
      <c r="C66" s="323" t="s">
        <v>58</v>
      </c>
      <c r="D66" s="323" t="s">
        <v>446</v>
      </c>
      <c r="E66" s="323" t="s">
        <v>446</v>
      </c>
      <c r="F66" s="323"/>
      <c r="G66" s="323"/>
      <c r="H66" s="323" t="s">
        <v>362</v>
      </c>
    </row>
    <row r="67" spans="2:8" ht="16.2" hidden="1">
      <c r="B67" s="323" t="s">
        <v>108</v>
      </c>
      <c r="C67" s="323" t="s">
        <v>59</v>
      </c>
      <c r="D67" s="323" t="s">
        <v>446</v>
      </c>
      <c r="E67" s="323" t="s">
        <v>368</v>
      </c>
      <c r="F67" s="323"/>
      <c r="G67" s="323"/>
      <c r="H67" s="323" t="s">
        <v>362</v>
      </c>
    </row>
    <row r="68" spans="2:8" ht="16.2" hidden="1">
      <c r="B68" s="323" t="s">
        <v>29</v>
      </c>
      <c r="C68" s="323" t="s">
        <v>53</v>
      </c>
      <c r="D68" s="323" t="s">
        <v>446</v>
      </c>
      <c r="E68" s="323" t="s">
        <v>446</v>
      </c>
      <c r="F68" s="323"/>
      <c r="G68" s="323" t="s">
        <v>461</v>
      </c>
      <c r="H68" s="323" t="s">
        <v>362</v>
      </c>
    </row>
    <row r="69" spans="2:8" ht="16.2" hidden="1">
      <c r="B69" s="323" t="s">
        <v>275</v>
      </c>
      <c r="C69" s="323" t="s">
        <v>117</v>
      </c>
      <c r="D69" s="323" t="s">
        <v>446</v>
      </c>
      <c r="E69" s="323" t="s">
        <v>446</v>
      </c>
      <c r="F69" s="323"/>
      <c r="G69" s="323"/>
      <c r="H69" s="323" t="s">
        <v>362</v>
      </c>
    </row>
    <row r="70" spans="2:8" ht="16.2" hidden="1">
      <c r="B70" s="323" t="s">
        <v>108</v>
      </c>
      <c r="C70" s="323" t="s">
        <v>51</v>
      </c>
      <c r="D70" s="323" t="s">
        <v>446</v>
      </c>
      <c r="E70" s="323" t="s">
        <v>446</v>
      </c>
      <c r="F70" s="323"/>
      <c r="G70" s="323"/>
      <c r="H70" s="323" t="s">
        <v>362</v>
      </c>
    </row>
    <row r="71" spans="2:8" ht="16.2" hidden="1">
      <c r="B71" s="323" t="s">
        <v>108</v>
      </c>
      <c r="C71" s="323" t="s">
        <v>52</v>
      </c>
      <c r="D71" s="323" t="s">
        <v>446</v>
      </c>
      <c r="E71" s="323" t="s">
        <v>446</v>
      </c>
      <c r="F71" s="323"/>
      <c r="G71" s="323"/>
      <c r="H71" s="323" t="s">
        <v>362</v>
      </c>
    </row>
    <row r="72" spans="2:8" ht="16.2" hidden="1">
      <c r="B72" s="323" t="s">
        <v>108</v>
      </c>
      <c r="C72" s="323" t="s">
        <v>53</v>
      </c>
      <c r="D72" s="323" t="s">
        <v>446</v>
      </c>
      <c r="E72" s="323" t="s">
        <v>446</v>
      </c>
      <c r="F72" s="323"/>
      <c r="G72" s="323"/>
      <c r="H72" s="323" t="s">
        <v>362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7.399999999999999" outlineLevelRow="1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>
      <c r="G1"/>
      <c r="H1"/>
      <c r="I1"/>
      <c r="J1"/>
    </row>
    <row r="2" spans="1:23" ht="13.8">
      <c r="G2"/>
      <c r="H2"/>
      <c r="I2"/>
      <c r="J2"/>
    </row>
    <row r="3" spans="1:23" ht="13.8">
      <c r="G3"/>
      <c r="H3"/>
      <c r="I3"/>
      <c r="J3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>
      <c r="G5"/>
      <c r="H5"/>
      <c r="I5"/>
      <c r="J5"/>
    </row>
    <row r="6" spans="1:23" ht="13.8">
      <c r="G6"/>
      <c r="H6"/>
      <c r="I6"/>
      <c r="J6"/>
      <c r="V6" s="51" t="s">
        <v>133</v>
      </c>
    </row>
    <row r="7" spans="1:23" ht="13.8">
      <c r="G7"/>
      <c r="H7"/>
      <c r="I7"/>
      <c r="J7"/>
      <c r="V7" t="s">
        <v>250</v>
      </c>
    </row>
    <row r="8" spans="1:23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66" t="s">
        <v>135</v>
      </c>
      <c r="V8" s="367"/>
    </row>
    <row r="9" spans="1:23" ht="19.8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>
      <c r="D109" s="1"/>
      <c r="E109" s="1"/>
      <c r="F109" s="1"/>
      <c r="H109" s="130"/>
      <c r="I109" s="130"/>
      <c r="K109" s="69"/>
    </row>
    <row r="110" spans="2:22" ht="16.2">
      <c r="D110" s="68"/>
      <c r="E110" s="63"/>
      <c r="F110" s="63"/>
      <c r="G110" s="63"/>
      <c r="H110" s="64"/>
      <c r="I110" s="64"/>
      <c r="J110" s="63"/>
      <c r="K110" s="69"/>
    </row>
    <row r="111" spans="2:22" ht="16.2">
      <c r="D111" s="68"/>
      <c r="E111" s="131"/>
      <c r="F111" s="63"/>
      <c r="G111" s="63"/>
      <c r="H111" s="64"/>
      <c r="I111" s="64"/>
      <c r="J111" s="63"/>
      <c r="K111" s="69"/>
    </row>
    <row r="112" spans="2:22" ht="16.2">
      <c r="D112" s="68"/>
      <c r="E112" s="131"/>
      <c r="F112" s="63"/>
      <c r="G112" s="63"/>
      <c r="H112" s="64"/>
      <c r="I112" s="64"/>
      <c r="J112" s="63"/>
      <c r="K112" s="69"/>
    </row>
    <row r="113" spans="11:11">
      <c r="K113" s="69"/>
    </row>
    <row r="114" spans="11:11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4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>
      <c r="A4" s="169"/>
      <c r="B4" s="169"/>
      <c r="C4" s="169"/>
      <c r="D4" s="169"/>
      <c r="E4" s="169"/>
    </row>
    <row r="7" spans="1:5">
      <c r="B7" s="132" t="s">
        <v>123</v>
      </c>
      <c r="C7" s="132" t="s">
        <v>105</v>
      </c>
      <c r="D7" s="134"/>
    </row>
    <row r="8" spans="1:5">
      <c r="B8" s="135" t="s">
        <v>19</v>
      </c>
      <c r="C8" s="136" t="s">
        <v>124</v>
      </c>
      <c r="D8" s="134"/>
    </row>
    <row r="9" spans="1:5">
      <c r="B9" s="135" t="s">
        <v>21</v>
      </c>
      <c r="C9" s="136" t="s">
        <v>125</v>
      </c>
      <c r="D9" s="134"/>
    </row>
    <row r="10" spans="1:5">
      <c r="B10" s="134"/>
      <c r="C10" s="134"/>
      <c r="D10" s="134"/>
    </row>
    <row r="11" spans="1:5">
      <c r="B11" s="132" t="s">
        <v>120</v>
      </c>
      <c r="C11" s="132" t="s">
        <v>105</v>
      </c>
      <c r="D11" s="132" t="s">
        <v>127</v>
      </c>
    </row>
    <row r="12" spans="1:5">
      <c r="B12" s="137" t="s">
        <v>119</v>
      </c>
      <c r="C12" s="136" t="s">
        <v>126</v>
      </c>
      <c r="D12" s="136">
        <v>25</v>
      </c>
    </row>
    <row r="13" spans="1:5">
      <c r="B13" s="135" t="s">
        <v>128</v>
      </c>
      <c r="C13" s="136" t="s">
        <v>129</v>
      </c>
      <c r="D13" s="136"/>
    </row>
    <row r="14" spans="1:5">
      <c r="B14" s="135" t="s">
        <v>247</v>
      </c>
      <c r="C14" s="136" t="s">
        <v>131</v>
      </c>
      <c r="D14" s="136"/>
    </row>
    <row r="15" spans="1:5">
      <c r="B15" s="135" t="s">
        <v>130</v>
      </c>
      <c r="C15" s="136" t="s">
        <v>248</v>
      </c>
      <c r="D15" s="136"/>
    </row>
    <row r="16" spans="1:5">
      <c r="B16" s="134"/>
      <c r="C16" s="134"/>
      <c r="D16" s="134"/>
    </row>
    <row r="17" spans="2:4">
      <c r="B17" s="156" t="s">
        <v>264</v>
      </c>
      <c r="C17" s="157"/>
      <c r="D17" s="157"/>
    </row>
    <row r="18" spans="2:4" ht="6.9" customHeight="1">
      <c r="B18" s="134"/>
      <c r="C18" s="134"/>
      <c r="D18" s="134"/>
    </row>
    <row r="19" spans="2:4">
      <c r="B19" s="133" t="s">
        <v>5</v>
      </c>
      <c r="C19" s="132" t="s">
        <v>105</v>
      </c>
      <c r="D19" s="132" t="s">
        <v>50</v>
      </c>
    </row>
    <row r="20" spans="2:4">
      <c r="B20" s="152" t="s">
        <v>39</v>
      </c>
      <c r="C20" s="136" t="s">
        <v>122</v>
      </c>
      <c r="D20" s="136" t="s">
        <v>15</v>
      </c>
    </row>
    <row r="21" spans="2:4">
      <c r="B21" s="168" t="s">
        <v>262</v>
      </c>
      <c r="C21" s="136" t="s">
        <v>263</v>
      </c>
      <c r="D21" s="136" t="s">
        <v>15</v>
      </c>
    </row>
    <row r="22" spans="2:4">
      <c r="B22" s="150" t="s">
        <v>266</v>
      </c>
      <c r="C22" s="136" t="s">
        <v>261</v>
      </c>
      <c r="D22" s="136" t="s">
        <v>15</v>
      </c>
    </row>
    <row r="23" spans="2:4">
      <c r="B23" s="158" t="s">
        <v>267</v>
      </c>
      <c r="C23" s="136" t="s">
        <v>265</v>
      </c>
      <c r="D23" s="136" t="s">
        <v>121</v>
      </c>
    </row>
    <row r="24" spans="2:4">
      <c r="B24" s="139" t="s">
        <v>268</v>
      </c>
      <c r="C24" s="136" t="s">
        <v>246</v>
      </c>
      <c r="D24" s="136" t="s">
        <v>132</v>
      </c>
    </row>
    <row r="25" spans="2:4">
      <c r="B25" s="153" t="s">
        <v>274</v>
      </c>
      <c r="C25" s="136" t="s">
        <v>244</v>
      </c>
      <c r="D25" s="136" t="s">
        <v>121</v>
      </c>
    </row>
    <row r="26" spans="2:4">
      <c r="B26" s="134"/>
      <c r="C26" s="134"/>
      <c r="D26" s="134"/>
    </row>
    <row r="27" spans="2:4">
      <c r="B27" s="156" t="s">
        <v>260</v>
      </c>
      <c r="C27" s="157"/>
      <c r="D27" s="157"/>
    </row>
    <row r="28" spans="2:4" ht="6.9" customHeight="1">
      <c r="B28" s="134"/>
      <c r="C28" s="134"/>
      <c r="D28" s="134"/>
    </row>
    <row r="29" spans="2:4">
      <c r="B29" s="133" t="s">
        <v>5</v>
      </c>
      <c r="C29" s="132" t="s">
        <v>105</v>
      </c>
      <c r="D29" s="132" t="s">
        <v>50</v>
      </c>
    </row>
    <row r="30" spans="2:4">
      <c r="B30" s="152" t="s">
        <v>39</v>
      </c>
      <c r="C30" s="136" t="s">
        <v>122</v>
      </c>
      <c r="D30" s="136" t="s">
        <v>15</v>
      </c>
    </row>
    <row r="31" spans="2:4">
      <c r="B31" s="150" t="s">
        <v>40</v>
      </c>
      <c r="C31" s="136" t="s">
        <v>242</v>
      </c>
      <c r="D31" s="136" t="s">
        <v>15</v>
      </c>
    </row>
    <row r="32" spans="2:4">
      <c r="B32" s="138" t="s">
        <v>346</v>
      </c>
      <c r="C32" s="136" t="s">
        <v>243</v>
      </c>
      <c r="D32" s="136" t="s">
        <v>121</v>
      </c>
    </row>
    <row r="33" spans="2:4">
      <c r="B33" s="151" t="s">
        <v>347</v>
      </c>
      <c r="C33" s="136" t="s">
        <v>245</v>
      </c>
      <c r="D33" s="136" t="s">
        <v>249</v>
      </c>
    </row>
    <row r="34" spans="2:4">
      <c r="B34" s="139" t="s">
        <v>268</v>
      </c>
      <c r="C34" s="136" t="s">
        <v>246</v>
      </c>
      <c r="D34" s="136" t="s">
        <v>132</v>
      </c>
    </row>
    <row r="35" spans="2:4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35" workbookViewId="0">
      <selection activeCell="D44" sqref="D44"/>
    </sheetView>
  </sheetViews>
  <sheetFormatPr defaultColWidth="9" defaultRowHeight="14.4"/>
  <cols>
    <col min="1" max="1" width="3.59765625" style="32" customWidth="1"/>
    <col min="2" max="2" width="31.8984375" style="32" bestFit="1" customWidth="1"/>
    <col min="3" max="3" width="29.69921875" style="32" bestFit="1" customWidth="1"/>
    <col min="4" max="4" width="10.296875" style="32" bestFit="1" customWidth="1"/>
    <col min="5" max="5" width="9.69921875" style="32" bestFit="1" customWidth="1"/>
    <col min="6" max="6" width="11.69921875" style="32" bestFit="1" customWidth="1"/>
    <col min="7" max="7" width="11" style="32" bestFit="1" customWidth="1"/>
    <col min="8" max="8" width="11.3984375" style="32" bestFit="1" customWidth="1"/>
    <col min="9" max="9" width="11" style="32" bestFit="1" customWidth="1"/>
    <col min="10" max="16384" width="9" style="32"/>
  </cols>
  <sheetData>
    <row r="2" spans="2:9">
      <c r="B2" s="333" t="s">
        <v>120</v>
      </c>
      <c r="C2" s="32" t="s">
        <v>119</v>
      </c>
    </row>
    <row r="4" spans="2:9">
      <c r="B4" s="333" t="s">
        <v>48</v>
      </c>
      <c r="C4" s="32" t="s">
        <v>256</v>
      </c>
    </row>
    <row r="5" spans="2:9">
      <c r="B5" s="334" t="s">
        <v>39</v>
      </c>
      <c r="C5" s="32">
        <v>3</v>
      </c>
    </row>
    <row r="6" spans="2:9">
      <c r="B6" s="334" t="s">
        <v>266</v>
      </c>
      <c r="C6" s="32">
        <v>35</v>
      </c>
    </row>
    <row r="7" spans="2:9">
      <c r="B7" s="334" t="s">
        <v>46</v>
      </c>
      <c r="C7" s="32">
        <v>38</v>
      </c>
    </row>
    <row r="8" spans="2:9">
      <c r="B8"/>
      <c r="C8"/>
    </row>
    <row r="9" spans="2:9">
      <c r="B9"/>
      <c r="C9"/>
    </row>
    <row r="10" spans="2:9">
      <c r="B10"/>
      <c r="C10"/>
    </row>
    <row r="11" spans="2:9">
      <c r="B11"/>
      <c r="C11"/>
    </row>
    <row r="12" spans="2:9">
      <c r="B12" s="333" t="s">
        <v>120</v>
      </c>
      <c r="C12" s="32" t="s">
        <v>119</v>
      </c>
    </row>
    <row r="13" spans="2:9">
      <c r="B13" s="182"/>
      <c r="C13" s="181"/>
    </row>
    <row r="14" spans="2:9">
      <c r="B14" s="333" t="s">
        <v>256</v>
      </c>
      <c r="C14" s="333" t="s">
        <v>47</v>
      </c>
      <c r="F14"/>
      <c r="G14"/>
      <c r="H14"/>
      <c r="I14"/>
    </row>
    <row r="15" spans="2:9">
      <c r="B15" s="333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>
      <c r="B16" s="334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>
      <c r="B17" s="334" t="s">
        <v>269</v>
      </c>
      <c r="D17" s="32">
        <v>6</v>
      </c>
      <c r="E17" s="32">
        <v>6</v>
      </c>
      <c r="F17"/>
      <c r="G17"/>
      <c r="H17"/>
      <c r="I17"/>
    </row>
    <row r="18" spans="2:9">
      <c r="B18" s="334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 s="182"/>
      <c r="C22" s="181"/>
      <c r="D22" s="181"/>
      <c r="E22" s="181"/>
      <c r="F22" s="181"/>
      <c r="G22" s="181"/>
      <c r="H22"/>
    </row>
    <row r="23" spans="2:9">
      <c r="B23" s="182"/>
      <c r="C23" s="181"/>
      <c r="D23" s="181"/>
      <c r="E23" s="181"/>
      <c r="F23" s="181"/>
      <c r="G23" s="181"/>
      <c r="H23"/>
    </row>
    <row r="24" spans="2:9">
      <c r="B24" s="182"/>
      <c r="C24" s="181"/>
      <c r="D24" s="181"/>
      <c r="E24" s="181"/>
      <c r="F24" s="181"/>
      <c r="G24" s="181"/>
      <c r="H24"/>
    </row>
    <row r="25" spans="2:9">
      <c r="B25" s="182"/>
      <c r="C25" s="181"/>
      <c r="D25" s="181"/>
      <c r="E25" s="181"/>
      <c r="F25" s="181"/>
      <c r="G25" s="181"/>
      <c r="H25"/>
    </row>
    <row r="26" spans="2:9">
      <c r="B26" s="179" t="s">
        <v>120</v>
      </c>
      <c r="C26" t="s">
        <v>345</v>
      </c>
    </row>
    <row r="28" spans="2:9">
      <c r="B28" s="179" t="s">
        <v>48</v>
      </c>
      <c r="C28" t="s">
        <v>256</v>
      </c>
      <c r="D28"/>
    </row>
    <row r="29" spans="2:9">
      <c r="B29" s="180" t="s">
        <v>40</v>
      </c>
      <c r="C29">
        <v>39</v>
      </c>
      <c r="D29"/>
    </row>
    <row r="30" spans="2:9">
      <c r="B30" s="180" t="s">
        <v>268</v>
      </c>
      <c r="C30">
        <v>12</v>
      </c>
      <c r="D30"/>
    </row>
    <row r="31" spans="2:9">
      <c r="B31" s="180" t="s">
        <v>346</v>
      </c>
      <c r="C31">
        <v>14</v>
      </c>
      <c r="D31"/>
    </row>
    <row r="32" spans="2:9">
      <c r="B32" s="180" t="s">
        <v>274</v>
      </c>
      <c r="C32">
        <v>10</v>
      </c>
      <c r="D32"/>
    </row>
    <row r="33" spans="2:9">
      <c r="B33" s="180" t="s">
        <v>46</v>
      </c>
      <c r="C33">
        <v>75</v>
      </c>
      <c r="D33"/>
    </row>
    <row r="34" spans="2:9">
      <c r="B34"/>
      <c r="C34"/>
      <c r="D34"/>
    </row>
    <row r="35" spans="2:9">
      <c r="B35"/>
      <c r="C35"/>
      <c r="D35"/>
    </row>
    <row r="36" spans="2:9">
      <c r="B36"/>
      <c r="C36"/>
      <c r="D36"/>
    </row>
    <row r="37" spans="2:9">
      <c r="B37" s="179" t="s">
        <v>120</v>
      </c>
      <c r="C37" t="s">
        <v>345</v>
      </c>
      <c r="D37"/>
    </row>
    <row r="38" spans="2:9">
      <c r="B38"/>
      <c r="C38"/>
      <c r="D38"/>
    </row>
    <row r="39" spans="2:9">
      <c r="B39" s="179" t="s">
        <v>256</v>
      </c>
      <c r="C39" s="179" t="s">
        <v>47</v>
      </c>
      <c r="D39"/>
      <c r="E39"/>
      <c r="F39"/>
      <c r="G39"/>
      <c r="H39"/>
      <c r="I39"/>
    </row>
    <row r="40" spans="2:9">
      <c r="B40" s="179" t="s">
        <v>48</v>
      </c>
      <c r="C40" t="s">
        <v>40</v>
      </c>
      <c r="D40" t="s">
        <v>268</v>
      </c>
      <c r="E40" t="s">
        <v>346</v>
      </c>
      <c r="F40" t="s">
        <v>274</v>
      </c>
      <c r="G40" t="s">
        <v>46</v>
      </c>
      <c r="H40"/>
      <c r="I40"/>
    </row>
    <row r="41" spans="2:9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>
      <c r="B47"/>
      <c r="C47"/>
      <c r="D47"/>
    </row>
    <row r="48" spans="2:9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>
      <c r="B2" s="196" t="s">
        <v>356</v>
      </c>
      <c r="C2" s="32">
        <f>+COUNTA(C11:C39,C49:C87)</f>
        <v>68</v>
      </c>
    </row>
    <row r="4" spans="1:10">
      <c r="B4" s="196" t="s">
        <v>360</v>
      </c>
    </row>
    <row r="5" spans="1:10">
      <c r="B5" s="32" t="s">
        <v>361</v>
      </c>
    </row>
    <row r="6" spans="1:10">
      <c r="B6" s="32" t="s">
        <v>363</v>
      </c>
    </row>
    <row r="7" spans="1:10">
      <c r="B7" s="32" t="s">
        <v>367</v>
      </c>
    </row>
    <row r="10" spans="1:10">
      <c r="A10" s="32" t="s">
        <v>395</v>
      </c>
      <c r="B10" s="170" t="s">
        <v>3</v>
      </c>
      <c r="C10" s="170" t="s">
        <v>4</v>
      </c>
      <c r="D10" s="170" t="s">
        <v>119</v>
      </c>
      <c r="E10" s="170" t="s">
        <v>357</v>
      </c>
      <c r="F10" s="170" t="s">
        <v>358</v>
      </c>
      <c r="G10" s="170" t="s">
        <v>349</v>
      </c>
      <c r="H10" s="196" t="s">
        <v>359</v>
      </c>
      <c r="I10" s="196" t="s">
        <v>393</v>
      </c>
      <c r="J10" s="196" t="s">
        <v>394</v>
      </c>
    </row>
    <row r="11" spans="1:10" hidden="1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362</v>
      </c>
    </row>
    <row r="12" spans="1:10" hidden="1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362</v>
      </c>
    </row>
    <row r="13" spans="1:10" hidden="1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362</v>
      </c>
    </row>
    <row r="14" spans="1:10" hidden="1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362</v>
      </c>
    </row>
    <row r="15" spans="1:10" hidden="1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362</v>
      </c>
    </row>
    <row r="16" spans="1:10" hidden="1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362</v>
      </c>
    </row>
    <row r="17" spans="2:8" hidden="1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362</v>
      </c>
    </row>
    <row r="18" spans="2:8" hidden="1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362</v>
      </c>
    </row>
    <row r="19" spans="2:8" hidden="1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362</v>
      </c>
    </row>
    <row r="20" spans="2:8" hidden="1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362</v>
      </c>
    </row>
    <row r="21" spans="2:8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362</v>
      </c>
    </row>
    <row r="22" spans="2:8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362</v>
      </c>
    </row>
    <row r="23" spans="2:8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362</v>
      </c>
    </row>
    <row r="24" spans="2:8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362</v>
      </c>
    </row>
    <row r="25" spans="2:8" hidden="1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362</v>
      </c>
    </row>
    <row r="26" spans="2:8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362</v>
      </c>
    </row>
    <row r="27" spans="2:8" hidden="1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362</v>
      </c>
    </row>
    <row r="28" spans="2:8" hidden="1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362</v>
      </c>
    </row>
    <row r="29" spans="2:8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362</v>
      </c>
    </row>
    <row r="30" spans="2:8" hidden="1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362</v>
      </c>
    </row>
    <row r="31" spans="2:8" hidden="1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362</v>
      </c>
    </row>
    <row r="32" spans="2:8" hidden="1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362</v>
      </c>
    </row>
    <row r="33" spans="2:8" hidden="1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362</v>
      </c>
    </row>
    <row r="34" spans="2:8" hidden="1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362</v>
      </c>
    </row>
    <row r="35" spans="2:8" hidden="1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362</v>
      </c>
    </row>
    <row r="36" spans="2:8" hidden="1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362</v>
      </c>
    </row>
    <row r="37" spans="2:8" hidden="1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362</v>
      </c>
    </row>
    <row r="38" spans="2:8" hidden="1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362</v>
      </c>
    </row>
    <row r="39" spans="2:8" hidden="1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362</v>
      </c>
    </row>
    <row r="40" spans="2:8" hidden="1">
      <c r="B40" s="194" t="s">
        <v>29</v>
      </c>
      <c r="C40" s="194" t="s">
        <v>65</v>
      </c>
      <c r="D40" s="176" t="s">
        <v>355</v>
      </c>
      <c r="E40" s="176" t="s">
        <v>355</v>
      </c>
      <c r="F40" s="176" t="s">
        <v>355</v>
      </c>
      <c r="G40" s="176" t="s">
        <v>355</v>
      </c>
      <c r="H40" s="176" t="s">
        <v>355</v>
      </c>
    </row>
    <row r="41" spans="2:8" hidden="1">
      <c r="B41" s="194" t="s">
        <v>269</v>
      </c>
      <c r="C41" s="194" t="s">
        <v>30</v>
      </c>
      <c r="D41" s="176" t="s">
        <v>355</v>
      </c>
      <c r="E41" s="176" t="s">
        <v>355</v>
      </c>
      <c r="F41" s="176" t="s">
        <v>368</v>
      </c>
      <c r="G41" s="176" t="s">
        <v>355</v>
      </c>
      <c r="H41" s="176" t="s">
        <v>355</v>
      </c>
    </row>
    <row r="42" spans="2:8" hidden="1">
      <c r="B42" s="194" t="s">
        <v>269</v>
      </c>
      <c r="C42" s="194" t="s">
        <v>270</v>
      </c>
      <c r="D42" s="176" t="s">
        <v>355</v>
      </c>
      <c r="E42" s="176" t="s">
        <v>355</v>
      </c>
      <c r="F42" s="176" t="s">
        <v>368</v>
      </c>
      <c r="G42" s="176" t="s">
        <v>355</v>
      </c>
      <c r="H42" s="176" t="s">
        <v>355</v>
      </c>
    </row>
    <row r="43" spans="2:8" hidden="1">
      <c r="B43" s="194" t="s">
        <v>269</v>
      </c>
      <c r="C43" s="194" t="s">
        <v>271</v>
      </c>
      <c r="D43" s="176" t="s">
        <v>355</v>
      </c>
      <c r="E43" s="176" t="s">
        <v>355</v>
      </c>
      <c r="F43" s="176" t="s">
        <v>368</v>
      </c>
      <c r="G43" s="176" t="s">
        <v>355</v>
      </c>
      <c r="H43" s="176" t="s">
        <v>355</v>
      </c>
    </row>
    <row r="44" spans="2:8" hidden="1">
      <c r="B44" s="194" t="s">
        <v>269</v>
      </c>
      <c r="C44" s="194" t="s">
        <v>272</v>
      </c>
      <c r="D44" s="176" t="s">
        <v>355</v>
      </c>
      <c r="E44" s="176" t="s">
        <v>355</v>
      </c>
      <c r="F44" s="176" t="s">
        <v>368</v>
      </c>
      <c r="G44" s="176" t="s">
        <v>355</v>
      </c>
      <c r="H44" s="176" t="s">
        <v>355</v>
      </c>
    </row>
    <row r="45" spans="2:8" hidden="1">
      <c r="B45" s="194" t="s">
        <v>269</v>
      </c>
      <c r="C45" s="194" t="s">
        <v>26</v>
      </c>
      <c r="D45" s="176" t="s">
        <v>355</v>
      </c>
      <c r="E45" s="176" t="s">
        <v>355</v>
      </c>
      <c r="F45" s="176" t="s">
        <v>368</v>
      </c>
      <c r="G45" s="176" t="s">
        <v>355</v>
      </c>
      <c r="H45" s="176" t="s">
        <v>355</v>
      </c>
    </row>
    <row r="46" spans="2:8" hidden="1">
      <c r="B46" s="194" t="s">
        <v>269</v>
      </c>
      <c r="C46" s="194" t="s">
        <v>25</v>
      </c>
      <c r="D46" s="176" t="s">
        <v>355</v>
      </c>
      <c r="E46" s="176" t="s">
        <v>355</v>
      </c>
      <c r="F46" s="176" t="s">
        <v>368</v>
      </c>
      <c r="G46" s="176" t="s">
        <v>355</v>
      </c>
      <c r="H46" s="176" t="s">
        <v>355</v>
      </c>
    </row>
    <row r="47" spans="2:8" hidden="1">
      <c r="B47" s="194" t="s">
        <v>29</v>
      </c>
      <c r="C47" s="194" t="s">
        <v>58</v>
      </c>
      <c r="D47" s="176" t="s">
        <v>355</v>
      </c>
      <c r="E47" s="176" t="s">
        <v>355</v>
      </c>
      <c r="F47" s="176" t="s">
        <v>355</v>
      </c>
      <c r="G47" s="176" t="s">
        <v>355</v>
      </c>
      <c r="H47" s="176" t="s">
        <v>355</v>
      </c>
    </row>
    <row r="48" spans="2:8" hidden="1">
      <c r="B48" s="194" t="s">
        <v>29</v>
      </c>
      <c r="C48" s="194" t="s">
        <v>59</v>
      </c>
      <c r="D48" s="176" t="s">
        <v>355</v>
      </c>
      <c r="E48" s="176" t="s">
        <v>355</v>
      </c>
      <c r="F48" s="176" t="s">
        <v>355</v>
      </c>
      <c r="G48" s="176" t="s">
        <v>355</v>
      </c>
      <c r="H48" s="176" t="s">
        <v>355</v>
      </c>
    </row>
    <row r="49" spans="1:9">
      <c r="A49" s="32" t="s">
        <v>364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362</v>
      </c>
      <c r="I49" s="32" t="s">
        <v>374</v>
      </c>
    </row>
    <row r="50" spans="1:9">
      <c r="A50" s="32" t="s">
        <v>364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362</v>
      </c>
    </row>
    <row r="51" spans="1:9">
      <c r="A51" s="32" t="s">
        <v>364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362</v>
      </c>
      <c r="I51" s="32" t="s">
        <v>374</v>
      </c>
    </row>
    <row r="52" spans="1:9">
      <c r="A52" s="32" t="s">
        <v>364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362</v>
      </c>
      <c r="I52" s="32" t="s">
        <v>391</v>
      </c>
    </row>
    <row r="53" spans="1:9">
      <c r="A53" s="32" t="s">
        <v>364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362</v>
      </c>
    </row>
    <row r="54" spans="1:9">
      <c r="A54" s="32" t="s">
        <v>364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362</v>
      </c>
    </row>
    <row r="55" spans="1:9">
      <c r="A55" s="32" t="s">
        <v>364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362</v>
      </c>
    </row>
    <row r="56" spans="1:9">
      <c r="A56" s="32" t="s">
        <v>364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362</v>
      </c>
    </row>
    <row r="57" spans="1:9">
      <c r="A57" s="32" t="s">
        <v>364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362</v>
      </c>
    </row>
    <row r="58" spans="1:9">
      <c r="A58" s="32" t="s">
        <v>364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362</v>
      </c>
    </row>
    <row r="59" spans="1:9">
      <c r="A59" s="32" t="s">
        <v>364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362</v>
      </c>
    </row>
    <row r="60" spans="1:9">
      <c r="A60" s="32" t="s">
        <v>364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362</v>
      </c>
    </row>
    <row r="61" spans="1:9">
      <c r="A61" s="32" t="s">
        <v>364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362</v>
      </c>
    </row>
    <row r="62" spans="1:9">
      <c r="A62" s="32" t="s">
        <v>364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362</v>
      </c>
    </row>
    <row r="63" spans="1:9">
      <c r="A63" s="32" t="s">
        <v>364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362</v>
      </c>
    </row>
    <row r="64" spans="1:9">
      <c r="A64" s="32" t="s">
        <v>364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362</v>
      </c>
    </row>
    <row r="65" spans="1:9">
      <c r="A65" s="32" t="s">
        <v>364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362</v>
      </c>
    </row>
    <row r="66" spans="1:9" hidden="1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>
      <c r="A67" s="32" t="s">
        <v>390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365</v>
      </c>
      <c r="I69" s="32" t="s">
        <v>374</v>
      </c>
    </row>
    <row r="70" spans="1:9" hidden="1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366</v>
      </c>
      <c r="I70" s="32" t="s">
        <v>374</v>
      </c>
    </row>
    <row r="71" spans="1:9" hidden="1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366</v>
      </c>
      <c r="I71" s="32" t="s">
        <v>374</v>
      </c>
    </row>
    <row r="72" spans="1:9" hidden="1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374</v>
      </c>
    </row>
    <row r="73" spans="1:9" hidden="1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365</v>
      </c>
      <c r="I73" s="32" t="s">
        <v>374</v>
      </c>
    </row>
    <row r="74" spans="1:9" hidden="1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366</v>
      </c>
      <c r="I74" s="32" t="s">
        <v>374</v>
      </c>
    </row>
    <row r="75" spans="1:9" hidden="1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374</v>
      </c>
    </row>
    <row r="76" spans="1:9" hidden="1">
      <c r="A76" s="32" t="s">
        <v>389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>
      <c r="A77" s="32" t="s">
        <v>392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362</v>
      </c>
      <c r="I79" s="32" t="s">
        <v>372</v>
      </c>
    </row>
    <row r="80" spans="1:9" hidden="1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370</v>
      </c>
    </row>
    <row r="81" spans="2:9" hidden="1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362</v>
      </c>
      <c r="I81" s="32" t="s">
        <v>373</v>
      </c>
    </row>
    <row r="82" spans="2:9" hidden="1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362</v>
      </c>
      <c r="I82" s="32" t="s">
        <v>373</v>
      </c>
    </row>
    <row r="83" spans="2:9" hidden="1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368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362</v>
      </c>
      <c r="I83" s="32" t="s">
        <v>374</v>
      </c>
    </row>
    <row r="84" spans="2:9" hidden="1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368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371</v>
      </c>
    </row>
    <row r="85" spans="2:9" hidden="1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368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354</v>
      </c>
      <c r="I85" s="32" t="s">
        <v>374</v>
      </c>
    </row>
    <row r="86" spans="2:9" hidden="1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368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354</v>
      </c>
      <c r="I86" s="32" t="s">
        <v>374</v>
      </c>
    </row>
    <row r="87" spans="2:9" hidden="1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368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369</v>
      </c>
      <c r="I87" s="32" t="s">
        <v>374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>
      <c r="A6" s="134" t="s">
        <v>350</v>
      </c>
      <c r="B6" s="134" t="s">
        <v>29</v>
      </c>
      <c r="C6" s="134" t="s">
        <v>79</v>
      </c>
      <c r="D6" s="134" t="s">
        <v>266</v>
      </c>
      <c r="F6" s="134" t="s">
        <v>351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352</v>
      </c>
      <c r="M6" s="171" t="s">
        <v>29</v>
      </c>
      <c r="N6" s="85" t="s">
        <v>110</v>
      </c>
      <c r="O6" s="126" t="s">
        <v>285</v>
      </c>
      <c r="Q6" s="134" t="s">
        <v>353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>
      <c r="A7" s="134" t="s">
        <v>350</v>
      </c>
      <c r="B7" s="134" t="s">
        <v>29</v>
      </c>
      <c r="C7" s="134" t="s">
        <v>60</v>
      </c>
      <c r="D7" s="134" t="s">
        <v>255</v>
      </c>
      <c r="F7" s="134" t="s">
        <v>351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352</v>
      </c>
      <c r="M7" s="171" t="s">
        <v>29</v>
      </c>
      <c r="N7" s="92" t="s">
        <v>111</v>
      </c>
      <c r="O7" s="126" t="s">
        <v>285</v>
      </c>
      <c r="Q7" s="134" t="s">
        <v>353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>
      <c r="A8" s="134" t="s">
        <v>350</v>
      </c>
      <c r="B8" s="134" t="s">
        <v>29</v>
      </c>
      <c r="C8" s="134" t="s">
        <v>80</v>
      </c>
      <c r="D8" s="134" t="s">
        <v>268</v>
      </c>
      <c r="F8" s="134" t="s">
        <v>351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352</v>
      </c>
      <c r="M8" s="171" t="s">
        <v>29</v>
      </c>
      <c r="N8" s="92" t="s">
        <v>112</v>
      </c>
      <c r="O8" s="126" t="s">
        <v>285</v>
      </c>
      <c r="Q8" s="134" t="s">
        <v>353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>
      <c r="A9" s="134" t="s">
        <v>350</v>
      </c>
      <c r="B9" s="134" t="s">
        <v>29</v>
      </c>
      <c r="C9" s="134" t="s">
        <v>81</v>
      </c>
      <c r="D9" s="134" t="s">
        <v>268</v>
      </c>
      <c r="F9" s="134" t="s">
        <v>351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352</v>
      </c>
      <c r="M9" s="172" t="s">
        <v>275</v>
      </c>
      <c r="N9" s="92" t="s">
        <v>51</v>
      </c>
      <c r="O9" s="126" t="s">
        <v>285</v>
      </c>
      <c r="Q9" s="134" t="s">
        <v>353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>
      <c r="A10" s="134" t="s">
        <v>350</v>
      </c>
      <c r="B10" s="134" t="s">
        <v>29</v>
      </c>
      <c r="C10" s="134" t="s">
        <v>82</v>
      </c>
      <c r="D10" s="134" t="s">
        <v>266</v>
      </c>
      <c r="F10" s="134" t="s">
        <v>351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352</v>
      </c>
      <c r="M10" s="172" t="s">
        <v>275</v>
      </c>
      <c r="N10" s="92" t="s">
        <v>52</v>
      </c>
      <c r="O10" s="126" t="s">
        <v>285</v>
      </c>
      <c r="Q10" s="134" t="s">
        <v>353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>
      <c r="A11" s="134" t="s">
        <v>350</v>
      </c>
      <c r="B11" s="134" t="s">
        <v>29</v>
      </c>
      <c r="C11" s="134" t="s">
        <v>83</v>
      </c>
      <c r="D11" s="134" t="s">
        <v>266</v>
      </c>
      <c r="F11" s="134" t="s">
        <v>351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352</v>
      </c>
      <c r="M11" s="172" t="s">
        <v>275</v>
      </c>
      <c r="N11" s="92" t="s">
        <v>53</v>
      </c>
      <c r="O11" s="126" t="s">
        <v>285</v>
      </c>
      <c r="Q11" s="134" t="s">
        <v>353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>
      <c r="A12" s="134" t="s">
        <v>350</v>
      </c>
      <c r="B12" s="134" t="s">
        <v>29</v>
      </c>
      <c r="C12" s="134" t="s">
        <v>61</v>
      </c>
      <c r="D12" s="134" t="s">
        <v>255</v>
      </c>
      <c r="F12" s="134" t="s">
        <v>351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352</v>
      </c>
      <c r="M12" s="172" t="s">
        <v>275</v>
      </c>
      <c r="N12" s="92" t="s">
        <v>113</v>
      </c>
      <c r="O12" s="126" t="s">
        <v>285</v>
      </c>
      <c r="Q12" s="134" t="s">
        <v>353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>
      <c r="A13" s="134" t="s">
        <v>350</v>
      </c>
      <c r="B13" s="134" t="s">
        <v>29</v>
      </c>
      <c r="C13" s="134" t="s">
        <v>84</v>
      </c>
      <c r="D13" s="134" t="s">
        <v>266</v>
      </c>
      <c r="F13" s="134" t="s">
        <v>351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352</v>
      </c>
      <c r="M13" s="172" t="s">
        <v>28</v>
      </c>
      <c r="N13" s="92" t="s">
        <v>51</v>
      </c>
      <c r="O13" s="126" t="s">
        <v>285</v>
      </c>
      <c r="Q13" s="134" t="s">
        <v>353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>
      <c r="A14" s="134" t="s">
        <v>350</v>
      </c>
      <c r="B14" s="134" t="s">
        <v>29</v>
      </c>
      <c r="C14" s="134" t="s">
        <v>85</v>
      </c>
      <c r="D14" s="134" t="s">
        <v>266</v>
      </c>
      <c r="F14" s="134" t="s">
        <v>351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352</v>
      </c>
      <c r="M14" s="172" t="s">
        <v>28</v>
      </c>
      <c r="N14" s="92" t="s">
        <v>52</v>
      </c>
      <c r="O14" s="126" t="s">
        <v>285</v>
      </c>
      <c r="Q14" s="134" t="s">
        <v>353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>
      <c r="A15" s="134" t="s">
        <v>350</v>
      </c>
      <c r="B15" s="134" t="s">
        <v>29</v>
      </c>
      <c r="C15" s="134" t="s">
        <v>86</v>
      </c>
      <c r="D15" s="134" t="s">
        <v>266</v>
      </c>
      <c r="F15" s="134" t="s">
        <v>351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352</v>
      </c>
      <c r="M15" s="172" t="s">
        <v>28</v>
      </c>
      <c r="N15" s="92" t="s">
        <v>113</v>
      </c>
      <c r="O15" s="126" t="s">
        <v>285</v>
      </c>
      <c r="Q15" s="134" t="s">
        <v>353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>
      <c r="A16" s="134" t="s">
        <v>350</v>
      </c>
      <c r="B16" s="134" t="s">
        <v>29</v>
      </c>
      <c r="C16" s="134" t="s">
        <v>62</v>
      </c>
      <c r="D16" s="134" t="s">
        <v>255</v>
      </c>
      <c r="F16" s="134" t="s">
        <v>351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352</v>
      </c>
      <c r="M16" s="172" t="s">
        <v>28</v>
      </c>
      <c r="N16" s="92" t="s">
        <v>114</v>
      </c>
      <c r="O16" s="126" t="s">
        <v>285</v>
      </c>
      <c r="Q16" s="134" t="s">
        <v>353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>
      <c r="A17" s="134" t="s">
        <v>350</v>
      </c>
      <c r="B17" s="134" t="s">
        <v>29</v>
      </c>
      <c r="C17" s="134" t="s">
        <v>87</v>
      </c>
      <c r="D17" s="134" t="s">
        <v>255</v>
      </c>
      <c r="F17" s="134" t="s">
        <v>351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352</v>
      </c>
      <c r="M17" s="172" t="s">
        <v>28</v>
      </c>
      <c r="N17" s="92" t="s">
        <v>115</v>
      </c>
      <c r="O17" s="126" t="s">
        <v>285</v>
      </c>
      <c r="Q17" s="134" t="s">
        <v>353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>
      <c r="A18" s="134" t="s">
        <v>350</v>
      </c>
      <c r="B18" s="134" t="s">
        <v>29</v>
      </c>
      <c r="C18" s="134" t="s">
        <v>88</v>
      </c>
      <c r="D18" s="134" t="s">
        <v>255</v>
      </c>
      <c r="F18" s="134" t="s">
        <v>351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352</v>
      </c>
      <c r="M18" s="172" t="s">
        <v>28</v>
      </c>
      <c r="N18" s="92" t="s">
        <v>118</v>
      </c>
      <c r="O18" s="126" t="s">
        <v>285</v>
      </c>
      <c r="P18" s="134" t="s">
        <v>344</v>
      </c>
      <c r="Q18" s="134" t="s">
        <v>353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>
      <c r="A19" s="134" t="s">
        <v>350</v>
      </c>
      <c r="B19" s="134" t="s">
        <v>29</v>
      </c>
      <c r="C19" s="134" t="s">
        <v>89</v>
      </c>
      <c r="D19" s="134" t="s">
        <v>255</v>
      </c>
      <c r="F19" s="134" t="s">
        <v>351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352</v>
      </c>
      <c r="M19" s="172" t="s">
        <v>108</v>
      </c>
      <c r="N19" s="92" t="s">
        <v>116</v>
      </c>
      <c r="O19" s="126" t="s">
        <v>285</v>
      </c>
      <c r="Q19" s="134" t="s">
        <v>353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>
      <c r="A20" s="134" t="s">
        <v>350</v>
      </c>
      <c r="B20" s="134" t="s">
        <v>29</v>
      </c>
      <c r="C20" s="134" t="s">
        <v>90</v>
      </c>
      <c r="D20" s="134" t="s">
        <v>266</v>
      </c>
      <c r="F20" s="134" t="s">
        <v>351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352</v>
      </c>
      <c r="M20" s="177" t="s">
        <v>29</v>
      </c>
      <c r="N20" s="178" t="s">
        <v>64</v>
      </c>
      <c r="O20" s="126" t="s">
        <v>285</v>
      </c>
      <c r="Q20" s="134" t="s">
        <v>353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>
      <c r="A21" s="134" t="s">
        <v>350</v>
      </c>
      <c r="B21" s="134" t="s">
        <v>29</v>
      </c>
      <c r="C21" s="134" t="s">
        <v>91</v>
      </c>
      <c r="D21" s="134" t="s">
        <v>268</v>
      </c>
      <c r="F21" s="134" t="s">
        <v>351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352</v>
      </c>
      <c r="M21" s="178" t="s">
        <v>108</v>
      </c>
      <c r="N21" s="178" t="s">
        <v>58</v>
      </c>
      <c r="O21" s="126" t="s">
        <v>342</v>
      </c>
      <c r="P21" s="134" t="s">
        <v>343</v>
      </c>
      <c r="Q21" s="134" t="s">
        <v>353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>
      <c r="A22" s="134" t="s">
        <v>350</v>
      </c>
      <c r="B22" s="134" t="s">
        <v>29</v>
      </c>
      <c r="C22" s="134" t="s">
        <v>92</v>
      </c>
      <c r="D22" s="134" t="s">
        <v>268</v>
      </c>
      <c r="F22" s="134" t="s">
        <v>351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352</v>
      </c>
      <c r="M22" s="178" t="s">
        <v>108</v>
      </c>
      <c r="N22" s="178" t="s">
        <v>59</v>
      </c>
      <c r="O22" s="126" t="s">
        <v>342</v>
      </c>
      <c r="P22" s="134" t="s">
        <v>343</v>
      </c>
      <c r="Q22" s="134" t="s">
        <v>353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>
      <c r="A23" s="134" t="s">
        <v>350</v>
      </c>
      <c r="B23" s="134" t="s">
        <v>29</v>
      </c>
      <c r="C23" s="134" t="s">
        <v>93</v>
      </c>
      <c r="D23" s="134" t="s">
        <v>266</v>
      </c>
      <c r="F23" s="134" t="s">
        <v>351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352</v>
      </c>
      <c r="M23" s="195" t="s">
        <v>29</v>
      </c>
      <c r="N23" s="195" t="s">
        <v>110</v>
      </c>
      <c r="Q23" s="134" t="s">
        <v>353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>
      <c r="A24" s="134" t="s">
        <v>350</v>
      </c>
      <c r="B24" s="134" t="s">
        <v>29</v>
      </c>
      <c r="C24" s="134" t="s">
        <v>94</v>
      </c>
      <c r="D24" s="134" t="s">
        <v>268</v>
      </c>
      <c r="F24" s="134" t="s">
        <v>351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352</v>
      </c>
      <c r="M24" s="195" t="s">
        <v>29</v>
      </c>
      <c r="N24" s="195" t="s">
        <v>111</v>
      </c>
      <c r="Q24" s="134" t="s">
        <v>353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>
      <c r="A25" s="134" t="s">
        <v>350</v>
      </c>
      <c r="B25" s="134" t="s">
        <v>29</v>
      </c>
      <c r="C25" s="134" t="s">
        <v>95</v>
      </c>
      <c r="D25" s="134" t="s">
        <v>266</v>
      </c>
      <c r="F25" s="134" t="s">
        <v>351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352</v>
      </c>
      <c r="M25" s="195" t="s">
        <v>29</v>
      </c>
      <c r="N25" s="195" t="s">
        <v>112</v>
      </c>
      <c r="Q25" s="134" t="s">
        <v>353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>
      <c r="A26" s="134" t="s">
        <v>350</v>
      </c>
      <c r="B26" s="134" t="s">
        <v>29</v>
      </c>
      <c r="C26" s="134" t="s">
        <v>96</v>
      </c>
      <c r="D26" s="134" t="s">
        <v>266</v>
      </c>
      <c r="F26" s="134" t="s">
        <v>351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352</v>
      </c>
      <c r="M26" s="195" t="s">
        <v>275</v>
      </c>
      <c r="N26" s="195" t="s">
        <v>51</v>
      </c>
      <c r="Q26" s="134" t="s">
        <v>353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>
      <c r="A27" s="134" t="s">
        <v>350</v>
      </c>
      <c r="B27" s="134" t="s">
        <v>29</v>
      </c>
      <c r="C27" s="134" t="s">
        <v>97</v>
      </c>
      <c r="D27" s="134" t="s">
        <v>255</v>
      </c>
      <c r="F27" s="134" t="s">
        <v>351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352</v>
      </c>
      <c r="M27" s="195" t="s">
        <v>275</v>
      </c>
      <c r="N27" s="195" t="s">
        <v>52</v>
      </c>
      <c r="Q27" s="134" t="s">
        <v>353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>
      <c r="A28" s="134" t="s">
        <v>350</v>
      </c>
      <c r="B28" s="134" t="s">
        <v>29</v>
      </c>
      <c r="C28" s="134" t="s">
        <v>98</v>
      </c>
      <c r="D28" s="134" t="s">
        <v>255</v>
      </c>
      <c r="F28" s="134" t="s">
        <v>351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352</v>
      </c>
      <c r="M28" s="195" t="s">
        <v>275</v>
      </c>
      <c r="N28" s="195" t="s">
        <v>53</v>
      </c>
      <c r="Q28" s="134" t="s">
        <v>353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>
      <c r="A29" s="134" t="s">
        <v>350</v>
      </c>
      <c r="B29" s="134" t="s">
        <v>29</v>
      </c>
      <c r="C29" s="134" t="s">
        <v>99</v>
      </c>
      <c r="D29" s="134" t="s">
        <v>255</v>
      </c>
      <c r="L29" s="134" t="s">
        <v>352</v>
      </c>
      <c r="M29" s="195" t="s">
        <v>275</v>
      </c>
      <c r="N29" s="195" t="s">
        <v>113</v>
      </c>
      <c r="Q29" s="134" t="s">
        <v>353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>
      <c r="A30" s="134" t="s">
        <v>350</v>
      </c>
      <c r="B30" s="134" t="s">
        <v>29</v>
      </c>
      <c r="C30" s="134" t="s">
        <v>100</v>
      </c>
      <c r="D30" s="134" t="s">
        <v>255</v>
      </c>
      <c r="L30" s="134" t="s">
        <v>352</v>
      </c>
      <c r="M30" s="195" t="s">
        <v>28</v>
      </c>
      <c r="N30" s="195" t="s">
        <v>51</v>
      </c>
      <c r="Q30" s="134" t="s">
        <v>353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>
      <c r="A31" s="134" t="s">
        <v>350</v>
      </c>
      <c r="B31" s="134" t="s">
        <v>29</v>
      </c>
      <c r="C31" s="134" t="s">
        <v>101</v>
      </c>
      <c r="D31" s="134" t="s">
        <v>255</v>
      </c>
      <c r="L31" s="134" t="s">
        <v>352</v>
      </c>
      <c r="M31" s="195" t="s">
        <v>28</v>
      </c>
      <c r="N31" s="195" t="s">
        <v>52</v>
      </c>
      <c r="Q31" s="134" t="s">
        <v>353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>
      <c r="A32" s="134" t="s">
        <v>350</v>
      </c>
      <c r="B32" s="134" t="s">
        <v>29</v>
      </c>
      <c r="C32" s="134" t="s">
        <v>63</v>
      </c>
      <c r="D32" s="134" t="s">
        <v>255</v>
      </c>
      <c r="L32" s="134" t="s">
        <v>352</v>
      </c>
      <c r="M32" s="195" t="s">
        <v>28</v>
      </c>
      <c r="N32" s="195" t="s">
        <v>113</v>
      </c>
      <c r="Q32" s="134" t="s">
        <v>353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>
      <c r="A33" s="134" t="s">
        <v>350</v>
      </c>
      <c r="B33" s="134" t="s">
        <v>29</v>
      </c>
      <c r="C33" s="134" t="s">
        <v>102</v>
      </c>
      <c r="D33" s="134" t="s">
        <v>255</v>
      </c>
      <c r="L33" s="134" t="s">
        <v>352</v>
      </c>
      <c r="M33" s="195" t="s">
        <v>28</v>
      </c>
      <c r="N33" s="195" t="s">
        <v>114</v>
      </c>
      <c r="Q33" s="134" t="s">
        <v>353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>
      <c r="A34" s="134" t="s">
        <v>350</v>
      </c>
      <c r="B34" s="134" t="s">
        <v>29</v>
      </c>
      <c r="C34" s="134" t="s">
        <v>103</v>
      </c>
      <c r="D34" s="134" t="s">
        <v>255</v>
      </c>
      <c r="L34" s="134" t="s">
        <v>352</v>
      </c>
      <c r="M34" s="195" t="s">
        <v>28</v>
      </c>
      <c r="N34" s="195" t="s">
        <v>115</v>
      </c>
      <c r="Q34" s="134" t="s">
        <v>353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>
      <c r="A35" s="134" t="s">
        <v>350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352</v>
      </c>
      <c r="M35" s="195" t="s">
        <v>28</v>
      </c>
      <c r="N35" s="195" t="s">
        <v>118</v>
      </c>
      <c r="Q35" s="134" t="s">
        <v>353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>
      <c r="A36" s="134" t="s">
        <v>350</v>
      </c>
      <c r="B36" s="134" t="s">
        <v>269</v>
      </c>
      <c r="C36" s="134" t="s">
        <v>30</v>
      </c>
      <c r="D36" s="134" t="s">
        <v>267</v>
      </c>
      <c r="L36" s="134" t="s">
        <v>352</v>
      </c>
      <c r="M36" s="195" t="s">
        <v>108</v>
      </c>
      <c r="N36" s="195" t="s">
        <v>116</v>
      </c>
      <c r="Q36" s="134" t="s">
        <v>353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>
      <c r="A37" s="134" t="s">
        <v>350</v>
      </c>
      <c r="B37" s="134" t="s">
        <v>269</v>
      </c>
      <c r="C37" s="134" t="s">
        <v>270</v>
      </c>
      <c r="D37" s="134" t="s">
        <v>267</v>
      </c>
      <c r="L37" s="134" t="s">
        <v>352</v>
      </c>
      <c r="M37" s="195" t="s">
        <v>29</v>
      </c>
      <c r="N37" s="195" t="s">
        <v>64</v>
      </c>
      <c r="Q37" s="134" t="s">
        <v>353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>
      <c r="A38" s="134" t="s">
        <v>350</v>
      </c>
      <c r="B38" s="134" t="s">
        <v>269</v>
      </c>
      <c r="C38" s="134" t="s">
        <v>271</v>
      </c>
      <c r="D38" s="134" t="s">
        <v>267</v>
      </c>
      <c r="L38" s="134" t="s">
        <v>352</v>
      </c>
      <c r="M38" s="195" t="s">
        <v>108</v>
      </c>
      <c r="N38" s="195" t="s">
        <v>58</v>
      </c>
      <c r="Q38" s="134" t="s">
        <v>353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>
      <c r="A39" s="134" t="s">
        <v>350</v>
      </c>
      <c r="B39" s="134" t="s">
        <v>269</v>
      </c>
      <c r="C39" s="134" t="s">
        <v>272</v>
      </c>
      <c r="D39" s="134" t="s">
        <v>267</v>
      </c>
      <c r="L39" s="134" t="s">
        <v>352</v>
      </c>
      <c r="M39" s="195" t="s">
        <v>108</v>
      </c>
      <c r="N39" s="195" t="s">
        <v>59</v>
      </c>
      <c r="Q39" s="134" t="s">
        <v>353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>
      <c r="A40" s="134" t="s">
        <v>350</v>
      </c>
      <c r="B40" s="134" t="s">
        <v>269</v>
      </c>
      <c r="C40" s="134" t="s">
        <v>26</v>
      </c>
      <c r="D40" s="134" t="s">
        <v>267</v>
      </c>
      <c r="L40" s="134" t="s">
        <v>352</v>
      </c>
      <c r="M40" s="195" t="s">
        <v>29</v>
      </c>
      <c r="N40" s="195" t="s">
        <v>79</v>
      </c>
      <c r="Q40" s="134" t="s">
        <v>353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>
      <c r="A41" s="134" t="s">
        <v>350</v>
      </c>
      <c r="B41" s="134" t="s">
        <v>269</v>
      </c>
      <c r="C41" s="134" t="s">
        <v>25</v>
      </c>
      <c r="D41" s="134" t="s">
        <v>267</v>
      </c>
      <c r="L41" s="134" t="s">
        <v>352</v>
      </c>
      <c r="M41" s="195" t="s">
        <v>29</v>
      </c>
      <c r="N41" s="195" t="s">
        <v>60</v>
      </c>
      <c r="Q41" s="134" t="s">
        <v>353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>
      <c r="A42" s="134" t="s">
        <v>350</v>
      </c>
      <c r="B42" s="134" t="s">
        <v>29</v>
      </c>
      <c r="C42" s="134" t="s">
        <v>58</v>
      </c>
      <c r="D42" s="134" t="s">
        <v>39</v>
      </c>
      <c r="E42" s="172" t="s">
        <v>341</v>
      </c>
      <c r="L42" s="134" t="s">
        <v>352</v>
      </c>
      <c r="M42" s="195" t="s">
        <v>29</v>
      </c>
      <c r="N42" s="195" t="s">
        <v>80</v>
      </c>
      <c r="Q42" s="134" t="s">
        <v>353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>
      <c r="A43" s="134" t="s">
        <v>350</v>
      </c>
      <c r="B43" s="134" t="s">
        <v>29</v>
      </c>
      <c r="C43" s="134" t="s">
        <v>59</v>
      </c>
      <c r="D43" s="134" t="s">
        <v>39</v>
      </c>
      <c r="E43" s="172" t="s">
        <v>341</v>
      </c>
      <c r="L43" s="134" t="s">
        <v>352</v>
      </c>
      <c r="M43" s="195" t="s">
        <v>29</v>
      </c>
      <c r="N43" s="195" t="s">
        <v>81</v>
      </c>
      <c r="Q43" s="134" t="s">
        <v>353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>
      <c r="L44" s="134" t="s">
        <v>352</v>
      </c>
      <c r="M44" s="195" t="s">
        <v>29</v>
      </c>
      <c r="N44" s="195" t="s">
        <v>82</v>
      </c>
      <c r="Q44" s="134" t="s">
        <v>353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>
      <c r="L45" s="134" t="s">
        <v>352</v>
      </c>
      <c r="M45" s="195" t="s">
        <v>29</v>
      </c>
      <c r="N45" s="195" t="s">
        <v>83</v>
      </c>
      <c r="Q45" s="134" t="s">
        <v>353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>
      <c r="L46" s="134" t="s">
        <v>352</v>
      </c>
      <c r="M46" s="195" t="s">
        <v>29</v>
      </c>
      <c r="N46" s="195" t="s">
        <v>61</v>
      </c>
      <c r="Q46" s="134" t="s">
        <v>353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>
      <c r="L47" s="134" t="s">
        <v>352</v>
      </c>
      <c r="M47" s="195" t="s">
        <v>29</v>
      </c>
      <c r="N47" s="195" t="s">
        <v>84</v>
      </c>
      <c r="Q47" s="134" t="s">
        <v>353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>
      <c r="L48" s="134" t="s">
        <v>352</v>
      </c>
      <c r="M48" s="195" t="s">
        <v>29</v>
      </c>
      <c r="N48" s="195" t="s">
        <v>85</v>
      </c>
      <c r="Q48" s="134" t="s">
        <v>353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>
      <c r="L49" s="134" t="s">
        <v>352</v>
      </c>
      <c r="M49" s="195" t="s">
        <v>29</v>
      </c>
      <c r="N49" s="195" t="s">
        <v>86</v>
      </c>
      <c r="Q49" s="134" t="s">
        <v>353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>
      <c r="L50" s="134" t="s">
        <v>352</v>
      </c>
      <c r="M50" s="195" t="s">
        <v>29</v>
      </c>
      <c r="N50" s="195" t="s">
        <v>62</v>
      </c>
      <c r="Q50" s="134" t="s">
        <v>353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>
      <c r="L51" s="134" t="s">
        <v>352</v>
      </c>
      <c r="M51" s="195" t="s">
        <v>29</v>
      </c>
      <c r="N51" s="195" t="s">
        <v>87</v>
      </c>
    </row>
    <row r="52" spans="12:23">
      <c r="L52" s="134" t="s">
        <v>352</v>
      </c>
      <c r="M52" s="195" t="s">
        <v>29</v>
      </c>
      <c r="N52" s="195" t="s">
        <v>88</v>
      </c>
    </row>
    <row r="53" spans="12:23">
      <c r="L53" s="134" t="s">
        <v>352</v>
      </c>
      <c r="M53" s="195" t="s">
        <v>29</v>
      </c>
      <c r="N53" s="195" t="s">
        <v>89</v>
      </c>
    </row>
    <row r="54" spans="12:23">
      <c r="L54" s="134" t="s">
        <v>352</v>
      </c>
      <c r="M54" s="195" t="s">
        <v>29</v>
      </c>
      <c r="N54" s="195" t="s">
        <v>90</v>
      </c>
    </row>
    <row r="55" spans="12:23">
      <c r="L55" s="134" t="s">
        <v>352</v>
      </c>
      <c r="M55" s="195" t="s">
        <v>29</v>
      </c>
      <c r="N55" s="195" t="s">
        <v>91</v>
      </c>
    </row>
    <row r="56" spans="12:23">
      <c r="L56" s="134" t="s">
        <v>352</v>
      </c>
      <c r="M56" s="195" t="s">
        <v>29</v>
      </c>
      <c r="N56" s="195" t="s">
        <v>92</v>
      </c>
    </row>
    <row r="57" spans="12:23">
      <c r="L57" s="134" t="s">
        <v>352</v>
      </c>
      <c r="M57" s="195" t="s">
        <v>29</v>
      </c>
      <c r="N57" s="195" t="s">
        <v>93</v>
      </c>
    </row>
    <row r="58" spans="12:23">
      <c r="L58" s="134" t="s">
        <v>352</v>
      </c>
      <c r="M58" s="195" t="s">
        <v>29</v>
      </c>
      <c r="N58" s="195" t="s">
        <v>94</v>
      </c>
    </row>
    <row r="59" spans="12:23">
      <c r="L59" s="134" t="s">
        <v>352</v>
      </c>
      <c r="M59" s="195" t="s">
        <v>29</v>
      </c>
      <c r="N59" s="195" t="s">
        <v>95</v>
      </c>
    </row>
    <row r="60" spans="12:23">
      <c r="L60" s="134" t="s">
        <v>352</v>
      </c>
      <c r="M60" s="195" t="s">
        <v>29</v>
      </c>
      <c r="N60" s="195" t="s">
        <v>96</v>
      </c>
    </row>
    <row r="61" spans="12:23">
      <c r="L61" s="134" t="s">
        <v>352</v>
      </c>
      <c r="M61" s="195" t="s">
        <v>29</v>
      </c>
      <c r="N61" s="195" t="s">
        <v>97</v>
      </c>
    </row>
    <row r="62" spans="12:23">
      <c r="L62" s="134" t="s">
        <v>352</v>
      </c>
      <c r="M62" s="195" t="s">
        <v>29</v>
      </c>
      <c r="N62" s="195" t="s">
        <v>98</v>
      </c>
    </row>
    <row r="63" spans="12:23">
      <c r="L63" s="134" t="s">
        <v>352</v>
      </c>
      <c r="M63" s="195" t="s">
        <v>29</v>
      </c>
      <c r="N63" s="195" t="s">
        <v>99</v>
      </c>
    </row>
    <row r="64" spans="12:23">
      <c r="L64" s="134" t="s">
        <v>352</v>
      </c>
      <c r="M64" s="195" t="s">
        <v>29</v>
      </c>
      <c r="N64" s="195" t="s">
        <v>100</v>
      </c>
    </row>
    <row r="65" spans="12:14">
      <c r="L65" s="134" t="s">
        <v>352</v>
      </c>
      <c r="M65" s="195" t="s">
        <v>29</v>
      </c>
      <c r="N65" s="195" t="s">
        <v>101</v>
      </c>
    </row>
    <row r="66" spans="12:14">
      <c r="L66" s="134" t="s">
        <v>352</v>
      </c>
      <c r="M66" s="195" t="s">
        <v>29</v>
      </c>
      <c r="N66" s="195" t="s">
        <v>63</v>
      </c>
    </row>
    <row r="67" spans="12:14">
      <c r="L67" s="134" t="s">
        <v>352</v>
      </c>
      <c r="M67" s="195" t="s">
        <v>29</v>
      </c>
      <c r="N67" s="195" t="s">
        <v>102</v>
      </c>
    </row>
    <row r="68" spans="12:14">
      <c r="L68" s="134" t="s">
        <v>352</v>
      </c>
      <c r="M68" s="195" t="s">
        <v>29</v>
      </c>
      <c r="N68" s="195" t="s">
        <v>103</v>
      </c>
    </row>
    <row r="69" spans="12:14">
      <c r="L69" s="134" t="s">
        <v>352</v>
      </c>
      <c r="M69" s="195" t="s">
        <v>269</v>
      </c>
      <c r="N69" s="195" t="s">
        <v>30</v>
      </c>
    </row>
    <row r="70" spans="12:14">
      <c r="L70" s="134" t="s">
        <v>352</v>
      </c>
      <c r="M70" s="195" t="s">
        <v>269</v>
      </c>
      <c r="N70" s="195" t="s">
        <v>270</v>
      </c>
    </row>
    <row r="71" spans="12:14">
      <c r="L71" s="134" t="s">
        <v>352</v>
      </c>
      <c r="M71" s="195" t="s">
        <v>269</v>
      </c>
      <c r="N71" s="195" t="s">
        <v>271</v>
      </c>
    </row>
    <row r="72" spans="12:14">
      <c r="L72" s="134" t="s">
        <v>352</v>
      </c>
      <c r="M72" s="195" t="s">
        <v>269</v>
      </c>
      <c r="N72" s="195" t="s">
        <v>272</v>
      </c>
    </row>
    <row r="73" spans="12:14">
      <c r="L73" s="134" t="s">
        <v>352</v>
      </c>
      <c r="M73" s="195" t="s">
        <v>269</v>
      </c>
      <c r="N73" s="195" t="s">
        <v>26</v>
      </c>
    </row>
    <row r="74" spans="12:14">
      <c r="L74" s="134" t="s">
        <v>352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291028A-3410-4BF7-B967-E0B299BAA5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Status Resumo</vt:lpstr>
      <vt:lpstr>2. Status Detalhe Campos</vt:lpstr>
      <vt:lpstr>3. Plano_Detalhado</vt:lpstr>
      <vt:lpstr>FC</vt:lpstr>
      <vt:lpstr>Sheet1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2025-02-11T11:10:07Z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