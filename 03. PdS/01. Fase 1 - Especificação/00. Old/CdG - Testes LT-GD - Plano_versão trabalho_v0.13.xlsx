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83" documentId="8_{39A91BBF-9088-4338-B0D7-AC95E72E17C5}" xr6:coauthVersionLast="47" xr6:coauthVersionMax="47" xr10:uidLastSave="{AAAAFB7C-8428-461A-A1EB-383B53D79CBD}"/>
  <bookViews>
    <workbookView xWindow="-108" yWindow="-108" windowWidth="23256" windowHeight="12576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state="hidden" r:id="rId4"/>
    <sheet name="Reunião 30jan" sheetId="35" r:id="rId5"/>
    <sheet name="Análise" sheetId="37" r:id="rId6"/>
    <sheet name="Macro_Plano_2025_v1" sheetId="24" r:id="rId7"/>
    <sheet name="Auxiliar_GD" sheetId="23" r:id="rId8"/>
    <sheet name="Pivots_GD" sheetId="25" r:id="rId9"/>
    <sheet name="Analise Campos FC" sheetId="31" state="hidden" r:id="rId10"/>
    <sheet name="Analise FC" sheetId="28" state="hidden" r:id="rId11"/>
  </sheets>
  <externalReferences>
    <externalReference r:id="rId12"/>
  </externalReferences>
  <definedNames>
    <definedName name="_xlnm._FilterDatabase" localSheetId="1" hidden="1">'2. Status Detalhe Campos'!$A$6:$J$526</definedName>
    <definedName name="_xlnm._FilterDatabase" localSheetId="2" hidden="1">'3. Plano_Detalhado'!$B$49:$CC$49</definedName>
    <definedName name="_xlnm._FilterDatabase" localSheetId="5" hidden="1">Análise!$B$3:$H$72</definedName>
    <definedName name="_xlnm._FilterDatabase" localSheetId="9" hidden="1">'Analise Campos FC'!$A$10:$J$87</definedName>
    <definedName name="_xlnm._FilterDatabase" localSheetId="10" hidden="1">'Analise FC'!$R$5:$S$50</definedName>
    <definedName name="_xlnm._FilterDatabase" localSheetId="4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1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I74" i="17" a="1"/>
  <c r="I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I187" i="17" l="1" a="1"/>
  <c r="I187" i="17" s="1"/>
  <c r="I186" i="17" a="1"/>
  <c r="I186" i="17" s="1"/>
  <c r="I185" i="17" a="1"/>
  <c r="I185" i="17" s="1"/>
  <c r="I184" i="17" a="1"/>
  <c r="I184" i="17" s="1"/>
  <c r="I183" i="17" a="1"/>
  <c r="I183" i="17" s="1"/>
  <c r="I182" i="17" a="1"/>
  <c r="I182" i="17" s="1"/>
  <c r="I181" i="17" a="1"/>
  <c r="I181" i="17" s="1"/>
  <c r="I180" i="17" a="1"/>
  <c r="I180" i="17" s="1"/>
  <c r="I179" i="17" a="1"/>
  <c r="I179" i="17" s="1"/>
  <c r="I178" i="17" a="1"/>
  <c r="I178" i="17" s="1"/>
  <c r="I177" i="17" a="1"/>
  <c r="I177" i="17" s="1"/>
  <c r="I176" i="17" a="1"/>
  <c r="I176" i="17" s="1"/>
  <c r="I175" i="17" a="1"/>
  <c r="I175" i="17" s="1"/>
  <c r="I174" i="17" a="1"/>
  <c r="I174" i="17" s="1"/>
  <c r="I173" i="17" a="1"/>
  <c r="I173" i="17" s="1"/>
  <c r="I172" i="17" a="1"/>
  <c r="I172" i="17" s="1"/>
  <c r="I171" i="17" a="1"/>
  <c r="I171" i="17" s="1"/>
  <c r="I170" i="17" a="1"/>
  <c r="I170" i="17" s="1"/>
  <c r="I169" i="17" a="1"/>
  <c r="I169" i="17" s="1"/>
  <c r="I168" i="17" a="1"/>
  <c r="I168" i="17" s="1"/>
  <c r="I167" i="17" a="1"/>
  <c r="I167" i="17" s="1"/>
  <c r="I166" i="17" a="1"/>
  <c r="I166" i="17" s="1"/>
  <c r="I165" i="17" a="1"/>
  <c r="I165" i="17" s="1"/>
  <c r="I164" i="17" a="1"/>
  <c r="I164" i="17" s="1"/>
  <c r="I163" i="17" a="1"/>
  <c r="I163" i="17" s="1"/>
  <c r="I162" i="17" a="1"/>
  <c r="I162" i="17" s="1"/>
  <c r="I161" i="17" a="1"/>
  <c r="I161" i="17" s="1"/>
  <c r="I160" i="17" a="1"/>
  <c r="I160" i="17" s="1"/>
  <c r="I159" i="17" a="1"/>
  <c r="I159" i="17" s="1"/>
  <c r="I158" i="17" a="1"/>
  <c r="I158" i="17" s="1"/>
  <c r="I157" i="17" a="1"/>
  <c r="I157" i="17" s="1"/>
  <c r="I156" i="17" a="1"/>
  <c r="I156" i="17" s="1"/>
  <c r="I155" i="17" a="1"/>
  <c r="I155" i="17" s="1"/>
  <c r="I154" i="17" a="1"/>
  <c r="I154" i="17" s="1"/>
  <c r="I153" i="17" a="1"/>
  <c r="I153" i="17" s="1"/>
  <c r="I152" i="17" a="1"/>
  <c r="I152" i="17" s="1"/>
  <c r="I151" i="17" a="1"/>
  <c r="I151" i="17" s="1"/>
  <c r="I150" i="17" a="1"/>
  <c r="I150" i="17" s="1"/>
  <c r="I149" i="17" a="1"/>
  <c r="I149" i="17" s="1"/>
  <c r="I148" i="17" a="1"/>
  <c r="I148" i="17" s="1"/>
  <c r="I147" i="17" a="1"/>
  <c r="I147" i="17" s="1"/>
  <c r="I146" i="17" a="1"/>
  <c r="I146" i="17" s="1"/>
  <c r="I145" i="17" a="1"/>
  <c r="I145" i="17" s="1"/>
  <c r="I144" i="17" a="1"/>
  <c r="I144" i="17" s="1"/>
  <c r="I143" i="17" a="1"/>
  <c r="I143" i="17" s="1"/>
  <c r="I142" i="17" a="1"/>
  <c r="I142" i="17" s="1"/>
  <c r="I141" i="17" a="1"/>
  <c r="I141" i="17" s="1"/>
  <c r="I140" i="17" a="1"/>
  <c r="I140" i="17" s="1"/>
  <c r="I139" i="17" a="1"/>
  <c r="I139" i="17" s="1"/>
  <c r="I138" i="17" a="1"/>
  <c r="I138" i="17" s="1"/>
  <c r="I137" i="17" a="1"/>
  <c r="I137" i="17" s="1"/>
  <c r="I136" i="17" a="1"/>
  <c r="I136" i="17" s="1"/>
  <c r="I135" i="17" a="1"/>
  <c r="I135" i="17" s="1"/>
  <c r="I134" i="17" a="1"/>
  <c r="I134" i="17" s="1"/>
  <c r="I133" i="17" a="1"/>
  <c r="I133" i="17" s="1"/>
  <c r="I132" i="17" a="1"/>
  <c r="I132" i="17" s="1"/>
  <c r="I131" i="17" a="1"/>
  <c r="I131" i="17" s="1"/>
  <c r="I130" i="17" a="1"/>
  <c r="I130" i="17" s="1"/>
  <c r="I129" i="17" a="1"/>
  <c r="I129" i="17" s="1"/>
  <c r="I128" i="17" a="1"/>
  <c r="I128" i="17" s="1"/>
  <c r="I127" i="17" a="1"/>
  <c r="I127" i="17" s="1"/>
  <c r="I126" i="17" a="1"/>
  <c r="I126" i="17" s="1"/>
  <c r="I125" i="17" a="1"/>
  <c r="I125" i="17" s="1"/>
  <c r="I124" i="17" a="1"/>
  <c r="I124" i="17" s="1"/>
  <c r="I123" i="17" a="1"/>
  <c r="I123" i="17" s="1"/>
  <c r="I122" i="17" a="1"/>
  <c r="I122" i="17" s="1"/>
  <c r="I121" i="17" a="1"/>
  <c r="I121" i="17" s="1"/>
  <c r="I120" i="17" a="1"/>
  <c r="I120" i="17" s="1"/>
  <c r="I119" i="17" a="1"/>
  <c r="I119" i="17" s="1"/>
  <c r="I118" i="17" a="1"/>
  <c r="I118" i="17" s="1"/>
  <c r="I117" i="17" a="1"/>
  <c r="I117" i="17" s="1"/>
  <c r="I116" i="17" a="1"/>
  <c r="I116" i="17" s="1"/>
  <c r="I115" i="17" a="1"/>
  <c r="I115" i="17" s="1"/>
  <c r="I114" i="17" a="1"/>
  <c r="I114" i="17" s="1"/>
  <c r="I113" i="17" a="1"/>
  <c r="I113" i="17" s="1"/>
  <c r="I112" i="17" a="1"/>
  <c r="I112" i="17" s="1"/>
  <c r="I111" i="17" a="1"/>
  <c r="I111" i="17" s="1"/>
  <c r="I110" i="17" a="1"/>
  <c r="I110" i="17" s="1"/>
  <c r="I109" i="17" a="1"/>
  <c r="I109" i="17" s="1"/>
  <c r="I108" i="17" a="1"/>
  <c r="I108" i="17" s="1"/>
  <c r="I107" i="17" a="1"/>
  <c r="I107" i="17" s="1"/>
  <c r="I106" i="17" a="1"/>
  <c r="I106" i="17" s="1"/>
  <c r="I105" i="17" a="1"/>
  <c r="I105" i="17" s="1"/>
  <c r="I104" i="17" a="1"/>
  <c r="I104" i="17" s="1"/>
  <c r="I103" i="17" a="1"/>
  <c r="I103" i="17" s="1"/>
  <c r="I102" i="17" a="1"/>
  <c r="I102" i="17" s="1"/>
  <c r="I101" i="17" a="1"/>
  <c r="I101" i="17" s="1"/>
  <c r="I100" i="17" a="1"/>
  <c r="I100" i="17" s="1"/>
  <c r="I99" i="17" a="1"/>
  <c r="I99" i="17" s="1"/>
  <c r="I98" i="17" a="1"/>
  <c r="I98" i="17" s="1"/>
  <c r="I97" i="17" a="1"/>
  <c r="I97" i="17" s="1"/>
  <c r="I96" i="17" a="1"/>
  <c r="I96" i="17" s="1"/>
  <c r="I95" i="17" a="1"/>
  <c r="I95" i="17" s="1"/>
  <c r="I94" i="17" a="1"/>
  <c r="I94" i="17" s="1"/>
  <c r="I93" i="17" a="1"/>
  <c r="I93" i="17" s="1"/>
  <c r="I92" i="17" a="1"/>
  <c r="I92" i="17" s="1"/>
  <c r="I91" i="17" a="1"/>
  <c r="I91" i="17" s="1"/>
  <c r="I90" i="17" a="1"/>
  <c r="I90" i="17" s="1"/>
  <c r="I89" i="17" a="1"/>
  <c r="I89" i="17" s="1"/>
  <c r="I88" i="17" a="1"/>
  <c r="I88" i="17" s="1"/>
  <c r="I87" i="17" a="1"/>
  <c r="I87" i="17" s="1"/>
  <c r="I86" i="17" a="1"/>
  <c r="I86" i="17" s="1"/>
  <c r="I85" i="17" a="1"/>
  <c r="I85" i="17" s="1"/>
  <c r="I84" i="17" a="1"/>
  <c r="I84" i="17" s="1"/>
  <c r="I83" i="17" a="1"/>
  <c r="I83" i="17" s="1"/>
  <c r="I82" i="17" a="1"/>
  <c r="I82" i="17" s="1"/>
  <c r="I81" i="17" a="1"/>
  <c r="I81" i="17" s="1"/>
  <c r="I80" i="17" a="1"/>
  <c r="I80" i="17" s="1"/>
  <c r="I79" i="17" a="1"/>
  <c r="I79" i="17" s="1"/>
  <c r="I78" i="17" a="1"/>
  <c r="I78" i="17" s="1"/>
  <c r="I77" i="17" a="1"/>
  <c r="I77" i="17" s="1"/>
  <c r="I76" i="17" a="1"/>
  <c r="I76" i="17" s="1"/>
  <c r="I75" i="17" a="1"/>
  <c r="I75" i="17" s="1"/>
  <c r="I73" i="17" a="1"/>
  <c r="I73" i="17" s="1"/>
  <c r="I72" i="17" a="1"/>
  <c r="I72" i="17" s="1"/>
  <c r="I71" i="17" a="1"/>
  <c r="I71" i="17" s="1"/>
  <c r="I70" i="17" a="1"/>
  <c r="I70" i="17" s="1"/>
  <c r="I69" i="17" a="1"/>
  <c r="I69" i="17" s="1"/>
  <c r="I68" i="17" a="1"/>
  <c r="I68" i="17" s="1"/>
  <c r="I67" i="17" a="1"/>
  <c r="I67" i="17" s="1"/>
  <c r="I66" i="17" a="1"/>
  <c r="I66" i="17" s="1"/>
  <c r="I65" i="17" a="1"/>
  <c r="I65" i="17" s="1"/>
  <c r="I64" i="17" a="1"/>
  <c r="I64" i="17" s="1"/>
  <c r="I63" i="17" a="1"/>
  <c r="I63" i="17" s="1"/>
  <c r="I62" i="17" a="1"/>
  <c r="I62" i="17" s="1"/>
  <c r="I61" i="17" a="1"/>
  <c r="I61" i="17" s="1"/>
  <c r="I60" i="17" a="1"/>
  <c r="I60" i="17" s="1"/>
  <c r="I59" i="17" a="1"/>
  <c r="I59" i="17" s="1"/>
  <c r="I58" i="17" a="1"/>
  <c r="I58" i="17" s="1"/>
  <c r="I57" i="17" a="1"/>
  <c r="I57" i="17" s="1"/>
  <c r="I56" i="17" a="1"/>
  <c r="I56" i="17" s="1"/>
  <c r="I55" i="17" a="1"/>
  <c r="I55" i="17" s="1"/>
  <c r="I54" i="17" a="1"/>
  <c r="I54" i="17" s="1"/>
  <c r="I53" i="17" a="1"/>
  <c r="I53" i="17" s="1"/>
  <c r="I52" i="17" a="1"/>
  <c r="I52" i="17" s="1"/>
  <c r="I51" i="17" a="1"/>
  <c r="I51" i="17" s="1"/>
  <c r="I50" i="17" a="1"/>
  <c r="I50" i="17" s="1"/>
  <c r="I49" i="17" a="1"/>
  <c r="I49" i="17" s="1"/>
  <c r="I48" i="17" a="1"/>
  <c r="I48" i="17" s="1"/>
  <c r="I47" i="17" a="1"/>
  <c r="I47" i="17" s="1"/>
  <c r="I46" i="17" a="1"/>
  <c r="I46" i="17" s="1"/>
  <c r="I45" i="17" a="1"/>
  <c r="I45" i="17" s="1"/>
  <c r="I44" i="17" a="1"/>
  <c r="I44" i="17" s="1"/>
  <c r="I43" i="17" a="1"/>
  <c r="I43" i="17" s="1"/>
  <c r="I42" i="17" a="1"/>
  <c r="I42" i="17" s="1"/>
  <c r="I41" i="17" a="1"/>
  <c r="I41" i="17" s="1"/>
  <c r="I40" i="17" a="1"/>
  <c r="I40" i="17" s="1"/>
  <c r="I39" i="17" a="1"/>
  <c r="I39" i="17" s="1"/>
  <c r="I38" i="17" a="1"/>
  <c r="I38" i="17" s="1"/>
  <c r="I37" i="17" a="1"/>
  <c r="I37" i="17" s="1"/>
  <c r="I36" i="17" a="1"/>
  <c r="I36" i="17" s="1"/>
  <c r="I35" i="17" a="1"/>
  <c r="I35" i="17" s="1"/>
  <c r="I34" i="17" a="1"/>
  <c r="I34" i="17" s="1"/>
  <c r="I33" i="17" a="1"/>
  <c r="I33" i="17" s="1"/>
  <c r="I32" i="17" a="1"/>
  <c r="I32" i="17" s="1"/>
  <c r="I31" i="17" a="1"/>
  <c r="I31" i="17" s="1"/>
  <c r="I30" i="17" a="1"/>
  <c r="I30" i="17" s="1"/>
  <c r="I29" i="17" a="1"/>
  <c r="I29" i="17" s="1"/>
  <c r="I28" i="17" a="1"/>
  <c r="I28" i="17" s="1"/>
  <c r="I27" i="17" a="1"/>
  <c r="I27" i="17" s="1"/>
  <c r="I26" i="17" a="1"/>
  <c r="I26" i="17" s="1"/>
  <c r="I25" i="17" a="1"/>
  <c r="I25" i="17" s="1"/>
  <c r="I24" i="17" a="1"/>
  <c r="I24" i="17" s="1"/>
  <c r="I23" i="17" a="1"/>
  <c r="I23" i="17" s="1"/>
  <c r="I22" i="17" a="1"/>
  <c r="I22" i="17" s="1"/>
  <c r="I21" i="17" a="1"/>
  <c r="I21" i="17" s="1"/>
  <c r="I20" i="17" a="1"/>
  <c r="I20" i="17" s="1"/>
  <c r="I19" i="17" a="1"/>
  <c r="I19" i="17" s="1"/>
  <c r="I18" i="17" a="1"/>
  <c r="I18" i="17" s="1"/>
  <c r="I17" i="17" a="1"/>
  <c r="I17" i="17" s="1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I10" i="17" a="1"/>
  <c r="I10" i="17" s="1"/>
  <c r="I9" i="17" a="1"/>
  <c r="I9" i="17" s="1"/>
  <c r="I8" i="17" a="1"/>
  <c r="I8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I7" i="17" s="1" a="1"/>
  <c r="I7" i="17" s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<sst xmlns="http://schemas.openxmlformats.org/spreadsheetml/2006/main" count="4514" uniqueCount="492">
  <si>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</si>
  <si>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</si>
  <si>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</si>
  <si>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</si>
  <si>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</si>
  <si>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</si>
  <si>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</si>
  <si>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</si>
  <si>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</si>
  <si>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</si>
  <si>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</si>
  <si>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</si>
  <si>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</si>
  <si>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</si>
  <si>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</si>
  <si>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</si>
  <si>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</si>
  <si>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</si>
  <si>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</si>
  <si>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</si>
  <si>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</si>
  <si>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</si>
  <si>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</si>
  <si>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</si>
  <si>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</si>
  <si>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</si>
  <si>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</si>
  <si>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</si>
  <si>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</si>
  <si>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</si>
  <si>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</si>
  <si>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</si>
  <si>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</si>
  <si>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</si>
  <si>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</si>
  <si>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</si>
  <si>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</si>
  <si>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</si>
  <si>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</si>
  <si>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</si>
  <si>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</si>
  <si>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</si>
  <si>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</si>
  <si>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</si>
  <si>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</si>
  <si>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</si>
  <si>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</si>
  <si>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</si>
  <si>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</si>
  <si>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</si>
  <si>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</si>
  <si>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</si>
  <si>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</si>
  <si>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</si>
  <si>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</si>
  <si>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</si>
  <si>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</si>
  <si>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</si>
  <si>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</si>
  <si>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</si>
  <si>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</si>
  <si>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</si>
  <si>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</si>
  <si>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</si>
  <si>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</si>
  <si>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</si>
  <si>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</si>
  <si>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</si>
  <si>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</si>
  <si>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</si>
  <si>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</si>
  <si>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</si>
  <si>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</si>
  <si>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</si>
  <si>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</si>
  <si>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</si>
  <si>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</si>
  <si>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</si>
  <si>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</si>
  <si>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</si>
  <si>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</si>
  <si>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</si>
  <si>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</si>
  <si>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</si>
  <si>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</si>
  <si>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</si>
  <si>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</si>
  <si>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</si>
  <si>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</si>
  <si>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</si>
  <si>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</si>
  <si>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</si>
  <si>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</si>
  <si>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</si>
  <si>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</si>
  <si>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</si>
  <si>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</si>
  <si>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</si>
  <si>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</si>
  <si>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</si>
  <si>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</si>
  <si>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</si>
  <si>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</si>
  <si>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</si>
  <si>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</si>
  <si>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</si>
  <si>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</si>
  <si>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</si>
  <si>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</si>
  <si>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</si>
  <si>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</si>
  <si>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</si>
  <si>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</si>
  <si>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</si>
  <si>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</si>
  <si>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</si>
  <si>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</si>
  <si>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</si>
  <si>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</si>
  <si>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</si>
  <si>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</si>
  <si>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</si>
  <si>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</si>
  <si>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</si>
  <si>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</si>
  <si>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</si>
  <si>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</si>
  <si>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</si>
  <si>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</si>
  <si>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</si>
  <si>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</si>
  <si>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</si>
  <si>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</si>
  <si>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</si>
  <si>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</si>
  <si>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</si>
  <si>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</si>
  <si>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</si>
  <si>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</si>
  <si>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</si>
  <si>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</si>
  <si>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</si>
  <si>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</si>
  <si>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</si>
  <si>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</si>
  <si>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</si>
  <si>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</si>
  <si>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</si>
  <si>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</si>
  <si>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</si>
  <si>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</si>
  <si>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</si>
  <si>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</si>
  <si>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</si>
  <si>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</si>
  <si>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</si>
  <si>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</si>
  <si>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</si>
  <si>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</si>
  <si>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</si>
  <si>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</si>
  <si>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</si>
  <si>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</si>
  <si>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</si>
  <si>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</si>
  <si>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</si>
  <si>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</si>
  <si>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</si>
  <si>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</si>
  <si>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</si>
  <si>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</si>
  <si>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</si>
  <si>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</si>
  <si>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</si>
  <si>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</si>
  <si>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</si>
  <si>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</si>
  <si>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</si>
  <si>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</si>
  <si>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</si>
  <si>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</si>
  <si>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</si>
  <si>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</si>
  <si>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</si>
  <si>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</si>
  <si>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</si>
  <si>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</si>
  <si>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</si>
  <si>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</si>
  <si>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</si>
  <si>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</si>
  <si>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</si>
  <si>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</si>
  <si>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</si>
  <si>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</si>
  <si>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</si>
  <si>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</si>
  <si>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</si>
  <si>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</si>
  <si>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</si>
  <si>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</si>
  <si>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</si>
  <si>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</si>
  <si>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</si>
  <si>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</si>
  <si>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</si>
  <si>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</si>
  <si>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</si>
  <si>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</si>
  <si>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</si>
  <si>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</si>
  <si>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</si>
  <si>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</si>
  <si>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</si>
  <si>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</si>
  <si>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</si>
  <si>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</si>
  <si>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</si>
  <si>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</si>
  <si>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</si>
  <si>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</si>
  <si>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</si>
  <si>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</si>
  <si>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</si>
  <si>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</si>
  <si>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</si>
  <si>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</si>
  <si>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</si>
  <si>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</si>
  <si>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</si>
  <si>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</si>
  <si>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</si>
  <si>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</si>
  <si>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</si>
  <si>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</si>
  <si>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</si>
  <si>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</si>
  <si>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</si>
  <si>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</si>
  <si>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</si>
  <si>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</si>
  <si>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</si>
  <si>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</si>
  <si>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</si>
  <si>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</si>
  <si>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</si>
  <si>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</si>
  <si>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</si>
  <si>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</si>
  <si>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</si>
  <si>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</si>
  <si>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</si>
  <si>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</si>
  <si>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</si>
  <si>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</si>
  <si>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</si>
  <si>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</si>
  <si>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</si>
  <si>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</si>
  <si>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</si>
  <si>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</si>
  <si>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</si>
  <si>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</si>
  <si>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</si>
  <si>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</si>
  <si>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</si>
  <si>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</si>
  <si>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</si>
  <si>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</si>
  <si>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</si>
  <si>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</si>
  <si>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</si>
  <si>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</si>
  <si>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</si>
  <si>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</si>
  <si>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</si>
  <si>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</si>
  <si>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</si>
  <si>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</si>
  <si>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</si>
  <si>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</si>
  <si>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</si>
  <si>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</si>
  <si>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</si>
  <si>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</si>
  <si>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</si>
  <si>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</si>
  <si>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</si>
  <si>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</si>
  <si>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</si>
  <si>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</si>
  <si>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</si>
  <si>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</si>
  <si>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</si>
  <si>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</si>
  <si>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</si>
  <si>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</si>
  <si>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</si>
  <si>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</si>
  <si>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</si>
  <si>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</si>
  <si>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</si>
  <si>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</si>
  <si>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</si>
  <si>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</si>
  <si>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</si>
  <si>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</si>
  <si>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</si>
  <si>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</si>
  <si>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</si>
  <si>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</si>
  <si>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</si>
  <si>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</si>
  <si>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</si>
  <si>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</si>
  <si>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</si>
  <si>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</si>
  <si>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</si>
  <si>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</si>
  <si>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</si>
  <si>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</si>
  <si>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</si>
  <si>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</si>
  <si>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</si>
  <si>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</si>
  <si>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</si>
  <si>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</si>
  <si>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</si>
  <si>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</si>
  <si>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</si>
  <si>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</si>
  <si>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</si>
  <si>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</si>
  <si>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</si>
  <si>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</si>
  <si>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</si>
  <si>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</si>
  <si>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</si>
  <si>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</si>
  <si>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</si>
  <si>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</si>
  <si>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</si>
  <si>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</si>
  <si>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</si>
  <si>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</si>
  <si>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</si>
  <si>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</si>
  <si>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</si>
  <si>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</si>
  <si>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</si>
  <si>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</si>
  <si>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</si>
  <si>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</si>
  <si>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</si>
  <si>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</si>
  <si>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</si>
  <si>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</si>
  <si>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</si>
  <si>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</si>
  <si>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</si>
  <si>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</si>
  <si>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</si>
  <si>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</si>
  <si>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</si>
  <si>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</si>
  <si>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</si>
  <si>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</si>
  <si>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</si>
  <si>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</si>
  <si>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</si>
  <si>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</si>
  <si>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</si>
  <si>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</si>
  <si>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</si>
  <si>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</si>
  <si>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</si>
  <si>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</si>
  <si>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</si>
  <si>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</si>
  <si>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</si>
  <si>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</si>
  <si>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</si>
  <si>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</si>
  <si>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</si>
  <si>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</si>
  <si>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</si>
  <si>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</si>
  <si>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</si>
  <si>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</si>
  <si>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</si>
  <si>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</si>
  <si>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</si>
  <si>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</si>
  <si>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</si>
  <si>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</si>
  <si>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</si>
  <si>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</si>
  <si>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</si>
  <si>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</si>
  <si>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</si>
  <si>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</si>
  <si>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</si>
  <si>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</si>
  <si>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</si>
  <si>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</si>
  <si>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</si>
  <si>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</si>
  <si>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</si>
  <si>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</si>
  <si>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</si>
  <si>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</si>
  <si>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</si>
  <si>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</si>
  <si>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</si>
  <si>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</si>
  <si>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</si>
  <si>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</si>
  <si>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</si>
  <si>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</si>
  <si>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</si>
  <si>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</si>
  <si>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</si>
  <si>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</si>
  <si>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</si>
  <si>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</si>
  <si>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</si>
  <si>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</si>
  <si>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74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</si>
  <si>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74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49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- 17 campos especificados pela equipa anterior.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</si>
  <si>
    <t>Novo Campo - Comum Pilar 3</t>
  </si>
  <si>
    <t>TYP_VHCL</t>
  </si>
  <si>
    <t>do lado do gonçalo em testes</t>
  </si>
  <si>
    <t>estrtural em testes</t>
  </si>
  <si>
    <t>estrutral com "controlos e completude"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</si>
  <si>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</si>
  <si>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</si>
  <si>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</si>
  <si>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</si>
  <si>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</si>
  <si>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</si>
  <si>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</si>
  <si>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</si>
  <si>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</si>
  <si>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</si>
  <si>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</si>
  <si>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</si>
  <si>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</si>
  <si>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</si>
  <si>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</si>
  <si>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</si>
  <si>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</si>
  <si>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</si>
  <si>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</si>
  <si>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</si>
  <si>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</si>
  <si>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</si>
  <si>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</si>
  <si>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</si>
  <si>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</si>
  <si>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</si>
  <si>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</si>
  <si>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</si>
  <si>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</si>
  <si>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</si>
  <si>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</si>
  <si>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</si>
  <si>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</si>
  <si>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</si>
  <si>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</si>
  <si>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</si>
  <si>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</si>
  <si>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</si>
  <si>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</si>
  <si>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</si>
  <si>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</si>
  <si>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</si>
  <si>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</si>
  <si>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</si>
  <si>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</si>
  <si>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</si>
  <si>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</si>
  <si>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</si>
  <si>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</si>
  <si>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31/jan - Já não existem incidência, ou seja, garantias com valor 0. Assim, o campo encontra-se concluido.</t>
  </si>
  <si>
    <t>Pilar 3: data prevista de entrega 4/fev.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</si>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</sst>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color theme="1"/>
      <name val="Santander Text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25" borderId="15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0" borderId="5" xfId="0" quotePrefix="1" applyFont="1" applyBorder="1" applyAlignment="1">
      <alignment horizontal="left" vertical="center"/>
    </xf>
    <xf numFmtId="0" fontId="76" fillId="0" borderId="4" xfId="0" applyFont="1" applyBorder="1" applyAlignment="1">
      <alignment vertical="center"/>
    </xf>
    <xf numFmtId="0" fontId="2" fillId="5" borderId="33" xfId="0" applyFont="1" applyFill="1" applyBorder="1" applyAlignment="1">
      <alignment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9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trabalho_v0.13.xlsx]Pivots_GD!PivotTable1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trabalho_v0.13.xlsx]Pivots_GD!PivotTable2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trabalho_v0.13.xlsx]Pivots_GD!PivotTable4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49</c:v>
                </c:pt>
                <c:pt idx="1">
                  <c:v>18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trabalho_v0.13.xlsx]Pivots_GD!PivotTable5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40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247651</xdr:colOff>
      <xdr:row>0</xdr:row>
      <xdr:rowOff>135974</xdr:rowOff>
    </xdr:from>
    <xdr:to>
      <xdr:col>2</xdr:col>
      <xdr:colOff>438445</xdr:colOff>
      <xdr:row>1</xdr:row>
      <xdr:rowOff>206215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256541</xdr:colOff>
      <xdr:row>0</xdr:row>
      <xdr:rowOff>142324</xdr:rowOff>
    </xdr:from>
    <xdr:to>
      <xdr:col>2</xdr:col>
      <xdr:colOff>447335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80.593697222219" createdVersion="6" refreshedVersion="8" minRefreshableVersion="3" recordCount="18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s v="PM"/>
    <m/>
    <m/>
    <m/>
    <m/>
    <m/>
  </r>
  <r>
    <s v="Green Dashboard"/>
    <x v="1"/>
    <s v="2. Campo"/>
    <x v="0"/>
    <s v="COD_SOC"/>
    <x v="2"/>
    <s v="1. Concluído"/>
    <m/>
    <m/>
    <m/>
    <m/>
    <m/>
    <m/>
  </r>
  <r>
    <s v="Green Dashboard"/>
    <x v="1"/>
    <s v="2. Campo"/>
    <x v="0"/>
    <s v="SUBPORTFOLIO_ID"/>
    <x v="2"/>
    <s v="1. Concluído"/>
    <m/>
    <m/>
    <m/>
    <m/>
    <m/>
    <m/>
  </r>
  <r>
    <s v="Green Dashboard"/>
    <x v="1"/>
    <s v="2. Campo"/>
    <x v="0"/>
    <s v="DT_RFRNC"/>
    <x v="2"/>
    <s v="1. Concluído"/>
    <m/>
    <m/>
    <m/>
    <m/>
    <m/>
    <m/>
  </r>
  <r>
    <s v="Green Dashboard"/>
    <x v="1"/>
    <s v="2. Campo"/>
    <x v="0"/>
    <s v="DFLT_STTS_INSTRMNT"/>
    <x v="2"/>
    <s v="1. Concluído"/>
    <m/>
    <m/>
    <m/>
    <m/>
    <m/>
    <m/>
  </r>
  <r>
    <s v="Green Dashboard"/>
    <x v="1"/>
    <s v="2. Campo"/>
    <x v="0"/>
    <s v="IMPRMNT_STTS"/>
    <x v="2"/>
    <s v="1. Concluído"/>
    <m/>
    <m/>
    <m/>
    <m/>
    <m/>
    <m/>
  </r>
  <r>
    <s v="Green Dashboard"/>
    <x v="1"/>
    <s v="2. Campo"/>
    <x v="0"/>
    <s v="PRFRMNG_STTS"/>
    <x v="2"/>
    <s v="1. Concluído"/>
    <m/>
    <m/>
    <m/>
    <m/>
    <m/>
    <m/>
  </r>
  <r>
    <s v="Green Dashboard"/>
    <x v="1"/>
    <s v="2. Campo"/>
    <x v="0"/>
    <s v="TYP_INSTRMNT"/>
    <x v="2"/>
    <s v="1. Concluído"/>
    <m/>
    <m/>
    <m/>
    <m/>
    <m/>
    <m/>
  </r>
  <r>
    <s v="Green Dashboard"/>
    <x v="1"/>
    <s v="2. Campo"/>
    <x v="0"/>
    <s v="GRSS_CRRYNG_AMNT_INSTRMNT"/>
    <x v="2"/>
    <s v="1. Concluído"/>
    <m/>
    <m/>
    <m/>
    <m/>
    <m/>
    <m/>
  </r>
  <r>
    <s v="Green Dashboard"/>
    <x v="1"/>
    <s v="2. Campo"/>
    <x v="0"/>
    <s v="ACCMLTD_CHNGS_FV_CR_INSTRMNT"/>
    <x v="2"/>
    <s v="1. Concluído"/>
    <m/>
    <m/>
    <m/>
    <m/>
    <m/>
    <m/>
  </r>
  <r>
    <s v="Green Dashboard"/>
    <x v="1"/>
    <s v="2. Campo"/>
    <x v="0"/>
    <s v="ACCNTNG_CLSSFCTN"/>
    <x v="2"/>
    <s v="1. Concluído"/>
    <m/>
    <m/>
    <m/>
    <m/>
    <m/>
    <m/>
  </r>
  <r>
    <s v="Green Dashboard"/>
    <x v="1"/>
    <s v="2. Campo"/>
    <x v="0"/>
    <s v="OFF_BLNC_SHT_AMNT_INSTRMNT"/>
    <x v="2"/>
    <s v="1. Concluído"/>
    <m/>
    <m/>
    <m/>
    <m/>
    <m/>
    <m/>
  </r>
  <r>
    <s v="Green Dashboard"/>
    <x v="1"/>
    <s v="2. Campo"/>
    <x v="0"/>
    <s v="PRVSNS_OFF_BLNC_SHT"/>
    <x v="2"/>
    <s v="1. Concluído"/>
    <m/>
    <m/>
    <m/>
    <m/>
    <m/>
    <m/>
  </r>
  <r>
    <s v="Green Dashboard"/>
    <x v="1"/>
    <s v="2. Campo"/>
    <x v="0"/>
    <s v="RWA"/>
    <x v="2"/>
    <s v="1. Concluído"/>
    <m/>
    <m/>
    <m/>
    <m/>
    <m/>
    <m/>
  </r>
  <r>
    <s v="Green Dashboard"/>
    <x v="1"/>
    <s v="2. Campo"/>
    <x v="0"/>
    <s v="ACCMLTD_IMPRMNT_INSTRMNT"/>
    <x v="2"/>
    <s v="1. Concluído"/>
    <m/>
    <m/>
    <m/>
    <m/>
    <m/>
    <m/>
  </r>
  <r>
    <s v="Green Dashboard"/>
    <x v="1"/>
    <s v="2. Campo"/>
    <x v="0"/>
    <s v="COD_SOC_INTRGRP"/>
    <x v="2"/>
    <s v="1. Concluído"/>
    <m/>
    <m/>
    <m/>
    <m/>
    <m/>
    <m/>
  </r>
  <r>
    <s v="Green Dashboard"/>
    <x v="1"/>
    <s v="2. Campo"/>
    <x v="0"/>
    <s v="LCL_INSTMRNT_ID"/>
    <x v="2"/>
    <s v="1. Concluído"/>
    <m/>
    <m/>
    <m/>
    <m/>
    <m/>
    <m/>
  </r>
  <r>
    <s v="Green Dashboard"/>
    <x v="1"/>
    <s v="2. Campo"/>
    <x v="0"/>
    <s v="IDCMB"/>
    <x v="2"/>
    <s v="1. Concluído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2"/>
    <s v="TYP_RLTN"/>
    <x v="3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5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5" count="0"/>
        </references>
      </pivotArea>
    </format>
    <format dxfId="68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8" tableBorderDxfId="97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6"/>
    <tableColumn id="2" xr3:uid="{00000000-0010-0000-0000-000002000000}" name="Categoria" dataDxfId="95"/>
    <tableColumn id="3" xr3:uid="{00000000-0010-0000-0000-000003000000}" name="Tipo de teste" dataDxfId="94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3"/>
    <tableColumn id="5" xr3:uid="{00000000-0010-0000-0000-000005000000}" name="Campo" dataDxfId="92"/>
    <tableColumn id="6" xr3:uid="{00000000-0010-0000-0000-000006000000}" name="Status Atual" dataDxfId="91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0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89">
      <calculatedColumnFormula array="1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calculatedColumnFormula>
    </tableColumn>
    <tableColumn id="9" xr3:uid="{00000000-0010-0000-0000-000009000000}" name="Data de Pedido correção/esclarecimento" dataDxfId="88"/>
    <tableColumn id="10" xr3:uid="{00000000-0010-0000-0000-00000A000000}" name="Data de correção prevista" dataDxfId="87"/>
    <tableColumn id="11" xr3:uid="{00000000-0010-0000-0000-00000B000000}" name="Data de correção efetiva" dataDxfId="86"/>
    <tableColumn id="12" xr3:uid="{00000000-0010-0000-0000-00000C000000}" name="Data Prevista de Re-especificação" dataDxfId="85"/>
    <tableColumn id="13" xr3:uid="{00000000-0010-0000-0000-00000D000000}" name="Data Prevista de Teste" dataDxfId="8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30" zoomScale="80" zoomScaleNormal="80" workbookViewId="0">
      <selection activeCell="J76" sqref="J76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 x14ac:dyDescent="0.55000000000000004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 x14ac:dyDescent="0.45">
      <c r="A8" s="11"/>
      <c r="B8" s="334" t="s">
        <v>425</v>
      </c>
      <c r="C8" s="335"/>
      <c r="D8" s="335"/>
      <c r="E8" s="335"/>
      <c r="F8" s="335"/>
      <c r="G8" s="335"/>
      <c r="H8" s="335"/>
      <c r="I8" s="335"/>
      <c r="J8" s="335"/>
      <c r="K8" s="335"/>
      <c r="L8" s="335"/>
      <c r="M8" s="335"/>
      <c r="N8" s="335"/>
      <c r="O8" s="335"/>
      <c r="P8" s="335"/>
      <c r="Q8" s="335"/>
      <c r="R8" s="335"/>
      <c r="S8" s="335"/>
      <c r="T8" s="335"/>
      <c r="U8" s="336"/>
      <c r="V8" s="11"/>
    </row>
    <row r="9" spans="1:22" ht="17.399999999999999" x14ac:dyDescent="0.45">
      <c r="A9" s="11"/>
      <c r="B9" s="337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9"/>
      <c r="V9" s="11"/>
    </row>
    <row r="10" spans="1:22" ht="17.399999999999999" x14ac:dyDescent="0.45">
      <c r="A10" s="11"/>
      <c r="B10" s="337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9"/>
      <c r="V10" s="11"/>
    </row>
    <row r="11" spans="1:22" ht="17.399999999999999" x14ac:dyDescent="0.45">
      <c r="A11" s="11"/>
      <c r="B11" s="337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9"/>
      <c r="V11" s="11"/>
    </row>
    <row r="12" spans="1:22" ht="17.399999999999999" x14ac:dyDescent="0.45">
      <c r="A12" s="11"/>
      <c r="B12" s="337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9"/>
      <c r="V12" s="11"/>
    </row>
    <row r="13" spans="1:22" ht="17.399999999999999" x14ac:dyDescent="0.45">
      <c r="A13" s="11"/>
      <c r="B13" s="340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2"/>
      <c r="V13" s="11"/>
    </row>
    <row r="14" spans="1:22" ht="17.399999999999999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 x14ac:dyDescent="0.55000000000000004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45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 x14ac:dyDescent="0.4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 x14ac:dyDescent="0.45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45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3" t="s">
        <v>424</v>
      </c>
      <c r="P19" s="344"/>
      <c r="Q19" s="344"/>
      <c r="R19" s="344"/>
      <c r="S19" s="344"/>
      <c r="T19" s="345"/>
      <c r="U19" s="17"/>
      <c r="V19" s="11"/>
    </row>
    <row r="20" spans="1:22" ht="17.399999999999999" x14ac:dyDescent="0.45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46"/>
      <c r="P20" s="347"/>
      <c r="Q20" s="347"/>
      <c r="R20" s="347"/>
      <c r="S20" s="347"/>
      <c r="T20" s="348"/>
      <c r="U20" s="17"/>
      <c r="V20" s="11"/>
    </row>
    <row r="21" spans="1:22" ht="17.399999999999999" customHeight="1" x14ac:dyDescent="0.45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46"/>
      <c r="P21" s="347"/>
      <c r="Q21" s="347"/>
      <c r="R21" s="347"/>
      <c r="S21" s="347"/>
      <c r="T21" s="348"/>
      <c r="U21" s="17"/>
      <c r="V21" s="11"/>
    </row>
    <row r="22" spans="1:22" ht="17.399999999999999" customHeight="1" x14ac:dyDescent="0.45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46"/>
      <c r="P22" s="347"/>
      <c r="Q22" s="347"/>
      <c r="R22" s="347"/>
      <c r="S22" s="347"/>
      <c r="T22" s="348"/>
      <c r="U22" s="17"/>
      <c r="V22" s="11"/>
    </row>
    <row r="23" spans="1:22" ht="17.399999999999999" customHeight="1" x14ac:dyDescent="0.45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46"/>
      <c r="P23" s="347"/>
      <c r="Q23" s="347"/>
      <c r="R23" s="347"/>
      <c r="S23" s="347"/>
      <c r="T23" s="348"/>
      <c r="U23" s="17"/>
      <c r="V23" s="11"/>
    </row>
    <row r="24" spans="1:22" ht="17.399999999999999" customHeight="1" x14ac:dyDescent="0.45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46"/>
      <c r="P24" s="347"/>
      <c r="Q24" s="347"/>
      <c r="R24" s="347"/>
      <c r="S24" s="347"/>
      <c r="T24" s="348"/>
      <c r="U24" s="17"/>
      <c r="V24" s="11"/>
    </row>
    <row r="25" spans="1:22" ht="17.399999999999999" x14ac:dyDescent="0.45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4">
        <f t="shared" si="0"/>
        <v>1</v>
      </c>
      <c r="O25" s="346"/>
      <c r="P25" s="347"/>
      <c r="Q25" s="347"/>
      <c r="R25" s="347"/>
      <c r="S25" s="347"/>
      <c r="T25" s="348"/>
      <c r="U25" s="17"/>
      <c r="V25" s="11"/>
    </row>
    <row r="26" spans="1:22" ht="17.399999999999999" x14ac:dyDescent="0.45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46"/>
      <c r="P26" s="347"/>
      <c r="Q26" s="347"/>
      <c r="R26" s="347"/>
      <c r="S26" s="347"/>
      <c r="T26" s="348"/>
      <c r="U26" s="17"/>
      <c r="V26" s="11"/>
    </row>
    <row r="27" spans="1:22" ht="17.399999999999999" x14ac:dyDescent="0.45">
      <c r="A27" s="11"/>
      <c r="B27" s="16"/>
      <c r="C27" s="1"/>
      <c r="D27" s="1"/>
      <c r="E27" s="1"/>
      <c r="F27" s="1"/>
      <c r="O27" s="346"/>
      <c r="P27" s="347"/>
      <c r="Q27" s="347"/>
      <c r="R27" s="347"/>
      <c r="S27" s="347"/>
      <c r="T27" s="348"/>
      <c r="U27" s="17"/>
      <c r="V27" s="11"/>
    </row>
    <row r="28" spans="1:22" ht="17.399999999999999" x14ac:dyDescent="0.45">
      <c r="A28" s="11"/>
      <c r="B28" s="16"/>
      <c r="C28" s="1"/>
      <c r="D28" s="1"/>
      <c r="E28" s="1"/>
      <c r="F28" s="1"/>
      <c r="O28" s="346"/>
      <c r="P28" s="347"/>
      <c r="Q28" s="347"/>
      <c r="R28" s="347"/>
      <c r="S28" s="347"/>
      <c r="T28" s="348"/>
      <c r="U28" s="17"/>
      <c r="V28" s="11"/>
    </row>
    <row r="29" spans="1:22" ht="17.399999999999999" x14ac:dyDescent="0.45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46"/>
      <c r="P29" s="347"/>
      <c r="Q29" s="347"/>
      <c r="R29" s="347"/>
      <c r="S29" s="347"/>
      <c r="T29" s="348"/>
      <c r="U29" s="17"/>
      <c r="V29" s="11"/>
    </row>
    <row r="30" spans="1:22" ht="17.399999999999999" x14ac:dyDescent="0.45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46"/>
      <c r="P30" s="347"/>
      <c r="Q30" s="347"/>
      <c r="R30" s="347"/>
      <c r="S30" s="347"/>
      <c r="T30" s="348"/>
      <c r="U30" s="165"/>
      <c r="V30" s="11"/>
    </row>
    <row r="31" spans="1:22" ht="17.399999999999999" x14ac:dyDescent="0.45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46"/>
      <c r="P31" s="347"/>
      <c r="Q31" s="347"/>
      <c r="R31" s="347"/>
      <c r="S31" s="347"/>
      <c r="T31" s="348"/>
      <c r="U31" s="165"/>
      <c r="V31" s="11"/>
    </row>
    <row r="32" spans="1:22" ht="17.399999999999999" x14ac:dyDescent="0.45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46"/>
      <c r="P32" s="347"/>
      <c r="Q32" s="347"/>
      <c r="R32" s="347"/>
      <c r="S32" s="347"/>
      <c r="T32" s="348"/>
      <c r="U32" s="165"/>
      <c r="V32" s="11"/>
    </row>
    <row r="33" spans="1:22" ht="17.399999999999999" x14ac:dyDescent="0.45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46"/>
      <c r="P33" s="347"/>
      <c r="Q33" s="347"/>
      <c r="R33" s="347"/>
      <c r="S33" s="347"/>
      <c r="T33" s="348"/>
      <c r="U33" s="165"/>
      <c r="V33" s="11"/>
    </row>
    <row r="34" spans="1:22" ht="17.399999999999999" x14ac:dyDescent="0.45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46"/>
      <c r="P34" s="347"/>
      <c r="Q34" s="347"/>
      <c r="R34" s="347"/>
      <c r="S34" s="347"/>
      <c r="T34" s="348"/>
      <c r="U34" s="165"/>
      <c r="V34" s="11"/>
    </row>
    <row r="35" spans="1:22" ht="17.399999999999999" x14ac:dyDescent="0.45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46"/>
      <c r="P35" s="347"/>
      <c r="Q35" s="347"/>
      <c r="R35" s="347"/>
      <c r="S35" s="347"/>
      <c r="T35" s="348"/>
      <c r="U35" s="165"/>
      <c r="V35" s="11"/>
    </row>
    <row r="36" spans="1:22" ht="17.399999999999999" x14ac:dyDescent="0.45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46"/>
      <c r="P36" s="347"/>
      <c r="Q36" s="347"/>
      <c r="R36" s="347"/>
      <c r="S36" s="347"/>
      <c r="T36" s="348"/>
      <c r="U36" s="165"/>
      <c r="V36" s="11"/>
    </row>
    <row r="37" spans="1:22" ht="17.399999999999999" x14ac:dyDescent="0.45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46"/>
      <c r="P37" s="347"/>
      <c r="Q37" s="347"/>
      <c r="R37" s="347"/>
      <c r="S37" s="347"/>
      <c r="T37" s="348"/>
      <c r="U37" s="165"/>
      <c r="V37" s="11"/>
    </row>
    <row r="38" spans="1:22" ht="17.399999999999999" x14ac:dyDescent="0.45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49"/>
      <c r="P38" s="350"/>
      <c r="Q38" s="350"/>
      <c r="R38" s="350"/>
      <c r="S38" s="350"/>
      <c r="T38" s="351"/>
      <c r="U38" s="165"/>
      <c r="V38" s="11"/>
    </row>
    <row r="39" spans="1:22" ht="17.399999999999999" x14ac:dyDescent="0.45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 x14ac:dyDescent="0.55000000000000004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45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 x14ac:dyDescent="0.45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 x14ac:dyDescent="0.45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45672</v>
      </c>
      <c r="L44" s="25">
        <v>45679</v>
      </c>
      <c r="M44" s="154" t="s">
        <v>258</v>
      </c>
      <c r="N44" s="301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45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 t="shared" ref="M45:M50" si="1">L45/$L$25</f>
        <v>0</v>
      </c>
      <c r="N45" s="147"/>
      <c r="O45" s="343" t="s">
        <v>428</v>
      </c>
      <c r="P45" s="344"/>
      <c r="Q45" s="344"/>
      <c r="R45" s="344"/>
      <c r="S45" s="344"/>
      <c r="T45" s="345"/>
      <c r="U45" s="17"/>
      <c r="V45" s="11"/>
    </row>
    <row r="46" spans="1:22" ht="17.399999999999999" x14ac:dyDescent="0.45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54</v>
      </c>
      <c r="L46" s="38">
        <f>COUNTIFS('2. Status Detalhe Campos'!$G:$G,'1. Status Resumo'!$H46,'2. Status Detalhe Campos'!$C:$C,"Re-especificação / Especificação")</f>
        <v>30</v>
      </c>
      <c r="M46" s="147">
        <f t="shared" si="1"/>
        <v>0.78947368421052633</v>
      </c>
      <c r="N46" s="147"/>
      <c r="O46" s="346"/>
      <c r="P46" s="347"/>
      <c r="Q46" s="347"/>
      <c r="R46" s="347"/>
      <c r="S46" s="347"/>
      <c r="T46" s="348"/>
      <c r="U46" s="17"/>
      <c r="V46" s="11"/>
    </row>
    <row r="47" spans="1:22" ht="17.399999999999999" customHeight="1" x14ac:dyDescent="0.45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19</v>
      </c>
      <c r="L47" s="38">
        <f>COUNTIFS('2. Status Detalhe Campos'!$G:$G,'1. Status Resumo'!$H47,'2. Status Detalhe Campos'!$C:$C,"Re-especificação / Especificação")</f>
        <v>37</v>
      </c>
      <c r="M47" s="147">
        <f t="shared" si="1"/>
        <v>0.97368421052631582</v>
      </c>
      <c r="N47" s="147"/>
      <c r="O47" s="346"/>
      <c r="P47" s="347"/>
      <c r="Q47" s="347"/>
      <c r="R47" s="347"/>
      <c r="S47" s="347"/>
      <c r="T47" s="348"/>
      <c r="U47" s="17"/>
      <c r="V47" s="11"/>
    </row>
    <row r="48" spans="1:22" ht="17.399999999999999" customHeight="1" x14ac:dyDescent="0.45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46"/>
      <c r="P48" s="347"/>
      <c r="Q48" s="347"/>
      <c r="R48" s="347"/>
      <c r="S48" s="347"/>
      <c r="T48" s="348"/>
      <c r="U48" s="17"/>
      <c r="V48" s="11"/>
    </row>
    <row r="49" spans="1:22" ht="17.399999999999999" customHeight="1" x14ac:dyDescent="0.45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0</v>
      </c>
      <c r="M49" s="147">
        <f t="shared" si="1"/>
        <v>0</v>
      </c>
      <c r="N49" s="147"/>
      <c r="O49" s="346"/>
      <c r="P49" s="347"/>
      <c r="Q49" s="347"/>
      <c r="R49" s="347"/>
      <c r="S49" s="347"/>
      <c r="T49" s="348"/>
      <c r="U49" s="17"/>
      <c r="V49" s="11"/>
    </row>
    <row r="50" spans="1:22" ht="17.399999999999999" customHeight="1" x14ac:dyDescent="0.45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2</v>
      </c>
      <c r="L50" s="38">
        <f>COUNTIFS('2. Status Detalhe Campos'!$G:$G,'1. Status Resumo'!$H50,'2. Status Detalhe Campos'!$C:$C,"Re-especificação / Especificação")</f>
        <v>8</v>
      </c>
      <c r="M50" s="147">
        <f t="shared" si="1"/>
        <v>0.21052631578947367</v>
      </c>
      <c r="N50" s="147"/>
      <c r="O50" s="346"/>
      <c r="P50" s="347"/>
      <c r="Q50" s="347"/>
      <c r="R50" s="347"/>
      <c r="S50" s="347"/>
      <c r="T50" s="348"/>
      <c r="U50" s="17"/>
      <c r="V50" s="11"/>
    </row>
    <row r="51" spans="1:22" ht="19.2" x14ac:dyDescent="0.45">
      <c r="A51" s="11"/>
      <c r="B51" s="16"/>
      <c r="C51" s="1"/>
      <c r="D51" s="1"/>
      <c r="E51" s="1"/>
      <c r="F51" s="1"/>
      <c r="G51" s="1"/>
      <c r="H51" s="148" t="s">
        <v>426</v>
      </c>
      <c r="I51" s="149"/>
      <c r="J51" s="149"/>
      <c r="K51" s="148">
        <f>SUM(K45:K50)</f>
        <v>75</v>
      </c>
      <c r="L51" s="148">
        <f>SUM(L45:L50)</f>
        <v>75</v>
      </c>
      <c r="M51" s="194">
        <f>L51/$L$51</f>
        <v>1</v>
      </c>
      <c r="N51" s="302"/>
      <c r="O51" s="346"/>
      <c r="P51" s="347"/>
      <c r="Q51" s="347"/>
      <c r="R51" s="347"/>
      <c r="S51" s="347"/>
      <c r="T51" s="348"/>
      <c r="U51" s="17"/>
      <c r="V51" s="11"/>
    </row>
    <row r="52" spans="1:22" ht="17.399999999999999" x14ac:dyDescent="0.45">
      <c r="A52" s="11"/>
      <c r="B52" s="16"/>
      <c r="C52" s="1"/>
      <c r="D52" s="1"/>
      <c r="E52" s="1"/>
      <c r="F52" s="1"/>
      <c r="G52" s="1"/>
      <c r="H52" s="352" t="s">
        <v>427</v>
      </c>
      <c r="I52" s="352"/>
      <c r="J52" s="352"/>
      <c r="K52" s="352"/>
      <c r="L52" s="352"/>
      <c r="M52" s="352"/>
      <c r="N52" s="167"/>
      <c r="O52" s="346"/>
      <c r="P52" s="347"/>
      <c r="Q52" s="347"/>
      <c r="R52" s="347"/>
      <c r="S52" s="347"/>
      <c r="T52" s="348"/>
      <c r="U52" s="17"/>
      <c r="V52" s="11"/>
    </row>
    <row r="53" spans="1:22" ht="17.399999999999999" customHeight="1" x14ac:dyDescent="0.45">
      <c r="A53" s="11"/>
      <c r="B53" s="16"/>
      <c r="C53" s="1"/>
      <c r="D53" s="1"/>
      <c r="E53" s="1"/>
      <c r="F53" s="1"/>
      <c r="H53" s="352"/>
      <c r="I53" s="352"/>
      <c r="J53" s="352"/>
      <c r="K53" s="352"/>
      <c r="L53" s="352"/>
      <c r="M53" s="352"/>
      <c r="O53" s="346"/>
      <c r="P53" s="347"/>
      <c r="Q53" s="347"/>
      <c r="R53" s="347"/>
      <c r="S53" s="347"/>
      <c r="T53" s="348"/>
      <c r="U53" s="17"/>
      <c r="V53" s="11"/>
    </row>
    <row r="54" spans="1:22" ht="17.399999999999999" x14ac:dyDescent="0.45">
      <c r="A54" s="11"/>
      <c r="B54" s="16"/>
      <c r="C54" s="1"/>
      <c r="D54" s="1"/>
      <c r="E54" s="1"/>
      <c r="F54" s="1"/>
      <c r="H54" s="306"/>
      <c r="I54" s="306"/>
      <c r="J54" s="306"/>
      <c r="K54" s="306"/>
      <c r="L54" s="306"/>
      <c r="M54" s="306"/>
      <c r="O54" s="346"/>
      <c r="P54" s="347"/>
      <c r="Q54" s="347"/>
      <c r="R54" s="347"/>
      <c r="S54" s="347"/>
      <c r="T54" s="348"/>
      <c r="U54" s="17"/>
      <c r="V54" s="11"/>
    </row>
    <row r="55" spans="1:22" ht="17.399999999999999" x14ac:dyDescent="0.45">
      <c r="A55" s="11"/>
      <c r="B55" s="16"/>
      <c r="C55" s="1"/>
      <c r="D55" s="1"/>
      <c r="E55" s="1"/>
      <c r="F55" s="1"/>
      <c r="G55" s="1"/>
      <c r="H55" s="1"/>
      <c r="I55" s="1"/>
      <c r="J55" s="1"/>
      <c r="K55" s="1"/>
      <c r="N55" s="1"/>
      <c r="O55" s="346"/>
      <c r="P55" s="347"/>
      <c r="Q55" s="347"/>
      <c r="R55" s="347"/>
      <c r="S55" s="347"/>
      <c r="T55" s="348"/>
      <c r="U55" s="17"/>
      <c r="V55" s="11"/>
    </row>
    <row r="56" spans="1:22" ht="17.399999999999999" x14ac:dyDescent="0.45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6"/>
      <c r="P56" s="347"/>
      <c r="Q56" s="347"/>
      <c r="R56" s="347"/>
      <c r="S56" s="347"/>
      <c r="T56" s="348"/>
      <c r="U56" s="165"/>
      <c r="V56" s="11"/>
    </row>
    <row r="57" spans="1:22" ht="17.399999999999999" x14ac:dyDescent="0.45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6"/>
      <c r="P57" s="347"/>
      <c r="Q57" s="347"/>
      <c r="R57" s="347"/>
      <c r="S57" s="347"/>
      <c r="T57" s="348"/>
      <c r="U57" s="165"/>
      <c r="V57" s="11"/>
    </row>
    <row r="58" spans="1:22" ht="17.399999999999999" x14ac:dyDescent="0.45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6"/>
      <c r="P58" s="347"/>
      <c r="Q58" s="347"/>
      <c r="R58" s="347"/>
      <c r="S58" s="347"/>
      <c r="T58" s="348"/>
      <c r="U58" s="165"/>
      <c r="V58" s="11"/>
    </row>
    <row r="59" spans="1:22" ht="17.399999999999999" x14ac:dyDescent="0.45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6"/>
      <c r="P59" s="347"/>
      <c r="Q59" s="347"/>
      <c r="R59" s="347"/>
      <c r="S59" s="347"/>
      <c r="T59" s="348"/>
      <c r="U59" s="165"/>
      <c r="V59" s="11"/>
    </row>
    <row r="60" spans="1:22" ht="17.399999999999999" x14ac:dyDescent="0.45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6"/>
      <c r="P60" s="347"/>
      <c r="Q60" s="347"/>
      <c r="R60" s="347"/>
      <c r="S60" s="347"/>
      <c r="T60" s="348"/>
      <c r="U60" s="165"/>
      <c r="V60" s="11"/>
    </row>
    <row r="61" spans="1:22" ht="17.399999999999999" x14ac:dyDescent="0.45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6"/>
      <c r="P61" s="347"/>
      <c r="Q61" s="347"/>
      <c r="R61" s="347"/>
      <c r="S61" s="347"/>
      <c r="T61" s="348"/>
      <c r="U61" s="165"/>
      <c r="V61" s="11"/>
    </row>
    <row r="62" spans="1:22" ht="17.399999999999999" x14ac:dyDescent="0.45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6"/>
      <c r="P62" s="347"/>
      <c r="Q62" s="347"/>
      <c r="R62" s="347"/>
      <c r="S62" s="347"/>
      <c r="T62" s="348"/>
      <c r="U62" s="165"/>
      <c r="V62" s="11"/>
    </row>
    <row r="63" spans="1:22" ht="17.399999999999999" x14ac:dyDescent="0.45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6"/>
      <c r="P63" s="347"/>
      <c r="Q63" s="347"/>
      <c r="R63" s="347"/>
      <c r="S63" s="347"/>
      <c r="T63" s="348"/>
      <c r="U63" s="165"/>
      <c r="V63" s="11"/>
    </row>
    <row r="64" spans="1:22" ht="17.399999999999999" x14ac:dyDescent="0.45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6"/>
      <c r="P64" s="347"/>
      <c r="Q64" s="347"/>
      <c r="R64" s="347"/>
      <c r="S64" s="347"/>
      <c r="T64" s="348"/>
      <c r="U64" s="165"/>
      <c r="V64" s="11"/>
    </row>
    <row r="65" spans="1:22" ht="17.399999999999999" x14ac:dyDescent="0.45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49"/>
      <c r="P65" s="350"/>
      <c r="Q65" s="350"/>
      <c r="R65" s="350"/>
      <c r="S65" s="350"/>
      <c r="T65" s="351"/>
      <c r="U65" s="165"/>
      <c r="V65" s="11"/>
    </row>
    <row r="66" spans="1:22" ht="17.399999999999999" x14ac:dyDescent="0.45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25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103" activePane="bottomRight" state="frozen"/>
      <selection pane="topRight" activeCell="D136" sqref="D136"/>
      <selection pane="bottomLeft" activeCell="D136" sqref="D136"/>
      <selection pane="bottomRight" activeCell="F109" sqref="F109:F114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 x14ac:dyDescent="0.25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 x14ac:dyDescent="0.4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cm="1">
        <f t="array" ref="I7">IF(INDEX('3. Plano_Detalhado'!$A$10:$Q$196,MATCH(1,($E7='3. Plano_Detalhado'!$E$10:$E$196)*($F7='3. Plano_Detalhado'!$F$10:$F$196)*($C7='3. Plano_Detalhado'!$A$10:$A$196),0),16)="","",INDEX('3. Plano_Detalhado'!$A$10:$Q$196,MATCH(1,($E7='3. Plano_Detalhado'!$E$10:$E$196)*($F7='3. Plano_Detalhado'!$F$10:$F$196)*($C7='3. Plano_Detalhado'!$A$10:$A$196),0),16))</f>
        <v>0</v>
      </c>
      <c r="J7" s="29"/>
      <c r="K7" s="29"/>
      <c r="L7" s="29"/>
      <c r="M7" s="40"/>
      <c r="N7" s="40"/>
    </row>
    <row r="8" spans="1:15" ht="16.350000000000001" hidden="1" customHeight="1" x14ac:dyDescent="0.4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Plano_Detalhado'!$A$10:$A$196),0),16)="","",INDEX('3. Plano_Detalhado'!$A$10:$Q$196,MATCH(1,($E8='3. Plano_Detalhado'!$E$10:$E$196)*($F8='3. Plano_Detalhado'!$F$10:$F$196)*($C8='3. Plano_Detalhado'!$A$10:$A$196),0),16))</f>
        <v/>
      </c>
      <c r="J8" s="29"/>
      <c r="K8" s="29"/>
      <c r="L8" s="29"/>
      <c r="M8" s="39"/>
      <c r="N8" s="39"/>
    </row>
    <row r="9" spans="1:15" ht="16.350000000000001" hidden="1" customHeight="1" x14ac:dyDescent="0.4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Plano_Detalhado'!$A$10:$A$196),0),16)="","",INDEX('3. Plano_Detalhado'!$A$10:$Q$196,MATCH(1,($E9='3. Plano_Detalhado'!$E$10:$E$196)*($F9='3. Plano_Detalhado'!$F$10:$F$196)*($C9='3. Plano_Detalhado'!$A$10:$A$196),0),16))</f>
        <v/>
      </c>
      <c r="J9" s="29"/>
      <c r="K9" s="29"/>
      <c r="L9" s="29"/>
      <c r="M9" s="39"/>
      <c r="N9" s="39"/>
    </row>
    <row r="10" spans="1:15" ht="16.350000000000001" hidden="1" customHeight="1" x14ac:dyDescent="0.4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Plano_Detalhado'!$A$10:$A$196),0),16)="","",INDEX('3. Plano_Detalhado'!$A$10:$Q$196,MATCH(1,($E10='3. Plano_Detalhado'!$E$10:$E$196)*($F10='3. Plano_Detalhado'!$F$10:$F$196)*($C10='3. Plano_Detalhado'!$A$10:$A$196),0),16))</f>
        <v/>
      </c>
      <c r="J10" s="29"/>
      <c r="K10" s="29"/>
      <c r="L10" s="29"/>
      <c r="M10" s="39"/>
      <c r="N10" s="39"/>
    </row>
    <row r="11" spans="1:15" ht="16.350000000000001" hidden="1" customHeight="1" x14ac:dyDescent="0.4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Plano_Detalhado'!$A$10:$A$196),0),16)="","",INDEX('3. Plano_Detalhado'!$A$10:$Q$196,MATCH(1,($E11='3. Plano_Detalhado'!$E$10:$E$196)*($F11='3. Plano_Detalhado'!$F$10:$F$196)*($C11='3. Plano_Detalhado'!$A$10:$A$196),0),16))</f>
        <v/>
      </c>
      <c r="J11" s="29"/>
      <c r="K11" s="29"/>
      <c r="L11" s="29"/>
      <c r="M11" s="39"/>
      <c r="N11" s="39"/>
    </row>
    <row r="12" spans="1:15" ht="16.350000000000001" hidden="1" customHeight="1" x14ac:dyDescent="0.4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Plano_Detalhado'!$A$10:$A$196),0),16)="","",INDEX('3. Plano_Detalhado'!$A$10:$Q$196,MATCH(1,($E12='3. Plano_Detalhado'!$E$10:$E$196)*($F12='3. Plano_Detalhado'!$F$10:$F$196)*($C12='3. Plano_Detalhado'!$A$10:$A$196),0),16))</f>
        <v/>
      </c>
      <c r="J12" s="29"/>
      <c r="K12" s="29"/>
      <c r="L12" s="29"/>
      <c r="M12" s="39"/>
      <c r="N12" s="39"/>
    </row>
    <row r="13" spans="1:15" ht="16.350000000000001" hidden="1" customHeight="1" x14ac:dyDescent="0.4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Plano_Detalhado'!$A$10:$A$196),0),16)="","",INDEX('3. Plano_Detalhado'!$A$10:$Q$196,MATCH(1,($E13='3. Plano_Detalhado'!$E$10:$E$196)*($F13='3. Plano_Detalhado'!$F$10:$F$196)*($C13='3. Plano_Detalhado'!$A$10:$A$196),0),16))</f>
        <v/>
      </c>
      <c r="J13" s="29"/>
      <c r="K13" s="29"/>
      <c r="L13" s="29"/>
      <c r="M13" s="39"/>
      <c r="N13" s="39"/>
    </row>
    <row r="14" spans="1:15" ht="16.350000000000001" hidden="1" customHeight="1" x14ac:dyDescent="0.4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Plano_Detalhado'!$A$10:$A$196),0),16)="","",INDEX('3. Plano_Detalhado'!$A$10:$Q$196,MATCH(1,($E14='3. Plano_Detalhado'!$E$10:$E$196)*($F14='3. Plano_Detalhado'!$F$10:$F$196)*($C14='3. Plano_Detalhado'!$A$10:$A$196),0),16))</f>
        <v/>
      </c>
      <c r="J14" s="29"/>
      <c r="K14" s="29"/>
      <c r="L14" s="29"/>
      <c r="M14" s="39"/>
      <c r="N14" s="39"/>
    </row>
    <row r="15" spans="1:15" ht="16.350000000000001" hidden="1" customHeight="1" x14ac:dyDescent="0.4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Plano_Detalhado'!$A$10:$A$196),0),16)="","",INDEX('3. Plano_Detalhado'!$A$10:$Q$196,MATCH(1,($E15='3. Plano_Detalhado'!$E$10:$E$196)*($F15='3. Plano_Detalhado'!$F$10:$F$196)*($C15='3. Plano_Detalhado'!$A$10:$A$196),0),16))</f>
        <v/>
      </c>
      <c r="J15" s="29"/>
      <c r="K15" s="29"/>
      <c r="L15" s="29"/>
      <c r="M15" s="39"/>
      <c r="N15" s="39"/>
    </row>
    <row r="16" spans="1:15" ht="16.350000000000001" hidden="1" customHeight="1" x14ac:dyDescent="0.4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Plano_Detalhado'!$A$10:$A$196),0),16)="","",INDEX('3. Plano_Detalhado'!$A$10:$Q$196,MATCH(1,($E16='3. Plano_Detalhado'!$E$10:$E$196)*($F16='3. Plano_Detalhado'!$F$10:$F$196)*($C16='3. Plano_Detalhado'!$A$10:$A$196),0),16))</f>
        <v/>
      </c>
      <c r="J16" s="29"/>
      <c r="K16" s="29"/>
      <c r="L16" s="29"/>
      <c r="M16" s="39"/>
      <c r="N16" s="39"/>
    </row>
    <row r="17" spans="1:14" ht="16.350000000000001" hidden="1" customHeight="1" x14ac:dyDescent="0.4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Plano_Detalhado'!$A$10:$A$196),0),16)="","",INDEX('3. Plano_Detalhado'!$A$10:$Q$196,MATCH(1,($E17='3. Plano_Detalhado'!$E$10:$E$196)*($F17='3. Plano_Detalhado'!$F$10:$F$196)*($C17='3. Plano_Detalhado'!$A$10:$A$196),0),16))</f>
        <v/>
      </c>
      <c r="J17" s="29"/>
      <c r="K17" s="29"/>
      <c r="L17" s="29"/>
      <c r="M17" s="39"/>
      <c r="N17" s="39"/>
    </row>
    <row r="18" spans="1:14" ht="16.350000000000001" hidden="1" customHeight="1" x14ac:dyDescent="0.4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Plano_Detalhado'!$A$10:$A$196),0),16)="","",INDEX('3. Plano_Detalhado'!$A$10:$Q$196,MATCH(1,($E18='3. Plano_Detalhado'!$E$10:$E$196)*($F18='3. Plano_Detalhado'!$F$10:$F$196)*($C18='3. Plano_Detalhado'!$A$10:$A$196),0),16))</f>
        <v/>
      </c>
      <c r="J18" s="29"/>
      <c r="K18" s="29"/>
      <c r="L18" s="29"/>
      <c r="M18" s="39"/>
      <c r="N18" s="39"/>
    </row>
    <row r="19" spans="1:14" ht="16.350000000000001" hidden="1" customHeight="1" x14ac:dyDescent="0.4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Plano_Detalhado'!$A$10:$A$196),0),16)="","",INDEX('3. Plano_Detalhado'!$A$10:$Q$196,MATCH(1,($E19='3. Plano_Detalhado'!$E$10:$E$196)*($F19='3. Plano_Detalhado'!$F$10:$F$196)*($C19='3. Plano_Detalhado'!$A$10:$A$196),0),16))</f>
        <v/>
      </c>
      <c r="J19" s="29"/>
      <c r="K19" s="29"/>
      <c r="L19" s="29"/>
      <c r="M19" s="39"/>
      <c r="N19" s="39"/>
    </row>
    <row r="20" spans="1:14" ht="16.350000000000001" hidden="1" customHeight="1" x14ac:dyDescent="0.4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Plano_Detalhado'!$A$10:$A$196),0),16)="","",INDEX('3. Plano_Detalhado'!$A$10:$Q$196,MATCH(1,($E20='3. Plano_Detalhado'!$E$10:$E$196)*($F20='3. Plano_Detalhado'!$F$10:$F$196)*($C20='3. Plano_Detalhado'!$A$10:$A$196),0),16))</f>
        <v/>
      </c>
      <c r="J20" s="29"/>
      <c r="K20" s="29"/>
      <c r="L20" s="29"/>
      <c r="M20" s="39"/>
      <c r="N20" s="39"/>
    </row>
    <row r="21" spans="1:14" ht="16.350000000000001" hidden="1" customHeight="1" x14ac:dyDescent="0.4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Plano_Detalhado'!$A$10:$A$196),0),16)="","",INDEX('3. Plano_Detalhado'!$A$10:$Q$196,MATCH(1,($E21='3. Plano_Detalhado'!$E$10:$E$196)*($F21='3. Plano_Detalhado'!$F$10:$F$196)*($C21='3. Plano_Detalhado'!$A$10:$A$196),0),16))</f>
        <v/>
      </c>
      <c r="J21" s="29"/>
      <c r="K21" s="29"/>
      <c r="L21" s="29"/>
      <c r="M21" s="39"/>
      <c r="N21" s="39"/>
    </row>
    <row r="22" spans="1:14" ht="16.350000000000001" hidden="1" customHeight="1" x14ac:dyDescent="0.4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Plano_Detalhado'!$A$10:$A$196),0),16)="","",INDEX('3. Plano_Detalhado'!$A$10:$Q$196,MATCH(1,($E22='3. Plano_Detalhado'!$E$10:$E$196)*($F22='3. Plano_Detalhado'!$F$10:$F$196)*($C22='3. Plano_Detalhado'!$A$10:$A$196),0),16))</f>
        <v/>
      </c>
      <c r="J22" s="29"/>
      <c r="K22" s="29"/>
      <c r="L22" s="29"/>
      <c r="M22" s="39"/>
      <c r="N22" s="39"/>
    </row>
    <row r="23" spans="1:14" ht="16.350000000000001" hidden="1" customHeight="1" x14ac:dyDescent="0.4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Plano_Detalhado'!$A$10:$A$196),0),16)="","",INDEX('3. Plano_Detalhado'!$A$10:$Q$196,MATCH(1,($E23='3. Plano_Detalhado'!$E$10:$E$196)*($F23='3. Plano_Detalhado'!$F$10:$F$196)*($C23='3. Plano_Detalhado'!$A$10:$A$196),0),16))</f>
        <v/>
      </c>
      <c r="J23" s="29"/>
      <c r="K23" s="29"/>
      <c r="L23" s="29"/>
      <c r="M23" s="39"/>
      <c r="N23" s="39"/>
    </row>
    <row r="24" spans="1:14" ht="16.350000000000001" hidden="1" customHeight="1" x14ac:dyDescent="0.4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Plano_Detalhado'!$A$10:$A$196),0),16)="","",INDEX('3. Plano_Detalhado'!$A$10:$Q$196,MATCH(1,($E24='3. Plano_Detalhado'!$E$10:$E$196)*($F24='3. Plano_Detalhado'!$F$10:$F$196)*($C24='3. Plano_Detalhado'!$A$10:$A$196),0),16))</f>
        <v/>
      </c>
      <c r="J24" s="29"/>
      <c r="K24" s="29"/>
      <c r="L24" s="29"/>
      <c r="M24" s="39"/>
      <c r="N24" s="39"/>
    </row>
    <row r="25" spans="1:14" ht="16.350000000000001" hidden="1" customHeight="1" x14ac:dyDescent="0.4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Plano_Detalhado'!$A$10:$A$196),0),16)="","",INDEX('3. Plano_Detalhado'!$A$10:$Q$196,MATCH(1,($E25='3. Plano_Detalhado'!$E$10:$E$196)*($F25='3. Plano_Detalhado'!$F$10:$F$196)*($C25='3. Plano_Detalhado'!$A$10:$A$196),0),16))</f>
        <v/>
      </c>
      <c r="J25" s="29"/>
      <c r="K25" s="29"/>
      <c r="L25" s="29"/>
      <c r="M25" s="39"/>
      <c r="N25" s="39"/>
    </row>
    <row r="26" spans="1:14" ht="16.350000000000001" hidden="1" customHeight="1" x14ac:dyDescent="0.4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Plano_Detalhado'!$A$10:$A$196),0),16)="","",INDEX('3. Plano_Detalhado'!$A$10:$Q$196,MATCH(1,($E26='3. Plano_Detalhado'!$E$10:$E$196)*($F26='3. Plano_Detalhado'!$F$10:$F$196)*($C26='3. Plano_Detalhado'!$A$10:$A$196),0),16))</f>
        <v/>
      </c>
      <c r="J26" s="29"/>
      <c r="K26" s="29"/>
      <c r="L26" s="29"/>
      <c r="M26" s="39"/>
      <c r="N26" s="39"/>
    </row>
    <row r="27" spans="1:14" ht="16.350000000000001" hidden="1" customHeight="1" x14ac:dyDescent="0.4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Plano_Detalhado'!$A$10:$A$196),0),16)="","",INDEX('3. Plano_Detalhado'!$A$10:$Q$196,MATCH(1,($E27='3. Plano_Detalhado'!$E$10:$E$196)*($F27='3. Plano_Detalhado'!$F$10:$F$196)*($C27='3. Plano_Detalhado'!$A$10:$A$196),0),16))</f>
        <v/>
      </c>
      <c r="J27" s="29"/>
      <c r="K27" s="29"/>
      <c r="L27" s="29"/>
      <c r="M27" s="39"/>
      <c r="N27" s="39"/>
    </row>
    <row r="28" spans="1:14" ht="16.350000000000001" hidden="1" customHeight="1" x14ac:dyDescent="0.4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Plano_Detalhado'!$A$10:$A$196),0),16)="","",INDEX('3. Plano_Detalhado'!$A$10:$Q$196,MATCH(1,($E28='3. Plano_Detalhado'!$E$10:$E$196)*($F28='3. Plano_Detalhado'!$F$10:$F$196)*($C28='3. Plano_Detalhado'!$A$10:$A$196),0),16))</f>
        <v/>
      </c>
      <c r="J28" s="29"/>
      <c r="K28" s="29"/>
      <c r="L28" s="29"/>
      <c r="M28" s="39"/>
      <c r="N28" s="39"/>
    </row>
    <row r="29" spans="1:14" ht="16.350000000000001" hidden="1" customHeight="1" x14ac:dyDescent="0.4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Plano_Detalhado'!$A$10:$A$196),0),16)="","",INDEX('3. Plano_Detalhado'!$A$10:$Q$196,MATCH(1,($E29='3. Plano_Detalhado'!$E$10:$E$196)*($F29='3. Plano_Detalhado'!$F$10:$F$196)*($C29='3. Plano_Detalhado'!$A$10:$A$196),0),16))</f>
        <v/>
      </c>
      <c r="J29" s="29"/>
      <c r="K29" s="29"/>
      <c r="L29" s="29"/>
      <c r="M29" s="39"/>
      <c r="N29" s="39"/>
    </row>
    <row r="30" spans="1:14" ht="16.350000000000001" hidden="1" customHeight="1" x14ac:dyDescent="0.4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Plano_Detalhado'!$A$10:$A$196),0),16)="","",INDEX('3. Plano_Detalhado'!$A$10:$Q$196,MATCH(1,($E30='3. Plano_Detalhado'!$E$10:$E$196)*($F30='3. Plano_Detalhado'!$F$10:$F$196)*($C30='3. Plano_Detalhado'!$A$10:$A$196),0),16))</f>
        <v/>
      </c>
      <c r="J30" s="29"/>
      <c r="K30" s="29"/>
      <c r="L30" s="29"/>
      <c r="M30" s="39"/>
      <c r="N30" s="39"/>
    </row>
    <row r="31" spans="1:14" ht="16.350000000000001" hidden="1" customHeight="1" x14ac:dyDescent="0.4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Plano_Detalhado'!$A$10:$A$196),0),16)="","",INDEX('3. Plano_Detalhado'!$A$10:$Q$196,MATCH(1,($E31='3. Plano_Detalhado'!$E$10:$E$196)*($F31='3. Plano_Detalhado'!$F$10:$F$196)*($C31='3. Plano_Detalhado'!$A$10:$A$196),0),16))</f>
        <v/>
      </c>
      <c r="J31" s="29"/>
      <c r="K31" s="29"/>
      <c r="L31" s="29"/>
      <c r="M31" s="39"/>
      <c r="N31" s="39"/>
    </row>
    <row r="32" spans="1:14" ht="16.350000000000001" hidden="1" customHeight="1" x14ac:dyDescent="0.4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Plano_Detalhado'!$A$10:$A$196),0),16)="","",INDEX('3. Plano_Detalhado'!$A$10:$Q$196,MATCH(1,($E32='3. Plano_Detalhado'!$E$10:$E$196)*($F32='3. Plano_Detalhado'!$F$10:$F$196)*($C32='3. Plano_Detalhado'!$A$10:$A$196),0),16))</f>
        <v/>
      </c>
      <c r="J32" s="29"/>
      <c r="K32" s="29"/>
      <c r="L32" s="29"/>
      <c r="M32" s="29"/>
      <c r="N32" s="29"/>
    </row>
    <row r="33" spans="1:14" ht="16.350000000000001" hidden="1" customHeight="1" x14ac:dyDescent="0.4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Plano_Detalhado'!$A$10:$A$196),0),16)="","",INDEX('3. Plano_Detalhado'!$A$10:$Q$196,MATCH(1,($E33='3. Plano_Detalhado'!$E$10:$E$196)*($F33='3. Plano_Detalhado'!$F$10:$F$196)*($C33='3. Plano_Detalhado'!$A$10:$A$196),0),16))</f>
        <v/>
      </c>
      <c r="J33" s="29"/>
      <c r="K33" s="29"/>
      <c r="L33" s="29"/>
      <c r="M33" s="29"/>
      <c r="N33" s="29"/>
    </row>
    <row r="34" spans="1:14" ht="16.350000000000001" hidden="1" customHeight="1" x14ac:dyDescent="0.4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Plano_Detalhado'!$A$10:$A$196),0),16)="","",INDEX('3. Plano_Detalhado'!$A$10:$Q$196,MATCH(1,($E34='3. Plano_Detalhado'!$E$10:$E$196)*($F34='3. Plano_Detalhado'!$F$10:$F$196)*($C34='3. Plano_Detalhado'!$A$10:$A$196),0),16))</f>
        <v/>
      </c>
      <c r="J34" s="29"/>
      <c r="K34" s="29"/>
      <c r="L34" s="29"/>
      <c r="M34" s="29"/>
      <c r="N34" s="29"/>
    </row>
    <row r="35" spans="1:14" ht="16.350000000000001" hidden="1" customHeight="1" x14ac:dyDescent="0.4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Plano_Detalhado'!$A$10:$A$196),0),16)="","",INDEX('3. Plano_Detalhado'!$A$10:$Q$196,MATCH(1,($E35='3. Plano_Detalhado'!$E$10:$E$196)*($F35='3. Plano_Detalhado'!$F$10:$F$196)*($C35='3. Plano_Detalhado'!$A$10:$A$196),0),16))</f>
        <v/>
      </c>
      <c r="J35" s="29"/>
      <c r="K35" s="29"/>
      <c r="L35" s="29"/>
      <c r="M35" s="29"/>
      <c r="N35" s="29"/>
    </row>
    <row r="36" spans="1:14" ht="16.350000000000001" hidden="1" customHeight="1" x14ac:dyDescent="0.4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Plano_Detalhado'!$A$10:$A$196),0),16)="","",INDEX('3. Plano_Detalhado'!$A$10:$Q$196,MATCH(1,($E36='3. Plano_Detalhado'!$E$10:$E$196)*($F36='3. Plano_Detalhado'!$F$10:$F$196)*($C36='3. Plano_Detalhado'!$A$10:$A$196),0),16))</f>
        <v/>
      </c>
      <c r="J36" s="159"/>
      <c r="K36" s="29"/>
      <c r="L36" s="29"/>
      <c r="M36" s="29"/>
      <c r="N36" s="29"/>
    </row>
    <row r="37" spans="1:14" ht="16.350000000000001" hidden="1" customHeight="1" x14ac:dyDescent="0.4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Plano_Detalhado'!$A$10:$A$196),0),16)="","",INDEX('3. Plano_Detalhado'!$A$10:$Q$196,MATCH(1,($E37='3. Plano_Detalhado'!$E$10:$E$196)*($F37='3. Plano_Detalhado'!$F$10:$F$196)*($C37='3. Plano_Detalhado'!$A$10:$A$196),0),16))</f>
        <v/>
      </c>
      <c r="J37" s="159"/>
      <c r="K37" s="29"/>
      <c r="L37" s="29"/>
      <c r="M37" s="29"/>
      <c r="N37" s="29"/>
    </row>
    <row r="38" spans="1:14" ht="16.350000000000001" hidden="1" customHeight="1" x14ac:dyDescent="0.4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Plano_Detalhado'!$A$10:$A$196),0),16)="","",INDEX('3. Plano_Detalhado'!$A$10:$Q$196,MATCH(1,($E38='3. Plano_Detalhado'!$E$10:$E$196)*($F38='3. Plano_Detalhado'!$F$10:$F$196)*($C38='3. Plano_Detalhado'!$A$10:$A$196),0),16))</f>
        <v/>
      </c>
      <c r="J38" s="159"/>
      <c r="K38" s="29"/>
      <c r="L38" s="29"/>
      <c r="M38" s="29"/>
      <c r="N38" s="29"/>
    </row>
    <row r="39" spans="1:14" ht="16.350000000000001" hidden="1" customHeight="1" x14ac:dyDescent="0.4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Plano_Detalhado'!$A$10:$A$196),0),16)="","",INDEX('3. Plano_Detalhado'!$A$10:$Q$196,MATCH(1,($E39='3. Plano_Detalhado'!$E$10:$E$196)*($F39='3. Plano_Detalhado'!$F$10:$F$196)*($C39='3. Plano_Detalhado'!$A$10:$A$196),0),16))</f>
        <v/>
      </c>
      <c r="J39" s="159"/>
      <c r="K39" s="29"/>
      <c r="L39" s="29"/>
      <c r="M39" s="29"/>
      <c r="N39" s="29"/>
    </row>
    <row r="40" spans="1:14" ht="16.350000000000001" hidden="1" customHeight="1" x14ac:dyDescent="0.4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Plano_Detalhado'!$A$10:$A$196),0),16)="","",INDEX('3. Plano_Detalhado'!$A$10:$Q$196,MATCH(1,($E40='3. Plano_Detalhado'!$E$10:$E$196)*($F40='3. Plano_Detalhado'!$F$10:$F$196)*($C40='3. Plano_Detalhado'!$A$10:$A$196),0),16))</f>
        <v/>
      </c>
      <c r="J40" s="159"/>
      <c r="K40" s="29"/>
      <c r="L40" s="29"/>
      <c r="M40" s="29"/>
      <c r="N40" s="29"/>
    </row>
    <row r="41" spans="1:14" ht="16.350000000000001" hidden="1" customHeight="1" x14ac:dyDescent="0.4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Plano_Detalhado'!$A$10:$A$196),0),16)="","",INDEX('3. Plano_Detalhado'!$A$10:$Q$196,MATCH(1,($E41='3. Plano_Detalhado'!$E$10:$E$196)*($F41='3. Plano_Detalhado'!$F$10:$F$196)*($C41='3. Plano_Detalhado'!$A$10:$A$196),0),16))</f>
        <v/>
      </c>
      <c r="J41" s="159"/>
      <c r="K41" s="29"/>
      <c r="L41" s="29"/>
      <c r="M41" s="29"/>
      <c r="N41" s="29"/>
    </row>
    <row r="42" spans="1:14" ht="16.350000000000001" hidden="1" customHeight="1" x14ac:dyDescent="0.4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Plano_Detalhado'!$A$10:$A$196),0),16)="","",INDEX('3. Plano_Detalhado'!$A$10:$Q$196,MATCH(1,($E42='3. Plano_Detalhado'!$E$10:$E$196)*($F42='3. Plano_Detalhado'!$F$10:$F$196)*($C42='3. Plano_Detalhado'!$A$10:$A$196),0),16))</f>
        <v/>
      </c>
      <c r="J42" s="159"/>
      <c r="K42" s="29"/>
      <c r="L42" s="29"/>
      <c r="M42" s="29"/>
      <c r="N42" s="29"/>
    </row>
    <row r="43" spans="1:14" ht="16.350000000000001" hidden="1" customHeight="1" x14ac:dyDescent="0.4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Plano_Detalhado'!$A$10:$A$196),0),16)="","",INDEX('3. Plano_Detalhado'!$A$10:$Q$196,MATCH(1,($E43='3. Plano_Detalhado'!$E$10:$E$196)*($F43='3. Plano_Detalhado'!$F$10:$F$196)*($C43='3. Plano_Detalhado'!$A$10:$A$196),0),16))</f>
        <v/>
      </c>
      <c r="J43" s="159"/>
      <c r="K43" s="29"/>
      <c r="L43" s="29"/>
      <c r="M43" s="29"/>
      <c r="N43" s="29"/>
    </row>
    <row r="44" spans="1:14" ht="16.350000000000001" hidden="1" customHeight="1" x14ac:dyDescent="0.4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Plano_Detalhado'!$A$10:$A$196),0),16)="","",INDEX('3. Plano_Detalhado'!$A$10:$Q$196,MATCH(1,($E44='3. Plano_Detalhado'!$E$10:$E$196)*($F44='3. Plano_Detalhado'!$F$10:$F$196)*($C44='3. Plano_Detalhado'!$A$10:$A$196),0),16))</f>
        <v/>
      </c>
      <c r="J44" s="163"/>
      <c r="K44" s="164"/>
      <c r="L44" s="164"/>
      <c r="M44" s="164"/>
      <c r="N44" s="164"/>
    </row>
    <row r="45" spans="1:14" ht="16.350000000000001" customHeight="1" x14ac:dyDescent="0.4">
      <c r="A45" s="2"/>
      <c r="B45" s="48" t="s">
        <v>35</v>
      </c>
      <c r="C45" s="185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6" t="s">
        <v>29</v>
      </c>
      <c r="F45" s="26" t="s">
        <v>110</v>
      </c>
      <c r="G45" s="187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7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Plano_Detalhado'!$A$10:$A$196),0),16)="","",INDEX('3. Plano_Detalhado'!$A$10:$Q$196,MATCH(1,($E45='3. Plano_Detalhado'!$E$10:$E$196)*($F45='3. Plano_Detalhado'!$F$10:$F$196)*($C45='3. Plano_Detalhado'!$A$10:$A$196),0),16))</f>
        <v/>
      </c>
      <c r="J45" s="188"/>
      <c r="K45" s="189"/>
      <c r="L45" s="189"/>
      <c r="M45" s="189"/>
      <c r="N45" s="189"/>
    </row>
    <row r="46" spans="1:14" ht="16.350000000000001" customHeight="1" x14ac:dyDescent="0.4">
      <c r="A46" s="2"/>
      <c r="B46" s="48" t="s">
        <v>35</v>
      </c>
      <c r="C46" s="185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6" t="s">
        <v>29</v>
      </c>
      <c r="F46" s="26" t="s">
        <v>111</v>
      </c>
      <c r="G46" s="187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7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Plano_Detalhado'!$A$10:$A$196),0),16)="","",INDEX('3. Plano_Detalhado'!$A$10:$Q$196,MATCH(1,($E46='3. Plano_Detalhado'!$E$10:$E$196)*($F46='3. Plano_Detalhado'!$F$10:$F$196)*($C46='3. Plano_Detalhado'!$A$10:$A$196),0),16))</f>
        <v/>
      </c>
      <c r="J46" s="188"/>
      <c r="K46" s="189"/>
      <c r="L46" s="189"/>
      <c r="M46" s="189"/>
      <c r="N46" s="189"/>
    </row>
    <row r="47" spans="1:14" ht="16.350000000000001" customHeight="1" x14ac:dyDescent="0.4">
      <c r="A47" s="2"/>
      <c r="B47" s="48" t="s">
        <v>35</v>
      </c>
      <c r="C47" s="185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6" t="s">
        <v>29</v>
      </c>
      <c r="F47" s="26" t="s">
        <v>112</v>
      </c>
      <c r="G47" s="187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7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1. Concluído</v>
      </c>
      <c r="I47" s="26" t="str" cm="1">
        <f t="array" ref="I47">IF(INDEX('3. Plano_Detalhado'!$A$10:$Q$196,MATCH(1,($E47='3. Plano_Detalhado'!$E$10:$E$196)*($F47='3. Plano_Detalhado'!$F$10:$F$196)*($C47='3. Plano_Detalhado'!$A$10:$A$196),0),16)="","",INDEX('3. Plano_Detalhado'!$A$10:$Q$196,MATCH(1,($E47='3. Plano_Detalhado'!$E$10:$E$196)*($F47='3. Plano_Detalhado'!$F$10:$F$196)*($C47='3. Plano_Detalhado'!$A$10:$A$196),0),16))</f>
        <v/>
      </c>
      <c r="J47" s="188"/>
      <c r="K47" s="189"/>
      <c r="L47" s="189"/>
      <c r="M47" s="189"/>
      <c r="N47" s="189"/>
    </row>
    <row r="48" spans="1:14" ht="16.350000000000001" customHeight="1" x14ac:dyDescent="0.4">
      <c r="A48" s="2"/>
      <c r="B48" s="48" t="s">
        <v>35</v>
      </c>
      <c r="C48" s="185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6" t="s">
        <v>29</v>
      </c>
      <c r="F48" s="26" t="s">
        <v>51</v>
      </c>
      <c r="G48" s="187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7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Plano_Detalhado'!$A$10:$A$196),0),16)="","",INDEX('3. Plano_Detalhado'!$A$10:$Q$196,MATCH(1,($E48='3. Plano_Detalhado'!$E$10:$E$196)*($F48='3. Plano_Detalhado'!$F$10:$F$196)*($C48='3. Plano_Detalhado'!$A$10:$A$196),0),16))</f>
        <v/>
      </c>
      <c r="J48" s="188"/>
      <c r="K48" s="189"/>
      <c r="L48" s="189"/>
      <c r="M48" s="189"/>
      <c r="N48" s="189"/>
    </row>
    <row r="49" spans="1:14" ht="16.350000000000001" customHeight="1" x14ac:dyDescent="0.4">
      <c r="A49" s="2"/>
      <c r="B49" s="48" t="s">
        <v>35</v>
      </c>
      <c r="C49" s="185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6" t="s">
        <v>29</v>
      </c>
      <c r="F49" s="26" t="s">
        <v>68</v>
      </c>
      <c r="G49" s="187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7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Plano_Detalhado'!$A$10:$A$196),0),16)="","",INDEX('3. Plano_Detalhado'!$A$10:$Q$196,MATCH(1,($E49='3. Plano_Detalhado'!$E$10:$E$196)*($F49='3. Plano_Detalhado'!$F$10:$F$196)*($C49='3. Plano_Detalhado'!$A$10:$A$196),0),16))</f>
        <v/>
      </c>
      <c r="J49" s="188"/>
      <c r="K49" s="189"/>
      <c r="L49" s="189"/>
      <c r="M49" s="189"/>
      <c r="N49" s="189"/>
    </row>
    <row r="50" spans="1:14" ht="16.350000000000001" customHeight="1" x14ac:dyDescent="0.4">
      <c r="A50" s="2"/>
      <c r="B50" s="48" t="s">
        <v>35</v>
      </c>
      <c r="C50" s="185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6" t="s">
        <v>29</v>
      </c>
      <c r="F50" s="26" t="s">
        <v>52</v>
      </c>
      <c r="G50" s="187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7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Plano_Detalhado'!$A$10:$A$196),0),16)="","",INDEX('3. Plano_Detalhado'!$A$10:$Q$196,MATCH(1,($E50='3. Plano_Detalhado'!$E$10:$E$196)*($F50='3. Plano_Detalhado'!$F$10:$F$196)*($C50='3. Plano_Detalhado'!$A$10:$A$196),0),16))</f>
        <v/>
      </c>
      <c r="J50" s="188"/>
      <c r="K50" s="189"/>
      <c r="L50" s="189"/>
      <c r="M50" s="189"/>
      <c r="N50" s="189"/>
    </row>
    <row r="51" spans="1:14" ht="16.350000000000001" customHeight="1" x14ac:dyDescent="0.4">
      <c r="A51" s="2"/>
      <c r="B51" s="48" t="s">
        <v>35</v>
      </c>
      <c r="C51" s="185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6" t="s">
        <v>29</v>
      </c>
      <c r="F51" s="26" t="s">
        <v>55</v>
      </c>
      <c r="G51" s="187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7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Plano_Detalhado'!$A$10:$A$196),0),16)="","",INDEX('3. Plano_Detalhado'!$A$10:$Q$196,MATCH(1,($E51='3. Plano_Detalhado'!$E$10:$E$196)*($F51='3. Plano_Detalhado'!$F$10:$F$196)*($C51='3. Plano_Detalhado'!$A$10:$A$196),0),16))</f>
        <v/>
      </c>
      <c r="J51" s="188"/>
      <c r="K51" s="189"/>
      <c r="L51" s="189"/>
      <c r="M51" s="189"/>
      <c r="N51" s="189"/>
    </row>
    <row r="52" spans="1:14" ht="16.350000000000001" customHeight="1" x14ac:dyDescent="0.4">
      <c r="A52" s="2"/>
      <c r="B52" s="48" t="s">
        <v>35</v>
      </c>
      <c r="C52" s="185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6" t="s">
        <v>29</v>
      </c>
      <c r="F52" s="26" t="s">
        <v>69</v>
      </c>
      <c r="G52" s="187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1. Concluído</v>
      </c>
      <c r="H52" s="187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Plano_Detalhado'!$A$10:$A$196),0),16)="","",INDEX('3. Plano_Detalhado'!$A$10:$Q$196,MATCH(1,($E52='3. Plano_Detalhado'!$E$10:$E$196)*($F52='3. Plano_Detalhado'!$F$10:$F$196)*($C52='3. Plano_Detalhado'!$A$10:$A$196),0),16))</f>
        <v/>
      </c>
      <c r="J52" s="188"/>
      <c r="K52" s="189"/>
      <c r="L52" s="189"/>
      <c r="M52" s="189"/>
      <c r="N52" s="189"/>
    </row>
    <row r="53" spans="1:14" ht="16.350000000000001" customHeight="1" x14ac:dyDescent="0.4">
      <c r="A53" s="2"/>
      <c r="B53" s="48" t="s">
        <v>35</v>
      </c>
      <c r="C53" s="185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6" t="s">
        <v>29</v>
      </c>
      <c r="F53" s="26" t="s">
        <v>56</v>
      </c>
      <c r="G53" s="187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1. Concluído</v>
      </c>
      <c r="H53" s="187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Plano_Detalhado'!$A$10:$A$196),0),16)="","",INDEX('3. Plano_Detalhado'!$A$10:$Q$196,MATCH(1,($E53='3. Plano_Detalhado'!$E$10:$E$196)*($F53='3. Plano_Detalhado'!$F$10:$F$196)*($C53='3. Plano_Detalhado'!$A$10:$A$196),0),16))</f>
        <v/>
      </c>
      <c r="J53" s="188"/>
      <c r="K53" s="189"/>
      <c r="L53" s="189"/>
      <c r="M53" s="189"/>
      <c r="N53" s="189"/>
    </row>
    <row r="54" spans="1:14" ht="16.350000000000001" customHeight="1" x14ac:dyDescent="0.4">
      <c r="A54" s="2"/>
      <c r="B54" s="48" t="s">
        <v>35</v>
      </c>
      <c r="C54" s="185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6" t="s">
        <v>29</v>
      </c>
      <c r="F54" s="26" t="s">
        <v>70</v>
      </c>
      <c r="G54" s="187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2. Em Especificação/Re-especificação</v>
      </c>
      <c r="H54" s="187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Plano_Detalhado'!$A$10:$A$196),0),16)="","",INDEX('3. Plano_Detalhado'!$A$10:$Q$196,MATCH(1,($E54='3. Plano_Detalhado'!$E$10:$E$196)*($F54='3. Plano_Detalhado'!$F$10:$F$196)*($C54='3. Plano_Detalhado'!$A$10:$A$196),0),16))</f>
        <v/>
      </c>
      <c r="J54" s="188"/>
      <c r="K54" s="189"/>
      <c r="L54" s="189"/>
      <c r="M54" s="189"/>
      <c r="N54" s="189"/>
    </row>
    <row r="55" spans="1:14" ht="16.350000000000001" customHeight="1" x14ac:dyDescent="0.4">
      <c r="A55" s="2"/>
      <c r="B55" s="48" t="s">
        <v>35</v>
      </c>
      <c r="C55" s="185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6" t="s">
        <v>29</v>
      </c>
      <c r="F55" s="26" t="s">
        <v>71</v>
      </c>
      <c r="G55" s="187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7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Plano_Detalhado'!$A$10:$A$196),0),16)="","",INDEX('3. Plano_Detalhado'!$A$10:$Q$196,MATCH(1,($E55='3. Plano_Detalhado'!$E$10:$E$196)*($F55='3. Plano_Detalhado'!$F$10:$F$196)*($C55='3. Plano_Detalhado'!$A$10:$A$196),0),16))</f>
        <v/>
      </c>
      <c r="J55" s="188"/>
      <c r="K55" s="189"/>
      <c r="L55" s="189"/>
      <c r="M55" s="189"/>
      <c r="N55" s="189"/>
    </row>
    <row r="56" spans="1:14" ht="16.350000000000001" customHeight="1" x14ac:dyDescent="0.4">
      <c r="A56" s="2"/>
      <c r="B56" s="48" t="s">
        <v>35</v>
      </c>
      <c r="C56" s="185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6" t="s">
        <v>29</v>
      </c>
      <c r="F56" s="26" t="s">
        <v>72</v>
      </c>
      <c r="G56" s="187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7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Plano_Detalhado'!$A$10:$A$196),0),16)="","",INDEX('3. Plano_Detalhado'!$A$10:$Q$196,MATCH(1,($E56='3. Plano_Detalhado'!$E$10:$E$196)*($F56='3. Plano_Detalhado'!$F$10:$F$196)*($C56='3. Plano_Detalhado'!$A$10:$A$196),0),16))</f>
        <v/>
      </c>
      <c r="J56" s="188"/>
      <c r="K56" s="189"/>
      <c r="L56" s="189"/>
      <c r="M56" s="189"/>
      <c r="N56" s="189"/>
    </row>
    <row r="57" spans="1:14" ht="16.350000000000001" customHeight="1" x14ac:dyDescent="0.4">
      <c r="A57" s="2"/>
      <c r="B57" s="48" t="s">
        <v>35</v>
      </c>
      <c r="C57" s="185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6" t="s">
        <v>29</v>
      </c>
      <c r="F57" s="26" t="s">
        <v>73</v>
      </c>
      <c r="G57" s="187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2. Em Especificação/Re-especificação</v>
      </c>
      <c r="H57" s="187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Plano_Detalhado'!$A$10:$A$196),0),16)="","",INDEX('3. Plano_Detalhado'!$A$10:$Q$196,MATCH(1,($E57='3. Plano_Detalhado'!$E$10:$E$196)*($F57='3. Plano_Detalhado'!$F$10:$F$196)*($C57='3. Plano_Detalhado'!$A$10:$A$196),0),16))</f>
        <v/>
      </c>
      <c r="J57" s="188"/>
      <c r="K57" s="189"/>
      <c r="L57" s="189"/>
      <c r="M57" s="189"/>
      <c r="N57" s="189"/>
    </row>
    <row r="58" spans="1:14" ht="16.350000000000001" customHeight="1" x14ac:dyDescent="0.4">
      <c r="A58" s="2"/>
      <c r="B58" s="48" t="s">
        <v>35</v>
      </c>
      <c r="C58" s="185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6" t="s">
        <v>29</v>
      </c>
      <c r="F58" s="26" t="s">
        <v>74</v>
      </c>
      <c r="G58" s="187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7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Plano_Detalhado'!$A$10:$A$196),0),16)="","",INDEX('3. Plano_Detalhado'!$A$10:$Q$196,MATCH(1,($E58='3. Plano_Detalhado'!$E$10:$E$196)*($F58='3. Plano_Detalhado'!$F$10:$F$196)*($C58='3. Plano_Detalhado'!$A$10:$A$196),0),16))</f>
        <v/>
      </c>
      <c r="J58" s="188"/>
      <c r="K58" s="189"/>
      <c r="L58" s="189"/>
      <c r="M58" s="189"/>
      <c r="N58" s="189"/>
    </row>
    <row r="59" spans="1:14" ht="16.350000000000001" customHeight="1" x14ac:dyDescent="0.4">
      <c r="A59" s="2"/>
      <c r="B59" s="48" t="s">
        <v>35</v>
      </c>
      <c r="C59" s="185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6" t="s">
        <v>29</v>
      </c>
      <c r="F59" s="26" t="s">
        <v>75</v>
      </c>
      <c r="G59" s="187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7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Plano_Detalhado'!$A$10:$A$196),0),16)="","",INDEX('3. Plano_Detalhado'!$A$10:$Q$196,MATCH(1,($E59='3. Plano_Detalhado'!$E$10:$E$196)*($F59='3. Plano_Detalhado'!$F$10:$F$196)*($C59='3. Plano_Detalhado'!$A$10:$A$196),0),16))</f>
        <v/>
      </c>
      <c r="J59" s="188"/>
      <c r="K59" s="189"/>
      <c r="L59" s="189"/>
      <c r="M59" s="189"/>
      <c r="N59" s="189"/>
    </row>
    <row r="60" spans="1:14" ht="16.350000000000001" customHeight="1" x14ac:dyDescent="0.4">
      <c r="A60" s="2"/>
      <c r="B60" s="48" t="s">
        <v>35</v>
      </c>
      <c r="C60" s="185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6" t="s">
        <v>29</v>
      </c>
      <c r="F60" s="26" t="s">
        <v>76</v>
      </c>
      <c r="G60" s="187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7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Plano_Detalhado'!$A$10:$A$196),0),16)="","",INDEX('3. Plano_Detalhado'!$A$10:$Q$196,MATCH(1,($E60='3. Plano_Detalhado'!$E$10:$E$196)*($F60='3. Plano_Detalhado'!$F$10:$F$196)*($C60='3. Plano_Detalhado'!$A$10:$A$196),0),16))</f>
        <v/>
      </c>
      <c r="J60" s="188"/>
      <c r="K60" s="189"/>
      <c r="L60" s="189"/>
      <c r="M60" s="189"/>
      <c r="N60" s="189"/>
    </row>
    <row r="61" spans="1:14" ht="16.350000000000001" customHeight="1" x14ac:dyDescent="0.4">
      <c r="A61" s="2"/>
      <c r="B61" s="48" t="s">
        <v>35</v>
      </c>
      <c r="C61" s="185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6" t="s">
        <v>29</v>
      </c>
      <c r="F61" s="26" t="s">
        <v>77</v>
      </c>
      <c r="G61" s="187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7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Plano_Detalhado'!$A$10:$A$196),0),16)="","",INDEX('3. Plano_Detalhado'!$A$10:$Q$196,MATCH(1,($E61='3. Plano_Detalhado'!$E$10:$E$196)*($F61='3. Plano_Detalhado'!$F$10:$F$196)*($C61='3. Plano_Detalhado'!$A$10:$A$196),0),16))</f>
        <v/>
      </c>
      <c r="J61" s="188"/>
      <c r="K61" s="189"/>
      <c r="L61" s="189"/>
      <c r="M61" s="189"/>
      <c r="N61" s="189"/>
    </row>
    <row r="62" spans="1:14" ht="16.350000000000001" customHeight="1" x14ac:dyDescent="0.4">
      <c r="A62" s="2"/>
      <c r="B62" s="48" t="s">
        <v>35</v>
      </c>
      <c r="C62" s="185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6" t="s">
        <v>29</v>
      </c>
      <c r="F62" s="26" t="s">
        <v>78</v>
      </c>
      <c r="G62" s="187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7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Plano_Detalhado'!$A$10:$A$196),0),16)="","",INDEX('3. Plano_Detalhado'!$A$10:$Q$196,MATCH(1,($E62='3. Plano_Detalhado'!$E$10:$E$196)*($F62='3. Plano_Detalhado'!$F$10:$F$196)*($C62='3. Plano_Detalhado'!$A$10:$A$196),0),16))</f>
        <v/>
      </c>
      <c r="J62" s="188"/>
      <c r="K62" s="189"/>
      <c r="L62" s="189"/>
      <c r="M62" s="189"/>
      <c r="N62" s="189"/>
    </row>
    <row r="63" spans="1:14" ht="16.350000000000001" customHeight="1" x14ac:dyDescent="0.4">
      <c r="A63" s="2"/>
      <c r="B63" s="48" t="s">
        <v>35</v>
      </c>
      <c r="C63" s="185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6" t="s">
        <v>29</v>
      </c>
      <c r="F63" s="26" t="s">
        <v>57</v>
      </c>
      <c r="G63" s="187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7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Plano_Detalhado'!$A$10:$A$196),0),16)="","",INDEX('3. Plano_Detalhado'!$A$10:$Q$196,MATCH(1,($E63='3. Plano_Detalhado'!$E$10:$E$196)*($F63='3. Plano_Detalhado'!$F$10:$F$196)*($C63='3. Plano_Detalhado'!$A$10:$A$196),0),16))</f>
        <v/>
      </c>
      <c r="J63" s="188"/>
      <c r="K63" s="189"/>
      <c r="L63" s="189"/>
      <c r="M63" s="189"/>
      <c r="N63" s="189"/>
    </row>
    <row r="64" spans="1:14" ht="16.350000000000001" customHeight="1" x14ac:dyDescent="0.4">
      <c r="A64" s="2"/>
      <c r="B64" s="48" t="s">
        <v>35</v>
      </c>
      <c r="C64" s="185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6" t="s">
        <v>29</v>
      </c>
      <c r="F64" s="26" t="s">
        <v>66</v>
      </c>
      <c r="G64" s="187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7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Plano_Detalhado'!$A$10:$A$196),0),16)="","",INDEX('3. Plano_Detalhado'!$A$10:$Q$196,MATCH(1,($E64='3. Plano_Detalhado'!$E$10:$E$196)*($F64='3. Plano_Detalhado'!$F$10:$F$196)*($C64='3. Plano_Detalhado'!$A$10:$A$196),0),16))</f>
        <v/>
      </c>
      <c r="J64" s="188"/>
      <c r="K64" s="189"/>
      <c r="L64" s="189"/>
      <c r="M64" s="189"/>
      <c r="N64" s="189"/>
    </row>
    <row r="65" spans="1:14" ht="16.350000000000001" customHeight="1" x14ac:dyDescent="0.4">
      <c r="A65" s="2"/>
      <c r="B65" s="48" t="s">
        <v>35</v>
      </c>
      <c r="C65" s="185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6" t="s">
        <v>275</v>
      </c>
      <c r="F65" s="26" t="s">
        <v>51</v>
      </c>
      <c r="G65" s="187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7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Plano_Detalhado'!$A$10:$A$196),0),16)="","",INDEX('3. Plano_Detalhado'!$A$10:$Q$196,MATCH(1,($E65='3. Plano_Detalhado'!$E$10:$E$196)*($F65='3. Plano_Detalhado'!$F$10:$F$196)*($C65='3. Plano_Detalhado'!$A$10:$A$196),0),16))</f>
        <v/>
      </c>
      <c r="J65" s="188"/>
      <c r="K65" s="189"/>
      <c r="L65" s="189"/>
      <c r="M65" s="189"/>
      <c r="N65" s="189"/>
    </row>
    <row r="66" spans="1:14" ht="16.350000000000001" customHeight="1" x14ac:dyDescent="0.4">
      <c r="A66" s="2"/>
      <c r="B66" s="48" t="s">
        <v>35</v>
      </c>
      <c r="C66" s="185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6" t="s">
        <v>275</v>
      </c>
      <c r="F66" s="26" t="s">
        <v>52</v>
      </c>
      <c r="G66" s="187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7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Plano_Detalhado'!$A$10:$A$196),0),16)="","",INDEX('3. Plano_Detalhado'!$A$10:$Q$196,MATCH(1,($E66='3. Plano_Detalhado'!$E$10:$E$196)*($F66='3. Plano_Detalhado'!$F$10:$F$196)*($C66='3. Plano_Detalhado'!$A$10:$A$196),0),16))</f>
        <v/>
      </c>
      <c r="J66" s="188"/>
      <c r="K66" s="189"/>
      <c r="L66" s="189"/>
      <c r="M66" s="189"/>
      <c r="N66" s="189"/>
    </row>
    <row r="67" spans="1:14" ht="16.350000000000001" customHeight="1" x14ac:dyDescent="0.4">
      <c r="A67" s="2"/>
      <c r="B67" s="48" t="s">
        <v>35</v>
      </c>
      <c r="C67" s="185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6" t="s">
        <v>275</v>
      </c>
      <c r="F67" s="26" t="s">
        <v>53</v>
      </c>
      <c r="G67" s="187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7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Plano_Detalhado'!$A$10:$A$196),0),16)="","",INDEX('3. Plano_Detalhado'!$A$10:$Q$196,MATCH(1,($E67='3. Plano_Detalhado'!$E$10:$E$196)*($F67='3. Plano_Detalhado'!$F$10:$F$196)*($C67='3. Plano_Detalhado'!$A$10:$A$196),0),16))</f>
        <v/>
      </c>
      <c r="J67" s="188"/>
      <c r="K67" s="189"/>
      <c r="L67" s="189"/>
      <c r="M67" s="189"/>
      <c r="N67" s="189"/>
    </row>
    <row r="68" spans="1:14" ht="16.350000000000001" customHeight="1" x14ac:dyDescent="0.4">
      <c r="A68" s="2"/>
      <c r="B68" s="48" t="s">
        <v>35</v>
      </c>
      <c r="C68" s="185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6" t="s">
        <v>275</v>
      </c>
      <c r="F68" s="26" t="s">
        <v>113</v>
      </c>
      <c r="G68" s="187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7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Plano_Detalhado'!$A$10:$A$196),0),16)="","",INDEX('3. Plano_Detalhado'!$A$10:$Q$196,MATCH(1,($E68='3. Plano_Detalhado'!$E$10:$E$196)*($F68='3. Plano_Detalhado'!$F$10:$F$196)*($C68='3. Plano_Detalhado'!$A$10:$A$196),0),16))</f>
        <v/>
      </c>
      <c r="J68" s="188"/>
      <c r="K68" s="189"/>
      <c r="L68" s="189"/>
      <c r="M68" s="189"/>
      <c r="N68" s="189"/>
    </row>
    <row r="69" spans="1:14" ht="16.350000000000001" customHeight="1" x14ac:dyDescent="0.4">
      <c r="A69" s="2"/>
      <c r="B69" s="48" t="s">
        <v>35</v>
      </c>
      <c r="C69" s="185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6" t="s">
        <v>28</v>
      </c>
      <c r="F69" s="26" t="s">
        <v>51</v>
      </c>
      <c r="G69" s="187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7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Plano_Detalhado'!$A$10:$A$196),0),16)="","",INDEX('3. Plano_Detalhado'!$A$10:$Q$196,MATCH(1,($E69='3. Plano_Detalhado'!$E$10:$E$196)*($F69='3. Plano_Detalhado'!$F$10:$F$196)*($C69='3. Plano_Detalhado'!$A$10:$A$196),0),16))</f>
        <v/>
      </c>
      <c r="J69" s="188"/>
      <c r="K69" s="189"/>
      <c r="L69" s="189"/>
      <c r="M69" s="189"/>
      <c r="N69" s="189"/>
    </row>
    <row r="70" spans="1:14" ht="16.350000000000001" customHeight="1" x14ac:dyDescent="0.4">
      <c r="A70" s="2"/>
      <c r="B70" s="48" t="s">
        <v>35</v>
      </c>
      <c r="C70" s="185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6" t="s">
        <v>28</v>
      </c>
      <c r="F70" s="26" t="s">
        <v>52</v>
      </c>
      <c r="G70" s="187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7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Plano_Detalhado'!$A$10:$A$196),0),16)="","",INDEX('3. Plano_Detalhado'!$A$10:$Q$196,MATCH(1,($E70='3. Plano_Detalhado'!$E$10:$E$196)*($F70='3. Plano_Detalhado'!$F$10:$F$196)*($C70='3. Plano_Detalhado'!$A$10:$A$196),0),16))</f>
        <v/>
      </c>
      <c r="J70" s="188"/>
      <c r="K70" s="189"/>
      <c r="L70" s="189"/>
      <c r="M70" s="189"/>
      <c r="N70" s="189"/>
    </row>
    <row r="71" spans="1:14" ht="16.350000000000001" customHeight="1" x14ac:dyDescent="0.4">
      <c r="A71" s="2"/>
      <c r="B71" s="48" t="s">
        <v>35</v>
      </c>
      <c r="C71" s="185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6" t="s">
        <v>28</v>
      </c>
      <c r="F71" s="26" t="s">
        <v>113</v>
      </c>
      <c r="G71" s="187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7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Plano_Detalhado'!$A$10:$A$196),0),16)="","",INDEX('3. Plano_Detalhado'!$A$10:$Q$196,MATCH(1,($E71='3. Plano_Detalhado'!$E$10:$E$196)*($F71='3. Plano_Detalhado'!$F$10:$F$196)*($C71='3. Plano_Detalhado'!$A$10:$A$196),0),16))</f>
        <v/>
      </c>
      <c r="J71" s="188"/>
      <c r="K71" s="189"/>
      <c r="L71" s="189"/>
      <c r="M71" s="189"/>
      <c r="N71" s="189"/>
    </row>
    <row r="72" spans="1:14" ht="16.350000000000001" customHeight="1" x14ac:dyDescent="0.4">
      <c r="A72" s="2"/>
      <c r="B72" s="48" t="s">
        <v>35</v>
      </c>
      <c r="C72" s="185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6" t="s">
        <v>28</v>
      </c>
      <c r="F72" s="26" t="s">
        <v>114</v>
      </c>
      <c r="G72" s="187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7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Plano_Detalhado'!$A$10:$A$196),0),16)="","",INDEX('3. Plano_Detalhado'!$A$10:$Q$196,MATCH(1,($E72='3. Plano_Detalhado'!$E$10:$E$196)*($F72='3. Plano_Detalhado'!$F$10:$F$196)*($C72='3. Plano_Detalhado'!$A$10:$A$196),0),16))</f>
        <v/>
      </c>
      <c r="J72" s="188"/>
      <c r="K72" s="189"/>
      <c r="L72" s="189"/>
      <c r="M72" s="189"/>
      <c r="N72" s="189"/>
    </row>
    <row r="73" spans="1:14" ht="16.350000000000001" customHeight="1" x14ac:dyDescent="0.4">
      <c r="A73" s="2"/>
      <c r="B73" s="48" t="s">
        <v>35</v>
      </c>
      <c r="C73" s="185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6" t="s">
        <v>28</v>
      </c>
      <c r="F73" s="26" t="s">
        <v>115</v>
      </c>
      <c r="G73" s="187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7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Plano_Detalhado'!$A$10:$A$196),0),16)="","",INDEX('3. Plano_Detalhado'!$A$10:$Q$196,MATCH(1,($E73='3. Plano_Detalhado'!$E$10:$E$196)*($F73='3. Plano_Detalhado'!$F$10:$F$196)*($C73='3. Plano_Detalhado'!$A$10:$A$196),0),16))</f>
        <v/>
      </c>
      <c r="J73" s="188"/>
      <c r="K73" s="189"/>
      <c r="L73" s="189"/>
      <c r="M73" s="189"/>
      <c r="N73" s="189"/>
    </row>
    <row r="74" spans="1:14" ht="16.350000000000001" customHeight="1" x14ac:dyDescent="0.4">
      <c r="A74" s="2"/>
      <c r="B74" s="48" t="s">
        <v>35</v>
      </c>
      <c r="C74" s="185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6" t="s">
        <v>28</v>
      </c>
      <c r="F74" s="26" t="s">
        <v>430</v>
      </c>
      <c r="G74" s="187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7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Plano_Detalhado'!$A$10:$A$196),0),16)="","",INDEX('3. Plano_Detalhado'!$A$10:$Q$196,MATCH(1,($E74='3. Plano_Detalhado'!$E$10:$E$196)*($F74='3. Plano_Detalhado'!$F$10:$F$196)*($C74='3. Plano_Detalhado'!$A$10:$A$196),0),16))</f>
        <v/>
      </c>
      <c r="J74" s="188"/>
      <c r="K74" s="189"/>
      <c r="L74" s="189"/>
      <c r="M74" s="189"/>
      <c r="N74" s="189"/>
    </row>
    <row r="75" spans="1:14" ht="16.350000000000001" customHeight="1" x14ac:dyDescent="0.4">
      <c r="A75" s="2"/>
      <c r="B75" s="48" t="s">
        <v>35</v>
      </c>
      <c r="C75" s="185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6" t="s">
        <v>28</v>
      </c>
      <c r="F75" s="26" t="s">
        <v>118</v>
      </c>
      <c r="G75" s="187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7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>5. Por Iniciar</v>
      </c>
      <c r="I75" s="26" t="str" cm="1">
        <f t="array" ref="I75">IF(INDEX('3. Plano_Detalhado'!$A$10:$Q$196,MATCH(1,($E75='3. Plano_Detalhado'!$E$10:$E$196)*($F75='3. Plano_Detalhado'!$F$10:$F$196)*($C75='3. Plano_Detalhado'!$A$10:$A$196),0),16)="","",INDEX('3. Plano_Detalhado'!$A$10:$Q$196,MATCH(1,($E75='3. Plano_Detalhado'!$E$10:$E$196)*($F75='3. Plano_Detalhado'!$F$10:$F$196)*($C75='3. Plano_Detalhado'!$A$10:$A$196),0),16))</f>
        <v/>
      </c>
      <c r="J75" s="188"/>
      <c r="K75" s="189"/>
      <c r="L75" s="189"/>
      <c r="M75" s="189"/>
      <c r="N75" s="189"/>
    </row>
    <row r="76" spans="1:14" ht="16.350000000000001" customHeight="1" x14ac:dyDescent="0.4">
      <c r="A76" s="2"/>
      <c r="B76" s="48" t="s">
        <v>35</v>
      </c>
      <c r="C76" s="185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6" t="s">
        <v>108</v>
      </c>
      <c r="F76" s="26" t="s">
        <v>116</v>
      </c>
      <c r="G76" s="187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7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1. Concluído</v>
      </c>
      <c r="I76" s="26" t="str" cm="1">
        <f t="array" ref="I76">IF(INDEX('3. Plano_Detalhado'!$A$10:$Q$196,MATCH(1,($E76='3. Plano_Detalhado'!$E$10:$E$196)*($F76='3. Plano_Detalhado'!$F$10:$F$196)*($C76='3. Plano_Detalhado'!$A$10:$A$196),0),16)="","",INDEX('3. Plano_Detalhado'!$A$10:$Q$196,MATCH(1,($E76='3. Plano_Detalhado'!$E$10:$E$196)*($F76='3. Plano_Detalhado'!$F$10:$F$196)*($C76='3. Plano_Detalhado'!$A$10:$A$196),0),16))</f>
        <v/>
      </c>
      <c r="J76" s="188"/>
      <c r="K76" s="189"/>
      <c r="L76" s="189"/>
      <c r="M76" s="189"/>
      <c r="N76" s="189"/>
    </row>
    <row r="77" spans="1:14" ht="16.350000000000001" customHeight="1" x14ac:dyDescent="0.4">
      <c r="A77" s="2"/>
      <c r="B77" s="48" t="s">
        <v>35</v>
      </c>
      <c r="C77" s="185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6" t="s">
        <v>29</v>
      </c>
      <c r="F77" s="307" t="s">
        <v>64</v>
      </c>
      <c r="G77" s="187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7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2. Em Especificação/Re-especificação</v>
      </c>
      <c r="I77" s="26" t="str" cm="1">
        <f t="array" ref="I77">IF(INDEX('3. Plano_Detalhado'!$A$10:$Q$196,MATCH(1,($E77='3. Plano_Detalhado'!$E$10:$E$196)*($F77='3. Plano_Detalhado'!$F$10:$F$196)*($C77='3. Plano_Detalhado'!$A$10:$A$196),0),16)="","",INDEX('3. Plano_Detalhado'!$A$10:$Q$196,MATCH(1,($E77='3. Plano_Detalhado'!$E$10:$E$196)*($F77='3. Plano_Detalhado'!$F$10:$F$196)*($C77='3. Plano_Detalhado'!$A$10:$A$196),0),16))</f>
        <v/>
      </c>
      <c r="J77" s="188"/>
      <c r="K77" s="189"/>
      <c r="L77" s="189"/>
      <c r="M77" s="189"/>
      <c r="N77" s="189"/>
    </row>
    <row r="78" spans="1:14" ht="16.350000000000001" customHeight="1" x14ac:dyDescent="0.4">
      <c r="A78" s="2"/>
      <c r="B78" s="48" t="s">
        <v>35</v>
      </c>
      <c r="C78" s="185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6" t="s">
        <v>108</v>
      </c>
      <c r="F78" s="26" t="s">
        <v>58</v>
      </c>
      <c r="G78" s="187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7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Plano_Detalhado'!$A$10:$A$196),0),16)="","",INDEX('3. Plano_Detalhado'!$A$10:$Q$196,MATCH(1,($E78='3. Plano_Detalhado'!$E$10:$E$196)*($F78='3. Plano_Detalhado'!$F$10:$F$196)*($C78='3. Plano_Detalhado'!$A$10:$A$196),0),16))</f>
        <v/>
      </c>
      <c r="J78" s="188"/>
      <c r="K78" s="189"/>
      <c r="L78" s="189"/>
      <c r="M78" s="189"/>
      <c r="N78" s="189"/>
    </row>
    <row r="79" spans="1:14" ht="16.350000000000001" customHeight="1" x14ac:dyDescent="0.4">
      <c r="A79" s="2"/>
      <c r="B79" s="48" t="s">
        <v>35</v>
      </c>
      <c r="C79" s="185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90" t="s">
        <v>108</v>
      </c>
      <c r="F79" s="160" t="s">
        <v>59</v>
      </c>
      <c r="G79" s="187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1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Plano_Detalhado'!$A$10:$A$196),0),16)="","",INDEX('3. Plano_Detalhado'!$A$10:$Q$196,MATCH(1,($E79='3. Plano_Detalhado'!$E$10:$E$196)*($F79='3. Plano_Detalhado'!$F$10:$F$196)*($C79='3. Plano_Detalhado'!$A$10:$A$196),0),16))</f>
        <v/>
      </c>
      <c r="J79" s="192"/>
      <c r="K79" s="193"/>
      <c r="L79" s="193"/>
      <c r="M79" s="193"/>
      <c r="N79" s="193"/>
    </row>
    <row r="80" spans="1:14" ht="16.350000000000001" customHeight="1" x14ac:dyDescent="0.4">
      <c r="A80" s="2"/>
      <c r="B80" s="48" t="s">
        <v>35</v>
      </c>
      <c r="C80" s="185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6" t="s">
        <v>29</v>
      </c>
      <c r="F80" s="26" t="s">
        <v>79</v>
      </c>
      <c r="G80" s="187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2. Em Especificação/Re-especificação</v>
      </c>
      <c r="H80" s="187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Plano_Detalhado'!$A$10:$A$196),0),16)="","",INDEX('3. Plano_Detalhado'!$A$10:$Q$196,MATCH(1,($E80='3. Plano_Detalhado'!$E$10:$E$196)*($F80='3. Plano_Detalhado'!$F$10:$F$196)*($C80='3. Plano_Detalhado'!$A$10:$A$196),0),16))</f>
        <v/>
      </c>
      <c r="J80" s="188"/>
      <c r="K80" s="189"/>
      <c r="L80" s="189"/>
      <c r="M80" s="189"/>
      <c r="N80" s="189"/>
    </row>
    <row r="81" spans="1:14" ht="16.350000000000001" customHeight="1" x14ac:dyDescent="0.4">
      <c r="A81" s="2"/>
      <c r="B81" s="48" t="s">
        <v>35</v>
      </c>
      <c r="C81" s="185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6" t="s">
        <v>29</v>
      </c>
      <c r="F81" s="26" t="s">
        <v>60</v>
      </c>
      <c r="G81" s="187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2. Em Especificação/Re-especificação</v>
      </c>
      <c r="H81" s="187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2. Em Especificação/Re-especificação</v>
      </c>
      <c r="I81" s="26" t="str" cm="1">
        <f t="array" ref="I81">IF(INDEX('3. Plano_Detalhado'!$A$10:$Q$196,MATCH(1,($E81='3. Plano_Detalhado'!$E$10:$E$196)*($F81='3. Plano_Detalhado'!$F$10:$F$196)*($C81='3. Plano_Detalhado'!$A$10:$A$196),0),16)="","",INDEX('3. Plano_Detalhado'!$A$10:$Q$196,MATCH(1,($E81='3. Plano_Detalhado'!$E$10:$E$196)*($F81='3. Plano_Detalhado'!$F$10:$F$196)*($C81='3. Plano_Detalhado'!$A$10:$A$196),0),16))</f>
        <v/>
      </c>
      <c r="J81" s="188"/>
      <c r="K81" s="189"/>
      <c r="L81" s="189"/>
      <c r="M81" s="189"/>
      <c r="N81" s="189"/>
    </row>
    <row r="82" spans="1:14" ht="16.350000000000001" customHeight="1" x14ac:dyDescent="0.4">
      <c r="A82" s="2"/>
      <c r="B82" s="48" t="s">
        <v>35</v>
      </c>
      <c r="C82" s="185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6" t="s">
        <v>29</v>
      </c>
      <c r="F82" s="26" t="s">
        <v>80</v>
      </c>
      <c r="G82" s="187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2. Em Especificação/Re-especificação</v>
      </c>
      <c r="H82" s="187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Plano_Detalhado'!$A$10:$A$196),0),16)="","",INDEX('3. Plano_Detalhado'!$A$10:$Q$196,MATCH(1,($E82='3. Plano_Detalhado'!$E$10:$E$196)*($F82='3. Plano_Detalhado'!$F$10:$F$196)*($C82='3. Plano_Detalhado'!$A$10:$A$196),0),16))</f>
        <v/>
      </c>
      <c r="J82" s="188"/>
      <c r="K82" s="189"/>
      <c r="L82" s="189"/>
      <c r="M82" s="189"/>
      <c r="N82" s="189"/>
    </row>
    <row r="83" spans="1:14" ht="16.350000000000001" customHeight="1" x14ac:dyDescent="0.4">
      <c r="A83" s="2"/>
      <c r="B83" s="48" t="s">
        <v>35</v>
      </c>
      <c r="C83" s="185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6" t="s">
        <v>29</v>
      </c>
      <c r="F83" s="26" t="s">
        <v>81</v>
      </c>
      <c r="G83" s="187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2. Em Especificação/Re-especificação</v>
      </c>
      <c r="H83" s="187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Plano_Detalhado'!$A$10:$A$196),0),16)="","",INDEX('3. Plano_Detalhado'!$A$10:$Q$196,MATCH(1,($E83='3. Plano_Detalhado'!$E$10:$E$196)*($F83='3. Plano_Detalhado'!$F$10:$F$196)*($C83='3. Plano_Detalhado'!$A$10:$A$196),0),16))</f>
        <v/>
      </c>
      <c r="J83" s="188"/>
      <c r="K83" s="189"/>
      <c r="L83" s="189"/>
      <c r="M83" s="189"/>
      <c r="N83" s="189"/>
    </row>
    <row r="84" spans="1:14" ht="16.350000000000001" customHeight="1" x14ac:dyDescent="0.4">
      <c r="A84" s="2"/>
      <c r="B84" s="48" t="s">
        <v>35</v>
      </c>
      <c r="C84" s="185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6" t="s">
        <v>29</v>
      </c>
      <c r="F84" s="26" t="s">
        <v>82</v>
      </c>
      <c r="G84" s="187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7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Plano_Detalhado'!$A$10:$A$196),0),16)="","",INDEX('3. Plano_Detalhado'!$A$10:$Q$196,MATCH(1,($E84='3. Plano_Detalhado'!$E$10:$E$196)*($F84='3. Plano_Detalhado'!$F$10:$F$196)*($C84='3. Plano_Detalhado'!$A$10:$A$196),0),16))</f>
        <v/>
      </c>
      <c r="J84" s="188"/>
      <c r="K84" s="189"/>
      <c r="L84" s="189"/>
      <c r="M84" s="189"/>
      <c r="N84" s="189"/>
    </row>
    <row r="85" spans="1:14" ht="16.350000000000001" customHeight="1" x14ac:dyDescent="0.4">
      <c r="A85" s="2"/>
      <c r="B85" s="48" t="s">
        <v>35</v>
      </c>
      <c r="C85" s="185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6" t="s">
        <v>29</v>
      </c>
      <c r="F85" s="26" t="s">
        <v>83</v>
      </c>
      <c r="G85" s="187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2. Em Especificação/Re-especificação</v>
      </c>
      <c r="H85" s="187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Plano_Detalhado'!$A$10:$A$196),0),16)="","",INDEX('3. Plano_Detalhado'!$A$10:$Q$196,MATCH(1,($E85='3. Plano_Detalhado'!$E$10:$E$196)*($F85='3. Plano_Detalhado'!$F$10:$F$196)*($C85='3. Plano_Detalhado'!$A$10:$A$196),0),16))</f>
        <v/>
      </c>
      <c r="J85" s="188"/>
      <c r="K85" s="189"/>
      <c r="L85" s="189"/>
      <c r="M85" s="189"/>
      <c r="N85" s="189"/>
    </row>
    <row r="86" spans="1:14" ht="16.350000000000001" customHeight="1" x14ac:dyDescent="0.4">
      <c r="A86" s="2"/>
      <c r="B86" s="48" t="s">
        <v>35</v>
      </c>
      <c r="C86" s="185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6" t="s">
        <v>29</v>
      </c>
      <c r="F86" s="26" t="s">
        <v>61</v>
      </c>
      <c r="G86" s="187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2. Em Especificação/Re-especificação</v>
      </c>
      <c r="H86" s="187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Plano_Detalhado'!$A$10:$A$196),0),16)="","",INDEX('3. Plano_Detalhado'!$A$10:$Q$196,MATCH(1,($E86='3. Plano_Detalhado'!$E$10:$E$196)*($F86='3. Plano_Detalhado'!$F$10:$F$196)*($C86='3. Plano_Detalhado'!$A$10:$A$196),0),16))</f>
        <v/>
      </c>
      <c r="J86" s="188"/>
      <c r="K86" s="189"/>
      <c r="L86" s="189"/>
      <c r="M86" s="189"/>
      <c r="N86" s="189"/>
    </row>
    <row r="87" spans="1:14" ht="16.350000000000001" customHeight="1" x14ac:dyDescent="0.4">
      <c r="A87" s="2"/>
      <c r="B87" s="48" t="s">
        <v>35</v>
      </c>
      <c r="C87" s="185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6" t="s">
        <v>29</v>
      </c>
      <c r="F87" s="26" t="s">
        <v>84</v>
      </c>
      <c r="G87" s="187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7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Plano_Detalhado'!$A$10:$A$196),0),16)="","",INDEX('3. Plano_Detalhado'!$A$10:$Q$196,MATCH(1,($E87='3. Plano_Detalhado'!$E$10:$E$196)*($F87='3. Plano_Detalhado'!$F$10:$F$196)*($C87='3. Plano_Detalhado'!$A$10:$A$196),0),16))</f>
        <v/>
      </c>
      <c r="J87" s="188"/>
      <c r="K87" s="189"/>
      <c r="L87" s="189"/>
      <c r="M87" s="189"/>
      <c r="N87" s="189"/>
    </row>
    <row r="88" spans="1:14" ht="16.350000000000001" customHeight="1" x14ac:dyDescent="0.4">
      <c r="A88" s="2"/>
      <c r="B88" s="48" t="s">
        <v>35</v>
      </c>
      <c r="C88" s="185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6" t="s">
        <v>29</v>
      </c>
      <c r="F88" s="26" t="s">
        <v>85</v>
      </c>
      <c r="G88" s="187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2. Em Especificação/Re-especificação</v>
      </c>
      <c r="H88" s="187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Plano_Detalhado'!$A$10:$A$196),0),16)="","",INDEX('3. Plano_Detalhado'!$A$10:$Q$196,MATCH(1,($E88='3. Plano_Detalhado'!$E$10:$E$196)*($F88='3. Plano_Detalhado'!$F$10:$F$196)*($C88='3. Plano_Detalhado'!$A$10:$A$196),0),16))</f>
        <v/>
      </c>
      <c r="J88" s="188"/>
      <c r="K88" s="189"/>
      <c r="L88" s="189"/>
      <c r="M88" s="189"/>
      <c r="N88" s="189"/>
    </row>
    <row r="89" spans="1:14" ht="16.350000000000001" customHeight="1" x14ac:dyDescent="0.4">
      <c r="A89" s="2"/>
      <c r="B89" s="48" t="s">
        <v>35</v>
      </c>
      <c r="C89" s="185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6" t="s">
        <v>29</v>
      </c>
      <c r="F89" s="26" t="s">
        <v>86</v>
      </c>
      <c r="G89" s="187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2. Em Especificação/Re-especificação</v>
      </c>
      <c r="H89" s="187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Plano_Detalhado'!$A$10:$A$196),0),16)="","",INDEX('3. Plano_Detalhado'!$A$10:$Q$196,MATCH(1,($E89='3. Plano_Detalhado'!$E$10:$E$196)*($F89='3. Plano_Detalhado'!$F$10:$F$196)*($C89='3. Plano_Detalhado'!$A$10:$A$196),0),16))</f>
        <v/>
      </c>
      <c r="J89" s="188"/>
      <c r="K89" s="189"/>
      <c r="L89" s="189"/>
      <c r="M89" s="189"/>
      <c r="N89" s="189"/>
    </row>
    <row r="90" spans="1:14" ht="16.350000000000001" customHeight="1" x14ac:dyDescent="0.4">
      <c r="A90" s="2"/>
      <c r="B90" s="48" t="s">
        <v>35</v>
      </c>
      <c r="C90" s="185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6" t="s">
        <v>29</v>
      </c>
      <c r="F90" s="26" t="s">
        <v>62</v>
      </c>
      <c r="G90" s="187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7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Plano_Detalhado'!$A$10:$A$196),0),16)="","",INDEX('3. Plano_Detalhado'!$A$10:$Q$196,MATCH(1,($E90='3. Plano_Detalhado'!$E$10:$E$196)*($F90='3. Plano_Detalhado'!$F$10:$F$196)*($C90='3. Plano_Detalhado'!$A$10:$A$196),0),16))</f>
        <v/>
      </c>
      <c r="J90" s="188"/>
      <c r="K90" s="189"/>
      <c r="L90" s="189"/>
      <c r="M90" s="189"/>
      <c r="N90" s="189"/>
    </row>
    <row r="91" spans="1:14" ht="16.350000000000001" customHeight="1" x14ac:dyDescent="0.4">
      <c r="A91" s="2"/>
      <c r="B91" s="48" t="s">
        <v>35</v>
      </c>
      <c r="C91" s="185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6" t="s">
        <v>29</v>
      </c>
      <c r="F91" s="26" t="s">
        <v>87</v>
      </c>
      <c r="G91" s="187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7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Plano_Detalhado'!$A$10:$A$196),0),16)="","",INDEX('3. Plano_Detalhado'!$A$10:$Q$196,MATCH(1,($E91='3. Plano_Detalhado'!$E$10:$E$196)*($F91='3. Plano_Detalhado'!$F$10:$F$196)*($C91='3. Plano_Detalhado'!$A$10:$A$196),0),16))</f>
        <v/>
      </c>
      <c r="J91" s="188"/>
      <c r="K91" s="189"/>
      <c r="L91" s="189"/>
      <c r="M91" s="189"/>
      <c r="N91" s="189"/>
    </row>
    <row r="92" spans="1:14" ht="16.350000000000001" customHeight="1" x14ac:dyDescent="0.4">
      <c r="A92" s="2"/>
      <c r="B92" s="48" t="s">
        <v>35</v>
      </c>
      <c r="C92" s="185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6" t="s">
        <v>29</v>
      </c>
      <c r="F92" s="26" t="s">
        <v>88</v>
      </c>
      <c r="G92" s="187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7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Plano_Detalhado'!$A$10:$A$196),0),16)="","",INDEX('3. Plano_Detalhado'!$A$10:$Q$196,MATCH(1,($E92='3. Plano_Detalhado'!$E$10:$E$196)*($F92='3. Plano_Detalhado'!$F$10:$F$196)*($C92='3. Plano_Detalhado'!$A$10:$A$196),0),16))</f>
        <v/>
      </c>
      <c r="J92" s="188"/>
      <c r="K92" s="189"/>
      <c r="L92" s="189"/>
      <c r="M92" s="189"/>
      <c r="N92" s="189"/>
    </row>
    <row r="93" spans="1:14" ht="16.350000000000001" customHeight="1" x14ac:dyDescent="0.4">
      <c r="A93" s="2"/>
      <c r="B93" s="48" t="s">
        <v>35</v>
      </c>
      <c r="C93" s="185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6" t="s">
        <v>29</v>
      </c>
      <c r="F93" s="26" t="s">
        <v>89</v>
      </c>
      <c r="G93" s="187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7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Plano_Detalhado'!$A$10:$A$196),0),16)="","",INDEX('3. Plano_Detalhado'!$A$10:$Q$196,MATCH(1,($E93='3. Plano_Detalhado'!$E$10:$E$196)*($F93='3. Plano_Detalhado'!$F$10:$F$196)*($C93='3. Plano_Detalhado'!$A$10:$A$196),0),16))</f>
        <v/>
      </c>
      <c r="J93" s="188"/>
      <c r="K93" s="189"/>
      <c r="L93" s="189"/>
      <c r="M93" s="189"/>
      <c r="N93" s="189"/>
    </row>
    <row r="94" spans="1:14" ht="16.350000000000001" customHeight="1" x14ac:dyDescent="0.4">
      <c r="A94" s="2"/>
      <c r="B94" s="48" t="s">
        <v>35</v>
      </c>
      <c r="C94" s="185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6" t="s">
        <v>29</v>
      </c>
      <c r="F94" s="26" t="s">
        <v>90</v>
      </c>
      <c r="G94" s="187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2. Em Especificação/Re-especificação</v>
      </c>
      <c r="H94" s="187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Plano_Detalhado'!$A$10:$A$196),0),16)="","",INDEX('3. Plano_Detalhado'!$A$10:$Q$196,MATCH(1,($E94='3. Plano_Detalhado'!$E$10:$E$196)*($F94='3. Plano_Detalhado'!$F$10:$F$196)*($C94='3. Plano_Detalhado'!$A$10:$A$196),0),16))</f>
        <v/>
      </c>
      <c r="J94" s="188"/>
      <c r="K94" s="189"/>
      <c r="L94" s="189"/>
      <c r="M94" s="189"/>
      <c r="N94" s="189"/>
    </row>
    <row r="95" spans="1:14" ht="16.350000000000001" customHeight="1" x14ac:dyDescent="0.4">
      <c r="A95" s="2"/>
      <c r="B95" s="48" t="s">
        <v>35</v>
      </c>
      <c r="C95" s="185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6" t="s">
        <v>29</v>
      </c>
      <c r="F95" s="26" t="s">
        <v>91</v>
      </c>
      <c r="G95" s="187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7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Plano_Detalhado'!$A$10:$A$196),0),16)="","",INDEX('3. Plano_Detalhado'!$A$10:$Q$196,MATCH(1,($E95='3. Plano_Detalhado'!$E$10:$E$196)*($F95='3. Plano_Detalhado'!$F$10:$F$196)*($C95='3. Plano_Detalhado'!$A$10:$A$196),0),16))</f>
        <v/>
      </c>
      <c r="J95" s="188"/>
      <c r="K95" s="189"/>
      <c r="L95" s="189"/>
      <c r="M95" s="189"/>
      <c r="N95" s="189"/>
    </row>
    <row r="96" spans="1:14" ht="16.350000000000001" customHeight="1" x14ac:dyDescent="0.4">
      <c r="A96" s="2"/>
      <c r="B96" s="48" t="s">
        <v>35</v>
      </c>
      <c r="C96" s="185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6" t="s">
        <v>29</v>
      </c>
      <c r="F96" s="26" t="s">
        <v>92</v>
      </c>
      <c r="G96" s="187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2. Em Especificação/Re-especificação</v>
      </c>
      <c r="H96" s="187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Plano_Detalhado'!$A$10:$A$196),0),16)="","",INDEX('3. Plano_Detalhado'!$A$10:$Q$196,MATCH(1,($E96='3. Plano_Detalhado'!$E$10:$E$196)*($F96='3. Plano_Detalhado'!$F$10:$F$196)*($C96='3. Plano_Detalhado'!$A$10:$A$196),0),16))</f>
        <v/>
      </c>
      <c r="J96" s="188"/>
      <c r="K96" s="189"/>
      <c r="L96" s="189"/>
      <c r="M96" s="189"/>
      <c r="N96" s="189"/>
    </row>
    <row r="97" spans="1:14" ht="16.350000000000001" customHeight="1" x14ac:dyDescent="0.4">
      <c r="A97" s="2"/>
      <c r="B97" s="48" t="s">
        <v>35</v>
      </c>
      <c r="C97" s="185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6" t="s">
        <v>29</v>
      </c>
      <c r="F97" s="26" t="s">
        <v>93</v>
      </c>
      <c r="G97" s="187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2. Em Especificação/Re-especificação</v>
      </c>
      <c r="H97" s="187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Plano_Detalhado'!$A$10:$A$196),0),16)="","",INDEX('3. Plano_Detalhado'!$A$10:$Q$196,MATCH(1,($E97='3. Plano_Detalhado'!$E$10:$E$196)*($F97='3. Plano_Detalhado'!$F$10:$F$196)*($C97='3. Plano_Detalhado'!$A$10:$A$196),0),16))</f>
        <v/>
      </c>
      <c r="J97" s="188"/>
      <c r="K97" s="189"/>
      <c r="L97" s="189"/>
      <c r="M97" s="189"/>
      <c r="N97" s="189"/>
    </row>
    <row r="98" spans="1:14" ht="16.350000000000001" customHeight="1" x14ac:dyDescent="0.4">
      <c r="A98" s="2"/>
      <c r="B98" s="48" t="s">
        <v>35</v>
      </c>
      <c r="C98" s="185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6" t="s">
        <v>29</v>
      </c>
      <c r="F98" s="26" t="s">
        <v>94</v>
      </c>
      <c r="G98" s="187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7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Plano_Detalhado'!$A$10:$A$196),0),16)="","",INDEX('3. Plano_Detalhado'!$A$10:$Q$196,MATCH(1,($E98='3. Plano_Detalhado'!$E$10:$E$196)*($F98='3. Plano_Detalhado'!$F$10:$F$196)*($C98='3. Plano_Detalhado'!$A$10:$A$196),0),16))</f>
        <v/>
      </c>
      <c r="J98" s="188"/>
      <c r="K98" s="189"/>
      <c r="L98" s="189"/>
      <c r="M98" s="189"/>
      <c r="N98" s="189"/>
    </row>
    <row r="99" spans="1:14" ht="16.350000000000001" customHeight="1" x14ac:dyDescent="0.4">
      <c r="A99" s="2"/>
      <c r="B99" s="48" t="s">
        <v>35</v>
      </c>
      <c r="C99" s="185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6" t="s">
        <v>29</v>
      </c>
      <c r="F99" s="26" t="s">
        <v>95</v>
      </c>
      <c r="G99" s="187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2. Em Especificação/Re-especificação</v>
      </c>
      <c r="H99" s="187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Plano_Detalhado'!$A$10:$A$196),0),16)="","",INDEX('3. Plano_Detalhado'!$A$10:$Q$196,MATCH(1,($E99='3. Plano_Detalhado'!$E$10:$E$196)*($F99='3. Plano_Detalhado'!$F$10:$F$196)*($C99='3. Plano_Detalhado'!$A$10:$A$196),0),16))</f>
        <v/>
      </c>
      <c r="J99" s="188"/>
      <c r="K99" s="189"/>
      <c r="L99" s="189"/>
      <c r="M99" s="189"/>
      <c r="N99" s="189"/>
    </row>
    <row r="100" spans="1:14" ht="16.350000000000001" customHeight="1" x14ac:dyDescent="0.4">
      <c r="A100" s="2"/>
      <c r="B100" s="48" t="s">
        <v>35</v>
      </c>
      <c r="C100" s="185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6" t="s">
        <v>29</v>
      </c>
      <c r="F100" s="26" t="s">
        <v>96</v>
      </c>
      <c r="G100" s="187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2. Em Especificação/Re-especificação</v>
      </c>
      <c r="H100" s="187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Plano_Detalhado'!$A$10:$A$196),0),16)="","",INDEX('3. Plano_Detalhado'!$A$10:$Q$196,MATCH(1,($E100='3. Plano_Detalhado'!$E$10:$E$196)*($F100='3. Plano_Detalhado'!$F$10:$F$196)*($C100='3. Plano_Detalhado'!$A$10:$A$196),0),16))</f>
        <v/>
      </c>
      <c r="J100" s="188"/>
      <c r="K100" s="189"/>
      <c r="L100" s="189"/>
      <c r="M100" s="189"/>
      <c r="N100" s="189"/>
    </row>
    <row r="101" spans="1:14" ht="16.350000000000001" customHeight="1" x14ac:dyDescent="0.4">
      <c r="A101" s="2"/>
      <c r="B101" s="48" t="s">
        <v>35</v>
      </c>
      <c r="C101" s="185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6" t="s">
        <v>29</v>
      </c>
      <c r="F101" s="26" t="s">
        <v>97</v>
      </c>
      <c r="G101" s="187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2. Em Especificação/Re-especificação</v>
      </c>
      <c r="H101" s="187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Plano_Detalhado'!$A$10:$A$196),0),16)="","",INDEX('3. Plano_Detalhado'!$A$10:$Q$196,MATCH(1,($E101='3. Plano_Detalhado'!$E$10:$E$196)*($F101='3. Plano_Detalhado'!$F$10:$F$196)*($C101='3. Plano_Detalhado'!$A$10:$A$196),0),16))</f>
        <v/>
      </c>
      <c r="J101" s="188"/>
      <c r="K101" s="189"/>
      <c r="L101" s="189"/>
      <c r="M101" s="189"/>
      <c r="N101" s="189"/>
    </row>
    <row r="102" spans="1:14" ht="16.350000000000001" customHeight="1" x14ac:dyDescent="0.4">
      <c r="A102" s="2"/>
      <c r="B102" s="48" t="s">
        <v>35</v>
      </c>
      <c r="C102" s="185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6" t="s">
        <v>29</v>
      </c>
      <c r="F102" s="26" t="s">
        <v>98</v>
      </c>
      <c r="G102" s="187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2. Em Especificação/Re-especificação</v>
      </c>
      <c r="H102" s="187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Plano_Detalhado'!$A$10:$A$196),0),16)="","",INDEX('3. Plano_Detalhado'!$A$10:$Q$196,MATCH(1,($E102='3. Plano_Detalhado'!$E$10:$E$196)*($F102='3. Plano_Detalhado'!$F$10:$F$196)*($C102='3. Plano_Detalhado'!$A$10:$A$196),0),16))</f>
        <v/>
      </c>
      <c r="J102" s="188"/>
      <c r="K102" s="189"/>
      <c r="L102" s="189"/>
      <c r="M102" s="189"/>
      <c r="N102" s="189"/>
    </row>
    <row r="103" spans="1:14" ht="16.350000000000001" customHeight="1" x14ac:dyDescent="0.4">
      <c r="A103" s="2"/>
      <c r="B103" s="48" t="s">
        <v>35</v>
      </c>
      <c r="C103" s="185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6" t="s">
        <v>29</v>
      </c>
      <c r="F103" s="26" t="s">
        <v>99</v>
      </c>
      <c r="G103" s="187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2. Em Especificação/Re-especificação</v>
      </c>
      <c r="H103" s="187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Plano_Detalhado'!$A$10:$A$196),0),16)="","",INDEX('3. Plano_Detalhado'!$A$10:$Q$196,MATCH(1,($E103='3. Plano_Detalhado'!$E$10:$E$196)*($F103='3. Plano_Detalhado'!$F$10:$F$196)*($C103='3. Plano_Detalhado'!$A$10:$A$196),0),16))</f>
        <v/>
      </c>
      <c r="J103" s="188"/>
      <c r="K103" s="189"/>
      <c r="L103" s="189"/>
      <c r="M103" s="189"/>
      <c r="N103" s="189"/>
    </row>
    <row r="104" spans="1:14" ht="16.350000000000001" customHeight="1" x14ac:dyDescent="0.4">
      <c r="A104" s="2"/>
      <c r="B104" s="48" t="s">
        <v>35</v>
      </c>
      <c r="C104" s="185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6" t="s">
        <v>29</v>
      </c>
      <c r="F104" s="26" t="s">
        <v>100</v>
      </c>
      <c r="G104" s="187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2. Em Especificação/Re-especificação</v>
      </c>
      <c r="H104" s="187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Plano_Detalhado'!$A$10:$A$196),0),16)="","",INDEX('3. Plano_Detalhado'!$A$10:$Q$196,MATCH(1,($E104='3. Plano_Detalhado'!$E$10:$E$196)*($F104='3. Plano_Detalhado'!$F$10:$F$196)*($C104='3. Plano_Detalhado'!$A$10:$A$196),0),16))</f>
        <v/>
      </c>
      <c r="J104" s="188"/>
      <c r="K104" s="189"/>
      <c r="L104" s="189"/>
      <c r="M104" s="189"/>
      <c r="N104" s="189"/>
    </row>
    <row r="105" spans="1:14" ht="16.350000000000001" customHeight="1" x14ac:dyDescent="0.4">
      <c r="A105" s="2"/>
      <c r="B105" s="48" t="s">
        <v>35</v>
      </c>
      <c r="C105" s="185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6" t="s">
        <v>29</v>
      </c>
      <c r="F105" s="26" t="s">
        <v>101</v>
      </c>
      <c r="G105" s="187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2. Em Especificação/Re-especificação</v>
      </c>
      <c r="H105" s="187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Plano_Detalhado'!$A$10:$A$196),0),16)="","",INDEX('3. Plano_Detalhado'!$A$10:$Q$196,MATCH(1,($E105='3. Plano_Detalhado'!$E$10:$E$196)*($F105='3. Plano_Detalhado'!$F$10:$F$196)*($C105='3. Plano_Detalhado'!$A$10:$A$196),0),16))</f>
        <v/>
      </c>
      <c r="J105" s="188"/>
      <c r="K105" s="189"/>
      <c r="L105" s="189"/>
      <c r="M105" s="189"/>
      <c r="N105" s="189"/>
    </row>
    <row r="106" spans="1:14" ht="16.350000000000001" customHeight="1" x14ac:dyDescent="0.4">
      <c r="A106" s="2"/>
      <c r="B106" s="48" t="s">
        <v>35</v>
      </c>
      <c r="C106" s="185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6" t="s">
        <v>29</v>
      </c>
      <c r="F106" s="26" t="s">
        <v>63</v>
      </c>
      <c r="G106" s="187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2. Em Especificação/Re-especificação</v>
      </c>
      <c r="H106" s="187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Plano_Detalhado'!$A$10:$A$196),0),16)="","",INDEX('3. Plano_Detalhado'!$A$10:$Q$196,MATCH(1,($E106='3. Plano_Detalhado'!$E$10:$E$196)*($F106='3. Plano_Detalhado'!$F$10:$F$196)*($C106='3. Plano_Detalhado'!$A$10:$A$196),0),16))</f>
        <v/>
      </c>
      <c r="J106" s="188"/>
      <c r="K106" s="189"/>
      <c r="L106" s="189"/>
      <c r="M106" s="189"/>
      <c r="N106" s="189"/>
    </row>
    <row r="107" spans="1:14" ht="16.350000000000001" customHeight="1" x14ac:dyDescent="0.4">
      <c r="A107" s="2"/>
      <c r="B107" s="48" t="s">
        <v>35</v>
      </c>
      <c r="C107" s="185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6" t="s">
        <v>29</v>
      </c>
      <c r="F107" s="26" t="s">
        <v>102</v>
      </c>
      <c r="G107" s="187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2. Em Especificação/Re-especificação</v>
      </c>
      <c r="H107" s="187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Plano_Detalhado'!$A$10:$A$196),0),16)="","",INDEX('3. Plano_Detalhado'!$A$10:$Q$196,MATCH(1,($E107='3. Plano_Detalhado'!$E$10:$E$196)*($F107='3. Plano_Detalhado'!$F$10:$F$196)*($C107='3. Plano_Detalhado'!$A$10:$A$196),0),16))</f>
        <v/>
      </c>
      <c r="J107" s="188"/>
      <c r="K107" s="189"/>
      <c r="L107" s="189"/>
      <c r="M107" s="189"/>
      <c r="N107" s="189"/>
    </row>
    <row r="108" spans="1:14" ht="16.350000000000001" customHeight="1" x14ac:dyDescent="0.4">
      <c r="A108" s="2"/>
      <c r="B108" s="48" t="s">
        <v>35</v>
      </c>
      <c r="C108" s="185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6" t="s">
        <v>29</v>
      </c>
      <c r="F108" s="26" t="s">
        <v>103</v>
      </c>
      <c r="G108" s="187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2. Em Especificação/Re-especificação</v>
      </c>
      <c r="H108" s="187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Plano_Detalhado'!$A$10:$A$196),0),16)="","",INDEX('3. Plano_Detalhado'!$A$10:$Q$196,MATCH(1,($E108='3. Plano_Detalhado'!$E$10:$E$196)*($F108='3. Plano_Detalhado'!$F$10:$F$196)*($C108='3. Plano_Detalhado'!$A$10:$A$196),0),16))</f>
        <v/>
      </c>
      <c r="J108" s="188"/>
      <c r="K108" s="189"/>
      <c r="L108" s="189"/>
      <c r="M108" s="189"/>
      <c r="N108" s="189"/>
    </row>
    <row r="109" spans="1:14" ht="16.350000000000001" customHeight="1" x14ac:dyDescent="0.4">
      <c r="A109" s="2"/>
      <c r="B109" s="48" t="s">
        <v>35</v>
      </c>
      <c r="C109" s="185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6" t="s">
        <v>269</v>
      </c>
      <c r="F109" s="26" t="s">
        <v>30</v>
      </c>
      <c r="G109" s="187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7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Plano_Detalhado'!$A$10:$A$196),0),16)="","",INDEX('3. Plano_Detalhado'!$A$10:$Q$196,MATCH(1,($E109='3. Plano_Detalhado'!$E$10:$E$196)*($F109='3. Plano_Detalhado'!$F$10:$F$196)*($C109='3. Plano_Detalhado'!$A$10:$A$196),0),16))</f>
        <v/>
      </c>
      <c r="J109" s="188"/>
      <c r="K109" s="189"/>
      <c r="L109" s="189"/>
      <c r="M109" s="189"/>
      <c r="N109" s="189"/>
    </row>
    <row r="110" spans="1:14" ht="16.350000000000001" customHeight="1" x14ac:dyDescent="0.4">
      <c r="A110" s="2"/>
      <c r="B110" s="48" t="s">
        <v>35</v>
      </c>
      <c r="C110" s="185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6" t="s">
        <v>269</v>
      </c>
      <c r="F110" s="26" t="s">
        <v>270</v>
      </c>
      <c r="G110" s="187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7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Plano_Detalhado'!$A$10:$A$196),0),16)="","",INDEX('3. Plano_Detalhado'!$A$10:$Q$196,MATCH(1,($E110='3. Plano_Detalhado'!$E$10:$E$196)*($F110='3. Plano_Detalhado'!$F$10:$F$196)*($C110='3. Plano_Detalhado'!$A$10:$A$196),0),16))</f>
        <v/>
      </c>
      <c r="J110" s="188"/>
      <c r="K110" s="189"/>
      <c r="L110" s="189"/>
      <c r="M110" s="189"/>
      <c r="N110" s="189"/>
    </row>
    <row r="111" spans="1:14" ht="16.350000000000001" customHeight="1" x14ac:dyDescent="0.4">
      <c r="A111" s="2"/>
      <c r="B111" s="48" t="s">
        <v>35</v>
      </c>
      <c r="C111" s="185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6" t="s">
        <v>269</v>
      </c>
      <c r="F111" s="26" t="s">
        <v>271</v>
      </c>
      <c r="G111" s="187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7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Plano_Detalhado'!$A$10:$A$196),0),16)="","",INDEX('3. Plano_Detalhado'!$A$10:$Q$196,MATCH(1,($E111='3. Plano_Detalhado'!$E$10:$E$196)*($F111='3. Plano_Detalhado'!$F$10:$F$196)*($C111='3. Plano_Detalhado'!$A$10:$A$196),0),16))</f>
        <v/>
      </c>
      <c r="J111" s="188"/>
      <c r="K111" s="189"/>
      <c r="L111" s="189"/>
      <c r="M111" s="189"/>
      <c r="N111" s="189"/>
    </row>
    <row r="112" spans="1:14" ht="16.350000000000001" customHeight="1" x14ac:dyDescent="0.4">
      <c r="A112" s="2"/>
      <c r="B112" s="48" t="s">
        <v>35</v>
      </c>
      <c r="C112" s="185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6" t="s">
        <v>269</v>
      </c>
      <c r="F112" s="26" t="s">
        <v>272</v>
      </c>
      <c r="G112" s="187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7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Plano_Detalhado'!$A$10:$A$196),0),16)="","",INDEX('3. Plano_Detalhado'!$A$10:$Q$196,MATCH(1,($E112='3. Plano_Detalhado'!$E$10:$E$196)*($F112='3. Plano_Detalhado'!$F$10:$F$196)*($C112='3. Plano_Detalhado'!$A$10:$A$196),0),16))</f>
        <v/>
      </c>
      <c r="J112" s="188"/>
      <c r="K112" s="189"/>
      <c r="L112" s="189"/>
      <c r="M112" s="189"/>
      <c r="N112" s="189"/>
    </row>
    <row r="113" spans="1:14" ht="16.350000000000001" customHeight="1" x14ac:dyDescent="0.4">
      <c r="A113" s="2"/>
      <c r="B113" s="48" t="s">
        <v>35</v>
      </c>
      <c r="C113" s="185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6" t="s">
        <v>269</v>
      </c>
      <c r="F113" s="26" t="s">
        <v>26</v>
      </c>
      <c r="G113" s="187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7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Plano_Detalhado'!$A$10:$A$196),0),16)="","",INDEX('3. Plano_Detalhado'!$A$10:$Q$196,MATCH(1,($E113='3. Plano_Detalhado'!$E$10:$E$196)*($F113='3. Plano_Detalhado'!$F$10:$F$196)*($C113='3. Plano_Detalhado'!$A$10:$A$196),0),16))</f>
        <v/>
      </c>
      <c r="J113" s="188"/>
      <c r="K113" s="189"/>
      <c r="L113" s="189"/>
      <c r="M113" s="189"/>
      <c r="N113" s="189"/>
    </row>
    <row r="114" spans="1:14" ht="16.350000000000001" customHeight="1" x14ac:dyDescent="0.4">
      <c r="A114" s="2"/>
      <c r="B114" s="48" t="s">
        <v>35</v>
      </c>
      <c r="C114" s="185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6" t="s">
        <v>269</v>
      </c>
      <c r="F114" s="26" t="s">
        <v>25</v>
      </c>
      <c r="G114" s="187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7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Plano_Detalhado'!$A$10:$A$196),0),16)="","",INDEX('3. Plano_Detalhado'!$A$10:$Q$196,MATCH(1,($E114='3. Plano_Detalhado'!$E$10:$E$196)*($F114='3. Plano_Detalhado'!$F$10:$F$196)*($C114='3. Plano_Detalhado'!$A$10:$A$196),0),16))</f>
        <v/>
      </c>
      <c r="J114" s="188"/>
      <c r="K114" s="189"/>
      <c r="L114" s="189"/>
      <c r="M114" s="189"/>
      <c r="N114" s="189"/>
    </row>
    <row r="115" spans="1:14" ht="16.350000000000001" customHeight="1" x14ac:dyDescent="0.4">
      <c r="A115" s="2"/>
      <c r="B115" s="48" t="s">
        <v>35</v>
      </c>
      <c r="C115" s="185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6" t="s">
        <v>29</v>
      </c>
      <c r="F115" s="26" t="s">
        <v>53</v>
      </c>
      <c r="G115" s="187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7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Plano_Detalhado'!$A$10:$A$196),0),16)="","",INDEX('3. Plano_Detalhado'!$A$10:$Q$196,MATCH(1,($E115='3. Plano_Detalhado'!$E$10:$E$196)*($F115='3. Plano_Detalhado'!$F$10:$F$196)*($C115='3. Plano_Detalhado'!$A$10:$A$196),0),16))</f>
        <v/>
      </c>
      <c r="J115" s="188"/>
      <c r="K115" s="189"/>
      <c r="L115" s="189"/>
      <c r="M115" s="189"/>
      <c r="N115" s="189"/>
    </row>
    <row r="116" spans="1:14" ht="16.350000000000001" customHeight="1" x14ac:dyDescent="0.4">
      <c r="A116" s="2"/>
      <c r="B116" s="48" t="s">
        <v>35</v>
      </c>
      <c r="C116" s="185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6" t="s">
        <v>275</v>
      </c>
      <c r="F116" s="26" t="s">
        <v>117</v>
      </c>
      <c r="G116" s="187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7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1. Concluído</v>
      </c>
      <c r="I116" s="26" t="str" cm="1">
        <f t="array" ref="I116">IF(INDEX('3. Plano_Detalhado'!$A$10:$Q$196,MATCH(1,($E116='3. Plano_Detalhado'!$E$10:$E$196)*($F116='3. Plano_Detalhado'!$F$10:$F$196)*($C116='3. Plano_Detalhado'!$A$10:$A$196),0),16)="","",INDEX('3. Plano_Detalhado'!$A$10:$Q$196,MATCH(1,($E116='3. Plano_Detalhado'!$E$10:$E$196)*($F116='3. Plano_Detalhado'!$F$10:$F$196)*($C116='3. Plano_Detalhado'!$A$10:$A$196),0),16))</f>
        <v/>
      </c>
      <c r="J116" s="188"/>
      <c r="K116" s="189"/>
      <c r="L116" s="189"/>
      <c r="M116" s="189"/>
      <c r="N116" s="189"/>
    </row>
    <row r="117" spans="1:14" ht="16.350000000000001" customHeight="1" x14ac:dyDescent="0.4">
      <c r="A117" s="2"/>
      <c r="B117" s="48" t="s">
        <v>35</v>
      </c>
      <c r="C117" s="185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6" t="s">
        <v>108</v>
      </c>
      <c r="F117" s="26" t="s">
        <v>51</v>
      </c>
      <c r="G117" s="187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7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1. Concluído</v>
      </c>
      <c r="I117" s="26" t="str" cm="1">
        <f t="array" ref="I117">IF(INDEX('3. Plano_Detalhado'!$A$10:$Q$196,MATCH(1,($E117='3. Plano_Detalhado'!$E$10:$E$196)*($F117='3. Plano_Detalhado'!$F$10:$F$196)*($C117='3. Plano_Detalhado'!$A$10:$A$196),0),16)="","",INDEX('3. Plano_Detalhado'!$A$10:$Q$196,MATCH(1,($E117='3. Plano_Detalhado'!$E$10:$E$196)*($F117='3. Plano_Detalhado'!$F$10:$F$196)*($C117='3. Plano_Detalhado'!$A$10:$A$196),0),16))</f>
        <v/>
      </c>
      <c r="J117" s="188"/>
      <c r="K117" s="189"/>
      <c r="L117" s="189"/>
      <c r="M117" s="189"/>
      <c r="N117" s="189"/>
    </row>
    <row r="118" spans="1:14" ht="16.350000000000001" customHeight="1" x14ac:dyDescent="0.4">
      <c r="A118" s="2"/>
      <c r="B118" s="48" t="s">
        <v>35</v>
      </c>
      <c r="C118" s="185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6" t="s">
        <v>108</v>
      </c>
      <c r="F118" s="26" t="s">
        <v>52</v>
      </c>
      <c r="G118" s="187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7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1. Concluído</v>
      </c>
      <c r="I118" s="26" t="str" cm="1">
        <f t="array" ref="I118">IF(INDEX('3. Plano_Detalhado'!$A$10:$Q$196,MATCH(1,($E118='3. Plano_Detalhado'!$E$10:$E$196)*($F118='3. Plano_Detalhado'!$F$10:$F$196)*($C118='3. Plano_Detalhado'!$A$10:$A$196),0),16)="","",INDEX('3. Plano_Detalhado'!$A$10:$Q$196,MATCH(1,($E118='3. Plano_Detalhado'!$E$10:$E$196)*($F118='3. Plano_Detalhado'!$F$10:$F$196)*($C118='3. Plano_Detalhado'!$A$10:$A$196),0),16))</f>
        <v/>
      </c>
      <c r="J118" s="188"/>
      <c r="K118" s="189"/>
      <c r="L118" s="189"/>
      <c r="M118" s="189"/>
      <c r="N118" s="189"/>
    </row>
    <row r="119" spans="1:14" ht="16.350000000000001" customHeight="1" x14ac:dyDescent="0.4">
      <c r="A119" s="2"/>
      <c r="B119" s="48" t="s">
        <v>35</v>
      </c>
      <c r="C119" s="185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90" t="s">
        <v>108</v>
      </c>
      <c r="F119" s="160" t="s">
        <v>53</v>
      </c>
      <c r="G119" s="187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1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1. Concluído</v>
      </c>
      <c r="I119" s="26" t="str" cm="1">
        <f t="array" ref="I119">IF(INDEX('3. Plano_Detalhado'!$A$10:$Q$196,MATCH(1,($E119='3. Plano_Detalhado'!$E$10:$E$196)*($F119='3. Plano_Detalhado'!$F$10:$F$196)*($C119='3. Plano_Detalhado'!$A$10:$A$196),0),16)="","",INDEX('3. Plano_Detalhado'!$A$10:$Q$196,MATCH(1,($E119='3. Plano_Detalhado'!$E$10:$E$196)*($F119='3. Plano_Detalhado'!$F$10:$F$196)*($C119='3. Plano_Detalhado'!$A$10:$A$196),0),16))</f>
        <v/>
      </c>
      <c r="J119" s="192"/>
      <c r="K119" s="193"/>
      <c r="L119" s="193"/>
      <c r="M119" s="193"/>
      <c r="N119" s="193"/>
    </row>
    <row r="120" spans="1:14" ht="16.350000000000001" hidden="1" customHeight="1" x14ac:dyDescent="0.4">
      <c r="A120" s="2"/>
      <c r="B120" s="48" t="s">
        <v>35</v>
      </c>
      <c r="C120" s="210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1" t="s">
        <v>29</v>
      </c>
      <c r="F120" s="160" t="s">
        <v>62</v>
      </c>
      <c r="G120" s="212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1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Plano_Detalhado'!$A$10:$A$196),0),16)="","",INDEX('3. Plano_Detalhado'!$A$10:$Q$196,MATCH(1,($E120='3. Plano_Detalhado'!$E$10:$E$196)*($F120='3. Plano_Detalhado'!$F$10:$F$196)*($C120='3. Plano_Detalhado'!$A$10:$A$196),0),16))</f>
        <v/>
      </c>
      <c r="J120" s="192"/>
      <c r="K120" s="193"/>
      <c r="L120" s="193"/>
      <c r="M120" s="193"/>
      <c r="N120" s="193"/>
    </row>
    <row r="121" spans="1:14" ht="16.350000000000001" hidden="1" customHeight="1" x14ac:dyDescent="0.4">
      <c r="A121" s="2"/>
      <c r="B121" s="48" t="s">
        <v>35</v>
      </c>
      <c r="C121" s="210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8" t="s">
        <v>29</v>
      </c>
      <c r="F121" s="26" t="s">
        <v>87</v>
      </c>
      <c r="G121" s="209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7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Plano_Detalhado'!$A$10:$A$196),0),16)="","",INDEX('3. Plano_Detalhado'!$A$10:$Q$196,MATCH(1,($E121='3. Plano_Detalhado'!$E$10:$E$196)*($F121='3. Plano_Detalhado'!$F$10:$F$196)*($C121='3. Plano_Detalhado'!$A$10:$A$196),0),16))</f>
        <v/>
      </c>
      <c r="J121" s="188"/>
      <c r="K121" s="189"/>
      <c r="L121" s="189"/>
      <c r="M121" s="189"/>
      <c r="N121" s="189"/>
    </row>
    <row r="122" spans="1:14" ht="16.350000000000001" hidden="1" customHeight="1" x14ac:dyDescent="0.4">
      <c r="A122" s="2"/>
      <c r="B122" s="48" t="s">
        <v>35</v>
      </c>
      <c r="C122" s="210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8" t="s">
        <v>29</v>
      </c>
      <c r="F122" s="26" t="s">
        <v>88</v>
      </c>
      <c r="G122" s="209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7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Plano_Detalhado'!$A$10:$A$196),0),16)="","",INDEX('3. Plano_Detalhado'!$A$10:$Q$196,MATCH(1,($E122='3. Plano_Detalhado'!$E$10:$E$196)*($F122='3. Plano_Detalhado'!$F$10:$F$196)*($C122='3. Plano_Detalhado'!$A$10:$A$196),0),16))</f>
        <v/>
      </c>
      <c r="J122" s="188"/>
      <c r="K122" s="189"/>
      <c r="L122" s="189"/>
      <c r="M122" s="189"/>
      <c r="N122" s="189"/>
    </row>
    <row r="123" spans="1:14" ht="16.350000000000001" hidden="1" customHeight="1" x14ac:dyDescent="0.4">
      <c r="A123" s="2"/>
      <c r="B123" s="48" t="s">
        <v>35</v>
      </c>
      <c r="C123" s="210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8" t="s">
        <v>29</v>
      </c>
      <c r="F123" s="26" t="s">
        <v>89</v>
      </c>
      <c r="G123" s="209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7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Plano_Detalhado'!$A$10:$A$196),0),16)="","",INDEX('3. Plano_Detalhado'!$A$10:$Q$196,MATCH(1,($E123='3. Plano_Detalhado'!$E$10:$E$196)*($F123='3. Plano_Detalhado'!$F$10:$F$196)*($C123='3. Plano_Detalhado'!$A$10:$A$196),0),16))</f>
        <v/>
      </c>
      <c r="J123" s="188"/>
      <c r="K123" s="189"/>
      <c r="L123" s="189"/>
      <c r="M123" s="189"/>
      <c r="N123" s="189"/>
    </row>
    <row r="124" spans="1:14" ht="16.350000000000001" hidden="1" customHeight="1" x14ac:dyDescent="0.4">
      <c r="A124" s="2"/>
      <c r="B124" s="48" t="s">
        <v>35</v>
      </c>
      <c r="C124" s="210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8" t="s">
        <v>29</v>
      </c>
      <c r="F124" s="26" t="s">
        <v>91</v>
      </c>
      <c r="G124" s="209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7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Plano_Detalhado'!$A$10:$A$196),0),16)="","",INDEX('3. Plano_Detalhado'!$A$10:$Q$196,MATCH(1,($E124='3. Plano_Detalhado'!$E$10:$E$196)*($F124='3. Plano_Detalhado'!$F$10:$F$196)*($C124='3. Plano_Detalhado'!$A$10:$A$196),0),16))</f>
        <v/>
      </c>
      <c r="J124" s="188"/>
      <c r="K124" s="189"/>
      <c r="L124" s="189"/>
      <c r="M124" s="189"/>
      <c r="N124" s="189"/>
    </row>
    <row r="125" spans="1:14" ht="16.350000000000001" hidden="1" customHeight="1" x14ac:dyDescent="0.4">
      <c r="A125" s="2"/>
      <c r="B125" s="48" t="s">
        <v>35</v>
      </c>
      <c r="C125" s="210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8" t="s">
        <v>29</v>
      </c>
      <c r="F125" s="26" t="s">
        <v>94</v>
      </c>
      <c r="G125" s="209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7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Plano_Detalhado'!$A$10:$A$196),0),16)="","",INDEX('3. Plano_Detalhado'!$A$10:$Q$196,MATCH(1,($E125='3. Plano_Detalhado'!$E$10:$E$196)*($F125='3. Plano_Detalhado'!$F$10:$F$196)*($C125='3. Plano_Detalhado'!$A$10:$A$196),0),16))</f>
        <v/>
      </c>
      <c r="J125" s="188"/>
      <c r="K125" s="189"/>
      <c r="L125" s="189"/>
      <c r="M125" s="189"/>
      <c r="N125" s="189"/>
    </row>
    <row r="126" spans="1:14" ht="16.350000000000001" hidden="1" customHeight="1" x14ac:dyDescent="0.4">
      <c r="A126" s="2"/>
      <c r="B126" s="48" t="s">
        <v>35</v>
      </c>
      <c r="C126" s="210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8" t="s">
        <v>29</v>
      </c>
      <c r="F126" s="26" t="s">
        <v>51</v>
      </c>
      <c r="G126" s="209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7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Plano_Detalhado'!$A$10:$A$196),0),16)="","",INDEX('3. Plano_Detalhado'!$A$10:$Q$196,MATCH(1,($E126='3. Plano_Detalhado'!$E$10:$E$196)*($F126='3. Plano_Detalhado'!$F$10:$F$196)*($C126='3. Plano_Detalhado'!$A$10:$A$196),0),16))</f>
        <v/>
      </c>
      <c r="J126" s="188"/>
      <c r="K126" s="189"/>
      <c r="L126" s="189"/>
      <c r="M126" s="189"/>
      <c r="N126" s="189"/>
    </row>
    <row r="127" spans="1:14" ht="16.350000000000001" hidden="1" customHeight="1" x14ac:dyDescent="0.4">
      <c r="A127" s="2"/>
      <c r="B127" s="48" t="s">
        <v>35</v>
      </c>
      <c r="C127" s="210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8" t="s">
        <v>29</v>
      </c>
      <c r="F127" s="26" t="s">
        <v>68</v>
      </c>
      <c r="G127" s="209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7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Plano_Detalhado'!$A$10:$A$196),0),16)="","",INDEX('3. Plano_Detalhado'!$A$10:$Q$196,MATCH(1,($E127='3. Plano_Detalhado'!$E$10:$E$196)*($F127='3. Plano_Detalhado'!$F$10:$F$196)*($C127='3. Plano_Detalhado'!$A$10:$A$196),0),16))</f>
        <v/>
      </c>
      <c r="J127" s="188"/>
      <c r="K127" s="189"/>
      <c r="L127" s="189"/>
      <c r="M127" s="189"/>
      <c r="N127" s="189"/>
    </row>
    <row r="128" spans="1:14" ht="16.350000000000001" hidden="1" customHeight="1" x14ac:dyDescent="0.4">
      <c r="A128" s="2"/>
      <c r="B128" s="48" t="s">
        <v>35</v>
      </c>
      <c r="C128" s="210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8" t="s">
        <v>29</v>
      </c>
      <c r="F128" s="26" t="s">
        <v>52</v>
      </c>
      <c r="G128" s="209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7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Plano_Detalhado'!$A$10:$A$196),0),16)="","",INDEX('3. Plano_Detalhado'!$A$10:$Q$196,MATCH(1,($E128='3. Plano_Detalhado'!$E$10:$E$196)*($F128='3. Plano_Detalhado'!$F$10:$F$196)*($C128='3. Plano_Detalhado'!$A$10:$A$196),0),16))</f>
        <v/>
      </c>
      <c r="J128" s="188"/>
      <c r="K128" s="189"/>
      <c r="L128" s="189"/>
      <c r="M128" s="189"/>
      <c r="N128" s="189"/>
    </row>
    <row r="129" spans="1:14" ht="16.350000000000001" hidden="1" customHeight="1" x14ac:dyDescent="0.4">
      <c r="A129" s="2"/>
      <c r="B129" s="48" t="s">
        <v>35</v>
      </c>
      <c r="C129" s="210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8" t="s">
        <v>29</v>
      </c>
      <c r="F129" s="26" t="s">
        <v>55</v>
      </c>
      <c r="G129" s="209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7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Plano_Detalhado'!$A$10:$A$196),0),16)="","",INDEX('3. Plano_Detalhado'!$A$10:$Q$196,MATCH(1,($E129='3. Plano_Detalhado'!$E$10:$E$196)*($F129='3. Plano_Detalhado'!$F$10:$F$196)*($C129='3. Plano_Detalhado'!$A$10:$A$196),0),16))</f>
        <v/>
      </c>
      <c r="J129" s="188"/>
      <c r="K129" s="189"/>
      <c r="L129" s="189"/>
      <c r="M129" s="189"/>
      <c r="N129" s="189"/>
    </row>
    <row r="130" spans="1:14" ht="16.350000000000001" hidden="1" customHeight="1" x14ac:dyDescent="0.4">
      <c r="A130" s="2"/>
      <c r="B130" s="48" t="s">
        <v>35</v>
      </c>
      <c r="C130" s="210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8" t="s">
        <v>29</v>
      </c>
      <c r="F130" s="26" t="s">
        <v>69</v>
      </c>
      <c r="G130" s="209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7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Plano_Detalhado'!$A$10:$A$196),0),16)="","",INDEX('3. Plano_Detalhado'!$A$10:$Q$196,MATCH(1,($E130='3. Plano_Detalhado'!$E$10:$E$196)*($F130='3. Plano_Detalhado'!$F$10:$F$196)*($C130='3. Plano_Detalhado'!$A$10:$A$196),0),16))</f>
        <v/>
      </c>
      <c r="J130" s="188"/>
      <c r="K130" s="189"/>
      <c r="L130" s="189"/>
      <c r="M130" s="189"/>
      <c r="N130" s="189"/>
    </row>
    <row r="131" spans="1:14" ht="16.350000000000001" hidden="1" customHeight="1" x14ac:dyDescent="0.4">
      <c r="A131" s="2"/>
      <c r="B131" s="48" t="s">
        <v>35</v>
      </c>
      <c r="C131" s="210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8" t="s">
        <v>29</v>
      </c>
      <c r="F131" s="26" t="s">
        <v>56</v>
      </c>
      <c r="G131" s="209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7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Plano_Detalhado'!$A$10:$A$196),0),16)="","",INDEX('3. Plano_Detalhado'!$A$10:$Q$196,MATCH(1,($E131='3. Plano_Detalhado'!$E$10:$E$196)*($F131='3. Plano_Detalhado'!$F$10:$F$196)*($C131='3. Plano_Detalhado'!$A$10:$A$196),0),16))</f>
        <v/>
      </c>
      <c r="J131" s="188"/>
      <c r="K131" s="189"/>
      <c r="L131" s="189"/>
      <c r="M131" s="189"/>
      <c r="N131" s="189"/>
    </row>
    <row r="132" spans="1:14" ht="16.350000000000001" hidden="1" customHeight="1" x14ac:dyDescent="0.4">
      <c r="A132" s="2"/>
      <c r="B132" s="48" t="s">
        <v>35</v>
      </c>
      <c r="C132" s="210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8" t="s">
        <v>29</v>
      </c>
      <c r="F132" s="26" t="s">
        <v>70</v>
      </c>
      <c r="G132" s="209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7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Plano_Detalhado'!$A$10:$A$196),0),16)="","",INDEX('3. Plano_Detalhado'!$A$10:$Q$196,MATCH(1,($E132='3. Plano_Detalhado'!$E$10:$E$196)*($F132='3. Plano_Detalhado'!$F$10:$F$196)*($C132='3. Plano_Detalhado'!$A$10:$A$196),0),16))</f>
        <v/>
      </c>
      <c r="J132" s="188"/>
      <c r="K132" s="189"/>
      <c r="L132" s="189"/>
      <c r="M132" s="189"/>
      <c r="N132" s="189"/>
    </row>
    <row r="133" spans="1:14" ht="16.350000000000001" hidden="1" customHeight="1" x14ac:dyDescent="0.4">
      <c r="A133" s="2"/>
      <c r="B133" s="48" t="s">
        <v>35</v>
      </c>
      <c r="C133" s="210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8" t="s">
        <v>29</v>
      </c>
      <c r="F133" s="26" t="s">
        <v>71</v>
      </c>
      <c r="G133" s="209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7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Plano_Detalhado'!$A$10:$A$196),0),16)="","",INDEX('3. Plano_Detalhado'!$A$10:$Q$196,MATCH(1,($E133='3. Plano_Detalhado'!$E$10:$E$196)*($F133='3. Plano_Detalhado'!$F$10:$F$196)*($C133='3. Plano_Detalhado'!$A$10:$A$196),0),16))</f>
        <v/>
      </c>
      <c r="J133" s="188"/>
      <c r="K133" s="189"/>
      <c r="L133" s="189"/>
      <c r="M133" s="189"/>
      <c r="N133" s="189"/>
    </row>
    <row r="134" spans="1:14" ht="16.350000000000001" hidden="1" customHeight="1" x14ac:dyDescent="0.4">
      <c r="A134" s="2"/>
      <c r="B134" s="48" t="s">
        <v>35</v>
      </c>
      <c r="C134" s="210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8" t="s">
        <v>29</v>
      </c>
      <c r="F134" s="26" t="s">
        <v>72</v>
      </c>
      <c r="G134" s="209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7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Plano_Detalhado'!$A$10:$A$196),0),16)="","",INDEX('3. Plano_Detalhado'!$A$10:$Q$196,MATCH(1,($E134='3. Plano_Detalhado'!$E$10:$E$196)*($F134='3. Plano_Detalhado'!$F$10:$F$196)*($C134='3. Plano_Detalhado'!$A$10:$A$196),0),16))</f>
        <v/>
      </c>
      <c r="J134" s="188"/>
      <c r="K134" s="189"/>
      <c r="L134" s="189"/>
      <c r="M134" s="189"/>
      <c r="N134" s="189"/>
    </row>
    <row r="135" spans="1:14" ht="16.350000000000001" hidden="1" customHeight="1" x14ac:dyDescent="0.4">
      <c r="A135" s="2"/>
      <c r="B135" s="48" t="s">
        <v>35</v>
      </c>
      <c r="C135" s="210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8" t="s">
        <v>29</v>
      </c>
      <c r="F135" s="26" t="s">
        <v>73</v>
      </c>
      <c r="G135" s="209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7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Plano_Detalhado'!$A$10:$A$196),0),16)="","",INDEX('3. Plano_Detalhado'!$A$10:$Q$196,MATCH(1,($E135='3. Plano_Detalhado'!$E$10:$E$196)*($F135='3. Plano_Detalhado'!$F$10:$F$196)*($C135='3. Plano_Detalhado'!$A$10:$A$196),0),16))</f>
        <v/>
      </c>
      <c r="J135" s="188"/>
      <c r="K135" s="189"/>
      <c r="L135" s="189"/>
      <c r="M135" s="189"/>
      <c r="N135" s="189"/>
    </row>
    <row r="136" spans="1:14" ht="16.350000000000001" hidden="1" customHeight="1" x14ac:dyDescent="0.4">
      <c r="A136" s="2"/>
      <c r="B136" s="48" t="s">
        <v>35</v>
      </c>
      <c r="C136" s="210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8" t="s">
        <v>29</v>
      </c>
      <c r="F136" s="26" t="s">
        <v>74</v>
      </c>
      <c r="G136" s="209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7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Plano_Detalhado'!$A$10:$A$196),0),16)="","",INDEX('3. Plano_Detalhado'!$A$10:$Q$196,MATCH(1,($E136='3. Plano_Detalhado'!$E$10:$E$196)*($F136='3. Plano_Detalhado'!$F$10:$F$196)*($C136='3. Plano_Detalhado'!$A$10:$A$196),0),16))</f>
        <v/>
      </c>
      <c r="J136" s="188"/>
      <c r="K136" s="189"/>
      <c r="L136" s="189"/>
      <c r="M136" s="189"/>
      <c r="N136" s="189"/>
    </row>
    <row r="137" spans="1:14" ht="16.350000000000001" hidden="1" customHeight="1" x14ac:dyDescent="0.4">
      <c r="A137" s="2"/>
      <c r="B137" s="48" t="s">
        <v>35</v>
      </c>
      <c r="C137" s="210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8" t="s">
        <v>29</v>
      </c>
      <c r="F137" s="26" t="s">
        <v>75</v>
      </c>
      <c r="G137" s="209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7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Plano_Detalhado'!$A$10:$A$196),0),16)="","",INDEX('3. Plano_Detalhado'!$A$10:$Q$196,MATCH(1,($E137='3. Plano_Detalhado'!$E$10:$E$196)*($F137='3. Plano_Detalhado'!$F$10:$F$196)*($C137='3. Plano_Detalhado'!$A$10:$A$196),0),16))</f>
        <v/>
      </c>
      <c r="J137" s="188"/>
      <c r="K137" s="189"/>
      <c r="L137" s="189"/>
      <c r="M137" s="189"/>
      <c r="N137" s="189"/>
    </row>
    <row r="138" spans="1:14" ht="16.350000000000001" hidden="1" customHeight="1" x14ac:dyDescent="0.4">
      <c r="A138" s="2"/>
      <c r="B138" s="48" t="s">
        <v>35</v>
      </c>
      <c r="C138" s="210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8" t="s">
        <v>29</v>
      </c>
      <c r="F138" s="26" t="s">
        <v>76</v>
      </c>
      <c r="G138" s="209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7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Plano_Detalhado'!$A$10:$A$196),0),16)="","",INDEX('3. Plano_Detalhado'!$A$10:$Q$196,MATCH(1,($E138='3. Plano_Detalhado'!$E$10:$E$196)*($F138='3. Plano_Detalhado'!$F$10:$F$196)*($C138='3. Plano_Detalhado'!$A$10:$A$196),0),16))</f>
        <v/>
      </c>
      <c r="J138" s="188"/>
      <c r="K138" s="189"/>
      <c r="L138" s="189"/>
      <c r="M138" s="189"/>
      <c r="N138" s="189"/>
    </row>
    <row r="139" spans="1:14" ht="16.350000000000001" hidden="1" customHeight="1" x14ac:dyDescent="0.4">
      <c r="A139" s="2"/>
      <c r="B139" s="48" t="s">
        <v>35</v>
      </c>
      <c r="C139" s="210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8" t="s">
        <v>29</v>
      </c>
      <c r="F139" s="26" t="s">
        <v>77</v>
      </c>
      <c r="G139" s="209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7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Plano_Detalhado'!$A$10:$A$196),0),16)="","",INDEX('3. Plano_Detalhado'!$A$10:$Q$196,MATCH(1,($E139='3. Plano_Detalhado'!$E$10:$E$196)*($F139='3. Plano_Detalhado'!$F$10:$F$196)*($C139='3. Plano_Detalhado'!$A$10:$A$196),0),16))</f>
        <v/>
      </c>
      <c r="J139" s="188"/>
      <c r="K139" s="189"/>
      <c r="L139" s="189"/>
      <c r="M139" s="189"/>
      <c r="N139" s="189"/>
    </row>
    <row r="140" spans="1:14" ht="16.350000000000001" hidden="1" customHeight="1" x14ac:dyDescent="0.4">
      <c r="A140" s="2"/>
      <c r="B140" s="48" t="s">
        <v>35</v>
      </c>
      <c r="C140" s="210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8" t="s">
        <v>29</v>
      </c>
      <c r="F140" s="26" t="s">
        <v>78</v>
      </c>
      <c r="G140" s="209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7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Plano_Detalhado'!$A$10:$A$196),0),16)="","",INDEX('3. Plano_Detalhado'!$A$10:$Q$196,MATCH(1,($E140='3. Plano_Detalhado'!$E$10:$E$196)*($F140='3. Plano_Detalhado'!$F$10:$F$196)*($C140='3. Plano_Detalhado'!$A$10:$A$196),0),16))</f>
        <v/>
      </c>
      <c r="J140" s="188"/>
      <c r="K140" s="189"/>
      <c r="L140" s="189"/>
      <c r="M140" s="189"/>
      <c r="N140" s="189"/>
    </row>
    <row r="141" spans="1:14" ht="16.350000000000001" hidden="1" customHeight="1" x14ac:dyDescent="0.4">
      <c r="A141" s="2"/>
      <c r="B141" s="48" t="s">
        <v>35</v>
      </c>
      <c r="C141" s="210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8" t="s">
        <v>29</v>
      </c>
      <c r="F141" s="26" t="s">
        <v>57</v>
      </c>
      <c r="G141" s="209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7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Plano_Detalhado'!$A$10:$A$196),0),16)="","",INDEX('3. Plano_Detalhado'!$A$10:$Q$196,MATCH(1,($E141='3. Plano_Detalhado'!$E$10:$E$196)*($F141='3. Plano_Detalhado'!$F$10:$F$196)*($C141='3. Plano_Detalhado'!$A$10:$A$196),0),16))</f>
        <v/>
      </c>
      <c r="J141" s="188"/>
      <c r="K141" s="189"/>
      <c r="L141" s="189"/>
      <c r="M141" s="189"/>
      <c r="N141" s="189"/>
    </row>
    <row r="142" spans="1:14" ht="16.350000000000001" hidden="1" customHeight="1" x14ac:dyDescent="0.4">
      <c r="A142" s="2"/>
      <c r="B142" s="48" t="s">
        <v>35</v>
      </c>
      <c r="C142" s="210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8" t="s">
        <v>29</v>
      </c>
      <c r="F142" s="26" t="s">
        <v>66</v>
      </c>
      <c r="G142" s="209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7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Plano_Detalhado'!$A$10:$A$196),0),16)="","",INDEX('3. Plano_Detalhado'!$A$10:$Q$196,MATCH(1,($E142='3. Plano_Detalhado'!$E$10:$E$196)*($F142='3. Plano_Detalhado'!$F$10:$F$196)*($C142='3. Plano_Detalhado'!$A$10:$A$196),0),16))</f>
        <v/>
      </c>
      <c r="J142" s="188"/>
      <c r="K142" s="189"/>
      <c r="L142" s="189"/>
      <c r="M142" s="189"/>
      <c r="N142" s="189"/>
    </row>
    <row r="143" spans="1:14" ht="16.350000000000001" hidden="1" customHeight="1" x14ac:dyDescent="0.4">
      <c r="A143" s="2"/>
      <c r="B143" s="48" t="s">
        <v>35</v>
      </c>
      <c r="C143" s="210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1" t="s">
        <v>29</v>
      </c>
      <c r="F143" s="160" t="s">
        <v>79</v>
      </c>
      <c r="G143" s="212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1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Plano_Detalhado'!$A$10:$A$196),0),16)="","",INDEX('3. Plano_Detalhado'!$A$10:$Q$196,MATCH(1,($E143='3. Plano_Detalhado'!$E$10:$E$196)*($F143='3. Plano_Detalhado'!$F$10:$F$196)*($C143='3. Plano_Detalhado'!$A$10:$A$196),0),16))</f>
        <v/>
      </c>
      <c r="J143" s="192"/>
      <c r="K143" s="193"/>
      <c r="L143" s="193"/>
      <c r="M143" s="193"/>
      <c r="N143" s="193"/>
    </row>
    <row r="144" spans="1:14" ht="16.350000000000001" hidden="1" customHeight="1" x14ac:dyDescent="0.4">
      <c r="A144" s="2"/>
      <c r="B144" s="48" t="s">
        <v>35</v>
      </c>
      <c r="C144" s="210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8" t="s">
        <v>29</v>
      </c>
      <c r="F144" s="26" t="s">
        <v>60</v>
      </c>
      <c r="G144" s="209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7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Plano_Detalhado'!$A$10:$A$196),0),16)="","",INDEX('3. Plano_Detalhado'!$A$10:$Q$196,MATCH(1,($E144='3. Plano_Detalhado'!$E$10:$E$196)*($F144='3. Plano_Detalhado'!$F$10:$F$196)*($C144='3. Plano_Detalhado'!$A$10:$A$196),0),16))</f>
        <v/>
      </c>
      <c r="J144" s="188"/>
      <c r="K144" s="189"/>
      <c r="L144" s="189"/>
      <c r="M144" s="189"/>
      <c r="N144" s="189"/>
    </row>
    <row r="145" spans="1:14" ht="16.350000000000001" hidden="1" customHeight="1" x14ac:dyDescent="0.4">
      <c r="A145" s="2"/>
      <c r="B145" s="48" t="s">
        <v>35</v>
      </c>
      <c r="C145" s="210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8" t="s">
        <v>29</v>
      </c>
      <c r="F145" s="26" t="s">
        <v>80</v>
      </c>
      <c r="G145" s="209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7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Plano_Detalhado'!$A$10:$A$196),0),16)="","",INDEX('3. Plano_Detalhado'!$A$10:$Q$196,MATCH(1,($E145='3. Plano_Detalhado'!$E$10:$E$196)*($F145='3. Plano_Detalhado'!$F$10:$F$196)*($C145='3. Plano_Detalhado'!$A$10:$A$196),0),16))</f>
        <v/>
      </c>
      <c r="J145" s="188"/>
      <c r="K145" s="189"/>
      <c r="L145" s="189"/>
      <c r="M145" s="189"/>
      <c r="N145" s="189"/>
    </row>
    <row r="146" spans="1:14" ht="16.350000000000001" hidden="1" customHeight="1" x14ac:dyDescent="0.4">
      <c r="A146" s="2"/>
      <c r="B146" s="48" t="s">
        <v>35</v>
      </c>
      <c r="C146" s="210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8" t="s">
        <v>29</v>
      </c>
      <c r="F146" s="26" t="s">
        <v>81</v>
      </c>
      <c r="G146" s="209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7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Plano_Detalhado'!$A$10:$A$196),0),16)="","",INDEX('3. Plano_Detalhado'!$A$10:$Q$196,MATCH(1,($E146='3. Plano_Detalhado'!$E$10:$E$196)*($F146='3. Plano_Detalhado'!$F$10:$F$196)*($C146='3. Plano_Detalhado'!$A$10:$A$196),0),16))</f>
        <v/>
      </c>
      <c r="J146" s="188"/>
      <c r="K146" s="189"/>
      <c r="L146" s="189"/>
      <c r="M146" s="189"/>
      <c r="N146" s="189"/>
    </row>
    <row r="147" spans="1:14" ht="16.350000000000001" hidden="1" customHeight="1" x14ac:dyDescent="0.4">
      <c r="A147" s="2"/>
      <c r="B147" s="48" t="s">
        <v>35</v>
      </c>
      <c r="C147" s="210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8" t="s">
        <v>29</v>
      </c>
      <c r="F147" s="26" t="s">
        <v>82</v>
      </c>
      <c r="G147" s="209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7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Plano_Detalhado'!$A$10:$A$196),0),16)="","",INDEX('3. Plano_Detalhado'!$A$10:$Q$196,MATCH(1,($E147='3. Plano_Detalhado'!$E$10:$E$196)*($F147='3. Plano_Detalhado'!$F$10:$F$196)*($C147='3. Plano_Detalhado'!$A$10:$A$196),0),16))</f>
        <v/>
      </c>
      <c r="J147" s="188"/>
      <c r="K147" s="189"/>
      <c r="L147" s="189"/>
      <c r="M147" s="189"/>
      <c r="N147" s="189"/>
    </row>
    <row r="148" spans="1:14" ht="16.350000000000001" hidden="1" customHeight="1" x14ac:dyDescent="0.4">
      <c r="A148" s="2"/>
      <c r="B148" s="48" t="s">
        <v>35</v>
      </c>
      <c r="C148" s="210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8" t="s">
        <v>29</v>
      </c>
      <c r="F148" s="26" t="s">
        <v>83</v>
      </c>
      <c r="G148" s="209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7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Plano_Detalhado'!$A$10:$A$196),0),16)="","",INDEX('3. Plano_Detalhado'!$A$10:$Q$196,MATCH(1,($E148='3. Plano_Detalhado'!$E$10:$E$196)*($F148='3. Plano_Detalhado'!$F$10:$F$196)*($C148='3. Plano_Detalhado'!$A$10:$A$196),0),16))</f>
        <v/>
      </c>
      <c r="J148" s="188"/>
      <c r="K148" s="189"/>
      <c r="L148" s="189"/>
      <c r="M148" s="189"/>
      <c r="N148" s="189"/>
    </row>
    <row r="149" spans="1:14" ht="16.350000000000001" hidden="1" customHeight="1" x14ac:dyDescent="0.4">
      <c r="A149" s="2"/>
      <c r="B149" s="48" t="s">
        <v>35</v>
      </c>
      <c r="C149" s="210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8" t="s">
        <v>29</v>
      </c>
      <c r="F149" s="26" t="s">
        <v>61</v>
      </c>
      <c r="G149" s="209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7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Plano_Detalhado'!$A$10:$A$196),0),16)="","",INDEX('3. Plano_Detalhado'!$A$10:$Q$196,MATCH(1,($E149='3. Plano_Detalhado'!$E$10:$E$196)*($F149='3. Plano_Detalhado'!$F$10:$F$196)*($C149='3. Plano_Detalhado'!$A$10:$A$196),0),16))</f>
        <v/>
      </c>
      <c r="J149" s="188"/>
      <c r="K149" s="189"/>
      <c r="L149" s="189"/>
      <c r="M149" s="189"/>
      <c r="N149" s="189"/>
    </row>
    <row r="150" spans="1:14" ht="16.350000000000001" hidden="1" customHeight="1" x14ac:dyDescent="0.4">
      <c r="A150" s="2"/>
      <c r="B150" s="48" t="s">
        <v>35</v>
      </c>
      <c r="C150" s="210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8" t="s">
        <v>29</v>
      </c>
      <c r="F150" s="26" t="s">
        <v>84</v>
      </c>
      <c r="G150" s="209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7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Plano_Detalhado'!$A$10:$A$196),0),16)="","",INDEX('3. Plano_Detalhado'!$A$10:$Q$196,MATCH(1,($E150='3. Plano_Detalhado'!$E$10:$E$196)*($F150='3. Plano_Detalhado'!$F$10:$F$196)*($C150='3. Plano_Detalhado'!$A$10:$A$196),0),16))</f>
        <v/>
      </c>
      <c r="J150" s="188"/>
      <c r="K150" s="189"/>
      <c r="L150" s="189"/>
      <c r="M150" s="189"/>
      <c r="N150" s="189"/>
    </row>
    <row r="151" spans="1:14" ht="16.350000000000001" hidden="1" customHeight="1" x14ac:dyDescent="0.4">
      <c r="A151" s="2"/>
      <c r="B151" s="48" t="s">
        <v>35</v>
      </c>
      <c r="C151" s="210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8" t="s">
        <v>29</v>
      </c>
      <c r="F151" s="26" t="s">
        <v>85</v>
      </c>
      <c r="G151" s="209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7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Plano_Detalhado'!$A$10:$A$196),0),16)="","",INDEX('3. Plano_Detalhado'!$A$10:$Q$196,MATCH(1,($E151='3. Plano_Detalhado'!$E$10:$E$196)*($F151='3. Plano_Detalhado'!$F$10:$F$196)*($C151='3. Plano_Detalhado'!$A$10:$A$196),0),16))</f>
        <v/>
      </c>
      <c r="J151" s="188"/>
      <c r="K151" s="189"/>
      <c r="L151" s="189"/>
      <c r="M151" s="189"/>
      <c r="N151" s="189"/>
    </row>
    <row r="152" spans="1:14" ht="16.350000000000001" hidden="1" customHeight="1" x14ac:dyDescent="0.4">
      <c r="A152" s="2"/>
      <c r="B152" s="48" t="s">
        <v>35</v>
      </c>
      <c r="C152" s="210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8" t="s">
        <v>29</v>
      </c>
      <c r="F152" s="26" t="s">
        <v>86</v>
      </c>
      <c r="G152" s="209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7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Plano_Detalhado'!$A$10:$A$196),0),16)="","",INDEX('3. Plano_Detalhado'!$A$10:$Q$196,MATCH(1,($E152='3. Plano_Detalhado'!$E$10:$E$196)*($F152='3. Plano_Detalhado'!$F$10:$F$196)*($C152='3. Plano_Detalhado'!$A$10:$A$196),0),16))</f>
        <v/>
      </c>
      <c r="J152" s="188"/>
      <c r="K152" s="189"/>
      <c r="L152" s="189"/>
      <c r="M152" s="189"/>
      <c r="N152" s="189"/>
    </row>
    <row r="153" spans="1:14" ht="16.350000000000001" hidden="1" customHeight="1" x14ac:dyDescent="0.4">
      <c r="A153" s="2"/>
      <c r="B153" s="48" t="s">
        <v>35</v>
      </c>
      <c r="C153" s="210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8" t="s">
        <v>29</v>
      </c>
      <c r="F153" s="26" t="s">
        <v>90</v>
      </c>
      <c r="G153" s="209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7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Plano_Detalhado'!$A$10:$A$196),0),16)="","",INDEX('3. Plano_Detalhado'!$A$10:$Q$196,MATCH(1,($E153='3. Plano_Detalhado'!$E$10:$E$196)*($F153='3. Plano_Detalhado'!$F$10:$F$196)*($C153='3. Plano_Detalhado'!$A$10:$A$196),0),16))</f>
        <v/>
      </c>
      <c r="J153" s="188"/>
      <c r="K153" s="189"/>
      <c r="L153" s="189"/>
      <c r="M153" s="189"/>
      <c r="N153" s="189"/>
    </row>
    <row r="154" spans="1:14" ht="16.350000000000001" hidden="1" customHeight="1" x14ac:dyDescent="0.4">
      <c r="A154" s="2"/>
      <c r="B154" s="48" t="s">
        <v>35</v>
      </c>
      <c r="C154" s="210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8" t="s">
        <v>29</v>
      </c>
      <c r="F154" s="26" t="s">
        <v>92</v>
      </c>
      <c r="G154" s="209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7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Plano_Detalhado'!$A$10:$A$196),0),16)="","",INDEX('3. Plano_Detalhado'!$A$10:$Q$196,MATCH(1,($E154='3. Plano_Detalhado'!$E$10:$E$196)*($F154='3. Plano_Detalhado'!$F$10:$F$196)*($C154='3. Plano_Detalhado'!$A$10:$A$196),0),16))</f>
        <v/>
      </c>
      <c r="J154" s="188"/>
      <c r="K154" s="189"/>
      <c r="L154" s="189"/>
      <c r="M154" s="189"/>
      <c r="N154" s="189"/>
    </row>
    <row r="155" spans="1:14" ht="16.350000000000001" hidden="1" customHeight="1" x14ac:dyDescent="0.4">
      <c r="A155" s="2"/>
      <c r="B155" s="48" t="s">
        <v>35</v>
      </c>
      <c r="C155" s="210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8" t="s">
        <v>29</v>
      </c>
      <c r="F155" s="26" t="s">
        <v>93</v>
      </c>
      <c r="G155" s="209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7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Plano_Detalhado'!$A$10:$A$196),0),16)="","",INDEX('3. Plano_Detalhado'!$A$10:$Q$196,MATCH(1,($E155='3. Plano_Detalhado'!$E$10:$E$196)*($F155='3. Plano_Detalhado'!$F$10:$F$196)*($C155='3. Plano_Detalhado'!$A$10:$A$196),0),16))</f>
        <v/>
      </c>
      <c r="J155" s="188"/>
      <c r="K155" s="189"/>
      <c r="L155" s="189"/>
      <c r="M155" s="189"/>
      <c r="N155" s="189"/>
    </row>
    <row r="156" spans="1:14" ht="16.350000000000001" hidden="1" customHeight="1" x14ac:dyDescent="0.4">
      <c r="A156" s="2"/>
      <c r="B156" s="48" t="s">
        <v>35</v>
      </c>
      <c r="C156" s="210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8" t="s">
        <v>29</v>
      </c>
      <c r="F156" s="26" t="s">
        <v>95</v>
      </c>
      <c r="G156" s="209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7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Plano_Detalhado'!$A$10:$A$196),0),16)="","",INDEX('3. Plano_Detalhado'!$A$10:$Q$196,MATCH(1,($E156='3. Plano_Detalhado'!$E$10:$E$196)*($F156='3. Plano_Detalhado'!$F$10:$F$196)*($C156='3. Plano_Detalhado'!$A$10:$A$196),0),16))</f>
        <v/>
      </c>
      <c r="J156" s="188"/>
      <c r="K156" s="189"/>
      <c r="L156" s="189"/>
      <c r="M156" s="189"/>
      <c r="N156" s="189"/>
    </row>
    <row r="157" spans="1:14" ht="16.350000000000001" hidden="1" customHeight="1" x14ac:dyDescent="0.4">
      <c r="A157" s="2"/>
      <c r="B157" s="48" t="s">
        <v>35</v>
      </c>
      <c r="C157" s="210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8" t="s">
        <v>29</v>
      </c>
      <c r="F157" s="26" t="s">
        <v>96</v>
      </c>
      <c r="G157" s="209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7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Plano_Detalhado'!$A$10:$A$196),0),16)="","",INDEX('3. Plano_Detalhado'!$A$10:$Q$196,MATCH(1,($E157='3. Plano_Detalhado'!$E$10:$E$196)*($F157='3. Plano_Detalhado'!$F$10:$F$196)*($C157='3. Plano_Detalhado'!$A$10:$A$196),0),16))</f>
        <v/>
      </c>
      <c r="J157" s="188"/>
      <c r="K157" s="189"/>
      <c r="L157" s="189"/>
      <c r="M157" s="189"/>
      <c r="N157" s="189"/>
    </row>
    <row r="158" spans="1:14" ht="16.350000000000001" hidden="1" customHeight="1" x14ac:dyDescent="0.4">
      <c r="A158" s="2"/>
      <c r="B158" s="48" t="s">
        <v>35</v>
      </c>
      <c r="C158" s="210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8" t="s">
        <v>29</v>
      </c>
      <c r="F158" s="26" t="s">
        <v>97</v>
      </c>
      <c r="G158" s="209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7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Plano_Detalhado'!$A$10:$A$196),0),16)="","",INDEX('3. Plano_Detalhado'!$A$10:$Q$196,MATCH(1,($E158='3. Plano_Detalhado'!$E$10:$E$196)*($F158='3. Plano_Detalhado'!$F$10:$F$196)*($C158='3. Plano_Detalhado'!$A$10:$A$196),0),16))</f>
        <v/>
      </c>
      <c r="J158" s="188"/>
      <c r="K158" s="189"/>
      <c r="L158" s="189"/>
      <c r="M158" s="189"/>
      <c r="N158" s="189"/>
    </row>
    <row r="159" spans="1:14" ht="16.350000000000001" hidden="1" customHeight="1" x14ac:dyDescent="0.4">
      <c r="A159" s="2"/>
      <c r="B159" s="48" t="s">
        <v>35</v>
      </c>
      <c r="C159" s="210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8" t="s">
        <v>29</v>
      </c>
      <c r="F159" s="26" t="s">
        <v>98</v>
      </c>
      <c r="G159" s="209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7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Plano_Detalhado'!$A$10:$A$196),0),16)="","",INDEX('3. Plano_Detalhado'!$A$10:$Q$196,MATCH(1,($E159='3. Plano_Detalhado'!$E$10:$E$196)*($F159='3. Plano_Detalhado'!$F$10:$F$196)*($C159='3. Plano_Detalhado'!$A$10:$A$196),0),16))</f>
        <v/>
      </c>
      <c r="J159" s="188"/>
      <c r="K159" s="189"/>
      <c r="L159" s="189"/>
      <c r="M159" s="189"/>
      <c r="N159" s="189"/>
    </row>
    <row r="160" spans="1:14" ht="16.350000000000001" hidden="1" customHeight="1" x14ac:dyDescent="0.4">
      <c r="A160" s="2"/>
      <c r="B160" s="48" t="s">
        <v>35</v>
      </c>
      <c r="C160" s="210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8" t="s">
        <v>29</v>
      </c>
      <c r="F160" s="26" t="s">
        <v>99</v>
      </c>
      <c r="G160" s="209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7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Plano_Detalhado'!$A$10:$A$196),0),16)="","",INDEX('3. Plano_Detalhado'!$A$10:$Q$196,MATCH(1,($E160='3. Plano_Detalhado'!$E$10:$E$196)*($F160='3. Plano_Detalhado'!$F$10:$F$196)*($C160='3. Plano_Detalhado'!$A$10:$A$196),0),16))</f>
        <v/>
      </c>
      <c r="J160" s="188"/>
      <c r="K160" s="189"/>
      <c r="L160" s="189"/>
      <c r="M160" s="189"/>
      <c r="N160" s="189"/>
    </row>
    <row r="161" spans="1:14" ht="16.350000000000001" hidden="1" customHeight="1" x14ac:dyDescent="0.4">
      <c r="A161" s="2"/>
      <c r="B161" s="48" t="s">
        <v>35</v>
      </c>
      <c r="C161" s="210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8" t="s">
        <v>29</v>
      </c>
      <c r="F161" s="26" t="s">
        <v>100</v>
      </c>
      <c r="G161" s="209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7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Plano_Detalhado'!$A$10:$A$196),0),16)="","",INDEX('3. Plano_Detalhado'!$A$10:$Q$196,MATCH(1,($E161='3. Plano_Detalhado'!$E$10:$E$196)*($F161='3. Plano_Detalhado'!$F$10:$F$196)*($C161='3. Plano_Detalhado'!$A$10:$A$196),0),16))</f>
        <v/>
      </c>
      <c r="J161" s="188"/>
      <c r="K161" s="189"/>
      <c r="L161" s="189"/>
      <c r="M161" s="189"/>
      <c r="N161" s="189"/>
    </row>
    <row r="162" spans="1:14" ht="16.350000000000001" hidden="1" customHeight="1" x14ac:dyDescent="0.4">
      <c r="A162" s="2"/>
      <c r="B162" s="48" t="s">
        <v>35</v>
      </c>
      <c r="C162" s="210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8" t="s">
        <v>29</v>
      </c>
      <c r="F162" s="26" t="s">
        <v>101</v>
      </c>
      <c r="G162" s="209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7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Plano_Detalhado'!$A$10:$A$196),0),16)="","",INDEX('3. Plano_Detalhado'!$A$10:$Q$196,MATCH(1,($E162='3. Plano_Detalhado'!$E$10:$E$196)*($F162='3. Plano_Detalhado'!$F$10:$F$196)*($C162='3. Plano_Detalhado'!$A$10:$A$196),0),16))</f>
        <v/>
      </c>
      <c r="J162" s="188"/>
      <c r="K162" s="189"/>
      <c r="L162" s="189"/>
      <c r="M162" s="189"/>
      <c r="N162" s="189"/>
    </row>
    <row r="163" spans="1:14" ht="16.350000000000001" hidden="1" customHeight="1" x14ac:dyDescent="0.4">
      <c r="A163" s="2"/>
      <c r="B163" s="48" t="s">
        <v>35</v>
      </c>
      <c r="C163" s="210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8" t="s">
        <v>29</v>
      </c>
      <c r="F163" s="26" t="s">
        <v>63</v>
      </c>
      <c r="G163" s="209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7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Plano_Detalhado'!$A$10:$A$196),0),16)="","",INDEX('3. Plano_Detalhado'!$A$10:$Q$196,MATCH(1,($E163='3. Plano_Detalhado'!$E$10:$E$196)*($F163='3. Plano_Detalhado'!$F$10:$F$196)*($C163='3. Plano_Detalhado'!$A$10:$A$196),0),16))</f>
        <v/>
      </c>
      <c r="J163" s="188"/>
      <c r="K163" s="189"/>
      <c r="L163" s="189"/>
      <c r="M163" s="189"/>
      <c r="N163" s="189"/>
    </row>
    <row r="164" spans="1:14" ht="16.350000000000001" hidden="1" customHeight="1" x14ac:dyDescent="0.4">
      <c r="A164" s="2"/>
      <c r="B164" s="48" t="s">
        <v>35</v>
      </c>
      <c r="C164" s="210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8" t="s">
        <v>29</v>
      </c>
      <c r="F164" s="26" t="s">
        <v>102</v>
      </c>
      <c r="G164" s="209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7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Plano_Detalhado'!$A$10:$A$196),0),16)="","",INDEX('3. Plano_Detalhado'!$A$10:$Q$196,MATCH(1,($E164='3. Plano_Detalhado'!$E$10:$E$196)*($F164='3. Plano_Detalhado'!$F$10:$F$196)*($C164='3. Plano_Detalhado'!$A$10:$A$196),0),16))</f>
        <v/>
      </c>
      <c r="J164" s="188"/>
      <c r="K164" s="189"/>
      <c r="L164" s="189"/>
      <c r="M164" s="189"/>
      <c r="N164" s="189"/>
    </row>
    <row r="165" spans="1:14" ht="16.350000000000001" hidden="1" customHeight="1" x14ac:dyDescent="0.4">
      <c r="A165" s="2"/>
      <c r="B165" s="48" t="s">
        <v>35</v>
      </c>
      <c r="C165" s="210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8" t="s">
        <v>29</v>
      </c>
      <c r="F165" s="26" t="s">
        <v>103</v>
      </c>
      <c r="G165" s="209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7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Plano_Detalhado'!$A$10:$A$196),0),16)="","",INDEX('3. Plano_Detalhado'!$A$10:$Q$196,MATCH(1,($E165='3. Plano_Detalhado'!$E$10:$E$196)*($F165='3. Plano_Detalhado'!$F$10:$F$196)*($C165='3. Plano_Detalhado'!$A$10:$A$196),0),16))</f>
        <v/>
      </c>
      <c r="J165" s="188"/>
      <c r="K165" s="189"/>
      <c r="L165" s="189"/>
      <c r="M165" s="189"/>
      <c r="N165" s="189"/>
    </row>
    <row r="166" spans="1:14" ht="16.350000000000001" hidden="1" customHeight="1" x14ac:dyDescent="0.4">
      <c r="A166" s="2"/>
      <c r="B166" s="48" t="s">
        <v>35</v>
      </c>
      <c r="C166" s="210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8" t="s">
        <v>29</v>
      </c>
      <c r="F166" s="26" t="s">
        <v>110</v>
      </c>
      <c r="G166" s="209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7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Plano_Detalhado'!$A$10:$A$196),0),16)="","",INDEX('3. Plano_Detalhado'!$A$10:$Q$196,MATCH(1,($E166='3. Plano_Detalhado'!$E$10:$E$196)*($F166='3. Plano_Detalhado'!$F$10:$F$196)*($C166='3. Plano_Detalhado'!$A$10:$A$196),0),16))</f>
        <v/>
      </c>
      <c r="J166" s="188"/>
      <c r="K166" s="189"/>
      <c r="L166" s="189"/>
      <c r="M166" s="189"/>
      <c r="N166" s="189"/>
    </row>
    <row r="167" spans="1:14" ht="16.350000000000001" hidden="1" customHeight="1" x14ac:dyDescent="0.4">
      <c r="A167" s="2"/>
      <c r="B167" s="48" t="s">
        <v>35</v>
      </c>
      <c r="C167" s="210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8" t="s">
        <v>29</v>
      </c>
      <c r="F167" s="26" t="s">
        <v>111</v>
      </c>
      <c r="G167" s="209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7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Plano_Detalhado'!$A$10:$A$196),0),16)="","",INDEX('3. Plano_Detalhado'!$A$10:$Q$196,MATCH(1,($E167='3. Plano_Detalhado'!$E$10:$E$196)*($F167='3. Plano_Detalhado'!$F$10:$F$196)*($C167='3. Plano_Detalhado'!$A$10:$A$196),0),16))</f>
        <v/>
      </c>
      <c r="J167" s="188"/>
      <c r="K167" s="189"/>
      <c r="L167" s="189"/>
      <c r="M167" s="189"/>
      <c r="N167" s="189"/>
    </row>
    <row r="168" spans="1:14" ht="16.350000000000001" hidden="1" customHeight="1" x14ac:dyDescent="0.4">
      <c r="A168" s="2"/>
      <c r="B168" s="48" t="s">
        <v>35</v>
      </c>
      <c r="C168" s="210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8" t="s">
        <v>29</v>
      </c>
      <c r="F168" s="26" t="s">
        <v>112</v>
      </c>
      <c r="G168" s="209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7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Plano_Detalhado'!$A$10:$A$196),0),16)="","",INDEX('3. Plano_Detalhado'!$A$10:$Q$196,MATCH(1,($E168='3. Plano_Detalhado'!$E$10:$E$196)*($F168='3. Plano_Detalhado'!$F$10:$F$196)*($C168='3. Plano_Detalhado'!$A$10:$A$196),0),16))</f>
        <v/>
      </c>
      <c r="J168" s="188"/>
      <c r="K168" s="189"/>
      <c r="L168" s="189"/>
      <c r="M168" s="189"/>
      <c r="N168" s="189"/>
    </row>
    <row r="169" spans="1:14" ht="16.350000000000001" hidden="1" customHeight="1" x14ac:dyDescent="0.4">
      <c r="A169" s="2"/>
      <c r="B169" s="48" t="s">
        <v>35</v>
      </c>
      <c r="C169" s="210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8" t="s">
        <v>275</v>
      </c>
      <c r="F169" s="26" t="s">
        <v>51</v>
      </c>
      <c r="G169" s="209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7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Plano_Detalhado'!$A$10:$A$196),0),16)="","",INDEX('3. Plano_Detalhado'!$A$10:$Q$196,MATCH(1,($E169='3. Plano_Detalhado'!$E$10:$E$196)*($F169='3. Plano_Detalhado'!$F$10:$F$196)*($C169='3. Plano_Detalhado'!$A$10:$A$196),0),16))</f>
        <v/>
      </c>
      <c r="J169" s="188"/>
      <c r="K169" s="189"/>
      <c r="L169" s="189"/>
      <c r="M169" s="189"/>
      <c r="N169" s="189"/>
    </row>
    <row r="170" spans="1:14" ht="16.350000000000001" hidden="1" customHeight="1" x14ac:dyDescent="0.4">
      <c r="A170" s="2"/>
      <c r="B170" s="48" t="s">
        <v>35</v>
      </c>
      <c r="C170" s="210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8" t="s">
        <v>275</v>
      </c>
      <c r="F170" s="26" t="s">
        <v>52</v>
      </c>
      <c r="G170" s="209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7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Plano_Detalhado'!$A$10:$A$196),0),16)="","",INDEX('3. Plano_Detalhado'!$A$10:$Q$196,MATCH(1,($E170='3. Plano_Detalhado'!$E$10:$E$196)*($F170='3. Plano_Detalhado'!$F$10:$F$196)*($C170='3. Plano_Detalhado'!$A$10:$A$196),0),16))</f>
        <v/>
      </c>
      <c r="J170" s="188"/>
      <c r="K170" s="189"/>
      <c r="L170" s="189"/>
      <c r="M170" s="189"/>
      <c r="N170" s="189"/>
    </row>
    <row r="171" spans="1:14" ht="16.350000000000001" hidden="1" customHeight="1" x14ac:dyDescent="0.4">
      <c r="A171" s="2"/>
      <c r="B171" s="48" t="s">
        <v>35</v>
      </c>
      <c r="C171" s="210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8" t="s">
        <v>275</v>
      </c>
      <c r="F171" s="26" t="s">
        <v>53</v>
      </c>
      <c r="G171" s="209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7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Plano_Detalhado'!$A$10:$A$196),0),16)="","",INDEX('3. Plano_Detalhado'!$A$10:$Q$196,MATCH(1,($E171='3. Plano_Detalhado'!$E$10:$E$196)*($F171='3. Plano_Detalhado'!$F$10:$F$196)*($C171='3. Plano_Detalhado'!$A$10:$A$196),0),16))</f>
        <v/>
      </c>
      <c r="J171" s="188"/>
      <c r="K171" s="189"/>
      <c r="L171" s="189"/>
      <c r="M171" s="189"/>
      <c r="N171" s="189"/>
    </row>
    <row r="172" spans="1:14" ht="16.350000000000001" hidden="1" customHeight="1" x14ac:dyDescent="0.4">
      <c r="A172" s="2"/>
      <c r="B172" s="48" t="s">
        <v>35</v>
      </c>
      <c r="C172" s="210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8" t="s">
        <v>275</v>
      </c>
      <c r="F172" s="26" t="s">
        <v>113</v>
      </c>
      <c r="G172" s="209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7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Plano_Detalhado'!$A$10:$A$196),0),16)="","",INDEX('3. Plano_Detalhado'!$A$10:$Q$196,MATCH(1,($E172='3. Plano_Detalhado'!$E$10:$E$196)*($F172='3. Plano_Detalhado'!$F$10:$F$196)*($C172='3. Plano_Detalhado'!$A$10:$A$196),0),16))</f>
        <v/>
      </c>
      <c r="J172" s="188"/>
      <c r="K172" s="189"/>
      <c r="L172" s="189"/>
      <c r="M172" s="189"/>
      <c r="N172" s="189"/>
    </row>
    <row r="173" spans="1:14" ht="16.350000000000001" hidden="1" customHeight="1" x14ac:dyDescent="0.4">
      <c r="A173" s="2"/>
      <c r="B173" s="48" t="s">
        <v>35</v>
      </c>
      <c r="C173" s="210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8" t="s">
        <v>28</v>
      </c>
      <c r="F173" s="26" t="s">
        <v>51</v>
      </c>
      <c r="G173" s="209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7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Plano_Detalhado'!$A$10:$A$196),0),16)="","",INDEX('3. Plano_Detalhado'!$A$10:$Q$196,MATCH(1,($E173='3. Plano_Detalhado'!$E$10:$E$196)*($F173='3. Plano_Detalhado'!$F$10:$F$196)*($C173='3. Plano_Detalhado'!$A$10:$A$196),0),16))</f>
        <v/>
      </c>
      <c r="J173" s="188"/>
      <c r="K173" s="189"/>
      <c r="L173" s="189"/>
      <c r="M173" s="189"/>
      <c r="N173" s="189"/>
    </row>
    <row r="174" spans="1:14" ht="16.350000000000001" hidden="1" customHeight="1" x14ac:dyDescent="0.4">
      <c r="A174" s="2"/>
      <c r="B174" s="48" t="s">
        <v>35</v>
      </c>
      <c r="C174" s="210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8" t="s">
        <v>28</v>
      </c>
      <c r="F174" s="26" t="s">
        <v>52</v>
      </c>
      <c r="G174" s="209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7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Plano_Detalhado'!$A$10:$A$196),0),16)="","",INDEX('3. Plano_Detalhado'!$A$10:$Q$196,MATCH(1,($E174='3. Plano_Detalhado'!$E$10:$E$196)*($F174='3. Plano_Detalhado'!$F$10:$F$196)*($C174='3. Plano_Detalhado'!$A$10:$A$196),0),16))</f>
        <v/>
      </c>
      <c r="J174" s="188"/>
      <c r="K174" s="189"/>
      <c r="L174" s="189"/>
      <c r="M174" s="189"/>
      <c r="N174" s="189"/>
    </row>
    <row r="175" spans="1:14" ht="16.350000000000001" hidden="1" customHeight="1" x14ac:dyDescent="0.4">
      <c r="A175" s="2"/>
      <c r="B175" s="48" t="s">
        <v>35</v>
      </c>
      <c r="C175" s="210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8" t="s">
        <v>28</v>
      </c>
      <c r="F175" s="26" t="s">
        <v>113</v>
      </c>
      <c r="G175" s="209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7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Plano_Detalhado'!$A$10:$A$196),0),16)="","",INDEX('3. Plano_Detalhado'!$A$10:$Q$196,MATCH(1,($E175='3. Plano_Detalhado'!$E$10:$E$196)*($F175='3. Plano_Detalhado'!$F$10:$F$196)*($C175='3. Plano_Detalhado'!$A$10:$A$196),0),16))</f>
        <v/>
      </c>
      <c r="J175" s="188"/>
      <c r="K175" s="189"/>
      <c r="L175" s="189"/>
      <c r="M175" s="189"/>
      <c r="N175" s="189"/>
    </row>
    <row r="176" spans="1:14" ht="16.350000000000001" hidden="1" customHeight="1" x14ac:dyDescent="0.4">
      <c r="A176" s="2"/>
      <c r="B176" s="48" t="s">
        <v>35</v>
      </c>
      <c r="C176" s="210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8" t="s">
        <v>28</v>
      </c>
      <c r="F176" s="26" t="s">
        <v>114</v>
      </c>
      <c r="G176" s="209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7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Plano_Detalhado'!$A$10:$A$196),0),16)="","",INDEX('3. Plano_Detalhado'!$A$10:$Q$196,MATCH(1,($E176='3. Plano_Detalhado'!$E$10:$E$196)*($F176='3. Plano_Detalhado'!$F$10:$F$196)*($C176='3. Plano_Detalhado'!$A$10:$A$196),0),16))</f>
        <v/>
      </c>
      <c r="J176" s="188"/>
      <c r="K176" s="189"/>
      <c r="L176" s="189"/>
      <c r="M176" s="189"/>
      <c r="N176" s="189"/>
    </row>
    <row r="177" spans="1:14" ht="16.350000000000001" hidden="1" customHeight="1" x14ac:dyDescent="0.4">
      <c r="A177" s="2"/>
      <c r="B177" s="48" t="s">
        <v>35</v>
      </c>
      <c r="C177" s="210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8" t="s">
        <v>28</v>
      </c>
      <c r="F177" s="26" t="s">
        <v>115</v>
      </c>
      <c r="G177" s="209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7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Plano_Detalhado'!$A$10:$A$196),0),16)="","",INDEX('3. Plano_Detalhado'!$A$10:$Q$196,MATCH(1,($E177='3. Plano_Detalhado'!$E$10:$E$196)*($F177='3. Plano_Detalhado'!$F$10:$F$196)*($C177='3. Plano_Detalhado'!$A$10:$A$196),0),16))</f>
        <v/>
      </c>
      <c r="J177" s="188"/>
      <c r="K177" s="189"/>
      <c r="L177" s="189"/>
      <c r="M177" s="189"/>
      <c r="N177" s="189"/>
    </row>
    <row r="178" spans="1:14" ht="16.350000000000001" hidden="1" customHeight="1" x14ac:dyDescent="0.4">
      <c r="A178" s="2"/>
      <c r="B178" s="48" t="s">
        <v>35</v>
      </c>
      <c r="C178" s="210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8" t="s">
        <v>28</v>
      </c>
      <c r="F178" s="26" t="s">
        <v>118</v>
      </c>
      <c r="G178" s="209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7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Plano_Detalhado'!$A$10:$A$196),0),16)="","",INDEX('3. Plano_Detalhado'!$A$10:$Q$196,MATCH(1,($E178='3. Plano_Detalhado'!$E$10:$E$196)*($F178='3. Plano_Detalhado'!$F$10:$F$196)*($C178='3. Plano_Detalhado'!$A$10:$A$196),0),16))</f>
        <v/>
      </c>
      <c r="J178" s="188"/>
      <c r="K178" s="189"/>
      <c r="L178" s="189"/>
      <c r="M178" s="189"/>
      <c r="N178" s="189"/>
    </row>
    <row r="179" spans="1:14" ht="16.350000000000001" hidden="1" customHeight="1" x14ac:dyDescent="0.4">
      <c r="A179" s="2"/>
      <c r="B179" s="48" t="s">
        <v>35</v>
      </c>
      <c r="C179" s="210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8" t="s">
        <v>108</v>
      </c>
      <c r="F179" s="26" t="s">
        <v>116</v>
      </c>
      <c r="G179" s="209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7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Plano_Detalhado'!$A$10:$A$196),0),16)="","",INDEX('3. Plano_Detalhado'!$A$10:$Q$196,MATCH(1,($E179='3. Plano_Detalhado'!$E$10:$E$196)*($F179='3. Plano_Detalhado'!$F$10:$F$196)*($C179='3. Plano_Detalhado'!$A$10:$A$196),0),16))</f>
        <v/>
      </c>
      <c r="J179" s="188"/>
      <c r="K179" s="189"/>
      <c r="L179" s="189"/>
      <c r="M179" s="189"/>
      <c r="N179" s="189"/>
    </row>
    <row r="180" spans="1:14" ht="16.350000000000001" hidden="1" customHeight="1" x14ac:dyDescent="0.4">
      <c r="A180" s="2"/>
      <c r="B180" s="48" t="s">
        <v>35</v>
      </c>
      <c r="C180" s="210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8" t="s">
        <v>29</v>
      </c>
      <c r="F180" s="26" t="s">
        <v>64</v>
      </c>
      <c r="G180" s="209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7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Plano_Detalhado'!$A$10:$A$196),0),16)="","",INDEX('3. Plano_Detalhado'!$A$10:$Q$196,MATCH(1,($E180='3. Plano_Detalhado'!$E$10:$E$196)*($F180='3. Plano_Detalhado'!$F$10:$F$196)*($C180='3. Plano_Detalhado'!$A$10:$A$196),0),16))</f>
        <v/>
      </c>
      <c r="J180" s="188"/>
      <c r="K180" s="189"/>
      <c r="L180" s="189"/>
      <c r="M180" s="189"/>
      <c r="N180" s="189"/>
    </row>
    <row r="181" spans="1:14" ht="16.350000000000001" hidden="1" customHeight="1" x14ac:dyDescent="0.4">
      <c r="A181" s="2"/>
      <c r="B181" s="48" t="s">
        <v>35</v>
      </c>
      <c r="C181" s="210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8" t="s">
        <v>108</v>
      </c>
      <c r="F181" s="26" t="s">
        <v>58</v>
      </c>
      <c r="G181" s="209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7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Plano_Detalhado'!$A$10:$A$196),0),16)="","",INDEX('3. Plano_Detalhado'!$A$10:$Q$196,MATCH(1,($E181='3. Plano_Detalhado'!$E$10:$E$196)*($F181='3. Plano_Detalhado'!$F$10:$F$196)*($C181='3. Plano_Detalhado'!$A$10:$A$196),0),16))</f>
        <v/>
      </c>
      <c r="J181" s="188"/>
      <c r="K181" s="189"/>
      <c r="L181" s="189"/>
      <c r="M181" s="189"/>
      <c r="N181" s="189"/>
    </row>
    <row r="182" spans="1:14" ht="16.350000000000001" hidden="1" customHeight="1" x14ac:dyDescent="0.4">
      <c r="A182" s="2"/>
      <c r="B182" s="48" t="s">
        <v>35</v>
      </c>
      <c r="C182" s="210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8" t="s">
        <v>108</v>
      </c>
      <c r="F182" s="26" t="s">
        <v>59</v>
      </c>
      <c r="G182" s="209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7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Plano_Detalhado'!$A$10:$A$196),0),16)="","",INDEX('3. Plano_Detalhado'!$A$10:$Q$196,MATCH(1,($E182='3. Plano_Detalhado'!$E$10:$E$196)*($F182='3. Plano_Detalhado'!$F$10:$F$196)*($C182='3. Plano_Detalhado'!$A$10:$A$196),0),16))</f>
        <v/>
      </c>
      <c r="J182" s="188"/>
      <c r="K182" s="189"/>
      <c r="L182" s="189"/>
      <c r="M182" s="189"/>
      <c r="N182" s="189"/>
    </row>
    <row r="183" spans="1:14" ht="16.350000000000001" hidden="1" customHeight="1" x14ac:dyDescent="0.4">
      <c r="A183" s="2"/>
      <c r="B183" s="48" t="s">
        <v>35</v>
      </c>
      <c r="C183" s="210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8" t="s">
        <v>29</v>
      </c>
      <c r="F183" s="26" t="s">
        <v>53</v>
      </c>
      <c r="G183" s="209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7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Plano_Detalhado'!$A$10:$A$196),0),16)="","",INDEX('3. Plano_Detalhado'!$A$10:$Q$196,MATCH(1,($E183='3. Plano_Detalhado'!$E$10:$E$196)*($F183='3. Plano_Detalhado'!$F$10:$F$196)*($C183='3. Plano_Detalhado'!$A$10:$A$196),0),16))</f>
        <v/>
      </c>
      <c r="J183" s="188"/>
      <c r="K183" s="189"/>
      <c r="L183" s="189"/>
      <c r="M183" s="189"/>
      <c r="N183" s="189"/>
    </row>
    <row r="184" spans="1:14" ht="16.350000000000001" hidden="1" customHeight="1" x14ac:dyDescent="0.4">
      <c r="A184" s="2"/>
      <c r="B184" s="48" t="s">
        <v>35</v>
      </c>
      <c r="C184" s="210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8" t="s">
        <v>275</v>
      </c>
      <c r="F184" s="26" t="s">
        <v>117</v>
      </c>
      <c r="G184" s="209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7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Plano_Detalhado'!$A$10:$A$196),0),16)="","",INDEX('3. Plano_Detalhado'!$A$10:$Q$196,MATCH(1,($E184='3. Plano_Detalhado'!$E$10:$E$196)*($F184='3. Plano_Detalhado'!$F$10:$F$196)*($C184='3. Plano_Detalhado'!$A$10:$A$196),0),16))</f>
        <v/>
      </c>
      <c r="J184" s="188"/>
      <c r="K184" s="189"/>
      <c r="L184" s="189"/>
      <c r="M184" s="189"/>
      <c r="N184" s="189"/>
    </row>
    <row r="185" spans="1:14" ht="16.350000000000001" hidden="1" customHeight="1" x14ac:dyDescent="0.4">
      <c r="A185" s="2"/>
      <c r="B185" s="48" t="s">
        <v>35</v>
      </c>
      <c r="C185" s="210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8" t="s">
        <v>108</v>
      </c>
      <c r="F185" s="26" t="s">
        <v>51</v>
      </c>
      <c r="G185" s="209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7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Plano_Detalhado'!$A$10:$A$196),0),16)="","",INDEX('3. Plano_Detalhado'!$A$10:$Q$196,MATCH(1,($E185='3. Plano_Detalhado'!$E$10:$E$196)*($F185='3. Plano_Detalhado'!$F$10:$F$196)*($C185='3. Plano_Detalhado'!$A$10:$A$196),0),16))</f>
        <v/>
      </c>
      <c r="J185" s="188"/>
      <c r="K185" s="189"/>
      <c r="L185" s="189"/>
      <c r="M185" s="189"/>
      <c r="N185" s="189"/>
    </row>
    <row r="186" spans="1:14" ht="16.350000000000001" hidden="1" customHeight="1" x14ac:dyDescent="0.4">
      <c r="A186" s="2"/>
      <c r="B186" s="48" t="s">
        <v>35</v>
      </c>
      <c r="C186" s="210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8" t="s">
        <v>108</v>
      </c>
      <c r="F186" s="26" t="s">
        <v>52</v>
      </c>
      <c r="G186" s="209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7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Plano_Detalhado'!$A$10:$A$196),0),16)="","",INDEX('3. Plano_Detalhado'!$A$10:$Q$196,MATCH(1,($E186='3. Plano_Detalhado'!$E$10:$E$196)*($F186='3. Plano_Detalhado'!$F$10:$F$196)*($C186='3. Plano_Detalhado'!$A$10:$A$196),0),16))</f>
        <v/>
      </c>
      <c r="J186" s="188"/>
      <c r="K186" s="189"/>
      <c r="L186" s="189"/>
      <c r="M186" s="189"/>
      <c r="N186" s="189"/>
    </row>
    <row r="187" spans="1:14" ht="16.350000000000001" hidden="1" customHeight="1" x14ac:dyDescent="0.4">
      <c r="A187" s="2"/>
      <c r="B187" s="48" t="s">
        <v>35</v>
      </c>
      <c r="C187" s="210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8" t="s">
        <v>108</v>
      </c>
      <c r="F187" s="26" t="s">
        <v>53</v>
      </c>
      <c r="G187" s="209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7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Plano_Detalhado'!$A$10:$A$196),0),16)="","",INDEX('3. Plano_Detalhado'!$A$10:$Q$196,MATCH(1,($E187='3. Plano_Detalhado'!$E$10:$E$196)*($F187='3. Plano_Detalhado'!$F$10:$F$196)*($C187='3. Plano_Detalhado'!$A$10:$A$196),0),16))</f>
        <v/>
      </c>
      <c r="J187" s="188"/>
      <c r="K187" s="189"/>
      <c r="L187" s="189"/>
      <c r="M187" s="189"/>
      <c r="N187" s="189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ht="16.350000000000001" customHeight="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ht="16.350000000000001" customHeight="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ht="16.350000000000001" customHeight="1" x14ac:dyDescent="0.25">
      <c r="A498" s="2"/>
    </row>
    <row r="499" spans="1:1" x14ac:dyDescent="0.25">
      <c r="A499" s="2"/>
    </row>
    <row r="500" spans="1: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  <row r="526" spans="1:1" ht="16.350000000000001" customHeight="1" x14ac:dyDescent="0.25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70" zoomScaleNormal="70" workbookViewId="0">
      <pane xSplit="1" ySplit="8" topLeftCell="C92" activePane="bottomRight" state="frozen"/>
      <selection pane="topRight" activeCell="B1" sqref="B1"/>
      <selection pane="bottomLeft" activeCell="A9" sqref="A9"/>
      <selection pane="bottomRight" activeCell="G111" sqref="G111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308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 x14ac:dyDescent="0.45">
      <c r="N1" s="1"/>
      <c r="O1" s="1"/>
      <c r="P1" s="1"/>
      <c r="AK1" s="12"/>
    </row>
    <row r="2" spans="1:81" x14ac:dyDescent="0.45">
      <c r="N2" s="1"/>
      <c r="O2" s="1"/>
      <c r="P2" s="1"/>
    </row>
    <row r="3" spans="1:81" x14ac:dyDescent="0.45">
      <c r="N3" s="1"/>
      <c r="O3" s="1"/>
      <c r="P3" s="1"/>
    </row>
    <row r="4" spans="1:81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09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 x14ac:dyDescent="0.45">
      <c r="N5" s="1"/>
      <c r="O5" s="1"/>
      <c r="P5" s="1"/>
      <c r="R5" s="8"/>
    </row>
    <row r="6" spans="1:81" x14ac:dyDescent="0.45">
      <c r="N6" s="1"/>
      <c r="O6" s="1"/>
      <c r="P6" s="1"/>
    </row>
    <row r="7" spans="1:81" x14ac:dyDescent="0.45">
      <c r="N7" s="1"/>
      <c r="O7" s="1"/>
      <c r="P7" s="1"/>
      <c r="R7" s="353" t="s">
        <v>33</v>
      </c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 t="s">
        <v>134</v>
      </c>
      <c r="AO7" s="353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E7" s="353"/>
      <c r="BF7" s="353"/>
      <c r="BG7" s="353"/>
      <c r="BH7" s="353" t="s">
        <v>252</v>
      </c>
      <c r="BI7" s="353"/>
      <c r="BJ7" s="353"/>
      <c r="BK7" s="353"/>
      <c r="BL7" s="353"/>
      <c r="BM7" s="353"/>
      <c r="BN7" s="353"/>
      <c r="BO7" s="353"/>
      <c r="BP7" s="353"/>
      <c r="BQ7" s="353"/>
      <c r="BR7" s="353"/>
      <c r="BS7" s="353"/>
      <c r="BT7" s="353"/>
      <c r="BU7" s="353"/>
      <c r="BV7" s="353"/>
      <c r="BW7" s="353"/>
      <c r="BX7" s="353"/>
      <c r="BY7" s="353"/>
      <c r="BZ7" s="353"/>
      <c r="CA7" s="353"/>
      <c r="CB7" s="353"/>
    </row>
    <row r="8" spans="1:81" x14ac:dyDescent="0.45">
      <c r="B8" s="233" t="s">
        <v>0</v>
      </c>
      <c r="C8" s="233" t="s">
        <v>1</v>
      </c>
      <c r="D8" s="233" t="s">
        <v>2</v>
      </c>
      <c r="E8" s="233" t="s">
        <v>3</v>
      </c>
      <c r="F8" s="233" t="s">
        <v>4</v>
      </c>
      <c r="G8" s="234" t="s">
        <v>253</v>
      </c>
      <c r="H8" s="233" t="s">
        <v>254</v>
      </c>
      <c r="I8" s="233" t="s">
        <v>473</v>
      </c>
      <c r="J8" s="233" t="s">
        <v>6</v>
      </c>
      <c r="K8" s="233" t="s">
        <v>7</v>
      </c>
      <c r="L8" s="233" t="s">
        <v>8</v>
      </c>
      <c r="M8" s="233" t="s">
        <v>9</v>
      </c>
      <c r="N8" s="233" t="s">
        <v>10</v>
      </c>
      <c r="O8" s="233" t="s">
        <v>11</v>
      </c>
      <c r="P8" s="233" t="s">
        <v>12</v>
      </c>
      <c r="Q8" s="233" t="s">
        <v>13</v>
      </c>
      <c r="R8" s="229">
        <f t="shared" ref="R8:CB8" si="0">R9</f>
        <v>45659</v>
      </c>
      <c r="S8" s="229">
        <f t="shared" si="0"/>
        <v>45660</v>
      </c>
      <c r="T8" s="229">
        <f t="shared" si="0"/>
        <v>45663</v>
      </c>
      <c r="U8" s="229">
        <f t="shared" si="0"/>
        <v>45664</v>
      </c>
      <c r="V8" s="229">
        <f t="shared" si="0"/>
        <v>45665</v>
      </c>
      <c r="W8" s="229">
        <f t="shared" si="0"/>
        <v>45666</v>
      </c>
      <c r="X8" s="229">
        <f t="shared" si="0"/>
        <v>45667</v>
      </c>
      <c r="Y8" s="229">
        <f t="shared" si="0"/>
        <v>45670</v>
      </c>
      <c r="Z8" s="229">
        <f t="shared" si="0"/>
        <v>45671</v>
      </c>
      <c r="AA8" s="229">
        <f t="shared" si="0"/>
        <v>45672</v>
      </c>
      <c r="AB8" s="229">
        <f t="shared" si="0"/>
        <v>45673</v>
      </c>
      <c r="AC8" s="229">
        <f t="shared" si="0"/>
        <v>45674</v>
      </c>
      <c r="AD8" s="229">
        <f t="shared" si="0"/>
        <v>45677</v>
      </c>
      <c r="AE8" s="229">
        <f t="shared" si="0"/>
        <v>45678</v>
      </c>
      <c r="AF8" s="229">
        <f t="shared" si="0"/>
        <v>45679</v>
      </c>
      <c r="AG8" s="229">
        <f t="shared" si="0"/>
        <v>45680</v>
      </c>
      <c r="AH8" s="229">
        <f t="shared" si="0"/>
        <v>45681</v>
      </c>
      <c r="AI8" s="229">
        <f t="shared" si="0"/>
        <v>45684</v>
      </c>
      <c r="AJ8" s="229">
        <f t="shared" si="0"/>
        <v>45685</v>
      </c>
      <c r="AK8" s="229">
        <f t="shared" si="0"/>
        <v>45686</v>
      </c>
      <c r="AL8" s="229">
        <f t="shared" si="0"/>
        <v>45687</v>
      </c>
      <c r="AM8" s="229">
        <f t="shared" si="0"/>
        <v>45688</v>
      </c>
      <c r="AN8" s="229">
        <f t="shared" si="0"/>
        <v>45691</v>
      </c>
      <c r="AO8" s="229">
        <f t="shared" si="0"/>
        <v>45692</v>
      </c>
      <c r="AP8" s="229">
        <f t="shared" si="0"/>
        <v>45693</v>
      </c>
      <c r="AQ8" s="229">
        <f t="shared" si="0"/>
        <v>45694</v>
      </c>
      <c r="AR8" s="229">
        <f t="shared" si="0"/>
        <v>45695</v>
      </c>
      <c r="AS8" s="229">
        <f t="shared" si="0"/>
        <v>45698</v>
      </c>
      <c r="AT8" s="229">
        <f t="shared" si="0"/>
        <v>45699</v>
      </c>
      <c r="AU8" s="229">
        <f t="shared" si="0"/>
        <v>45700</v>
      </c>
      <c r="AV8" s="229">
        <f t="shared" si="0"/>
        <v>45701</v>
      </c>
      <c r="AW8" s="229">
        <f t="shared" si="0"/>
        <v>45702</v>
      </c>
      <c r="AX8" s="229">
        <f t="shared" si="0"/>
        <v>45705</v>
      </c>
      <c r="AY8" s="229">
        <f t="shared" si="0"/>
        <v>45706</v>
      </c>
      <c r="AZ8" s="229">
        <f t="shared" si="0"/>
        <v>45707</v>
      </c>
      <c r="BA8" s="229">
        <f t="shared" si="0"/>
        <v>45708</v>
      </c>
      <c r="BB8" s="229">
        <f t="shared" si="0"/>
        <v>45709</v>
      </c>
      <c r="BC8" s="229">
        <f t="shared" si="0"/>
        <v>45712</v>
      </c>
      <c r="BD8" s="229">
        <f t="shared" si="0"/>
        <v>45713</v>
      </c>
      <c r="BE8" s="229">
        <f t="shared" si="0"/>
        <v>45714</v>
      </c>
      <c r="BF8" s="229">
        <f t="shared" si="0"/>
        <v>45715</v>
      </c>
      <c r="BG8" s="229">
        <f t="shared" si="0"/>
        <v>45716</v>
      </c>
      <c r="BH8" s="229">
        <f t="shared" si="0"/>
        <v>45719</v>
      </c>
      <c r="BI8" s="229">
        <f t="shared" si="0"/>
        <v>45720</v>
      </c>
      <c r="BJ8" s="229">
        <f t="shared" si="0"/>
        <v>45721</v>
      </c>
      <c r="BK8" s="229">
        <f t="shared" si="0"/>
        <v>45722</v>
      </c>
      <c r="BL8" s="229">
        <f t="shared" si="0"/>
        <v>45723</v>
      </c>
      <c r="BM8" s="229">
        <f t="shared" si="0"/>
        <v>45726</v>
      </c>
      <c r="BN8" s="229">
        <f t="shared" si="0"/>
        <v>45727</v>
      </c>
      <c r="BO8" s="229">
        <f t="shared" si="0"/>
        <v>45728</v>
      </c>
      <c r="BP8" s="229">
        <f t="shared" si="0"/>
        <v>45729</v>
      </c>
      <c r="BQ8" s="229">
        <f t="shared" si="0"/>
        <v>45730</v>
      </c>
      <c r="BR8" s="229">
        <f t="shared" si="0"/>
        <v>45733</v>
      </c>
      <c r="BS8" s="229">
        <f t="shared" si="0"/>
        <v>45734</v>
      </c>
      <c r="BT8" s="229">
        <f t="shared" si="0"/>
        <v>45735</v>
      </c>
      <c r="BU8" s="229">
        <f t="shared" si="0"/>
        <v>45736</v>
      </c>
      <c r="BV8" s="229">
        <f t="shared" si="0"/>
        <v>45737</v>
      </c>
      <c r="BW8" s="229">
        <f t="shared" si="0"/>
        <v>45740</v>
      </c>
      <c r="BX8" s="229">
        <f t="shared" si="0"/>
        <v>45741</v>
      </c>
      <c r="BY8" s="229">
        <f t="shared" si="0"/>
        <v>45742</v>
      </c>
      <c r="BZ8" s="229">
        <f t="shared" si="0"/>
        <v>45743</v>
      </c>
      <c r="CA8" s="229">
        <f t="shared" si="0"/>
        <v>45744</v>
      </c>
      <c r="CB8" s="229">
        <f t="shared" si="0"/>
        <v>45747</v>
      </c>
    </row>
    <row r="9" spans="1:81" ht="17.850000000000001" customHeight="1" x14ac:dyDescent="0.45">
      <c r="B9" s="235" t="s">
        <v>14</v>
      </c>
      <c r="C9" s="236"/>
      <c r="D9" s="236"/>
      <c r="E9" s="236"/>
      <c r="F9" s="236"/>
      <c r="G9" s="236"/>
      <c r="H9" s="236"/>
      <c r="I9" s="236"/>
      <c r="J9" s="237">
        <f>+Macro_Plano_2025_v1!J15</f>
        <v>64</v>
      </c>
      <c r="K9" s="237">
        <f>J9/8</f>
        <v>8</v>
      </c>
      <c r="L9" s="237">
        <f>SUM(L10:L34)</f>
        <v>6.5</v>
      </c>
      <c r="M9" s="238">
        <f>SUM(M10:M34)</f>
        <v>1.5625</v>
      </c>
      <c r="N9" s="239">
        <f>SUMPRODUCT(N10:N34,J10:J34)/J9</f>
        <v>0.04</v>
      </c>
      <c r="O9" s="239">
        <f>SUMPRODUCT(O10:O34,K10:K34)/K9</f>
        <v>0.04</v>
      </c>
      <c r="P9" s="239">
        <f>O9-N9</f>
        <v>0</v>
      </c>
      <c r="Q9" s="310"/>
      <c r="R9" s="232">
        <v>45659</v>
      </c>
      <c r="S9" s="232">
        <f t="shared" ref="S9:CB9" si="1">WORKDAY(R9,1)</f>
        <v>45660</v>
      </c>
      <c r="T9" s="232">
        <f t="shared" si="1"/>
        <v>45663</v>
      </c>
      <c r="U9" s="232">
        <f t="shared" si="1"/>
        <v>45664</v>
      </c>
      <c r="V9" s="232">
        <f t="shared" si="1"/>
        <v>45665</v>
      </c>
      <c r="W9" s="232">
        <f t="shared" si="1"/>
        <v>45666</v>
      </c>
      <c r="X9" s="232">
        <f t="shared" si="1"/>
        <v>45667</v>
      </c>
      <c r="Y9" s="232">
        <f t="shared" si="1"/>
        <v>45670</v>
      </c>
      <c r="Z9" s="232">
        <f t="shared" si="1"/>
        <v>45671</v>
      </c>
      <c r="AA9" s="232">
        <f t="shared" si="1"/>
        <v>45672</v>
      </c>
      <c r="AB9" s="232">
        <f t="shared" si="1"/>
        <v>45673</v>
      </c>
      <c r="AC9" s="232">
        <f t="shared" si="1"/>
        <v>45674</v>
      </c>
      <c r="AD9" s="232">
        <f t="shared" si="1"/>
        <v>45677</v>
      </c>
      <c r="AE9" s="232">
        <f t="shared" si="1"/>
        <v>45678</v>
      </c>
      <c r="AF9" s="232">
        <f t="shared" si="1"/>
        <v>45679</v>
      </c>
      <c r="AG9" s="232">
        <f t="shared" si="1"/>
        <v>45680</v>
      </c>
      <c r="AH9" s="232">
        <f t="shared" si="1"/>
        <v>45681</v>
      </c>
      <c r="AI9" s="232">
        <f t="shared" si="1"/>
        <v>45684</v>
      </c>
      <c r="AJ9" s="232">
        <f t="shared" si="1"/>
        <v>45685</v>
      </c>
      <c r="AK9" s="232">
        <f t="shared" si="1"/>
        <v>45686</v>
      </c>
      <c r="AL9" s="232">
        <f t="shared" si="1"/>
        <v>45687</v>
      </c>
      <c r="AM9" s="232">
        <f t="shared" si="1"/>
        <v>45688</v>
      </c>
      <c r="AN9" s="232">
        <f t="shared" si="1"/>
        <v>45691</v>
      </c>
      <c r="AO9" s="232">
        <f t="shared" si="1"/>
        <v>45692</v>
      </c>
      <c r="AP9" s="232">
        <f t="shared" si="1"/>
        <v>45693</v>
      </c>
      <c r="AQ9" s="232">
        <f t="shared" si="1"/>
        <v>45694</v>
      </c>
      <c r="AR9" s="232">
        <f t="shared" si="1"/>
        <v>45695</v>
      </c>
      <c r="AS9" s="232">
        <f t="shared" si="1"/>
        <v>45698</v>
      </c>
      <c r="AT9" s="232">
        <f t="shared" si="1"/>
        <v>45699</v>
      </c>
      <c r="AU9" s="232">
        <f t="shared" si="1"/>
        <v>45700</v>
      </c>
      <c r="AV9" s="232">
        <f t="shared" si="1"/>
        <v>45701</v>
      </c>
      <c r="AW9" s="232">
        <f t="shared" si="1"/>
        <v>45702</v>
      </c>
      <c r="AX9" s="232">
        <f t="shared" si="1"/>
        <v>45705</v>
      </c>
      <c r="AY9" s="232">
        <f t="shared" si="1"/>
        <v>45706</v>
      </c>
      <c r="AZ9" s="232">
        <f t="shared" si="1"/>
        <v>45707</v>
      </c>
      <c r="BA9" s="232">
        <f t="shared" si="1"/>
        <v>45708</v>
      </c>
      <c r="BB9" s="232">
        <f t="shared" si="1"/>
        <v>45709</v>
      </c>
      <c r="BC9" s="232">
        <f t="shared" si="1"/>
        <v>45712</v>
      </c>
      <c r="BD9" s="232">
        <f t="shared" si="1"/>
        <v>45713</v>
      </c>
      <c r="BE9" s="232">
        <f t="shared" si="1"/>
        <v>45714</v>
      </c>
      <c r="BF9" s="232">
        <f t="shared" si="1"/>
        <v>45715</v>
      </c>
      <c r="BG9" s="232">
        <f t="shared" si="1"/>
        <v>45716</v>
      </c>
      <c r="BH9" s="232">
        <f t="shared" si="1"/>
        <v>45719</v>
      </c>
      <c r="BI9" s="232">
        <f t="shared" si="1"/>
        <v>45720</v>
      </c>
      <c r="BJ9" s="232">
        <f t="shared" si="1"/>
        <v>45721</v>
      </c>
      <c r="BK9" s="232">
        <f t="shared" si="1"/>
        <v>45722</v>
      </c>
      <c r="BL9" s="232">
        <f t="shared" si="1"/>
        <v>45723</v>
      </c>
      <c r="BM9" s="232">
        <f t="shared" si="1"/>
        <v>45726</v>
      </c>
      <c r="BN9" s="232">
        <f t="shared" si="1"/>
        <v>45727</v>
      </c>
      <c r="BO9" s="232">
        <f t="shared" si="1"/>
        <v>45728</v>
      </c>
      <c r="BP9" s="232">
        <f t="shared" si="1"/>
        <v>45729</v>
      </c>
      <c r="BQ9" s="232">
        <f t="shared" si="1"/>
        <v>45730</v>
      </c>
      <c r="BR9" s="232">
        <f t="shared" si="1"/>
        <v>45733</v>
      </c>
      <c r="BS9" s="232">
        <f t="shared" si="1"/>
        <v>45734</v>
      </c>
      <c r="BT9" s="232">
        <f t="shared" si="1"/>
        <v>45735</v>
      </c>
      <c r="BU9" s="232">
        <f t="shared" si="1"/>
        <v>45736</v>
      </c>
      <c r="BV9" s="232">
        <f t="shared" si="1"/>
        <v>45737</v>
      </c>
      <c r="BW9" s="232">
        <f t="shared" si="1"/>
        <v>45740</v>
      </c>
      <c r="BX9" s="232">
        <f t="shared" si="1"/>
        <v>45741</v>
      </c>
      <c r="BY9" s="232">
        <f t="shared" si="1"/>
        <v>45742</v>
      </c>
      <c r="BZ9" s="232">
        <f t="shared" si="1"/>
        <v>45743</v>
      </c>
      <c r="CA9" s="232">
        <f t="shared" si="1"/>
        <v>45744</v>
      </c>
      <c r="CB9" s="232">
        <f t="shared" si="1"/>
        <v>45747</v>
      </c>
    </row>
    <row r="10" spans="1:81" outlineLevel="1" x14ac:dyDescent="0.45">
      <c r="A10" s="213" t="s">
        <v>119</v>
      </c>
      <c r="B10" s="224" t="s">
        <v>17</v>
      </c>
      <c r="C10" s="224" t="s">
        <v>251</v>
      </c>
      <c r="D10" s="224" t="s">
        <v>21</v>
      </c>
      <c r="E10" s="225" t="s">
        <v>29</v>
      </c>
      <c r="F10" s="225" t="s">
        <v>79</v>
      </c>
      <c r="G10" s="225" t="s">
        <v>266</v>
      </c>
      <c r="H10" s="225" t="s">
        <v>266</v>
      </c>
      <c r="I10" s="225"/>
      <c r="J10" s="226">
        <f>+$J$9/25</f>
        <v>2.56</v>
      </c>
      <c r="K10" s="226">
        <f>+$K$9/25</f>
        <v>0.32</v>
      </c>
      <c r="L10" s="226">
        <f>SUM(R10:CB10)</f>
        <v>0.5</v>
      </c>
      <c r="M10" s="227">
        <f>L10/8</f>
        <v>6.25E-2</v>
      </c>
      <c r="N10" s="228">
        <f>100%</f>
        <v>1</v>
      </c>
      <c r="O10" s="228">
        <f>100%</f>
        <v>1</v>
      </c>
      <c r="P10" s="228">
        <f t="shared" ref="P10" si="2">O10-N10</f>
        <v>0</v>
      </c>
      <c r="Q10" s="311"/>
      <c r="R10" s="230">
        <v>0.5</v>
      </c>
      <c r="S10" s="230"/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/>
      <c r="AY10" s="230"/>
      <c r="AZ10" s="230"/>
      <c r="BA10" s="230"/>
      <c r="BB10" s="230"/>
      <c r="BC10" s="230"/>
      <c r="BD10" s="230"/>
      <c r="BE10" s="230"/>
      <c r="BF10" s="230"/>
      <c r="BG10" s="230"/>
      <c r="BH10" s="230"/>
      <c r="BI10" s="231"/>
      <c r="BJ10" s="230"/>
      <c r="BK10" s="230"/>
      <c r="BL10" s="230"/>
      <c r="BM10" s="230"/>
      <c r="BN10" s="230"/>
      <c r="BO10" s="231"/>
      <c r="BP10" s="230"/>
      <c r="BQ10" s="230"/>
      <c r="BR10" s="230"/>
      <c r="BS10" s="230"/>
      <c r="BT10" s="230"/>
      <c r="BU10" s="230"/>
      <c r="BV10" s="230"/>
      <c r="BW10" s="230"/>
      <c r="BX10" s="230"/>
      <c r="BY10" s="230"/>
      <c r="BZ10" s="230"/>
      <c r="CA10" s="230"/>
      <c r="CB10" s="230"/>
    </row>
    <row r="11" spans="1:81" outlineLevel="1" x14ac:dyDescent="0.45">
      <c r="A11" s="213" t="s">
        <v>119</v>
      </c>
      <c r="B11" s="216" t="s">
        <v>17</v>
      </c>
      <c r="C11" s="216" t="s">
        <v>251</v>
      </c>
      <c r="D11" s="216" t="s">
        <v>21</v>
      </c>
      <c r="E11" s="217" t="s">
        <v>29</v>
      </c>
      <c r="F11" s="217" t="s">
        <v>60</v>
      </c>
      <c r="G11" s="223" t="s">
        <v>266</v>
      </c>
      <c r="H11" s="217" t="s">
        <v>268</v>
      </c>
      <c r="I11" s="217"/>
      <c r="J11" s="218">
        <f t="shared" ref="J11:J34" si="3">+$J$9/25</f>
        <v>2.56</v>
      </c>
      <c r="K11" s="218">
        <f t="shared" ref="K11:K33" si="4">+$K$9/25</f>
        <v>0.32</v>
      </c>
      <c r="L11" s="218">
        <f t="shared" ref="L11:L34" si="5">SUM(R11:CB11)</f>
        <v>0.5</v>
      </c>
      <c r="M11" s="219">
        <v>6.25E-2</v>
      </c>
      <c r="N11" s="220"/>
      <c r="O11" s="220"/>
      <c r="P11" s="220"/>
      <c r="Q11" s="312"/>
      <c r="R11" s="221"/>
      <c r="S11" s="221">
        <v>0.5</v>
      </c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1"/>
      <c r="AY11" s="221"/>
      <c r="AZ11" s="221"/>
      <c r="BA11" s="221"/>
      <c r="BB11" s="221"/>
      <c r="BC11" s="221"/>
      <c r="BD11" s="221"/>
      <c r="BE11" s="221"/>
      <c r="BF11" s="221"/>
      <c r="BG11" s="221"/>
      <c r="BH11" s="221"/>
      <c r="BI11" s="222"/>
      <c r="BJ11" s="221"/>
      <c r="BK11" s="221"/>
      <c r="BL11" s="221"/>
      <c r="BM11" s="221"/>
      <c r="BN11" s="221"/>
      <c r="BO11" s="222"/>
      <c r="BP11" s="221"/>
      <c r="BQ11" s="221"/>
      <c r="BR11" s="221"/>
      <c r="BS11" s="221"/>
      <c r="BT11" s="221"/>
      <c r="BU11" s="221"/>
      <c r="BV11" s="221"/>
      <c r="BW11" s="221"/>
      <c r="BX11" s="221"/>
      <c r="BY11" s="221"/>
      <c r="BZ11" s="221"/>
      <c r="CA11" s="221"/>
      <c r="CB11" s="221"/>
    </row>
    <row r="12" spans="1:81" outlineLevel="1" x14ac:dyDescent="0.45">
      <c r="A12" s="213" t="s">
        <v>119</v>
      </c>
      <c r="B12" s="216" t="s">
        <v>17</v>
      </c>
      <c r="C12" s="216" t="s">
        <v>251</v>
      </c>
      <c r="D12" s="216" t="s">
        <v>21</v>
      </c>
      <c r="E12" s="217" t="s">
        <v>29</v>
      </c>
      <c r="F12" s="217" t="s">
        <v>80</v>
      </c>
      <c r="G12" s="217" t="s">
        <v>266</v>
      </c>
      <c r="H12" s="217" t="s">
        <v>266</v>
      </c>
      <c r="I12" s="217"/>
      <c r="J12" s="218">
        <f t="shared" si="3"/>
        <v>2.56</v>
      </c>
      <c r="K12" s="218">
        <f t="shared" si="4"/>
        <v>0.32</v>
      </c>
      <c r="L12" s="218">
        <f t="shared" si="5"/>
        <v>0.5</v>
      </c>
      <c r="M12" s="219">
        <v>6.25E-2</v>
      </c>
      <c r="N12" s="220"/>
      <c r="O12" s="220"/>
      <c r="P12" s="220"/>
      <c r="Q12" s="312"/>
      <c r="R12" s="221"/>
      <c r="S12" s="221"/>
      <c r="T12" s="221">
        <v>0.5</v>
      </c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221"/>
      <c r="AS12" s="221"/>
      <c r="AT12" s="221"/>
      <c r="AU12" s="221"/>
      <c r="AV12" s="221"/>
      <c r="AW12" s="221"/>
      <c r="AX12" s="221"/>
      <c r="AY12" s="221"/>
      <c r="AZ12" s="221"/>
      <c r="BA12" s="221"/>
      <c r="BB12" s="221"/>
      <c r="BC12" s="221"/>
      <c r="BD12" s="221"/>
      <c r="BE12" s="221"/>
      <c r="BF12" s="221"/>
      <c r="BG12" s="221"/>
      <c r="BH12" s="221"/>
      <c r="BI12" s="222"/>
      <c r="BJ12" s="221"/>
      <c r="BK12" s="221"/>
      <c r="BL12" s="221"/>
      <c r="BM12" s="221"/>
      <c r="BN12" s="221"/>
      <c r="BO12" s="222"/>
      <c r="BP12" s="221"/>
      <c r="BQ12" s="221"/>
      <c r="BR12" s="221"/>
      <c r="BS12" s="221"/>
      <c r="BT12" s="221"/>
      <c r="BU12" s="221"/>
      <c r="BV12" s="221"/>
      <c r="BW12" s="221"/>
      <c r="BX12" s="221"/>
      <c r="BY12" s="221"/>
      <c r="BZ12" s="221"/>
      <c r="CA12" s="221"/>
      <c r="CB12" s="221"/>
    </row>
    <row r="13" spans="1:81" outlineLevel="1" x14ac:dyDescent="0.45">
      <c r="A13" s="213" t="s">
        <v>119</v>
      </c>
      <c r="B13" s="216" t="s">
        <v>17</v>
      </c>
      <c r="C13" s="216" t="s">
        <v>251</v>
      </c>
      <c r="D13" s="216" t="s">
        <v>21</v>
      </c>
      <c r="E13" s="217" t="s">
        <v>29</v>
      </c>
      <c r="F13" s="217" t="s">
        <v>81</v>
      </c>
      <c r="G13" s="217" t="s">
        <v>266</v>
      </c>
      <c r="H13" s="217" t="s">
        <v>266</v>
      </c>
      <c r="I13" s="217"/>
      <c r="J13" s="218">
        <f t="shared" si="3"/>
        <v>2.56</v>
      </c>
      <c r="K13" s="218">
        <f t="shared" si="4"/>
        <v>0.32</v>
      </c>
      <c r="L13" s="218">
        <f t="shared" si="5"/>
        <v>0</v>
      </c>
      <c r="M13" s="219">
        <v>6.25E-2</v>
      </c>
      <c r="N13" s="220"/>
      <c r="O13" s="220"/>
      <c r="P13" s="220"/>
      <c r="Q13" s="312"/>
      <c r="R13" s="221"/>
      <c r="S13" s="221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1"/>
      <c r="AX13" s="221"/>
      <c r="AY13" s="221"/>
      <c r="AZ13" s="221"/>
      <c r="BA13" s="221"/>
      <c r="BB13" s="221"/>
      <c r="BC13" s="221"/>
      <c r="BD13" s="221"/>
      <c r="BE13" s="221"/>
      <c r="BF13" s="221"/>
      <c r="BG13" s="221"/>
      <c r="BH13" s="221"/>
      <c r="BI13" s="222"/>
      <c r="BJ13" s="221"/>
      <c r="BK13" s="221"/>
      <c r="BL13" s="221"/>
      <c r="BM13" s="221"/>
      <c r="BN13" s="221"/>
      <c r="BO13" s="222"/>
      <c r="BP13" s="221"/>
      <c r="BQ13" s="221"/>
      <c r="BR13" s="221"/>
      <c r="BS13" s="221"/>
      <c r="BT13" s="221"/>
      <c r="BU13" s="221"/>
      <c r="BV13" s="221"/>
      <c r="BW13" s="221"/>
      <c r="BX13" s="221"/>
      <c r="BY13" s="221"/>
      <c r="BZ13" s="221"/>
      <c r="CA13" s="221"/>
      <c r="CB13" s="221"/>
    </row>
    <row r="14" spans="1:81" outlineLevel="1" x14ac:dyDescent="0.45">
      <c r="A14" s="213" t="s">
        <v>119</v>
      </c>
      <c r="B14" s="216" t="s">
        <v>17</v>
      </c>
      <c r="C14" s="216" t="s">
        <v>251</v>
      </c>
      <c r="D14" s="216" t="s">
        <v>21</v>
      </c>
      <c r="E14" s="217" t="s">
        <v>29</v>
      </c>
      <c r="F14" s="217" t="s">
        <v>82</v>
      </c>
      <c r="G14" s="217" t="s">
        <v>266</v>
      </c>
      <c r="H14" s="217" t="s">
        <v>266</v>
      </c>
      <c r="I14" s="217"/>
      <c r="J14" s="218">
        <f t="shared" si="3"/>
        <v>2.56</v>
      </c>
      <c r="K14" s="218">
        <f t="shared" si="4"/>
        <v>0.32</v>
      </c>
      <c r="L14" s="218">
        <f t="shared" si="5"/>
        <v>1.5</v>
      </c>
      <c r="M14" s="219">
        <v>6.25E-2</v>
      </c>
      <c r="N14" s="220"/>
      <c r="O14" s="220"/>
      <c r="P14" s="220"/>
      <c r="Q14" s="312"/>
      <c r="R14" s="221"/>
      <c r="S14" s="221">
        <v>1.5</v>
      </c>
      <c r="T14" s="221"/>
      <c r="U14" s="221"/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221"/>
      <c r="AS14" s="221"/>
      <c r="AT14" s="221"/>
      <c r="AU14" s="221"/>
      <c r="AV14" s="221"/>
      <c r="AW14" s="221"/>
      <c r="AX14" s="221"/>
      <c r="AY14" s="221"/>
      <c r="AZ14" s="221"/>
      <c r="BA14" s="221"/>
      <c r="BB14" s="221"/>
      <c r="BC14" s="221"/>
      <c r="BD14" s="221"/>
      <c r="BE14" s="221"/>
      <c r="BF14" s="221"/>
      <c r="BG14" s="221"/>
      <c r="BH14" s="221"/>
      <c r="BI14" s="222"/>
      <c r="BJ14" s="221"/>
      <c r="BK14" s="221"/>
      <c r="BL14" s="221"/>
      <c r="BM14" s="221"/>
      <c r="BN14" s="221"/>
      <c r="BO14" s="222"/>
      <c r="BP14" s="221"/>
      <c r="BQ14" s="221"/>
      <c r="BR14" s="221"/>
      <c r="BS14" s="221"/>
      <c r="BT14" s="221"/>
      <c r="BU14" s="221"/>
      <c r="BV14" s="221"/>
      <c r="BW14" s="221"/>
      <c r="BX14" s="221"/>
      <c r="BY14" s="221"/>
      <c r="BZ14" s="221"/>
      <c r="CA14" s="221"/>
      <c r="CB14" s="221"/>
    </row>
    <row r="15" spans="1:81" outlineLevel="1" x14ac:dyDescent="0.45">
      <c r="A15" s="213" t="s">
        <v>119</v>
      </c>
      <c r="B15" s="216" t="s">
        <v>17</v>
      </c>
      <c r="C15" s="216" t="s">
        <v>251</v>
      </c>
      <c r="D15" s="216" t="s">
        <v>21</v>
      </c>
      <c r="E15" s="217" t="s">
        <v>29</v>
      </c>
      <c r="F15" s="217" t="s">
        <v>83</v>
      </c>
      <c r="G15" s="217" t="s">
        <v>266</v>
      </c>
      <c r="H15" s="217" t="s">
        <v>266</v>
      </c>
      <c r="I15" s="217"/>
      <c r="J15" s="218">
        <f t="shared" si="3"/>
        <v>2.56</v>
      </c>
      <c r="K15" s="218">
        <f t="shared" si="4"/>
        <v>0.32</v>
      </c>
      <c r="L15" s="218">
        <f t="shared" si="5"/>
        <v>0.5</v>
      </c>
      <c r="M15" s="219">
        <v>6.25E-2</v>
      </c>
      <c r="N15" s="220"/>
      <c r="O15" s="220"/>
      <c r="P15" s="220"/>
      <c r="Q15" s="312"/>
      <c r="R15" s="221"/>
      <c r="S15" s="221">
        <v>0.5</v>
      </c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1"/>
      <c r="AX15" s="221"/>
      <c r="AY15" s="221"/>
      <c r="AZ15" s="221"/>
      <c r="BA15" s="221"/>
      <c r="BB15" s="221"/>
      <c r="BC15" s="221"/>
      <c r="BD15" s="221"/>
      <c r="BE15" s="221"/>
      <c r="BF15" s="221"/>
      <c r="BG15" s="221"/>
      <c r="BH15" s="221"/>
      <c r="BI15" s="222"/>
      <c r="BJ15" s="221"/>
      <c r="BK15" s="221"/>
      <c r="BL15" s="221"/>
      <c r="BM15" s="221"/>
      <c r="BN15" s="221"/>
      <c r="BO15" s="222"/>
      <c r="BP15" s="221"/>
      <c r="BQ15" s="221"/>
      <c r="BR15" s="221"/>
      <c r="BS15" s="221"/>
      <c r="BT15" s="221"/>
      <c r="BU15" s="221"/>
      <c r="BV15" s="221"/>
      <c r="BW15" s="221"/>
      <c r="BX15" s="221"/>
      <c r="BY15" s="221"/>
      <c r="BZ15" s="221"/>
      <c r="CA15" s="221"/>
      <c r="CB15" s="221"/>
    </row>
    <row r="16" spans="1:81" outlineLevel="1" x14ac:dyDescent="0.45">
      <c r="A16" s="213" t="s">
        <v>119</v>
      </c>
      <c r="B16" s="216" t="s">
        <v>17</v>
      </c>
      <c r="C16" s="216" t="s">
        <v>251</v>
      </c>
      <c r="D16" s="216" t="s">
        <v>21</v>
      </c>
      <c r="E16" s="217" t="s">
        <v>29</v>
      </c>
      <c r="F16" s="217" t="s">
        <v>61</v>
      </c>
      <c r="G16" s="217" t="s">
        <v>266</v>
      </c>
      <c r="H16" s="217" t="s">
        <v>266</v>
      </c>
      <c r="I16" s="217"/>
      <c r="J16" s="218">
        <f t="shared" si="3"/>
        <v>2.56</v>
      </c>
      <c r="K16" s="218">
        <f t="shared" si="4"/>
        <v>0.32</v>
      </c>
      <c r="L16" s="218">
        <f t="shared" si="5"/>
        <v>0</v>
      </c>
      <c r="M16" s="219">
        <v>6.25E-2</v>
      </c>
      <c r="N16" s="220"/>
      <c r="O16" s="220"/>
      <c r="P16" s="220"/>
      <c r="Q16" s="312"/>
      <c r="R16" s="221"/>
      <c r="S16" s="221"/>
      <c r="T16" s="221"/>
      <c r="U16" s="221"/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221"/>
      <c r="AS16" s="221"/>
      <c r="AT16" s="221"/>
      <c r="AU16" s="221"/>
      <c r="AV16" s="221"/>
      <c r="AW16" s="221"/>
      <c r="AX16" s="221"/>
      <c r="AY16" s="221"/>
      <c r="AZ16" s="221"/>
      <c r="BA16" s="221"/>
      <c r="BB16" s="221"/>
      <c r="BC16" s="221"/>
      <c r="BD16" s="221"/>
      <c r="BE16" s="221"/>
      <c r="BF16" s="221"/>
      <c r="BG16" s="221"/>
      <c r="BH16" s="221"/>
      <c r="BI16" s="222"/>
      <c r="BJ16" s="221"/>
      <c r="BK16" s="221"/>
      <c r="BL16" s="221"/>
      <c r="BM16" s="221"/>
      <c r="BN16" s="221"/>
      <c r="BO16" s="222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</row>
    <row r="17" spans="1:80" outlineLevel="1" x14ac:dyDescent="0.45">
      <c r="A17" s="213" t="s">
        <v>119</v>
      </c>
      <c r="B17" s="216" t="s">
        <v>17</v>
      </c>
      <c r="C17" s="216" t="s">
        <v>251</v>
      </c>
      <c r="D17" s="216" t="s">
        <v>21</v>
      </c>
      <c r="E17" s="217" t="s">
        <v>29</v>
      </c>
      <c r="F17" s="217" t="s">
        <v>84</v>
      </c>
      <c r="G17" s="217" t="s">
        <v>266</v>
      </c>
      <c r="H17" s="217" t="s">
        <v>266</v>
      </c>
      <c r="I17" s="217"/>
      <c r="J17" s="218">
        <f t="shared" si="3"/>
        <v>2.56</v>
      </c>
      <c r="K17" s="218">
        <f t="shared" si="4"/>
        <v>0.32</v>
      </c>
      <c r="L17" s="218">
        <f t="shared" si="5"/>
        <v>0</v>
      </c>
      <c r="M17" s="219">
        <v>6.25E-2</v>
      </c>
      <c r="N17" s="220"/>
      <c r="O17" s="220"/>
      <c r="P17" s="220"/>
      <c r="Q17" s="312"/>
      <c r="R17" s="221"/>
      <c r="S17" s="221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1"/>
      <c r="AY17" s="221"/>
      <c r="AZ17" s="221"/>
      <c r="BA17" s="221"/>
      <c r="BB17" s="221"/>
      <c r="BC17" s="221"/>
      <c r="BD17" s="221"/>
      <c r="BE17" s="221"/>
      <c r="BF17" s="221"/>
      <c r="BG17" s="221"/>
      <c r="BH17" s="221"/>
      <c r="BI17" s="222"/>
      <c r="BJ17" s="221"/>
      <c r="BK17" s="221"/>
      <c r="BL17" s="221"/>
      <c r="BM17" s="221"/>
      <c r="BN17" s="221"/>
      <c r="BO17" s="222"/>
      <c r="BP17" s="221"/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</row>
    <row r="18" spans="1:80" outlineLevel="1" x14ac:dyDescent="0.45">
      <c r="A18" s="213" t="s">
        <v>119</v>
      </c>
      <c r="B18" s="216" t="s">
        <v>17</v>
      </c>
      <c r="C18" s="216" t="s">
        <v>251</v>
      </c>
      <c r="D18" s="216" t="s">
        <v>21</v>
      </c>
      <c r="E18" s="217" t="s">
        <v>29</v>
      </c>
      <c r="F18" s="217" t="s">
        <v>85</v>
      </c>
      <c r="G18" s="217" t="s">
        <v>266</v>
      </c>
      <c r="H18" s="217" t="s">
        <v>266</v>
      </c>
      <c r="I18" s="217"/>
      <c r="J18" s="218">
        <f t="shared" si="3"/>
        <v>2.56</v>
      </c>
      <c r="K18" s="218">
        <f t="shared" si="4"/>
        <v>0.32</v>
      </c>
      <c r="L18" s="218">
        <f t="shared" si="5"/>
        <v>0</v>
      </c>
      <c r="M18" s="219">
        <v>6.25E-2</v>
      </c>
      <c r="N18" s="220"/>
      <c r="O18" s="220"/>
      <c r="P18" s="220"/>
      <c r="Q18" s="312"/>
      <c r="R18" s="221"/>
      <c r="S18" s="221"/>
      <c r="T18" s="221"/>
      <c r="U18" s="221"/>
      <c r="V18" s="221"/>
      <c r="W18" s="221"/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221"/>
      <c r="AS18" s="221"/>
      <c r="AT18" s="221"/>
      <c r="AU18" s="221"/>
      <c r="AV18" s="221"/>
      <c r="AW18" s="221"/>
      <c r="AX18" s="221"/>
      <c r="AY18" s="221"/>
      <c r="AZ18" s="221"/>
      <c r="BA18" s="221"/>
      <c r="BB18" s="221"/>
      <c r="BC18" s="221"/>
      <c r="BD18" s="221"/>
      <c r="BE18" s="221"/>
      <c r="BF18" s="221"/>
      <c r="BG18" s="221"/>
      <c r="BH18" s="221"/>
      <c r="BI18" s="222"/>
      <c r="BJ18" s="221"/>
      <c r="BK18" s="221"/>
      <c r="BL18" s="221"/>
      <c r="BM18" s="221"/>
      <c r="BN18" s="221"/>
      <c r="BO18" s="222"/>
      <c r="BP18" s="221"/>
      <c r="BQ18" s="221"/>
      <c r="BR18" s="221"/>
      <c r="BS18" s="221"/>
      <c r="BT18" s="221"/>
      <c r="BU18" s="221"/>
      <c r="BV18" s="221"/>
      <c r="BW18" s="221"/>
      <c r="BX18" s="221"/>
      <c r="BY18" s="221"/>
      <c r="BZ18" s="221"/>
      <c r="CA18" s="221"/>
      <c r="CB18" s="221"/>
    </row>
    <row r="19" spans="1:80" outlineLevel="1" x14ac:dyDescent="0.45">
      <c r="A19" s="213" t="s">
        <v>119</v>
      </c>
      <c r="B19" s="216" t="s">
        <v>17</v>
      </c>
      <c r="C19" s="216" t="s">
        <v>251</v>
      </c>
      <c r="D19" s="216" t="s">
        <v>21</v>
      </c>
      <c r="E19" s="217" t="s">
        <v>29</v>
      </c>
      <c r="F19" s="217" t="s">
        <v>86</v>
      </c>
      <c r="G19" s="217" t="s">
        <v>266</v>
      </c>
      <c r="H19" s="217" t="s">
        <v>266</v>
      </c>
      <c r="I19" s="217"/>
      <c r="J19" s="218">
        <f t="shared" si="3"/>
        <v>2.56</v>
      </c>
      <c r="K19" s="218">
        <f t="shared" si="4"/>
        <v>0.32</v>
      </c>
      <c r="L19" s="218">
        <f t="shared" si="5"/>
        <v>0</v>
      </c>
      <c r="M19" s="219">
        <v>6.25E-2</v>
      </c>
      <c r="N19" s="220"/>
      <c r="O19" s="220"/>
      <c r="P19" s="220"/>
      <c r="Q19" s="312"/>
      <c r="R19" s="221"/>
      <c r="S19" s="221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1"/>
      <c r="AX19" s="221"/>
      <c r="AY19" s="221"/>
      <c r="AZ19" s="221"/>
      <c r="BA19" s="221"/>
      <c r="BB19" s="221"/>
      <c r="BC19" s="221"/>
      <c r="BD19" s="221"/>
      <c r="BE19" s="221"/>
      <c r="BF19" s="221"/>
      <c r="BG19" s="221"/>
      <c r="BH19" s="221"/>
      <c r="BI19" s="222"/>
      <c r="BJ19" s="221"/>
      <c r="BK19" s="221"/>
      <c r="BL19" s="221"/>
      <c r="BM19" s="221"/>
      <c r="BN19" s="221"/>
      <c r="BO19" s="222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</row>
    <row r="20" spans="1:80" outlineLevel="1" x14ac:dyDescent="0.45">
      <c r="A20" s="213" t="s">
        <v>119</v>
      </c>
      <c r="B20" s="216" t="s">
        <v>17</v>
      </c>
      <c r="C20" s="216" t="s">
        <v>251</v>
      </c>
      <c r="D20" s="216" t="s">
        <v>21</v>
      </c>
      <c r="E20" s="217" t="s">
        <v>29</v>
      </c>
      <c r="F20" s="217" t="s">
        <v>62</v>
      </c>
      <c r="G20" s="223" t="s">
        <v>266</v>
      </c>
      <c r="H20" s="217" t="s">
        <v>267</v>
      </c>
      <c r="I20" s="217"/>
      <c r="J20" s="218">
        <f t="shared" si="3"/>
        <v>2.56</v>
      </c>
      <c r="K20" s="218">
        <f t="shared" si="4"/>
        <v>0.32</v>
      </c>
      <c r="L20" s="218">
        <f t="shared" si="5"/>
        <v>0</v>
      </c>
      <c r="M20" s="219">
        <v>6.25E-2</v>
      </c>
      <c r="N20" s="220"/>
      <c r="O20" s="220"/>
      <c r="P20" s="220"/>
      <c r="Q20" s="312"/>
      <c r="R20" s="221"/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221"/>
      <c r="AS20" s="221"/>
      <c r="AT20" s="221"/>
      <c r="AU20" s="221"/>
      <c r="AV20" s="221"/>
      <c r="AW20" s="221"/>
      <c r="AX20" s="221"/>
      <c r="AY20" s="221"/>
      <c r="AZ20" s="221"/>
      <c r="BA20" s="221"/>
      <c r="BB20" s="221"/>
      <c r="BC20" s="221"/>
      <c r="BD20" s="221"/>
      <c r="BE20" s="221"/>
      <c r="BF20" s="221"/>
      <c r="BG20" s="221"/>
      <c r="BH20" s="221"/>
      <c r="BI20" s="222"/>
      <c r="BJ20" s="221"/>
      <c r="BK20" s="221"/>
      <c r="BL20" s="221"/>
      <c r="BM20" s="221"/>
      <c r="BN20" s="221"/>
      <c r="BO20" s="222"/>
      <c r="BP20" s="221"/>
      <c r="BQ20" s="221"/>
      <c r="BR20" s="221"/>
      <c r="BS20" s="221"/>
      <c r="BT20" s="221"/>
      <c r="BU20" s="221"/>
      <c r="BV20" s="221"/>
      <c r="BW20" s="221"/>
      <c r="BX20" s="221"/>
      <c r="BY20" s="221"/>
      <c r="BZ20" s="221"/>
      <c r="CA20" s="221"/>
      <c r="CB20" s="221"/>
    </row>
    <row r="21" spans="1:80" outlineLevel="1" x14ac:dyDescent="0.45">
      <c r="A21" s="213" t="s">
        <v>119</v>
      </c>
      <c r="B21" s="216" t="s">
        <v>17</v>
      </c>
      <c r="C21" s="216" t="s">
        <v>251</v>
      </c>
      <c r="D21" s="216" t="s">
        <v>21</v>
      </c>
      <c r="E21" s="217" t="s">
        <v>29</v>
      </c>
      <c r="F21" s="217" t="s">
        <v>87</v>
      </c>
      <c r="G21" s="223" t="s">
        <v>266</v>
      </c>
      <c r="H21" s="217" t="s">
        <v>267</v>
      </c>
      <c r="I21" s="217"/>
      <c r="J21" s="218">
        <f t="shared" si="3"/>
        <v>2.56</v>
      </c>
      <c r="K21" s="218">
        <f t="shared" si="4"/>
        <v>0.32</v>
      </c>
      <c r="L21" s="218">
        <f t="shared" si="5"/>
        <v>0.5</v>
      </c>
      <c r="M21" s="219">
        <v>6.25E-2</v>
      </c>
      <c r="N21" s="220"/>
      <c r="O21" s="220"/>
      <c r="P21" s="220"/>
      <c r="Q21" s="312"/>
      <c r="R21" s="221"/>
      <c r="S21" s="221">
        <v>0.5</v>
      </c>
      <c r="T21" s="221"/>
      <c r="U21" s="221"/>
      <c r="V21" s="221"/>
      <c r="W21" s="221"/>
      <c r="X21" s="221"/>
      <c r="Y21" s="221"/>
      <c r="Z21" s="221"/>
      <c r="AA21" s="221"/>
      <c r="AB21" s="221"/>
      <c r="AC21" s="221"/>
      <c r="AD21" s="221"/>
      <c r="AE21" s="221"/>
      <c r="AF21" s="221"/>
      <c r="AG21" s="221"/>
      <c r="AH21" s="221"/>
      <c r="AI21" s="221"/>
      <c r="AJ21" s="221"/>
      <c r="AK21" s="221"/>
      <c r="AL21" s="221"/>
      <c r="AM21" s="221"/>
      <c r="AN21" s="221"/>
      <c r="AO21" s="221"/>
      <c r="AP21" s="221"/>
      <c r="AQ21" s="221"/>
      <c r="AR21" s="221"/>
      <c r="AS21" s="221"/>
      <c r="AT21" s="221"/>
      <c r="AU21" s="221"/>
      <c r="AV21" s="221"/>
      <c r="AW21" s="221"/>
      <c r="AX21" s="221"/>
      <c r="AY21" s="221"/>
      <c r="AZ21" s="221"/>
      <c r="BA21" s="221"/>
      <c r="BB21" s="221"/>
      <c r="BC21" s="221"/>
      <c r="BD21" s="221"/>
      <c r="BE21" s="221"/>
      <c r="BF21" s="221"/>
      <c r="BG21" s="221"/>
      <c r="BH21" s="221"/>
      <c r="BI21" s="222"/>
      <c r="BJ21" s="221"/>
      <c r="BK21" s="221"/>
      <c r="BL21" s="221"/>
      <c r="BM21" s="221"/>
      <c r="BN21" s="221"/>
      <c r="BO21" s="222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</row>
    <row r="22" spans="1:80" outlineLevel="1" x14ac:dyDescent="0.45">
      <c r="A22" s="213" t="s">
        <v>119</v>
      </c>
      <c r="B22" s="216" t="s">
        <v>17</v>
      </c>
      <c r="C22" s="216" t="s">
        <v>251</v>
      </c>
      <c r="D22" s="216" t="s">
        <v>21</v>
      </c>
      <c r="E22" s="217" t="s">
        <v>29</v>
      </c>
      <c r="F22" s="217" t="s">
        <v>88</v>
      </c>
      <c r="G22" s="223" t="s">
        <v>266</v>
      </c>
      <c r="H22" s="217" t="s">
        <v>267</v>
      </c>
      <c r="I22" s="217"/>
      <c r="J22" s="218">
        <f t="shared" si="3"/>
        <v>2.56</v>
      </c>
      <c r="K22" s="218">
        <f t="shared" si="4"/>
        <v>0.32</v>
      </c>
      <c r="L22" s="218">
        <f t="shared" si="5"/>
        <v>0.5</v>
      </c>
      <c r="M22" s="219">
        <v>6.25E-2</v>
      </c>
      <c r="N22" s="220"/>
      <c r="O22" s="220"/>
      <c r="P22" s="220"/>
      <c r="Q22" s="312"/>
      <c r="R22" s="221"/>
      <c r="S22" s="221">
        <v>0.5</v>
      </c>
      <c r="T22" s="221"/>
      <c r="U22" s="221"/>
      <c r="V22" s="221"/>
      <c r="W22" s="221"/>
      <c r="X22" s="221"/>
      <c r="Y22" s="221"/>
      <c r="Z22" s="221"/>
      <c r="AA22" s="221"/>
      <c r="AB22" s="221"/>
      <c r="AC22" s="221"/>
      <c r="AD22" s="221"/>
      <c r="AE22" s="221"/>
      <c r="AF22" s="221"/>
      <c r="AG22" s="221"/>
      <c r="AH22" s="221"/>
      <c r="AI22" s="221"/>
      <c r="AJ22" s="221"/>
      <c r="AK22" s="221"/>
      <c r="AL22" s="221"/>
      <c r="AM22" s="221"/>
      <c r="AN22" s="221"/>
      <c r="AO22" s="221"/>
      <c r="AP22" s="221"/>
      <c r="AQ22" s="221"/>
      <c r="AR22" s="221"/>
      <c r="AS22" s="221"/>
      <c r="AT22" s="221"/>
      <c r="AU22" s="221"/>
      <c r="AV22" s="221"/>
      <c r="AW22" s="221"/>
      <c r="AX22" s="221"/>
      <c r="AY22" s="221"/>
      <c r="AZ22" s="221"/>
      <c r="BA22" s="221"/>
      <c r="BB22" s="221"/>
      <c r="BC22" s="221"/>
      <c r="BD22" s="221"/>
      <c r="BE22" s="221"/>
      <c r="BF22" s="221"/>
      <c r="BG22" s="221"/>
      <c r="BH22" s="221"/>
      <c r="BI22" s="222"/>
      <c r="BJ22" s="221"/>
      <c r="BK22" s="221"/>
      <c r="BL22" s="221"/>
      <c r="BM22" s="221"/>
      <c r="BN22" s="221"/>
      <c r="BO22" s="222"/>
      <c r="BP22" s="221"/>
      <c r="BQ22" s="221"/>
      <c r="BR22" s="221"/>
      <c r="BS22" s="221"/>
      <c r="BT22" s="221"/>
      <c r="BU22" s="221"/>
      <c r="BV22" s="221"/>
      <c r="BW22" s="221"/>
      <c r="BX22" s="221"/>
      <c r="BY22" s="221"/>
      <c r="BZ22" s="221"/>
      <c r="CA22" s="221"/>
      <c r="CB22" s="221"/>
    </row>
    <row r="23" spans="1:80" outlineLevel="1" x14ac:dyDescent="0.45">
      <c r="A23" s="213" t="s">
        <v>119</v>
      </c>
      <c r="B23" s="216" t="s">
        <v>17</v>
      </c>
      <c r="C23" s="216" t="s">
        <v>251</v>
      </c>
      <c r="D23" s="216" t="s">
        <v>21</v>
      </c>
      <c r="E23" s="217" t="s">
        <v>29</v>
      </c>
      <c r="F23" s="217" t="s">
        <v>89</v>
      </c>
      <c r="G23" s="217" t="s">
        <v>266</v>
      </c>
      <c r="H23" s="217" t="s">
        <v>266</v>
      </c>
      <c r="I23" s="217"/>
      <c r="J23" s="218">
        <f t="shared" si="3"/>
        <v>2.56</v>
      </c>
      <c r="K23" s="218">
        <f t="shared" si="4"/>
        <v>0.32</v>
      </c>
      <c r="L23" s="218">
        <f t="shared" si="5"/>
        <v>0.5</v>
      </c>
      <c r="M23" s="219">
        <v>6.25E-2</v>
      </c>
      <c r="N23" s="220"/>
      <c r="O23" s="220"/>
      <c r="P23" s="220"/>
      <c r="Q23" s="312"/>
      <c r="R23" s="221"/>
      <c r="S23" s="221">
        <v>0.5</v>
      </c>
      <c r="T23" s="221"/>
      <c r="U23" s="221"/>
      <c r="V23" s="221"/>
      <c r="W23" s="221"/>
      <c r="X23" s="221"/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221"/>
      <c r="AS23" s="221"/>
      <c r="AT23" s="221"/>
      <c r="AU23" s="221"/>
      <c r="AV23" s="221"/>
      <c r="AW23" s="221"/>
      <c r="AX23" s="221"/>
      <c r="AY23" s="221"/>
      <c r="AZ23" s="221"/>
      <c r="BA23" s="221"/>
      <c r="BB23" s="221"/>
      <c r="BC23" s="221"/>
      <c r="BD23" s="221"/>
      <c r="BE23" s="221"/>
      <c r="BF23" s="221"/>
      <c r="BG23" s="221"/>
      <c r="BH23" s="221"/>
      <c r="BI23" s="222"/>
      <c r="BJ23" s="221"/>
      <c r="BK23" s="221"/>
      <c r="BL23" s="221"/>
      <c r="BM23" s="221"/>
      <c r="BN23" s="221"/>
      <c r="BO23" s="222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</row>
    <row r="24" spans="1:80" outlineLevel="1" x14ac:dyDescent="0.45">
      <c r="A24" s="213" t="s">
        <v>119</v>
      </c>
      <c r="B24" s="216" t="s">
        <v>17</v>
      </c>
      <c r="C24" s="216" t="s">
        <v>251</v>
      </c>
      <c r="D24" s="216" t="s">
        <v>21</v>
      </c>
      <c r="E24" s="217" t="s">
        <v>29</v>
      </c>
      <c r="F24" s="217" t="s">
        <v>90</v>
      </c>
      <c r="G24" s="217" t="s">
        <v>266</v>
      </c>
      <c r="H24" s="217" t="s">
        <v>266</v>
      </c>
      <c r="I24" s="217"/>
      <c r="J24" s="218">
        <f t="shared" si="3"/>
        <v>2.56</v>
      </c>
      <c r="K24" s="218">
        <f t="shared" si="4"/>
        <v>0.32</v>
      </c>
      <c r="L24" s="218">
        <f t="shared" si="5"/>
        <v>0.5</v>
      </c>
      <c r="M24" s="219">
        <v>6.25E-2</v>
      </c>
      <c r="N24" s="220"/>
      <c r="O24" s="220"/>
      <c r="P24" s="220"/>
      <c r="Q24" s="312"/>
      <c r="R24" s="221"/>
      <c r="S24" s="221">
        <v>0.5</v>
      </c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221"/>
      <c r="AS24" s="221"/>
      <c r="AT24" s="221"/>
      <c r="AU24" s="221"/>
      <c r="AV24" s="221"/>
      <c r="AW24" s="221"/>
      <c r="AX24" s="221"/>
      <c r="AY24" s="221"/>
      <c r="AZ24" s="221"/>
      <c r="BA24" s="221"/>
      <c r="BB24" s="221"/>
      <c r="BC24" s="221"/>
      <c r="BD24" s="221"/>
      <c r="BE24" s="221"/>
      <c r="BF24" s="221"/>
      <c r="BG24" s="221"/>
      <c r="BH24" s="221"/>
      <c r="BI24" s="222"/>
      <c r="BJ24" s="221"/>
      <c r="BK24" s="221"/>
      <c r="BL24" s="221"/>
      <c r="BM24" s="221"/>
      <c r="BN24" s="221"/>
      <c r="BO24" s="222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</row>
    <row r="25" spans="1:80" outlineLevel="1" x14ac:dyDescent="0.45">
      <c r="A25" s="213" t="s">
        <v>119</v>
      </c>
      <c r="B25" s="216" t="s">
        <v>17</v>
      </c>
      <c r="C25" s="216" t="s">
        <v>251</v>
      </c>
      <c r="D25" s="216" t="s">
        <v>21</v>
      </c>
      <c r="E25" s="217" t="s">
        <v>29</v>
      </c>
      <c r="F25" s="217" t="s">
        <v>91</v>
      </c>
      <c r="G25" s="217" t="s">
        <v>266</v>
      </c>
      <c r="H25" s="217" t="s">
        <v>266</v>
      </c>
      <c r="I25" s="217"/>
      <c r="J25" s="218">
        <f t="shared" si="3"/>
        <v>2.56</v>
      </c>
      <c r="K25" s="218">
        <f t="shared" si="4"/>
        <v>0.32</v>
      </c>
      <c r="L25" s="218">
        <f t="shared" si="5"/>
        <v>0.5</v>
      </c>
      <c r="M25" s="219">
        <v>6.25E-2</v>
      </c>
      <c r="N25" s="220"/>
      <c r="O25" s="220"/>
      <c r="P25" s="220"/>
      <c r="Q25" s="312"/>
      <c r="R25" s="221"/>
      <c r="S25" s="221">
        <v>0.5</v>
      </c>
      <c r="T25" s="221"/>
      <c r="U25" s="221"/>
      <c r="V25" s="221"/>
      <c r="W25" s="221"/>
      <c r="X25" s="221"/>
      <c r="Y25" s="221"/>
      <c r="Z25" s="221"/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221"/>
      <c r="AS25" s="221"/>
      <c r="AT25" s="221"/>
      <c r="AU25" s="221"/>
      <c r="AV25" s="221"/>
      <c r="AW25" s="221"/>
      <c r="AX25" s="221"/>
      <c r="AY25" s="221"/>
      <c r="AZ25" s="221"/>
      <c r="BA25" s="221"/>
      <c r="BB25" s="221"/>
      <c r="BC25" s="221"/>
      <c r="BD25" s="221"/>
      <c r="BE25" s="221"/>
      <c r="BF25" s="221"/>
      <c r="BG25" s="221"/>
      <c r="BH25" s="221"/>
      <c r="BI25" s="222"/>
      <c r="BJ25" s="221"/>
      <c r="BK25" s="221"/>
      <c r="BL25" s="221"/>
      <c r="BM25" s="221"/>
      <c r="BN25" s="221"/>
      <c r="BO25" s="222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</row>
    <row r="26" spans="1:80" outlineLevel="1" x14ac:dyDescent="0.45">
      <c r="A26" s="213" t="s">
        <v>119</v>
      </c>
      <c r="B26" s="216" t="s">
        <v>17</v>
      </c>
      <c r="C26" s="216" t="s">
        <v>251</v>
      </c>
      <c r="D26" s="216" t="s">
        <v>21</v>
      </c>
      <c r="E26" s="217" t="s">
        <v>29</v>
      </c>
      <c r="F26" s="217" t="s">
        <v>92</v>
      </c>
      <c r="G26" s="217" t="s">
        <v>266</v>
      </c>
      <c r="H26" s="217" t="s">
        <v>266</v>
      </c>
      <c r="I26" s="217"/>
      <c r="J26" s="218">
        <f t="shared" si="3"/>
        <v>2.56</v>
      </c>
      <c r="K26" s="218">
        <f t="shared" si="4"/>
        <v>0.32</v>
      </c>
      <c r="L26" s="218">
        <f t="shared" si="5"/>
        <v>0.5</v>
      </c>
      <c r="M26" s="219">
        <v>6.25E-2</v>
      </c>
      <c r="N26" s="220"/>
      <c r="O26" s="220"/>
      <c r="P26" s="220"/>
      <c r="Q26" s="312"/>
      <c r="R26" s="221"/>
      <c r="S26" s="221">
        <v>0.5</v>
      </c>
      <c r="T26" s="221"/>
      <c r="U26" s="221"/>
      <c r="V26" s="221"/>
      <c r="W26" s="221"/>
      <c r="X26" s="221"/>
      <c r="Y26" s="221"/>
      <c r="Z26" s="221"/>
      <c r="AA26" s="221"/>
      <c r="AB26" s="221"/>
      <c r="AC26" s="221"/>
      <c r="AD26" s="221"/>
      <c r="AE26" s="221"/>
      <c r="AF26" s="221"/>
      <c r="AG26" s="221"/>
      <c r="AH26" s="221"/>
      <c r="AI26" s="221"/>
      <c r="AJ26" s="221"/>
      <c r="AK26" s="221"/>
      <c r="AL26" s="221"/>
      <c r="AM26" s="221"/>
      <c r="AN26" s="221"/>
      <c r="AO26" s="221"/>
      <c r="AP26" s="221"/>
      <c r="AQ26" s="221"/>
      <c r="AR26" s="221"/>
      <c r="AS26" s="221"/>
      <c r="AT26" s="221"/>
      <c r="AU26" s="221"/>
      <c r="AV26" s="221"/>
      <c r="AW26" s="221"/>
      <c r="AX26" s="221"/>
      <c r="AY26" s="221"/>
      <c r="AZ26" s="221"/>
      <c r="BA26" s="221"/>
      <c r="BB26" s="221"/>
      <c r="BC26" s="221"/>
      <c r="BD26" s="221"/>
      <c r="BE26" s="221"/>
      <c r="BF26" s="221"/>
      <c r="BG26" s="221"/>
      <c r="BH26" s="221"/>
      <c r="BI26" s="222"/>
      <c r="BJ26" s="221"/>
      <c r="BK26" s="221"/>
      <c r="BL26" s="221"/>
      <c r="BM26" s="221"/>
      <c r="BN26" s="221"/>
      <c r="BO26" s="222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</row>
    <row r="27" spans="1:80" outlineLevel="1" x14ac:dyDescent="0.45">
      <c r="A27" s="213" t="s">
        <v>119</v>
      </c>
      <c r="B27" s="216" t="s">
        <v>17</v>
      </c>
      <c r="C27" s="216" t="s">
        <v>251</v>
      </c>
      <c r="D27" s="216" t="s">
        <v>21</v>
      </c>
      <c r="E27" s="217" t="s">
        <v>29</v>
      </c>
      <c r="F27" s="217" t="s">
        <v>93</v>
      </c>
      <c r="G27" s="217" t="s">
        <v>266</v>
      </c>
      <c r="H27" s="217" t="s">
        <v>266</v>
      </c>
      <c r="I27" s="217"/>
      <c r="J27" s="218">
        <f t="shared" si="3"/>
        <v>2.56</v>
      </c>
      <c r="K27" s="218">
        <f t="shared" si="4"/>
        <v>0.32</v>
      </c>
      <c r="L27" s="218">
        <f t="shared" si="5"/>
        <v>0</v>
      </c>
      <c r="M27" s="219">
        <v>6.25E-2</v>
      </c>
      <c r="N27" s="220"/>
      <c r="O27" s="220"/>
      <c r="P27" s="220"/>
      <c r="Q27" s="312"/>
      <c r="R27" s="221"/>
      <c r="S27" s="221"/>
      <c r="T27" s="221"/>
      <c r="U27" s="221"/>
      <c r="V27" s="221"/>
      <c r="W27" s="221"/>
      <c r="X27" s="221"/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1"/>
      <c r="AY27" s="221"/>
      <c r="AZ27" s="221"/>
      <c r="BA27" s="221"/>
      <c r="BB27" s="221"/>
      <c r="BC27" s="221"/>
      <c r="BD27" s="221"/>
      <c r="BE27" s="221"/>
      <c r="BF27" s="221"/>
      <c r="BG27" s="221"/>
      <c r="BH27" s="221"/>
      <c r="BI27" s="222"/>
      <c r="BJ27" s="221"/>
      <c r="BK27" s="221"/>
      <c r="BL27" s="221"/>
      <c r="BM27" s="221"/>
      <c r="BN27" s="221"/>
      <c r="BO27" s="222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</row>
    <row r="28" spans="1:80" outlineLevel="1" x14ac:dyDescent="0.45">
      <c r="A28" s="213" t="s">
        <v>119</v>
      </c>
      <c r="B28" s="216" t="s">
        <v>17</v>
      </c>
      <c r="C28" s="216" t="s">
        <v>251</v>
      </c>
      <c r="D28" s="216" t="s">
        <v>21</v>
      </c>
      <c r="E28" s="217" t="s">
        <v>29</v>
      </c>
      <c r="F28" s="217" t="s">
        <v>94</v>
      </c>
      <c r="G28" s="217" t="s">
        <v>266</v>
      </c>
      <c r="H28" s="217" t="s">
        <v>266</v>
      </c>
      <c r="I28" s="217"/>
      <c r="J28" s="218">
        <f t="shared" si="3"/>
        <v>2.56</v>
      </c>
      <c r="K28" s="218">
        <f t="shared" si="4"/>
        <v>0.32</v>
      </c>
      <c r="L28" s="218">
        <f t="shared" si="5"/>
        <v>0</v>
      </c>
      <c r="M28" s="219">
        <v>6.25E-2</v>
      </c>
      <c r="N28" s="220"/>
      <c r="O28" s="220"/>
      <c r="P28" s="220"/>
      <c r="Q28" s="312"/>
      <c r="R28" s="221"/>
      <c r="S28" s="221"/>
      <c r="T28" s="221"/>
      <c r="U28" s="221"/>
      <c r="V28" s="221"/>
      <c r="W28" s="221"/>
      <c r="X28" s="221"/>
      <c r="Y28" s="221"/>
      <c r="Z28" s="221"/>
      <c r="AA28" s="221"/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221"/>
      <c r="AS28" s="221"/>
      <c r="AT28" s="221"/>
      <c r="AU28" s="221"/>
      <c r="AV28" s="221"/>
      <c r="AW28" s="221"/>
      <c r="AX28" s="221"/>
      <c r="AY28" s="221"/>
      <c r="AZ28" s="221"/>
      <c r="BA28" s="221"/>
      <c r="BB28" s="221"/>
      <c r="BC28" s="221"/>
      <c r="BD28" s="221"/>
      <c r="BE28" s="221"/>
      <c r="BF28" s="221"/>
      <c r="BG28" s="221"/>
      <c r="BH28" s="221"/>
      <c r="BI28" s="222"/>
      <c r="BJ28" s="221"/>
      <c r="BK28" s="221"/>
      <c r="BL28" s="221"/>
      <c r="BM28" s="221"/>
      <c r="BN28" s="221"/>
      <c r="BO28" s="222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</row>
    <row r="29" spans="1:80" outlineLevel="1" x14ac:dyDescent="0.45">
      <c r="A29" s="213" t="s">
        <v>119</v>
      </c>
      <c r="B29" s="216" t="s">
        <v>17</v>
      </c>
      <c r="C29" s="216" t="s">
        <v>251</v>
      </c>
      <c r="D29" s="216" t="s">
        <v>21</v>
      </c>
      <c r="E29" s="217" t="s">
        <v>29</v>
      </c>
      <c r="F29" s="217" t="s">
        <v>95</v>
      </c>
      <c r="G29" s="217" t="s">
        <v>266</v>
      </c>
      <c r="H29" s="217" t="s">
        <v>266</v>
      </c>
      <c r="I29" s="217"/>
      <c r="J29" s="218">
        <f t="shared" si="3"/>
        <v>2.56</v>
      </c>
      <c r="K29" s="218">
        <f t="shared" si="4"/>
        <v>0.32</v>
      </c>
      <c r="L29" s="218">
        <f t="shared" si="5"/>
        <v>0</v>
      </c>
      <c r="M29" s="219">
        <v>6.25E-2</v>
      </c>
      <c r="N29" s="220"/>
      <c r="O29" s="220"/>
      <c r="P29" s="220"/>
      <c r="Q29" s="312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1"/>
      <c r="BA29" s="221"/>
      <c r="BB29" s="221"/>
      <c r="BC29" s="221"/>
      <c r="BD29" s="221"/>
      <c r="BE29" s="221"/>
      <c r="BF29" s="221"/>
      <c r="BG29" s="221"/>
      <c r="BH29" s="221"/>
      <c r="BI29" s="222"/>
      <c r="BJ29" s="221"/>
      <c r="BK29" s="221"/>
      <c r="BL29" s="221"/>
      <c r="BM29" s="221"/>
      <c r="BN29" s="221"/>
      <c r="BO29" s="222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</row>
    <row r="30" spans="1:80" outlineLevel="1" x14ac:dyDescent="0.45">
      <c r="A30" s="213" t="s">
        <v>119</v>
      </c>
      <c r="B30" s="216" t="s">
        <v>17</v>
      </c>
      <c r="C30" s="216" t="s">
        <v>251</v>
      </c>
      <c r="D30" s="216" t="s">
        <v>21</v>
      </c>
      <c r="E30" s="217" t="s">
        <v>29</v>
      </c>
      <c r="F30" s="217" t="s">
        <v>96</v>
      </c>
      <c r="G30" s="217" t="s">
        <v>266</v>
      </c>
      <c r="H30" s="217" t="s">
        <v>266</v>
      </c>
      <c r="I30" s="217"/>
      <c r="J30" s="218">
        <f t="shared" si="3"/>
        <v>2.56</v>
      </c>
      <c r="K30" s="218">
        <f t="shared" si="4"/>
        <v>0.32</v>
      </c>
      <c r="L30" s="218">
        <f t="shared" si="5"/>
        <v>0</v>
      </c>
      <c r="M30" s="219">
        <v>6.25E-2</v>
      </c>
      <c r="N30" s="220"/>
      <c r="O30" s="220"/>
      <c r="P30" s="220"/>
      <c r="Q30" s="312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221"/>
      <c r="AS30" s="221"/>
      <c r="AT30" s="221"/>
      <c r="AU30" s="221"/>
      <c r="AV30" s="221"/>
      <c r="AW30" s="221"/>
      <c r="AX30" s="221"/>
      <c r="AY30" s="221"/>
      <c r="AZ30" s="221"/>
      <c r="BA30" s="221"/>
      <c r="BB30" s="221"/>
      <c r="BC30" s="221"/>
      <c r="BD30" s="221"/>
      <c r="BE30" s="221"/>
      <c r="BF30" s="221"/>
      <c r="BG30" s="221"/>
      <c r="BH30" s="221"/>
      <c r="BI30" s="222"/>
      <c r="BJ30" s="221"/>
      <c r="BK30" s="221"/>
      <c r="BL30" s="221"/>
      <c r="BM30" s="221"/>
      <c r="BN30" s="221"/>
      <c r="BO30" s="222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</row>
    <row r="31" spans="1:80" outlineLevel="1" x14ac:dyDescent="0.45">
      <c r="A31" s="213" t="s">
        <v>119</v>
      </c>
      <c r="B31" s="216" t="s">
        <v>17</v>
      </c>
      <c r="C31" s="216" t="s">
        <v>251</v>
      </c>
      <c r="D31" s="216" t="s">
        <v>21</v>
      </c>
      <c r="E31" s="217" t="s">
        <v>29</v>
      </c>
      <c r="F31" s="217" t="s">
        <v>97</v>
      </c>
      <c r="G31" s="217" t="s">
        <v>266</v>
      </c>
      <c r="H31" s="217" t="s">
        <v>266</v>
      </c>
      <c r="I31" s="217"/>
      <c r="J31" s="218">
        <f t="shared" si="3"/>
        <v>2.56</v>
      </c>
      <c r="K31" s="218">
        <f t="shared" si="4"/>
        <v>0.32</v>
      </c>
      <c r="L31" s="218">
        <f t="shared" si="5"/>
        <v>0</v>
      </c>
      <c r="M31" s="219">
        <v>6.25E-2</v>
      </c>
      <c r="N31" s="220"/>
      <c r="O31" s="220"/>
      <c r="P31" s="220"/>
      <c r="Q31" s="312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1"/>
      <c r="AX31" s="221"/>
      <c r="AY31" s="221"/>
      <c r="AZ31" s="221"/>
      <c r="BA31" s="221"/>
      <c r="BB31" s="221"/>
      <c r="BC31" s="221"/>
      <c r="BD31" s="221"/>
      <c r="BE31" s="221"/>
      <c r="BF31" s="221"/>
      <c r="BG31" s="221"/>
      <c r="BH31" s="221"/>
      <c r="BI31" s="222"/>
      <c r="BJ31" s="221"/>
      <c r="BK31" s="221"/>
      <c r="BL31" s="221"/>
      <c r="BM31" s="221"/>
      <c r="BN31" s="221"/>
      <c r="BO31" s="222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</row>
    <row r="32" spans="1:80" outlineLevel="1" x14ac:dyDescent="0.45">
      <c r="A32" s="213" t="s">
        <v>119</v>
      </c>
      <c r="B32" s="216" t="s">
        <v>17</v>
      </c>
      <c r="C32" s="216" t="s">
        <v>251</v>
      </c>
      <c r="D32" s="216" t="s">
        <v>21</v>
      </c>
      <c r="E32" s="217" t="s">
        <v>29</v>
      </c>
      <c r="F32" s="217" t="s">
        <v>98</v>
      </c>
      <c r="G32" s="217" t="s">
        <v>266</v>
      </c>
      <c r="H32" s="217" t="s">
        <v>266</v>
      </c>
      <c r="I32" s="217"/>
      <c r="J32" s="218">
        <f t="shared" si="3"/>
        <v>2.56</v>
      </c>
      <c r="K32" s="218">
        <f t="shared" si="4"/>
        <v>0.32</v>
      </c>
      <c r="L32" s="218">
        <f t="shared" si="5"/>
        <v>0</v>
      </c>
      <c r="M32" s="219">
        <v>6.25E-2</v>
      </c>
      <c r="N32" s="220"/>
      <c r="O32" s="220"/>
      <c r="P32" s="220"/>
      <c r="Q32" s="312"/>
      <c r="R32" s="221"/>
      <c r="S32" s="221"/>
      <c r="T32" s="221"/>
      <c r="U32" s="221"/>
      <c r="V32" s="221"/>
      <c r="W32" s="221"/>
      <c r="X32" s="221"/>
      <c r="Y32" s="221"/>
      <c r="Z32" s="221"/>
      <c r="AA32" s="221"/>
      <c r="AB32" s="221"/>
      <c r="AC32" s="221"/>
      <c r="AD32" s="221"/>
      <c r="AE32" s="221"/>
      <c r="AF32" s="221"/>
      <c r="AG32" s="221"/>
      <c r="AH32" s="221"/>
      <c r="AI32" s="221"/>
      <c r="AJ32" s="221"/>
      <c r="AK32" s="221"/>
      <c r="AL32" s="221"/>
      <c r="AM32" s="221"/>
      <c r="AN32" s="221"/>
      <c r="AO32" s="221"/>
      <c r="AP32" s="221"/>
      <c r="AQ32" s="221"/>
      <c r="AR32" s="221"/>
      <c r="AS32" s="221"/>
      <c r="AT32" s="221"/>
      <c r="AU32" s="221"/>
      <c r="AV32" s="221"/>
      <c r="AW32" s="221"/>
      <c r="AX32" s="221"/>
      <c r="AY32" s="221"/>
      <c r="AZ32" s="221"/>
      <c r="BA32" s="221"/>
      <c r="BB32" s="221"/>
      <c r="BC32" s="221"/>
      <c r="BD32" s="221"/>
      <c r="BE32" s="221"/>
      <c r="BF32" s="221"/>
      <c r="BG32" s="221"/>
      <c r="BH32" s="221"/>
      <c r="BI32" s="222"/>
      <c r="BJ32" s="221"/>
      <c r="BK32" s="221"/>
      <c r="BL32" s="221"/>
      <c r="BM32" s="221"/>
      <c r="BN32" s="221"/>
      <c r="BO32" s="222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</row>
    <row r="33" spans="1:80" outlineLevel="1" x14ac:dyDescent="0.45">
      <c r="A33" s="213" t="s">
        <v>119</v>
      </c>
      <c r="B33" s="216" t="s">
        <v>17</v>
      </c>
      <c r="C33" s="216" t="s">
        <v>251</v>
      </c>
      <c r="D33" s="216" t="s">
        <v>21</v>
      </c>
      <c r="E33" s="217" t="s">
        <v>29</v>
      </c>
      <c r="F33" s="217" t="s">
        <v>99</v>
      </c>
      <c r="G33" s="217" t="s">
        <v>266</v>
      </c>
      <c r="H33" s="217" t="s">
        <v>266</v>
      </c>
      <c r="I33" s="217"/>
      <c r="J33" s="218">
        <f t="shared" si="3"/>
        <v>2.56</v>
      </c>
      <c r="K33" s="218">
        <f t="shared" si="4"/>
        <v>0.32</v>
      </c>
      <c r="L33" s="218">
        <f t="shared" si="5"/>
        <v>0</v>
      </c>
      <c r="M33" s="219">
        <v>6.25E-2</v>
      </c>
      <c r="N33" s="220"/>
      <c r="O33" s="220"/>
      <c r="P33" s="220"/>
      <c r="Q33" s="312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1"/>
      <c r="AX33" s="221"/>
      <c r="AY33" s="221"/>
      <c r="AZ33" s="221"/>
      <c r="BA33" s="221"/>
      <c r="BB33" s="221"/>
      <c r="BC33" s="221"/>
      <c r="BD33" s="221"/>
      <c r="BE33" s="221"/>
      <c r="BF33" s="221"/>
      <c r="BG33" s="221"/>
      <c r="BH33" s="221"/>
      <c r="BI33" s="222"/>
      <c r="BJ33" s="221"/>
      <c r="BK33" s="221"/>
      <c r="BL33" s="221"/>
      <c r="BM33" s="221"/>
      <c r="BN33" s="221"/>
      <c r="BO33" s="222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1"/>
      <c r="CA33" s="221"/>
      <c r="CB33" s="221"/>
    </row>
    <row r="34" spans="1:80" outlineLevel="1" x14ac:dyDescent="0.45">
      <c r="A34" s="213" t="s">
        <v>119</v>
      </c>
      <c r="B34" s="216" t="s">
        <v>17</v>
      </c>
      <c r="C34" s="216" t="s">
        <v>251</v>
      </c>
      <c r="D34" s="216" t="s">
        <v>21</v>
      </c>
      <c r="E34" s="217" t="s">
        <v>29</v>
      </c>
      <c r="F34" s="217" t="s">
        <v>100</v>
      </c>
      <c r="G34" s="217" t="s">
        <v>266</v>
      </c>
      <c r="H34" s="217" t="s">
        <v>266</v>
      </c>
      <c r="I34" s="217"/>
      <c r="J34" s="218">
        <f t="shared" si="3"/>
        <v>2.56</v>
      </c>
      <c r="K34" s="218">
        <f>+$K$9/25</f>
        <v>0.32</v>
      </c>
      <c r="L34" s="218">
        <f t="shared" si="5"/>
        <v>0</v>
      </c>
      <c r="M34" s="219">
        <v>6.25E-2</v>
      </c>
      <c r="N34" s="220"/>
      <c r="O34" s="220"/>
      <c r="P34" s="220"/>
      <c r="Q34" s="312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221"/>
      <c r="AU34" s="221"/>
      <c r="AV34" s="221"/>
      <c r="AW34" s="221"/>
      <c r="AX34" s="221"/>
      <c r="AY34" s="221"/>
      <c r="AZ34" s="221"/>
      <c r="BA34" s="221"/>
      <c r="BB34" s="221"/>
      <c r="BC34" s="221"/>
      <c r="BD34" s="221"/>
      <c r="BE34" s="221"/>
      <c r="BF34" s="221"/>
      <c r="BG34" s="221"/>
      <c r="BH34" s="221"/>
      <c r="BI34" s="222"/>
      <c r="BJ34" s="221"/>
      <c r="BK34" s="221"/>
      <c r="BL34" s="221"/>
      <c r="BM34" s="221"/>
      <c r="BN34" s="221"/>
      <c r="BO34" s="222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</row>
    <row r="35" spans="1:80" outlineLevel="1" x14ac:dyDescent="0.45">
      <c r="A35" s="213" t="s">
        <v>119</v>
      </c>
      <c r="B35" s="216" t="s">
        <v>17</v>
      </c>
      <c r="C35" s="216" t="s">
        <v>251</v>
      </c>
      <c r="D35" s="216" t="s">
        <v>21</v>
      </c>
      <c r="E35" s="217" t="s">
        <v>29</v>
      </c>
      <c r="F35" s="217" t="s">
        <v>101</v>
      </c>
      <c r="G35" s="217" t="s">
        <v>266</v>
      </c>
      <c r="H35" s="217" t="s">
        <v>266</v>
      </c>
      <c r="I35" s="217"/>
      <c r="J35" s="218"/>
      <c r="K35" s="218"/>
      <c r="L35" s="218"/>
      <c r="M35" s="219"/>
      <c r="N35" s="220"/>
      <c r="O35" s="220"/>
      <c r="P35" s="220"/>
      <c r="Q35" s="312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2"/>
      <c r="BJ35" s="221"/>
      <c r="BK35" s="221"/>
      <c r="BL35" s="221"/>
      <c r="BM35" s="221"/>
      <c r="BN35" s="221"/>
      <c r="BO35" s="222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</row>
    <row r="36" spans="1:80" outlineLevel="1" x14ac:dyDescent="0.45">
      <c r="A36" s="213" t="s">
        <v>119</v>
      </c>
      <c r="B36" s="216" t="s">
        <v>17</v>
      </c>
      <c r="C36" s="216" t="s">
        <v>251</v>
      </c>
      <c r="D36" s="216" t="s">
        <v>21</v>
      </c>
      <c r="E36" s="217" t="s">
        <v>29</v>
      </c>
      <c r="F36" s="217" t="s">
        <v>63</v>
      </c>
      <c r="G36" s="217" t="s">
        <v>266</v>
      </c>
      <c r="H36" s="217" t="s">
        <v>266</v>
      </c>
      <c r="I36" s="217"/>
      <c r="J36" s="218"/>
      <c r="K36" s="218"/>
      <c r="L36" s="218"/>
      <c r="M36" s="219"/>
      <c r="N36" s="220"/>
      <c r="O36" s="220"/>
      <c r="P36" s="220"/>
      <c r="Q36" s="312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2"/>
      <c r="BJ36" s="221"/>
      <c r="BK36" s="221"/>
      <c r="BL36" s="221"/>
      <c r="BM36" s="221"/>
      <c r="BN36" s="221"/>
      <c r="BO36" s="222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</row>
    <row r="37" spans="1:80" outlineLevel="1" x14ac:dyDescent="0.45">
      <c r="A37" s="213" t="s">
        <v>119</v>
      </c>
      <c r="B37" s="216" t="s">
        <v>17</v>
      </c>
      <c r="C37" s="216" t="s">
        <v>251</v>
      </c>
      <c r="D37" s="216" t="s">
        <v>21</v>
      </c>
      <c r="E37" s="217" t="s">
        <v>29</v>
      </c>
      <c r="F37" s="217" t="s">
        <v>102</v>
      </c>
      <c r="G37" s="217" t="s">
        <v>266</v>
      </c>
      <c r="H37" s="217" t="s">
        <v>266</v>
      </c>
      <c r="I37" s="217"/>
      <c r="J37" s="218"/>
      <c r="K37" s="218"/>
      <c r="L37" s="218"/>
      <c r="M37" s="219"/>
      <c r="N37" s="220"/>
      <c r="O37" s="220"/>
      <c r="P37" s="220"/>
      <c r="Q37" s="312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2"/>
      <c r="BJ37" s="221"/>
      <c r="BK37" s="221"/>
      <c r="BL37" s="221"/>
      <c r="BM37" s="221"/>
      <c r="BN37" s="221"/>
      <c r="BO37" s="222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</row>
    <row r="38" spans="1:80" outlineLevel="1" x14ac:dyDescent="0.45">
      <c r="A38" s="213" t="s">
        <v>119</v>
      </c>
      <c r="B38" s="216" t="s">
        <v>17</v>
      </c>
      <c r="C38" s="216" t="s">
        <v>251</v>
      </c>
      <c r="D38" s="216" t="s">
        <v>21</v>
      </c>
      <c r="E38" s="217" t="s">
        <v>29</v>
      </c>
      <c r="F38" s="217" t="s">
        <v>103</v>
      </c>
      <c r="G38" s="217" t="s">
        <v>266</v>
      </c>
      <c r="H38" s="217" t="s">
        <v>266</v>
      </c>
      <c r="I38" s="217"/>
      <c r="J38" s="218"/>
      <c r="K38" s="218"/>
      <c r="L38" s="218"/>
      <c r="M38" s="219"/>
      <c r="N38" s="220"/>
      <c r="O38" s="220"/>
      <c r="P38" s="220"/>
      <c r="Q38" s="312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2"/>
      <c r="BJ38" s="221"/>
      <c r="BK38" s="221"/>
      <c r="BL38" s="221"/>
      <c r="BM38" s="221"/>
      <c r="BN38" s="221"/>
      <c r="BO38" s="222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</row>
    <row r="39" spans="1:80" outlineLevel="1" x14ac:dyDescent="0.45">
      <c r="A39" s="213" t="s">
        <v>119</v>
      </c>
      <c r="B39" s="216" t="s">
        <v>17</v>
      </c>
      <c r="C39" s="216" t="s">
        <v>251</v>
      </c>
      <c r="D39" s="216" t="s">
        <v>21</v>
      </c>
      <c r="E39" s="217" t="s">
        <v>29</v>
      </c>
      <c r="F39" s="217" t="s">
        <v>65</v>
      </c>
      <c r="G39" s="217" t="s">
        <v>39</v>
      </c>
      <c r="H39" s="217" t="s">
        <v>39</v>
      </c>
      <c r="I39" s="217"/>
      <c r="J39" s="218"/>
      <c r="K39" s="218"/>
      <c r="L39" s="218"/>
      <c r="M39" s="219"/>
      <c r="N39" s="220"/>
      <c r="O39" s="220"/>
      <c r="P39" s="220"/>
      <c r="Q39" s="312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2"/>
      <c r="BJ39" s="221"/>
      <c r="BK39" s="221"/>
      <c r="BL39" s="221"/>
      <c r="BM39" s="221"/>
      <c r="BN39" s="221"/>
      <c r="BO39" s="222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1"/>
    </row>
    <row r="40" spans="1:80" outlineLevel="1" x14ac:dyDescent="0.45">
      <c r="A40" s="213" t="s">
        <v>119</v>
      </c>
      <c r="B40" s="216" t="s">
        <v>17</v>
      </c>
      <c r="C40" s="216" t="s">
        <v>251</v>
      </c>
      <c r="D40" s="216" t="s">
        <v>21</v>
      </c>
      <c r="E40" s="217" t="s">
        <v>269</v>
      </c>
      <c r="F40" s="217" t="s">
        <v>30</v>
      </c>
      <c r="G40" s="217" t="s">
        <v>266</v>
      </c>
      <c r="H40" s="217" t="s">
        <v>266</v>
      </c>
      <c r="I40" s="217"/>
      <c r="J40" s="218"/>
      <c r="K40" s="218"/>
      <c r="L40" s="218"/>
      <c r="M40" s="219"/>
      <c r="N40" s="220"/>
      <c r="O40" s="220"/>
      <c r="P40" s="220"/>
      <c r="Q40" s="312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2"/>
      <c r="BJ40" s="221"/>
      <c r="BK40" s="221"/>
      <c r="BL40" s="221"/>
      <c r="BM40" s="221"/>
      <c r="BN40" s="221"/>
      <c r="BO40" s="222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</row>
    <row r="41" spans="1:80" outlineLevel="1" x14ac:dyDescent="0.45">
      <c r="A41" s="213" t="s">
        <v>119</v>
      </c>
      <c r="B41" s="216" t="s">
        <v>17</v>
      </c>
      <c r="C41" s="216" t="s">
        <v>251</v>
      </c>
      <c r="D41" s="216" t="s">
        <v>21</v>
      </c>
      <c r="E41" s="217" t="s">
        <v>269</v>
      </c>
      <c r="F41" s="217" t="s">
        <v>270</v>
      </c>
      <c r="G41" s="217" t="s">
        <v>266</v>
      </c>
      <c r="H41" s="217" t="s">
        <v>266</v>
      </c>
      <c r="I41" s="217"/>
      <c r="J41" s="218"/>
      <c r="K41" s="218"/>
      <c r="L41" s="218"/>
      <c r="M41" s="219"/>
      <c r="N41" s="220"/>
      <c r="O41" s="220"/>
      <c r="P41" s="220"/>
      <c r="Q41" s="312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1"/>
      <c r="BA41" s="221"/>
      <c r="BB41" s="221"/>
      <c r="BC41" s="221"/>
      <c r="BD41" s="221"/>
      <c r="BE41" s="221"/>
      <c r="BF41" s="221"/>
      <c r="BG41" s="221"/>
      <c r="BH41" s="221"/>
      <c r="BI41" s="222"/>
      <c r="BJ41" s="221"/>
      <c r="BK41" s="221"/>
      <c r="BL41" s="221"/>
      <c r="BM41" s="221"/>
      <c r="BN41" s="221"/>
      <c r="BO41" s="222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</row>
    <row r="42" spans="1:80" outlineLevel="1" x14ac:dyDescent="0.45">
      <c r="A42" s="213" t="s">
        <v>119</v>
      </c>
      <c r="B42" s="216" t="s">
        <v>17</v>
      </c>
      <c r="C42" s="216" t="s">
        <v>251</v>
      </c>
      <c r="D42" s="216" t="s">
        <v>21</v>
      </c>
      <c r="E42" s="217" t="s">
        <v>269</v>
      </c>
      <c r="F42" s="217" t="s">
        <v>271</v>
      </c>
      <c r="G42" s="217" t="s">
        <v>266</v>
      </c>
      <c r="H42" s="217" t="s">
        <v>266</v>
      </c>
      <c r="I42" s="217"/>
      <c r="J42" s="218"/>
      <c r="K42" s="218"/>
      <c r="L42" s="218"/>
      <c r="M42" s="219"/>
      <c r="N42" s="220"/>
      <c r="O42" s="220"/>
      <c r="P42" s="220"/>
      <c r="Q42" s="312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1"/>
      <c r="BA42" s="221"/>
      <c r="BB42" s="221"/>
      <c r="BC42" s="221"/>
      <c r="BD42" s="221"/>
      <c r="BE42" s="221"/>
      <c r="BF42" s="221"/>
      <c r="BG42" s="221"/>
      <c r="BH42" s="221"/>
      <c r="BI42" s="222"/>
      <c r="BJ42" s="221"/>
      <c r="BK42" s="221"/>
      <c r="BL42" s="221"/>
      <c r="BM42" s="221"/>
      <c r="BN42" s="221"/>
      <c r="BO42" s="222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</row>
    <row r="43" spans="1:80" outlineLevel="1" x14ac:dyDescent="0.45">
      <c r="A43" s="213" t="s">
        <v>119</v>
      </c>
      <c r="B43" s="216" t="s">
        <v>17</v>
      </c>
      <c r="C43" s="216" t="s">
        <v>251</v>
      </c>
      <c r="D43" s="216" t="s">
        <v>21</v>
      </c>
      <c r="E43" s="217" t="s">
        <v>269</v>
      </c>
      <c r="F43" s="217" t="s">
        <v>272</v>
      </c>
      <c r="G43" s="217" t="s">
        <v>266</v>
      </c>
      <c r="H43" s="217" t="s">
        <v>266</v>
      </c>
      <c r="I43" s="217"/>
      <c r="J43" s="218"/>
      <c r="K43" s="218"/>
      <c r="L43" s="218"/>
      <c r="M43" s="219"/>
      <c r="N43" s="220"/>
      <c r="O43" s="220"/>
      <c r="P43" s="220"/>
      <c r="Q43" s="312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1"/>
      <c r="AX43" s="221"/>
      <c r="AY43" s="221"/>
      <c r="AZ43" s="221"/>
      <c r="BA43" s="221"/>
      <c r="BB43" s="221"/>
      <c r="BC43" s="221"/>
      <c r="BD43" s="221"/>
      <c r="BE43" s="221"/>
      <c r="BF43" s="221"/>
      <c r="BG43" s="221"/>
      <c r="BH43" s="221"/>
      <c r="BI43" s="222"/>
      <c r="BJ43" s="221"/>
      <c r="BK43" s="221"/>
      <c r="BL43" s="221"/>
      <c r="BM43" s="221"/>
      <c r="BN43" s="221"/>
      <c r="BO43" s="222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</row>
    <row r="44" spans="1:80" outlineLevel="1" x14ac:dyDescent="0.45">
      <c r="A44" s="213" t="s">
        <v>119</v>
      </c>
      <c r="B44" s="216" t="s">
        <v>17</v>
      </c>
      <c r="C44" s="216" t="s">
        <v>251</v>
      </c>
      <c r="D44" s="216" t="s">
        <v>21</v>
      </c>
      <c r="E44" s="217" t="s">
        <v>269</v>
      </c>
      <c r="F44" s="217" t="s">
        <v>26</v>
      </c>
      <c r="G44" s="217" t="s">
        <v>266</v>
      </c>
      <c r="H44" s="217" t="s">
        <v>266</v>
      </c>
      <c r="I44" s="217"/>
      <c r="J44" s="218"/>
      <c r="K44" s="218"/>
      <c r="L44" s="218"/>
      <c r="M44" s="219"/>
      <c r="N44" s="220"/>
      <c r="O44" s="220"/>
      <c r="P44" s="220"/>
      <c r="Q44" s="312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221"/>
      <c r="AU44" s="221"/>
      <c r="AV44" s="221"/>
      <c r="AW44" s="221"/>
      <c r="AX44" s="221"/>
      <c r="AY44" s="221"/>
      <c r="AZ44" s="221"/>
      <c r="BA44" s="221"/>
      <c r="BB44" s="221"/>
      <c r="BC44" s="221"/>
      <c r="BD44" s="221"/>
      <c r="BE44" s="221"/>
      <c r="BF44" s="221"/>
      <c r="BG44" s="221"/>
      <c r="BH44" s="221"/>
      <c r="BI44" s="222"/>
      <c r="BJ44" s="221"/>
      <c r="BK44" s="221"/>
      <c r="BL44" s="221"/>
      <c r="BM44" s="221"/>
      <c r="BN44" s="221"/>
      <c r="BO44" s="222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</row>
    <row r="45" spans="1:80" outlineLevel="1" x14ac:dyDescent="0.45">
      <c r="A45" s="213" t="s">
        <v>119</v>
      </c>
      <c r="B45" s="216" t="s">
        <v>17</v>
      </c>
      <c r="C45" s="216" t="s">
        <v>251</v>
      </c>
      <c r="D45" s="216" t="s">
        <v>21</v>
      </c>
      <c r="E45" s="217" t="s">
        <v>269</v>
      </c>
      <c r="F45" s="217" t="s">
        <v>25</v>
      </c>
      <c r="G45" s="217" t="s">
        <v>266</v>
      </c>
      <c r="H45" s="217" t="s">
        <v>266</v>
      </c>
      <c r="I45" s="217"/>
      <c r="J45" s="218"/>
      <c r="K45" s="218"/>
      <c r="L45" s="218"/>
      <c r="M45" s="219"/>
      <c r="N45" s="220"/>
      <c r="O45" s="220"/>
      <c r="P45" s="220"/>
      <c r="Q45" s="312"/>
      <c r="R45" s="221"/>
      <c r="S45" s="221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1"/>
      <c r="AX45" s="221"/>
      <c r="AY45" s="221"/>
      <c r="AZ45" s="221"/>
      <c r="BA45" s="221"/>
      <c r="BB45" s="221"/>
      <c r="BC45" s="221"/>
      <c r="BD45" s="221"/>
      <c r="BE45" s="221"/>
      <c r="BF45" s="221"/>
      <c r="BG45" s="221"/>
      <c r="BH45" s="221"/>
      <c r="BI45" s="222"/>
      <c r="BJ45" s="221"/>
      <c r="BK45" s="221"/>
      <c r="BL45" s="221"/>
      <c r="BM45" s="221"/>
      <c r="BN45" s="221"/>
      <c r="BO45" s="222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</row>
    <row r="46" spans="1:80" outlineLevel="1" x14ac:dyDescent="0.45">
      <c r="A46" s="213" t="s">
        <v>119</v>
      </c>
      <c r="B46" s="216" t="s">
        <v>17</v>
      </c>
      <c r="C46" s="216" t="s">
        <v>251</v>
      </c>
      <c r="D46" s="216" t="s">
        <v>21</v>
      </c>
      <c r="E46" s="217" t="s">
        <v>29</v>
      </c>
      <c r="F46" s="217" t="s">
        <v>58</v>
      </c>
      <c r="G46" s="217" t="s">
        <v>39</v>
      </c>
      <c r="H46" s="217" t="s">
        <v>39</v>
      </c>
      <c r="I46" s="217"/>
      <c r="J46" s="218"/>
      <c r="K46" s="218"/>
      <c r="L46" s="218"/>
      <c r="M46" s="219"/>
      <c r="N46" s="220"/>
      <c r="O46" s="220"/>
      <c r="P46" s="220"/>
      <c r="Q46" s="312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1"/>
      <c r="BA46" s="221"/>
      <c r="BB46" s="221"/>
      <c r="BC46" s="221"/>
      <c r="BD46" s="221"/>
      <c r="BE46" s="221"/>
      <c r="BF46" s="221"/>
      <c r="BG46" s="221"/>
      <c r="BH46" s="221"/>
      <c r="BI46" s="222"/>
      <c r="BJ46" s="221"/>
      <c r="BK46" s="221"/>
      <c r="BL46" s="221"/>
      <c r="BM46" s="221"/>
      <c r="BN46" s="221"/>
      <c r="BO46" s="222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</row>
    <row r="47" spans="1:80" outlineLevel="1" x14ac:dyDescent="0.45">
      <c r="A47" s="213" t="s">
        <v>119</v>
      </c>
      <c r="B47" s="216" t="s">
        <v>17</v>
      </c>
      <c r="C47" s="216" t="s">
        <v>251</v>
      </c>
      <c r="D47" s="216" t="s">
        <v>21</v>
      </c>
      <c r="E47" s="217" t="s">
        <v>29</v>
      </c>
      <c r="F47" s="217" t="s">
        <v>59</v>
      </c>
      <c r="G47" s="217" t="s">
        <v>39</v>
      </c>
      <c r="H47" s="217" t="s">
        <v>39</v>
      </c>
      <c r="I47" s="217"/>
      <c r="J47" s="218"/>
      <c r="K47" s="218"/>
      <c r="L47" s="218"/>
      <c r="M47" s="219"/>
      <c r="N47" s="220"/>
      <c r="O47" s="220"/>
      <c r="P47" s="220"/>
      <c r="Q47" s="312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221"/>
      <c r="AY47" s="221"/>
      <c r="AZ47" s="221"/>
      <c r="BA47" s="221"/>
      <c r="BB47" s="221"/>
      <c r="BC47" s="221"/>
      <c r="BD47" s="221"/>
      <c r="BE47" s="221"/>
      <c r="BF47" s="221"/>
      <c r="BG47" s="221"/>
      <c r="BH47" s="221"/>
      <c r="BI47" s="222"/>
      <c r="BJ47" s="221"/>
      <c r="BK47" s="221"/>
      <c r="BL47" s="221"/>
      <c r="BM47" s="221"/>
      <c r="BN47" s="221"/>
      <c r="BO47" s="222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</row>
    <row r="48" spans="1:80" ht="10.35" customHeight="1" x14ac:dyDescent="0.45">
      <c r="B48" s="214"/>
      <c r="C48" s="214"/>
      <c r="D48" s="214"/>
      <c r="E48" s="214"/>
      <c r="F48" s="214"/>
      <c r="G48" s="214"/>
      <c r="H48" s="214"/>
      <c r="I48" s="214"/>
      <c r="J48" s="19"/>
      <c r="K48" s="19"/>
      <c r="L48" s="19"/>
      <c r="M48" s="19"/>
      <c r="N48" s="19"/>
      <c r="O48" s="19"/>
      <c r="P48" s="1"/>
      <c r="Q48" s="313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5"/>
      <c r="BJ48" s="19"/>
      <c r="BK48" s="19"/>
      <c r="BL48" s="19"/>
      <c r="BM48" s="19"/>
      <c r="BN48" s="19"/>
      <c r="BO48" s="215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 x14ac:dyDescent="0.45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4"/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/>
      <c r="AE49" s="202"/>
      <c r="AF49" s="202"/>
      <c r="AG49" s="202"/>
      <c r="AH49" s="202"/>
      <c r="AI49" s="202"/>
      <c r="AJ49" s="202"/>
      <c r="AK49" s="202"/>
      <c r="AL49" s="202"/>
      <c r="AM49" s="202"/>
      <c r="AN49" s="202"/>
      <c r="AO49" s="202"/>
      <c r="AP49" s="202"/>
      <c r="AQ49" s="202"/>
      <c r="AR49" s="202"/>
      <c r="AS49" s="202"/>
      <c r="AT49" s="202"/>
      <c r="AU49" s="202"/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/>
      <c r="BI49" s="203"/>
      <c r="BJ49" s="202"/>
      <c r="BK49" s="202"/>
      <c r="BL49" s="202"/>
      <c r="BM49" s="202"/>
      <c r="BN49" s="202"/>
      <c r="BO49" s="203"/>
      <c r="BP49" s="202"/>
      <c r="BQ49" s="202"/>
      <c r="BR49" s="202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</row>
    <row r="50" spans="1:80" x14ac:dyDescent="0.45">
      <c r="A50" s="213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5" t="s">
        <v>346</v>
      </c>
      <c r="H50" s="5" t="s">
        <v>40</v>
      </c>
      <c r="I50" s="315" t="s">
        <v>471</v>
      </c>
      <c r="J50" s="33">
        <f>K50*8</f>
        <v>0</v>
      </c>
      <c r="K50" s="33"/>
      <c r="L50" s="33"/>
      <c r="M50" s="33"/>
      <c r="N50" s="140"/>
      <c r="O50" s="140"/>
      <c r="P50" s="140"/>
      <c r="Q50" s="315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4"/>
      <c r="AQ50" s="204"/>
      <c r="AR50" s="204"/>
      <c r="AS50" s="204"/>
      <c r="AT50" s="204"/>
      <c r="AU50" s="204"/>
      <c r="AV50" s="204"/>
      <c r="AW50" s="204"/>
      <c r="AX50" s="204"/>
      <c r="AY50" s="204"/>
      <c r="AZ50" s="204"/>
      <c r="BA50" s="204"/>
      <c r="BB50" s="204"/>
      <c r="BC50" s="204"/>
      <c r="BD50" s="204"/>
      <c r="BE50" s="204"/>
      <c r="BF50" s="204"/>
      <c r="BG50" s="204"/>
      <c r="BH50" s="204"/>
      <c r="BI50" s="205"/>
      <c r="BJ50" s="204"/>
      <c r="BK50" s="204">
        <v>0.5</v>
      </c>
      <c r="BL50" s="204"/>
      <c r="BM50" s="204"/>
      <c r="BN50" s="204"/>
      <c r="BO50" s="205"/>
      <c r="BP50" s="204">
        <v>0.5</v>
      </c>
      <c r="BQ50" s="204"/>
      <c r="BR50" s="204"/>
      <c r="BS50" s="204"/>
      <c r="BT50" s="204"/>
      <c r="BU50" s="204">
        <v>0.5</v>
      </c>
      <c r="BV50" s="204"/>
      <c r="BW50" s="204"/>
      <c r="BX50" s="204"/>
      <c r="BY50" s="204"/>
      <c r="BZ50" s="204"/>
      <c r="CA50" s="204"/>
      <c r="CB50" s="204"/>
    </row>
    <row r="51" spans="1:80" x14ac:dyDescent="0.45">
      <c r="A51" s="213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5" t="s">
        <v>346</v>
      </c>
      <c r="H51" s="332" t="s">
        <v>346</v>
      </c>
      <c r="I51" s="315" t="s">
        <v>472</v>
      </c>
      <c r="J51" s="33"/>
      <c r="K51" s="33"/>
      <c r="L51" s="33"/>
      <c r="M51" s="33"/>
      <c r="N51" s="140"/>
      <c r="O51" s="140"/>
      <c r="P51" s="140"/>
      <c r="Q51" s="315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204"/>
      <c r="BG51" s="204"/>
      <c r="BH51" s="204"/>
      <c r="BI51" s="205"/>
      <c r="BJ51" s="204"/>
      <c r="BK51" s="204"/>
      <c r="BL51" s="204"/>
      <c r="BM51" s="204"/>
      <c r="BN51" s="204"/>
      <c r="BO51" s="205"/>
      <c r="BP51" s="204"/>
      <c r="BQ51" s="204"/>
      <c r="BR51" s="204"/>
      <c r="BS51" s="204"/>
      <c r="BT51" s="204"/>
      <c r="BU51" s="204"/>
      <c r="BV51" s="204"/>
      <c r="BW51" s="204"/>
      <c r="BX51" s="204"/>
      <c r="BY51" s="204"/>
      <c r="BZ51" s="204"/>
      <c r="CA51" s="204"/>
      <c r="CB51" s="204"/>
    </row>
    <row r="52" spans="1:80" x14ac:dyDescent="0.45">
      <c r="A52" s="213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5" t="s">
        <v>346</v>
      </c>
      <c r="H52" s="5" t="s">
        <v>40</v>
      </c>
      <c r="I52" s="315" t="s">
        <v>471</v>
      </c>
      <c r="J52" s="33"/>
      <c r="K52" s="33"/>
      <c r="L52" s="33"/>
      <c r="M52" s="33"/>
      <c r="N52" s="140"/>
      <c r="O52" s="140"/>
      <c r="P52" s="140"/>
      <c r="Q52" s="315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5"/>
      <c r="BJ52" s="204"/>
      <c r="BK52" s="204"/>
      <c r="BL52" s="204"/>
      <c r="BM52" s="204"/>
      <c r="BN52" s="204"/>
      <c r="BO52" s="205"/>
      <c r="BP52" s="204"/>
      <c r="BQ52" s="204"/>
      <c r="BR52" s="204"/>
      <c r="BS52" s="204"/>
      <c r="BT52" s="204"/>
      <c r="BU52" s="204"/>
      <c r="BV52" s="204"/>
      <c r="BW52" s="204"/>
      <c r="BX52" s="204"/>
      <c r="BY52" s="204"/>
      <c r="BZ52" s="204"/>
      <c r="CA52" s="204"/>
      <c r="CB52" s="204"/>
    </row>
    <row r="53" spans="1:80" x14ac:dyDescent="0.45">
      <c r="A53" s="213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5" t="s">
        <v>346</v>
      </c>
      <c r="H53" s="5" t="s">
        <v>40</v>
      </c>
      <c r="I53" s="315" t="s">
        <v>471</v>
      </c>
      <c r="J53" s="33"/>
      <c r="K53" s="33"/>
      <c r="L53" s="33"/>
      <c r="M53" s="33"/>
      <c r="N53" s="140"/>
      <c r="O53" s="140"/>
      <c r="P53" s="140"/>
      <c r="Q53" s="315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4"/>
      <c r="BG53" s="204"/>
      <c r="BH53" s="204"/>
      <c r="BI53" s="205"/>
      <c r="BJ53" s="204"/>
      <c r="BK53" s="204"/>
      <c r="BL53" s="204"/>
      <c r="BM53" s="204"/>
      <c r="BN53" s="204"/>
      <c r="BO53" s="205"/>
      <c r="BP53" s="204"/>
      <c r="BQ53" s="204"/>
      <c r="BR53" s="204"/>
      <c r="BS53" s="204"/>
      <c r="BT53" s="204"/>
      <c r="BU53" s="204"/>
      <c r="BV53" s="204"/>
      <c r="BW53" s="204"/>
      <c r="BX53" s="204"/>
      <c r="BY53" s="204"/>
      <c r="BZ53" s="204"/>
      <c r="CA53" s="204"/>
      <c r="CB53" s="204"/>
    </row>
    <row r="54" spans="1:80" x14ac:dyDescent="0.45">
      <c r="A54" s="213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15" t="s">
        <v>472</v>
      </c>
      <c r="J54" s="33"/>
      <c r="K54" s="33"/>
      <c r="L54" s="33"/>
      <c r="M54" s="33"/>
      <c r="N54" s="140"/>
      <c r="O54" s="140"/>
      <c r="P54" s="140"/>
      <c r="Q54" s="315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4"/>
      <c r="BD54" s="204"/>
      <c r="BE54" s="204"/>
      <c r="BF54" s="204"/>
      <c r="BG54" s="204"/>
      <c r="BH54" s="204"/>
      <c r="BI54" s="205"/>
      <c r="BJ54" s="204"/>
      <c r="BK54" s="204"/>
      <c r="BL54" s="204"/>
      <c r="BM54" s="204"/>
      <c r="BN54" s="204"/>
      <c r="BO54" s="205"/>
      <c r="BP54" s="204"/>
      <c r="BQ54" s="204"/>
      <c r="BR54" s="204"/>
      <c r="BS54" s="204"/>
      <c r="BT54" s="204"/>
      <c r="BU54" s="204"/>
      <c r="BV54" s="204"/>
      <c r="BW54" s="204"/>
      <c r="BX54" s="204"/>
      <c r="BY54" s="204"/>
      <c r="BZ54" s="204"/>
      <c r="CA54" s="204"/>
      <c r="CB54" s="204"/>
    </row>
    <row r="55" spans="1:80" x14ac:dyDescent="0.45">
      <c r="A55" s="213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5" t="s">
        <v>346</v>
      </c>
      <c r="H55" s="5" t="s">
        <v>40</v>
      </c>
      <c r="I55" s="315" t="s">
        <v>471</v>
      </c>
      <c r="J55" s="33"/>
      <c r="K55" s="33"/>
      <c r="L55" s="33"/>
      <c r="M55" s="33"/>
      <c r="N55" s="140"/>
      <c r="O55" s="140"/>
      <c r="P55" s="140"/>
      <c r="Q55" s="315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5"/>
      <c r="BJ55" s="204"/>
      <c r="BK55" s="204"/>
      <c r="BL55" s="204"/>
      <c r="BM55" s="204"/>
      <c r="BN55" s="204"/>
      <c r="BO55" s="205"/>
      <c r="BP55" s="204"/>
      <c r="BQ55" s="204"/>
      <c r="BR55" s="204"/>
      <c r="BS55" s="204"/>
      <c r="BT55" s="204"/>
      <c r="BU55" s="204"/>
      <c r="BV55" s="204"/>
      <c r="BW55" s="204"/>
      <c r="BX55" s="204"/>
      <c r="BY55" s="204"/>
      <c r="BZ55" s="204"/>
      <c r="CA55" s="204"/>
      <c r="CB55" s="204"/>
    </row>
    <row r="56" spans="1:80" x14ac:dyDescent="0.45">
      <c r="A56" s="213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346</v>
      </c>
      <c r="H56" s="5" t="s">
        <v>346</v>
      </c>
      <c r="I56" s="315" t="s">
        <v>471</v>
      </c>
      <c r="J56" s="33"/>
      <c r="K56" s="33"/>
      <c r="L56" s="33"/>
      <c r="M56" s="33"/>
      <c r="N56" s="140"/>
      <c r="O56" s="140"/>
      <c r="P56" s="140"/>
      <c r="Q56" s="315" t="s">
        <v>387</v>
      </c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04"/>
      <c r="AT56" s="204"/>
      <c r="AU56" s="204"/>
      <c r="AV56" s="204"/>
      <c r="AW56" s="204"/>
      <c r="AX56" s="204"/>
      <c r="AY56" s="204"/>
      <c r="AZ56" s="204"/>
      <c r="BA56" s="204"/>
      <c r="BB56" s="204"/>
      <c r="BC56" s="204"/>
      <c r="BD56" s="204"/>
      <c r="BE56" s="204"/>
      <c r="BF56" s="204"/>
      <c r="BG56" s="204"/>
      <c r="BH56" s="204"/>
      <c r="BI56" s="205"/>
      <c r="BJ56" s="204"/>
      <c r="BK56" s="204"/>
      <c r="BL56" s="204"/>
      <c r="BM56" s="204"/>
      <c r="BN56" s="204"/>
      <c r="BO56" s="205"/>
      <c r="BP56" s="204"/>
      <c r="BQ56" s="204"/>
      <c r="BR56" s="204"/>
      <c r="BS56" s="204"/>
      <c r="BT56" s="204"/>
      <c r="BU56" s="204"/>
      <c r="BV56" s="204"/>
      <c r="BW56" s="204"/>
      <c r="BX56" s="204"/>
      <c r="BY56" s="204"/>
      <c r="BZ56" s="204"/>
      <c r="CA56" s="204"/>
      <c r="CB56" s="204"/>
    </row>
    <row r="57" spans="1:80" x14ac:dyDescent="0.45">
      <c r="A57" s="213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15" t="s">
        <v>472</v>
      </c>
      <c r="J57" s="33"/>
      <c r="K57" s="33"/>
      <c r="L57" s="33"/>
      <c r="M57" s="33"/>
      <c r="N57" s="140"/>
      <c r="O57" s="140"/>
      <c r="P57" s="140"/>
      <c r="Q57" s="315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204"/>
      <c r="BH57" s="204"/>
      <c r="BI57" s="205"/>
      <c r="BJ57" s="204"/>
      <c r="BK57" s="204"/>
      <c r="BL57" s="204"/>
      <c r="BM57" s="204"/>
      <c r="BN57" s="204"/>
      <c r="BO57" s="205"/>
      <c r="BP57" s="204"/>
      <c r="BQ57" s="204"/>
      <c r="BR57" s="204"/>
      <c r="BS57" s="204"/>
      <c r="BT57" s="204"/>
      <c r="BU57" s="204"/>
      <c r="BV57" s="204"/>
      <c r="BW57" s="204"/>
      <c r="BX57" s="204"/>
      <c r="BY57" s="204"/>
      <c r="BZ57" s="204"/>
      <c r="CA57" s="204"/>
      <c r="CB57" s="204"/>
    </row>
    <row r="58" spans="1:80" x14ac:dyDescent="0.45">
      <c r="A58" s="213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5" t="s">
        <v>346</v>
      </c>
      <c r="H58" s="5" t="s">
        <v>40</v>
      </c>
      <c r="I58" s="315" t="s">
        <v>471</v>
      </c>
      <c r="J58" s="33"/>
      <c r="K58" s="33"/>
      <c r="L58" s="33"/>
      <c r="M58" s="33"/>
      <c r="N58" s="140"/>
      <c r="O58" s="140"/>
      <c r="P58" s="140"/>
      <c r="Q58" s="315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  <c r="AO58" s="204"/>
      <c r="AP58" s="204"/>
      <c r="AQ58" s="204"/>
      <c r="AR58" s="204"/>
      <c r="AS58" s="204"/>
      <c r="AT58" s="204"/>
      <c r="AU58" s="204"/>
      <c r="AV58" s="204"/>
      <c r="AW58" s="204"/>
      <c r="AX58" s="204"/>
      <c r="AY58" s="204"/>
      <c r="AZ58" s="204"/>
      <c r="BA58" s="204"/>
      <c r="BB58" s="204"/>
      <c r="BC58" s="204"/>
      <c r="BD58" s="204"/>
      <c r="BE58" s="204"/>
      <c r="BF58" s="204"/>
      <c r="BG58" s="204"/>
      <c r="BH58" s="204"/>
      <c r="BI58" s="205"/>
      <c r="BJ58" s="204"/>
      <c r="BK58" s="204"/>
      <c r="BL58" s="204"/>
      <c r="BM58" s="204"/>
      <c r="BN58" s="204"/>
      <c r="BO58" s="205"/>
      <c r="BP58" s="204"/>
      <c r="BQ58" s="204"/>
      <c r="BR58" s="204"/>
      <c r="BS58" s="204"/>
      <c r="BT58" s="204"/>
      <c r="BU58" s="204"/>
      <c r="BV58" s="204"/>
      <c r="BW58" s="204"/>
      <c r="BX58" s="204"/>
      <c r="BY58" s="204"/>
      <c r="BZ58" s="204"/>
      <c r="CA58" s="204"/>
      <c r="CB58" s="204"/>
    </row>
    <row r="59" spans="1:80" x14ac:dyDescent="0.45">
      <c r="A59" s="213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5" t="s">
        <v>346</v>
      </c>
      <c r="H59" s="5" t="s">
        <v>40</v>
      </c>
      <c r="I59" s="315" t="s">
        <v>471</v>
      </c>
      <c r="J59" s="33"/>
      <c r="K59" s="33"/>
      <c r="L59" s="33"/>
      <c r="M59" s="33"/>
      <c r="N59" s="140"/>
      <c r="O59" s="140"/>
      <c r="P59" s="140"/>
      <c r="Q59" s="315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5"/>
      <c r="BJ59" s="204"/>
      <c r="BK59" s="204"/>
      <c r="BL59" s="204"/>
      <c r="BM59" s="204"/>
      <c r="BN59" s="204"/>
      <c r="BO59" s="205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</row>
    <row r="60" spans="1:80" x14ac:dyDescent="0.45">
      <c r="A60" s="213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15" t="s">
        <v>472</v>
      </c>
      <c r="J60" s="33"/>
      <c r="K60" s="33"/>
      <c r="L60" s="33"/>
      <c r="M60" s="33"/>
      <c r="N60" s="140"/>
      <c r="O60" s="140"/>
      <c r="P60" s="140"/>
      <c r="Q60" s="315" t="s">
        <v>388</v>
      </c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  <c r="AO60" s="204"/>
      <c r="AP60" s="204"/>
      <c r="AQ60" s="204"/>
      <c r="AR60" s="204"/>
      <c r="AS60" s="204"/>
      <c r="AT60" s="204"/>
      <c r="AU60" s="204"/>
      <c r="AV60" s="204"/>
      <c r="AW60" s="204"/>
      <c r="AX60" s="204"/>
      <c r="AY60" s="204"/>
      <c r="AZ60" s="204"/>
      <c r="BA60" s="204"/>
      <c r="BB60" s="204"/>
      <c r="BC60" s="204"/>
      <c r="BD60" s="204"/>
      <c r="BE60" s="204"/>
      <c r="BF60" s="204"/>
      <c r="BG60" s="204"/>
      <c r="BH60" s="204"/>
      <c r="BI60" s="205"/>
      <c r="BJ60" s="204"/>
      <c r="BK60" s="204"/>
      <c r="BL60" s="204"/>
      <c r="BM60" s="204"/>
      <c r="BN60" s="204"/>
      <c r="BO60" s="205"/>
      <c r="BP60" s="204"/>
      <c r="BQ60" s="204"/>
      <c r="BR60" s="204"/>
      <c r="BS60" s="204"/>
      <c r="BT60" s="204"/>
      <c r="BU60" s="204"/>
      <c r="BV60" s="204"/>
      <c r="BW60" s="204"/>
      <c r="BX60" s="204"/>
      <c r="BY60" s="204"/>
      <c r="BZ60" s="204"/>
      <c r="CA60" s="204"/>
      <c r="CB60" s="204"/>
    </row>
    <row r="61" spans="1:80" x14ac:dyDescent="0.45">
      <c r="A61" s="213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15" t="s">
        <v>472</v>
      </c>
      <c r="J61" s="33"/>
      <c r="K61" s="33"/>
      <c r="L61" s="33"/>
      <c r="M61" s="33"/>
      <c r="N61" s="140"/>
      <c r="O61" s="140"/>
      <c r="P61" s="140"/>
      <c r="Q61" s="315" t="s">
        <v>388</v>
      </c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  <c r="AO61" s="204"/>
      <c r="AP61" s="204"/>
      <c r="AQ61" s="204"/>
      <c r="AR61" s="204"/>
      <c r="AS61" s="204"/>
      <c r="AT61" s="204"/>
      <c r="AU61" s="204"/>
      <c r="AV61" s="204"/>
      <c r="AW61" s="204"/>
      <c r="AX61" s="204"/>
      <c r="AY61" s="204"/>
      <c r="AZ61" s="204"/>
      <c r="BA61" s="204"/>
      <c r="BB61" s="204"/>
      <c r="BC61" s="204"/>
      <c r="BD61" s="204"/>
      <c r="BE61" s="204"/>
      <c r="BF61" s="204"/>
      <c r="BG61" s="204"/>
      <c r="BH61" s="204"/>
      <c r="BI61" s="205"/>
      <c r="BJ61" s="204"/>
      <c r="BK61" s="204"/>
      <c r="BL61" s="204"/>
      <c r="BM61" s="204"/>
      <c r="BN61" s="204"/>
      <c r="BO61" s="205"/>
      <c r="BP61" s="204"/>
      <c r="BQ61" s="204"/>
      <c r="BR61" s="204"/>
      <c r="BS61" s="204"/>
      <c r="BT61" s="204"/>
      <c r="BU61" s="204"/>
      <c r="BV61" s="204"/>
      <c r="BW61" s="204"/>
      <c r="BX61" s="204"/>
      <c r="BY61" s="204"/>
      <c r="BZ61" s="204"/>
      <c r="CA61" s="204"/>
      <c r="CB61" s="204"/>
    </row>
    <row r="62" spans="1:80" x14ac:dyDescent="0.45">
      <c r="A62" s="213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15" t="s">
        <v>472</v>
      </c>
      <c r="J62" s="33"/>
      <c r="K62" s="33"/>
      <c r="L62" s="33"/>
      <c r="M62" s="33"/>
      <c r="N62" s="140"/>
      <c r="O62" s="140"/>
      <c r="P62" s="140"/>
      <c r="Q62" s="315" t="s">
        <v>388</v>
      </c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  <c r="AO62" s="204"/>
      <c r="AP62" s="204"/>
      <c r="AQ62" s="204"/>
      <c r="AR62" s="204"/>
      <c r="AS62" s="204"/>
      <c r="AT62" s="204"/>
      <c r="AU62" s="204"/>
      <c r="AV62" s="204"/>
      <c r="AW62" s="204"/>
      <c r="AX62" s="204"/>
      <c r="AY62" s="204"/>
      <c r="AZ62" s="204"/>
      <c r="BA62" s="204"/>
      <c r="BB62" s="204"/>
      <c r="BC62" s="204"/>
      <c r="BD62" s="204"/>
      <c r="BE62" s="204"/>
      <c r="BF62" s="204"/>
      <c r="BG62" s="204"/>
      <c r="BH62" s="204"/>
      <c r="BI62" s="205"/>
      <c r="BJ62" s="204"/>
      <c r="BK62" s="204"/>
      <c r="BL62" s="204"/>
      <c r="BM62" s="204"/>
      <c r="BN62" s="204"/>
      <c r="BO62" s="205"/>
      <c r="BP62" s="204"/>
      <c r="BQ62" s="204"/>
      <c r="BR62" s="204"/>
      <c r="BS62" s="204"/>
      <c r="BT62" s="204"/>
      <c r="BU62" s="204"/>
      <c r="BV62" s="204"/>
      <c r="BW62" s="204"/>
      <c r="BX62" s="204"/>
      <c r="BY62" s="204"/>
      <c r="BZ62" s="204"/>
      <c r="CA62" s="204"/>
      <c r="CB62" s="204"/>
    </row>
    <row r="63" spans="1:80" x14ac:dyDescent="0.45">
      <c r="A63" s="213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15" t="s">
        <v>472</v>
      </c>
      <c r="J63" s="33"/>
      <c r="K63" s="33"/>
      <c r="L63" s="33"/>
      <c r="M63" s="33"/>
      <c r="N63" s="140"/>
      <c r="O63" s="140"/>
      <c r="P63" s="140"/>
      <c r="Q63" s="315" t="s">
        <v>388</v>
      </c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204"/>
      <c r="AO63" s="204"/>
      <c r="AP63" s="204"/>
      <c r="AQ63" s="204"/>
      <c r="AR63" s="204"/>
      <c r="AS63" s="204"/>
      <c r="AT63" s="204"/>
      <c r="AU63" s="204"/>
      <c r="AV63" s="204"/>
      <c r="AW63" s="204"/>
      <c r="AX63" s="204"/>
      <c r="AY63" s="204"/>
      <c r="AZ63" s="204"/>
      <c r="BA63" s="204"/>
      <c r="BB63" s="204"/>
      <c r="BC63" s="204"/>
      <c r="BD63" s="204"/>
      <c r="BE63" s="204"/>
      <c r="BF63" s="204"/>
      <c r="BG63" s="204"/>
      <c r="BH63" s="204"/>
      <c r="BI63" s="205"/>
      <c r="BJ63" s="204"/>
      <c r="BK63" s="204"/>
      <c r="BL63" s="204"/>
      <c r="BM63" s="204"/>
      <c r="BN63" s="204"/>
      <c r="BO63" s="205"/>
      <c r="BP63" s="204"/>
      <c r="BQ63" s="204"/>
      <c r="BR63" s="204"/>
      <c r="BS63" s="204"/>
      <c r="BT63" s="204"/>
      <c r="BU63" s="204"/>
      <c r="BV63" s="204"/>
      <c r="BW63" s="204"/>
      <c r="BX63" s="204"/>
      <c r="BY63" s="204"/>
      <c r="BZ63" s="204"/>
      <c r="CA63" s="204"/>
      <c r="CB63" s="204"/>
    </row>
    <row r="64" spans="1:80" x14ac:dyDescent="0.45">
      <c r="A64" s="213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5" t="s">
        <v>346</v>
      </c>
      <c r="H64" s="5" t="s">
        <v>40</v>
      </c>
      <c r="I64" s="315" t="s">
        <v>471</v>
      </c>
      <c r="J64" s="33"/>
      <c r="K64" s="33"/>
      <c r="L64" s="33"/>
      <c r="M64" s="33"/>
      <c r="N64" s="140"/>
      <c r="O64" s="140"/>
      <c r="P64" s="140"/>
      <c r="Q64" s="315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  <c r="AO64" s="204"/>
      <c r="AP64" s="204"/>
      <c r="AQ64" s="204"/>
      <c r="AR64" s="204"/>
      <c r="AS64" s="204"/>
      <c r="AT64" s="204"/>
      <c r="AU64" s="204"/>
      <c r="AV64" s="204"/>
      <c r="AW64" s="204"/>
      <c r="AX64" s="204"/>
      <c r="AY64" s="204"/>
      <c r="AZ64" s="204"/>
      <c r="BA64" s="204"/>
      <c r="BB64" s="204"/>
      <c r="BC64" s="204"/>
      <c r="BD64" s="204"/>
      <c r="BE64" s="204"/>
      <c r="BF64" s="204"/>
      <c r="BG64" s="204"/>
      <c r="BH64" s="204"/>
      <c r="BI64" s="205"/>
      <c r="BJ64" s="204"/>
      <c r="BK64" s="204"/>
      <c r="BL64" s="204"/>
      <c r="BM64" s="204"/>
      <c r="BN64" s="204"/>
      <c r="BO64" s="205"/>
      <c r="BP64" s="204"/>
      <c r="BQ64" s="204"/>
      <c r="BR64" s="204"/>
      <c r="BS64" s="204"/>
      <c r="BT64" s="204"/>
      <c r="BU64" s="204"/>
      <c r="BV64" s="204"/>
      <c r="BW64" s="204"/>
      <c r="BX64" s="204"/>
      <c r="BY64" s="204"/>
      <c r="BZ64" s="204"/>
      <c r="CA64" s="204"/>
      <c r="CB64" s="204"/>
    </row>
    <row r="65" spans="1:80" x14ac:dyDescent="0.45">
      <c r="A65" s="213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15" t="s">
        <v>472</v>
      </c>
      <c r="J65" s="33"/>
      <c r="K65" s="33"/>
      <c r="L65" s="33"/>
      <c r="M65" s="33"/>
      <c r="N65" s="140"/>
      <c r="O65" s="140"/>
      <c r="P65" s="140"/>
      <c r="Q65" s="315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4"/>
      <c r="BF65" s="204"/>
      <c r="BG65" s="204"/>
      <c r="BH65" s="204"/>
      <c r="BI65" s="205"/>
      <c r="BJ65" s="204"/>
      <c r="BK65" s="204"/>
      <c r="BL65" s="204"/>
      <c r="BM65" s="204"/>
      <c r="BN65" s="204"/>
      <c r="BO65" s="205"/>
      <c r="BP65" s="204"/>
      <c r="BQ65" s="204"/>
      <c r="BR65" s="204"/>
      <c r="BS65" s="204"/>
      <c r="BT65" s="204"/>
      <c r="BU65" s="204"/>
      <c r="BV65" s="204"/>
      <c r="BW65" s="204"/>
      <c r="BX65" s="204"/>
      <c r="BY65" s="204"/>
      <c r="BZ65" s="204"/>
      <c r="CA65" s="204"/>
      <c r="CB65" s="204"/>
    </row>
    <row r="66" spans="1:80" x14ac:dyDescent="0.45">
      <c r="A66" s="213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5" t="s">
        <v>346</v>
      </c>
      <c r="H66" s="5" t="s">
        <v>40</v>
      </c>
      <c r="I66" s="315" t="s">
        <v>471</v>
      </c>
      <c r="J66" s="33"/>
      <c r="K66" s="33"/>
      <c r="L66" s="33"/>
      <c r="M66" s="33"/>
      <c r="N66" s="140"/>
      <c r="O66" s="140"/>
      <c r="P66" s="140"/>
      <c r="Q66" s="315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  <c r="AO66" s="204"/>
      <c r="AP66" s="204"/>
      <c r="AQ66" s="204"/>
      <c r="AR66" s="204"/>
      <c r="AS66" s="204"/>
      <c r="AT66" s="204"/>
      <c r="AU66" s="204"/>
      <c r="AV66" s="204"/>
      <c r="AW66" s="204"/>
      <c r="AX66" s="204"/>
      <c r="AY66" s="204"/>
      <c r="AZ66" s="204"/>
      <c r="BA66" s="204"/>
      <c r="BB66" s="204"/>
      <c r="BC66" s="204"/>
      <c r="BD66" s="204"/>
      <c r="BE66" s="204"/>
      <c r="BF66" s="204"/>
      <c r="BG66" s="204"/>
      <c r="BH66" s="204"/>
      <c r="BI66" s="205"/>
      <c r="BJ66" s="204"/>
      <c r="BK66" s="204"/>
      <c r="BL66" s="204"/>
      <c r="BM66" s="204"/>
      <c r="BN66" s="204"/>
      <c r="BO66" s="205"/>
      <c r="BP66" s="204"/>
      <c r="BQ66" s="204"/>
      <c r="BR66" s="204"/>
      <c r="BS66" s="204"/>
      <c r="BT66" s="204"/>
      <c r="BU66" s="204"/>
      <c r="BV66" s="204"/>
      <c r="BW66" s="204"/>
      <c r="BX66" s="204"/>
      <c r="BY66" s="204"/>
      <c r="BZ66" s="204"/>
      <c r="CA66" s="204"/>
      <c r="CB66" s="204"/>
    </row>
    <row r="67" spans="1:80" x14ac:dyDescent="0.45">
      <c r="A67" s="213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5" t="s">
        <v>346</v>
      </c>
      <c r="H67" s="5" t="s">
        <v>40</v>
      </c>
      <c r="I67" s="315" t="s">
        <v>471</v>
      </c>
      <c r="J67" s="33"/>
      <c r="K67" s="33"/>
      <c r="L67" s="33"/>
      <c r="M67" s="33"/>
      <c r="N67" s="140"/>
      <c r="O67" s="140"/>
      <c r="P67" s="140"/>
      <c r="Q67" s="315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  <c r="AO67" s="204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204"/>
      <c r="BF67" s="204"/>
      <c r="BG67" s="204"/>
      <c r="BH67" s="204"/>
      <c r="BI67" s="205"/>
      <c r="BJ67" s="204"/>
      <c r="BK67" s="204"/>
      <c r="BL67" s="204"/>
      <c r="BM67" s="204"/>
      <c r="BN67" s="204"/>
      <c r="BO67" s="205"/>
      <c r="BP67" s="204"/>
      <c r="BQ67" s="204"/>
      <c r="BR67" s="204"/>
      <c r="BS67" s="204"/>
      <c r="BT67" s="204"/>
      <c r="BU67" s="204"/>
      <c r="BV67" s="204"/>
      <c r="BW67" s="204"/>
      <c r="BX67" s="204"/>
      <c r="BY67" s="204"/>
      <c r="BZ67" s="204"/>
      <c r="CA67" s="204"/>
      <c r="CB67" s="204"/>
    </row>
    <row r="68" spans="1:80" x14ac:dyDescent="0.45">
      <c r="A68" s="213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15" t="s">
        <v>472</v>
      </c>
      <c r="J68" s="33"/>
      <c r="K68" s="33"/>
      <c r="L68" s="33"/>
      <c r="M68" s="33"/>
      <c r="N68" s="140"/>
      <c r="O68" s="140"/>
      <c r="P68" s="140"/>
      <c r="Q68" s="315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  <c r="AO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  <c r="BC68" s="204"/>
      <c r="BD68" s="204"/>
      <c r="BE68" s="204"/>
      <c r="BF68" s="204"/>
      <c r="BG68" s="204"/>
      <c r="BH68" s="204"/>
      <c r="BI68" s="205"/>
      <c r="BJ68" s="204"/>
      <c r="BK68" s="204"/>
      <c r="BL68" s="204"/>
      <c r="BM68" s="204"/>
      <c r="BN68" s="204"/>
      <c r="BO68" s="205"/>
      <c r="BP68" s="204"/>
      <c r="BQ68" s="204"/>
      <c r="BR68" s="204"/>
      <c r="BS68" s="204"/>
      <c r="BT68" s="204"/>
      <c r="BU68" s="204"/>
      <c r="BV68" s="204"/>
      <c r="BW68" s="204"/>
      <c r="BX68" s="204"/>
      <c r="BY68" s="204"/>
      <c r="BZ68" s="204"/>
      <c r="CA68" s="204"/>
      <c r="CB68" s="204"/>
    </row>
    <row r="69" spans="1:80" x14ac:dyDescent="0.45">
      <c r="A69" s="213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5" t="s">
        <v>346</v>
      </c>
      <c r="H69" s="5" t="s">
        <v>40</v>
      </c>
      <c r="I69" s="315" t="s">
        <v>471</v>
      </c>
      <c r="J69" s="33"/>
      <c r="K69" s="33"/>
      <c r="L69" s="33"/>
      <c r="M69" s="33"/>
      <c r="N69" s="140"/>
      <c r="O69" s="140"/>
      <c r="P69" s="140"/>
      <c r="Q69" s="315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  <c r="BC69" s="204"/>
      <c r="BD69" s="204"/>
      <c r="BE69" s="204"/>
      <c r="BF69" s="204"/>
      <c r="BG69" s="204"/>
      <c r="BH69" s="204"/>
      <c r="BI69" s="205"/>
      <c r="BJ69" s="204"/>
      <c r="BK69" s="204"/>
      <c r="BL69" s="204"/>
      <c r="BM69" s="204"/>
      <c r="BN69" s="204"/>
      <c r="BO69" s="205"/>
      <c r="BP69" s="204"/>
      <c r="BQ69" s="204"/>
      <c r="BR69" s="204"/>
      <c r="BS69" s="204"/>
      <c r="BT69" s="204"/>
      <c r="BU69" s="204"/>
      <c r="BV69" s="204"/>
      <c r="BW69" s="204"/>
      <c r="BX69" s="204"/>
      <c r="BY69" s="204"/>
      <c r="BZ69" s="204"/>
      <c r="CA69" s="204"/>
      <c r="CB69" s="204"/>
    </row>
    <row r="70" spans="1:80" x14ac:dyDescent="0.45">
      <c r="A70" s="213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5" t="s">
        <v>346</v>
      </c>
      <c r="H70" s="5" t="s">
        <v>40</v>
      </c>
      <c r="I70" s="315" t="s">
        <v>471</v>
      </c>
      <c r="J70" s="33"/>
      <c r="K70" s="33"/>
      <c r="L70" s="33"/>
      <c r="M70" s="33"/>
      <c r="N70" s="140"/>
      <c r="O70" s="140"/>
      <c r="P70" s="140"/>
      <c r="Q70" s="315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  <c r="BC70" s="204"/>
      <c r="BD70" s="204"/>
      <c r="BE70" s="204"/>
      <c r="BF70" s="204"/>
      <c r="BG70" s="204"/>
      <c r="BH70" s="204"/>
      <c r="BI70" s="205"/>
      <c r="BJ70" s="204"/>
      <c r="BK70" s="204"/>
      <c r="BL70" s="204"/>
      <c r="BM70" s="204"/>
      <c r="BN70" s="204"/>
      <c r="BO70" s="205"/>
      <c r="BP70" s="204"/>
      <c r="BQ70" s="204"/>
      <c r="BR70" s="204"/>
      <c r="BS70" s="204"/>
      <c r="BT70" s="204"/>
      <c r="BU70" s="204"/>
      <c r="BV70" s="204"/>
      <c r="BW70" s="204"/>
      <c r="BX70" s="204"/>
      <c r="BY70" s="204"/>
      <c r="BZ70" s="204"/>
      <c r="CA70" s="204"/>
      <c r="CB70" s="204"/>
    </row>
    <row r="71" spans="1:80" x14ac:dyDescent="0.45">
      <c r="A71" s="213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5" t="s">
        <v>346</v>
      </c>
      <c r="H71" s="5" t="s">
        <v>346</v>
      </c>
      <c r="I71" s="315" t="s">
        <v>471</v>
      </c>
      <c r="J71" s="33"/>
      <c r="K71" s="33"/>
      <c r="L71" s="33"/>
      <c r="M71" s="33"/>
      <c r="N71" s="140"/>
      <c r="O71" s="140"/>
      <c r="P71" s="140"/>
      <c r="Q71" s="315" t="s">
        <v>387</v>
      </c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  <c r="BC71" s="204"/>
      <c r="BD71" s="204"/>
      <c r="BE71" s="204"/>
      <c r="BF71" s="204"/>
      <c r="BG71" s="204"/>
      <c r="BH71" s="204"/>
      <c r="BI71" s="205"/>
      <c r="BJ71" s="204"/>
      <c r="BK71" s="204"/>
      <c r="BL71" s="204"/>
      <c r="BM71" s="204"/>
      <c r="BN71" s="204"/>
      <c r="BO71" s="205"/>
      <c r="BP71" s="204"/>
      <c r="BQ71" s="204"/>
      <c r="BR71" s="204"/>
      <c r="BS71" s="204"/>
      <c r="BT71" s="204"/>
      <c r="BU71" s="204"/>
      <c r="BV71" s="204"/>
      <c r="BW71" s="204"/>
      <c r="BX71" s="204"/>
      <c r="BY71" s="204"/>
      <c r="BZ71" s="204"/>
      <c r="CA71" s="204"/>
      <c r="CB71" s="204"/>
    </row>
    <row r="72" spans="1:80" x14ac:dyDescent="0.45">
      <c r="A72" s="213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5" t="s">
        <v>346</v>
      </c>
      <c r="H72" s="5" t="s">
        <v>346</v>
      </c>
      <c r="I72" s="315" t="s">
        <v>471</v>
      </c>
      <c r="J72" s="33"/>
      <c r="K72" s="33"/>
      <c r="L72" s="33"/>
      <c r="M72" s="33"/>
      <c r="N72" s="140"/>
      <c r="O72" s="140"/>
      <c r="P72" s="140"/>
      <c r="Q72" s="315" t="s">
        <v>387</v>
      </c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  <c r="BC72" s="204"/>
      <c r="BD72" s="204"/>
      <c r="BE72" s="204"/>
      <c r="BF72" s="204"/>
      <c r="BG72" s="204"/>
      <c r="BH72" s="204"/>
      <c r="BI72" s="205"/>
      <c r="BJ72" s="204"/>
      <c r="BK72" s="204"/>
      <c r="BL72" s="204"/>
      <c r="BM72" s="204"/>
      <c r="BN72" s="204"/>
      <c r="BO72" s="205"/>
      <c r="BP72" s="204"/>
      <c r="BQ72" s="204"/>
      <c r="BR72" s="204"/>
      <c r="BS72" s="204"/>
      <c r="BT72" s="204"/>
      <c r="BU72" s="204"/>
      <c r="BV72" s="204"/>
      <c r="BW72" s="204"/>
      <c r="BX72" s="204"/>
      <c r="BY72" s="204"/>
      <c r="BZ72" s="204"/>
      <c r="CA72" s="204"/>
      <c r="CB72" s="204"/>
    </row>
    <row r="73" spans="1:80" x14ac:dyDescent="0.45">
      <c r="A73" s="213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5" t="s">
        <v>346</v>
      </c>
      <c r="H73" s="5" t="s">
        <v>346</v>
      </c>
      <c r="I73" s="315" t="s">
        <v>471</v>
      </c>
      <c r="J73" s="33"/>
      <c r="K73" s="33"/>
      <c r="L73" s="33"/>
      <c r="M73" s="33"/>
      <c r="N73" s="140"/>
      <c r="O73" s="140"/>
      <c r="P73" s="140"/>
      <c r="Q73" s="315" t="s">
        <v>387</v>
      </c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204"/>
      <c r="BF73" s="204"/>
      <c r="BG73" s="204"/>
      <c r="BH73" s="204"/>
      <c r="BI73" s="205"/>
      <c r="BJ73" s="204"/>
      <c r="BK73" s="204"/>
      <c r="BL73" s="204"/>
      <c r="BM73" s="204"/>
      <c r="BN73" s="204"/>
      <c r="BO73" s="205"/>
      <c r="BP73" s="204"/>
      <c r="BQ73" s="204"/>
      <c r="BR73" s="204"/>
      <c r="BS73" s="204"/>
      <c r="BT73" s="204"/>
      <c r="BU73" s="204"/>
      <c r="BV73" s="204"/>
      <c r="BW73" s="204"/>
      <c r="BX73" s="204"/>
      <c r="BY73" s="204"/>
      <c r="BZ73" s="204"/>
      <c r="CA73" s="204"/>
      <c r="CB73" s="204"/>
    </row>
    <row r="74" spans="1:80" x14ac:dyDescent="0.45">
      <c r="A74" s="213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5" t="s">
        <v>346</v>
      </c>
      <c r="H74" s="5" t="s">
        <v>346</v>
      </c>
      <c r="I74" s="315" t="s">
        <v>471</v>
      </c>
      <c r="J74" s="33"/>
      <c r="K74" s="33"/>
      <c r="L74" s="33"/>
      <c r="M74" s="33"/>
      <c r="N74" s="140"/>
      <c r="O74" s="140"/>
      <c r="P74" s="140"/>
      <c r="Q74" s="315" t="s">
        <v>387</v>
      </c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  <c r="BC74" s="204"/>
      <c r="BD74" s="204"/>
      <c r="BE74" s="204"/>
      <c r="BF74" s="204"/>
      <c r="BG74" s="204"/>
      <c r="BH74" s="204"/>
      <c r="BI74" s="205"/>
      <c r="BJ74" s="204"/>
      <c r="BK74" s="204"/>
      <c r="BL74" s="204"/>
      <c r="BM74" s="204"/>
      <c r="BN74" s="204"/>
      <c r="BO74" s="205"/>
      <c r="BP74" s="204"/>
      <c r="BQ74" s="204"/>
      <c r="BR74" s="204"/>
      <c r="BS74" s="204"/>
      <c r="BT74" s="204"/>
      <c r="BU74" s="204"/>
      <c r="BV74" s="204"/>
      <c r="BW74" s="204"/>
      <c r="BX74" s="204"/>
      <c r="BY74" s="204"/>
      <c r="BZ74" s="204"/>
      <c r="CA74" s="204"/>
      <c r="CB74" s="204"/>
    </row>
    <row r="75" spans="1:80" x14ac:dyDescent="0.45">
      <c r="A75" s="213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5" t="s">
        <v>346</v>
      </c>
      <c r="H75" s="5" t="s">
        <v>346</v>
      </c>
      <c r="I75" s="315" t="s">
        <v>471</v>
      </c>
      <c r="J75" s="33"/>
      <c r="K75" s="33"/>
      <c r="L75" s="33"/>
      <c r="M75" s="33"/>
      <c r="N75" s="140"/>
      <c r="O75" s="140"/>
      <c r="P75" s="140"/>
      <c r="Q75" s="315" t="s">
        <v>387</v>
      </c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  <c r="BI75" s="205"/>
      <c r="BJ75" s="204"/>
      <c r="BK75" s="204"/>
      <c r="BL75" s="204"/>
      <c r="BM75" s="204"/>
      <c r="BN75" s="204"/>
      <c r="BO75" s="205"/>
      <c r="BP75" s="204"/>
      <c r="BQ75" s="204"/>
      <c r="BR75" s="204"/>
      <c r="BS75" s="204"/>
      <c r="BT75" s="204"/>
      <c r="BU75" s="204"/>
      <c r="BV75" s="204"/>
      <c r="BW75" s="204"/>
      <c r="BX75" s="204"/>
      <c r="BY75" s="204"/>
      <c r="BZ75" s="204"/>
      <c r="CA75" s="204"/>
      <c r="CB75" s="204"/>
    </row>
    <row r="76" spans="1:80" x14ac:dyDescent="0.45">
      <c r="A76" s="213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5" t="s">
        <v>346</v>
      </c>
      <c r="H76" s="5" t="s">
        <v>346</v>
      </c>
      <c r="I76" s="315" t="s">
        <v>471</v>
      </c>
      <c r="J76" s="33"/>
      <c r="K76" s="33"/>
      <c r="L76" s="33"/>
      <c r="M76" s="33"/>
      <c r="N76" s="140"/>
      <c r="O76" s="140"/>
      <c r="P76" s="140"/>
      <c r="Q76" s="315" t="s">
        <v>387</v>
      </c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  <c r="BC76" s="204"/>
      <c r="BD76" s="204"/>
      <c r="BE76" s="204"/>
      <c r="BF76" s="204"/>
      <c r="BG76" s="204"/>
      <c r="BH76" s="204"/>
      <c r="BI76" s="205"/>
      <c r="BJ76" s="204"/>
      <c r="BK76" s="204"/>
      <c r="BL76" s="204"/>
      <c r="BM76" s="204"/>
      <c r="BN76" s="204"/>
      <c r="BO76" s="205"/>
      <c r="BP76" s="204"/>
      <c r="BQ76" s="204"/>
      <c r="BR76" s="204"/>
      <c r="BS76" s="204"/>
      <c r="BT76" s="204"/>
      <c r="BU76" s="204"/>
      <c r="BV76" s="204"/>
      <c r="BW76" s="204"/>
      <c r="BX76" s="204"/>
      <c r="BY76" s="204"/>
      <c r="BZ76" s="204"/>
      <c r="CA76" s="204"/>
      <c r="CB76" s="204"/>
    </row>
    <row r="77" spans="1:80" x14ac:dyDescent="0.45">
      <c r="A77" s="213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5" t="s">
        <v>346</v>
      </c>
      <c r="H77" s="5" t="s">
        <v>346</v>
      </c>
      <c r="I77" s="315" t="s">
        <v>471</v>
      </c>
      <c r="J77" s="33"/>
      <c r="K77" s="33"/>
      <c r="L77" s="33"/>
      <c r="M77" s="33"/>
      <c r="N77" s="140"/>
      <c r="O77" s="140"/>
      <c r="P77" s="140"/>
      <c r="Q77" s="315" t="s">
        <v>387</v>
      </c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  <c r="BC77" s="204"/>
      <c r="BD77" s="204"/>
      <c r="BE77" s="204"/>
      <c r="BF77" s="204"/>
      <c r="BG77" s="204"/>
      <c r="BH77" s="204"/>
      <c r="BI77" s="205"/>
      <c r="BJ77" s="204"/>
      <c r="BK77" s="204"/>
      <c r="BL77" s="204"/>
      <c r="BM77" s="204"/>
      <c r="BN77" s="204"/>
      <c r="BO77" s="205"/>
      <c r="BP77" s="204"/>
      <c r="BQ77" s="204"/>
      <c r="BR77" s="204"/>
      <c r="BS77" s="204"/>
      <c r="BT77" s="204"/>
      <c r="BU77" s="204"/>
      <c r="BV77" s="204"/>
      <c r="BW77" s="204"/>
      <c r="BX77" s="204"/>
      <c r="BY77" s="204"/>
      <c r="BZ77" s="204"/>
      <c r="CA77" s="204"/>
      <c r="CB77" s="204"/>
    </row>
    <row r="78" spans="1:80" x14ac:dyDescent="0.45">
      <c r="A78" s="213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5" t="s">
        <v>346</v>
      </c>
      <c r="H78" s="5" t="s">
        <v>346</v>
      </c>
      <c r="I78" s="315" t="s">
        <v>471</v>
      </c>
      <c r="J78" s="33"/>
      <c r="K78" s="33"/>
      <c r="L78" s="33"/>
      <c r="M78" s="33"/>
      <c r="N78" s="140"/>
      <c r="O78" s="140"/>
      <c r="P78" s="140"/>
      <c r="Q78" s="315" t="s">
        <v>387</v>
      </c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  <c r="BC78" s="204"/>
      <c r="BD78" s="204"/>
      <c r="BE78" s="204"/>
      <c r="BF78" s="204"/>
      <c r="BG78" s="204"/>
      <c r="BH78" s="204"/>
      <c r="BI78" s="205"/>
      <c r="BJ78" s="204"/>
      <c r="BK78" s="204"/>
      <c r="BL78" s="204"/>
      <c r="BM78" s="204"/>
      <c r="BN78" s="204"/>
      <c r="BO78" s="205"/>
      <c r="BP78" s="204"/>
      <c r="BQ78" s="204"/>
      <c r="BR78" s="204"/>
      <c r="BS78" s="204"/>
      <c r="BT78" s="204"/>
      <c r="BU78" s="204"/>
      <c r="BV78" s="204"/>
      <c r="BW78" s="204"/>
      <c r="BX78" s="204"/>
      <c r="BY78" s="204"/>
      <c r="BZ78" s="204"/>
      <c r="CA78" s="204"/>
      <c r="CB78" s="204"/>
    </row>
    <row r="79" spans="1:80" x14ac:dyDescent="0.45">
      <c r="A79" s="213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31" t="s">
        <v>15</v>
      </c>
      <c r="J79" s="33"/>
      <c r="K79" s="33"/>
      <c r="L79" s="33"/>
      <c r="M79" s="33"/>
      <c r="N79" s="140"/>
      <c r="O79" s="140"/>
      <c r="P79" s="140"/>
      <c r="Q79" s="315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  <c r="BC79" s="204"/>
      <c r="BD79" s="204"/>
      <c r="BE79" s="204"/>
      <c r="BF79" s="204"/>
      <c r="BG79" s="204"/>
      <c r="BH79" s="204"/>
      <c r="BI79" s="205"/>
      <c r="BJ79" s="204"/>
      <c r="BK79" s="204"/>
      <c r="BL79" s="204"/>
      <c r="BM79" s="204"/>
      <c r="BN79" s="204"/>
      <c r="BO79" s="205"/>
      <c r="BP79" s="204"/>
      <c r="BQ79" s="204"/>
      <c r="BR79" s="204"/>
      <c r="BS79" s="204"/>
      <c r="BT79" s="204"/>
      <c r="BU79" s="204"/>
      <c r="BV79" s="204"/>
      <c r="BW79" s="204"/>
      <c r="BX79" s="204"/>
      <c r="BY79" s="204"/>
      <c r="BZ79" s="204"/>
      <c r="CA79" s="204"/>
      <c r="CB79" s="204"/>
    </row>
    <row r="80" spans="1:80" x14ac:dyDescent="0.45">
      <c r="A80" s="213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31" t="s">
        <v>15</v>
      </c>
      <c r="J80" s="33"/>
      <c r="K80" s="33"/>
      <c r="L80" s="33"/>
      <c r="M80" s="33"/>
      <c r="N80" s="140"/>
      <c r="O80" s="140"/>
      <c r="P80" s="140"/>
      <c r="Q80" s="315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  <c r="BC80" s="204"/>
      <c r="BD80" s="204"/>
      <c r="BE80" s="204"/>
      <c r="BF80" s="204"/>
      <c r="BG80" s="204"/>
      <c r="BH80" s="204"/>
      <c r="BI80" s="205"/>
      <c r="BJ80" s="204"/>
      <c r="BK80" s="204"/>
      <c r="BL80" s="204"/>
      <c r="BM80" s="204"/>
      <c r="BN80" s="204"/>
      <c r="BO80" s="205"/>
      <c r="BP80" s="204"/>
      <c r="BQ80" s="204"/>
      <c r="BR80" s="204"/>
      <c r="BS80" s="204"/>
      <c r="BT80" s="204"/>
      <c r="BU80" s="204"/>
      <c r="BV80" s="204"/>
      <c r="BW80" s="204"/>
      <c r="BX80" s="204"/>
      <c r="BY80" s="204"/>
      <c r="BZ80" s="204"/>
      <c r="CA80" s="204"/>
      <c r="CB80" s="204"/>
    </row>
    <row r="81" spans="1:80" x14ac:dyDescent="0.45">
      <c r="A81" s="213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31" t="s">
        <v>15</v>
      </c>
      <c r="J81" s="33"/>
      <c r="K81" s="33"/>
      <c r="L81" s="33"/>
      <c r="M81" s="33"/>
      <c r="N81" s="140"/>
      <c r="O81" s="140"/>
      <c r="P81" s="140"/>
      <c r="Q81" s="315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4"/>
      <c r="BC81" s="204"/>
      <c r="BD81" s="204"/>
      <c r="BE81" s="204"/>
      <c r="BF81" s="204"/>
      <c r="BG81" s="204"/>
      <c r="BH81" s="204"/>
      <c r="BI81" s="205"/>
      <c r="BJ81" s="204"/>
      <c r="BK81" s="204"/>
      <c r="BL81" s="204"/>
      <c r="BM81" s="204"/>
      <c r="BN81" s="204"/>
      <c r="BO81" s="205"/>
      <c r="BP81" s="204"/>
      <c r="BQ81" s="204"/>
      <c r="BR81" s="204"/>
      <c r="BS81" s="204"/>
      <c r="BT81" s="204"/>
      <c r="BU81" s="204"/>
      <c r="BV81" s="204"/>
      <c r="BW81" s="204"/>
      <c r="BX81" s="204"/>
      <c r="BY81" s="204"/>
      <c r="BZ81" s="204"/>
      <c r="CA81" s="204"/>
      <c r="CB81" s="204"/>
    </row>
    <row r="82" spans="1:80" x14ac:dyDescent="0.45">
      <c r="A82" s="213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31" t="s">
        <v>15</v>
      </c>
      <c r="J82" s="33"/>
      <c r="K82" s="33"/>
      <c r="L82" s="33"/>
      <c r="M82" s="33"/>
      <c r="N82" s="140"/>
      <c r="O82" s="140"/>
      <c r="P82" s="140"/>
      <c r="Q82" s="315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  <c r="BC82" s="204"/>
      <c r="BD82" s="204"/>
      <c r="BE82" s="204"/>
      <c r="BF82" s="204"/>
      <c r="BG82" s="204"/>
      <c r="BH82" s="204"/>
      <c r="BI82" s="205"/>
      <c r="BJ82" s="204"/>
      <c r="BK82" s="204"/>
      <c r="BL82" s="204"/>
      <c r="BM82" s="204"/>
      <c r="BN82" s="204"/>
      <c r="BO82" s="205"/>
      <c r="BP82" s="204"/>
      <c r="BQ82" s="204"/>
      <c r="BR82" s="204"/>
      <c r="BS82" s="204"/>
      <c r="BT82" s="204"/>
      <c r="BU82" s="204"/>
      <c r="BV82" s="204"/>
      <c r="BW82" s="204"/>
      <c r="BX82" s="204"/>
      <c r="BY82" s="204"/>
      <c r="BZ82" s="204"/>
      <c r="CA82" s="204"/>
      <c r="CB82" s="204"/>
    </row>
    <row r="83" spans="1:80" x14ac:dyDescent="0.45">
      <c r="A83" s="213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31" t="s">
        <v>15</v>
      </c>
      <c r="J83" s="33"/>
      <c r="K83" s="33"/>
      <c r="L83" s="33"/>
      <c r="M83" s="33"/>
      <c r="N83" s="140"/>
      <c r="O83" s="140"/>
      <c r="P83" s="140"/>
      <c r="Q83" s="315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  <c r="BC83" s="204"/>
      <c r="BD83" s="204"/>
      <c r="BE83" s="204"/>
      <c r="BF83" s="204"/>
      <c r="BG83" s="204"/>
      <c r="BH83" s="204"/>
      <c r="BI83" s="205"/>
      <c r="BJ83" s="204"/>
      <c r="BK83" s="204"/>
      <c r="BL83" s="204"/>
      <c r="BM83" s="204"/>
      <c r="BN83" s="204"/>
      <c r="BO83" s="205"/>
      <c r="BP83" s="204"/>
      <c r="BQ83" s="204"/>
      <c r="BR83" s="204"/>
      <c r="BS83" s="204"/>
      <c r="BT83" s="204"/>
      <c r="BU83" s="204"/>
      <c r="BV83" s="204"/>
      <c r="BW83" s="204"/>
      <c r="BX83" s="204"/>
      <c r="BY83" s="204"/>
      <c r="BZ83" s="204"/>
      <c r="CA83" s="204"/>
      <c r="CB83" s="204"/>
    </row>
    <row r="84" spans="1:80" x14ac:dyDescent="0.45">
      <c r="A84" s="213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31" t="s">
        <v>15</v>
      </c>
      <c r="J84" s="33"/>
      <c r="K84" s="33"/>
      <c r="L84" s="33"/>
      <c r="M84" s="33"/>
      <c r="N84" s="140"/>
      <c r="O84" s="140"/>
      <c r="P84" s="140"/>
      <c r="Q84" s="315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4"/>
      <c r="BC84" s="204"/>
      <c r="BD84" s="204"/>
      <c r="BE84" s="204"/>
      <c r="BF84" s="204"/>
      <c r="BG84" s="204"/>
      <c r="BH84" s="204"/>
      <c r="BI84" s="205"/>
      <c r="BJ84" s="204"/>
      <c r="BK84" s="204"/>
      <c r="BL84" s="204"/>
      <c r="BM84" s="204"/>
      <c r="BN84" s="204"/>
      <c r="BO84" s="205"/>
      <c r="BP84" s="204"/>
      <c r="BQ84" s="204"/>
      <c r="BR84" s="204"/>
      <c r="BS84" s="204"/>
      <c r="BT84" s="204"/>
      <c r="BU84" s="204"/>
      <c r="BV84" s="204"/>
      <c r="BW84" s="204"/>
      <c r="BX84" s="204"/>
      <c r="BY84" s="204"/>
      <c r="BZ84" s="204"/>
      <c r="CA84" s="204"/>
      <c r="CB84" s="204"/>
    </row>
    <row r="85" spans="1:80" x14ac:dyDescent="0.45">
      <c r="A85" s="213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15" t="s">
        <v>472</v>
      </c>
      <c r="J85" s="33"/>
      <c r="K85" s="33"/>
      <c r="L85" s="33"/>
      <c r="M85" s="33"/>
      <c r="N85" s="140"/>
      <c r="O85" s="140"/>
      <c r="P85" s="140"/>
      <c r="Q85" s="315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  <c r="BB85" s="204"/>
      <c r="BC85" s="204"/>
      <c r="BD85" s="204"/>
      <c r="BE85" s="204"/>
      <c r="BF85" s="204"/>
      <c r="BG85" s="204"/>
      <c r="BH85" s="204"/>
      <c r="BI85" s="205"/>
      <c r="BJ85" s="204"/>
      <c r="BK85" s="204"/>
      <c r="BL85" s="204"/>
      <c r="BM85" s="204"/>
      <c r="BN85" s="204"/>
      <c r="BO85" s="205"/>
      <c r="BP85" s="204"/>
      <c r="BQ85" s="204"/>
      <c r="BR85" s="204"/>
      <c r="BS85" s="204"/>
      <c r="BT85" s="204"/>
      <c r="BU85" s="204"/>
      <c r="BV85" s="204"/>
      <c r="BW85" s="204"/>
      <c r="BX85" s="204"/>
      <c r="BY85" s="204"/>
      <c r="BZ85" s="204"/>
      <c r="CA85" s="204"/>
      <c r="CB85" s="204"/>
    </row>
    <row r="86" spans="1:80" x14ac:dyDescent="0.45">
      <c r="A86" s="213" t="s">
        <v>345</v>
      </c>
      <c r="B86" s="4" t="s">
        <v>17</v>
      </c>
      <c r="C86" s="9" t="s">
        <v>452</v>
      </c>
      <c r="D86" s="9" t="s">
        <v>21</v>
      </c>
      <c r="E86" s="5" t="s">
        <v>29</v>
      </c>
      <c r="F86" s="5" t="s">
        <v>111</v>
      </c>
      <c r="G86" s="5" t="s">
        <v>274</v>
      </c>
      <c r="H86" s="5" t="s">
        <v>40</v>
      </c>
      <c r="I86" s="315" t="s">
        <v>472</v>
      </c>
      <c r="J86" s="33"/>
      <c r="K86" s="33"/>
      <c r="L86" s="33"/>
      <c r="M86" s="33"/>
      <c r="N86" s="140"/>
      <c r="O86" s="140"/>
      <c r="P86" s="140"/>
      <c r="Q86" s="315" t="s">
        <v>479</v>
      </c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  <c r="BB86" s="204"/>
      <c r="BC86" s="204"/>
      <c r="BD86" s="204"/>
      <c r="BE86" s="204"/>
      <c r="BF86" s="204"/>
      <c r="BG86" s="204"/>
      <c r="BH86" s="204"/>
      <c r="BI86" s="205"/>
      <c r="BJ86" s="204"/>
      <c r="BK86" s="204"/>
      <c r="BL86" s="204"/>
      <c r="BM86" s="204"/>
      <c r="BN86" s="204"/>
      <c r="BO86" s="205"/>
      <c r="BP86" s="204"/>
      <c r="BQ86" s="204"/>
      <c r="BR86" s="204"/>
      <c r="BS86" s="204"/>
      <c r="BT86" s="204"/>
      <c r="BU86" s="204"/>
      <c r="BV86" s="204"/>
      <c r="BW86" s="204"/>
      <c r="BX86" s="204"/>
      <c r="BY86" s="204"/>
      <c r="BZ86" s="204"/>
      <c r="CA86" s="204"/>
      <c r="CB86" s="204"/>
    </row>
    <row r="87" spans="1:80" x14ac:dyDescent="0.45">
      <c r="A87" s="213" t="s">
        <v>345</v>
      </c>
      <c r="B87" s="4" t="s">
        <v>17</v>
      </c>
      <c r="C87" s="9" t="s">
        <v>452</v>
      </c>
      <c r="D87" s="9" t="s">
        <v>21</v>
      </c>
      <c r="E87" s="5" t="s">
        <v>29</v>
      </c>
      <c r="F87" s="5" t="s">
        <v>112</v>
      </c>
      <c r="G87" s="5" t="s">
        <v>274</v>
      </c>
      <c r="H87" s="332" t="s">
        <v>40</v>
      </c>
      <c r="I87" s="315" t="s">
        <v>472</v>
      </c>
      <c r="J87" s="33"/>
      <c r="K87" s="33"/>
      <c r="L87" s="33"/>
      <c r="M87" s="33"/>
      <c r="N87" s="140"/>
      <c r="O87" s="140"/>
      <c r="P87" s="140"/>
      <c r="Q87" s="315" t="s">
        <v>480</v>
      </c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4"/>
      <c r="AZ87" s="204"/>
      <c r="BA87" s="204"/>
      <c r="BB87" s="204"/>
      <c r="BC87" s="204"/>
      <c r="BD87" s="204"/>
      <c r="BE87" s="204"/>
      <c r="BF87" s="204"/>
      <c r="BG87" s="204"/>
      <c r="BH87" s="204"/>
      <c r="BI87" s="205"/>
      <c r="BJ87" s="204"/>
      <c r="BK87" s="204"/>
      <c r="BL87" s="204"/>
      <c r="BM87" s="204"/>
      <c r="BN87" s="204"/>
      <c r="BO87" s="205"/>
      <c r="BP87" s="204"/>
      <c r="BQ87" s="204"/>
      <c r="BR87" s="204"/>
      <c r="BS87" s="204"/>
      <c r="BT87" s="204"/>
      <c r="BU87" s="204"/>
      <c r="BV87" s="204"/>
      <c r="BW87" s="204"/>
      <c r="BX87" s="204"/>
      <c r="BY87" s="204"/>
      <c r="BZ87" s="204"/>
      <c r="CA87" s="204"/>
      <c r="CB87" s="204"/>
    </row>
    <row r="88" spans="1:80" x14ac:dyDescent="0.45">
      <c r="A88" s="213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15" t="s">
        <v>472</v>
      </c>
      <c r="J88" s="33"/>
      <c r="K88" s="33"/>
      <c r="L88" s="33"/>
      <c r="M88" s="33"/>
      <c r="N88" s="140"/>
      <c r="O88" s="140"/>
      <c r="P88" s="140"/>
      <c r="Q88" s="315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4"/>
      <c r="AZ88" s="204"/>
      <c r="BA88" s="204"/>
      <c r="BB88" s="204"/>
      <c r="BC88" s="204"/>
      <c r="BD88" s="204"/>
      <c r="BE88" s="204"/>
      <c r="BF88" s="204"/>
      <c r="BG88" s="204"/>
      <c r="BH88" s="204"/>
      <c r="BI88" s="205"/>
      <c r="BJ88" s="204"/>
      <c r="BK88" s="204"/>
      <c r="BL88" s="204"/>
      <c r="BM88" s="204"/>
      <c r="BN88" s="204"/>
      <c r="BO88" s="205"/>
      <c r="BP88" s="204"/>
      <c r="BQ88" s="204"/>
      <c r="BR88" s="204"/>
      <c r="BS88" s="204"/>
      <c r="BT88" s="204"/>
      <c r="BU88" s="204"/>
      <c r="BV88" s="204"/>
      <c r="BW88" s="204"/>
      <c r="BX88" s="204"/>
      <c r="BY88" s="204"/>
      <c r="BZ88" s="204"/>
      <c r="CA88" s="204"/>
      <c r="CB88" s="204"/>
    </row>
    <row r="89" spans="1:80" x14ac:dyDescent="0.45">
      <c r="A89" s="213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15" t="s">
        <v>472</v>
      </c>
      <c r="J89" s="33"/>
      <c r="K89" s="33"/>
      <c r="L89" s="33"/>
      <c r="M89" s="33"/>
      <c r="N89" s="140"/>
      <c r="O89" s="140"/>
      <c r="P89" s="140"/>
      <c r="Q89" s="315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  <c r="BB89" s="204"/>
      <c r="BC89" s="204"/>
      <c r="BD89" s="204"/>
      <c r="BE89" s="204"/>
      <c r="BF89" s="204"/>
      <c r="BG89" s="204"/>
      <c r="BH89" s="204"/>
      <c r="BI89" s="205"/>
      <c r="BJ89" s="204"/>
      <c r="BK89" s="204"/>
      <c r="BL89" s="204"/>
      <c r="BM89" s="204"/>
      <c r="BN89" s="204"/>
      <c r="BO89" s="205"/>
      <c r="BP89" s="204"/>
      <c r="BQ89" s="204"/>
      <c r="BR89" s="204"/>
      <c r="BS89" s="204"/>
      <c r="BT89" s="204"/>
      <c r="BU89" s="204"/>
      <c r="BV89" s="204"/>
      <c r="BW89" s="204"/>
      <c r="BX89" s="204"/>
      <c r="BY89" s="204"/>
      <c r="BZ89" s="204"/>
      <c r="CA89" s="204"/>
      <c r="CB89" s="204"/>
    </row>
    <row r="90" spans="1:80" x14ac:dyDescent="0.45">
      <c r="A90" s="213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15" t="s">
        <v>472</v>
      </c>
      <c r="J90" s="33"/>
      <c r="K90" s="33"/>
      <c r="L90" s="33"/>
      <c r="M90" s="33"/>
      <c r="N90" s="140"/>
      <c r="O90" s="140"/>
      <c r="P90" s="140"/>
      <c r="Q90" s="315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  <c r="BB90" s="204"/>
      <c r="BC90" s="204"/>
      <c r="BD90" s="204"/>
      <c r="BE90" s="204"/>
      <c r="BF90" s="204"/>
      <c r="BG90" s="204"/>
      <c r="BH90" s="204"/>
      <c r="BI90" s="205"/>
      <c r="BJ90" s="204"/>
      <c r="BK90" s="204"/>
      <c r="BL90" s="204"/>
      <c r="BM90" s="204"/>
      <c r="BN90" s="204"/>
      <c r="BO90" s="205"/>
      <c r="BP90" s="204"/>
      <c r="BQ90" s="204"/>
      <c r="BR90" s="204"/>
      <c r="BS90" s="204"/>
      <c r="BT90" s="204"/>
      <c r="BU90" s="204"/>
      <c r="BV90" s="204"/>
      <c r="BW90" s="204"/>
      <c r="BX90" s="204"/>
      <c r="BY90" s="204"/>
      <c r="BZ90" s="204"/>
      <c r="CA90" s="204"/>
      <c r="CB90" s="204"/>
    </row>
    <row r="91" spans="1:80" x14ac:dyDescent="0.45">
      <c r="A91" s="213" t="s">
        <v>345</v>
      </c>
      <c r="B91" s="4" t="s">
        <v>17</v>
      </c>
      <c r="C91" s="9" t="s">
        <v>452</v>
      </c>
      <c r="D91" s="9" t="s">
        <v>21</v>
      </c>
      <c r="E91" s="5" t="s">
        <v>29</v>
      </c>
      <c r="F91" s="5" t="s">
        <v>55</v>
      </c>
      <c r="G91" s="5" t="s">
        <v>274</v>
      </c>
      <c r="H91" s="5" t="s">
        <v>40</v>
      </c>
      <c r="I91" s="315" t="s">
        <v>472</v>
      </c>
      <c r="J91" s="33"/>
      <c r="K91" s="33"/>
      <c r="L91" s="33"/>
      <c r="M91" s="33"/>
      <c r="N91" s="140"/>
      <c r="O91" s="140"/>
      <c r="P91" s="140"/>
      <c r="Q91" s="315" t="s">
        <v>481</v>
      </c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  <c r="BF91" s="204"/>
      <c r="BG91" s="204"/>
      <c r="BH91" s="204"/>
      <c r="BI91" s="205"/>
      <c r="BJ91" s="204"/>
      <c r="BK91" s="204"/>
      <c r="BL91" s="204"/>
      <c r="BM91" s="204"/>
      <c r="BN91" s="204"/>
      <c r="BO91" s="205"/>
      <c r="BP91" s="204"/>
      <c r="BQ91" s="204"/>
      <c r="BR91" s="204"/>
      <c r="BS91" s="204"/>
      <c r="BT91" s="204"/>
      <c r="BU91" s="204"/>
      <c r="BV91" s="204"/>
      <c r="BW91" s="204"/>
      <c r="BX91" s="204"/>
      <c r="BY91" s="204"/>
      <c r="BZ91" s="204"/>
      <c r="CA91" s="204"/>
      <c r="CB91" s="204"/>
    </row>
    <row r="92" spans="1:80" x14ac:dyDescent="0.45">
      <c r="A92" s="213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5" t="s">
        <v>69</v>
      </c>
      <c r="G92" s="5" t="s">
        <v>40</v>
      </c>
      <c r="H92" s="5" t="s">
        <v>40</v>
      </c>
      <c r="I92" s="315" t="s">
        <v>472</v>
      </c>
      <c r="J92" s="33"/>
      <c r="K92" s="33"/>
      <c r="L92" s="33"/>
      <c r="M92" s="33"/>
      <c r="N92" s="140"/>
      <c r="O92" s="140"/>
      <c r="P92" s="140"/>
      <c r="Q92" s="315" t="s">
        <v>431</v>
      </c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  <c r="BB92" s="204"/>
      <c r="BC92" s="204"/>
      <c r="BD92" s="204"/>
      <c r="BE92" s="204"/>
      <c r="BF92" s="204"/>
      <c r="BG92" s="204"/>
      <c r="BH92" s="204"/>
      <c r="BI92" s="205"/>
      <c r="BJ92" s="204"/>
      <c r="BK92" s="204"/>
      <c r="BL92" s="204"/>
      <c r="BM92" s="204"/>
      <c r="BN92" s="204"/>
      <c r="BO92" s="205"/>
      <c r="BP92" s="204"/>
      <c r="BQ92" s="204"/>
      <c r="BR92" s="204"/>
      <c r="BS92" s="204"/>
      <c r="BT92" s="204"/>
      <c r="BU92" s="204"/>
      <c r="BV92" s="204"/>
      <c r="BW92" s="204"/>
      <c r="BX92" s="204"/>
      <c r="BY92" s="204"/>
      <c r="BZ92" s="204"/>
      <c r="CA92" s="204"/>
      <c r="CB92" s="204"/>
    </row>
    <row r="93" spans="1:80" x14ac:dyDescent="0.45">
      <c r="A93" s="213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5" t="s">
        <v>56</v>
      </c>
      <c r="G93" s="5" t="s">
        <v>40</v>
      </c>
      <c r="H93" s="5" t="s">
        <v>40</v>
      </c>
      <c r="I93" s="315" t="s">
        <v>472</v>
      </c>
      <c r="J93" s="33"/>
      <c r="K93" s="33"/>
      <c r="L93" s="33"/>
      <c r="M93" s="33"/>
      <c r="N93" s="140"/>
      <c r="O93" s="140"/>
      <c r="P93" s="140"/>
      <c r="Q93" s="315" t="s">
        <v>431</v>
      </c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  <c r="BB93" s="204"/>
      <c r="BC93" s="204"/>
      <c r="BD93" s="204"/>
      <c r="BE93" s="204"/>
      <c r="BF93" s="204"/>
      <c r="BG93" s="204"/>
      <c r="BH93" s="204"/>
      <c r="BI93" s="205"/>
      <c r="BJ93" s="204"/>
      <c r="BK93" s="204"/>
      <c r="BL93" s="204"/>
      <c r="BM93" s="204"/>
      <c r="BN93" s="204"/>
      <c r="BO93" s="205"/>
      <c r="BP93" s="204"/>
      <c r="BQ93" s="204"/>
      <c r="BR93" s="204"/>
      <c r="BS93" s="204"/>
      <c r="BT93" s="204"/>
      <c r="BU93" s="204"/>
      <c r="BV93" s="204"/>
      <c r="BW93" s="204"/>
      <c r="BX93" s="204"/>
      <c r="BY93" s="204"/>
      <c r="BZ93" s="204"/>
      <c r="CA93" s="204"/>
      <c r="CB93" s="204"/>
    </row>
    <row r="94" spans="1:80" x14ac:dyDescent="0.45">
      <c r="A94" s="213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5" t="s">
        <v>70</v>
      </c>
      <c r="G94" s="5" t="s">
        <v>346</v>
      </c>
      <c r="H94" s="5" t="s">
        <v>40</v>
      </c>
      <c r="I94" s="315" t="s">
        <v>471</v>
      </c>
      <c r="J94" s="33"/>
      <c r="K94" s="33"/>
      <c r="L94" s="33"/>
      <c r="M94" s="33"/>
      <c r="N94" s="140"/>
      <c r="O94" s="140"/>
      <c r="P94" s="140"/>
      <c r="Q94" s="315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  <c r="BB94" s="204"/>
      <c r="BC94" s="204"/>
      <c r="BD94" s="204"/>
      <c r="BE94" s="204"/>
      <c r="BF94" s="204"/>
      <c r="BG94" s="204"/>
      <c r="BH94" s="204"/>
      <c r="BI94" s="205"/>
      <c r="BJ94" s="204"/>
      <c r="BK94" s="204"/>
      <c r="BL94" s="204"/>
      <c r="BM94" s="204"/>
      <c r="BN94" s="204"/>
      <c r="BO94" s="205"/>
      <c r="BP94" s="204"/>
      <c r="BQ94" s="204"/>
      <c r="BR94" s="204"/>
      <c r="BS94" s="204"/>
      <c r="BT94" s="204"/>
      <c r="BU94" s="204"/>
      <c r="BV94" s="204"/>
      <c r="BW94" s="204"/>
      <c r="BX94" s="204"/>
      <c r="BY94" s="204"/>
      <c r="BZ94" s="204"/>
      <c r="CA94" s="204"/>
      <c r="CB94" s="204"/>
    </row>
    <row r="95" spans="1:80" x14ac:dyDescent="0.45">
      <c r="A95" s="213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15" t="s">
        <v>472</v>
      </c>
      <c r="J95" s="33"/>
      <c r="K95" s="33"/>
      <c r="L95" s="33"/>
      <c r="M95" s="33"/>
      <c r="N95" s="140"/>
      <c r="O95" s="140"/>
      <c r="P95" s="140"/>
      <c r="Q95" s="315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  <c r="BE95" s="204"/>
      <c r="BF95" s="204"/>
      <c r="BG95" s="204"/>
      <c r="BH95" s="204"/>
      <c r="BI95" s="205"/>
      <c r="BJ95" s="204"/>
      <c r="BK95" s="204"/>
      <c r="BL95" s="204"/>
      <c r="BM95" s="204"/>
      <c r="BN95" s="204"/>
      <c r="BO95" s="205"/>
      <c r="BP95" s="204"/>
      <c r="BQ95" s="204"/>
      <c r="BR95" s="204"/>
      <c r="BS95" s="204"/>
      <c r="BT95" s="204"/>
      <c r="BU95" s="204"/>
      <c r="BV95" s="204"/>
      <c r="BW95" s="204"/>
      <c r="BX95" s="204"/>
      <c r="BY95" s="204"/>
      <c r="BZ95" s="204"/>
      <c r="CA95" s="204"/>
      <c r="CB95" s="204"/>
    </row>
    <row r="96" spans="1:80" x14ac:dyDescent="0.45">
      <c r="A96" s="213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15" t="s">
        <v>472</v>
      </c>
      <c r="J96" s="33"/>
      <c r="K96" s="33"/>
      <c r="L96" s="33"/>
      <c r="M96" s="33"/>
      <c r="N96" s="140"/>
      <c r="O96" s="140"/>
      <c r="P96" s="140"/>
      <c r="Q96" s="315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  <c r="BB96" s="204"/>
      <c r="BC96" s="204"/>
      <c r="BD96" s="204"/>
      <c r="BE96" s="204"/>
      <c r="BF96" s="204"/>
      <c r="BG96" s="204"/>
      <c r="BH96" s="204"/>
      <c r="BI96" s="205"/>
      <c r="BJ96" s="204"/>
      <c r="BK96" s="204"/>
      <c r="BL96" s="204"/>
      <c r="BM96" s="204"/>
      <c r="BN96" s="204"/>
      <c r="BO96" s="205"/>
      <c r="BP96" s="204"/>
      <c r="BQ96" s="204"/>
      <c r="BR96" s="204"/>
      <c r="BS96" s="204"/>
      <c r="BT96" s="204"/>
      <c r="BU96" s="204"/>
      <c r="BV96" s="204"/>
      <c r="BW96" s="204"/>
      <c r="BX96" s="204"/>
      <c r="BY96" s="204"/>
      <c r="BZ96" s="204"/>
      <c r="CA96" s="204"/>
      <c r="CB96" s="204"/>
    </row>
    <row r="97" spans="1:80" x14ac:dyDescent="0.45">
      <c r="A97" s="213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5" t="s">
        <v>73</v>
      </c>
      <c r="G97" s="5" t="s">
        <v>346</v>
      </c>
      <c r="H97" s="5" t="s">
        <v>40</v>
      </c>
      <c r="I97" s="315" t="s">
        <v>471</v>
      </c>
      <c r="J97" s="33"/>
      <c r="K97" s="33"/>
      <c r="L97" s="33"/>
      <c r="M97" s="33"/>
      <c r="N97" s="140"/>
      <c r="O97" s="140"/>
      <c r="P97" s="140"/>
      <c r="Q97" s="315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  <c r="BG97" s="204"/>
      <c r="BH97" s="204"/>
      <c r="BI97" s="205"/>
      <c r="BJ97" s="204"/>
      <c r="BK97" s="204"/>
      <c r="BL97" s="204"/>
      <c r="BM97" s="204"/>
      <c r="BN97" s="204"/>
      <c r="BO97" s="205"/>
      <c r="BP97" s="204"/>
      <c r="BQ97" s="204"/>
      <c r="BR97" s="204"/>
      <c r="BS97" s="204"/>
      <c r="BT97" s="204"/>
      <c r="BU97" s="204"/>
      <c r="BV97" s="204"/>
      <c r="BW97" s="204"/>
      <c r="BX97" s="204"/>
      <c r="BY97" s="204"/>
      <c r="BZ97" s="204"/>
      <c r="CA97" s="204"/>
      <c r="CB97" s="204"/>
    </row>
    <row r="98" spans="1:80" x14ac:dyDescent="0.45">
      <c r="A98" s="213" t="s">
        <v>345</v>
      </c>
      <c r="B98" s="4" t="s">
        <v>17</v>
      </c>
      <c r="C98" s="9" t="s">
        <v>452</v>
      </c>
      <c r="D98" s="9" t="s">
        <v>21</v>
      </c>
      <c r="E98" s="5" t="s">
        <v>29</v>
      </c>
      <c r="F98" s="5" t="s">
        <v>74</v>
      </c>
      <c r="G98" s="5" t="s">
        <v>274</v>
      </c>
      <c r="H98" s="5" t="s">
        <v>40</v>
      </c>
      <c r="I98" s="315" t="s">
        <v>472</v>
      </c>
      <c r="J98" s="33"/>
      <c r="K98" s="33"/>
      <c r="L98" s="33"/>
      <c r="M98" s="33"/>
      <c r="N98" s="140"/>
      <c r="O98" s="140"/>
      <c r="P98" s="140"/>
      <c r="Q98" s="315" t="s">
        <v>482</v>
      </c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  <c r="BG98" s="204"/>
      <c r="BH98" s="204"/>
      <c r="BI98" s="205"/>
      <c r="BJ98" s="204"/>
      <c r="BK98" s="204"/>
      <c r="BL98" s="204"/>
      <c r="BM98" s="204"/>
      <c r="BN98" s="204"/>
      <c r="BO98" s="205"/>
      <c r="BP98" s="204"/>
      <c r="BQ98" s="204"/>
      <c r="BR98" s="204"/>
      <c r="BS98" s="204"/>
      <c r="BT98" s="204"/>
      <c r="BU98" s="204"/>
      <c r="BV98" s="204"/>
      <c r="BW98" s="204"/>
      <c r="BX98" s="204"/>
      <c r="BY98" s="204"/>
      <c r="BZ98" s="204"/>
      <c r="CA98" s="204"/>
      <c r="CB98" s="204"/>
    </row>
    <row r="99" spans="1:80" x14ac:dyDescent="0.45">
      <c r="A99" s="213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15" t="s">
        <v>472</v>
      </c>
      <c r="J99" s="33"/>
      <c r="K99" s="33"/>
      <c r="L99" s="33"/>
      <c r="M99" s="33"/>
      <c r="N99" s="140"/>
      <c r="O99" s="140"/>
      <c r="P99" s="140"/>
      <c r="Q99" s="315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5"/>
      <c r="BJ99" s="204"/>
      <c r="BK99" s="204"/>
      <c r="BL99" s="204"/>
      <c r="BM99" s="204"/>
      <c r="BN99" s="204"/>
      <c r="BO99" s="205"/>
      <c r="BP99" s="204"/>
      <c r="BQ99" s="204"/>
      <c r="BR99" s="204"/>
      <c r="BS99" s="204"/>
      <c r="BT99" s="204"/>
      <c r="BU99" s="204"/>
      <c r="BV99" s="204"/>
      <c r="BW99" s="204"/>
      <c r="BX99" s="204"/>
      <c r="BY99" s="204"/>
      <c r="BZ99" s="204"/>
      <c r="CA99" s="204"/>
      <c r="CB99" s="204"/>
    </row>
    <row r="100" spans="1:80" x14ac:dyDescent="0.45">
      <c r="A100" s="213" t="s">
        <v>345</v>
      </c>
      <c r="B100" s="4" t="s">
        <v>17</v>
      </c>
      <c r="C100" s="9" t="s">
        <v>452</v>
      </c>
      <c r="D100" s="9" t="s">
        <v>21</v>
      </c>
      <c r="E100" s="5" t="s">
        <v>29</v>
      </c>
      <c r="F100" s="5" t="s">
        <v>76</v>
      </c>
      <c r="G100" s="5" t="s">
        <v>274</v>
      </c>
      <c r="H100" s="5" t="s">
        <v>40</v>
      </c>
      <c r="I100" s="315" t="s">
        <v>472</v>
      </c>
      <c r="J100" s="33"/>
      <c r="K100" s="33"/>
      <c r="L100" s="33"/>
      <c r="M100" s="33"/>
      <c r="N100" s="140"/>
      <c r="O100" s="140"/>
      <c r="P100" s="140"/>
      <c r="Q100" s="315" t="s">
        <v>479</v>
      </c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  <c r="BG100" s="204"/>
      <c r="BH100" s="204"/>
      <c r="BI100" s="205"/>
      <c r="BJ100" s="204"/>
      <c r="BK100" s="204"/>
      <c r="BL100" s="204"/>
      <c r="BM100" s="204"/>
      <c r="BN100" s="204"/>
      <c r="BO100" s="205"/>
      <c r="BP100" s="204"/>
      <c r="BQ100" s="204"/>
      <c r="BR100" s="204"/>
      <c r="BS100" s="204"/>
      <c r="BT100" s="204"/>
      <c r="BU100" s="204"/>
      <c r="BV100" s="204"/>
      <c r="BW100" s="204"/>
      <c r="BX100" s="204"/>
      <c r="BY100" s="204"/>
      <c r="BZ100" s="204"/>
      <c r="CA100" s="204"/>
      <c r="CB100" s="204"/>
    </row>
    <row r="101" spans="1:80" x14ac:dyDescent="0.45">
      <c r="A101" s="213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15" t="s">
        <v>472</v>
      </c>
      <c r="J101" s="33"/>
      <c r="K101" s="33"/>
      <c r="L101" s="33"/>
      <c r="M101" s="33"/>
      <c r="N101" s="140"/>
      <c r="O101" s="140"/>
      <c r="P101" s="140"/>
      <c r="Q101" s="315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  <c r="BG101" s="204"/>
      <c r="BH101" s="204"/>
      <c r="BI101" s="205"/>
      <c r="BJ101" s="204"/>
      <c r="BK101" s="204"/>
      <c r="BL101" s="204"/>
      <c r="BM101" s="204"/>
      <c r="BN101" s="204"/>
      <c r="BO101" s="205"/>
      <c r="BP101" s="204"/>
      <c r="BQ101" s="204"/>
      <c r="BR101" s="204"/>
      <c r="BS101" s="204"/>
      <c r="BT101" s="204"/>
      <c r="BU101" s="204"/>
      <c r="BV101" s="204"/>
      <c r="BW101" s="204"/>
      <c r="BX101" s="204"/>
      <c r="BY101" s="204"/>
      <c r="BZ101" s="204"/>
      <c r="CA101" s="204"/>
      <c r="CB101" s="204"/>
    </row>
    <row r="102" spans="1:80" x14ac:dyDescent="0.45">
      <c r="A102" s="213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15" t="s">
        <v>472</v>
      </c>
      <c r="J102" s="33"/>
      <c r="K102" s="33"/>
      <c r="L102" s="33"/>
      <c r="M102" s="33"/>
      <c r="N102" s="140"/>
      <c r="O102" s="140"/>
      <c r="P102" s="140"/>
      <c r="Q102" s="315" t="s">
        <v>432</v>
      </c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  <c r="BG102" s="204"/>
      <c r="BH102" s="204"/>
      <c r="BI102" s="205"/>
      <c r="BJ102" s="204"/>
      <c r="BK102" s="204"/>
      <c r="BL102" s="204"/>
      <c r="BM102" s="204"/>
      <c r="BN102" s="204"/>
      <c r="BO102" s="205"/>
      <c r="BP102" s="204"/>
      <c r="BQ102" s="204"/>
      <c r="BR102" s="204"/>
      <c r="BS102" s="204"/>
      <c r="BT102" s="204"/>
      <c r="BU102" s="204"/>
      <c r="BV102" s="204"/>
      <c r="BW102" s="204"/>
      <c r="BX102" s="204"/>
      <c r="BY102" s="204"/>
      <c r="BZ102" s="204"/>
      <c r="CA102" s="204"/>
      <c r="CB102" s="204"/>
    </row>
    <row r="103" spans="1:80" x14ac:dyDescent="0.45">
      <c r="A103" s="213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15" t="s">
        <v>472</v>
      </c>
      <c r="J103" s="33"/>
      <c r="K103" s="33"/>
      <c r="L103" s="33"/>
      <c r="M103" s="33"/>
      <c r="N103" s="140"/>
      <c r="O103" s="140"/>
      <c r="P103" s="140"/>
      <c r="Q103" s="315" t="s">
        <v>433</v>
      </c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  <c r="BG103" s="204"/>
      <c r="BH103" s="204"/>
      <c r="BI103" s="205"/>
      <c r="BJ103" s="204"/>
      <c r="BK103" s="204"/>
      <c r="BL103" s="204"/>
      <c r="BM103" s="204"/>
      <c r="BN103" s="204"/>
      <c r="BO103" s="205"/>
      <c r="BP103" s="204"/>
      <c r="BQ103" s="204"/>
      <c r="BR103" s="204"/>
      <c r="BS103" s="204"/>
      <c r="BT103" s="204"/>
      <c r="BU103" s="204"/>
      <c r="BV103" s="204"/>
      <c r="BW103" s="204"/>
      <c r="BX103" s="204"/>
      <c r="BY103" s="204"/>
      <c r="BZ103" s="204"/>
      <c r="CA103" s="204"/>
      <c r="CB103" s="204"/>
    </row>
    <row r="104" spans="1:80" x14ac:dyDescent="0.45">
      <c r="A104" s="213" t="s">
        <v>345</v>
      </c>
      <c r="B104" s="4" t="s">
        <v>17</v>
      </c>
      <c r="C104" s="9" t="s">
        <v>452</v>
      </c>
      <c r="D104" s="9" t="s">
        <v>21</v>
      </c>
      <c r="E104" s="5" t="s">
        <v>29</v>
      </c>
      <c r="F104" s="5" t="s">
        <v>66</v>
      </c>
      <c r="G104" s="5" t="s">
        <v>274</v>
      </c>
      <c r="H104" s="5" t="s">
        <v>40</v>
      </c>
      <c r="I104" s="315" t="s">
        <v>471</v>
      </c>
      <c r="J104" s="33"/>
      <c r="K104" s="33"/>
      <c r="L104" s="33"/>
      <c r="M104" s="33"/>
      <c r="N104" s="140"/>
      <c r="O104" s="140"/>
      <c r="P104" s="140"/>
      <c r="Q104" s="315" t="s">
        <v>479</v>
      </c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  <c r="BG104" s="204"/>
      <c r="BH104" s="204"/>
      <c r="BI104" s="205"/>
      <c r="BJ104" s="204"/>
      <c r="BK104" s="204"/>
      <c r="BL104" s="204"/>
      <c r="BM104" s="204"/>
      <c r="BN104" s="204"/>
      <c r="BO104" s="205"/>
      <c r="BP104" s="204"/>
      <c r="BQ104" s="204"/>
      <c r="BR104" s="204"/>
      <c r="BS104" s="204"/>
      <c r="BT104" s="204"/>
      <c r="BU104" s="204"/>
      <c r="BV104" s="204"/>
      <c r="BW104" s="204"/>
      <c r="BX104" s="204"/>
      <c r="BY104" s="204"/>
      <c r="BZ104" s="204"/>
      <c r="CA104" s="204"/>
      <c r="CB104" s="204"/>
    </row>
    <row r="105" spans="1:80" x14ac:dyDescent="0.45">
      <c r="A105" s="213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15" t="s">
        <v>472</v>
      </c>
      <c r="J105" s="33"/>
      <c r="K105" s="33"/>
      <c r="L105" s="33"/>
      <c r="M105" s="33"/>
      <c r="N105" s="140"/>
      <c r="O105" s="140"/>
      <c r="P105" s="140"/>
      <c r="Q105" s="315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  <c r="BG105" s="204"/>
      <c r="BH105" s="204"/>
      <c r="BI105" s="205"/>
      <c r="BJ105" s="204"/>
      <c r="BK105" s="204"/>
      <c r="BL105" s="204"/>
      <c r="BM105" s="204"/>
      <c r="BN105" s="204"/>
      <c r="BO105" s="205"/>
      <c r="BP105" s="204"/>
      <c r="BQ105" s="204"/>
      <c r="BR105" s="204"/>
      <c r="BS105" s="204"/>
      <c r="BT105" s="204"/>
      <c r="BU105" s="204"/>
      <c r="BV105" s="204"/>
      <c r="BW105" s="204"/>
      <c r="BX105" s="204"/>
      <c r="BY105" s="204"/>
      <c r="BZ105" s="204"/>
      <c r="CA105" s="204"/>
      <c r="CB105" s="204"/>
    </row>
    <row r="106" spans="1:80" x14ac:dyDescent="0.45">
      <c r="A106" s="213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15" t="s">
        <v>472</v>
      </c>
      <c r="J106" s="33"/>
      <c r="K106" s="33"/>
      <c r="L106" s="33"/>
      <c r="M106" s="33"/>
      <c r="N106" s="140"/>
      <c r="O106" s="140"/>
      <c r="P106" s="140"/>
      <c r="Q106" s="315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  <c r="BG106" s="204"/>
      <c r="BH106" s="204"/>
      <c r="BI106" s="205"/>
      <c r="BJ106" s="204"/>
      <c r="BK106" s="204"/>
      <c r="BL106" s="204"/>
      <c r="BM106" s="204"/>
      <c r="BN106" s="204"/>
      <c r="BO106" s="205"/>
      <c r="BP106" s="204"/>
      <c r="BQ106" s="204"/>
      <c r="BR106" s="204"/>
      <c r="BS106" s="204"/>
      <c r="BT106" s="204"/>
      <c r="BU106" s="204"/>
      <c r="BV106" s="204"/>
      <c r="BW106" s="204"/>
      <c r="BX106" s="204"/>
      <c r="BY106" s="204"/>
      <c r="BZ106" s="204"/>
      <c r="CA106" s="204"/>
      <c r="CB106" s="204"/>
    </row>
    <row r="107" spans="1:80" x14ac:dyDescent="0.45">
      <c r="A107" s="213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15" t="s">
        <v>472</v>
      </c>
      <c r="J107" s="33"/>
      <c r="K107" s="33"/>
      <c r="L107" s="33"/>
      <c r="M107" s="33"/>
      <c r="N107" s="140"/>
      <c r="O107" s="140"/>
      <c r="P107" s="140"/>
      <c r="Q107" s="315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5"/>
      <c r="BJ107" s="204"/>
      <c r="BK107" s="204"/>
      <c r="BL107" s="204"/>
      <c r="BM107" s="204"/>
      <c r="BN107" s="204"/>
      <c r="BO107" s="205"/>
      <c r="BP107" s="204"/>
      <c r="BQ107" s="204"/>
      <c r="BR107" s="204"/>
      <c r="BS107" s="204"/>
      <c r="BT107" s="204"/>
      <c r="BU107" s="204"/>
      <c r="BV107" s="204"/>
      <c r="BW107" s="204"/>
      <c r="BX107" s="204"/>
      <c r="BY107" s="204"/>
      <c r="BZ107" s="204"/>
      <c r="CA107" s="204"/>
      <c r="CB107" s="204"/>
    </row>
    <row r="108" spans="1:80" x14ac:dyDescent="0.45">
      <c r="A108" s="213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15" t="s">
        <v>472</v>
      </c>
      <c r="J108" s="33"/>
      <c r="K108" s="33"/>
      <c r="L108" s="33"/>
      <c r="M108" s="33"/>
      <c r="N108" s="140"/>
      <c r="O108" s="140"/>
      <c r="P108" s="140"/>
      <c r="Q108" s="315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  <c r="BG108" s="204"/>
      <c r="BH108" s="204"/>
      <c r="BI108" s="205"/>
      <c r="BJ108" s="204"/>
      <c r="BK108" s="204"/>
      <c r="BL108" s="204"/>
      <c r="BM108" s="204"/>
      <c r="BN108" s="204"/>
      <c r="BO108" s="205"/>
      <c r="BP108" s="204"/>
      <c r="BQ108" s="204"/>
      <c r="BR108" s="204"/>
      <c r="BS108" s="204"/>
      <c r="BT108" s="204"/>
      <c r="BU108" s="204"/>
      <c r="BV108" s="204"/>
      <c r="BW108" s="204"/>
      <c r="BX108" s="204"/>
      <c r="BY108" s="204"/>
      <c r="BZ108" s="204"/>
      <c r="CA108" s="204"/>
      <c r="CB108" s="204"/>
    </row>
    <row r="109" spans="1:80" x14ac:dyDescent="0.45">
      <c r="A109" s="213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15" t="s">
        <v>472</v>
      </c>
      <c r="J109" s="33"/>
      <c r="K109" s="33"/>
      <c r="L109" s="33"/>
      <c r="M109" s="33"/>
      <c r="N109" s="140"/>
      <c r="O109" s="140"/>
      <c r="P109" s="140"/>
      <c r="Q109" s="315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  <c r="BG109" s="204"/>
      <c r="BH109" s="204"/>
      <c r="BI109" s="205"/>
      <c r="BJ109" s="204"/>
      <c r="BK109" s="204"/>
      <c r="BL109" s="204"/>
      <c r="BM109" s="204"/>
      <c r="BN109" s="204"/>
      <c r="BO109" s="205"/>
      <c r="BP109" s="204"/>
      <c r="BQ109" s="204"/>
      <c r="BR109" s="204"/>
      <c r="BS109" s="204"/>
      <c r="BT109" s="204"/>
      <c r="BU109" s="204"/>
      <c r="BV109" s="204"/>
      <c r="BW109" s="204"/>
      <c r="BX109" s="204"/>
      <c r="BY109" s="204"/>
      <c r="BZ109" s="204"/>
      <c r="CA109" s="204"/>
      <c r="CB109" s="204"/>
    </row>
    <row r="110" spans="1:80" x14ac:dyDescent="0.45">
      <c r="A110" s="213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15" t="s">
        <v>472</v>
      </c>
      <c r="J110" s="33"/>
      <c r="K110" s="33"/>
      <c r="L110" s="33"/>
      <c r="M110" s="33"/>
      <c r="N110" s="140"/>
      <c r="O110" s="140"/>
      <c r="P110" s="140"/>
      <c r="Q110" s="315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  <c r="BG110" s="204"/>
      <c r="BH110" s="204"/>
      <c r="BI110" s="205"/>
      <c r="BJ110" s="204"/>
      <c r="BK110" s="204"/>
      <c r="BL110" s="204"/>
      <c r="BM110" s="204"/>
      <c r="BN110" s="204"/>
      <c r="BO110" s="205"/>
      <c r="BP110" s="204"/>
      <c r="BQ110" s="204"/>
      <c r="BR110" s="204"/>
      <c r="BS110" s="204"/>
      <c r="BT110" s="204"/>
      <c r="BU110" s="204"/>
      <c r="BV110" s="204"/>
      <c r="BW110" s="204"/>
      <c r="BX110" s="204"/>
      <c r="BY110" s="204"/>
      <c r="BZ110" s="204"/>
      <c r="CA110" s="204"/>
      <c r="CB110" s="204"/>
    </row>
    <row r="111" spans="1:80" x14ac:dyDescent="0.45">
      <c r="A111" s="213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15" t="s">
        <v>472</v>
      </c>
      <c r="J111" s="33"/>
      <c r="K111" s="33"/>
      <c r="L111" s="33"/>
      <c r="M111" s="33"/>
      <c r="N111" s="140"/>
      <c r="O111" s="140"/>
      <c r="P111" s="140"/>
      <c r="Q111" s="315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  <c r="BG111" s="204"/>
      <c r="BH111" s="204"/>
      <c r="BI111" s="205"/>
      <c r="BJ111" s="204"/>
      <c r="BK111" s="204"/>
      <c r="BL111" s="204"/>
      <c r="BM111" s="204"/>
      <c r="BN111" s="204"/>
      <c r="BO111" s="205"/>
      <c r="BP111" s="204"/>
      <c r="BQ111" s="204"/>
      <c r="BR111" s="204"/>
      <c r="BS111" s="204"/>
      <c r="BT111" s="204"/>
      <c r="BU111" s="204"/>
      <c r="BV111" s="204"/>
      <c r="BW111" s="204"/>
      <c r="BX111" s="204"/>
      <c r="BY111" s="204"/>
      <c r="BZ111" s="204"/>
      <c r="CA111" s="204"/>
      <c r="CB111" s="204"/>
    </row>
    <row r="112" spans="1:80" x14ac:dyDescent="0.45">
      <c r="A112" s="213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15" t="s">
        <v>472</v>
      </c>
      <c r="J112" s="33"/>
      <c r="K112" s="33"/>
      <c r="L112" s="33"/>
      <c r="M112" s="33"/>
      <c r="N112" s="140"/>
      <c r="O112" s="140"/>
      <c r="P112" s="140"/>
      <c r="Q112" s="315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  <c r="BG112" s="204"/>
      <c r="BH112" s="204"/>
      <c r="BI112" s="205"/>
      <c r="BJ112" s="204"/>
      <c r="BK112" s="204"/>
      <c r="BL112" s="204"/>
      <c r="BM112" s="204"/>
      <c r="BN112" s="204"/>
      <c r="BO112" s="205"/>
      <c r="BP112" s="204"/>
      <c r="BQ112" s="204"/>
      <c r="BR112" s="204"/>
      <c r="BS112" s="204"/>
      <c r="BT112" s="204"/>
      <c r="BU112" s="204"/>
      <c r="BV112" s="204"/>
      <c r="BW112" s="204"/>
      <c r="BX112" s="204"/>
      <c r="BY112" s="204"/>
      <c r="BZ112" s="204"/>
      <c r="CA112" s="204"/>
      <c r="CB112" s="204"/>
    </row>
    <row r="113" spans="1:80" x14ac:dyDescent="0.45">
      <c r="A113" s="213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15" t="s">
        <v>472</v>
      </c>
      <c r="J113" s="33"/>
      <c r="K113" s="33"/>
      <c r="L113" s="33"/>
      <c r="M113" s="33"/>
      <c r="N113" s="140"/>
      <c r="O113" s="140"/>
      <c r="P113" s="140"/>
      <c r="Q113" s="315" t="s">
        <v>483</v>
      </c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  <c r="BG113" s="204"/>
      <c r="BH113" s="204"/>
      <c r="BI113" s="205"/>
      <c r="BJ113" s="204"/>
      <c r="BK113" s="204"/>
      <c r="BL113" s="204"/>
      <c r="BM113" s="204"/>
      <c r="BN113" s="204"/>
      <c r="BO113" s="205"/>
      <c r="BP113" s="204"/>
      <c r="BQ113" s="204"/>
      <c r="BR113" s="204"/>
      <c r="BS113" s="204"/>
      <c r="BT113" s="204"/>
      <c r="BU113" s="204"/>
      <c r="BV113" s="204"/>
      <c r="BW113" s="204"/>
      <c r="BX113" s="204"/>
      <c r="BY113" s="204"/>
      <c r="BZ113" s="204"/>
      <c r="CA113" s="204"/>
      <c r="CB113" s="204"/>
    </row>
    <row r="114" spans="1:80" x14ac:dyDescent="0.45">
      <c r="A114" s="213" t="s">
        <v>345</v>
      </c>
      <c r="B114" s="4" t="s">
        <v>17</v>
      </c>
      <c r="C114" s="9" t="s">
        <v>429</v>
      </c>
      <c r="D114" s="9" t="s">
        <v>21</v>
      </c>
      <c r="E114" s="5" t="s">
        <v>28</v>
      </c>
      <c r="F114" s="5" t="s">
        <v>430</v>
      </c>
      <c r="G114" s="5" t="s">
        <v>274</v>
      </c>
      <c r="H114" s="5" t="s">
        <v>274</v>
      </c>
      <c r="I114" s="331" t="s">
        <v>15</v>
      </c>
      <c r="J114" s="33"/>
      <c r="K114" s="33"/>
      <c r="L114" s="33"/>
      <c r="M114" s="33"/>
      <c r="N114" s="140"/>
      <c r="O114" s="140"/>
      <c r="P114" s="140"/>
      <c r="Q114" s="315" t="s">
        <v>445</v>
      </c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  <c r="BF114" s="204"/>
      <c r="BG114" s="204"/>
      <c r="BH114" s="204"/>
      <c r="BI114" s="205"/>
      <c r="BJ114" s="204"/>
      <c r="BK114" s="204"/>
      <c r="BL114" s="204"/>
      <c r="BM114" s="204"/>
      <c r="BN114" s="204"/>
      <c r="BO114" s="205"/>
      <c r="BP114" s="204"/>
      <c r="BQ114" s="204"/>
      <c r="BR114" s="204"/>
      <c r="BS114" s="204"/>
      <c r="BT114" s="204"/>
      <c r="BU114" s="204"/>
      <c r="BV114" s="204"/>
      <c r="BW114" s="204"/>
      <c r="BX114" s="204"/>
      <c r="BY114" s="204"/>
      <c r="BZ114" s="204"/>
      <c r="CA114" s="204"/>
      <c r="CB114" s="204"/>
    </row>
    <row r="115" spans="1:80" x14ac:dyDescent="0.45">
      <c r="A115" s="213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5" t="s">
        <v>118</v>
      </c>
      <c r="G115" s="5" t="s">
        <v>274</v>
      </c>
      <c r="H115" s="5" t="s">
        <v>274</v>
      </c>
      <c r="I115" s="331" t="s">
        <v>472</v>
      </c>
      <c r="J115" s="33"/>
      <c r="K115" s="33"/>
      <c r="L115" s="33"/>
      <c r="M115" s="33"/>
      <c r="N115" s="140"/>
      <c r="O115" s="140"/>
      <c r="P115" s="140"/>
      <c r="Q115" s="315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5"/>
      <c r="BJ115" s="204"/>
      <c r="BK115" s="204"/>
      <c r="BL115" s="204"/>
      <c r="BM115" s="204"/>
      <c r="BN115" s="204"/>
      <c r="BO115" s="205"/>
      <c r="BP115" s="204"/>
      <c r="BQ115" s="204"/>
      <c r="BR115" s="204"/>
      <c r="BS115" s="204"/>
      <c r="BT115" s="204"/>
      <c r="BU115" s="204"/>
      <c r="BV115" s="204"/>
      <c r="BW115" s="204"/>
      <c r="BX115" s="204"/>
      <c r="BY115" s="204"/>
      <c r="BZ115" s="204"/>
      <c r="CA115" s="204"/>
      <c r="CB115" s="204"/>
    </row>
    <row r="116" spans="1:80" x14ac:dyDescent="0.45">
      <c r="A116" s="213" t="s">
        <v>345</v>
      </c>
      <c r="B116" s="4" t="s">
        <v>17</v>
      </c>
      <c r="C116" s="9" t="s">
        <v>444</v>
      </c>
      <c r="D116" s="9" t="s">
        <v>21</v>
      </c>
      <c r="E116" s="5" t="s">
        <v>108</v>
      </c>
      <c r="F116" s="5" t="s">
        <v>116</v>
      </c>
      <c r="G116" s="5" t="s">
        <v>346</v>
      </c>
      <c r="H116" s="332" t="s">
        <v>40</v>
      </c>
      <c r="I116" s="331" t="s">
        <v>472</v>
      </c>
      <c r="J116" s="33"/>
      <c r="K116" s="33"/>
      <c r="L116" s="33"/>
      <c r="M116" s="33"/>
      <c r="N116" s="140"/>
      <c r="O116" s="140"/>
      <c r="P116" s="140"/>
      <c r="Q116" s="315" t="s">
        <v>484</v>
      </c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  <c r="BF116" s="204"/>
      <c r="BG116" s="204"/>
      <c r="BH116" s="204"/>
      <c r="BI116" s="205"/>
      <c r="BJ116" s="204"/>
      <c r="BK116" s="204"/>
      <c r="BL116" s="204"/>
      <c r="BM116" s="204"/>
      <c r="BN116" s="204"/>
      <c r="BO116" s="205"/>
      <c r="BP116" s="204"/>
      <c r="BQ116" s="204"/>
      <c r="BR116" s="204"/>
      <c r="BS116" s="204"/>
      <c r="BT116" s="204"/>
      <c r="BU116" s="204"/>
      <c r="BV116" s="204"/>
      <c r="BW116" s="204"/>
      <c r="BX116" s="204"/>
      <c r="BY116" s="204"/>
      <c r="BZ116" s="204"/>
      <c r="CA116" s="204"/>
      <c r="CB116" s="204"/>
    </row>
    <row r="117" spans="1:80" x14ac:dyDescent="0.45">
      <c r="A117" s="213" t="s">
        <v>345</v>
      </c>
      <c r="B117" s="4" t="s">
        <v>17</v>
      </c>
      <c r="C117" s="9" t="s">
        <v>380</v>
      </c>
      <c r="D117" s="9" t="s">
        <v>21</v>
      </c>
      <c r="E117" s="5" t="s">
        <v>29</v>
      </c>
      <c r="F117" s="5" t="s">
        <v>64</v>
      </c>
      <c r="G117" s="5" t="s">
        <v>346</v>
      </c>
      <c r="H117" s="332" t="s">
        <v>346</v>
      </c>
      <c r="I117" s="315" t="s">
        <v>471</v>
      </c>
      <c r="J117" s="33"/>
      <c r="K117" s="33"/>
      <c r="L117" s="33"/>
      <c r="M117" s="33"/>
      <c r="N117" s="140"/>
      <c r="O117" s="140"/>
      <c r="P117" s="140"/>
      <c r="Q117" s="315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  <c r="BF117" s="204"/>
      <c r="BG117" s="204"/>
      <c r="BH117" s="204"/>
      <c r="BI117" s="205"/>
      <c r="BJ117" s="204"/>
      <c r="BK117" s="204"/>
      <c r="BL117" s="204"/>
      <c r="BM117" s="204"/>
      <c r="BN117" s="204"/>
      <c r="BO117" s="205"/>
      <c r="BP117" s="204"/>
      <c r="BQ117" s="204"/>
      <c r="BR117" s="204"/>
      <c r="BS117" s="204"/>
      <c r="BT117" s="204"/>
      <c r="BU117" s="204"/>
      <c r="BV117" s="204"/>
      <c r="BW117" s="204"/>
      <c r="BX117" s="204"/>
      <c r="BY117" s="204"/>
      <c r="BZ117" s="204"/>
      <c r="CA117" s="204"/>
      <c r="CB117" s="204"/>
    </row>
    <row r="118" spans="1:80" x14ac:dyDescent="0.45">
      <c r="A118" s="213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5" t="s">
        <v>58</v>
      </c>
      <c r="G118" s="5" t="s">
        <v>346</v>
      </c>
      <c r="H118" s="5" t="s">
        <v>346</v>
      </c>
      <c r="I118" s="315" t="s">
        <v>472</v>
      </c>
      <c r="J118" s="33"/>
      <c r="K118" s="33"/>
      <c r="L118" s="33"/>
      <c r="M118" s="33"/>
      <c r="N118" s="140"/>
      <c r="O118" s="140"/>
      <c r="P118" s="140"/>
      <c r="Q118" s="315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  <c r="BF118" s="204"/>
      <c r="BG118" s="204"/>
      <c r="BH118" s="204"/>
      <c r="BI118" s="205"/>
      <c r="BJ118" s="204"/>
      <c r="BK118" s="204"/>
      <c r="BL118" s="204"/>
      <c r="BM118" s="204"/>
      <c r="BN118" s="204"/>
      <c r="BO118" s="205"/>
      <c r="BP118" s="204"/>
      <c r="BQ118" s="204"/>
      <c r="BR118" s="204"/>
      <c r="BS118" s="204"/>
      <c r="BT118" s="204"/>
      <c r="BU118" s="204"/>
      <c r="BV118" s="204"/>
      <c r="BW118" s="204"/>
      <c r="BX118" s="204"/>
      <c r="BY118" s="204"/>
      <c r="BZ118" s="204"/>
      <c r="CA118" s="204"/>
      <c r="CB118" s="204"/>
    </row>
    <row r="119" spans="1:80" x14ac:dyDescent="0.45">
      <c r="A119" s="213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5" t="s">
        <v>59</v>
      </c>
      <c r="G119" s="5" t="s">
        <v>346</v>
      </c>
      <c r="H119" s="5" t="s">
        <v>346</v>
      </c>
      <c r="I119" s="315" t="s">
        <v>472</v>
      </c>
      <c r="J119" s="33"/>
      <c r="K119" s="33"/>
      <c r="L119" s="33"/>
      <c r="M119" s="33"/>
      <c r="N119" s="140"/>
      <c r="O119" s="140"/>
      <c r="P119" s="140"/>
      <c r="Q119" s="315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  <c r="BF119" s="204"/>
      <c r="BG119" s="204"/>
      <c r="BH119" s="204"/>
      <c r="BI119" s="205"/>
      <c r="BJ119" s="204"/>
      <c r="BK119" s="204"/>
      <c r="BL119" s="204"/>
      <c r="BM119" s="204"/>
      <c r="BN119" s="204"/>
      <c r="BO119" s="205"/>
      <c r="BP119" s="204"/>
      <c r="BQ119" s="204"/>
      <c r="BR119" s="204"/>
      <c r="BS119" s="204"/>
      <c r="BT119" s="204"/>
      <c r="BU119" s="204"/>
      <c r="BV119" s="204"/>
      <c r="BW119" s="204"/>
      <c r="BX119" s="204"/>
      <c r="BY119" s="204"/>
      <c r="BZ119" s="204"/>
      <c r="CA119" s="204"/>
      <c r="CB119" s="204"/>
    </row>
    <row r="120" spans="1:80" x14ac:dyDescent="0.45">
      <c r="A120" s="213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15" t="s">
        <v>472</v>
      </c>
      <c r="J120" s="33"/>
      <c r="K120" s="33"/>
      <c r="L120" s="33"/>
      <c r="M120" s="33"/>
      <c r="N120" s="140"/>
      <c r="O120" s="140"/>
      <c r="P120" s="140"/>
      <c r="Q120" s="315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  <c r="BF120" s="204"/>
      <c r="BG120" s="204"/>
      <c r="BH120" s="204"/>
      <c r="BI120" s="205"/>
      <c r="BJ120" s="204"/>
      <c r="BK120" s="204"/>
      <c r="BL120" s="204"/>
      <c r="BM120" s="204"/>
      <c r="BN120" s="204"/>
      <c r="BO120" s="205"/>
      <c r="BP120" s="204"/>
      <c r="BQ120" s="204"/>
      <c r="BR120" s="204"/>
      <c r="BS120" s="204"/>
      <c r="BT120" s="204"/>
      <c r="BU120" s="204"/>
      <c r="BV120" s="204"/>
      <c r="BW120" s="204"/>
      <c r="BX120" s="204"/>
      <c r="BY120" s="204"/>
      <c r="BZ120" s="204"/>
      <c r="CA120" s="204"/>
      <c r="CB120" s="204"/>
    </row>
    <row r="121" spans="1:80" x14ac:dyDescent="0.45">
      <c r="A121" s="213" t="s">
        <v>345</v>
      </c>
      <c r="B121" s="4" t="s">
        <v>17</v>
      </c>
      <c r="C121" s="9" t="s">
        <v>429</v>
      </c>
      <c r="D121" s="9" t="s">
        <v>21</v>
      </c>
      <c r="E121" s="5" t="s">
        <v>275</v>
      </c>
      <c r="F121" s="5" t="s">
        <v>117</v>
      </c>
      <c r="G121" s="5" t="s">
        <v>346</v>
      </c>
      <c r="H121" s="332" t="s">
        <v>40</v>
      </c>
      <c r="I121" s="315" t="s">
        <v>472</v>
      </c>
      <c r="J121" s="33"/>
      <c r="K121" s="33"/>
      <c r="L121" s="33"/>
      <c r="M121" s="33"/>
      <c r="N121" s="140"/>
      <c r="O121" s="140"/>
      <c r="P121" s="140"/>
      <c r="Q121" s="315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  <c r="BF121" s="204"/>
      <c r="BG121" s="204"/>
      <c r="BH121" s="204"/>
      <c r="BI121" s="205"/>
      <c r="BJ121" s="204"/>
      <c r="BK121" s="204"/>
      <c r="BL121" s="204"/>
      <c r="BM121" s="204"/>
      <c r="BN121" s="204"/>
      <c r="BO121" s="205"/>
      <c r="BP121" s="204"/>
      <c r="BQ121" s="204"/>
      <c r="BR121" s="204"/>
      <c r="BS121" s="204"/>
      <c r="BT121" s="204"/>
      <c r="BU121" s="204"/>
      <c r="BV121" s="204"/>
      <c r="BW121" s="204"/>
      <c r="BX121" s="204"/>
      <c r="BY121" s="204"/>
      <c r="BZ121" s="204"/>
      <c r="CA121" s="204"/>
      <c r="CB121" s="204"/>
    </row>
    <row r="122" spans="1:80" x14ac:dyDescent="0.45">
      <c r="A122" s="213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5" t="s">
        <v>51</v>
      </c>
      <c r="G122" s="5" t="s">
        <v>346</v>
      </c>
      <c r="H122" s="332" t="s">
        <v>40</v>
      </c>
      <c r="I122" s="315" t="s">
        <v>472</v>
      </c>
      <c r="J122" s="33"/>
      <c r="K122" s="33"/>
      <c r="L122" s="33"/>
      <c r="M122" s="33"/>
      <c r="N122" s="140"/>
      <c r="O122" s="140"/>
      <c r="P122" s="140"/>
      <c r="Q122" s="322" t="s">
        <v>450</v>
      </c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  <c r="BF122" s="204"/>
      <c r="BG122" s="204"/>
      <c r="BH122" s="204"/>
      <c r="BI122" s="205"/>
      <c r="BJ122" s="204"/>
      <c r="BK122" s="204"/>
      <c r="BL122" s="204"/>
      <c r="BM122" s="204"/>
      <c r="BN122" s="204"/>
      <c r="BO122" s="205"/>
      <c r="BP122" s="204"/>
      <c r="BQ122" s="204"/>
      <c r="BR122" s="204"/>
      <c r="BS122" s="204"/>
      <c r="BT122" s="204"/>
      <c r="BU122" s="204"/>
      <c r="BV122" s="204"/>
      <c r="BW122" s="204"/>
      <c r="BX122" s="204"/>
      <c r="BY122" s="204"/>
      <c r="BZ122" s="204"/>
      <c r="CA122" s="204"/>
      <c r="CB122" s="204"/>
    </row>
    <row r="123" spans="1:80" x14ac:dyDescent="0.45">
      <c r="A123" s="213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5" t="s">
        <v>52</v>
      </c>
      <c r="G123" s="5" t="s">
        <v>346</v>
      </c>
      <c r="H123" s="332" t="s">
        <v>40</v>
      </c>
      <c r="I123" s="315" t="s">
        <v>472</v>
      </c>
      <c r="J123" s="33"/>
      <c r="K123" s="33"/>
      <c r="L123" s="33"/>
      <c r="M123" s="33"/>
      <c r="N123" s="140"/>
      <c r="O123" s="140"/>
      <c r="P123" s="140"/>
      <c r="Q123" s="322" t="s">
        <v>450</v>
      </c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5"/>
      <c r="BJ123" s="204"/>
      <c r="BK123" s="204">
        <v>0.5</v>
      </c>
      <c r="BL123" s="204"/>
      <c r="BM123" s="204"/>
      <c r="BN123" s="204"/>
      <c r="BO123" s="205"/>
      <c r="BP123" s="204">
        <v>0.5</v>
      </c>
      <c r="BQ123" s="204"/>
      <c r="BR123" s="204"/>
      <c r="BS123" s="204"/>
      <c r="BT123" s="204"/>
      <c r="BU123" s="204">
        <v>0.5</v>
      </c>
      <c r="BV123" s="204"/>
      <c r="BW123" s="204"/>
      <c r="BX123" s="204"/>
      <c r="BY123" s="204"/>
      <c r="BZ123" s="204"/>
      <c r="CA123" s="204"/>
      <c r="CB123" s="204"/>
    </row>
    <row r="124" spans="1:80" x14ac:dyDescent="0.45">
      <c r="A124" s="213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5" t="s">
        <v>53</v>
      </c>
      <c r="G124" s="5" t="s">
        <v>346</v>
      </c>
      <c r="H124" s="332" t="s">
        <v>40</v>
      </c>
      <c r="I124" s="315" t="s">
        <v>472</v>
      </c>
      <c r="J124" s="33"/>
      <c r="K124" s="33"/>
      <c r="L124" s="33"/>
      <c r="M124" s="33"/>
      <c r="N124" s="140"/>
      <c r="O124" s="140"/>
      <c r="P124" s="140"/>
      <c r="Q124" s="322" t="s">
        <v>450</v>
      </c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  <c r="BF124" s="204"/>
      <c r="BG124" s="204"/>
      <c r="BH124" s="204"/>
      <c r="BI124" s="205"/>
      <c r="BJ124" s="204"/>
      <c r="BK124" s="204"/>
      <c r="BL124" s="204"/>
      <c r="BM124" s="204"/>
      <c r="BN124" s="204"/>
      <c r="BO124" s="205"/>
      <c r="BP124" s="204">
        <v>0.5</v>
      </c>
      <c r="BQ124" s="204"/>
      <c r="BR124" s="204"/>
      <c r="BS124" s="204"/>
      <c r="BT124" s="204"/>
      <c r="BU124" s="204">
        <v>0.5</v>
      </c>
      <c r="BV124" s="204"/>
      <c r="BW124" s="204"/>
      <c r="BX124" s="204"/>
      <c r="BY124" s="204"/>
      <c r="BZ124" s="204">
        <v>0.5</v>
      </c>
      <c r="CA124" s="204"/>
      <c r="CB124" s="204"/>
    </row>
    <row r="125" spans="1:80" ht="10.35" customHeight="1" x14ac:dyDescent="0.45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6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6"/>
      <c r="BJ125" s="7"/>
      <c r="BK125" s="7"/>
      <c r="BL125" s="7"/>
      <c r="BM125" s="7"/>
      <c r="BN125" s="7"/>
      <c r="BO125" s="206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 x14ac:dyDescent="0.45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4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02"/>
      <c r="AY126" s="202"/>
      <c r="AZ126" s="202"/>
      <c r="BA126" s="202"/>
      <c r="BB126" s="202"/>
      <c r="BC126" s="202"/>
      <c r="BD126" s="202"/>
      <c r="BE126" s="202"/>
      <c r="BF126" s="202"/>
      <c r="BG126" s="202"/>
      <c r="BH126" s="202"/>
      <c r="BI126" s="203"/>
      <c r="BJ126" s="202"/>
      <c r="BK126" s="202"/>
      <c r="BL126" s="202"/>
      <c r="BM126" s="202"/>
      <c r="BN126" s="202"/>
      <c r="BO126" s="203"/>
      <c r="BP126" s="202"/>
      <c r="BQ126" s="202"/>
      <c r="BR126" s="202"/>
      <c r="BS126" s="202"/>
      <c r="BT126" s="202"/>
      <c r="BU126" s="202"/>
      <c r="BV126" s="202"/>
      <c r="BW126" s="202"/>
      <c r="BX126" s="202"/>
      <c r="BY126" s="202"/>
      <c r="BZ126" s="202"/>
      <c r="CA126" s="202"/>
      <c r="CB126" s="202"/>
    </row>
    <row r="127" spans="1:80" x14ac:dyDescent="0.45">
      <c r="A127" s="213" t="s">
        <v>385</v>
      </c>
      <c r="B127" s="4" t="s">
        <v>17</v>
      </c>
      <c r="C127" s="9" t="s">
        <v>376</v>
      </c>
      <c r="D127" s="9" t="s">
        <v>21</v>
      </c>
      <c r="E127" s="201" t="s">
        <v>29</v>
      </c>
      <c r="F127" s="201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7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  <c r="BF127" s="204"/>
      <c r="BG127" s="204"/>
      <c r="BH127" s="204"/>
      <c r="BI127" s="205"/>
      <c r="BJ127" s="204"/>
      <c r="BK127" s="204"/>
      <c r="BL127" s="204"/>
      <c r="BM127" s="204"/>
      <c r="BN127" s="204"/>
      <c r="BO127" s="205"/>
      <c r="BP127" s="204"/>
      <c r="BQ127" s="204"/>
      <c r="BR127" s="204"/>
      <c r="BS127" s="204"/>
      <c r="BT127" s="204"/>
      <c r="BU127" s="204"/>
      <c r="BV127" s="204"/>
      <c r="BW127" s="204"/>
      <c r="BX127" s="204"/>
      <c r="BY127" s="204"/>
      <c r="BZ127" s="204"/>
      <c r="CA127" s="204"/>
      <c r="CB127" s="204"/>
    </row>
    <row r="128" spans="1:80" x14ac:dyDescent="0.45">
      <c r="A128" s="213" t="s">
        <v>385</v>
      </c>
      <c r="B128" s="4" t="s">
        <v>17</v>
      </c>
      <c r="C128" s="9" t="s">
        <v>376</v>
      </c>
      <c r="D128" s="9" t="s">
        <v>21</v>
      </c>
      <c r="E128" s="201" t="s">
        <v>29</v>
      </c>
      <c r="F128" s="201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7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  <c r="BF128" s="204"/>
      <c r="BG128" s="204"/>
      <c r="BH128" s="204"/>
      <c r="BI128" s="205"/>
      <c r="BJ128" s="204"/>
      <c r="BK128" s="204"/>
      <c r="BL128" s="204"/>
      <c r="BM128" s="204"/>
      <c r="BN128" s="204"/>
      <c r="BO128" s="205"/>
      <c r="BP128" s="204"/>
      <c r="BQ128" s="204"/>
      <c r="BR128" s="204"/>
      <c r="BS128" s="204"/>
      <c r="BT128" s="204"/>
      <c r="BU128" s="204"/>
      <c r="BV128" s="204"/>
      <c r="BW128" s="204"/>
      <c r="BX128" s="204"/>
      <c r="BY128" s="204"/>
      <c r="BZ128" s="204"/>
      <c r="CA128" s="204"/>
      <c r="CB128" s="204"/>
    </row>
    <row r="129" spans="1:80" x14ac:dyDescent="0.45">
      <c r="A129" s="213" t="s">
        <v>385</v>
      </c>
      <c r="B129" s="4" t="s">
        <v>17</v>
      </c>
      <c r="C129" s="9" t="s">
        <v>376</v>
      </c>
      <c r="D129" s="9" t="s">
        <v>21</v>
      </c>
      <c r="E129" s="201" t="s">
        <v>29</v>
      </c>
      <c r="F129" s="201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7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  <c r="BF129" s="204"/>
      <c r="BG129" s="204"/>
      <c r="BH129" s="204"/>
      <c r="BI129" s="205"/>
      <c r="BJ129" s="204"/>
      <c r="BK129" s="204"/>
      <c r="BL129" s="204"/>
      <c r="BM129" s="204"/>
      <c r="BN129" s="204"/>
      <c r="BO129" s="205"/>
      <c r="BP129" s="204"/>
      <c r="BQ129" s="204"/>
      <c r="BR129" s="204"/>
      <c r="BS129" s="204"/>
      <c r="BT129" s="204"/>
      <c r="BU129" s="204"/>
      <c r="BV129" s="204"/>
      <c r="BW129" s="204"/>
      <c r="BX129" s="204"/>
      <c r="BY129" s="204"/>
      <c r="BZ129" s="204"/>
      <c r="CA129" s="204"/>
      <c r="CB129" s="204"/>
    </row>
    <row r="130" spans="1:80" x14ac:dyDescent="0.45">
      <c r="A130" s="213" t="s">
        <v>385</v>
      </c>
      <c r="B130" s="4" t="s">
        <v>17</v>
      </c>
      <c r="C130" s="9" t="s">
        <v>376</v>
      </c>
      <c r="D130" s="9" t="s">
        <v>21</v>
      </c>
      <c r="E130" s="201" t="s">
        <v>29</v>
      </c>
      <c r="F130" s="201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7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5"/>
      <c r="BJ130" s="204"/>
      <c r="BK130" s="204"/>
      <c r="BL130" s="204"/>
      <c r="BM130" s="204"/>
      <c r="BN130" s="204"/>
      <c r="BO130" s="205"/>
      <c r="BP130" s="204"/>
      <c r="BQ130" s="204"/>
      <c r="BR130" s="204"/>
      <c r="BS130" s="204"/>
      <c r="BT130" s="204"/>
      <c r="BU130" s="204"/>
      <c r="BV130" s="204"/>
      <c r="BW130" s="204"/>
      <c r="BX130" s="204"/>
      <c r="BY130" s="204"/>
      <c r="BZ130" s="204"/>
      <c r="CA130" s="204"/>
      <c r="CB130" s="204"/>
    </row>
    <row r="131" spans="1:80" x14ac:dyDescent="0.45">
      <c r="A131" s="213" t="s">
        <v>385</v>
      </c>
      <c r="B131" s="4" t="s">
        <v>17</v>
      </c>
      <c r="C131" s="9" t="s">
        <v>251</v>
      </c>
      <c r="D131" s="9" t="s">
        <v>21</v>
      </c>
      <c r="E131" s="201" t="s">
        <v>29</v>
      </c>
      <c r="F131" s="201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5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5"/>
      <c r="BJ131" s="204"/>
      <c r="BK131" s="204"/>
      <c r="BL131" s="204"/>
      <c r="BM131" s="204"/>
      <c r="BN131" s="204"/>
      <c r="BO131" s="205"/>
      <c r="BP131" s="204"/>
      <c r="BQ131" s="204"/>
      <c r="BR131" s="204"/>
      <c r="BS131" s="204"/>
      <c r="BT131" s="204"/>
      <c r="BU131" s="204"/>
      <c r="BV131" s="204"/>
      <c r="BW131" s="204"/>
      <c r="BX131" s="204"/>
      <c r="BY131" s="204"/>
      <c r="BZ131" s="204"/>
      <c r="CA131" s="204"/>
      <c r="CB131" s="204"/>
    </row>
    <row r="132" spans="1:80" x14ac:dyDescent="0.45">
      <c r="A132" s="213" t="s">
        <v>385</v>
      </c>
      <c r="B132" s="4" t="s">
        <v>17</v>
      </c>
      <c r="C132" s="9" t="s">
        <v>251</v>
      </c>
      <c r="D132" s="9" t="s">
        <v>21</v>
      </c>
      <c r="E132" s="201" t="s">
        <v>29</v>
      </c>
      <c r="F132" s="201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5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5"/>
      <c r="BJ132" s="204"/>
      <c r="BK132" s="204"/>
      <c r="BL132" s="204"/>
      <c r="BM132" s="204"/>
      <c r="BN132" s="204"/>
      <c r="BO132" s="205"/>
      <c r="BP132" s="204"/>
      <c r="BQ132" s="204"/>
      <c r="BR132" s="204"/>
      <c r="BS132" s="204"/>
      <c r="BT132" s="204"/>
      <c r="BU132" s="204"/>
      <c r="BV132" s="204"/>
      <c r="BW132" s="204"/>
      <c r="BX132" s="204"/>
      <c r="BY132" s="204"/>
      <c r="BZ132" s="204"/>
      <c r="CA132" s="204"/>
      <c r="CB132" s="204"/>
    </row>
    <row r="133" spans="1:80" x14ac:dyDescent="0.45">
      <c r="A133" s="213" t="s">
        <v>385</v>
      </c>
      <c r="B133" s="4" t="s">
        <v>17</v>
      </c>
      <c r="C133" s="9" t="s">
        <v>376</v>
      </c>
      <c r="D133" s="9" t="s">
        <v>21</v>
      </c>
      <c r="E133" s="201" t="s">
        <v>29</v>
      </c>
      <c r="F133" s="201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5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  <c r="BF133" s="204"/>
      <c r="BG133" s="204"/>
      <c r="BH133" s="204"/>
      <c r="BI133" s="205"/>
      <c r="BJ133" s="204"/>
      <c r="BK133" s="204"/>
      <c r="BL133" s="204"/>
      <c r="BM133" s="204"/>
      <c r="BN133" s="204"/>
      <c r="BO133" s="205"/>
      <c r="BP133" s="204"/>
      <c r="BQ133" s="204"/>
      <c r="BR133" s="204"/>
      <c r="BS133" s="204"/>
      <c r="BT133" s="204"/>
      <c r="BU133" s="204"/>
      <c r="BV133" s="204"/>
      <c r="BW133" s="204"/>
      <c r="BX133" s="204"/>
      <c r="BY133" s="204"/>
      <c r="BZ133" s="204"/>
      <c r="CA133" s="204"/>
      <c r="CB133" s="204"/>
    </row>
    <row r="134" spans="1:80" x14ac:dyDescent="0.45">
      <c r="A134" s="213" t="s">
        <v>385</v>
      </c>
      <c r="B134" s="4" t="s">
        <v>17</v>
      </c>
      <c r="C134" s="9" t="s">
        <v>377</v>
      </c>
      <c r="D134" s="9" t="s">
        <v>21</v>
      </c>
      <c r="E134" s="201" t="s">
        <v>29</v>
      </c>
      <c r="F134" s="201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5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  <c r="BF134" s="204"/>
      <c r="BG134" s="204"/>
      <c r="BH134" s="204"/>
      <c r="BI134" s="205"/>
      <c r="BJ134" s="204"/>
      <c r="BK134" s="204"/>
      <c r="BL134" s="204"/>
      <c r="BM134" s="204"/>
      <c r="BN134" s="204"/>
      <c r="BO134" s="205"/>
      <c r="BP134" s="204"/>
      <c r="BQ134" s="204"/>
      <c r="BR134" s="204"/>
      <c r="BS134" s="204"/>
      <c r="BT134" s="204"/>
      <c r="BU134" s="204"/>
      <c r="BV134" s="204"/>
      <c r="BW134" s="204"/>
      <c r="BX134" s="204"/>
      <c r="BY134" s="204"/>
      <c r="BZ134" s="204"/>
      <c r="CA134" s="204"/>
      <c r="CB134" s="204"/>
    </row>
    <row r="135" spans="1:80" x14ac:dyDescent="0.45">
      <c r="A135" s="213" t="s">
        <v>385</v>
      </c>
      <c r="B135" s="4" t="s">
        <v>17</v>
      </c>
      <c r="C135" s="9" t="s">
        <v>377</v>
      </c>
      <c r="D135" s="9" t="s">
        <v>21</v>
      </c>
      <c r="E135" s="201" t="s">
        <v>29</v>
      </c>
      <c r="F135" s="201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5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5"/>
      <c r="BJ135" s="204"/>
      <c r="BK135" s="204"/>
      <c r="BL135" s="204"/>
      <c r="BM135" s="204"/>
      <c r="BN135" s="204"/>
      <c r="BO135" s="205"/>
      <c r="BP135" s="204"/>
      <c r="BQ135" s="204"/>
      <c r="BR135" s="204"/>
      <c r="BS135" s="204"/>
      <c r="BT135" s="204"/>
      <c r="BU135" s="204"/>
      <c r="BV135" s="204"/>
      <c r="BW135" s="204"/>
      <c r="BX135" s="204"/>
      <c r="BY135" s="204"/>
      <c r="BZ135" s="204"/>
      <c r="CA135" s="204"/>
      <c r="CB135" s="204"/>
    </row>
    <row r="136" spans="1:80" x14ac:dyDescent="0.45">
      <c r="A136" s="213" t="s">
        <v>385</v>
      </c>
      <c r="B136" s="4" t="s">
        <v>17</v>
      </c>
      <c r="C136" s="9" t="s">
        <v>377</v>
      </c>
      <c r="D136" s="9" t="s">
        <v>21</v>
      </c>
      <c r="E136" s="201" t="s">
        <v>29</v>
      </c>
      <c r="F136" s="201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5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  <c r="BF136" s="204"/>
      <c r="BG136" s="204"/>
      <c r="BH136" s="204"/>
      <c r="BI136" s="205"/>
      <c r="BJ136" s="204"/>
      <c r="BK136" s="204"/>
      <c r="BL136" s="204"/>
      <c r="BM136" s="204"/>
      <c r="BN136" s="204"/>
      <c r="BO136" s="205"/>
      <c r="BP136" s="204"/>
      <c r="BQ136" s="204"/>
      <c r="BR136" s="204"/>
      <c r="BS136" s="204"/>
      <c r="BT136" s="204"/>
      <c r="BU136" s="204"/>
      <c r="BV136" s="204"/>
      <c r="BW136" s="204"/>
      <c r="BX136" s="204"/>
      <c r="BY136" s="204"/>
      <c r="BZ136" s="204"/>
      <c r="CA136" s="204"/>
      <c r="CB136" s="204"/>
    </row>
    <row r="137" spans="1:80" x14ac:dyDescent="0.45">
      <c r="A137" s="213" t="s">
        <v>385</v>
      </c>
      <c r="B137" s="4" t="s">
        <v>17</v>
      </c>
      <c r="C137" s="9" t="s">
        <v>377</v>
      </c>
      <c r="D137" s="9" t="s">
        <v>21</v>
      </c>
      <c r="E137" s="201" t="s">
        <v>29</v>
      </c>
      <c r="F137" s="201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5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  <c r="BF137" s="204"/>
      <c r="BG137" s="204"/>
      <c r="BH137" s="204"/>
      <c r="BI137" s="205"/>
      <c r="BJ137" s="204"/>
      <c r="BK137" s="204"/>
      <c r="BL137" s="204"/>
      <c r="BM137" s="204"/>
      <c r="BN137" s="204"/>
      <c r="BO137" s="205"/>
      <c r="BP137" s="204"/>
      <c r="BQ137" s="204"/>
      <c r="BR137" s="204"/>
      <c r="BS137" s="204"/>
      <c r="BT137" s="204"/>
      <c r="BU137" s="204"/>
      <c r="BV137" s="204"/>
      <c r="BW137" s="204"/>
      <c r="BX137" s="204"/>
      <c r="BY137" s="204"/>
      <c r="BZ137" s="204"/>
      <c r="CA137" s="204"/>
      <c r="CB137" s="204"/>
    </row>
    <row r="138" spans="1:80" x14ac:dyDescent="0.45">
      <c r="A138" s="213" t="s">
        <v>385</v>
      </c>
      <c r="B138" s="4" t="s">
        <v>17</v>
      </c>
      <c r="C138" s="9" t="s">
        <v>377</v>
      </c>
      <c r="D138" s="9" t="s">
        <v>21</v>
      </c>
      <c r="E138" s="201" t="s">
        <v>29</v>
      </c>
      <c r="F138" s="201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5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5"/>
      <c r="BJ138" s="204"/>
      <c r="BK138" s="204"/>
      <c r="BL138" s="204"/>
      <c r="BM138" s="204"/>
      <c r="BN138" s="204"/>
      <c r="BO138" s="205"/>
      <c r="BP138" s="204"/>
      <c r="BQ138" s="204"/>
      <c r="BR138" s="204"/>
      <c r="BS138" s="204"/>
      <c r="BT138" s="204"/>
      <c r="BU138" s="204"/>
      <c r="BV138" s="204"/>
      <c r="BW138" s="204"/>
      <c r="BX138" s="204"/>
      <c r="BY138" s="204"/>
      <c r="BZ138" s="204"/>
      <c r="CA138" s="204"/>
      <c r="CB138" s="204"/>
    </row>
    <row r="139" spans="1:80" x14ac:dyDescent="0.45">
      <c r="A139" s="213" t="s">
        <v>385</v>
      </c>
      <c r="B139" s="4" t="s">
        <v>17</v>
      </c>
      <c r="C139" s="9" t="s">
        <v>377</v>
      </c>
      <c r="D139" s="9" t="s">
        <v>21</v>
      </c>
      <c r="E139" s="201" t="s">
        <v>29</v>
      </c>
      <c r="F139" s="201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5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5"/>
      <c r="BJ139" s="204"/>
      <c r="BK139" s="204"/>
      <c r="BL139" s="204"/>
      <c r="BM139" s="204"/>
      <c r="BN139" s="204"/>
      <c r="BO139" s="205"/>
      <c r="BP139" s="204"/>
      <c r="BQ139" s="204"/>
      <c r="BR139" s="204"/>
      <c r="BS139" s="204"/>
      <c r="BT139" s="204"/>
      <c r="BU139" s="204"/>
      <c r="BV139" s="204"/>
      <c r="BW139" s="204"/>
      <c r="BX139" s="204"/>
      <c r="BY139" s="204"/>
      <c r="BZ139" s="204"/>
      <c r="CA139" s="204"/>
      <c r="CB139" s="204"/>
    </row>
    <row r="140" spans="1:80" x14ac:dyDescent="0.45">
      <c r="A140" s="213" t="s">
        <v>385</v>
      </c>
      <c r="B140" s="4" t="s">
        <v>17</v>
      </c>
      <c r="C140" s="9" t="s">
        <v>377</v>
      </c>
      <c r="D140" s="9" t="s">
        <v>21</v>
      </c>
      <c r="E140" s="201" t="s">
        <v>29</v>
      </c>
      <c r="F140" s="201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5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  <c r="BF140" s="204"/>
      <c r="BG140" s="204"/>
      <c r="BH140" s="204"/>
      <c r="BI140" s="205"/>
      <c r="BJ140" s="204"/>
      <c r="BK140" s="204"/>
      <c r="BL140" s="204"/>
      <c r="BM140" s="204"/>
      <c r="BN140" s="204"/>
      <c r="BO140" s="205"/>
      <c r="BP140" s="204"/>
      <c r="BQ140" s="204"/>
      <c r="BR140" s="204"/>
      <c r="BS140" s="204"/>
      <c r="BT140" s="204"/>
      <c r="BU140" s="204"/>
      <c r="BV140" s="204"/>
      <c r="BW140" s="204"/>
      <c r="BX140" s="204"/>
      <c r="BY140" s="204"/>
      <c r="BZ140" s="204"/>
      <c r="CA140" s="204"/>
      <c r="CB140" s="204"/>
    </row>
    <row r="141" spans="1:80" x14ac:dyDescent="0.45">
      <c r="A141" s="213" t="s">
        <v>385</v>
      </c>
      <c r="B141" s="4" t="s">
        <v>17</v>
      </c>
      <c r="C141" s="9" t="s">
        <v>377</v>
      </c>
      <c r="D141" s="9" t="s">
        <v>21</v>
      </c>
      <c r="E141" s="201" t="s">
        <v>29</v>
      </c>
      <c r="F141" s="201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5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  <c r="BF141" s="204"/>
      <c r="BG141" s="204"/>
      <c r="BH141" s="204"/>
      <c r="BI141" s="205"/>
      <c r="BJ141" s="204"/>
      <c r="BK141" s="204"/>
      <c r="BL141" s="204"/>
      <c r="BM141" s="204"/>
      <c r="BN141" s="204"/>
      <c r="BO141" s="205"/>
      <c r="BP141" s="204"/>
      <c r="BQ141" s="204"/>
      <c r="BR141" s="204"/>
      <c r="BS141" s="204"/>
      <c r="BT141" s="204"/>
      <c r="BU141" s="204"/>
      <c r="BV141" s="204"/>
      <c r="BW141" s="204"/>
      <c r="BX141" s="204"/>
      <c r="BY141" s="204"/>
      <c r="BZ141" s="204"/>
      <c r="CA141" s="204"/>
      <c r="CB141" s="204"/>
    </row>
    <row r="142" spans="1:80" x14ac:dyDescent="0.45">
      <c r="A142" s="213" t="s">
        <v>385</v>
      </c>
      <c r="B142" s="4" t="s">
        <v>17</v>
      </c>
      <c r="C142" s="9" t="s">
        <v>377</v>
      </c>
      <c r="D142" s="9" t="s">
        <v>21</v>
      </c>
      <c r="E142" s="201" t="s">
        <v>29</v>
      </c>
      <c r="F142" s="201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5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5"/>
      <c r="BJ142" s="204"/>
      <c r="BK142" s="204"/>
      <c r="BL142" s="204"/>
      <c r="BM142" s="204"/>
      <c r="BN142" s="204"/>
      <c r="BO142" s="205"/>
      <c r="BP142" s="204"/>
      <c r="BQ142" s="204"/>
      <c r="BR142" s="204"/>
      <c r="BS142" s="204"/>
      <c r="BT142" s="204"/>
      <c r="BU142" s="204"/>
      <c r="BV142" s="204"/>
      <c r="BW142" s="204"/>
      <c r="BX142" s="204"/>
      <c r="BY142" s="204"/>
      <c r="BZ142" s="204"/>
      <c r="CA142" s="204"/>
      <c r="CB142" s="204"/>
    </row>
    <row r="143" spans="1:80" x14ac:dyDescent="0.45">
      <c r="A143" s="213" t="s">
        <v>385</v>
      </c>
      <c r="B143" s="4" t="s">
        <v>17</v>
      </c>
      <c r="C143" s="9" t="s">
        <v>377</v>
      </c>
      <c r="D143" s="9" t="s">
        <v>21</v>
      </c>
      <c r="E143" s="201" t="s">
        <v>29</v>
      </c>
      <c r="F143" s="201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5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5"/>
      <c r="BJ143" s="204"/>
      <c r="BK143" s="204"/>
      <c r="BL143" s="204"/>
      <c r="BM143" s="204"/>
      <c r="BN143" s="204"/>
      <c r="BO143" s="205"/>
      <c r="BP143" s="204"/>
      <c r="BQ143" s="204"/>
      <c r="BR143" s="204"/>
      <c r="BS143" s="204"/>
      <c r="BT143" s="204"/>
      <c r="BU143" s="204"/>
      <c r="BV143" s="204"/>
      <c r="BW143" s="204"/>
      <c r="BX143" s="204"/>
      <c r="BY143" s="204"/>
      <c r="BZ143" s="204"/>
      <c r="CA143" s="204"/>
      <c r="CB143" s="204"/>
    </row>
    <row r="144" spans="1:80" x14ac:dyDescent="0.45">
      <c r="A144" s="213" t="s">
        <v>385</v>
      </c>
      <c r="B144" s="4" t="s">
        <v>17</v>
      </c>
      <c r="C144" s="9" t="s">
        <v>377</v>
      </c>
      <c r="D144" s="9" t="s">
        <v>21</v>
      </c>
      <c r="E144" s="201" t="s">
        <v>29</v>
      </c>
      <c r="F144" s="201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5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  <c r="BI144" s="205"/>
      <c r="BJ144" s="204"/>
      <c r="BK144" s="204"/>
      <c r="BL144" s="204"/>
      <c r="BM144" s="204"/>
      <c r="BN144" s="204"/>
      <c r="BO144" s="205"/>
      <c r="BP144" s="204"/>
      <c r="BQ144" s="204"/>
      <c r="BR144" s="204"/>
      <c r="BS144" s="204"/>
      <c r="BT144" s="204"/>
      <c r="BU144" s="204"/>
      <c r="BV144" s="204"/>
      <c r="BW144" s="204"/>
      <c r="BX144" s="204"/>
      <c r="BY144" s="204"/>
      <c r="BZ144" s="204"/>
      <c r="CA144" s="204"/>
      <c r="CB144" s="204"/>
    </row>
    <row r="145" spans="1:80" x14ac:dyDescent="0.45">
      <c r="A145" s="213" t="s">
        <v>385</v>
      </c>
      <c r="B145" s="4" t="s">
        <v>17</v>
      </c>
      <c r="C145" s="9" t="s">
        <v>377</v>
      </c>
      <c r="D145" s="9" t="s">
        <v>21</v>
      </c>
      <c r="E145" s="201" t="s">
        <v>29</v>
      </c>
      <c r="F145" s="201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8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5"/>
      <c r="BJ145" s="204"/>
      <c r="BK145" s="204"/>
      <c r="BL145" s="204"/>
      <c r="BM145" s="204"/>
      <c r="BN145" s="204"/>
      <c r="BO145" s="205"/>
      <c r="BP145" s="204"/>
      <c r="BQ145" s="204"/>
      <c r="BR145" s="204"/>
      <c r="BS145" s="204"/>
      <c r="BT145" s="204"/>
      <c r="BU145" s="204"/>
      <c r="BV145" s="204"/>
      <c r="BW145" s="204"/>
      <c r="BX145" s="204"/>
      <c r="BY145" s="204"/>
      <c r="BZ145" s="204"/>
      <c r="CA145" s="204"/>
      <c r="CB145" s="204"/>
    </row>
    <row r="146" spans="1:80" x14ac:dyDescent="0.45">
      <c r="A146" s="213" t="s">
        <v>385</v>
      </c>
      <c r="B146" s="4" t="s">
        <v>17</v>
      </c>
      <c r="C146" s="9" t="s">
        <v>377</v>
      </c>
      <c r="D146" s="9" t="s">
        <v>21</v>
      </c>
      <c r="E146" s="201" t="s">
        <v>29</v>
      </c>
      <c r="F146" s="201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5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  <c r="BI146" s="205"/>
      <c r="BJ146" s="204"/>
      <c r="BK146" s="204"/>
      <c r="BL146" s="204"/>
      <c r="BM146" s="204"/>
      <c r="BO146" s="205"/>
      <c r="BP146" s="204"/>
      <c r="BQ146" s="204"/>
      <c r="BR146" s="204"/>
      <c r="BS146" s="204"/>
      <c r="BT146" s="204"/>
      <c r="BU146" s="204"/>
      <c r="BV146" s="204"/>
      <c r="BW146" s="204"/>
      <c r="BX146" s="204"/>
      <c r="BY146" s="204"/>
      <c r="BZ146" s="204"/>
      <c r="CA146" s="204"/>
      <c r="CB146" s="204"/>
    </row>
    <row r="147" spans="1:80" x14ac:dyDescent="0.45">
      <c r="A147" s="213" t="s">
        <v>385</v>
      </c>
      <c r="B147" s="4" t="s">
        <v>17</v>
      </c>
      <c r="C147" s="9" t="s">
        <v>377</v>
      </c>
      <c r="D147" s="9" t="s">
        <v>21</v>
      </c>
      <c r="E147" s="201" t="s">
        <v>29</v>
      </c>
      <c r="F147" s="201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5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5"/>
      <c r="BJ147" s="204"/>
      <c r="BK147" s="204"/>
      <c r="BL147" s="204"/>
      <c r="BM147" s="204"/>
      <c r="BO147" s="205"/>
      <c r="BP147" s="204"/>
      <c r="BQ147" s="204"/>
      <c r="BR147" s="204"/>
      <c r="BS147" s="204"/>
      <c r="BT147" s="204"/>
      <c r="BU147" s="204"/>
      <c r="BV147" s="204"/>
      <c r="BW147" s="204"/>
      <c r="BX147" s="204"/>
      <c r="BY147" s="204"/>
      <c r="BZ147" s="204"/>
      <c r="CA147" s="204"/>
      <c r="CB147" s="204"/>
    </row>
    <row r="148" spans="1:80" x14ac:dyDescent="0.45">
      <c r="A148" s="213" t="s">
        <v>385</v>
      </c>
      <c r="B148" s="4" t="s">
        <v>17</v>
      </c>
      <c r="C148" s="9" t="s">
        <v>377</v>
      </c>
      <c r="D148" s="9" t="s">
        <v>21</v>
      </c>
      <c r="E148" s="201" t="s">
        <v>29</v>
      </c>
      <c r="F148" s="201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5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  <c r="BI148" s="205"/>
      <c r="BJ148" s="204"/>
      <c r="BK148" s="204"/>
      <c r="BL148" s="204"/>
      <c r="BM148" s="204"/>
      <c r="BO148" s="205"/>
      <c r="BP148" s="204"/>
      <c r="BQ148" s="204"/>
      <c r="BR148" s="204"/>
      <c r="BS148" s="204"/>
      <c r="BT148" s="204"/>
      <c r="BU148" s="204"/>
      <c r="BV148" s="204"/>
      <c r="BW148" s="204"/>
      <c r="BX148" s="204"/>
      <c r="BY148" s="204"/>
      <c r="BZ148" s="204"/>
      <c r="CA148" s="204"/>
      <c r="CB148" s="204"/>
    </row>
    <row r="149" spans="1:80" x14ac:dyDescent="0.45">
      <c r="A149" s="213" t="s">
        <v>385</v>
      </c>
      <c r="B149" s="4" t="s">
        <v>17</v>
      </c>
      <c r="C149" s="9" t="s">
        <v>377</v>
      </c>
      <c r="D149" s="9" t="s">
        <v>21</v>
      </c>
      <c r="E149" s="201" t="s">
        <v>29</v>
      </c>
      <c r="F149" s="201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5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  <c r="BI149" s="205"/>
      <c r="BJ149" s="204"/>
      <c r="BK149" s="204"/>
      <c r="BL149" s="204"/>
      <c r="BM149" s="204"/>
      <c r="BO149" s="205"/>
      <c r="BP149" s="204"/>
      <c r="BQ149" s="204"/>
      <c r="BR149" s="204"/>
      <c r="BS149" s="204"/>
      <c r="BT149" s="204"/>
      <c r="BU149" s="204"/>
      <c r="BV149" s="204"/>
      <c r="BW149" s="204"/>
      <c r="BX149" s="204"/>
      <c r="BY149" s="204"/>
      <c r="BZ149" s="204"/>
      <c r="CA149" s="204"/>
      <c r="CB149" s="204"/>
    </row>
    <row r="150" spans="1:80" ht="10.35" customHeight="1" x14ac:dyDescent="0.45">
      <c r="D150" s="207"/>
      <c r="P150" s="1"/>
      <c r="BI150" s="1" t="s">
        <v>31</v>
      </c>
      <c r="BO150" s="1" t="s">
        <v>31</v>
      </c>
    </row>
    <row r="151" spans="1:80" ht="17.850000000000001" customHeight="1" x14ac:dyDescent="0.45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4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202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202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203"/>
      <c r="BJ151" s="202"/>
      <c r="BK151" s="202"/>
      <c r="BL151" s="202"/>
      <c r="BM151" s="202"/>
      <c r="BN151" s="202"/>
      <c r="BO151" s="203"/>
      <c r="BP151" s="202"/>
      <c r="BQ151" s="202"/>
      <c r="BR151" s="202"/>
      <c r="BS151" s="202"/>
      <c r="BT151" s="202"/>
      <c r="BU151" s="202"/>
      <c r="BV151" s="202"/>
      <c r="BW151" s="202"/>
      <c r="BX151" s="202"/>
      <c r="BY151" s="202"/>
      <c r="BZ151" s="202"/>
      <c r="CA151" s="202"/>
      <c r="CB151" s="202"/>
    </row>
    <row r="152" spans="1:80" x14ac:dyDescent="0.45">
      <c r="A152" s="213" t="s">
        <v>386</v>
      </c>
      <c r="B152" s="4" t="s">
        <v>17</v>
      </c>
      <c r="C152" s="9" t="s">
        <v>251</v>
      </c>
      <c r="D152" s="9" t="s">
        <v>21</v>
      </c>
      <c r="E152" s="201" t="s">
        <v>29</v>
      </c>
      <c r="F152" s="201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7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  <c r="BI152" s="205"/>
      <c r="BJ152" s="204"/>
      <c r="BK152" s="204"/>
      <c r="BL152" s="204"/>
      <c r="BM152" s="204"/>
      <c r="BN152" s="204"/>
      <c r="BO152" s="205"/>
      <c r="BP152" s="204"/>
      <c r="BQ152" s="204"/>
      <c r="BR152" s="204"/>
      <c r="BS152" s="204"/>
      <c r="BT152" s="204"/>
      <c r="BU152" s="204"/>
      <c r="BV152" s="204"/>
      <c r="BW152" s="204"/>
      <c r="BX152" s="204"/>
      <c r="BY152" s="204"/>
      <c r="BZ152" s="204"/>
      <c r="CA152" s="204"/>
      <c r="CB152" s="204"/>
    </row>
    <row r="153" spans="1:80" x14ac:dyDescent="0.45">
      <c r="A153" s="213" t="s">
        <v>386</v>
      </c>
      <c r="B153" s="4" t="s">
        <v>17</v>
      </c>
      <c r="C153" s="9" t="s">
        <v>251</v>
      </c>
      <c r="D153" s="9" t="s">
        <v>21</v>
      </c>
      <c r="E153" s="201" t="s">
        <v>29</v>
      </c>
      <c r="F153" s="201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7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  <c r="BI153" s="205"/>
      <c r="BJ153" s="204"/>
      <c r="BK153" s="204"/>
      <c r="BL153" s="204"/>
      <c r="BM153" s="204"/>
      <c r="BN153" s="204"/>
      <c r="BO153" s="205"/>
      <c r="BP153" s="204"/>
      <c r="BQ153" s="204"/>
      <c r="BR153" s="204"/>
      <c r="BS153" s="204"/>
      <c r="BT153" s="204"/>
      <c r="BU153" s="204"/>
      <c r="BV153" s="204"/>
      <c r="BW153" s="204"/>
      <c r="BX153" s="204"/>
      <c r="BY153" s="204"/>
      <c r="BZ153" s="204"/>
      <c r="CA153" s="204"/>
      <c r="CB153" s="204"/>
    </row>
    <row r="154" spans="1:80" x14ac:dyDescent="0.45">
      <c r="A154" s="213" t="s">
        <v>386</v>
      </c>
      <c r="B154" s="4" t="s">
        <v>17</v>
      </c>
      <c r="C154" s="9" t="s">
        <v>251</v>
      </c>
      <c r="D154" s="9" t="s">
        <v>21</v>
      </c>
      <c r="E154" s="201" t="s">
        <v>29</v>
      </c>
      <c r="F154" s="201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7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  <c r="BI154" s="205"/>
      <c r="BJ154" s="204"/>
      <c r="BK154" s="204"/>
      <c r="BL154" s="204"/>
      <c r="BM154" s="204"/>
      <c r="BN154" s="204"/>
      <c r="BO154" s="205"/>
      <c r="BP154" s="204"/>
      <c r="BQ154" s="204"/>
      <c r="BR154" s="204"/>
      <c r="BS154" s="204"/>
      <c r="BT154" s="204"/>
      <c r="BU154" s="204"/>
      <c r="BV154" s="204"/>
      <c r="BW154" s="204"/>
      <c r="BX154" s="204"/>
      <c r="BY154" s="204"/>
      <c r="BZ154" s="204"/>
      <c r="CA154" s="204"/>
      <c r="CB154" s="204"/>
    </row>
    <row r="155" spans="1:80" x14ac:dyDescent="0.45">
      <c r="A155" s="213" t="s">
        <v>386</v>
      </c>
      <c r="B155" s="4" t="s">
        <v>17</v>
      </c>
      <c r="C155" s="9" t="s">
        <v>251</v>
      </c>
      <c r="D155" s="9" t="s">
        <v>21</v>
      </c>
      <c r="E155" s="201" t="s">
        <v>29</v>
      </c>
      <c r="F155" s="201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7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5"/>
      <c r="BJ155" s="204"/>
      <c r="BK155" s="204"/>
      <c r="BL155" s="204"/>
      <c r="BM155" s="204"/>
      <c r="BN155" s="204"/>
      <c r="BO155" s="205"/>
      <c r="BP155" s="204"/>
      <c r="BQ155" s="204"/>
      <c r="BR155" s="204"/>
      <c r="BS155" s="204"/>
      <c r="BT155" s="204"/>
      <c r="BU155" s="204"/>
      <c r="BV155" s="204"/>
      <c r="BW155" s="204"/>
      <c r="BX155" s="204"/>
      <c r="BY155" s="204"/>
      <c r="BZ155" s="204"/>
      <c r="CA155" s="204"/>
      <c r="CB155" s="204"/>
    </row>
    <row r="156" spans="1:80" x14ac:dyDescent="0.45">
      <c r="A156" s="213" t="s">
        <v>386</v>
      </c>
      <c r="B156" s="4" t="s">
        <v>17</v>
      </c>
      <c r="C156" s="9" t="s">
        <v>251</v>
      </c>
      <c r="D156" s="9" t="s">
        <v>21</v>
      </c>
      <c r="E156" s="201" t="s">
        <v>29</v>
      </c>
      <c r="F156" s="201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7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  <c r="BI156" s="205"/>
      <c r="BJ156" s="204"/>
      <c r="BK156" s="204"/>
      <c r="BL156" s="204"/>
      <c r="BM156" s="204"/>
      <c r="BN156" s="204"/>
      <c r="BO156" s="205"/>
      <c r="BP156" s="204"/>
      <c r="BQ156" s="204"/>
      <c r="BR156" s="204"/>
      <c r="BS156" s="204"/>
      <c r="BT156" s="204"/>
      <c r="BU156" s="204"/>
      <c r="BV156" s="204"/>
      <c r="BW156" s="204"/>
      <c r="BX156" s="204"/>
      <c r="BY156" s="204"/>
      <c r="BZ156" s="204"/>
      <c r="CA156" s="204"/>
      <c r="CB156" s="204"/>
    </row>
    <row r="157" spans="1:80" x14ac:dyDescent="0.45">
      <c r="A157" s="213" t="s">
        <v>386</v>
      </c>
      <c r="B157" s="4" t="s">
        <v>17</v>
      </c>
      <c r="C157" s="9" t="s">
        <v>251</v>
      </c>
      <c r="D157" s="9" t="s">
        <v>21</v>
      </c>
      <c r="E157" s="201" t="s">
        <v>29</v>
      </c>
      <c r="F157" s="201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7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  <c r="BI157" s="205"/>
      <c r="BJ157" s="204"/>
      <c r="BK157" s="204"/>
      <c r="BL157" s="204"/>
      <c r="BM157" s="204"/>
      <c r="BN157" s="204"/>
      <c r="BO157" s="205"/>
      <c r="BP157" s="204"/>
      <c r="BQ157" s="204"/>
      <c r="BR157" s="204"/>
      <c r="BS157" s="204"/>
      <c r="BT157" s="204"/>
      <c r="BU157" s="204"/>
      <c r="BV157" s="204"/>
      <c r="BW157" s="204"/>
      <c r="BX157" s="204"/>
      <c r="BY157" s="204"/>
      <c r="BZ157" s="204"/>
      <c r="CA157" s="204"/>
      <c r="CB157" s="204"/>
    </row>
    <row r="158" spans="1:80" x14ac:dyDescent="0.45">
      <c r="A158" s="213" t="s">
        <v>386</v>
      </c>
      <c r="B158" s="4" t="s">
        <v>17</v>
      </c>
      <c r="C158" s="9" t="s">
        <v>251</v>
      </c>
      <c r="D158" s="9" t="s">
        <v>21</v>
      </c>
      <c r="E158" s="201" t="s">
        <v>29</v>
      </c>
      <c r="F158" s="201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7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  <c r="BI158" s="205"/>
      <c r="BJ158" s="204"/>
      <c r="BK158" s="204"/>
      <c r="BL158" s="204"/>
      <c r="BM158" s="204"/>
      <c r="BN158" s="204"/>
      <c r="BO158" s="205"/>
      <c r="BP158" s="204"/>
      <c r="BQ158" s="204"/>
      <c r="BR158" s="204"/>
      <c r="BS158" s="204"/>
      <c r="BT158" s="204"/>
      <c r="BU158" s="204"/>
      <c r="BV158" s="204"/>
      <c r="BW158" s="204"/>
      <c r="BX158" s="204"/>
      <c r="BY158" s="204"/>
      <c r="BZ158" s="204"/>
      <c r="CA158" s="204"/>
      <c r="CB158" s="204"/>
    </row>
    <row r="159" spans="1:80" x14ac:dyDescent="0.45">
      <c r="A159" s="213" t="s">
        <v>386</v>
      </c>
      <c r="B159" s="4" t="s">
        <v>17</v>
      </c>
      <c r="C159" s="9" t="s">
        <v>251</v>
      </c>
      <c r="D159" s="9" t="s">
        <v>21</v>
      </c>
      <c r="E159" s="201" t="s">
        <v>29</v>
      </c>
      <c r="F159" s="201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7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  <c r="BI159" s="205"/>
      <c r="BJ159" s="204"/>
      <c r="BK159" s="204"/>
      <c r="BL159" s="204"/>
      <c r="BM159" s="204"/>
      <c r="BN159" s="204"/>
      <c r="BO159" s="205"/>
      <c r="BP159" s="204"/>
      <c r="BQ159" s="204"/>
      <c r="BR159" s="204"/>
      <c r="BS159" s="204"/>
      <c r="BT159" s="204"/>
      <c r="BU159" s="204"/>
      <c r="BV159" s="204"/>
      <c r="BW159" s="204"/>
      <c r="BX159" s="204"/>
      <c r="BY159" s="204"/>
      <c r="BZ159" s="204"/>
      <c r="CA159" s="204"/>
      <c r="CB159" s="204"/>
    </row>
    <row r="160" spans="1:80" x14ac:dyDescent="0.45">
      <c r="A160" s="213" t="s">
        <v>386</v>
      </c>
      <c r="B160" s="4" t="s">
        <v>17</v>
      </c>
      <c r="C160" s="9" t="s">
        <v>251</v>
      </c>
      <c r="D160" s="9" t="s">
        <v>21</v>
      </c>
      <c r="E160" s="201" t="s">
        <v>29</v>
      </c>
      <c r="F160" s="201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7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  <c r="BI160" s="205"/>
      <c r="BJ160" s="204"/>
      <c r="BK160" s="204"/>
      <c r="BL160" s="204"/>
      <c r="BM160" s="204"/>
      <c r="BN160" s="204"/>
      <c r="BO160" s="205"/>
      <c r="BP160" s="204"/>
      <c r="BQ160" s="204"/>
      <c r="BR160" s="204"/>
      <c r="BS160" s="204"/>
      <c r="BT160" s="204"/>
      <c r="BU160" s="204"/>
      <c r="BV160" s="204"/>
      <c r="BW160" s="204"/>
      <c r="BX160" s="204"/>
      <c r="BY160" s="204"/>
      <c r="BZ160" s="204"/>
      <c r="CA160" s="204"/>
      <c r="CB160" s="204"/>
    </row>
    <row r="161" spans="1:80" x14ac:dyDescent="0.45">
      <c r="A161" s="213" t="s">
        <v>386</v>
      </c>
      <c r="B161" s="4" t="s">
        <v>17</v>
      </c>
      <c r="C161" s="9" t="s">
        <v>251</v>
      </c>
      <c r="D161" s="9" t="s">
        <v>21</v>
      </c>
      <c r="E161" s="201" t="s">
        <v>29</v>
      </c>
      <c r="F161" s="201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7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  <c r="BI161" s="205"/>
      <c r="BJ161" s="204"/>
      <c r="BK161" s="204"/>
      <c r="BL161" s="204"/>
      <c r="BM161" s="204"/>
      <c r="BN161" s="204"/>
      <c r="BO161" s="205"/>
      <c r="BP161" s="204"/>
      <c r="BQ161" s="204"/>
      <c r="BR161" s="204"/>
      <c r="BS161" s="204"/>
      <c r="BT161" s="204"/>
      <c r="BU161" s="204"/>
      <c r="BV161" s="204"/>
      <c r="BW161" s="204"/>
      <c r="BX161" s="204"/>
      <c r="BY161" s="204"/>
      <c r="BZ161" s="204"/>
      <c r="CA161" s="204"/>
      <c r="CB161" s="204"/>
    </row>
    <row r="162" spans="1:80" x14ac:dyDescent="0.45">
      <c r="A162" s="213" t="s">
        <v>386</v>
      </c>
      <c r="B162" s="4" t="s">
        <v>17</v>
      </c>
      <c r="C162" s="9" t="s">
        <v>251</v>
      </c>
      <c r="D162" s="9" t="s">
        <v>21</v>
      </c>
      <c r="E162" s="201" t="s">
        <v>29</v>
      </c>
      <c r="F162" s="201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7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  <c r="BI162" s="205"/>
      <c r="BJ162" s="204"/>
      <c r="BK162" s="204"/>
      <c r="BL162" s="204"/>
      <c r="BM162" s="204"/>
      <c r="BN162" s="204"/>
      <c r="BO162" s="205"/>
      <c r="BP162" s="204"/>
      <c r="BQ162" s="204"/>
      <c r="BR162" s="204"/>
      <c r="BS162" s="204"/>
      <c r="BT162" s="204"/>
      <c r="BU162" s="204"/>
      <c r="BV162" s="204"/>
      <c r="BW162" s="204"/>
      <c r="BX162" s="204"/>
      <c r="BY162" s="204"/>
      <c r="BZ162" s="204"/>
      <c r="CA162" s="204"/>
      <c r="CB162" s="204"/>
    </row>
    <row r="163" spans="1:80" x14ac:dyDescent="0.45">
      <c r="A163" s="213" t="s">
        <v>386</v>
      </c>
      <c r="B163" s="4" t="s">
        <v>17</v>
      </c>
      <c r="C163" s="9" t="s">
        <v>251</v>
      </c>
      <c r="D163" s="9" t="s">
        <v>21</v>
      </c>
      <c r="E163" s="201" t="s">
        <v>29</v>
      </c>
      <c r="F163" s="201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7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5"/>
      <c r="BJ163" s="204"/>
      <c r="BK163" s="204"/>
      <c r="BL163" s="204"/>
      <c r="BM163" s="204"/>
      <c r="BN163" s="204"/>
      <c r="BO163" s="205"/>
      <c r="BP163" s="204"/>
      <c r="BQ163" s="204"/>
      <c r="BR163" s="204"/>
      <c r="BS163" s="204"/>
      <c r="BT163" s="204"/>
      <c r="BU163" s="204"/>
      <c r="BV163" s="204"/>
      <c r="BW163" s="204"/>
      <c r="BX163" s="204"/>
      <c r="BY163" s="204"/>
      <c r="BZ163" s="204"/>
      <c r="CA163" s="204"/>
      <c r="CB163" s="204"/>
    </row>
    <row r="164" spans="1:80" x14ac:dyDescent="0.45">
      <c r="A164" s="213" t="s">
        <v>386</v>
      </c>
      <c r="B164" s="4" t="s">
        <v>17</v>
      </c>
      <c r="C164" s="9" t="s">
        <v>251</v>
      </c>
      <c r="D164" s="9" t="s">
        <v>21</v>
      </c>
      <c r="E164" s="201" t="s">
        <v>29</v>
      </c>
      <c r="F164" s="201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7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  <c r="BI164" s="205"/>
      <c r="BJ164" s="204"/>
      <c r="BK164" s="204"/>
      <c r="BL164" s="204"/>
      <c r="BM164" s="204"/>
      <c r="BN164" s="204"/>
      <c r="BO164" s="205"/>
      <c r="BP164" s="204"/>
      <c r="BQ164" s="204"/>
      <c r="BR164" s="204"/>
      <c r="BS164" s="204"/>
      <c r="BT164" s="204"/>
      <c r="BU164" s="204"/>
      <c r="BV164" s="204"/>
      <c r="BW164" s="204"/>
      <c r="BX164" s="204"/>
      <c r="BY164" s="204"/>
      <c r="BZ164" s="204"/>
      <c r="CA164" s="204"/>
      <c r="CB164" s="204"/>
    </row>
    <row r="165" spans="1:80" x14ac:dyDescent="0.45">
      <c r="A165" s="213" t="s">
        <v>386</v>
      </c>
      <c r="B165" s="4" t="s">
        <v>17</v>
      </c>
      <c r="C165" s="9" t="s">
        <v>251</v>
      </c>
      <c r="D165" s="9" t="s">
        <v>21</v>
      </c>
      <c r="E165" s="201" t="s">
        <v>29</v>
      </c>
      <c r="F165" s="201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7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  <c r="BI165" s="205"/>
      <c r="BJ165" s="204"/>
      <c r="BK165" s="204"/>
      <c r="BL165" s="204"/>
      <c r="BM165" s="204"/>
      <c r="BN165" s="204"/>
      <c r="BO165" s="205"/>
      <c r="BP165" s="204"/>
      <c r="BQ165" s="204"/>
      <c r="BR165" s="204"/>
      <c r="BS165" s="204"/>
      <c r="BT165" s="204"/>
      <c r="BU165" s="204"/>
      <c r="BV165" s="204"/>
      <c r="BW165" s="204"/>
      <c r="BX165" s="204"/>
      <c r="BY165" s="204"/>
      <c r="BZ165" s="204"/>
      <c r="CA165" s="204"/>
      <c r="CB165" s="204"/>
    </row>
    <row r="166" spans="1:80" x14ac:dyDescent="0.45">
      <c r="A166" s="213" t="s">
        <v>386</v>
      </c>
      <c r="B166" s="4" t="s">
        <v>17</v>
      </c>
      <c r="C166" s="9" t="s">
        <v>251</v>
      </c>
      <c r="D166" s="9" t="s">
        <v>21</v>
      </c>
      <c r="E166" s="201" t="s">
        <v>29</v>
      </c>
      <c r="F166" s="201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7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  <c r="BI166" s="205"/>
      <c r="BJ166" s="204"/>
      <c r="BK166" s="204"/>
      <c r="BL166" s="204"/>
      <c r="BM166" s="204"/>
      <c r="BN166" s="204"/>
      <c r="BO166" s="205"/>
      <c r="BP166" s="204"/>
      <c r="BQ166" s="204"/>
      <c r="BR166" s="204"/>
      <c r="BS166" s="204"/>
      <c r="BT166" s="204"/>
      <c r="BU166" s="204"/>
      <c r="BV166" s="204"/>
      <c r="BW166" s="204"/>
      <c r="BX166" s="204"/>
      <c r="BY166" s="204"/>
      <c r="BZ166" s="204"/>
      <c r="CA166" s="204"/>
      <c r="CB166" s="204"/>
    </row>
    <row r="167" spans="1:80" x14ac:dyDescent="0.45">
      <c r="A167" s="213" t="s">
        <v>386</v>
      </c>
      <c r="B167" s="4" t="s">
        <v>17</v>
      </c>
      <c r="C167" s="9" t="s">
        <v>251</v>
      </c>
      <c r="D167" s="9" t="s">
        <v>21</v>
      </c>
      <c r="E167" s="201" t="s">
        <v>29</v>
      </c>
      <c r="F167" s="201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7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  <c r="BI167" s="205"/>
      <c r="BJ167" s="204"/>
      <c r="BK167" s="204"/>
      <c r="BL167" s="204"/>
      <c r="BM167" s="204"/>
      <c r="BN167" s="204"/>
      <c r="BO167" s="205"/>
      <c r="BP167" s="204"/>
      <c r="BQ167" s="204"/>
      <c r="BR167" s="204"/>
      <c r="BS167" s="204"/>
      <c r="BT167" s="204"/>
      <c r="BU167" s="204"/>
      <c r="BV167" s="204"/>
      <c r="BW167" s="204"/>
      <c r="BX167" s="204"/>
      <c r="BY167" s="204"/>
      <c r="BZ167" s="204"/>
      <c r="CA167" s="204"/>
      <c r="CB167" s="204"/>
    </row>
    <row r="168" spans="1:80" x14ac:dyDescent="0.45">
      <c r="A168" s="213" t="s">
        <v>386</v>
      </c>
      <c r="B168" s="4" t="s">
        <v>17</v>
      </c>
      <c r="C168" s="9" t="s">
        <v>251</v>
      </c>
      <c r="D168" s="9" t="s">
        <v>21</v>
      </c>
      <c r="E168" s="201" t="s">
        <v>29</v>
      </c>
      <c r="F168" s="201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7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  <c r="BI168" s="205"/>
      <c r="BJ168" s="204"/>
      <c r="BK168" s="204"/>
      <c r="BL168" s="204"/>
      <c r="BM168" s="204"/>
      <c r="BN168" s="204"/>
      <c r="BO168" s="205"/>
      <c r="BP168" s="204"/>
      <c r="BQ168" s="204"/>
      <c r="BR168" s="204"/>
      <c r="BS168" s="204"/>
      <c r="BT168" s="204"/>
      <c r="BU168" s="204"/>
      <c r="BV168" s="204"/>
      <c r="BW168" s="204"/>
      <c r="BX168" s="204"/>
      <c r="BY168" s="204"/>
      <c r="BZ168" s="204"/>
      <c r="CA168" s="204"/>
      <c r="CB168" s="204"/>
    </row>
    <row r="169" spans="1:80" x14ac:dyDescent="0.45">
      <c r="A169" s="213" t="s">
        <v>386</v>
      </c>
      <c r="B169" s="4" t="s">
        <v>17</v>
      </c>
      <c r="C169" s="9" t="s">
        <v>251</v>
      </c>
      <c r="D169" s="9" t="s">
        <v>21</v>
      </c>
      <c r="E169" s="201" t="s">
        <v>29</v>
      </c>
      <c r="F169" s="201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7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  <c r="BI169" s="205"/>
      <c r="BJ169" s="204"/>
      <c r="BK169" s="204"/>
      <c r="BL169" s="204"/>
      <c r="BM169" s="204"/>
      <c r="BN169" s="204"/>
      <c r="BO169" s="205"/>
      <c r="BP169" s="204"/>
      <c r="BQ169" s="204"/>
      <c r="BR169" s="204"/>
      <c r="BS169" s="204"/>
      <c r="BT169" s="204"/>
      <c r="BU169" s="204"/>
      <c r="BV169" s="204"/>
      <c r="BW169" s="204"/>
      <c r="BX169" s="204"/>
      <c r="BY169" s="204"/>
      <c r="BZ169" s="204"/>
      <c r="CA169" s="204"/>
      <c r="CB169" s="204"/>
    </row>
    <row r="170" spans="1:80" x14ac:dyDescent="0.45">
      <c r="A170" s="213" t="s">
        <v>386</v>
      </c>
      <c r="B170" s="4" t="s">
        <v>17</v>
      </c>
      <c r="C170" s="9" t="s">
        <v>251</v>
      </c>
      <c r="D170" s="9" t="s">
        <v>21</v>
      </c>
      <c r="E170" s="201" t="s">
        <v>29</v>
      </c>
      <c r="F170" s="201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7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  <c r="BI170" s="205"/>
      <c r="BJ170" s="204"/>
      <c r="BK170" s="204"/>
      <c r="BL170" s="204"/>
      <c r="BM170" s="204"/>
      <c r="BN170" s="204"/>
      <c r="BO170" s="205"/>
      <c r="BP170" s="204"/>
      <c r="BQ170" s="204"/>
      <c r="BR170" s="204"/>
      <c r="BS170" s="204"/>
      <c r="BT170" s="204"/>
      <c r="BU170" s="204"/>
      <c r="BV170" s="204"/>
      <c r="BW170" s="204"/>
      <c r="BX170" s="204"/>
      <c r="BY170" s="204"/>
      <c r="BZ170" s="204"/>
      <c r="CA170" s="204"/>
      <c r="CB170" s="204"/>
    </row>
    <row r="171" spans="1:80" x14ac:dyDescent="0.45">
      <c r="A171" s="213" t="s">
        <v>386</v>
      </c>
      <c r="B171" s="4" t="s">
        <v>17</v>
      </c>
      <c r="C171" s="9" t="s">
        <v>251</v>
      </c>
      <c r="D171" s="9" t="s">
        <v>21</v>
      </c>
      <c r="E171" s="201" t="s">
        <v>29</v>
      </c>
      <c r="F171" s="201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7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5"/>
      <c r="BJ171" s="204"/>
      <c r="BK171" s="204"/>
      <c r="BL171" s="204"/>
      <c r="BM171" s="204"/>
      <c r="BN171" s="204"/>
      <c r="BO171" s="205"/>
      <c r="BP171" s="204"/>
      <c r="BQ171" s="204"/>
      <c r="BR171" s="204"/>
      <c r="BS171" s="204"/>
      <c r="BT171" s="204"/>
      <c r="BU171" s="204"/>
      <c r="BV171" s="204"/>
      <c r="BW171" s="204"/>
      <c r="BX171" s="204"/>
      <c r="BY171" s="204"/>
      <c r="BZ171" s="204"/>
      <c r="CA171" s="204"/>
      <c r="CB171" s="204"/>
    </row>
    <row r="172" spans="1:80" x14ac:dyDescent="0.45">
      <c r="A172" s="213" t="s">
        <v>386</v>
      </c>
      <c r="B172" s="4" t="s">
        <v>17</v>
      </c>
      <c r="C172" s="9" t="s">
        <v>251</v>
      </c>
      <c r="D172" s="9" t="s">
        <v>21</v>
      </c>
      <c r="E172" s="201" t="s">
        <v>29</v>
      </c>
      <c r="F172" s="201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7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  <c r="BI172" s="205"/>
      <c r="BJ172" s="204"/>
      <c r="BK172" s="204"/>
      <c r="BL172" s="204"/>
      <c r="BM172" s="204"/>
      <c r="BN172" s="204"/>
      <c r="BO172" s="205"/>
      <c r="BP172" s="204"/>
      <c r="BQ172" s="204"/>
      <c r="BR172" s="204"/>
      <c r="BS172" s="204"/>
      <c r="BT172" s="204"/>
      <c r="BU172" s="204"/>
      <c r="BV172" s="204"/>
      <c r="BW172" s="204"/>
      <c r="BX172" s="204"/>
      <c r="BY172" s="204"/>
      <c r="BZ172" s="204"/>
      <c r="CA172" s="204"/>
      <c r="CB172" s="204"/>
    </row>
    <row r="173" spans="1:80" x14ac:dyDescent="0.45">
      <c r="A173" s="213" t="s">
        <v>386</v>
      </c>
      <c r="B173" s="4" t="s">
        <v>17</v>
      </c>
      <c r="C173" s="9" t="s">
        <v>251</v>
      </c>
      <c r="D173" s="9" t="s">
        <v>21</v>
      </c>
      <c r="E173" s="201" t="s">
        <v>29</v>
      </c>
      <c r="F173" s="201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7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  <c r="BI173" s="205"/>
      <c r="BJ173" s="204"/>
      <c r="BK173" s="204"/>
      <c r="BL173" s="204"/>
      <c r="BM173" s="204"/>
      <c r="BN173" s="204"/>
      <c r="BO173" s="205"/>
      <c r="BP173" s="204"/>
      <c r="BQ173" s="204"/>
      <c r="BR173" s="204"/>
      <c r="BS173" s="204"/>
      <c r="BT173" s="204"/>
      <c r="BU173" s="204"/>
      <c r="BV173" s="204"/>
      <c r="BW173" s="204"/>
      <c r="BX173" s="204"/>
      <c r="BY173" s="204"/>
      <c r="BZ173" s="204"/>
      <c r="CA173" s="204"/>
      <c r="CB173" s="204"/>
    </row>
    <row r="174" spans="1:80" x14ac:dyDescent="0.45">
      <c r="A174" s="213" t="s">
        <v>386</v>
      </c>
      <c r="B174" s="4" t="s">
        <v>17</v>
      </c>
      <c r="C174" s="9" t="s">
        <v>251</v>
      </c>
      <c r="D174" s="9" t="s">
        <v>21</v>
      </c>
      <c r="E174" s="201" t="s">
        <v>29</v>
      </c>
      <c r="F174" s="201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7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  <c r="BI174" s="205"/>
      <c r="BJ174" s="204"/>
      <c r="BK174" s="204"/>
      <c r="BL174" s="204"/>
      <c r="BM174" s="204"/>
      <c r="BN174" s="204"/>
      <c r="BO174" s="205"/>
      <c r="BP174" s="204"/>
      <c r="BQ174" s="204"/>
      <c r="BR174" s="204"/>
      <c r="BS174" s="204"/>
      <c r="BT174" s="204"/>
      <c r="BU174" s="204"/>
      <c r="BV174" s="204"/>
      <c r="BW174" s="204"/>
      <c r="BX174" s="204"/>
      <c r="BY174" s="204"/>
      <c r="BZ174" s="204"/>
      <c r="CA174" s="204"/>
      <c r="CB174" s="204"/>
    </row>
    <row r="175" spans="1:80" x14ac:dyDescent="0.45">
      <c r="A175" s="213" t="s">
        <v>386</v>
      </c>
      <c r="B175" s="4" t="s">
        <v>17</v>
      </c>
      <c r="C175" s="9" t="s">
        <v>377</v>
      </c>
      <c r="D175" s="9" t="s">
        <v>21</v>
      </c>
      <c r="E175" s="201" t="s">
        <v>29</v>
      </c>
      <c r="F175" s="201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7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  <c r="BI175" s="205"/>
      <c r="BJ175" s="204"/>
      <c r="BK175" s="204"/>
      <c r="BL175" s="204"/>
      <c r="BM175" s="204"/>
      <c r="BN175" s="204"/>
      <c r="BO175" s="205"/>
      <c r="BP175" s="204"/>
      <c r="BQ175" s="204"/>
      <c r="BR175" s="204"/>
      <c r="BS175" s="204"/>
      <c r="BT175" s="204"/>
      <c r="BU175" s="204"/>
      <c r="BV175" s="204"/>
      <c r="BW175" s="204"/>
      <c r="BX175" s="204"/>
      <c r="BY175" s="204"/>
      <c r="BZ175" s="204"/>
      <c r="CA175" s="204"/>
      <c r="CB175" s="204"/>
    </row>
    <row r="176" spans="1:80" x14ac:dyDescent="0.45">
      <c r="A176" s="213" t="s">
        <v>386</v>
      </c>
      <c r="B176" s="4" t="s">
        <v>17</v>
      </c>
      <c r="C176" s="9" t="s">
        <v>377</v>
      </c>
      <c r="D176" s="9" t="s">
        <v>21</v>
      </c>
      <c r="E176" s="201" t="s">
        <v>29</v>
      </c>
      <c r="F176" s="201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7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  <c r="BI176" s="205"/>
      <c r="BJ176" s="204"/>
      <c r="BK176" s="204"/>
      <c r="BL176" s="204"/>
      <c r="BM176" s="204"/>
      <c r="BN176" s="204"/>
      <c r="BO176" s="205"/>
      <c r="BP176" s="204"/>
      <c r="BQ176" s="204"/>
      <c r="BR176" s="204"/>
      <c r="BS176" s="204"/>
      <c r="BT176" s="204"/>
      <c r="BU176" s="204"/>
      <c r="BV176" s="204"/>
      <c r="BW176" s="204"/>
      <c r="BX176" s="204"/>
      <c r="BY176" s="204"/>
      <c r="BZ176" s="204"/>
      <c r="CA176" s="204"/>
      <c r="CB176" s="204"/>
    </row>
    <row r="177" spans="1:80" x14ac:dyDescent="0.45">
      <c r="A177" s="213" t="s">
        <v>386</v>
      </c>
      <c r="B177" s="4" t="s">
        <v>17</v>
      </c>
      <c r="C177" s="9" t="s">
        <v>377</v>
      </c>
      <c r="D177" s="9" t="s">
        <v>21</v>
      </c>
      <c r="E177" s="201" t="s">
        <v>29</v>
      </c>
      <c r="F177" s="201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7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5"/>
      <c r="BJ177" s="204"/>
      <c r="BK177" s="204"/>
      <c r="BL177" s="204"/>
      <c r="BM177" s="204"/>
      <c r="BN177" s="204"/>
      <c r="BO177" s="205"/>
      <c r="BP177" s="204"/>
      <c r="BQ177" s="204"/>
      <c r="BR177" s="204"/>
      <c r="BS177" s="204"/>
      <c r="BT177" s="204"/>
      <c r="BU177" s="204"/>
      <c r="BV177" s="204"/>
      <c r="BW177" s="204"/>
      <c r="BX177" s="204"/>
      <c r="BY177" s="204"/>
      <c r="BZ177" s="204"/>
      <c r="CA177" s="204"/>
      <c r="CB177" s="204"/>
    </row>
    <row r="178" spans="1:80" x14ac:dyDescent="0.45">
      <c r="A178" s="213" t="s">
        <v>386</v>
      </c>
      <c r="B178" s="4" t="s">
        <v>17</v>
      </c>
      <c r="C178" s="9" t="s">
        <v>377</v>
      </c>
      <c r="D178" s="9" t="s">
        <v>21</v>
      </c>
      <c r="E178" s="201" t="s">
        <v>275</v>
      </c>
      <c r="F178" s="201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7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  <c r="BI178" s="205"/>
      <c r="BJ178" s="204"/>
      <c r="BK178" s="204"/>
      <c r="BL178" s="204"/>
      <c r="BM178" s="204"/>
      <c r="BN178" s="204"/>
      <c r="BO178" s="205"/>
      <c r="BP178" s="204"/>
      <c r="BQ178" s="204"/>
      <c r="BR178" s="204"/>
      <c r="BS178" s="204"/>
      <c r="BT178" s="204"/>
      <c r="BU178" s="204"/>
      <c r="BV178" s="204"/>
      <c r="BW178" s="204"/>
      <c r="BX178" s="204"/>
      <c r="BY178" s="204"/>
      <c r="BZ178" s="204"/>
      <c r="CA178" s="204"/>
      <c r="CB178" s="204"/>
    </row>
    <row r="179" spans="1:80" x14ac:dyDescent="0.45">
      <c r="A179" s="213" t="s">
        <v>386</v>
      </c>
      <c r="B179" s="4" t="s">
        <v>17</v>
      </c>
      <c r="C179" s="9" t="s">
        <v>377</v>
      </c>
      <c r="D179" s="9" t="s">
        <v>21</v>
      </c>
      <c r="E179" s="201" t="s">
        <v>275</v>
      </c>
      <c r="F179" s="201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7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5"/>
      <c r="BJ179" s="204"/>
      <c r="BK179" s="204"/>
      <c r="BL179" s="204"/>
      <c r="BM179" s="204"/>
      <c r="BN179" s="204"/>
      <c r="BO179" s="205"/>
      <c r="BP179" s="204"/>
      <c r="BQ179" s="204"/>
      <c r="BR179" s="204"/>
      <c r="BS179" s="204"/>
      <c r="BT179" s="204"/>
      <c r="BU179" s="204"/>
      <c r="BV179" s="204"/>
      <c r="BW179" s="204"/>
      <c r="BX179" s="204"/>
      <c r="BY179" s="204"/>
      <c r="BZ179" s="204"/>
      <c r="CA179" s="204"/>
      <c r="CB179" s="204"/>
    </row>
    <row r="180" spans="1:80" x14ac:dyDescent="0.45">
      <c r="A180" s="213" t="s">
        <v>386</v>
      </c>
      <c r="B180" s="4" t="s">
        <v>17</v>
      </c>
      <c r="C180" s="9" t="s">
        <v>377</v>
      </c>
      <c r="D180" s="9" t="s">
        <v>21</v>
      </c>
      <c r="E180" s="201" t="s">
        <v>275</v>
      </c>
      <c r="F180" s="201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7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  <c r="BI180" s="205"/>
      <c r="BJ180" s="204"/>
      <c r="BK180" s="204"/>
      <c r="BL180" s="204"/>
      <c r="BM180" s="204"/>
      <c r="BN180" s="204"/>
      <c r="BO180" s="205"/>
      <c r="BP180" s="204"/>
      <c r="BQ180" s="204"/>
      <c r="BR180" s="204"/>
      <c r="BS180" s="204"/>
      <c r="BT180" s="204"/>
      <c r="BU180" s="204"/>
      <c r="BV180" s="204"/>
      <c r="BW180" s="204"/>
      <c r="BX180" s="204"/>
      <c r="BY180" s="204"/>
      <c r="BZ180" s="204"/>
      <c r="CA180" s="204"/>
      <c r="CB180" s="204"/>
    </row>
    <row r="181" spans="1:80" x14ac:dyDescent="0.45">
      <c r="A181" s="213" t="s">
        <v>386</v>
      </c>
      <c r="B181" s="4" t="s">
        <v>17</v>
      </c>
      <c r="C181" s="9" t="s">
        <v>377</v>
      </c>
      <c r="D181" s="9" t="s">
        <v>21</v>
      </c>
      <c r="E181" s="201" t="s">
        <v>275</v>
      </c>
      <c r="F181" s="201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7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  <c r="BI181" s="205"/>
      <c r="BJ181" s="204"/>
      <c r="BK181" s="204"/>
      <c r="BL181" s="204"/>
      <c r="BM181" s="204"/>
      <c r="BN181" s="204"/>
      <c r="BO181" s="205"/>
      <c r="BP181" s="204"/>
      <c r="BQ181" s="204"/>
      <c r="BR181" s="204"/>
      <c r="BS181" s="204"/>
      <c r="BT181" s="204"/>
      <c r="BU181" s="204"/>
      <c r="BV181" s="204"/>
      <c r="BW181" s="204"/>
      <c r="BX181" s="204"/>
      <c r="BY181" s="204"/>
      <c r="BZ181" s="204"/>
      <c r="CA181" s="204"/>
      <c r="CB181" s="204"/>
    </row>
    <row r="182" spans="1:80" x14ac:dyDescent="0.45">
      <c r="A182" s="213" t="s">
        <v>386</v>
      </c>
      <c r="B182" s="4" t="s">
        <v>17</v>
      </c>
      <c r="C182" s="9" t="s">
        <v>377</v>
      </c>
      <c r="D182" s="9" t="s">
        <v>21</v>
      </c>
      <c r="E182" s="201" t="s">
        <v>28</v>
      </c>
      <c r="F182" s="201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7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  <c r="BI182" s="205"/>
      <c r="BJ182" s="204"/>
      <c r="BK182" s="204"/>
      <c r="BL182" s="204"/>
      <c r="BM182" s="204"/>
      <c r="BN182" s="204"/>
      <c r="BO182" s="205"/>
      <c r="BP182" s="204"/>
      <c r="BQ182" s="204"/>
      <c r="BR182" s="204"/>
      <c r="BS182" s="204"/>
      <c r="BT182" s="204"/>
      <c r="BU182" s="204"/>
      <c r="BV182" s="204"/>
      <c r="BW182" s="204"/>
      <c r="BX182" s="204"/>
      <c r="BY182" s="204"/>
      <c r="BZ182" s="204"/>
      <c r="CA182" s="204"/>
      <c r="CB182" s="204"/>
    </row>
    <row r="183" spans="1:80" x14ac:dyDescent="0.45">
      <c r="A183" s="213" t="s">
        <v>386</v>
      </c>
      <c r="B183" s="4" t="s">
        <v>17</v>
      </c>
      <c r="C183" s="9" t="s">
        <v>377</v>
      </c>
      <c r="D183" s="9" t="s">
        <v>21</v>
      </c>
      <c r="E183" s="201" t="s">
        <v>28</v>
      </c>
      <c r="F183" s="201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7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  <c r="BI183" s="205"/>
      <c r="BJ183" s="204"/>
      <c r="BK183" s="204"/>
      <c r="BL183" s="204"/>
      <c r="BM183" s="204"/>
      <c r="BN183" s="204"/>
      <c r="BO183" s="205"/>
      <c r="BP183" s="204"/>
      <c r="BQ183" s="204"/>
      <c r="BR183" s="204"/>
      <c r="BS183" s="204"/>
      <c r="BT183" s="204"/>
      <c r="BU183" s="204"/>
      <c r="BV183" s="204"/>
      <c r="BW183" s="204"/>
      <c r="BX183" s="204"/>
      <c r="BY183" s="204"/>
      <c r="BZ183" s="204"/>
      <c r="CA183" s="204"/>
      <c r="CB183" s="204"/>
    </row>
    <row r="184" spans="1:80" x14ac:dyDescent="0.45">
      <c r="A184" s="213" t="s">
        <v>386</v>
      </c>
      <c r="B184" s="4" t="s">
        <v>17</v>
      </c>
      <c r="C184" s="9" t="s">
        <v>377</v>
      </c>
      <c r="D184" s="9" t="s">
        <v>21</v>
      </c>
      <c r="E184" s="201" t="s">
        <v>28</v>
      </c>
      <c r="F184" s="201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7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  <c r="BI184" s="205"/>
      <c r="BJ184" s="204"/>
      <c r="BK184" s="204"/>
      <c r="BL184" s="204"/>
      <c r="BM184" s="204"/>
      <c r="BN184" s="204"/>
      <c r="BO184" s="205"/>
      <c r="BP184" s="204"/>
      <c r="BQ184" s="204"/>
      <c r="BR184" s="204"/>
      <c r="BS184" s="204"/>
      <c r="BT184" s="204"/>
      <c r="BU184" s="204"/>
      <c r="BV184" s="204"/>
      <c r="BW184" s="204"/>
      <c r="BX184" s="204"/>
      <c r="BY184" s="204"/>
      <c r="BZ184" s="204"/>
      <c r="CA184" s="204"/>
      <c r="CB184" s="204"/>
    </row>
    <row r="185" spans="1:80" x14ac:dyDescent="0.45">
      <c r="A185" s="213" t="s">
        <v>386</v>
      </c>
      <c r="B185" s="4" t="s">
        <v>17</v>
      </c>
      <c r="C185" s="9" t="s">
        <v>377</v>
      </c>
      <c r="D185" s="9" t="s">
        <v>21</v>
      </c>
      <c r="E185" s="201" t="s">
        <v>28</v>
      </c>
      <c r="F185" s="201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7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  <c r="BI185" s="205"/>
      <c r="BJ185" s="204"/>
      <c r="BK185" s="204"/>
      <c r="BL185" s="204"/>
      <c r="BM185" s="204"/>
      <c r="BN185" s="204"/>
      <c r="BO185" s="205"/>
      <c r="BP185" s="204"/>
      <c r="BQ185" s="204"/>
      <c r="BR185" s="204"/>
      <c r="BS185" s="204"/>
      <c r="BT185" s="204"/>
      <c r="BU185" s="204"/>
      <c r="BV185" s="204"/>
      <c r="BW185" s="204"/>
      <c r="BX185" s="204"/>
      <c r="BY185" s="204"/>
      <c r="BZ185" s="204"/>
      <c r="CA185" s="204"/>
      <c r="CB185" s="204"/>
    </row>
    <row r="186" spans="1:80" x14ac:dyDescent="0.45">
      <c r="A186" s="213" t="s">
        <v>386</v>
      </c>
      <c r="B186" s="4" t="s">
        <v>17</v>
      </c>
      <c r="C186" s="9" t="s">
        <v>377</v>
      </c>
      <c r="D186" s="9" t="s">
        <v>21</v>
      </c>
      <c r="E186" s="201" t="s">
        <v>28</v>
      </c>
      <c r="F186" s="201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7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  <c r="BI186" s="205"/>
      <c r="BJ186" s="204"/>
      <c r="BK186" s="204"/>
      <c r="BL186" s="204"/>
      <c r="BM186" s="204"/>
      <c r="BN186" s="204"/>
      <c r="BO186" s="205"/>
      <c r="BP186" s="204"/>
      <c r="BQ186" s="204"/>
      <c r="BR186" s="204"/>
      <c r="BS186" s="204"/>
      <c r="BT186" s="204"/>
      <c r="BU186" s="204"/>
      <c r="BV186" s="204"/>
      <c r="BW186" s="204"/>
      <c r="BX186" s="204"/>
      <c r="BY186" s="204"/>
      <c r="BZ186" s="204"/>
      <c r="CA186" s="204"/>
      <c r="CB186" s="204"/>
    </row>
    <row r="187" spans="1:80" x14ac:dyDescent="0.45">
      <c r="A187" s="213" t="s">
        <v>386</v>
      </c>
      <c r="B187" s="4" t="s">
        <v>17</v>
      </c>
      <c r="C187" s="9" t="s">
        <v>378</v>
      </c>
      <c r="D187" s="9" t="s">
        <v>21</v>
      </c>
      <c r="E187" s="201" t="s">
        <v>28</v>
      </c>
      <c r="F187" s="201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7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5"/>
      <c r="BJ187" s="204"/>
      <c r="BK187" s="204"/>
      <c r="BL187" s="204"/>
      <c r="BM187" s="204"/>
      <c r="BN187" s="204"/>
      <c r="BO187" s="205"/>
      <c r="BP187" s="204"/>
      <c r="BQ187" s="204"/>
      <c r="BR187" s="204"/>
      <c r="BS187" s="204"/>
      <c r="BT187" s="204"/>
      <c r="BU187" s="204"/>
      <c r="BV187" s="204"/>
      <c r="BW187" s="204"/>
      <c r="BX187" s="204"/>
      <c r="BY187" s="204"/>
      <c r="BZ187" s="204"/>
      <c r="CA187" s="204"/>
      <c r="CB187" s="204"/>
    </row>
    <row r="188" spans="1:80" x14ac:dyDescent="0.45">
      <c r="A188" s="213" t="s">
        <v>386</v>
      </c>
      <c r="B188" s="4" t="s">
        <v>17</v>
      </c>
      <c r="C188" s="9" t="s">
        <v>377</v>
      </c>
      <c r="D188" s="9" t="s">
        <v>21</v>
      </c>
      <c r="E188" s="201" t="s">
        <v>108</v>
      </c>
      <c r="F188" s="201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7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  <c r="BI188" s="205"/>
      <c r="BJ188" s="204"/>
      <c r="BK188" s="204"/>
      <c r="BL188" s="204"/>
      <c r="BM188" s="204"/>
      <c r="BN188" s="204"/>
      <c r="BO188" s="205"/>
      <c r="BP188" s="204"/>
      <c r="BQ188" s="204"/>
      <c r="BR188" s="204"/>
      <c r="BS188" s="204"/>
      <c r="BT188" s="204"/>
      <c r="BU188" s="204"/>
      <c r="BV188" s="204"/>
      <c r="BW188" s="204"/>
      <c r="BX188" s="204"/>
      <c r="BY188" s="204"/>
      <c r="BZ188" s="204"/>
      <c r="CA188" s="204"/>
      <c r="CB188" s="204"/>
    </row>
    <row r="189" spans="1:80" x14ac:dyDescent="0.45">
      <c r="A189" s="213" t="s">
        <v>386</v>
      </c>
      <c r="B189" s="4" t="s">
        <v>17</v>
      </c>
      <c r="C189" s="9" t="s">
        <v>380</v>
      </c>
      <c r="D189" s="9" t="s">
        <v>21</v>
      </c>
      <c r="E189" s="201" t="s">
        <v>29</v>
      </c>
      <c r="F189" s="201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7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  <c r="BI189" s="205"/>
      <c r="BJ189" s="204"/>
      <c r="BK189" s="204"/>
      <c r="BL189" s="204"/>
      <c r="BM189" s="204"/>
      <c r="BN189" s="204"/>
      <c r="BO189" s="205"/>
      <c r="BP189" s="204"/>
      <c r="BQ189" s="204"/>
      <c r="BR189" s="204"/>
      <c r="BS189" s="204"/>
      <c r="BT189" s="204"/>
      <c r="BU189" s="204"/>
      <c r="BV189" s="204"/>
      <c r="BW189" s="204"/>
      <c r="BX189" s="204"/>
      <c r="BY189" s="204"/>
      <c r="BZ189" s="204"/>
      <c r="CA189" s="204"/>
      <c r="CB189" s="204"/>
    </row>
    <row r="190" spans="1:80" x14ac:dyDescent="0.45">
      <c r="A190" s="213" t="s">
        <v>386</v>
      </c>
      <c r="B190" s="4" t="s">
        <v>17</v>
      </c>
      <c r="C190" s="9" t="s">
        <v>379</v>
      </c>
      <c r="D190" s="9" t="s">
        <v>21</v>
      </c>
      <c r="E190" s="201" t="s">
        <v>108</v>
      </c>
      <c r="F190" s="201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7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  <c r="BI190" s="205"/>
      <c r="BJ190" s="204"/>
      <c r="BK190" s="204"/>
      <c r="BL190" s="204"/>
      <c r="BM190" s="204"/>
      <c r="BN190" s="204"/>
      <c r="BO190" s="205"/>
      <c r="BP190" s="204"/>
      <c r="BQ190" s="204"/>
      <c r="BR190" s="204"/>
      <c r="BS190" s="204"/>
      <c r="BT190" s="204"/>
      <c r="BU190" s="204"/>
      <c r="BV190" s="204"/>
      <c r="BW190" s="204"/>
      <c r="BX190" s="204"/>
      <c r="BY190" s="204"/>
      <c r="BZ190" s="204"/>
      <c r="CA190" s="204"/>
      <c r="CB190" s="204"/>
    </row>
    <row r="191" spans="1:80" x14ac:dyDescent="0.45">
      <c r="A191" s="213" t="s">
        <v>386</v>
      </c>
      <c r="B191" s="4" t="s">
        <v>17</v>
      </c>
      <c r="C191" s="9" t="s">
        <v>379</v>
      </c>
      <c r="D191" s="9" t="s">
        <v>21</v>
      </c>
      <c r="E191" s="201" t="s">
        <v>108</v>
      </c>
      <c r="F191" s="201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7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  <c r="BI191" s="205"/>
      <c r="BJ191" s="204"/>
      <c r="BK191" s="204"/>
      <c r="BL191" s="204"/>
      <c r="BM191" s="204"/>
      <c r="BN191" s="204"/>
      <c r="BO191" s="205"/>
      <c r="BP191" s="204"/>
      <c r="BQ191" s="204"/>
      <c r="BR191" s="204"/>
      <c r="BS191" s="204"/>
      <c r="BT191" s="204"/>
      <c r="BU191" s="204"/>
      <c r="BV191" s="204"/>
      <c r="BW191" s="204"/>
      <c r="BX191" s="204"/>
      <c r="BY191" s="204"/>
      <c r="BZ191" s="204"/>
      <c r="CA191" s="204"/>
      <c r="CB191" s="204"/>
    </row>
    <row r="192" spans="1:80" x14ac:dyDescent="0.45">
      <c r="A192" s="213" t="s">
        <v>386</v>
      </c>
      <c r="B192" s="4" t="s">
        <v>17</v>
      </c>
      <c r="C192" s="9" t="s">
        <v>377</v>
      </c>
      <c r="D192" s="9" t="s">
        <v>21</v>
      </c>
      <c r="E192" s="201" t="s">
        <v>29</v>
      </c>
      <c r="F192" s="201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7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  <c r="BI192" s="205"/>
      <c r="BJ192" s="204"/>
      <c r="BK192" s="204"/>
      <c r="BL192" s="204"/>
      <c r="BM192" s="204"/>
      <c r="BN192" s="204"/>
      <c r="BO192" s="205"/>
      <c r="BP192" s="204"/>
      <c r="BQ192" s="204"/>
      <c r="BR192" s="204"/>
      <c r="BS192" s="204"/>
      <c r="BT192" s="204"/>
      <c r="BU192" s="204"/>
      <c r="BV192" s="204"/>
      <c r="BW192" s="204"/>
      <c r="BX192" s="204"/>
      <c r="BY192" s="204"/>
      <c r="BZ192" s="204"/>
      <c r="CA192" s="204"/>
      <c r="CB192" s="204"/>
    </row>
    <row r="193" spans="1:80" x14ac:dyDescent="0.45">
      <c r="A193" s="213" t="s">
        <v>386</v>
      </c>
      <c r="B193" s="4" t="s">
        <v>17</v>
      </c>
      <c r="C193" s="9" t="s">
        <v>383</v>
      </c>
      <c r="D193" s="9" t="s">
        <v>21</v>
      </c>
      <c r="E193" s="201" t="s">
        <v>275</v>
      </c>
      <c r="F193" s="201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7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  <c r="BI193" s="205"/>
      <c r="BJ193" s="204"/>
      <c r="BK193" s="204"/>
      <c r="BL193" s="204"/>
      <c r="BM193" s="204"/>
      <c r="BN193" s="204"/>
      <c r="BO193" s="205"/>
      <c r="BP193" s="204"/>
      <c r="BQ193" s="204"/>
      <c r="BR193" s="204"/>
      <c r="BS193" s="204"/>
      <c r="BT193" s="204"/>
      <c r="BU193" s="204"/>
      <c r="BV193" s="204"/>
      <c r="BW193" s="204"/>
      <c r="BX193" s="204"/>
      <c r="BY193" s="204"/>
      <c r="BZ193" s="204"/>
      <c r="CA193" s="204"/>
      <c r="CB193" s="204"/>
    </row>
    <row r="194" spans="1:80" x14ac:dyDescent="0.45">
      <c r="A194" s="213" t="s">
        <v>386</v>
      </c>
      <c r="B194" s="4" t="s">
        <v>17</v>
      </c>
      <c r="C194" s="9" t="s">
        <v>379</v>
      </c>
      <c r="D194" s="9" t="s">
        <v>21</v>
      </c>
      <c r="E194" s="201" t="s">
        <v>108</v>
      </c>
      <c r="F194" s="201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7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  <c r="BI194" s="205"/>
      <c r="BJ194" s="204"/>
      <c r="BK194" s="204"/>
      <c r="BL194" s="204"/>
      <c r="BM194" s="204"/>
      <c r="BN194" s="204"/>
      <c r="BO194" s="205"/>
      <c r="BP194" s="204"/>
      <c r="BQ194" s="204"/>
      <c r="BR194" s="204"/>
      <c r="BS194" s="204"/>
      <c r="BT194" s="204"/>
      <c r="BU194" s="204"/>
      <c r="BV194" s="204"/>
      <c r="BW194" s="204"/>
      <c r="BX194" s="204"/>
      <c r="BY194" s="204"/>
      <c r="BZ194" s="204"/>
      <c r="CA194" s="204"/>
      <c r="CB194" s="204"/>
    </row>
    <row r="195" spans="1:80" x14ac:dyDescent="0.45">
      <c r="A195" s="213" t="s">
        <v>386</v>
      </c>
      <c r="B195" s="4" t="s">
        <v>17</v>
      </c>
      <c r="C195" s="9" t="s">
        <v>379</v>
      </c>
      <c r="D195" s="9" t="s">
        <v>21</v>
      </c>
      <c r="E195" s="201" t="s">
        <v>108</v>
      </c>
      <c r="F195" s="201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7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5"/>
      <c r="BJ195" s="204"/>
      <c r="BK195" s="204"/>
      <c r="BL195" s="204"/>
      <c r="BM195" s="204"/>
      <c r="BN195" s="204"/>
      <c r="BO195" s="205"/>
      <c r="BP195" s="204"/>
      <c r="BQ195" s="204"/>
      <c r="BR195" s="204"/>
      <c r="BS195" s="204"/>
      <c r="BT195" s="204"/>
      <c r="BU195" s="204"/>
      <c r="BV195" s="204"/>
      <c r="BW195" s="204"/>
      <c r="BX195" s="204"/>
      <c r="BY195" s="204"/>
      <c r="BZ195" s="204"/>
      <c r="CA195" s="204"/>
      <c r="CB195" s="204"/>
    </row>
    <row r="196" spans="1:80" x14ac:dyDescent="0.45">
      <c r="A196" s="213" t="s">
        <v>386</v>
      </c>
      <c r="B196" s="4" t="s">
        <v>17</v>
      </c>
      <c r="C196" s="9" t="s">
        <v>379</v>
      </c>
      <c r="D196" s="9" t="s">
        <v>21</v>
      </c>
      <c r="E196" s="201" t="s">
        <v>108</v>
      </c>
      <c r="F196" s="201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7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  <c r="BI196" s="205"/>
      <c r="BJ196" s="204"/>
      <c r="BK196" s="204"/>
      <c r="BL196" s="204"/>
      <c r="BM196" s="204"/>
      <c r="BN196" s="204"/>
      <c r="BO196" s="205"/>
      <c r="BP196" s="204"/>
      <c r="BQ196" s="204"/>
      <c r="BR196" s="204"/>
      <c r="BS196" s="204"/>
      <c r="BT196" s="204"/>
      <c r="BU196" s="204"/>
      <c r="BV196" s="204"/>
      <c r="BW196" s="204"/>
      <c r="BX196" s="204"/>
      <c r="BY196" s="204"/>
      <c r="BZ196" s="204"/>
      <c r="CA196" s="204"/>
      <c r="CB196" s="204"/>
    </row>
    <row r="197" spans="1:80" ht="10.35" customHeight="1" x14ac:dyDescent="0.45">
      <c r="D197" s="207"/>
      <c r="P197" s="1"/>
    </row>
    <row r="198" spans="1:80" ht="17.850000000000001" customHeight="1" x14ac:dyDescent="0.45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4" t="s">
        <v>15</v>
      </c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3"/>
      <c r="BJ198" s="202"/>
      <c r="BK198" s="202"/>
      <c r="BL198" s="202"/>
      <c r="BM198" s="202"/>
      <c r="BN198" s="202"/>
      <c r="BO198" s="203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</row>
    <row r="199" spans="1:80" x14ac:dyDescent="0.45">
      <c r="P199" s="1"/>
    </row>
    <row r="200" spans="1:80" x14ac:dyDescent="0.45"/>
    <row r="201" spans="1:80" x14ac:dyDescent="0.45"/>
    <row r="202" spans="1:80" x14ac:dyDescent="0.45"/>
    <row r="203" spans="1:80" x14ac:dyDescent="0.45"/>
    <row r="204" spans="1:80" x14ac:dyDescent="0.45"/>
    <row r="205" spans="1:80" x14ac:dyDescent="0.45"/>
    <row r="206" spans="1:80" x14ac:dyDescent="0.45"/>
    <row r="207" spans="1:80" x14ac:dyDescent="0.45"/>
    <row r="208" spans="1:80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  <row r="768" x14ac:dyDescent="0.45"/>
  </sheetData>
  <autoFilter ref="B49:CC49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3" priority="97" operator="equal">
      <formula>#REF!</formula>
    </cfRule>
  </conditionalFormatting>
  <conditionalFormatting sqref="G151:G196">
    <cfRule type="cellIs" dxfId="60" priority="32" operator="equal">
      <formula>#REF!</formula>
    </cfRule>
  </conditionalFormatting>
  <conditionalFormatting sqref="G198">
    <cfRule type="cellIs" dxfId="50" priority="21" operator="equal">
      <formula>#REF!</formula>
    </cfRule>
  </conditionalFormatting>
  <conditionalFormatting sqref="G56:H56">
    <cfRule type="cellIs" dxfId="45" priority="42" operator="equal">
      <formula>#REF!</formula>
    </cfRule>
  </conditionalFormatting>
  <conditionalFormatting sqref="H50:H55 H57:H124">
    <cfRule type="cellIs" dxfId="40" priority="6" operator="equal">
      <formula>#REF!</formula>
    </cfRule>
  </conditionalFormatting>
  <conditionalFormatting sqref="P9:P47 P49:P124">
    <cfRule type="cellIs" dxfId="38" priority="108" operator="lessThan">
      <formula>0</formula>
    </cfRule>
    <cfRule type="cellIs" dxfId="37" priority="109" operator="greaterThanOrEqual">
      <formula>0</formula>
    </cfRule>
  </conditionalFormatting>
  <conditionalFormatting sqref="P126:P149">
    <cfRule type="cellIs" dxfId="36" priority="34" operator="lessThan">
      <formula>0</formula>
    </cfRule>
    <cfRule type="cellIs" dxfId="35" priority="35" operator="greaterThanOrEqual">
      <formula>0</formula>
    </cfRule>
  </conditionalFormatting>
  <conditionalFormatting sqref="P151:P196">
    <cfRule type="cellIs" dxfId="34" priority="22" operator="lessThan">
      <formula>0</formula>
    </cfRule>
    <cfRule type="cellIs" dxfId="33" priority="23" operator="greaterThanOrEqual">
      <formula>0</formula>
    </cfRule>
  </conditionalFormatting>
  <conditionalFormatting sqref="P198">
    <cfRule type="cellIs" dxfId="32" priority="14" operator="greaterThanOrEqual">
      <formula>0</formula>
    </cfRule>
    <cfRule type="cellIs" dxfId="31" priority="13" operator="lessThan">
      <formula>0</formula>
    </cfRule>
  </conditionalFormatting>
  <conditionalFormatting sqref="R5">
    <cfRule type="cellIs" dxfId="30" priority="136" operator="notEqual">
      <formula>0</formula>
    </cfRule>
  </conditionalFormatting>
  <conditionalFormatting sqref="R10:CB47 R50:CB124 R127:CB130 R145:CB145">
    <cfRule type="cellIs" dxfId="29" priority="134" operator="greaterThan">
      <formula>0</formula>
    </cfRule>
  </conditionalFormatting>
  <conditionalFormatting sqref="R152:CB196">
    <cfRule type="cellIs" dxfId="28" priority="33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3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94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95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96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1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1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26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8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15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7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8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9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0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0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9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8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1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32DD3E56-43A3-44EB-BADE-7A65F6BD5E86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33B626B4-524B-43AD-9877-B926E4A5C585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263BE206-669E-4632-B9EE-60D4B14F51D9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E0C3E208-40D4-4A93-A10B-707378197F02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BB4487BA-8E3A-432C-9F65-81A78A682E14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47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 x14ac:dyDescent="0.25">
      <c r="A1" s="38"/>
    </row>
    <row r="2" spans="1:67" x14ac:dyDescent="0.25">
      <c r="A2" s="38"/>
    </row>
    <row r="3" spans="1:67" x14ac:dyDescent="0.25">
      <c r="A3" s="38"/>
    </row>
    <row r="4" spans="1:67" ht="2.25" customHeight="1" x14ac:dyDescent="0.25">
      <c r="A4" s="281"/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  <c r="BA4" s="281"/>
      <c r="BB4" s="281"/>
      <c r="BC4" s="281"/>
      <c r="BD4" s="281"/>
      <c r="BE4" s="281"/>
      <c r="BF4" s="281"/>
      <c r="BG4" s="281"/>
      <c r="BH4" s="281"/>
      <c r="BI4" s="281"/>
      <c r="BJ4" s="281"/>
      <c r="BK4" s="281"/>
      <c r="BL4" s="281"/>
      <c r="BM4" s="281"/>
      <c r="BN4" s="281"/>
    </row>
    <row r="6" spans="1:67" x14ac:dyDescent="0.25">
      <c r="B6" s="248" t="s">
        <v>326</v>
      </c>
      <c r="C6" s="249"/>
      <c r="D6" s="249"/>
      <c r="E6" s="249"/>
      <c r="F6" s="249"/>
      <c r="G6" s="249"/>
      <c r="H6" s="249"/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49"/>
      <c r="BK6" s="249"/>
      <c r="BL6" s="249"/>
      <c r="BM6" s="249"/>
      <c r="BN6" s="249"/>
    </row>
    <row r="7" spans="1:67" ht="18" thickBot="1" x14ac:dyDescent="0.3"/>
    <row r="8" spans="1:67" ht="18" thickBot="1" x14ac:dyDescent="0.3">
      <c r="F8" s="358" t="s">
        <v>292</v>
      </c>
      <c r="G8" s="359"/>
      <c r="J8" s="358" t="s">
        <v>293</v>
      </c>
      <c r="K8" s="359"/>
      <c r="L8" s="354" t="s">
        <v>294</v>
      </c>
      <c r="M8" s="354"/>
      <c r="N8" s="354"/>
      <c r="O8" s="354"/>
      <c r="P8" s="354"/>
      <c r="Q8" s="354" t="s">
        <v>295</v>
      </c>
      <c r="R8" s="354"/>
      <c r="S8" s="354"/>
      <c r="T8" s="354"/>
      <c r="U8" s="354"/>
      <c r="V8" s="354" t="s">
        <v>296</v>
      </c>
      <c r="W8" s="354"/>
      <c r="X8" s="354"/>
      <c r="Y8" s="354"/>
      <c r="Z8" s="354"/>
      <c r="AA8" s="354" t="s">
        <v>297</v>
      </c>
      <c r="AB8" s="354"/>
      <c r="AC8" s="354"/>
      <c r="AD8" s="354"/>
      <c r="AE8" s="354"/>
      <c r="AF8" s="354" t="s">
        <v>298</v>
      </c>
      <c r="AG8" s="354"/>
      <c r="AH8" s="354"/>
      <c r="AI8" s="354"/>
      <c r="AJ8" s="354"/>
      <c r="AK8" s="354" t="s">
        <v>299</v>
      </c>
      <c r="AL8" s="354"/>
      <c r="AM8" s="354"/>
      <c r="AN8" s="354"/>
      <c r="AO8" s="354"/>
      <c r="AP8" s="354" t="s">
        <v>300</v>
      </c>
      <c r="AQ8" s="354"/>
      <c r="AR8" s="354"/>
      <c r="AS8" s="354"/>
      <c r="AT8" s="354"/>
      <c r="AU8" s="354" t="s">
        <v>301</v>
      </c>
      <c r="AV8" s="354"/>
      <c r="AW8" s="354"/>
      <c r="AX8" s="354"/>
      <c r="AY8" s="354"/>
      <c r="AZ8" s="354" t="s">
        <v>302</v>
      </c>
      <c r="BA8" s="354"/>
      <c r="BB8" s="354"/>
      <c r="BC8" s="354"/>
      <c r="BD8" s="354"/>
      <c r="BE8" s="354" t="s">
        <v>303</v>
      </c>
      <c r="BF8" s="354"/>
      <c r="BG8" s="354"/>
      <c r="BH8" s="354"/>
      <c r="BI8" s="354"/>
      <c r="BJ8" s="354" t="s">
        <v>304</v>
      </c>
      <c r="BK8" s="354"/>
      <c r="BL8" s="354"/>
      <c r="BM8" s="354"/>
      <c r="BN8" s="358"/>
    </row>
    <row r="9" spans="1:67" ht="18" thickBot="1" x14ac:dyDescent="0.3">
      <c r="B9" s="250" t="s">
        <v>136</v>
      </c>
      <c r="C9" s="250" t="s">
        <v>305</v>
      </c>
      <c r="D9" s="251" t="s">
        <v>50</v>
      </c>
      <c r="E9" s="251" t="s">
        <v>5</v>
      </c>
      <c r="F9" s="252" t="s">
        <v>306</v>
      </c>
      <c r="G9" s="252" t="s">
        <v>307</v>
      </c>
      <c r="H9" s="250" t="s">
        <v>308</v>
      </c>
      <c r="I9" s="253"/>
      <c r="J9" s="355" t="s">
        <v>339</v>
      </c>
      <c r="K9" s="357"/>
      <c r="L9" s="355" t="s">
        <v>340</v>
      </c>
      <c r="M9" s="356"/>
      <c r="N9" s="356"/>
      <c r="O9" s="356"/>
      <c r="P9" s="357"/>
      <c r="Q9" s="355" t="s">
        <v>329</v>
      </c>
      <c r="R9" s="356"/>
      <c r="S9" s="356"/>
      <c r="T9" s="356"/>
      <c r="U9" s="357"/>
      <c r="V9" s="355" t="s">
        <v>330</v>
      </c>
      <c r="W9" s="356"/>
      <c r="X9" s="356"/>
      <c r="Y9" s="356"/>
      <c r="Z9" s="357"/>
      <c r="AA9" s="355" t="s">
        <v>331</v>
      </c>
      <c r="AB9" s="356"/>
      <c r="AC9" s="356"/>
      <c r="AD9" s="356"/>
      <c r="AE9" s="357"/>
      <c r="AF9" s="355" t="s">
        <v>337</v>
      </c>
      <c r="AG9" s="356"/>
      <c r="AH9" s="356"/>
      <c r="AI9" s="356"/>
      <c r="AJ9" s="357"/>
      <c r="AK9" s="355" t="s">
        <v>332</v>
      </c>
      <c r="AL9" s="356"/>
      <c r="AM9" s="356"/>
      <c r="AN9" s="356"/>
      <c r="AO9" s="357"/>
      <c r="AP9" s="355" t="s">
        <v>333</v>
      </c>
      <c r="AQ9" s="356"/>
      <c r="AR9" s="356"/>
      <c r="AS9" s="356"/>
      <c r="AT9" s="357"/>
      <c r="AU9" s="355" t="s">
        <v>334</v>
      </c>
      <c r="AV9" s="356"/>
      <c r="AW9" s="356"/>
      <c r="AX9" s="356"/>
      <c r="AY9" s="357"/>
      <c r="AZ9" s="355" t="s">
        <v>338</v>
      </c>
      <c r="BA9" s="356"/>
      <c r="BB9" s="356"/>
      <c r="BC9" s="356"/>
      <c r="BD9" s="357"/>
      <c r="BE9" s="355" t="s">
        <v>335</v>
      </c>
      <c r="BF9" s="356"/>
      <c r="BG9" s="356"/>
      <c r="BH9" s="356"/>
      <c r="BI9" s="357"/>
      <c r="BJ9" s="355" t="s">
        <v>336</v>
      </c>
      <c r="BK9" s="356"/>
      <c r="BL9" s="356"/>
      <c r="BM9" s="356"/>
      <c r="BN9" s="357"/>
      <c r="BO9" s="289"/>
    </row>
    <row r="10" spans="1:67" x14ac:dyDescent="0.25">
      <c r="B10" s="257" t="s">
        <v>416</v>
      </c>
      <c r="C10" s="257" t="s">
        <v>417</v>
      </c>
      <c r="D10" s="258"/>
      <c r="E10" s="285"/>
      <c r="F10" s="259"/>
      <c r="G10" s="259"/>
      <c r="H10" s="259"/>
      <c r="I10" s="260"/>
      <c r="J10" s="261"/>
      <c r="K10" s="261"/>
      <c r="L10" s="261"/>
      <c r="M10" s="217"/>
      <c r="N10" s="217"/>
      <c r="O10" s="217"/>
      <c r="P10" s="262"/>
      <c r="Q10" s="261"/>
      <c r="R10" s="217"/>
      <c r="S10" s="217"/>
      <c r="T10" s="217"/>
      <c r="U10" s="262"/>
      <c r="V10" s="261"/>
      <c r="W10" s="217"/>
      <c r="X10" s="217"/>
      <c r="Y10" s="217"/>
      <c r="Z10" s="262"/>
      <c r="AA10" s="261"/>
      <c r="AB10" s="263"/>
      <c r="AC10" s="263"/>
      <c r="AD10" s="217"/>
      <c r="AE10" s="262"/>
      <c r="AF10" s="261"/>
      <c r="AG10" s="283"/>
      <c r="AH10" s="217"/>
      <c r="AI10" s="217"/>
      <c r="AJ10" s="262"/>
      <c r="AK10" s="261"/>
      <c r="AL10" s="217"/>
      <c r="AM10" s="217"/>
      <c r="AN10" s="217"/>
      <c r="AO10" s="262"/>
      <c r="AP10" s="261"/>
      <c r="AQ10" s="217"/>
      <c r="AR10" s="217"/>
      <c r="AS10" s="217"/>
      <c r="AT10" s="264"/>
      <c r="AU10" s="261"/>
      <c r="AV10" s="217"/>
      <c r="AW10" s="217"/>
      <c r="AX10" s="217"/>
      <c r="AY10" s="264"/>
      <c r="AZ10" s="261"/>
      <c r="BA10" s="217"/>
      <c r="BB10" s="217"/>
      <c r="BC10" s="217"/>
      <c r="BD10" s="264"/>
      <c r="BE10" s="261"/>
      <c r="BF10" s="217"/>
      <c r="BG10" s="217"/>
      <c r="BH10" s="217"/>
      <c r="BI10" s="264"/>
      <c r="BJ10" s="261"/>
      <c r="BK10" s="217"/>
      <c r="BL10" s="217"/>
      <c r="BM10" s="217"/>
      <c r="BN10" s="264"/>
    </row>
    <row r="11" spans="1:67" ht="18" thickBot="1" x14ac:dyDescent="0.3">
      <c r="B11" s="265" t="s">
        <v>418</v>
      </c>
      <c r="C11" s="266" t="s">
        <v>419</v>
      </c>
      <c r="D11" s="291" t="s">
        <v>420</v>
      </c>
      <c r="E11" s="300" t="s">
        <v>310</v>
      </c>
      <c r="F11" s="268">
        <v>45659</v>
      </c>
      <c r="G11" s="268"/>
      <c r="H11" s="268"/>
      <c r="I11" s="260"/>
      <c r="J11" s="292" t="s">
        <v>317</v>
      </c>
      <c r="K11" s="262"/>
      <c r="L11" s="269"/>
      <c r="M11" s="217"/>
      <c r="N11" s="217"/>
      <c r="O11" s="292" t="s">
        <v>317</v>
      </c>
      <c r="P11" s="262"/>
      <c r="Q11" s="269"/>
      <c r="R11" s="217"/>
      <c r="S11" s="217"/>
      <c r="T11" s="292" t="s">
        <v>317</v>
      </c>
      <c r="U11" s="262"/>
      <c r="V11" s="269"/>
      <c r="W11" s="217"/>
      <c r="X11" s="217"/>
      <c r="Y11" s="292" t="s">
        <v>317</v>
      </c>
      <c r="Z11" s="262"/>
      <c r="AA11" s="269"/>
      <c r="AB11" s="263"/>
      <c r="AC11" s="263"/>
      <c r="AD11" s="292" t="s">
        <v>317</v>
      </c>
      <c r="AE11" s="262"/>
      <c r="AF11" s="269"/>
      <c r="AG11" s="283"/>
      <c r="AH11" s="217"/>
      <c r="AI11" s="292" t="s">
        <v>317</v>
      </c>
      <c r="AJ11" s="262"/>
      <c r="AK11" s="269"/>
      <c r="AL11" s="217"/>
      <c r="AM11" s="217"/>
      <c r="AN11" s="292" t="s">
        <v>317</v>
      </c>
      <c r="AO11" s="262"/>
      <c r="AP11" s="269"/>
      <c r="AQ11" s="217"/>
      <c r="AR11" s="217"/>
      <c r="AS11" s="292" t="s">
        <v>317</v>
      </c>
      <c r="AT11" s="264"/>
      <c r="AU11" s="269"/>
      <c r="AV11" s="217"/>
      <c r="AW11" s="217"/>
      <c r="AX11" s="292" t="s">
        <v>317</v>
      </c>
      <c r="AY11" s="264"/>
      <c r="AZ11" s="269"/>
      <c r="BA11" s="217"/>
      <c r="BB11" s="217"/>
      <c r="BC11" s="292" t="s">
        <v>317</v>
      </c>
      <c r="BD11" s="264"/>
      <c r="BE11" s="269"/>
      <c r="BF11" s="217"/>
      <c r="BG11" s="217"/>
      <c r="BH11" s="292" t="s">
        <v>317</v>
      </c>
      <c r="BI11" s="264"/>
      <c r="BJ11" s="269"/>
      <c r="BK11" s="217"/>
      <c r="BL11" s="217"/>
      <c r="BM11" s="292" t="s">
        <v>317</v>
      </c>
      <c r="BN11" s="264"/>
    </row>
    <row r="12" spans="1:67" ht="3.75" customHeight="1" thickBot="1" x14ac:dyDescent="0.3">
      <c r="B12" s="254"/>
      <c r="C12" s="255"/>
      <c r="D12" s="255"/>
      <c r="E12" s="255"/>
      <c r="F12" s="255"/>
      <c r="G12" s="255"/>
      <c r="H12" s="255"/>
      <c r="I12" s="255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</row>
    <row r="13" spans="1:67" x14ac:dyDescent="0.25">
      <c r="B13" s="257" t="s">
        <v>143</v>
      </c>
      <c r="C13" s="257" t="s">
        <v>399</v>
      </c>
      <c r="D13" s="258"/>
      <c r="E13" s="285"/>
      <c r="F13" s="259"/>
      <c r="G13" s="259"/>
      <c r="H13" s="259"/>
      <c r="I13" s="260"/>
      <c r="J13" s="261"/>
      <c r="K13" s="261"/>
      <c r="L13" s="261"/>
      <c r="M13" s="217"/>
      <c r="N13" s="217"/>
      <c r="O13" s="217"/>
      <c r="P13" s="262"/>
      <c r="Q13" s="261"/>
      <c r="R13" s="217"/>
      <c r="S13" s="217"/>
      <c r="T13" s="217"/>
      <c r="U13" s="262"/>
      <c r="V13" s="261"/>
      <c r="W13" s="217"/>
      <c r="X13" s="217"/>
      <c r="Y13" s="217"/>
      <c r="Z13" s="262"/>
      <c r="AA13" s="261"/>
      <c r="AB13" s="263"/>
      <c r="AC13" s="263"/>
      <c r="AD13" s="217"/>
      <c r="AE13" s="262"/>
      <c r="AF13" s="261"/>
      <c r="AG13" s="283"/>
      <c r="AH13" s="217"/>
      <c r="AI13" s="217"/>
      <c r="AJ13" s="262"/>
      <c r="AK13" s="261"/>
      <c r="AL13" s="217"/>
      <c r="AM13" s="217"/>
      <c r="AN13" s="217"/>
      <c r="AO13" s="262"/>
      <c r="AP13" s="261"/>
      <c r="AQ13" s="217"/>
      <c r="AR13" s="217"/>
      <c r="AS13" s="217"/>
      <c r="AT13" s="264"/>
      <c r="AU13" s="261"/>
      <c r="AV13" s="217"/>
      <c r="AW13" s="217"/>
      <c r="AX13" s="217"/>
      <c r="AY13" s="264"/>
      <c r="AZ13" s="261"/>
      <c r="BA13" s="217"/>
      <c r="BB13" s="217"/>
      <c r="BC13" s="217"/>
      <c r="BD13" s="264"/>
      <c r="BE13" s="261"/>
      <c r="BF13" s="217"/>
      <c r="BG13" s="217"/>
      <c r="BH13" s="217"/>
      <c r="BI13" s="264"/>
      <c r="BJ13" s="261"/>
      <c r="BK13" s="217"/>
      <c r="BL13" s="217"/>
      <c r="BM13" s="217"/>
      <c r="BN13" s="264"/>
    </row>
    <row r="14" spans="1:67" ht="18" thickBot="1" x14ac:dyDescent="0.3">
      <c r="B14" s="265" t="s">
        <v>309</v>
      </c>
      <c r="C14" s="266" t="s">
        <v>397</v>
      </c>
      <c r="D14" s="267" t="s">
        <v>121</v>
      </c>
      <c r="E14" s="241" t="s">
        <v>310</v>
      </c>
      <c r="F14" s="268">
        <v>45659</v>
      </c>
      <c r="G14" s="268">
        <v>45667</v>
      </c>
      <c r="H14" s="268"/>
      <c r="I14" s="260"/>
      <c r="J14" s="293"/>
      <c r="K14" s="294"/>
      <c r="L14" s="293"/>
      <c r="M14" s="295"/>
      <c r="N14" s="295"/>
      <c r="O14" s="295"/>
      <c r="P14" s="294"/>
      <c r="Q14" s="269"/>
      <c r="R14" s="217"/>
      <c r="S14" s="217"/>
      <c r="T14" s="217"/>
      <c r="U14" s="262"/>
      <c r="V14" s="269"/>
      <c r="W14" s="217"/>
      <c r="X14" s="217"/>
      <c r="Y14" s="217"/>
      <c r="Z14" s="262"/>
      <c r="AA14" s="269"/>
      <c r="AB14" s="263"/>
      <c r="AC14" s="263"/>
      <c r="AD14" s="217"/>
      <c r="AE14" s="262"/>
      <c r="AF14" s="269"/>
      <c r="AG14" s="283"/>
      <c r="AH14" s="217"/>
      <c r="AI14" s="217"/>
      <c r="AJ14" s="262"/>
      <c r="AK14" s="269"/>
      <c r="AL14" s="217"/>
      <c r="AM14" s="217"/>
      <c r="AN14" s="217"/>
      <c r="AO14" s="262"/>
      <c r="AP14" s="269"/>
      <c r="AQ14" s="217"/>
      <c r="AR14" s="217"/>
      <c r="AS14" s="217"/>
      <c r="AT14" s="264"/>
      <c r="AU14" s="269"/>
      <c r="AV14" s="217"/>
      <c r="AW14" s="217"/>
      <c r="AX14" s="217"/>
      <c r="AY14" s="264"/>
      <c r="AZ14" s="269"/>
      <c r="BA14" s="217"/>
      <c r="BB14" s="217"/>
      <c r="BC14" s="217"/>
      <c r="BD14" s="264"/>
      <c r="BE14" s="269"/>
      <c r="BF14" s="217"/>
      <c r="BG14" s="217"/>
      <c r="BH14" s="217"/>
      <c r="BI14" s="264"/>
      <c r="BJ14" s="269"/>
      <c r="BK14" s="217"/>
      <c r="BL14" s="217"/>
      <c r="BM14" s="217"/>
      <c r="BN14" s="264"/>
    </row>
    <row r="15" spans="1:67" ht="3.75" customHeight="1" thickBot="1" x14ac:dyDescent="0.3">
      <c r="B15" s="254"/>
      <c r="C15" s="255"/>
      <c r="D15" s="255"/>
      <c r="E15" s="243"/>
      <c r="F15" s="274"/>
      <c r="G15" s="274"/>
      <c r="H15" s="274"/>
      <c r="I15" s="255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</row>
    <row r="16" spans="1:67" x14ac:dyDescent="0.25">
      <c r="B16" s="257" t="s">
        <v>145</v>
      </c>
      <c r="C16" s="257" t="s">
        <v>406</v>
      </c>
      <c r="D16" s="258"/>
      <c r="E16" s="244"/>
      <c r="F16" s="259"/>
      <c r="G16" s="259"/>
      <c r="H16" s="259"/>
      <c r="I16" s="260"/>
      <c r="J16" s="261"/>
      <c r="K16" s="262"/>
      <c r="L16" s="269"/>
      <c r="M16" s="217"/>
      <c r="N16" s="217"/>
      <c r="O16" s="217"/>
      <c r="P16" s="262"/>
      <c r="Q16" s="269"/>
      <c r="R16" s="217"/>
      <c r="S16" s="217"/>
      <c r="T16" s="217"/>
      <c r="U16" s="262"/>
      <c r="V16" s="269"/>
      <c r="W16" s="217"/>
      <c r="X16" s="217"/>
      <c r="Y16" s="217"/>
      <c r="Z16" s="262"/>
      <c r="AA16" s="269"/>
      <c r="AB16" s="263"/>
      <c r="AC16" s="263"/>
      <c r="AD16" s="217"/>
      <c r="AE16" s="262"/>
      <c r="AF16" s="269"/>
      <c r="AG16" s="283"/>
      <c r="AH16" s="217"/>
      <c r="AI16" s="217"/>
      <c r="AJ16" s="262"/>
      <c r="AK16" s="269"/>
      <c r="AL16" s="217"/>
      <c r="AM16" s="217"/>
      <c r="AN16" s="217"/>
      <c r="AO16" s="262"/>
      <c r="AP16" s="269"/>
      <c r="AQ16" s="217"/>
      <c r="AR16" s="217"/>
      <c r="AS16" s="217"/>
      <c r="AT16" s="264"/>
      <c r="AU16" s="269"/>
      <c r="AV16" s="217"/>
      <c r="AW16" s="217"/>
      <c r="AX16" s="217"/>
      <c r="AY16" s="264"/>
      <c r="AZ16" s="269"/>
      <c r="BA16" s="217"/>
      <c r="BB16" s="217"/>
      <c r="BC16" s="217"/>
      <c r="BD16" s="264"/>
      <c r="BE16" s="269"/>
      <c r="BF16" s="217"/>
      <c r="BG16" s="217"/>
      <c r="BH16" s="217"/>
      <c r="BI16" s="264"/>
      <c r="BJ16" s="269"/>
      <c r="BK16" s="217"/>
      <c r="BL16" s="217"/>
      <c r="BM16" s="217"/>
      <c r="BN16" s="264"/>
    </row>
    <row r="17" spans="1:66" ht="18" thickBot="1" x14ac:dyDescent="0.3">
      <c r="B17" s="275" t="s">
        <v>311</v>
      </c>
      <c r="C17" s="276" t="s">
        <v>409</v>
      </c>
      <c r="D17" s="267" t="s">
        <v>121</v>
      </c>
      <c r="E17" s="298" t="s">
        <v>310</v>
      </c>
      <c r="F17" s="305" t="s">
        <v>421</v>
      </c>
      <c r="G17" s="305" t="s">
        <v>421</v>
      </c>
      <c r="H17" s="277"/>
      <c r="I17" s="260"/>
      <c r="J17" s="269"/>
      <c r="K17" s="262"/>
      <c r="L17" s="269"/>
      <c r="M17" s="217"/>
      <c r="N17" s="217"/>
      <c r="O17" s="217"/>
      <c r="P17" s="262"/>
      <c r="Q17" s="269"/>
      <c r="R17" s="217"/>
      <c r="S17" s="217"/>
      <c r="T17" s="217"/>
      <c r="U17" s="262"/>
      <c r="V17" s="269"/>
      <c r="W17" s="217"/>
      <c r="X17" s="217"/>
      <c r="Y17" s="217"/>
      <c r="Z17" s="262"/>
      <c r="AA17" s="269"/>
      <c r="AB17" s="263"/>
      <c r="AC17" s="263"/>
      <c r="AD17" s="217"/>
      <c r="AE17" s="262"/>
      <c r="AF17" s="269"/>
      <c r="AG17" s="283"/>
      <c r="AH17" s="217"/>
      <c r="AI17" s="217"/>
      <c r="AJ17" s="262"/>
      <c r="AK17" s="269"/>
      <c r="AL17" s="217"/>
      <c r="AM17" s="217"/>
      <c r="AN17" s="217"/>
      <c r="AO17" s="262"/>
      <c r="AP17" s="269"/>
      <c r="AQ17" s="217"/>
      <c r="AR17" s="217"/>
      <c r="AS17" s="217"/>
      <c r="AT17" s="264"/>
      <c r="AU17" s="269"/>
      <c r="AV17" s="217"/>
      <c r="AW17" s="217"/>
      <c r="AX17" s="217"/>
      <c r="AY17" s="264"/>
      <c r="AZ17" s="269"/>
      <c r="BA17" s="217"/>
      <c r="BB17" s="217"/>
      <c r="BC17" s="217"/>
      <c r="BD17" s="264"/>
      <c r="BE17" s="269"/>
      <c r="BF17" s="217"/>
      <c r="BG17" s="217"/>
      <c r="BH17" s="217"/>
      <c r="BI17" s="264"/>
      <c r="BJ17" s="269"/>
      <c r="BK17" s="217"/>
      <c r="BL17" s="217"/>
      <c r="BM17" s="217"/>
      <c r="BN17" s="264"/>
    </row>
    <row r="18" spans="1:66" ht="3.75" customHeight="1" thickBot="1" x14ac:dyDescent="0.3">
      <c r="B18" s="254"/>
      <c r="C18" s="255"/>
      <c r="D18" s="255"/>
      <c r="E18" s="243"/>
      <c r="F18" s="274"/>
      <c r="G18" s="274"/>
      <c r="H18" s="274"/>
      <c r="I18" s="255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</row>
    <row r="19" spans="1:66" x14ac:dyDescent="0.25">
      <c r="A19" s="273"/>
      <c r="B19" s="257" t="s">
        <v>147</v>
      </c>
      <c r="C19" s="257" t="s">
        <v>173</v>
      </c>
      <c r="D19" s="259"/>
      <c r="E19" s="244"/>
      <c r="F19" s="277"/>
      <c r="G19" s="277"/>
      <c r="H19" s="259"/>
      <c r="I19" s="260"/>
      <c r="J19" s="261"/>
      <c r="K19" s="262"/>
      <c r="L19" s="269"/>
      <c r="M19" s="217"/>
      <c r="N19" s="217"/>
      <c r="O19" s="217"/>
      <c r="P19" s="262"/>
      <c r="Q19" s="269"/>
      <c r="R19" s="217"/>
      <c r="S19" s="217"/>
      <c r="T19" s="217"/>
      <c r="U19" s="262"/>
      <c r="V19" s="269"/>
      <c r="W19" s="217"/>
      <c r="X19" s="217"/>
      <c r="Y19" s="217"/>
      <c r="Z19" s="262"/>
      <c r="AA19" s="269"/>
      <c r="AB19" s="263"/>
      <c r="AC19" s="263"/>
      <c r="AD19" s="217"/>
      <c r="AE19" s="262"/>
      <c r="AF19" s="269"/>
      <c r="AG19" s="283"/>
      <c r="AH19" s="217"/>
      <c r="AI19" s="217"/>
      <c r="AJ19" s="262"/>
      <c r="AK19" s="269"/>
      <c r="AL19" s="217"/>
      <c r="AM19" s="217"/>
      <c r="AN19" s="217"/>
      <c r="AO19" s="262"/>
      <c r="AP19" s="269"/>
      <c r="AQ19" s="217"/>
      <c r="AR19" s="217"/>
      <c r="AS19" s="217"/>
      <c r="AT19" s="264"/>
      <c r="AU19" s="269"/>
      <c r="AV19" s="217"/>
      <c r="AW19" s="217"/>
      <c r="AX19" s="217"/>
      <c r="AY19" s="264"/>
      <c r="AZ19" s="269"/>
      <c r="BA19" s="217"/>
      <c r="BB19" s="217"/>
      <c r="BC19" s="217"/>
      <c r="BD19" s="264"/>
      <c r="BE19" s="269"/>
      <c r="BF19" s="217"/>
      <c r="BG19" s="217"/>
      <c r="BH19" s="217"/>
      <c r="BI19" s="264"/>
      <c r="BJ19" s="269"/>
      <c r="BK19" s="217"/>
      <c r="BL19" s="217"/>
      <c r="BM19" s="217"/>
      <c r="BN19" s="264"/>
    </row>
    <row r="20" spans="1:66" x14ac:dyDescent="0.25">
      <c r="B20" s="278" t="s">
        <v>312</v>
      </c>
      <c r="C20" s="276" t="s">
        <v>402</v>
      </c>
      <c r="D20" s="267" t="s">
        <v>121</v>
      </c>
      <c r="E20" s="242" t="s">
        <v>310</v>
      </c>
      <c r="F20" s="277">
        <v>45666</v>
      </c>
      <c r="G20" s="277">
        <v>45674</v>
      </c>
      <c r="H20" s="277"/>
      <c r="I20" s="260"/>
      <c r="J20" s="288"/>
      <c r="K20" s="262"/>
      <c r="L20" s="269"/>
      <c r="M20" s="217"/>
      <c r="N20" s="217"/>
      <c r="O20" s="295"/>
      <c r="P20" s="294"/>
      <c r="Q20" s="293"/>
      <c r="R20" s="295"/>
      <c r="S20" s="295"/>
      <c r="T20" s="295"/>
      <c r="U20" s="262"/>
      <c r="V20" s="269"/>
      <c r="W20" s="217"/>
      <c r="X20" s="217"/>
      <c r="Y20" s="217"/>
      <c r="Z20" s="262"/>
      <c r="AA20" s="269"/>
      <c r="AB20" s="263"/>
      <c r="AC20" s="263"/>
      <c r="AD20" s="217"/>
      <c r="AE20" s="262"/>
      <c r="AF20" s="269"/>
      <c r="AG20" s="283"/>
      <c r="AH20" s="217"/>
      <c r="AI20" s="217"/>
      <c r="AJ20" s="262"/>
      <c r="AK20" s="269"/>
      <c r="AL20" s="217"/>
      <c r="AM20" s="217"/>
      <c r="AN20" s="217"/>
      <c r="AO20" s="262"/>
      <c r="AP20" s="269"/>
      <c r="AQ20" s="217"/>
      <c r="AR20" s="217"/>
      <c r="AS20" s="217"/>
      <c r="AT20" s="264"/>
      <c r="AU20" s="269"/>
      <c r="AV20" s="217"/>
      <c r="AW20" s="217"/>
      <c r="AX20" s="217"/>
      <c r="AY20" s="264"/>
      <c r="AZ20" s="269"/>
      <c r="BA20" s="217"/>
      <c r="BB20" s="217"/>
      <c r="BC20" s="217"/>
      <c r="BD20" s="264"/>
      <c r="BE20" s="269"/>
      <c r="BF20" s="217"/>
      <c r="BG20" s="217"/>
      <c r="BH20" s="217"/>
      <c r="BI20" s="264"/>
      <c r="BJ20" s="269"/>
      <c r="BK20" s="217"/>
      <c r="BL20" s="217"/>
      <c r="BM20" s="217"/>
      <c r="BN20" s="264"/>
    </row>
    <row r="21" spans="1:66" x14ac:dyDescent="0.25">
      <c r="B21" s="278" t="s">
        <v>313</v>
      </c>
      <c r="C21" s="271" t="s">
        <v>398</v>
      </c>
      <c r="D21" s="267" t="s">
        <v>121</v>
      </c>
      <c r="E21" s="242" t="s">
        <v>310</v>
      </c>
      <c r="F21" s="272">
        <v>45677</v>
      </c>
      <c r="G21" s="277">
        <v>45679</v>
      </c>
      <c r="H21" s="277"/>
      <c r="I21" s="260"/>
      <c r="J21" s="269"/>
      <c r="K21" s="262"/>
      <c r="L21" s="269"/>
      <c r="M21" s="217"/>
      <c r="N21" s="217"/>
      <c r="O21" s="217"/>
      <c r="P21" s="262"/>
      <c r="Q21" s="269"/>
      <c r="R21" s="217"/>
      <c r="S21" s="217"/>
      <c r="T21" s="217"/>
      <c r="U21" s="262"/>
      <c r="V21" s="293"/>
      <c r="W21" s="295"/>
      <c r="X21" s="295"/>
      <c r="Y21" s="217"/>
      <c r="Z21" s="262"/>
      <c r="AA21" s="269"/>
      <c r="AB21" s="263"/>
      <c r="AC21" s="263"/>
      <c r="AD21" s="217"/>
      <c r="AE21" s="262"/>
      <c r="AF21" s="269"/>
      <c r="AG21" s="283"/>
      <c r="AH21" s="217"/>
      <c r="AI21" s="217"/>
      <c r="AJ21" s="262"/>
      <c r="AK21" s="269"/>
      <c r="AL21" s="217"/>
      <c r="AM21" s="217"/>
      <c r="AN21" s="217"/>
      <c r="AO21" s="262"/>
      <c r="AP21" s="269"/>
      <c r="AQ21" s="217"/>
      <c r="AR21" s="217"/>
      <c r="AS21" s="217"/>
      <c r="AT21" s="264"/>
      <c r="AU21" s="269"/>
      <c r="AV21" s="217"/>
      <c r="AW21" s="217"/>
      <c r="AX21" s="217"/>
      <c r="AY21" s="264"/>
      <c r="AZ21" s="269"/>
      <c r="BA21" s="217"/>
      <c r="BB21" s="217"/>
      <c r="BC21" s="217"/>
      <c r="BD21" s="264"/>
      <c r="BE21" s="269"/>
      <c r="BF21" s="217"/>
      <c r="BG21" s="217"/>
      <c r="BH21" s="217"/>
      <c r="BI21" s="264"/>
      <c r="BJ21" s="269"/>
      <c r="BK21" s="217"/>
      <c r="BL21" s="217"/>
      <c r="BM21" s="217"/>
      <c r="BN21" s="264"/>
    </row>
    <row r="22" spans="1:66" x14ac:dyDescent="0.25">
      <c r="B22" s="278" t="s">
        <v>314</v>
      </c>
      <c r="C22" s="271" t="s">
        <v>401</v>
      </c>
      <c r="D22" s="267" t="s">
        <v>121</v>
      </c>
      <c r="E22" s="299" t="s">
        <v>310</v>
      </c>
      <c r="F22" s="272">
        <v>45681</v>
      </c>
      <c r="G22" s="277"/>
      <c r="H22" s="277"/>
      <c r="I22" s="260"/>
      <c r="J22" s="269"/>
      <c r="K22" s="262"/>
      <c r="L22" s="269"/>
      <c r="M22" s="217"/>
      <c r="N22" s="217"/>
      <c r="O22" s="217"/>
      <c r="P22" s="262"/>
      <c r="Q22" s="269"/>
      <c r="R22" s="217"/>
      <c r="S22" s="217"/>
      <c r="T22" s="217"/>
      <c r="U22" s="262"/>
      <c r="V22" s="269"/>
      <c r="W22" s="217"/>
      <c r="X22" s="217"/>
      <c r="Y22" s="217"/>
      <c r="Z22" s="294"/>
      <c r="AA22" s="293"/>
      <c r="AB22" s="303"/>
      <c r="AC22" s="303"/>
      <c r="AD22" s="217"/>
      <c r="AE22" s="262"/>
      <c r="AF22" s="269"/>
      <c r="AG22" s="283"/>
      <c r="AH22" s="217"/>
      <c r="AI22" s="217"/>
      <c r="AJ22" s="262"/>
      <c r="AK22" s="269"/>
      <c r="AL22" s="217"/>
      <c r="AM22" s="217"/>
      <c r="AN22" s="217"/>
      <c r="AO22" s="262"/>
      <c r="AP22" s="269"/>
      <c r="AQ22" s="217"/>
      <c r="AR22" s="217"/>
      <c r="AS22" s="217"/>
      <c r="AT22" s="264"/>
      <c r="AU22" s="269"/>
      <c r="AV22" s="217"/>
      <c r="AW22" s="217"/>
      <c r="AX22" s="217"/>
      <c r="AY22" s="264"/>
      <c r="AZ22" s="269"/>
      <c r="BA22" s="217"/>
      <c r="BB22" s="217"/>
      <c r="BC22" s="217"/>
      <c r="BD22" s="264"/>
      <c r="BE22" s="269"/>
      <c r="BF22" s="217"/>
      <c r="BG22" s="217"/>
      <c r="BH22" s="217"/>
      <c r="BI22" s="264"/>
      <c r="BJ22" s="269"/>
      <c r="BK22" s="217"/>
      <c r="BL22" s="217"/>
      <c r="BM22" s="217"/>
      <c r="BN22" s="264"/>
    </row>
    <row r="23" spans="1:66" x14ac:dyDescent="0.25">
      <c r="B23" s="278" t="s">
        <v>315</v>
      </c>
      <c r="C23" s="271" t="s">
        <v>410</v>
      </c>
      <c r="D23" s="267" t="s">
        <v>121</v>
      </c>
      <c r="E23" s="299" t="s">
        <v>310</v>
      </c>
      <c r="F23" s="272"/>
      <c r="G23" s="277"/>
      <c r="H23" s="277"/>
      <c r="I23" s="260"/>
      <c r="J23" s="269"/>
      <c r="K23" s="262"/>
      <c r="L23" s="269"/>
      <c r="M23" s="217"/>
      <c r="N23" s="217"/>
      <c r="O23" s="217"/>
      <c r="P23" s="262"/>
      <c r="Q23" s="269"/>
      <c r="R23" s="217"/>
      <c r="S23" s="217"/>
      <c r="T23" s="217"/>
      <c r="U23" s="262"/>
      <c r="V23" s="269"/>
      <c r="W23" s="217"/>
      <c r="X23" s="217"/>
      <c r="Y23" s="217"/>
      <c r="Z23" s="262"/>
      <c r="AA23" s="269"/>
      <c r="AB23" s="263"/>
      <c r="AC23" s="263"/>
      <c r="AD23" s="217"/>
      <c r="AE23" s="262"/>
      <c r="AF23" s="269"/>
      <c r="AG23" s="283"/>
      <c r="AH23" s="217"/>
      <c r="AI23" s="217"/>
      <c r="AJ23" s="262"/>
      <c r="AK23" s="269"/>
      <c r="AL23" s="217"/>
      <c r="AM23" s="217"/>
      <c r="AN23" s="217"/>
      <c r="AO23" s="262"/>
      <c r="AP23" s="269"/>
      <c r="AQ23" s="217"/>
      <c r="AR23" s="217"/>
      <c r="AS23" s="217"/>
      <c r="AT23" s="264"/>
      <c r="AU23" s="269"/>
      <c r="AV23" s="217"/>
      <c r="AW23" s="217"/>
      <c r="AX23" s="217"/>
      <c r="AY23" s="264"/>
      <c r="AZ23" s="269"/>
      <c r="BA23" s="217"/>
      <c r="BB23" s="217"/>
      <c r="BC23" s="217"/>
      <c r="BD23" s="264"/>
      <c r="BE23" s="269"/>
      <c r="BF23" s="217"/>
      <c r="BG23" s="217"/>
      <c r="BH23" s="217"/>
      <c r="BI23" s="264"/>
      <c r="BJ23" s="269"/>
      <c r="BK23" s="217"/>
      <c r="BL23" s="217"/>
      <c r="BM23" s="217"/>
      <c r="BN23" s="264"/>
    </row>
    <row r="24" spans="1:66" x14ac:dyDescent="0.25">
      <c r="B24" s="278" t="s">
        <v>407</v>
      </c>
      <c r="C24" s="271" t="s">
        <v>400</v>
      </c>
      <c r="D24" s="267" t="s">
        <v>121</v>
      </c>
      <c r="E24" s="246" t="s">
        <v>310</v>
      </c>
      <c r="F24" s="296" t="s">
        <v>423</v>
      </c>
      <c r="G24" s="296" t="s">
        <v>423</v>
      </c>
      <c r="H24" s="277"/>
      <c r="I24" s="260"/>
      <c r="J24" s="269"/>
      <c r="K24" s="262"/>
      <c r="L24" s="269"/>
      <c r="M24" s="217"/>
      <c r="N24" s="217"/>
      <c r="O24" s="217"/>
      <c r="P24" s="262"/>
      <c r="Q24" s="293"/>
      <c r="R24" s="295"/>
      <c r="S24" s="295"/>
      <c r="T24" s="295"/>
      <c r="U24" s="294"/>
      <c r="V24" s="293"/>
      <c r="W24" s="295"/>
      <c r="X24" s="295"/>
      <c r="Y24" s="295"/>
      <c r="Z24" s="294"/>
      <c r="AA24" s="269"/>
      <c r="AB24" s="263"/>
      <c r="AC24" s="263"/>
      <c r="AD24" s="217"/>
      <c r="AE24" s="262"/>
      <c r="AF24" s="269"/>
      <c r="AG24" s="283"/>
      <c r="AH24" s="217"/>
      <c r="AI24" s="217"/>
      <c r="AJ24" s="262"/>
      <c r="AK24" s="269"/>
      <c r="AL24" s="217"/>
      <c r="AM24" s="217"/>
      <c r="AN24" s="217"/>
      <c r="AO24" s="262"/>
      <c r="AP24" s="269"/>
      <c r="AQ24" s="217"/>
      <c r="AR24" s="217"/>
      <c r="AS24" s="217"/>
      <c r="AT24" s="264"/>
      <c r="AU24" s="269"/>
      <c r="AV24" s="217"/>
      <c r="AW24" s="217"/>
      <c r="AX24" s="217"/>
      <c r="AY24" s="264"/>
      <c r="AZ24" s="269"/>
      <c r="BA24" s="217"/>
      <c r="BB24" s="217"/>
      <c r="BC24" s="217"/>
      <c r="BD24" s="264"/>
      <c r="BE24" s="269"/>
      <c r="BF24" s="217"/>
      <c r="BG24" s="217"/>
      <c r="BH24" s="217"/>
      <c r="BI24" s="264"/>
      <c r="BJ24" s="269"/>
      <c r="BK24" s="217"/>
      <c r="BL24" s="217"/>
      <c r="BM24" s="217"/>
      <c r="BN24" s="264"/>
    </row>
    <row r="25" spans="1:66" x14ac:dyDescent="0.25">
      <c r="B25" s="278" t="s">
        <v>408</v>
      </c>
      <c r="C25" s="271" t="s">
        <v>422</v>
      </c>
      <c r="D25" s="267" t="s">
        <v>132</v>
      </c>
      <c r="E25" s="246" t="s">
        <v>310</v>
      </c>
      <c r="F25" s="296" t="s">
        <v>423</v>
      </c>
      <c r="G25" s="296" t="s">
        <v>423</v>
      </c>
      <c r="H25" s="277"/>
      <c r="I25" s="260"/>
      <c r="J25" s="269"/>
      <c r="K25" s="262"/>
      <c r="L25" s="269"/>
      <c r="M25" s="217"/>
      <c r="N25" s="217"/>
      <c r="O25" s="217"/>
      <c r="P25" s="262"/>
      <c r="Q25" s="269"/>
      <c r="R25" s="217"/>
      <c r="S25" s="217"/>
      <c r="T25" s="217"/>
      <c r="U25" s="294"/>
      <c r="V25" s="293"/>
      <c r="W25" s="295"/>
      <c r="X25" s="217"/>
      <c r="Y25" s="217"/>
      <c r="Z25" s="262"/>
      <c r="AA25" s="269"/>
      <c r="AB25" s="263"/>
      <c r="AC25" s="263"/>
      <c r="AD25" s="217"/>
      <c r="AE25" s="262"/>
      <c r="AF25" s="269"/>
      <c r="AG25" s="283"/>
      <c r="AH25" s="217"/>
      <c r="AI25" s="217"/>
      <c r="AJ25" s="262"/>
      <c r="AK25" s="269"/>
      <c r="AL25" s="217"/>
      <c r="AM25" s="217"/>
      <c r="AN25" s="217"/>
      <c r="AO25" s="262"/>
      <c r="AP25" s="269"/>
      <c r="AQ25" s="217"/>
      <c r="AR25" s="217"/>
      <c r="AS25" s="217"/>
      <c r="AT25" s="264"/>
      <c r="AU25" s="269"/>
      <c r="AV25" s="217"/>
      <c r="AW25" s="217"/>
      <c r="AX25" s="217"/>
      <c r="AY25" s="264"/>
      <c r="AZ25" s="269"/>
      <c r="BA25" s="217"/>
      <c r="BB25" s="217"/>
      <c r="BC25" s="217"/>
      <c r="BD25" s="264"/>
      <c r="BE25" s="269"/>
      <c r="BF25" s="217"/>
      <c r="BG25" s="217"/>
      <c r="BH25" s="217"/>
      <c r="BI25" s="264"/>
      <c r="BJ25" s="269"/>
      <c r="BK25" s="217"/>
      <c r="BL25" s="217"/>
      <c r="BM25" s="217"/>
      <c r="BN25" s="264"/>
    </row>
    <row r="26" spans="1:66" ht="18" thickBot="1" x14ac:dyDescent="0.3">
      <c r="A26" s="273"/>
      <c r="B26" s="278" t="s">
        <v>411</v>
      </c>
      <c r="C26" s="271" t="s">
        <v>403</v>
      </c>
      <c r="D26" s="267" t="s">
        <v>396</v>
      </c>
      <c r="E26" s="299" t="s">
        <v>310</v>
      </c>
      <c r="F26" s="272"/>
      <c r="G26" s="277"/>
      <c r="H26" s="277"/>
      <c r="I26" s="260"/>
      <c r="J26" s="269"/>
      <c r="K26" s="262"/>
      <c r="L26" s="269"/>
      <c r="M26" s="217"/>
      <c r="N26" s="217"/>
      <c r="O26" s="217"/>
      <c r="P26" s="262"/>
      <c r="Q26" s="269"/>
      <c r="R26" s="217"/>
      <c r="S26" s="217"/>
      <c r="T26" s="217"/>
      <c r="U26" s="262"/>
      <c r="V26" s="269"/>
      <c r="W26" s="217"/>
      <c r="X26" s="217"/>
      <c r="Y26" s="217"/>
      <c r="Z26" s="262"/>
      <c r="AA26" s="269"/>
      <c r="AB26" s="263"/>
      <c r="AC26" s="263"/>
      <c r="AD26" s="217"/>
      <c r="AE26" s="262"/>
      <c r="AF26" s="269"/>
      <c r="AG26" s="283"/>
      <c r="AH26" s="217"/>
      <c r="AI26" s="217"/>
      <c r="AJ26" s="262"/>
      <c r="AK26" s="269"/>
      <c r="AL26" s="217"/>
      <c r="AM26" s="217"/>
      <c r="AN26" s="217"/>
      <c r="AO26" s="262"/>
      <c r="AP26" s="269"/>
      <c r="AQ26" s="217"/>
      <c r="AR26" s="217"/>
      <c r="AS26" s="217"/>
      <c r="AT26" s="264"/>
      <c r="AU26" s="269"/>
      <c r="AV26" s="217"/>
      <c r="AW26" s="217"/>
      <c r="AX26" s="217"/>
      <c r="AY26" s="264"/>
      <c r="AZ26" s="269"/>
      <c r="BA26" s="217"/>
      <c r="BB26" s="217"/>
      <c r="BC26" s="217"/>
      <c r="BD26" s="264"/>
      <c r="BE26" s="269"/>
      <c r="BF26" s="217"/>
      <c r="BG26" s="217"/>
      <c r="BH26" s="217"/>
      <c r="BI26" s="264"/>
      <c r="BJ26" s="269"/>
      <c r="BK26" s="217"/>
      <c r="BL26" s="217"/>
      <c r="BM26" s="217"/>
      <c r="BN26" s="264"/>
    </row>
    <row r="27" spans="1:66" ht="3.75" customHeight="1" thickBot="1" x14ac:dyDescent="0.3">
      <c r="B27" s="254"/>
      <c r="C27" s="255"/>
      <c r="D27" s="255"/>
      <c r="E27" s="243"/>
      <c r="F27" s="274"/>
      <c r="G27" s="274"/>
      <c r="H27" s="274"/>
      <c r="I27" s="255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6"/>
      <c r="BN27" s="256"/>
    </row>
    <row r="28" spans="1:66" x14ac:dyDescent="0.25">
      <c r="B28" s="257" t="s">
        <v>172</v>
      </c>
      <c r="C28" s="257" t="s">
        <v>190</v>
      </c>
      <c r="D28" s="259"/>
      <c r="E28" s="245"/>
      <c r="F28" s="277"/>
      <c r="G28" s="277"/>
      <c r="H28" s="259"/>
      <c r="I28" s="260"/>
      <c r="J28" s="261"/>
      <c r="K28" s="262"/>
      <c r="L28" s="269"/>
      <c r="M28" s="217"/>
      <c r="N28" s="217"/>
      <c r="O28" s="217"/>
      <c r="P28" s="262"/>
      <c r="Q28" s="269"/>
      <c r="R28" s="217"/>
      <c r="S28" s="217"/>
      <c r="T28" s="217"/>
      <c r="U28" s="262"/>
      <c r="V28" s="269"/>
      <c r="W28" s="217"/>
      <c r="X28" s="217"/>
      <c r="Y28" s="217"/>
      <c r="Z28" s="262"/>
      <c r="AA28" s="269"/>
      <c r="AB28" s="263"/>
      <c r="AC28" s="263"/>
      <c r="AD28" s="217"/>
      <c r="AE28" s="262"/>
      <c r="AF28" s="269"/>
      <c r="AG28" s="283"/>
      <c r="AH28" s="217"/>
      <c r="AI28" s="217"/>
      <c r="AJ28" s="262"/>
      <c r="AK28" s="269"/>
      <c r="AL28" s="217"/>
      <c r="AM28" s="217"/>
      <c r="AN28" s="217"/>
      <c r="AO28" s="262"/>
      <c r="AP28" s="269"/>
      <c r="AQ28" s="217"/>
      <c r="AR28" s="217"/>
      <c r="AS28" s="217"/>
      <c r="AT28" s="264"/>
      <c r="AU28" s="269"/>
      <c r="AV28" s="217"/>
      <c r="AW28" s="217"/>
      <c r="AX28" s="217"/>
      <c r="AY28" s="264"/>
      <c r="AZ28" s="269"/>
      <c r="BA28" s="217"/>
      <c r="BB28" s="217"/>
      <c r="BC28" s="217"/>
      <c r="BD28" s="264"/>
      <c r="BE28" s="269"/>
      <c r="BF28" s="217"/>
      <c r="BG28" s="217"/>
      <c r="BH28" s="217"/>
      <c r="BI28" s="264"/>
      <c r="BJ28" s="269"/>
      <c r="BK28" s="217"/>
      <c r="BL28" s="217"/>
      <c r="BM28" s="217"/>
      <c r="BN28" s="264"/>
    </row>
    <row r="29" spans="1:66" x14ac:dyDescent="0.25">
      <c r="B29" s="265" t="s">
        <v>316</v>
      </c>
      <c r="C29" s="266" t="s">
        <v>412</v>
      </c>
      <c r="D29" s="267" t="s">
        <v>121</v>
      </c>
      <c r="E29" s="298" t="s">
        <v>310</v>
      </c>
      <c r="F29" s="304" t="s">
        <v>421</v>
      </c>
      <c r="G29" s="304" t="s">
        <v>421</v>
      </c>
      <c r="H29" s="268"/>
      <c r="I29" s="260"/>
      <c r="J29" s="269"/>
      <c r="K29" s="262"/>
      <c r="L29" s="269"/>
      <c r="M29" s="217"/>
      <c r="N29" s="217"/>
      <c r="O29" s="217"/>
      <c r="P29" s="262"/>
      <c r="Q29" s="269"/>
      <c r="R29" s="217"/>
      <c r="S29" s="217"/>
      <c r="T29" s="217"/>
      <c r="U29" s="262"/>
      <c r="V29" s="269"/>
      <c r="W29" s="218"/>
      <c r="X29" s="217"/>
      <c r="Y29" s="217"/>
      <c r="Z29" s="262"/>
      <c r="AA29" s="269"/>
      <c r="AB29" s="263"/>
      <c r="AC29" s="263"/>
      <c r="AD29" s="217"/>
      <c r="AE29" s="262"/>
      <c r="AF29" s="269"/>
      <c r="AG29" s="283"/>
      <c r="AH29" s="217"/>
      <c r="AI29" s="217"/>
      <c r="AJ29" s="262"/>
      <c r="AK29" s="269"/>
      <c r="AL29" s="217"/>
      <c r="AM29" s="217"/>
      <c r="AN29" s="217"/>
      <c r="AO29" s="262"/>
      <c r="AP29" s="269"/>
      <c r="AQ29" s="217"/>
      <c r="AR29" s="217"/>
      <c r="AS29" s="217"/>
      <c r="AT29" s="264"/>
      <c r="AU29" s="269"/>
      <c r="AV29" s="217"/>
      <c r="AW29" s="217"/>
      <c r="AX29" s="217"/>
      <c r="AY29" s="264"/>
      <c r="AZ29" s="269"/>
      <c r="BA29" s="217"/>
      <c r="BB29" s="217"/>
      <c r="BC29" s="217"/>
      <c r="BD29" s="264"/>
      <c r="BE29" s="269"/>
      <c r="BF29" s="217"/>
      <c r="BG29" s="217"/>
      <c r="BH29" s="217"/>
      <c r="BI29" s="264"/>
      <c r="BJ29" s="269"/>
      <c r="BK29" s="217"/>
      <c r="BL29" s="217"/>
      <c r="BM29" s="217"/>
      <c r="BN29" s="264"/>
    </row>
    <row r="30" spans="1:66" x14ac:dyDescent="0.25">
      <c r="B30" s="270" t="s">
        <v>318</v>
      </c>
      <c r="C30" s="271" t="s">
        <v>404</v>
      </c>
      <c r="D30" s="267" t="s">
        <v>121</v>
      </c>
      <c r="E30" s="299" t="s">
        <v>310</v>
      </c>
      <c r="F30" s="296" t="s">
        <v>421</v>
      </c>
      <c r="G30" s="296" t="s">
        <v>421</v>
      </c>
      <c r="H30" s="272"/>
      <c r="I30" s="260"/>
      <c r="J30" s="269"/>
      <c r="K30" s="262"/>
      <c r="L30" s="269"/>
      <c r="M30" s="217"/>
      <c r="N30" s="217"/>
      <c r="O30" s="217"/>
      <c r="P30" s="262"/>
      <c r="Q30" s="269"/>
      <c r="R30" s="217"/>
      <c r="S30" s="217"/>
      <c r="T30" s="217"/>
      <c r="U30" s="262"/>
      <c r="V30" s="279"/>
      <c r="W30" s="217"/>
      <c r="X30" s="217"/>
      <c r="Y30" s="217"/>
      <c r="Z30" s="262"/>
      <c r="AA30" s="279"/>
      <c r="AB30" s="263"/>
      <c r="AC30" s="263"/>
      <c r="AD30" s="218"/>
      <c r="AE30" s="262"/>
      <c r="AF30" s="269"/>
      <c r="AG30" s="283"/>
      <c r="AH30" s="217"/>
      <c r="AI30" s="217"/>
      <c r="AJ30" s="262"/>
      <c r="AK30" s="269"/>
      <c r="AL30" s="217"/>
      <c r="AM30" s="217"/>
      <c r="AN30" s="217"/>
      <c r="AO30" s="262"/>
      <c r="AP30" s="269"/>
      <c r="AQ30" s="217"/>
      <c r="AR30" s="217"/>
      <c r="AS30" s="217"/>
      <c r="AT30" s="264"/>
      <c r="AU30" s="269"/>
      <c r="AV30" s="217"/>
      <c r="AW30" s="217"/>
      <c r="AX30" s="217"/>
      <c r="AY30" s="264"/>
      <c r="AZ30" s="269"/>
      <c r="BA30" s="217"/>
      <c r="BB30" s="217"/>
      <c r="BC30" s="217"/>
      <c r="BD30" s="264"/>
      <c r="BE30" s="269"/>
      <c r="BF30" s="217"/>
      <c r="BG30" s="217"/>
      <c r="BH30" s="217"/>
      <c r="BI30" s="264"/>
      <c r="BJ30" s="269"/>
      <c r="BK30" s="217"/>
      <c r="BL30" s="217"/>
      <c r="BM30" s="217"/>
      <c r="BN30" s="264"/>
    </row>
    <row r="31" spans="1:66" ht="18" thickBot="1" x14ac:dyDescent="0.3">
      <c r="A31" s="273"/>
      <c r="B31" s="270" t="s">
        <v>319</v>
      </c>
      <c r="C31" s="271" t="s">
        <v>405</v>
      </c>
      <c r="D31" s="267" t="s">
        <v>121</v>
      </c>
      <c r="E31" s="299" t="s">
        <v>310</v>
      </c>
      <c r="F31" s="296" t="s">
        <v>421</v>
      </c>
      <c r="G31" s="296" t="s">
        <v>421</v>
      </c>
      <c r="H31" s="272"/>
      <c r="I31" s="260"/>
      <c r="J31" s="269"/>
      <c r="K31" s="262"/>
      <c r="L31" s="269"/>
      <c r="M31" s="217"/>
      <c r="N31" s="217"/>
      <c r="O31" s="217"/>
      <c r="P31" s="262"/>
      <c r="Q31" s="269"/>
      <c r="R31" s="217"/>
      <c r="S31" s="217"/>
      <c r="T31" s="217"/>
      <c r="U31" s="262"/>
      <c r="V31" s="279"/>
      <c r="W31" s="217"/>
      <c r="X31" s="217"/>
      <c r="Y31" s="217"/>
      <c r="Z31" s="262"/>
      <c r="AA31" s="279"/>
      <c r="AB31" s="263"/>
      <c r="AC31" s="263"/>
      <c r="AD31" s="218"/>
      <c r="AE31" s="262"/>
      <c r="AF31" s="269"/>
      <c r="AG31" s="283"/>
      <c r="AH31" s="217"/>
      <c r="AI31" s="217"/>
      <c r="AJ31" s="262"/>
      <c r="AK31" s="269"/>
      <c r="AL31" s="217"/>
      <c r="AM31" s="217"/>
      <c r="AN31" s="217"/>
      <c r="AO31" s="262"/>
      <c r="AP31" s="269"/>
      <c r="AQ31" s="217"/>
      <c r="AR31" s="218"/>
      <c r="AS31" s="218"/>
      <c r="AT31" s="290"/>
      <c r="AU31" s="269"/>
      <c r="AV31" s="217"/>
      <c r="AW31" s="217"/>
      <c r="AX31" s="217"/>
      <c r="AY31" s="264"/>
      <c r="AZ31" s="269"/>
      <c r="BA31" s="217"/>
      <c r="BB31" s="217"/>
      <c r="BC31" s="217"/>
      <c r="BD31" s="264"/>
      <c r="BE31" s="269"/>
      <c r="BF31" s="217"/>
      <c r="BG31" s="217"/>
      <c r="BH31" s="217"/>
      <c r="BI31" s="264"/>
      <c r="BJ31" s="269"/>
      <c r="BK31" s="217"/>
      <c r="BL31" s="217"/>
      <c r="BM31" s="217"/>
      <c r="BN31" s="264"/>
    </row>
    <row r="32" spans="1:66" ht="3.75" customHeight="1" thickBot="1" x14ac:dyDescent="0.3">
      <c r="B32" s="254"/>
      <c r="C32" s="255"/>
      <c r="D32" s="255"/>
      <c r="E32" s="243"/>
      <c r="F32" s="274"/>
      <c r="G32" s="274"/>
      <c r="H32" s="274"/>
      <c r="I32" s="255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</row>
    <row r="33" spans="1:66" x14ac:dyDescent="0.25">
      <c r="A33" s="273"/>
      <c r="B33" s="257" t="s">
        <v>189</v>
      </c>
      <c r="C33" s="257" t="s">
        <v>327</v>
      </c>
      <c r="D33" s="259"/>
      <c r="E33" s="245"/>
      <c r="F33" s="277"/>
      <c r="G33" s="277"/>
      <c r="H33" s="259"/>
      <c r="I33" s="260"/>
      <c r="J33" s="261"/>
      <c r="K33" s="262"/>
      <c r="L33" s="269"/>
      <c r="M33" s="217"/>
      <c r="N33" s="217"/>
      <c r="O33" s="217"/>
      <c r="P33" s="262"/>
      <c r="Q33" s="269"/>
      <c r="R33" s="217"/>
      <c r="S33" s="217"/>
      <c r="T33" s="217"/>
      <c r="U33" s="262"/>
      <c r="V33" s="269"/>
      <c r="W33" s="217"/>
      <c r="X33" s="217"/>
      <c r="Y33" s="217"/>
      <c r="Z33" s="262"/>
      <c r="AA33" s="269"/>
      <c r="AB33" s="263"/>
      <c r="AC33" s="263"/>
      <c r="AD33" s="217"/>
      <c r="AE33" s="262"/>
      <c r="AF33" s="269"/>
      <c r="AG33" s="283"/>
      <c r="AH33" s="217"/>
      <c r="AI33" s="217"/>
      <c r="AJ33" s="262"/>
      <c r="AK33" s="269"/>
      <c r="AL33" s="217"/>
      <c r="AM33" s="217"/>
      <c r="AN33" s="217"/>
      <c r="AO33" s="262"/>
      <c r="AP33" s="269"/>
      <c r="AQ33" s="217"/>
      <c r="AR33" s="217"/>
      <c r="AS33" s="217"/>
      <c r="AT33" s="264"/>
      <c r="AU33" s="269"/>
      <c r="AV33" s="217"/>
      <c r="AW33" s="217"/>
      <c r="AX33" s="217"/>
      <c r="AY33" s="264"/>
      <c r="AZ33" s="269"/>
      <c r="BA33" s="217"/>
      <c r="BB33" s="217"/>
      <c r="BC33" s="217"/>
      <c r="BD33" s="264"/>
      <c r="BE33" s="269"/>
      <c r="BF33" s="217"/>
      <c r="BG33" s="217"/>
      <c r="BH33" s="217"/>
      <c r="BI33" s="264"/>
      <c r="BJ33" s="269"/>
      <c r="BK33" s="217"/>
      <c r="BL33" s="217"/>
      <c r="BM33" s="217"/>
      <c r="BN33" s="264"/>
    </row>
    <row r="34" spans="1:66" x14ac:dyDescent="0.25">
      <c r="B34" s="270" t="s">
        <v>320</v>
      </c>
      <c r="C34" s="271" t="s">
        <v>413</v>
      </c>
      <c r="D34" s="267" t="s">
        <v>415</v>
      </c>
      <c r="E34" s="246" t="s">
        <v>310</v>
      </c>
      <c r="F34" s="272" t="s">
        <v>15</v>
      </c>
      <c r="G34" s="272" t="s">
        <v>15</v>
      </c>
      <c r="H34" s="272"/>
      <c r="I34" s="260"/>
      <c r="J34" s="269"/>
      <c r="K34" s="262"/>
      <c r="L34" s="269"/>
      <c r="M34" s="217"/>
      <c r="N34" s="217"/>
      <c r="O34" s="217"/>
      <c r="P34" s="262"/>
      <c r="Q34" s="269"/>
      <c r="R34" s="217"/>
      <c r="S34" s="217"/>
      <c r="T34" s="217"/>
      <c r="U34" s="262"/>
      <c r="V34" s="279"/>
      <c r="W34" s="217"/>
      <c r="X34" s="217"/>
      <c r="Y34" s="217"/>
      <c r="Z34" s="262"/>
      <c r="AA34" s="279"/>
      <c r="AB34" s="263"/>
      <c r="AC34" s="263"/>
      <c r="AD34" s="217"/>
      <c r="AE34" s="262"/>
      <c r="AF34" s="269"/>
      <c r="AG34" s="283"/>
      <c r="AH34" s="217"/>
      <c r="AI34" s="217"/>
      <c r="AJ34" s="262"/>
      <c r="AK34" s="269"/>
      <c r="AL34" s="217"/>
      <c r="AM34" s="217"/>
      <c r="AN34" s="217"/>
      <c r="AO34" s="262"/>
      <c r="AP34" s="269"/>
      <c r="AQ34" s="217"/>
      <c r="AR34" s="217"/>
      <c r="AS34" s="217"/>
      <c r="AT34" s="264"/>
      <c r="AU34" s="269"/>
      <c r="AV34" s="217"/>
      <c r="AW34" s="217"/>
      <c r="AX34" s="217"/>
      <c r="AY34" s="264"/>
      <c r="AZ34" s="269"/>
      <c r="BA34" s="217"/>
      <c r="BB34" s="217"/>
      <c r="BC34" s="217"/>
      <c r="BD34" s="264"/>
      <c r="BE34" s="269"/>
      <c r="BF34" s="217"/>
      <c r="BG34" s="217"/>
      <c r="BH34" s="217"/>
      <c r="BI34" s="264"/>
      <c r="BJ34" s="269"/>
      <c r="BK34" s="217"/>
      <c r="BL34" s="217"/>
      <c r="BM34" s="217"/>
      <c r="BN34" s="264"/>
    </row>
    <row r="35" spans="1:66" ht="18" thickBot="1" x14ac:dyDescent="0.3">
      <c r="B35" s="270" t="s">
        <v>328</v>
      </c>
      <c r="C35" s="271" t="s">
        <v>414</v>
      </c>
      <c r="D35" s="267" t="s">
        <v>121</v>
      </c>
      <c r="E35" s="246" t="s">
        <v>310</v>
      </c>
      <c r="F35" s="272">
        <v>45674</v>
      </c>
      <c r="G35" s="272"/>
      <c r="H35" s="272"/>
      <c r="I35" s="260"/>
      <c r="J35" s="269"/>
      <c r="K35" s="262"/>
      <c r="L35" s="269"/>
      <c r="M35" s="217"/>
      <c r="N35" s="217"/>
      <c r="O35" s="217"/>
      <c r="P35" s="262"/>
      <c r="Q35" s="269"/>
      <c r="R35" s="217"/>
      <c r="S35" s="217"/>
      <c r="T35" s="217"/>
      <c r="U35" s="294"/>
      <c r="V35" s="297"/>
      <c r="W35" s="295"/>
      <c r="X35" s="295"/>
      <c r="Y35" s="295"/>
      <c r="Z35" s="294"/>
      <c r="AA35" s="279"/>
      <c r="AB35" s="263"/>
      <c r="AC35" s="263"/>
      <c r="AD35" s="217"/>
      <c r="AE35" s="262"/>
      <c r="AF35" s="269"/>
      <c r="AG35" s="283"/>
      <c r="AH35" s="217"/>
      <c r="AI35" s="217"/>
      <c r="AJ35" s="262"/>
      <c r="AK35" s="269"/>
      <c r="AL35" s="217"/>
      <c r="AM35" s="217"/>
      <c r="AN35" s="217"/>
      <c r="AO35" s="262"/>
      <c r="AP35" s="269"/>
      <c r="AQ35" s="217"/>
      <c r="AR35" s="217"/>
      <c r="AS35" s="217"/>
      <c r="AT35" s="264"/>
      <c r="AU35" s="269"/>
      <c r="AV35" s="217"/>
      <c r="AW35" s="217"/>
      <c r="AX35" s="217"/>
      <c r="AY35" s="264"/>
      <c r="AZ35" s="269"/>
      <c r="BA35" s="217"/>
      <c r="BB35" s="217"/>
      <c r="BC35" s="217"/>
      <c r="BD35" s="264"/>
      <c r="BE35" s="269"/>
      <c r="BF35" s="217"/>
      <c r="BG35" s="217"/>
      <c r="BH35" s="217"/>
      <c r="BI35" s="264"/>
      <c r="BJ35" s="269"/>
      <c r="BK35" s="217"/>
      <c r="BL35" s="217"/>
      <c r="BM35" s="217"/>
      <c r="BN35" s="264"/>
    </row>
    <row r="36" spans="1:66" ht="3.75" customHeight="1" thickBot="1" x14ac:dyDescent="0.3">
      <c r="B36" s="254"/>
      <c r="C36" s="255"/>
      <c r="D36" s="255"/>
      <c r="E36" s="274"/>
      <c r="F36" s="274"/>
      <c r="G36" s="274"/>
      <c r="H36" s="274"/>
      <c r="I36" s="255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</row>
    <row r="38" spans="1:66" x14ac:dyDescent="0.25">
      <c r="B38" s="280" t="s">
        <v>321</v>
      </c>
    </row>
    <row r="39" spans="1:66" ht="6.9" customHeight="1" x14ac:dyDescent="0.25">
      <c r="B39" s="282"/>
    </row>
    <row r="40" spans="1:66" x14ac:dyDescent="0.25">
      <c r="B40" s="283"/>
      <c r="C40" s="284" t="s">
        <v>322</v>
      </c>
    </row>
    <row r="41" spans="1:66" ht="6.9" customHeight="1" x14ac:dyDescent="0.25"/>
    <row r="42" spans="1:66" x14ac:dyDescent="0.25">
      <c r="B42" s="173" t="s">
        <v>310</v>
      </c>
      <c r="C42" s="38" t="s">
        <v>109</v>
      </c>
    </row>
    <row r="43" spans="1:66" x14ac:dyDescent="0.25">
      <c r="B43" s="174" t="s">
        <v>310</v>
      </c>
      <c r="C43" s="38" t="s">
        <v>323</v>
      </c>
    </row>
    <row r="44" spans="1:66" x14ac:dyDescent="0.25">
      <c r="B44" s="175" t="s">
        <v>310</v>
      </c>
      <c r="C44" s="38" t="s">
        <v>324</v>
      </c>
    </row>
    <row r="45" spans="1:66" x14ac:dyDescent="0.25">
      <c r="B45" s="286" t="s">
        <v>317</v>
      </c>
      <c r="C45" s="38" t="s">
        <v>325</v>
      </c>
    </row>
    <row r="46" spans="1:66" x14ac:dyDescent="0.25">
      <c r="B46" s="287"/>
    </row>
  </sheetData>
  <mergeCells count="25"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  <mergeCell ref="AZ8:BD8"/>
    <mergeCell ref="BE8:BI8"/>
    <mergeCell ref="AA8:AE8"/>
    <mergeCell ref="BE9:BI9"/>
    <mergeCell ref="F8:G8"/>
    <mergeCell ref="L8:P8"/>
    <mergeCell ref="Q8:U8"/>
    <mergeCell ref="V8:Z8"/>
    <mergeCell ref="AP8:AT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27" priority="23" operator="equal">
      <formula>"Em Análise"</formula>
    </cfRule>
    <cfRule type="cellIs" dxfId="26" priority="24" operator="equal">
      <formula>"OK"</formula>
    </cfRule>
    <cfRule type="cellIs" dxfId="25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24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tabSelected="1" zoomScale="90" zoomScaleNormal="90" workbookViewId="0">
      <selection activeCell="E47" sqref="E47"/>
    </sheetView>
  </sheetViews>
  <sheetFormatPr defaultColWidth="8.59765625" defaultRowHeight="17.399999999999999" customHeight="1" zeroHeight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308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 x14ac:dyDescent="0.45">
      <c r="J1" s="1"/>
    </row>
    <row r="2" spans="1:10" ht="16.95" customHeight="1" x14ac:dyDescent="0.45">
      <c r="J2" s="1"/>
    </row>
    <row r="3" spans="1:10" ht="16.95" customHeight="1" x14ac:dyDescent="0.45">
      <c r="J3" s="1"/>
    </row>
    <row r="4" spans="1:10" ht="4.95" customHeight="1" x14ac:dyDescent="0.45">
      <c r="A4" s="10"/>
      <c r="B4" s="10"/>
      <c r="C4" s="10"/>
      <c r="D4" s="10"/>
      <c r="E4" s="10"/>
      <c r="F4" s="10"/>
      <c r="G4" s="10"/>
      <c r="H4" s="309"/>
      <c r="I4" s="10"/>
      <c r="J4" s="10"/>
    </row>
    <row r="5" spans="1:10" ht="16.95" customHeight="1" x14ac:dyDescent="0.45">
      <c r="J5" s="1"/>
    </row>
    <row r="6" spans="1:10" ht="16.95" customHeight="1" x14ac:dyDescent="0.45">
      <c r="B6" s="23" t="s">
        <v>443</v>
      </c>
      <c r="C6" s="24"/>
      <c r="D6" s="24"/>
      <c r="E6" s="24"/>
      <c r="F6" s="24"/>
      <c r="G6" s="24"/>
      <c r="H6" s="323"/>
      <c r="I6" s="24"/>
    </row>
    <row r="7" spans="1:10" ht="16.95" customHeight="1" x14ac:dyDescent="0.45"/>
    <row r="8" spans="1:10" ht="16.95" customHeight="1" x14ac:dyDescent="0.45">
      <c r="B8" s="319" t="s">
        <v>0</v>
      </c>
      <c r="C8" s="319" t="s">
        <v>1</v>
      </c>
      <c r="D8" s="319" t="s">
        <v>3</v>
      </c>
      <c r="E8" s="319" t="s">
        <v>4</v>
      </c>
      <c r="F8" s="320" t="s">
        <v>474</v>
      </c>
      <c r="G8" s="319" t="s">
        <v>475</v>
      </c>
      <c r="H8" s="319" t="s">
        <v>13</v>
      </c>
      <c r="I8" s="319" t="s">
        <v>439</v>
      </c>
    </row>
    <row r="9" spans="1:10" ht="16.95" hidden="1" customHeight="1" x14ac:dyDescent="0.45">
      <c r="A9" s="213"/>
      <c r="B9" s="327" t="s">
        <v>17</v>
      </c>
      <c r="C9" s="327" t="s">
        <v>438</v>
      </c>
      <c r="D9" s="321" t="s">
        <v>29</v>
      </c>
      <c r="E9" s="321" t="s">
        <v>79</v>
      </c>
      <c r="F9" s="321" t="s">
        <v>40</v>
      </c>
      <c r="G9" s="328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322" t="s">
        <v>476</v>
      </c>
      <c r="I9" s="202"/>
    </row>
    <row r="10" spans="1:10" ht="16.95" hidden="1" customHeight="1" x14ac:dyDescent="0.45">
      <c r="A10" s="213"/>
      <c r="B10" s="327" t="s">
        <v>17</v>
      </c>
      <c r="C10" s="327" t="s">
        <v>438</v>
      </c>
      <c r="D10" s="321" t="s">
        <v>29</v>
      </c>
      <c r="E10" s="321" t="s">
        <v>60</v>
      </c>
      <c r="F10" s="321" t="s">
        <v>346</v>
      </c>
      <c r="G10" s="328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322" t="s">
        <v>455</v>
      </c>
      <c r="I10" s="202"/>
    </row>
    <row r="11" spans="1:10" ht="16.95" hidden="1" customHeight="1" x14ac:dyDescent="0.45">
      <c r="A11" s="213"/>
      <c r="B11" s="327" t="s">
        <v>17</v>
      </c>
      <c r="C11" s="327" t="s">
        <v>438</v>
      </c>
      <c r="D11" s="321" t="s">
        <v>29</v>
      </c>
      <c r="E11" s="321" t="s">
        <v>80</v>
      </c>
      <c r="F11" s="321" t="s">
        <v>40</v>
      </c>
      <c r="G11" s="328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322" t="s">
        <v>476</v>
      </c>
      <c r="I11" s="202"/>
    </row>
    <row r="12" spans="1:10" ht="16.95" hidden="1" customHeight="1" x14ac:dyDescent="0.45">
      <c r="A12" s="213"/>
      <c r="B12" s="327" t="s">
        <v>17</v>
      </c>
      <c r="C12" s="327" t="s">
        <v>438</v>
      </c>
      <c r="D12" s="321" t="s">
        <v>29</v>
      </c>
      <c r="E12" s="321" t="s">
        <v>81</v>
      </c>
      <c r="F12" s="321" t="s">
        <v>40</v>
      </c>
      <c r="G12" s="328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322" t="s">
        <v>476</v>
      </c>
      <c r="I12" s="202"/>
    </row>
    <row r="13" spans="1:10" ht="16.95" hidden="1" customHeight="1" x14ac:dyDescent="0.45">
      <c r="A13" s="213"/>
      <c r="B13" s="327" t="s">
        <v>17</v>
      </c>
      <c r="C13" s="327" t="s">
        <v>438</v>
      </c>
      <c r="D13" s="321" t="s">
        <v>29</v>
      </c>
      <c r="E13" s="321" t="s">
        <v>82</v>
      </c>
      <c r="F13" s="321" t="s">
        <v>40</v>
      </c>
      <c r="G13" s="328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322"/>
      <c r="I13" s="202"/>
    </row>
    <row r="14" spans="1:10" ht="16.95" hidden="1" customHeight="1" x14ac:dyDescent="0.45">
      <c r="A14" s="213"/>
      <c r="B14" s="327" t="s">
        <v>17</v>
      </c>
      <c r="C14" s="327" t="s">
        <v>438</v>
      </c>
      <c r="D14" s="321" t="s">
        <v>29</v>
      </c>
      <c r="E14" s="321" t="s">
        <v>83</v>
      </c>
      <c r="F14" s="321" t="s">
        <v>40</v>
      </c>
      <c r="G14" s="328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322" t="s">
        <v>476</v>
      </c>
      <c r="I14" s="202"/>
    </row>
    <row r="15" spans="1:10" ht="16.95" hidden="1" customHeight="1" x14ac:dyDescent="0.45">
      <c r="A15" s="213"/>
      <c r="B15" s="327" t="s">
        <v>17</v>
      </c>
      <c r="C15" s="327" t="s">
        <v>438</v>
      </c>
      <c r="D15" s="321" t="s">
        <v>29</v>
      </c>
      <c r="E15" s="321" t="s">
        <v>61</v>
      </c>
      <c r="F15" s="321" t="s">
        <v>346</v>
      </c>
      <c r="G15" s="328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322" t="s">
        <v>387</v>
      </c>
      <c r="I15" s="202"/>
    </row>
    <row r="16" spans="1:10" ht="16.95" hidden="1" customHeight="1" x14ac:dyDescent="0.45">
      <c r="A16" s="213"/>
      <c r="B16" s="327" t="s">
        <v>17</v>
      </c>
      <c r="C16" s="327" t="s">
        <v>438</v>
      </c>
      <c r="D16" s="321" t="s">
        <v>29</v>
      </c>
      <c r="E16" s="321" t="s">
        <v>84</v>
      </c>
      <c r="F16" s="321" t="s">
        <v>40</v>
      </c>
      <c r="G16" s="328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322"/>
      <c r="I16" s="202"/>
    </row>
    <row r="17" spans="1:9" ht="16.95" hidden="1" customHeight="1" x14ac:dyDescent="0.45">
      <c r="A17" s="213"/>
      <c r="B17" s="327" t="s">
        <v>17</v>
      </c>
      <c r="C17" s="327" t="s">
        <v>438</v>
      </c>
      <c r="D17" s="321" t="s">
        <v>29</v>
      </c>
      <c r="E17" s="321" t="s">
        <v>85</v>
      </c>
      <c r="F17" s="321" t="s">
        <v>40</v>
      </c>
      <c r="G17" s="328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322" t="s">
        <v>476</v>
      </c>
      <c r="I17" s="202"/>
    </row>
    <row r="18" spans="1:9" ht="16.95" hidden="1" customHeight="1" x14ac:dyDescent="0.45">
      <c r="A18" s="213"/>
      <c r="B18" s="327" t="s">
        <v>17</v>
      </c>
      <c r="C18" s="327" t="s">
        <v>438</v>
      </c>
      <c r="D18" s="321" t="s">
        <v>29</v>
      </c>
      <c r="E18" s="321" t="s">
        <v>86</v>
      </c>
      <c r="F18" s="321" t="s">
        <v>40</v>
      </c>
      <c r="G18" s="328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322" t="s">
        <v>476</v>
      </c>
      <c r="I18" s="202"/>
    </row>
    <row r="19" spans="1:9" ht="16.95" hidden="1" customHeight="1" x14ac:dyDescent="0.45">
      <c r="A19" s="213"/>
      <c r="B19" s="327" t="s">
        <v>17</v>
      </c>
      <c r="C19" s="327" t="s">
        <v>376</v>
      </c>
      <c r="D19" s="321" t="s">
        <v>29</v>
      </c>
      <c r="E19" s="321" t="s">
        <v>62</v>
      </c>
      <c r="F19" s="321" t="s">
        <v>40</v>
      </c>
      <c r="G19" s="328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322" t="s">
        <v>449</v>
      </c>
      <c r="I19" s="202"/>
    </row>
    <row r="20" spans="1:9" ht="16.95" hidden="1" customHeight="1" x14ac:dyDescent="0.45">
      <c r="A20" s="213"/>
      <c r="B20" s="327" t="s">
        <v>17</v>
      </c>
      <c r="C20" s="327" t="s">
        <v>376</v>
      </c>
      <c r="D20" s="321" t="s">
        <v>29</v>
      </c>
      <c r="E20" s="321" t="s">
        <v>87</v>
      </c>
      <c r="F20" s="321" t="s">
        <v>40</v>
      </c>
      <c r="G20" s="328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322" t="s">
        <v>446</v>
      </c>
      <c r="I20" s="202"/>
    </row>
    <row r="21" spans="1:9" ht="16.95" hidden="1" customHeight="1" x14ac:dyDescent="0.45">
      <c r="A21" s="213"/>
      <c r="B21" s="327" t="s">
        <v>17</v>
      </c>
      <c r="C21" s="327" t="s">
        <v>376</v>
      </c>
      <c r="D21" s="321" t="s">
        <v>29</v>
      </c>
      <c r="E21" s="321" t="s">
        <v>88</v>
      </c>
      <c r="F21" s="321" t="s">
        <v>40</v>
      </c>
      <c r="G21" s="328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322" t="s">
        <v>447</v>
      </c>
      <c r="I21" s="202"/>
    </row>
    <row r="22" spans="1:9" ht="16.95" hidden="1" customHeight="1" x14ac:dyDescent="0.45">
      <c r="A22" s="213"/>
      <c r="B22" s="327" t="s">
        <v>17</v>
      </c>
      <c r="C22" s="327" t="s">
        <v>376</v>
      </c>
      <c r="D22" s="321" t="s">
        <v>29</v>
      </c>
      <c r="E22" s="321" t="s">
        <v>89</v>
      </c>
      <c r="F22" s="321" t="s">
        <v>40</v>
      </c>
      <c r="G22" s="328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322" t="s">
        <v>448</v>
      </c>
      <c r="I22" s="202"/>
    </row>
    <row r="23" spans="1:9" ht="16.95" hidden="1" customHeight="1" x14ac:dyDescent="0.45">
      <c r="A23" s="213"/>
      <c r="B23" s="327" t="s">
        <v>17</v>
      </c>
      <c r="C23" s="327" t="s">
        <v>438</v>
      </c>
      <c r="D23" s="321" t="s">
        <v>29</v>
      </c>
      <c r="E23" s="321" t="s">
        <v>90</v>
      </c>
      <c r="F23" s="321" t="s">
        <v>40</v>
      </c>
      <c r="G23" s="328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322" t="s">
        <v>476</v>
      </c>
      <c r="I23" s="202"/>
    </row>
    <row r="24" spans="1:9" ht="16.95" hidden="1" customHeight="1" x14ac:dyDescent="0.45">
      <c r="A24" s="213"/>
      <c r="B24" s="327" t="s">
        <v>17</v>
      </c>
      <c r="C24" s="327" t="s">
        <v>438</v>
      </c>
      <c r="D24" s="321" t="s">
        <v>29</v>
      </c>
      <c r="E24" s="321" t="s">
        <v>91</v>
      </c>
      <c r="F24" s="321" t="s">
        <v>40</v>
      </c>
      <c r="G24" s="328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322"/>
      <c r="I24" s="202"/>
    </row>
    <row r="25" spans="1:9" ht="16.95" hidden="1" customHeight="1" x14ac:dyDescent="0.45">
      <c r="A25" s="213"/>
      <c r="B25" s="327" t="s">
        <v>17</v>
      </c>
      <c r="C25" s="327" t="s">
        <v>438</v>
      </c>
      <c r="D25" s="321" t="s">
        <v>29</v>
      </c>
      <c r="E25" s="321" t="s">
        <v>92</v>
      </c>
      <c r="F25" s="321" t="s">
        <v>40</v>
      </c>
      <c r="G25" s="328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322" t="s">
        <v>476</v>
      </c>
      <c r="I25" s="202"/>
    </row>
    <row r="26" spans="1:9" ht="16.95" hidden="1" customHeight="1" x14ac:dyDescent="0.45">
      <c r="A26" s="213"/>
      <c r="B26" s="327" t="s">
        <v>17</v>
      </c>
      <c r="C26" s="327" t="s">
        <v>438</v>
      </c>
      <c r="D26" s="321" t="s">
        <v>29</v>
      </c>
      <c r="E26" s="321" t="s">
        <v>93</v>
      </c>
      <c r="F26" s="321" t="s">
        <v>40</v>
      </c>
      <c r="G26" s="328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322" t="s">
        <v>476</v>
      </c>
      <c r="I26" s="202"/>
    </row>
    <row r="27" spans="1:9" ht="16.95" hidden="1" customHeight="1" x14ac:dyDescent="0.45">
      <c r="A27" s="213"/>
      <c r="B27" s="327" t="s">
        <v>17</v>
      </c>
      <c r="C27" s="327" t="s">
        <v>438</v>
      </c>
      <c r="D27" s="321" t="s">
        <v>29</v>
      </c>
      <c r="E27" s="321" t="s">
        <v>94</v>
      </c>
      <c r="F27" s="321" t="s">
        <v>40</v>
      </c>
      <c r="G27" s="328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322"/>
      <c r="I27" s="202"/>
    </row>
    <row r="28" spans="1:9" ht="16.95" hidden="1" customHeight="1" x14ac:dyDescent="0.45">
      <c r="A28" s="213"/>
      <c r="B28" s="327" t="s">
        <v>17</v>
      </c>
      <c r="C28" s="327" t="s">
        <v>438</v>
      </c>
      <c r="D28" s="321" t="s">
        <v>29</v>
      </c>
      <c r="E28" s="321" t="s">
        <v>95</v>
      </c>
      <c r="F28" s="321" t="s">
        <v>40</v>
      </c>
      <c r="G28" s="328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322" t="s">
        <v>476</v>
      </c>
      <c r="I28" s="202"/>
    </row>
    <row r="29" spans="1:9" ht="16.95" hidden="1" customHeight="1" x14ac:dyDescent="0.45">
      <c r="A29" s="213"/>
      <c r="B29" s="327" t="s">
        <v>17</v>
      </c>
      <c r="C29" s="327" t="s">
        <v>438</v>
      </c>
      <c r="D29" s="321" t="s">
        <v>29</v>
      </c>
      <c r="E29" s="321" t="s">
        <v>96</v>
      </c>
      <c r="F29" s="321" t="s">
        <v>40</v>
      </c>
      <c r="G29" s="328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322" t="s">
        <v>476</v>
      </c>
      <c r="I29" s="202"/>
    </row>
    <row r="30" spans="1:9" ht="16.95" hidden="1" customHeight="1" x14ac:dyDescent="0.45">
      <c r="A30" s="213"/>
      <c r="B30" s="327" t="s">
        <v>17</v>
      </c>
      <c r="C30" s="327" t="s">
        <v>438</v>
      </c>
      <c r="D30" s="321" t="s">
        <v>29</v>
      </c>
      <c r="E30" s="321" t="s">
        <v>97</v>
      </c>
      <c r="F30" s="321" t="s">
        <v>346</v>
      </c>
      <c r="G30" s="328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322" t="s">
        <v>477</v>
      </c>
      <c r="I30" s="202"/>
    </row>
    <row r="31" spans="1:9" ht="16.95" hidden="1" customHeight="1" x14ac:dyDescent="0.45">
      <c r="A31" s="213"/>
      <c r="B31" s="327" t="s">
        <v>17</v>
      </c>
      <c r="C31" s="327" t="s">
        <v>438</v>
      </c>
      <c r="D31" s="321" t="s">
        <v>29</v>
      </c>
      <c r="E31" s="321" t="s">
        <v>98</v>
      </c>
      <c r="F31" s="321" t="s">
        <v>346</v>
      </c>
      <c r="G31" s="328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322" t="s">
        <v>477</v>
      </c>
      <c r="I31" s="202"/>
    </row>
    <row r="32" spans="1:9" ht="16.95" hidden="1" customHeight="1" x14ac:dyDescent="0.45">
      <c r="A32" s="213"/>
      <c r="B32" s="327" t="s">
        <v>17</v>
      </c>
      <c r="C32" s="327" t="s">
        <v>438</v>
      </c>
      <c r="D32" s="321" t="s">
        <v>29</v>
      </c>
      <c r="E32" s="321" t="s">
        <v>99</v>
      </c>
      <c r="F32" s="321" t="s">
        <v>346</v>
      </c>
      <c r="G32" s="328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322" t="s">
        <v>477</v>
      </c>
      <c r="I32" s="202"/>
    </row>
    <row r="33" spans="1:9" ht="16.95" hidden="1" customHeight="1" x14ac:dyDescent="0.45">
      <c r="A33" s="213"/>
      <c r="B33" s="327" t="s">
        <v>17</v>
      </c>
      <c r="C33" s="327" t="s">
        <v>438</v>
      </c>
      <c r="D33" s="321" t="s">
        <v>29</v>
      </c>
      <c r="E33" s="321" t="s">
        <v>100</v>
      </c>
      <c r="F33" s="321" t="s">
        <v>346</v>
      </c>
      <c r="G33" s="328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322" t="s">
        <v>477</v>
      </c>
      <c r="I33" s="202"/>
    </row>
    <row r="34" spans="1:9" ht="16.95" hidden="1" customHeight="1" x14ac:dyDescent="0.45">
      <c r="A34" s="213"/>
      <c r="B34" s="327" t="s">
        <v>17</v>
      </c>
      <c r="C34" s="327" t="s">
        <v>438</v>
      </c>
      <c r="D34" s="321" t="s">
        <v>29</v>
      </c>
      <c r="E34" s="321" t="s">
        <v>101</v>
      </c>
      <c r="F34" s="321" t="s">
        <v>346</v>
      </c>
      <c r="G34" s="328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322" t="s">
        <v>477</v>
      </c>
      <c r="I34" s="202"/>
    </row>
    <row r="35" spans="1:9" ht="16.95" hidden="1" customHeight="1" x14ac:dyDescent="0.45">
      <c r="A35" s="213"/>
      <c r="B35" s="327" t="s">
        <v>17</v>
      </c>
      <c r="C35" s="327" t="s">
        <v>438</v>
      </c>
      <c r="D35" s="321" t="s">
        <v>29</v>
      </c>
      <c r="E35" s="321" t="s">
        <v>63</v>
      </c>
      <c r="F35" s="321" t="s">
        <v>346</v>
      </c>
      <c r="G35" s="328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322" t="s">
        <v>387</v>
      </c>
      <c r="I35" s="202"/>
    </row>
    <row r="36" spans="1:9" ht="16.95" hidden="1" customHeight="1" x14ac:dyDescent="0.45">
      <c r="A36" s="213"/>
      <c r="B36" s="327" t="s">
        <v>17</v>
      </c>
      <c r="C36" s="327" t="s">
        <v>438</v>
      </c>
      <c r="D36" s="321" t="s">
        <v>29</v>
      </c>
      <c r="E36" s="321" t="s">
        <v>102</v>
      </c>
      <c r="F36" s="321" t="s">
        <v>346</v>
      </c>
      <c r="G36" s="328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322" t="s">
        <v>477</v>
      </c>
      <c r="I36" s="202"/>
    </row>
    <row r="37" spans="1:9" ht="16.95" hidden="1" customHeight="1" x14ac:dyDescent="0.45">
      <c r="A37" s="213"/>
      <c r="B37" s="327" t="s">
        <v>17</v>
      </c>
      <c r="C37" s="327" t="s">
        <v>438</v>
      </c>
      <c r="D37" s="321" t="s">
        <v>29</v>
      </c>
      <c r="E37" s="321" t="s">
        <v>103</v>
      </c>
      <c r="F37" s="321" t="s">
        <v>346</v>
      </c>
      <c r="G37" s="328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322" t="s">
        <v>477</v>
      </c>
      <c r="I37" s="202"/>
    </row>
    <row r="38" spans="1:9" ht="16.95" hidden="1" customHeight="1" x14ac:dyDescent="0.45">
      <c r="A38" s="213"/>
      <c r="B38" s="327" t="s">
        <v>17</v>
      </c>
      <c r="C38" s="327" t="s">
        <v>377</v>
      </c>
      <c r="D38" s="321" t="s">
        <v>29</v>
      </c>
      <c r="E38" s="321" t="s">
        <v>110</v>
      </c>
      <c r="F38" s="321" t="s">
        <v>40</v>
      </c>
      <c r="G38" s="328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322"/>
      <c r="I38" s="202"/>
    </row>
    <row r="39" spans="1:9" ht="16.95" hidden="1" customHeight="1" x14ac:dyDescent="0.45">
      <c r="A39" s="213"/>
      <c r="B39" s="327" t="s">
        <v>17</v>
      </c>
      <c r="C39" s="327" t="s">
        <v>452</v>
      </c>
      <c r="D39" s="321" t="s">
        <v>29</v>
      </c>
      <c r="E39" s="321" t="s">
        <v>111</v>
      </c>
      <c r="F39" s="321"/>
      <c r="G39" s="328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322" t="s">
        <v>436</v>
      </c>
      <c r="I39" s="202" t="s">
        <v>486</v>
      </c>
    </row>
    <row r="40" spans="1:9" ht="16.95" hidden="1" customHeight="1" x14ac:dyDescent="0.45">
      <c r="A40" s="213"/>
      <c r="B40" s="327" t="s">
        <v>17</v>
      </c>
      <c r="C40" s="327" t="s">
        <v>452</v>
      </c>
      <c r="D40" s="321" t="s">
        <v>29</v>
      </c>
      <c r="E40" s="321" t="s">
        <v>112</v>
      </c>
      <c r="F40" s="321"/>
      <c r="G40" s="328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322" t="s">
        <v>440</v>
      </c>
      <c r="I40" s="202" t="s">
        <v>487</v>
      </c>
    </row>
    <row r="41" spans="1:9" ht="16.95" hidden="1" customHeight="1" x14ac:dyDescent="0.45">
      <c r="A41" s="213"/>
      <c r="B41" s="327" t="s">
        <v>17</v>
      </c>
      <c r="C41" s="327" t="s">
        <v>377</v>
      </c>
      <c r="D41" s="321" t="s">
        <v>29</v>
      </c>
      <c r="E41" s="321" t="s">
        <v>51</v>
      </c>
      <c r="F41" s="321" t="s">
        <v>40</v>
      </c>
      <c r="G41" s="328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322"/>
      <c r="I41" s="202"/>
    </row>
    <row r="42" spans="1:9" ht="16.95" hidden="1" customHeight="1" x14ac:dyDescent="0.45">
      <c r="A42" s="213"/>
      <c r="B42" s="327" t="s">
        <v>17</v>
      </c>
      <c r="C42" s="327" t="s">
        <v>377</v>
      </c>
      <c r="D42" s="321" t="s">
        <v>29</v>
      </c>
      <c r="E42" s="321" t="s">
        <v>68</v>
      </c>
      <c r="F42" s="321" t="s">
        <v>40</v>
      </c>
      <c r="G42" s="328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322"/>
      <c r="I42" s="202"/>
    </row>
    <row r="43" spans="1:9" ht="16.95" hidden="1" customHeight="1" x14ac:dyDescent="0.45">
      <c r="A43" s="213"/>
      <c r="B43" s="327" t="s">
        <v>17</v>
      </c>
      <c r="C43" s="327" t="s">
        <v>377</v>
      </c>
      <c r="D43" s="321" t="s">
        <v>29</v>
      </c>
      <c r="E43" s="321" t="s">
        <v>52</v>
      </c>
      <c r="F43" s="321" t="s">
        <v>40</v>
      </c>
      <c r="G43" s="328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322"/>
      <c r="I43" s="202"/>
    </row>
    <row r="44" spans="1:9" ht="16.95" hidden="1" customHeight="1" x14ac:dyDescent="0.45">
      <c r="A44" s="213"/>
      <c r="B44" s="327" t="s">
        <v>17</v>
      </c>
      <c r="C44" s="327" t="s">
        <v>452</v>
      </c>
      <c r="D44" s="321" t="s">
        <v>29</v>
      </c>
      <c r="E44" s="321" t="s">
        <v>55</v>
      </c>
      <c r="F44" s="321"/>
      <c r="G44" s="328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322" t="s">
        <v>434</v>
      </c>
      <c r="I44" s="202" t="s">
        <v>488</v>
      </c>
    </row>
    <row r="45" spans="1:9" ht="16.8" hidden="1" customHeight="1" x14ac:dyDescent="0.45">
      <c r="A45" s="213"/>
      <c r="B45" s="327" t="s">
        <v>17</v>
      </c>
      <c r="C45" s="327" t="s">
        <v>377</v>
      </c>
      <c r="D45" s="321" t="s">
        <v>29</v>
      </c>
      <c r="E45" s="321" t="s">
        <v>69</v>
      </c>
      <c r="F45" s="321"/>
      <c r="G45" s="328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322" t="s">
        <v>437</v>
      </c>
      <c r="I45" s="202"/>
    </row>
    <row r="46" spans="1:9" ht="16.95" hidden="1" customHeight="1" x14ac:dyDescent="0.45">
      <c r="A46" s="213"/>
      <c r="B46" s="327" t="s">
        <v>17</v>
      </c>
      <c r="C46" s="327" t="s">
        <v>377</v>
      </c>
      <c r="D46" s="321" t="s">
        <v>29</v>
      </c>
      <c r="E46" s="321" t="s">
        <v>56</v>
      </c>
      <c r="F46" s="321"/>
      <c r="G46" s="328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322" t="s">
        <v>437</v>
      </c>
      <c r="I46" s="202"/>
    </row>
    <row r="47" spans="1:9" ht="16.95" customHeight="1" x14ac:dyDescent="0.45">
      <c r="A47" s="213"/>
      <c r="B47" s="327" t="s">
        <v>17</v>
      </c>
      <c r="C47" s="327" t="s">
        <v>377</v>
      </c>
      <c r="D47" s="321" t="s">
        <v>29</v>
      </c>
      <c r="E47" s="321" t="s">
        <v>70</v>
      </c>
      <c r="F47" s="321" t="s">
        <v>40</v>
      </c>
      <c r="G47" s="328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322"/>
      <c r="I47" s="202"/>
    </row>
    <row r="48" spans="1:9" ht="16.95" hidden="1" customHeight="1" x14ac:dyDescent="0.45">
      <c r="A48" s="213"/>
      <c r="B48" s="327" t="s">
        <v>17</v>
      </c>
      <c r="C48" s="327" t="s">
        <v>377</v>
      </c>
      <c r="D48" s="321" t="s">
        <v>29</v>
      </c>
      <c r="E48" s="321" t="s">
        <v>71</v>
      </c>
      <c r="F48" s="321" t="s">
        <v>40</v>
      </c>
      <c r="G48" s="328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322"/>
      <c r="I48" s="202"/>
    </row>
    <row r="49" spans="1:9" ht="16.95" hidden="1" customHeight="1" x14ac:dyDescent="0.45">
      <c r="A49" s="213"/>
      <c r="B49" s="327" t="s">
        <v>17</v>
      </c>
      <c r="C49" s="327" t="s">
        <v>377</v>
      </c>
      <c r="D49" s="321" t="s">
        <v>29</v>
      </c>
      <c r="E49" s="321" t="s">
        <v>72</v>
      </c>
      <c r="F49" s="321" t="s">
        <v>40</v>
      </c>
      <c r="G49" s="328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322"/>
      <c r="I49" s="202"/>
    </row>
    <row r="50" spans="1:9" ht="16.95" hidden="1" customHeight="1" x14ac:dyDescent="0.45">
      <c r="A50" s="213"/>
      <c r="B50" s="327" t="s">
        <v>17</v>
      </c>
      <c r="C50" s="327" t="s">
        <v>377</v>
      </c>
      <c r="D50" s="321" t="s">
        <v>29</v>
      </c>
      <c r="E50" s="321" t="s">
        <v>73</v>
      </c>
      <c r="F50" s="321" t="s">
        <v>40</v>
      </c>
      <c r="G50" s="328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322"/>
      <c r="I50" s="202"/>
    </row>
    <row r="51" spans="1:9" ht="16.95" hidden="1" customHeight="1" x14ac:dyDescent="0.45">
      <c r="A51" s="213"/>
      <c r="B51" s="327" t="s">
        <v>17</v>
      </c>
      <c r="C51" s="327" t="s">
        <v>452</v>
      </c>
      <c r="D51" s="321" t="s">
        <v>29</v>
      </c>
      <c r="E51" s="321" t="s">
        <v>74</v>
      </c>
      <c r="F51" s="321"/>
      <c r="G51" s="328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322" t="s">
        <v>435</v>
      </c>
      <c r="I51" s="202" t="s">
        <v>489</v>
      </c>
    </row>
    <row r="52" spans="1:9" ht="16.95" hidden="1" customHeight="1" x14ac:dyDescent="0.45">
      <c r="A52" s="213"/>
      <c r="B52" s="327" t="s">
        <v>17</v>
      </c>
      <c r="C52" s="327" t="s">
        <v>377</v>
      </c>
      <c r="D52" s="321" t="s">
        <v>29</v>
      </c>
      <c r="E52" s="321" t="s">
        <v>75</v>
      </c>
      <c r="F52" s="321" t="s">
        <v>40</v>
      </c>
      <c r="G52" s="328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322"/>
      <c r="I52" s="202"/>
    </row>
    <row r="53" spans="1:9" ht="16.95" hidden="1" customHeight="1" x14ac:dyDescent="0.45">
      <c r="A53" s="213"/>
      <c r="B53" s="327" t="s">
        <v>17</v>
      </c>
      <c r="C53" s="327" t="s">
        <v>452</v>
      </c>
      <c r="D53" s="321" t="s">
        <v>29</v>
      </c>
      <c r="E53" s="321" t="s">
        <v>76</v>
      </c>
      <c r="F53" s="321"/>
      <c r="G53" s="328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322" t="s">
        <v>436</v>
      </c>
      <c r="I53" s="202" t="s">
        <v>486</v>
      </c>
    </row>
    <row r="54" spans="1:9" ht="16.95" hidden="1" customHeight="1" x14ac:dyDescent="0.45">
      <c r="A54" s="213"/>
      <c r="B54" s="327" t="s">
        <v>17</v>
      </c>
      <c r="C54" s="327" t="s">
        <v>377</v>
      </c>
      <c r="D54" s="321" t="s">
        <v>29</v>
      </c>
      <c r="E54" s="321" t="s">
        <v>77</v>
      </c>
      <c r="F54" s="321" t="s">
        <v>40</v>
      </c>
      <c r="G54" s="328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322"/>
      <c r="I54" s="202"/>
    </row>
    <row r="55" spans="1:9" ht="46.05" hidden="1" customHeight="1" x14ac:dyDescent="0.45">
      <c r="A55" s="213"/>
      <c r="B55" s="327" t="s">
        <v>17</v>
      </c>
      <c r="C55" s="327" t="s">
        <v>377</v>
      </c>
      <c r="D55" s="321" t="s">
        <v>29</v>
      </c>
      <c r="E55" s="321" t="s">
        <v>78</v>
      </c>
      <c r="F55" s="333" t="s">
        <v>40</v>
      </c>
      <c r="G55" s="328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330" t="s">
        <v>490</v>
      </c>
      <c r="I55" s="202"/>
    </row>
    <row r="56" spans="1:9" ht="39.450000000000003" hidden="1" customHeight="1" x14ac:dyDescent="0.45">
      <c r="A56" s="213"/>
      <c r="B56" s="327" t="s">
        <v>17</v>
      </c>
      <c r="C56" s="327" t="s">
        <v>377</v>
      </c>
      <c r="D56" s="321" t="s">
        <v>29</v>
      </c>
      <c r="E56" s="321" t="s">
        <v>57</v>
      </c>
      <c r="F56" s="333" t="s">
        <v>40</v>
      </c>
      <c r="G56" s="328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330" t="s">
        <v>485</v>
      </c>
      <c r="I56" s="202"/>
    </row>
    <row r="57" spans="1:9" ht="16.95" hidden="1" customHeight="1" x14ac:dyDescent="0.45">
      <c r="A57" s="213"/>
      <c r="B57" s="327" t="s">
        <v>17</v>
      </c>
      <c r="C57" s="327" t="s">
        <v>452</v>
      </c>
      <c r="D57" s="321" t="s">
        <v>29</v>
      </c>
      <c r="E57" s="321" t="s">
        <v>66</v>
      </c>
      <c r="F57" s="321"/>
      <c r="G57" s="328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322" t="s">
        <v>436</v>
      </c>
      <c r="I57" s="202" t="s">
        <v>486</v>
      </c>
    </row>
    <row r="58" spans="1:9" ht="16.95" hidden="1" customHeight="1" x14ac:dyDescent="0.45">
      <c r="A58" s="213"/>
      <c r="B58" s="327" t="s">
        <v>17</v>
      </c>
      <c r="C58" s="327" t="s">
        <v>377</v>
      </c>
      <c r="D58" s="321" t="s">
        <v>275</v>
      </c>
      <c r="E58" s="321" t="s">
        <v>51</v>
      </c>
      <c r="F58" s="321" t="s">
        <v>40</v>
      </c>
      <c r="G58" s="328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322"/>
      <c r="I58" s="202"/>
    </row>
    <row r="59" spans="1:9" ht="16.95" hidden="1" customHeight="1" x14ac:dyDescent="0.45">
      <c r="A59" s="213"/>
      <c r="B59" s="327" t="s">
        <v>17</v>
      </c>
      <c r="C59" s="327" t="s">
        <v>377</v>
      </c>
      <c r="D59" s="321" t="s">
        <v>275</v>
      </c>
      <c r="E59" s="321" t="s">
        <v>52</v>
      </c>
      <c r="F59" s="321" t="s">
        <v>40</v>
      </c>
      <c r="G59" s="328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322"/>
      <c r="I59" s="202"/>
    </row>
    <row r="60" spans="1:9" ht="16.95" hidden="1" customHeight="1" x14ac:dyDescent="0.45">
      <c r="A60" s="213"/>
      <c r="B60" s="327" t="s">
        <v>17</v>
      </c>
      <c r="C60" s="327" t="s">
        <v>377</v>
      </c>
      <c r="D60" s="321" t="s">
        <v>275</v>
      </c>
      <c r="E60" s="321" t="s">
        <v>53</v>
      </c>
      <c r="F60" s="321" t="s">
        <v>40</v>
      </c>
      <c r="G60" s="328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322"/>
      <c r="I60" s="202"/>
    </row>
    <row r="61" spans="1:9" ht="16.95" hidden="1" customHeight="1" x14ac:dyDescent="0.45">
      <c r="A61" s="213"/>
      <c r="B61" s="327" t="s">
        <v>17</v>
      </c>
      <c r="C61" s="327" t="s">
        <v>377</v>
      </c>
      <c r="D61" s="321" t="s">
        <v>275</v>
      </c>
      <c r="E61" s="321" t="s">
        <v>113</v>
      </c>
      <c r="F61" s="321" t="s">
        <v>40</v>
      </c>
      <c r="G61" s="328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322"/>
      <c r="I61" s="202"/>
    </row>
    <row r="62" spans="1:9" ht="16.95" hidden="1" customHeight="1" x14ac:dyDescent="0.45">
      <c r="A62" s="213"/>
      <c r="B62" s="327" t="s">
        <v>17</v>
      </c>
      <c r="C62" s="327" t="s">
        <v>377</v>
      </c>
      <c r="D62" s="321" t="s">
        <v>28</v>
      </c>
      <c r="E62" s="321" t="s">
        <v>51</v>
      </c>
      <c r="F62" s="321" t="s">
        <v>40</v>
      </c>
      <c r="G62" s="328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322"/>
      <c r="I62" s="202"/>
    </row>
    <row r="63" spans="1:9" ht="16.95" hidden="1" customHeight="1" x14ac:dyDescent="0.45">
      <c r="A63" s="213"/>
      <c r="B63" s="327" t="s">
        <v>17</v>
      </c>
      <c r="C63" s="327" t="s">
        <v>377</v>
      </c>
      <c r="D63" s="321" t="s">
        <v>28</v>
      </c>
      <c r="E63" s="321" t="s">
        <v>52</v>
      </c>
      <c r="F63" s="321" t="s">
        <v>40</v>
      </c>
      <c r="G63" s="328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322"/>
      <c r="I63" s="202"/>
    </row>
    <row r="64" spans="1:9" ht="16.95" hidden="1" customHeight="1" x14ac:dyDescent="0.45">
      <c r="A64" s="213"/>
      <c r="B64" s="327" t="s">
        <v>17</v>
      </c>
      <c r="C64" s="327" t="s">
        <v>377</v>
      </c>
      <c r="D64" s="321" t="s">
        <v>28</v>
      </c>
      <c r="E64" s="321" t="s">
        <v>113</v>
      </c>
      <c r="F64" s="321" t="s">
        <v>40</v>
      </c>
      <c r="G64" s="328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322"/>
      <c r="I64" s="202"/>
    </row>
    <row r="65" spans="1:9" ht="16.95" hidden="1" customHeight="1" x14ac:dyDescent="0.45">
      <c r="A65" s="213"/>
      <c r="B65" s="327" t="s">
        <v>17</v>
      </c>
      <c r="C65" s="327" t="s">
        <v>377</v>
      </c>
      <c r="D65" s="321" t="s">
        <v>28</v>
      </c>
      <c r="E65" s="321" t="s">
        <v>114</v>
      </c>
      <c r="F65" s="321" t="s">
        <v>40</v>
      </c>
      <c r="G65" s="328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322"/>
      <c r="I65" s="202"/>
    </row>
    <row r="66" spans="1:9" ht="43.95" hidden="1" customHeight="1" x14ac:dyDescent="0.45">
      <c r="A66" s="213"/>
      <c r="B66" s="327" t="s">
        <v>17</v>
      </c>
      <c r="C66" s="327" t="s">
        <v>377</v>
      </c>
      <c r="D66" s="321" t="s">
        <v>28</v>
      </c>
      <c r="E66" s="321" t="s">
        <v>115</v>
      </c>
      <c r="F66" s="333" t="s">
        <v>40</v>
      </c>
      <c r="G66" s="328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330" t="s">
        <v>491</v>
      </c>
      <c r="I66" s="202"/>
    </row>
    <row r="67" spans="1:9" ht="16.95" hidden="1" customHeight="1" x14ac:dyDescent="0.45">
      <c r="A67" s="213"/>
      <c r="B67" s="327" t="s">
        <v>17</v>
      </c>
      <c r="C67" s="327" t="s">
        <v>429</v>
      </c>
      <c r="D67" s="321" t="s">
        <v>28</v>
      </c>
      <c r="E67" s="321" t="s">
        <v>430</v>
      </c>
      <c r="F67" s="321" t="s">
        <v>274</v>
      </c>
      <c r="G67" s="328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N/A</v>
      </c>
      <c r="H67" s="322"/>
      <c r="I67" s="202"/>
    </row>
    <row r="68" spans="1:9" ht="16.95" hidden="1" customHeight="1" x14ac:dyDescent="0.45">
      <c r="A68" s="213"/>
      <c r="B68" s="327" t="s">
        <v>17</v>
      </c>
      <c r="C68" s="327" t="s">
        <v>478</v>
      </c>
      <c r="D68" s="321" t="s">
        <v>28</v>
      </c>
      <c r="E68" s="321" t="s">
        <v>118</v>
      </c>
      <c r="F68" s="321" t="s">
        <v>274</v>
      </c>
      <c r="G68" s="328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</v>
      </c>
      <c r="H68" s="322" t="s">
        <v>441</v>
      </c>
      <c r="I68" s="202"/>
    </row>
    <row r="69" spans="1:9" ht="16.8" hidden="1" customHeight="1" x14ac:dyDescent="0.45">
      <c r="A69" s="213"/>
      <c r="B69" s="327" t="s">
        <v>17</v>
      </c>
      <c r="C69" s="327" t="s">
        <v>379</v>
      </c>
      <c r="D69" s="321" t="s">
        <v>108</v>
      </c>
      <c r="E69" s="321" t="s">
        <v>116</v>
      </c>
      <c r="F69" s="321" t="s">
        <v>346</v>
      </c>
      <c r="G69" s="328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322"/>
      <c r="I69" s="202"/>
    </row>
    <row r="70" spans="1:9" ht="16.95" hidden="1" customHeight="1" x14ac:dyDescent="0.45">
      <c r="A70" s="213"/>
      <c r="B70" s="327" t="s">
        <v>17</v>
      </c>
      <c r="C70" s="327" t="s">
        <v>380</v>
      </c>
      <c r="D70" s="321" t="s">
        <v>29</v>
      </c>
      <c r="E70" s="321" t="s">
        <v>64</v>
      </c>
      <c r="F70" s="321" t="s">
        <v>346</v>
      </c>
      <c r="G70" s="328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322" t="s">
        <v>442</v>
      </c>
      <c r="I70" s="202"/>
    </row>
    <row r="71" spans="1:9" ht="16.95" hidden="1" customHeight="1" x14ac:dyDescent="0.45">
      <c r="A71" s="213"/>
      <c r="B71" s="327" t="s">
        <v>17</v>
      </c>
      <c r="C71" s="327" t="s">
        <v>379</v>
      </c>
      <c r="D71" s="321" t="s">
        <v>108</v>
      </c>
      <c r="E71" s="321" t="s">
        <v>58</v>
      </c>
      <c r="F71" s="321" t="s">
        <v>346</v>
      </c>
      <c r="G71" s="328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322"/>
      <c r="I71" s="202"/>
    </row>
    <row r="72" spans="1:9" ht="16.95" hidden="1" customHeight="1" x14ac:dyDescent="0.45">
      <c r="A72" s="213"/>
      <c r="B72" s="327" t="s">
        <v>17</v>
      </c>
      <c r="C72" s="327" t="s">
        <v>379</v>
      </c>
      <c r="D72" s="321" t="s">
        <v>108</v>
      </c>
      <c r="E72" s="321" t="s">
        <v>59</v>
      </c>
      <c r="F72" s="321" t="s">
        <v>346</v>
      </c>
      <c r="G72" s="328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322"/>
      <c r="I72" s="202"/>
    </row>
    <row r="73" spans="1:9" ht="16.95" hidden="1" customHeight="1" x14ac:dyDescent="0.45">
      <c r="A73" s="213"/>
      <c r="B73" s="327" t="s">
        <v>17</v>
      </c>
      <c r="C73" s="327" t="s">
        <v>377</v>
      </c>
      <c r="D73" s="321" t="s">
        <v>29</v>
      </c>
      <c r="E73" s="321" t="s">
        <v>53</v>
      </c>
      <c r="F73" s="321" t="s">
        <v>40</v>
      </c>
      <c r="G73" s="328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322"/>
      <c r="I73" s="202"/>
    </row>
    <row r="74" spans="1:9" ht="16.95" hidden="1" customHeight="1" x14ac:dyDescent="0.45">
      <c r="A74" s="213"/>
      <c r="B74" s="327" t="s">
        <v>17</v>
      </c>
      <c r="C74" s="327" t="s">
        <v>429</v>
      </c>
      <c r="D74" s="321" t="s">
        <v>275</v>
      </c>
      <c r="E74" s="321" t="s">
        <v>117</v>
      </c>
      <c r="F74" s="321" t="s">
        <v>346</v>
      </c>
      <c r="G74" s="328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322"/>
      <c r="I74" s="202"/>
    </row>
    <row r="75" spans="1:9" ht="16.95" hidden="1" customHeight="1" x14ac:dyDescent="0.45">
      <c r="A75" s="329" t="s">
        <v>450</v>
      </c>
      <c r="B75" s="327" t="s">
        <v>17</v>
      </c>
      <c r="C75" s="327" t="s">
        <v>379</v>
      </c>
      <c r="D75" s="321" t="s">
        <v>108</v>
      </c>
      <c r="E75" s="321" t="s">
        <v>51</v>
      </c>
      <c r="F75" s="321" t="s">
        <v>346</v>
      </c>
      <c r="G75" s="328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322"/>
      <c r="I75" s="202"/>
    </row>
    <row r="76" spans="1:9" ht="16.95" hidden="1" customHeight="1" x14ac:dyDescent="0.45">
      <c r="A76" s="329" t="s">
        <v>450</v>
      </c>
      <c r="B76" s="327" t="s">
        <v>17</v>
      </c>
      <c r="C76" s="327" t="s">
        <v>379</v>
      </c>
      <c r="D76" s="321" t="s">
        <v>108</v>
      </c>
      <c r="E76" s="321" t="s">
        <v>52</v>
      </c>
      <c r="F76" s="321" t="s">
        <v>346</v>
      </c>
      <c r="G76" s="328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322"/>
      <c r="I76" s="202"/>
    </row>
    <row r="77" spans="1:9" ht="16.95" hidden="1" customHeight="1" x14ac:dyDescent="0.45">
      <c r="A77" s="329" t="s">
        <v>450</v>
      </c>
      <c r="B77" s="327" t="s">
        <v>17</v>
      </c>
      <c r="C77" s="327" t="s">
        <v>379</v>
      </c>
      <c r="D77" s="321" t="s">
        <v>108</v>
      </c>
      <c r="E77" s="321" t="s">
        <v>53</v>
      </c>
      <c r="F77" s="321" t="s">
        <v>346</v>
      </c>
      <c r="G77" s="328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322"/>
      <c r="I77" s="202"/>
    </row>
    <row r="78" spans="1:9" ht="17.399999999999999" customHeight="1" x14ac:dyDescent="0.45"/>
    <row r="79" spans="1:9" ht="17.399999999999999" customHeight="1" x14ac:dyDescent="0.45"/>
    <row r="80" spans="1:9" ht="17.399999999999999" customHeight="1" x14ac:dyDescent="0.45"/>
    <row r="81" ht="17.399999999999999" customHeight="1" x14ac:dyDescent="0.45"/>
    <row r="82" ht="17.399999999999999" customHeight="1" x14ac:dyDescent="0.45"/>
    <row r="83" ht="17.399999999999999" customHeight="1" x14ac:dyDescent="0.45"/>
    <row r="84" ht="17.399999999999999" customHeight="1" x14ac:dyDescent="0.45"/>
    <row r="85" ht="17.399999999999999" customHeight="1" x14ac:dyDescent="0.45"/>
    <row r="86" ht="17.399999999999999" customHeight="1" x14ac:dyDescent="0.45"/>
    <row r="87" ht="17.399999999999999" customHeight="1" x14ac:dyDescent="0.45"/>
    <row r="88" ht="17.399999999999999" customHeight="1" x14ac:dyDescent="0.45"/>
    <row r="89" ht="17.399999999999999" customHeight="1" x14ac:dyDescent="0.45"/>
    <row r="90" ht="17.399999999999999" customHeight="1" x14ac:dyDescent="0.45"/>
    <row r="91" ht="17.399999999999999" customHeight="1" x14ac:dyDescent="0.45"/>
    <row r="92" ht="17.399999999999999" customHeight="1" x14ac:dyDescent="0.45"/>
    <row r="93" ht="17.399999999999999" customHeight="1" x14ac:dyDescent="0.45"/>
    <row r="94" ht="17.399999999999999" customHeight="1" x14ac:dyDescent="0.45"/>
    <row r="95" ht="17.399999999999999" customHeight="1" x14ac:dyDescent="0.45"/>
    <row r="96" ht="17.399999999999999" customHeight="1" x14ac:dyDescent="0.45"/>
    <row r="97" ht="17.399999999999999" customHeight="1" x14ac:dyDescent="0.45"/>
    <row r="98" ht="17.399999999999999" customHeight="1" x14ac:dyDescent="0.45"/>
    <row r="99" ht="17.399999999999999" customHeight="1" x14ac:dyDescent="0.45"/>
    <row r="100" ht="17.399999999999999" customHeight="1" x14ac:dyDescent="0.45"/>
    <row r="101" ht="17.399999999999999" customHeight="1" x14ac:dyDescent="0.45"/>
    <row r="102" ht="17.399999999999999" customHeight="1" x14ac:dyDescent="0.45"/>
    <row r="103" ht="17.399999999999999" customHeight="1" x14ac:dyDescent="0.45"/>
    <row r="104" ht="17.399999999999999" customHeight="1" x14ac:dyDescent="0.45"/>
    <row r="105" ht="17.399999999999999" customHeight="1" x14ac:dyDescent="0.45"/>
    <row r="106" ht="17.399999999999999" customHeight="1" x14ac:dyDescent="0.45"/>
    <row r="107" ht="17.399999999999999" customHeight="1" x14ac:dyDescent="0.45"/>
    <row r="108" ht="17.399999999999999" customHeight="1" x14ac:dyDescent="0.45"/>
    <row r="109" ht="17.399999999999999" customHeight="1" x14ac:dyDescent="0.45"/>
    <row r="110" ht="17.399999999999999" customHeight="1" x14ac:dyDescent="0.45"/>
    <row r="111" ht="17.399999999999999" customHeight="1" x14ac:dyDescent="0.45"/>
    <row r="112" ht="17.399999999999999" customHeight="1" x14ac:dyDescent="0.45"/>
    <row r="113" ht="17.399999999999999" customHeight="1" x14ac:dyDescent="0.45"/>
    <row r="114" ht="17.399999999999999" customHeight="1" x14ac:dyDescent="0.45"/>
    <row r="115" ht="17.399999999999999" customHeight="1" x14ac:dyDescent="0.45"/>
    <row r="116" ht="17.399999999999999" customHeight="1" x14ac:dyDescent="0.45"/>
    <row r="117" ht="17.399999999999999" customHeight="1" x14ac:dyDescent="0.45"/>
    <row r="118" ht="17.399999999999999" customHeight="1" x14ac:dyDescent="0.45"/>
    <row r="119" ht="17.399999999999999" customHeight="1" x14ac:dyDescent="0.45"/>
    <row r="120" ht="17.399999999999999" customHeight="1" x14ac:dyDescent="0.45"/>
    <row r="121" ht="17.399999999999999" customHeight="1" x14ac:dyDescent="0.45"/>
    <row r="122" ht="17.399999999999999" customHeight="1" x14ac:dyDescent="0.45"/>
    <row r="123" ht="17.399999999999999" customHeight="1" x14ac:dyDescent="0.45"/>
    <row r="124" ht="17.399999999999999" customHeight="1" x14ac:dyDescent="0.45"/>
    <row r="125" ht="17.399999999999999" customHeight="1" x14ac:dyDescent="0.45"/>
    <row r="126" ht="17.399999999999999" customHeight="1" x14ac:dyDescent="0.45"/>
    <row r="127" ht="17.399999999999999" customHeight="1" x14ac:dyDescent="0.45"/>
    <row r="128" ht="17.399999999999999" customHeight="1" x14ac:dyDescent="0.45"/>
    <row r="129" ht="17.399999999999999" customHeight="1" x14ac:dyDescent="0.45"/>
    <row r="130" ht="17.399999999999999" customHeight="1" x14ac:dyDescent="0.45"/>
    <row r="131" ht="17.399999999999999" customHeight="1" x14ac:dyDescent="0.45"/>
    <row r="132" ht="17.399999999999999" customHeight="1" x14ac:dyDescent="0.45"/>
    <row r="133" ht="17.399999999999999" customHeight="1" x14ac:dyDescent="0.45"/>
    <row r="134" ht="17.399999999999999" customHeight="1" x14ac:dyDescent="0.45"/>
    <row r="135" ht="17.399999999999999" customHeight="1" x14ac:dyDescent="0.45"/>
    <row r="136" ht="17.399999999999999" customHeight="1" x14ac:dyDescent="0.45"/>
    <row r="137" ht="17.399999999999999" customHeight="1" x14ac:dyDescent="0.45"/>
    <row r="138" ht="17.399999999999999" customHeight="1" x14ac:dyDescent="0.45"/>
    <row r="139" ht="17.399999999999999" customHeight="1" x14ac:dyDescent="0.45"/>
    <row r="140" ht="17.399999999999999" customHeight="1" x14ac:dyDescent="0.45"/>
    <row r="141" ht="17.399999999999999" customHeight="1" x14ac:dyDescent="0.45"/>
    <row r="142" ht="17.399999999999999" customHeight="1" x14ac:dyDescent="0.45"/>
    <row r="143" ht="17.399999999999999" customHeight="1" x14ac:dyDescent="0.45"/>
    <row r="144" ht="17.399999999999999" customHeight="1" x14ac:dyDescent="0.45"/>
    <row r="145" ht="17.399999999999999" customHeight="1" x14ac:dyDescent="0.45"/>
    <row r="146" ht="17.399999999999999" customHeight="1" x14ac:dyDescent="0.45"/>
    <row r="147" ht="17.399999999999999" customHeight="1" x14ac:dyDescent="0.45"/>
    <row r="148" ht="17.399999999999999" customHeight="1" x14ac:dyDescent="0.45"/>
    <row r="149" ht="17.399999999999999" customHeight="1" x14ac:dyDescent="0.45"/>
    <row r="150" ht="17.399999999999999" customHeight="1" x14ac:dyDescent="0.45"/>
    <row r="151" ht="17.399999999999999" customHeight="1" x14ac:dyDescent="0.45"/>
    <row r="152" ht="17.399999999999999" customHeight="1" x14ac:dyDescent="0.45"/>
    <row r="153" ht="17.399999999999999" customHeight="1" x14ac:dyDescent="0.45"/>
    <row r="154" ht="17.399999999999999" customHeight="1" x14ac:dyDescent="0.45"/>
    <row r="155" ht="17.399999999999999" customHeight="1" x14ac:dyDescent="0.45"/>
    <row r="156" ht="17.399999999999999" customHeight="1" x14ac:dyDescent="0.45"/>
    <row r="157" ht="17.399999999999999" customHeight="1" x14ac:dyDescent="0.45"/>
    <row r="158" ht="17.399999999999999" customHeight="1" x14ac:dyDescent="0.45"/>
    <row r="159" ht="17.399999999999999" customHeight="1" x14ac:dyDescent="0.45"/>
    <row r="160" ht="17.399999999999999" customHeight="1" x14ac:dyDescent="0.45"/>
    <row r="161" ht="17.399999999999999" customHeight="1" x14ac:dyDescent="0.45"/>
    <row r="162" ht="17.399999999999999" customHeight="1" x14ac:dyDescent="0.45"/>
    <row r="163" ht="17.399999999999999" customHeight="1" x14ac:dyDescent="0.45"/>
    <row r="164" ht="17.399999999999999" customHeight="1" x14ac:dyDescent="0.45"/>
    <row r="165" ht="17.399999999999999" customHeight="1" x14ac:dyDescent="0.45"/>
    <row r="166" ht="17.399999999999999" customHeight="1" x14ac:dyDescent="0.45"/>
    <row r="167" ht="17.399999999999999" customHeight="1" x14ac:dyDescent="0.45"/>
    <row r="168" ht="17.399999999999999" customHeight="1" x14ac:dyDescent="0.45"/>
    <row r="169" ht="17.399999999999999" customHeight="1" x14ac:dyDescent="0.45"/>
    <row r="170" ht="17.399999999999999" customHeight="1" x14ac:dyDescent="0.45"/>
    <row r="171" ht="17.399999999999999" customHeight="1" x14ac:dyDescent="0.45"/>
    <row r="172" ht="17.399999999999999" customHeight="1" x14ac:dyDescent="0.45"/>
    <row r="173" ht="17.399999999999999" customHeight="1" x14ac:dyDescent="0.45"/>
    <row r="174" ht="17.399999999999999" customHeight="1" x14ac:dyDescent="0.45"/>
    <row r="175" ht="17.399999999999999" customHeight="1" x14ac:dyDescent="0.45"/>
    <row r="176" ht="17.399999999999999" customHeight="1" x14ac:dyDescent="0.45"/>
    <row r="177" ht="17.399999999999999" customHeight="1" x14ac:dyDescent="0.45"/>
    <row r="178" ht="17.399999999999999" customHeight="1" x14ac:dyDescent="0.45"/>
    <row r="179" ht="17.399999999999999" customHeight="1" x14ac:dyDescent="0.45"/>
    <row r="180" ht="17.399999999999999" customHeight="1" x14ac:dyDescent="0.45"/>
    <row r="181" ht="17.399999999999999" customHeight="1" x14ac:dyDescent="0.45"/>
    <row r="182" ht="17.399999999999999" customHeight="1" x14ac:dyDescent="0.45"/>
    <row r="183" ht="17.399999999999999" customHeight="1" x14ac:dyDescent="0.45"/>
    <row r="184" ht="17.399999999999999" customHeight="1" x14ac:dyDescent="0.45"/>
    <row r="185" ht="17.399999999999999" customHeight="1" x14ac:dyDescent="0.45"/>
    <row r="186" ht="17.399999999999999" customHeight="1" x14ac:dyDescent="0.45"/>
    <row r="187" ht="17.399999999999999" customHeight="1" x14ac:dyDescent="0.45"/>
    <row r="188" ht="17.399999999999999" customHeight="1" x14ac:dyDescent="0.45"/>
    <row r="189" ht="17.399999999999999" customHeight="1" x14ac:dyDescent="0.45"/>
    <row r="190" ht="17.399999999999999" customHeight="1" x14ac:dyDescent="0.45"/>
    <row r="191" ht="17.399999999999999" customHeight="1" x14ac:dyDescent="0.45"/>
    <row r="192" ht="17.399999999999999" customHeight="1" x14ac:dyDescent="0.45"/>
    <row r="193" ht="17.399999999999999" customHeight="1" x14ac:dyDescent="0.45"/>
    <row r="194" ht="17.399999999999999" customHeight="1" x14ac:dyDescent="0.45"/>
    <row r="195" ht="17.399999999999999" customHeight="1" x14ac:dyDescent="0.45"/>
    <row r="196" ht="17.399999999999999" customHeight="1" x14ac:dyDescent="0.45"/>
    <row r="197" ht="17.399999999999999" customHeight="1" x14ac:dyDescent="0.45"/>
    <row r="198" ht="17.399999999999999" customHeight="1" x14ac:dyDescent="0.45"/>
    <row r="199" ht="17.399999999999999" customHeight="1" x14ac:dyDescent="0.45"/>
    <row r="200" ht="17.399999999999999" customHeight="1" x14ac:dyDescent="0.45"/>
    <row r="201" ht="17.399999999999999" customHeight="1" x14ac:dyDescent="0.45"/>
    <row r="202" ht="17.399999999999999" customHeight="1" x14ac:dyDescent="0.45"/>
    <row r="203" ht="17.399999999999999" customHeight="1" x14ac:dyDescent="0.45"/>
    <row r="204" ht="17.399999999999999" customHeight="1" x14ac:dyDescent="0.45"/>
    <row r="205" ht="17.399999999999999" customHeight="1" x14ac:dyDescent="0.45"/>
    <row r="206" ht="17.399999999999999" customHeight="1" x14ac:dyDescent="0.45"/>
    <row r="207" ht="17.399999999999999" customHeight="1" x14ac:dyDescent="0.45"/>
    <row r="208" ht="17.399999999999999" customHeight="1" x14ac:dyDescent="0.45"/>
    <row r="209" ht="17.399999999999999" customHeight="1" x14ac:dyDescent="0.45"/>
    <row r="210" ht="17.399999999999999" customHeight="1" x14ac:dyDescent="0.45"/>
    <row r="211" ht="17.399999999999999" customHeight="1" x14ac:dyDescent="0.45"/>
    <row r="212" ht="17.399999999999999" customHeight="1" x14ac:dyDescent="0.45"/>
    <row r="213" ht="17.399999999999999" customHeight="1" x14ac:dyDescent="0.45"/>
    <row r="214" ht="17.399999999999999" customHeight="1" x14ac:dyDescent="0.45"/>
    <row r="215" ht="17.399999999999999" customHeight="1" x14ac:dyDescent="0.45"/>
    <row r="216" ht="17.399999999999999" customHeight="1" x14ac:dyDescent="0.45"/>
    <row r="217" ht="17.399999999999999" customHeight="1" x14ac:dyDescent="0.45"/>
    <row r="218" ht="17.399999999999999" customHeight="1" x14ac:dyDescent="0.45"/>
    <row r="219" ht="17.399999999999999" customHeight="1" x14ac:dyDescent="0.45"/>
    <row r="220" ht="17.399999999999999" customHeight="1" x14ac:dyDescent="0.45"/>
    <row r="221" ht="17.399999999999999" customHeight="1" x14ac:dyDescent="0.45"/>
    <row r="222" ht="17.399999999999999" customHeight="1" x14ac:dyDescent="0.45"/>
    <row r="223" ht="17.399999999999999" customHeight="1" x14ac:dyDescent="0.45"/>
    <row r="224" ht="17.399999999999999" customHeight="1" x14ac:dyDescent="0.45"/>
    <row r="225" ht="17.399999999999999" customHeight="1" x14ac:dyDescent="0.45"/>
    <row r="226" ht="17.399999999999999" customHeight="1" x14ac:dyDescent="0.45"/>
    <row r="227" ht="17.399999999999999" customHeight="1" x14ac:dyDescent="0.45"/>
    <row r="228" ht="17.399999999999999" customHeight="1" x14ac:dyDescent="0.45"/>
    <row r="229" ht="17.399999999999999" customHeight="1" x14ac:dyDescent="0.45"/>
    <row r="230" ht="17.399999999999999" customHeight="1" x14ac:dyDescent="0.45"/>
    <row r="231" ht="17.399999999999999" customHeight="1" x14ac:dyDescent="0.45"/>
    <row r="232" ht="17.399999999999999" customHeight="1" x14ac:dyDescent="0.45"/>
    <row r="233" ht="17.399999999999999" customHeight="1" x14ac:dyDescent="0.45"/>
    <row r="234" ht="17.399999999999999" customHeight="1" x14ac:dyDescent="0.45"/>
    <row r="235" ht="17.399999999999999" customHeight="1" x14ac:dyDescent="0.45"/>
    <row r="236" ht="17.399999999999999" customHeight="1" x14ac:dyDescent="0.45"/>
    <row r="237" ht="17.399999999999999" customHeight="1" x14ac:dyDescent="0.45"/>
    <row r="238" ht="17.399999999999999" customHeight="1" x14ac:dyDescent="0.45"/>
    <row r="239" ht="17.399999999999999" customHeight="1" x14ac:dyDescent="0.45"/>
    <row r="240" ht="17.399999999999999" customHeight="1" x14ac:dyDescent="0.45"/>
    <row r="241" ht="17.399999999999999" customHeight="1" x14ac:dyDescent="0.45"/>
    <row r="242" ht="17.399999999999999" customHeight="1" x14ac:dyDescent="0.45"/>
    <row r="243" ht="17.399999999999999" customHeight="1" x14ac:dyDescent="0.45"/>
    <row r="244" ht="17.399999999999999" customHeight="1" x14ac:dyDescent="0.45"/>
    <row r="245" ht="17.399999999999999" customHeight="1" x14ac:dyDescent="0.45"/>
    <row r="246" ht="17.399999999999999" customHeight="1" x14ac:dyDescent="0.45"/>
    <row r="247" ht="17.399999999999999" customHeight="1" x14ac:dyDescent="0.45"/>
    <row r="248" ht="17.399999999999999" customHeight="1" x14ac:dyDescent="0.45"/>
    <row r="249" ht="17.399999999999999" customHeight="1" x14ac:dyDescent="0.45"/>
    <row r="250" ht="17.399999999999999" customHeight="1" x14ac:dyDescent="0.45"/>
    <row r="251" ht="17.399999999999999" customHeight="1" x14ac:dyDescent="0.45"/>
    <row r="252" ht="17.399999999999999" customHeight="1" x14ac:dyDescent="0.45"/>
    <row r="253" ht="17.399999999999999" customHeight="1" x14ac:dyDescent="0.45"/>
    <row r="254" ht="17.399999999999999" customHeight="1" x14ac:dyDescent="0.45"/>
    <row r="255" ht="17.399999999999999" customHeight="1" x14ac:dyDescent="0.45"/>
    <row r="256" ht="17.399999999999999" customHeight="1" x14ac:dyDescent="0.45"/>
    <row r="257" ht="17.399999999999999" customHeight="1" x14ac:dyDescent="0.45"/>
    <row r="258" ht="17.399999999999999" customHeight="1" x14ac:dyDescent="0.45"/>
    <row r="259" ht="17.399999999999999" customHeight="1" x14ac:dyDescent="0.45"/>
    <row r="260" ht="17.399999999999999" customHeight="1" x14ac:dyDescent="0.45"/>
    <row r="261" ht="17.399999999999999" customHeight="1" x14ac:dyDescent="0.45"/>
    <row r="262" ht="17.399999999999999" customHeight="1" x14ac:dyDescent="0.45"/>
    <row r="263" ht="17.399999999999999" customHeight="1" x14ac:dyDescent="0.45"/>
    <row r="264" ht="17.399999999999999" customHeight="1" x14ac:dyDescent="0.45"/>
    <row r="265" ht="17.399999999999999" customHeight="1" x14ac:dyDescent="0.45"/>
    <row r="266" ht="17.399999999999999" customHeight="1" x14ac:dyDescent="0.45"/>
    <row r="267" ht="17.399999999999999" customHeight="1" x14ac:dyDescent="0.45"/>
    <row r="268" ht="17.399999999999999" customHeight="1" x14ac:dyDescent="0.45"/>
    <row r="269" ht="17.399999999999999" customHeight="1" x14ac:dyDescent="0.45"/>
    <row r="270" ht="17.399999999999999" customHeight="1" x14ac:dyDescent="0.45"/>
    <row r="271" ht="17.399999999999999" customHeight="1" x14ac:dyDescent="0.45"/>
    <row r="272" ht="17.399999999999999" customHeight="1" x14ac:dyDescent="0.45"/>
    <row r="273" ht="17.399999999999999" customHeight="1" x14ac:dyDescent="0.45"/>
    <row r="274" ht="17.399999999999999" customHeight="1" x14ac:dyDescent="0.45"/>
    <row r="275" ht="17.399999999999999" customHeight="1" x14ac:dyDescent="0.45"/>
    <row r="276" ht="17.399999999999999" customHeight="1" x14ac:dyDescent="0.45"/>
    <row r="277" ht="17.399999999999999" customHeight="1" x14ac:dyDescent="0.45"/>
    <row r="278" ht="17.399999999999999" customHeight="1" x14ac:dyDescent="0.45"/>
    <row r="279" ht="17.399999999999999" customHeight="1" x14ac:dyDescent="0.45"/>
    <row r="280" ht="17.399999999999999" customHeight="1" x14ac:dyDescent="0.45"/>
    <row r="281" ht="17.399999999999999" customHeight="1" x14ac:dyDescent="0.45"/>
    <row r="282" ht="17.399999999999999" customHeight="1" x14ac:dyDescent="0.45"/>
    <row r="283" ht="17.399999999999999" customHeight="1" x14ac:dyDescent="0.45"/>
    <row r="284" ht="17.399999999999999" customHeight="1" x14ac:dyDescent="0.45"/>
    <row r="285" ht="17.399999999999999" customHeight="1" x14ac:dyDescent="0.45"/>
    <row r="286" ht="17.399999999999999" customHeight="1" x14ac:dyDescent="0.45"/>
    <row r="287" ht="17.399999999999999" customHeight="1" x14ac:dyDescent="0.45"/>
    <row r="288" ht="17.399999999999999" customHeight="1" x14ac:dyDescent="0.45"/>
    <row r="289" ht="17.399999999999999" customHeight="1" x14ac:dyDescent="0.45"/>
    <row r="290" ht="17.399999999999999" customHeight="1" x14ac:dyDescent="0.45"/>
    <row r="291" ht="17.399999999999999" customHeight="1" x14ac:dyDescent="0.45"/>
    <row r="292" ht="17.399999999999999" customHeight="1" x14ac:dyDescent="0.45"/>
    <row r="293" ht="17.399999999999999" customHeight="1" x14ac:dyDescent="0.45"/>
    <row r="294" ht="17.399999999999999" customHeight="1" x14ac:dyDescent="0.45"/>
    <row r="295" ht="17.399999999999999" customHeight="1" x14ac:dyDescent="0.45"/>
    <row r="296" ht="17.399999999999999" customHeight="1" x14ac:dyDescent="0.45"/>
    <row r="297" ht="17.399999999999999" customHeight="1" x14ac:dyDescent="0.45"/>
    <row r="298" ht="17.399999999999999" customHeight="1" x14ac:dyDescent="0.45"/>
    <row r="299" ht="17.399999999999999" customHeight="1" x14ac:dyDescent="0.45"/>
    <row r="300" ht="17.399999999999999" customHeight="1" x14ac:dyDescent="0.45"/>
    <row r="301" ht="17.399999999999999" customHeight="1" x14ac:dyDescent="0.45"/>
    <row r="302" ht="17.399999999999999" customHeight="1" x14ac:dyDescent="0.45"/>
    <row r="303" ht="17.399999999999999" customHeight="1" x14ac:dyDescent="0.45"/>
    <row r="304" ht="17.399999999999999" customHeight="1" x14ac:dyDescent="0.45"/>
    <row r="305" ht="17.399999999999999" customHeight="1" x14ac:dyDescent="0.45"/>
    <row r="306" ht="17.399999999999999" customHeight="1" x14ac:dyDescent="0.45"/>
    <row r="307" ht="17.399999999999999" customHeight="1" x14ac:dyDescent="0.45"/>
    <row r="308" ht="17.399999999999999" customHeight="1" x14ac:dyDescent="0.45"/>
    <row r="309" ht="17.399999999999999" customHeight="1" x14ac:dyDescent="0.45"/>
    <row r="310" ht="17.399999999999999" customHeight="1" x14ac:dyDescent="0.45"/>
    <row r="311" ht="17.399999999999999" customHeight="1" x14ac:dyDescent="0.45"/>
    <row r="312" ht="17.399999999999999" customHeight="1" x14ac:dyDescent="0.45"/>
    <row r="313" ht="17.399999999999999" customHeight="1" x14ac:dyDescent="0.45"/>
    <row r="314" ht="17.399999999999999" customHeight="1" x14ac:dyDescent="0.45"/>
    <row r="315" ht="17.399999999999999" customHeight="1" x14ac:dyDescent="0.45"/>
    <row r="316" ht="17.399999999999999" customHeight="1" x14ac:dyDescent="0.45"/>
    <row r="317" ht="17.399999999999999" customHeight="1" x14ac:dyDescent="0.45"/>
    <row r="318" ht="17.399999999999999" customHeight="1" x14ac:dyDescent="0.45"/>
    <row r="319" ht="17.399999999999999" customHeight="1" x14ac:dyDescent="0.45"/>
    <row r="320" ht="17.399999999999999" customHeight="1" x14ac:dyDescent="0.45"/>
    <row r="321" ht="17.399999999999999" customHeight="1" x14ac:dyDescent="0.45"/>
    <row r="322" ht="17.399999999999999" customHeight="1" x14ac:dyDescent="0.45"/>
    <row r="323" ht="17.399999999999999" customHeight="1" x14ac:dyDescent="0.45"/>
    <row r="324" ht="17.399999999999999" customHeight="1" x14ac:dyDescent="0.45"/>
    <row r="325" ht="17.399999999999999" customHeight="1" x14ac:dyDescent="0.45"/>
    <row r="326" ht="17.399999999999999" customHeight="1" x14ac:dyDescent="0.45"/>
    <row r="327" ht="17.399999999999999" customHeight="1" x14ac:dyDescent="0.45"/>
    <row r="328" ht="17.399999999999999" customHeight="1" x14ac:dyDescent="0.45"/>
    <row r="329" ht="17.399999999999999" customHeight="1" x14ac:dyDescent="0.45"/>
    <row r="330" ht="17.399999999999999" customHeight="1" x14ac:dyDescent="0.45"/>
    <row r="331" ht="17.399999999999999" customHeight="1" x14ac:dyDescent="0.45"/>
    <row r="332" ht="17.399999999999999" customHeight="1" x14ac:dyDescent="0.45"/>
    <row r="333" ht="17.399999999999999" customHeight="1" x14ac:dyDescent="0.45"/>
    <row r="334" ht="17.399999999999999" customHeight="1" x14ac:dyDescent="0.45"/>
    <row r="335" ht="17.399999999999999" customHeight="1" x14ac:dyDescent="0.45"/>
    <row r="336" ht="17.399999999999999" customHeight="1" x14ac:dyDescent="0.45"/>
    <row r="337" ht="17.399999999999999" customHeight="1" x14ac:dyDescent="0.45"/>
    <row r="338" ht="17.399999999999999" customHeight="1" x14ac:dyDescent="0.45"/>
    <row r="339" ht="17.399999999999999" customHeight="1" x14ac:dyDescent="0.45"/>
    <row r="340" ht="17.399999999999999" customHeight="1" x14ac:dyDescent="0.45"/>
    <row r="341" ht="17.399999999999999" customHeight="1" x14ac:dyDescent="0.45"/>
    <row r="342" ht="17.399999999999999" customHeight="1" x14ac:dyDescent="0.45"/>
    <row r="343" ht="17.399999999999999" customHeight="1" x14ac:dyDescent="0.45"/>
    <row r="344" ht="17.399999999999999" customHeight="1" x14ac:dyDescent="0.45"/>
    <row r="345" ht="17.399999999999999" customHeight="1" x14ac:dyDescent="0.45"/>
    <row r="346" ht="17.399999999999999" customHeight="1" x14ac:dyDescent="0.45"/>
    <row r="347" ht="17.399999999999999" customHeight="1" x14ac:dyDescent="0.45"/>
    <row r="348" ht="17.399999999999999" customHeight="1" x14ac:dyDescent="0.45"/>
    <row r="349" ht="17.399999999999999" customHeight="1" x14ac:dyDescent="0.45"/>
    <row r="350" ht="17.399999999999999" customHeight="1" x14ac:dyDescent="0.45"/>
    <row r="351" ht="17.399999999999999" customHeight="1" x14ac:dyDescent="0.45"/>
    <row r="352" ht="17.399999999999999" customHeight="1" x14ac:dyDescent="0.45"/>
    <row r="353" ht="17.399999999999999" customHeight="1" x14ac:dyDescent="0.45"/>
    <row r="354" ht="17.399999999999999" customHeight="1" x14ac:dyDescent="0.45"/>
    <row r="355" ht="17.399999999999999" customHeight="1" x14ac:dyDescent="0.45"/>
    <row r="356" ht="17.399999999999999" customHeight="1" x14ac:dyDescent="0.45"/>
    <row r="357" ht="17.399999999999999" customHeight="1" x14ac:dyDescent="0.45"/>
    <row r="358" ht="17.399999999999999" customHeight="1" x14ac:dyDescent="0.45"/>
    <row r="359" ht="17.399999999999999" customHeight="1" x14ac:dyDescent="0.45"/>
    <row r="360" ht="17.399999999999999" customHeight="1" x14ac:dyDescent="0.45"/>
    <row r="361" ht="17.399999999999999" customHeight="1" x14ac:dyDescent="0.45"/>
    <row r="362" ht="17.399999999999999" customHeight="1" x14ac:dyDescent="0.45"/>
    <row r="363" ht="17.399999999999999" customHeight="1" x14ac:dyDescent="0.45"/>
    <row r="364" ht="17.399999999999999" customHeight="1" x14ac:dyDescent="0.45"/>
    <row r="365" ht="17.399999999999999" customHeight="1" x14ac:dyDescent="0.45"/>
    <row r="366" ht="17.399999999999999" customHeight="1" x14ac:dyDescent="0.45"/>
    <row r="367" ht="17.399999999999999" customHeight="1" x14ac:dyDescent="0.45"/>
    <row r="368" ht="17.399999999999999" customHeight="1" x14ac:dyDescent="0.45"/>
    <row r="369" ht="17.399999999999999" customHeight="1" x14ac:dyDescent="0.45"/>
    <row r="370" ht="17.399999999999999" customHeight="1" x14ac:dyDescent="0.45"/>
    <row r="371" ht="17.399999999999999" customHeight="1" x14ac:dyDescent="0.45"/>
    <row r="372" ht="17.399999999999999" customHeight="1" x14ac:dyDescent="0.45"/>
    <row r="373" ht="17.399999999999999" customHeight="1" x14ac:dyDescent="0.45"/>
    <row r="374" ht="17.399999999999999" customHeight="1" x14ac:dyDescent="0.45"/>
    <row r="375" ht="17.399999999999999" customHeight="1" x14ac:dyDescent="0.45"/>
    <row r="376" ht="17.399999999999999" customHeight="1" x14ac:dyDescent="0.45"/>
    <row r="377" ht="17.399999999999999" customHeight="1" x14ac:dyDescent="0.45"/>
    <row r="378" ht="17.399999999999999" customHeight="1" x14ac:dyDescent="0.45"/>
    <row r="379" ht="17.399999999999999" customHeight="1" x14ac:dyDescent="0.45"/>
    <row r="380" ht="17.399999999999999" customHeight="1" x14ac:dyDescent="0.45"/>
    <row r="381" ht="17.399999999999999" customHeight="1" x14ac:dyDescent="0.45"/>
    <row r="382" ht="17.399999999999999" customHeight="1" x14ac:dyDescent="0.45"/>
    <row r="383" ht="17.399999999999999" customHeight="1" x14ac:dyDescent="0.45"/>
    <row r="384" ht="17.399999999999999" customHeight="1" x14ac:dyDescent="0.45"/>
    <row r="385" ht="17.399999999999999" customHeight="1" x14ac:dyDescent="0.45"/>
    <row r="386" ht="17.399999999999999" customHeight="1" x14ac:dyDescent="0.45"/>
    <row r="387" ht="17.399999999999999" customHeight="1" x14ac:dyDescent="0.45"/>
    <row r="388" ht="17.399999999999999" customHeight="1" x14ac:dyDescent="0.45"/>
    <row r="389" ht="17.399999999999999" customHeight="1" x14ac:dyDescent="0.45"/>
    <row r="390" ht="17.399999999999999" customHeight="1" x14ac:dyDescent="0.45"/>
    <row r="391" ht="17.399999999999999" customHeight="1" x14ac:dyDescent="0.45"/>
    <row r="392" ht="17.399999999999999" customHeight="1" x14ac:dyDescent="0.45"/>
    <row r="393" ht="17.399999999999999" customHeight="1" x14ac:dyDescent="0.45"/>
    <row r="394" ht="17.399999999999999" customHeight="1" x14ac:dyDescent="0.45"/>
    <row r="395" ht="17.399999999999999" customHeight="1" x14ac:dyDescent="0.45"/>
    <row r="396" ht="17.399999999999999" customHeight="1" x14ac:dyDescent="0.45"/>
    <row r="397" ht="17.399999999999999" customHeight="1" x14ac:dyDescent="0.45"/>
    <row r="398" ht="17.399999999999999" customHeight="1" x14ac:dyDescent="0.45"/>
    <row r="399" ht="17.399999999999999" customHeight="1" x14ac:dyDescent="0.45"/>
    <row r="400" ht="17.399999999999999" customHeight="1" x14ac:dyDescent="0.45"/>
    <row r="401" ht="17.399999999999999" customHeight="1" x14ac:dyDescent="0.45"/>
    <row r="402" ht="17.399999999999999" customHeight="1" x14ac:dyDescent="0.45"/>
    <row r="403" ht="17.399999999999999" customHeight="1" x14ac:dyDescent="0.45"/>
    <row r="404" ht="17.399999999999999" customHeight="1" x14ac:dyDescent="0.45"/>
    <row r="405" ht="17.399999999999999" customHeight="1" x14ac:dyDescent="0.45"/>
    <row r="406" ht="17.399999999999999" customHeight="1" x14ac:dyDescent="0.45"/>
    <row r="407" ht="17.399999999999999" customHeight="1" x14ac:dyDescent="0.45"/>
    <row r="408" ht="17.399999999999999" customHeight="1" x14ac:dyDescent="0.45"/>
    <row r="409" ht="17.399999999999999" customHeight="1" x14ac:dyDescent="0.45"/>
    <row r="410" ht="17.399999999999999" customHeight="1" x14ac:dyDescent="0.45"/>
    <row r="411" ht="17.399999999999999" customHeight="1" x14ac:dyDescent="0.45"/>
    <row r="412" ht="17.399999999999999" customHeight="1" x14ac:dyDescent="0.45"/>
    <row r="413" ht="17.399999999999999" customHeight="1" x14ac:dyDescent="0.45"/>
    <row r="414" ht="17.399999999999999" customHeight="1" x14ac:dyDescent="0.45"/>
    <row r="415" ht="17.399999999999999" customHeight="1" x14ac:dyDescent="0.45"/>
    <row r="416" ht="17.399999999999999" customHeight="1" x14ac:dyDescent="0.45"/>
    <row r="417" ht="17.399999999999999" customHeight="1" x14ac:dyDescent="0.45"/>
    <row r="418" ht="17.399999999999999" customHeight="1" x14ac:dyDescent="0.45"/>
    <row r="419" ht="17.399999999999999" customHeight="1" x14ac:dyDescent="0.45"/>
    <row r="420" ht="17.399999999999999" customHeight="1" x14ac:dyDescent="0.45"/>
    <row r="421" ht="17.399999999999999" customHeight="1" x14ac:dyDescent="0.45"/>
    <row r="422" ht="17.399999999999999" customHeight="1" x14ac:dyDescent="0.45"/>
    <row r="423" ht="17.399999999999999" customHeight="1" x14ac:dyDescent="0.45"/>
    <row r="424" ht="17.399999999999999" customHeight="1" x14ac:dyDescent="0.45"/>
    <row r="425" ht="17.399999999999999" customHeight="1" x14ac:dyDescent="0.45"/>
    <row r="426" ht="17.399999999999999" customHeight="1" x14ac:dyDescent="0.45"/>
    <row r="427" ht="17.399999999999999" customHeight="1" x14ac:dyDescent="0.45"/>
    <row r="428" ht="17.399999999999999" customHeight="1" x14ac:dyDescent="0.45"/>
    <row r="429" ht="17.399999999999999" customHeight="1" x14ac:dyDescent="0.45"/>
    <row r="430" ht="17.399999999999999" customHeight="1" x14ac:dyDescent="0.45"/>
    <row r="431" ht="17.399999999999999" customHeight="1" x14ac:dyDescent="0.45"/>
    <row r="432" ht="17.399999999999999" customHeight="1" x14ac:dyDescent="0.45"/>
    <row r="433" ht="17.399999999999999" customHeight="1" x14ac:dyDescent="0.45"/>
    <row r="434" ht="17.399999999999999" customHeight="1" x14ac:dyDescent="0.45"/>
    <row r="435" ht="17.399999999999999" customHeight="1" x14ac:dyDescent="0.45"/>
    <row r="436" ht="17.399999999999999" customHeight="1" x14ac:dyDescent="0.45"/>
    <row r="437" ht="17.399999999999999" customHeight="1" x14ac:dyDescent="0.45"/>
    <row r="438" ht="17.399999999999999" customHeight="1" x14ac:dyDescent="0.45"/>
    <row r="439" ht="17.399999999999999" customHeight="1" x14ac:dyDescent="0.45"/>
    <row r="440" ht="17.399999999999999" customHeight="1" x14ac:dyDescent="0.45"/>
    <row r="441" ht="17.399999999999999" customHeight="1" x14ac:dyDescent="0.45"/>
    <row r="442" ht="17.399999999999999" customHeight="1" x14ac:dyDescent="0.45"/>
    <row r="443" ht="17.399999999999999" customHeight="1" x14ac:dyDescent="0.45"/>
    <row r="444" ht="17.399999999999999" customHeight="1" x14ac:dyDescent="0.45"/>
    <row r="445" ht="17.399999999999999" customHeight="1" x14ac:dyDescent="0.45"/>
    <row r="446" ht="17.399999999999999" customHeight="1" x14ac:dyDescent="0.45"/>
    <row r="447" ht="17.399999999999999" customHeight="1" x14ac:dyDescent="0.45"/>
    <row r="448" ht="17.399999999999999" customHeight="1" x14ac:dyDescent="0.45"/>
    <row r="449" ht="17.399999999999999" customHeight="1" x14ac:dyDescent="0.45"/>
    <row r="450" ht="17.399999999999999" customHeight="1" x14ac:dyDescent="0.45"/>
    <row r="451" ht="17.399999999999999" customHeight="1" x14ac:dyDescent="0.45"/>
    <row r="452" ht="17.399999999999999" customHeight="1" x14ac:dyDescent="0.45"/>
    <row r="453" ht="17.399999999999999" customHeight="1" x14ac:dyDescent="0.45"/>
    <row r="454" ht="17.399999999999999" customHeight="1" x14ac:dyDescent="0.45"/>
    <row r="455" ht="17.399999999999999" customHeight="1" x14ac:dyDescent="0.45"/>
    <row r="456" ht="17.399999999999999" customHeight="1" x14ac:dyDescent="0.45"/>
    <row r="457" ht="17.399999999999999" customHeight="1" x14ac:dyDescent="0.45"/>
    <row r="458" ht="17.399999999999999" customHeight="1" x14ac:dyDescent="0.45"/>
    <row r="459" ht="17.399999999999999" customHeight="1" x14ac:dyDescent="0.45"/>
    <row r="460" ht="17.399999999999999" customHeight="1" x14ac:dyDescent="0.45"/>
    <row r="461" ht="17.399999999999999" customHeight="1" x14ac:dyDescent="0.45"/>
    <row r="462" ht="17.399999999999999" customHeight="1" x14ac:dyDescent="0.45"/>
    <row r="463" ht="17.399999999999999" customHeight="1" x14ac:dyDescent="0.45"/>
    <row r="464" ht="17.399999999999999" customHeight="1" x14ac:dyDescent="0.45"/>
    <row r="465" ht="17.399999999999999" customHeight="1" x14ac:dyDescent="0.45"/>
    <row r="466" ht="17.399999999999999" customHeight="1" x14ac:dyDescent="0.45"/>
    <row r="467" ht="17.399999999999999" customHeight="1" x14ac:dyDescent="0.45"/>
    <row r="468" ht="17.399999999999999" customHeight="1" x14ac:dyDescent="0.45"/>
    <row r="469" ht="17.399999999999999" customHeight="1" x14ac:dyDescent="0.45"/>
    <row r="470" ht="17.399999999999999" customHeight="1" x14ac:dyDescent="0.45"/>
    <row r="471" ht="17.399999999999999" customHeight="1" x14ac:dyDescent="0.45"/>
    <row r="472" ht="17.399999999999999" customHeight="1" x14ac:dyDescent="0.45"/>
    <row r="473" ht="17.399999999999999" customHeight="1" x14ac:dyDescent="0.45"/>
    <row r="474" ht="17.399999999999999" customHeight="1" x14ac:dyDescent="0.45"/>
    <row r="475" ht="17.399999999999999" customHeight="1" x14ac:dyDescent="0.45"/>
    <row r="476" ht="17.399999999999999" customHeight="1" x14ac:dyDescent="0.45"/>
    <row r="477" ht="17.399999999999999" customHeight="1" x14ac:dyDescent="0.45"/>
    <row r="478" ht="17.399999999999999" customHeight="1" x14ac:dyDescent="0.45"/>
    <row r="479" ht="17.399999999999999" customHeight="1" x14ac:dyDescent="0.45"/>
    <row r="480" ht="17.399999999999999" customHeight="1" x14ac:dyDescent="0.45"/>
    <row r="481" ht="17.399999999999999" customHeight="1" x14ac:dyDescent="0.45"/>
    <row r="482" ht="17.399999999999999" customHeight="1" x14ac:dyDescent="0.45"/>
    <row r="483" ht="17.399999999999999" customHeight="1" x14ac:dyDescent="0.45"/>
    <row r="484" ht="17.399999999999999" customHeight="1" x14ac:dyDescent="0.45"/>
    <row r="485" ht="17.399999999999999" customHeight="1" x14ac:dyDescent="0.45"/>
    <row r="486" ht="17.399999999999999" customHeight="1" x14ac:dyDescent="0.45"/>
    <row r="487" ht="17.399999999999999" customHeight="1" x14ac:dyDescent="0.45"/>
    <row r="488" ht="17.399999999999999" customHeight="1" x14ac:dyDescent="0.45"/>
    <row r="489" ht="17.399999999999999" customHeight="1" x14ac:dyDescent="0.45"/>
    <row r="490" ht="17.399999999999999" customHeight="1" x14ac:dyDescent="0.45"/>
    <row r="491" ht="17.399999999999999" customHeight="1" x14ac:dyDescent="0.45"/>
    <row r="492" ht="17.399999999999999" customHeight="1" x14ac:dyDescent="0.45"/>
    <row r="493" ht="17.399999999999999" customHeight="1" x14ac:dyDescent="0.45"/>
    <row r="494" ht="17.399999999999999" customHeight="1" x14ac:dyDescent="0.45"/>
    <row r="495" ht="17.399999999999999" customHeight="1" x14ac:dyDescent="0.45"/>
    <row r="496" ht="17.399999999999999" customHeight="1" x14ac:dyDescent="0.45"/>
    <row r="497" ht="17.399999999999999" customHeight="1" x14ac:dyDescent="0.45"/>
    <row r="498" ht="17.399999999999999" customHeight="1" x14ac:dyDescent="0.45"/>
    <row r="499" ht="17.399999999999999" customHeight="1" x14ac:dyDescent="0.45"/>
    <row r="500" ht="17.399999999999999" customHeight="1" x14ac:dyDescent="0.45"/>
    <row r="501" ht="17.399999999999999" customHeight="1" x14ac:dyDescent="0.45"/>
    <row r="502" ht="17.399999999999999" customHeight="1" x14ac:dyDescent="0.45"/>
    <row r="503" ht="17.399999999999999" customHeight="1" x14ac:dyDescent="0.45"/>
    <row r="504" ht="17.399999999999999" customHeight="1" x14ac:dyDescent="0.45"/>
    <row r="505" ht="17.399999999999999" customHeight="1" x14ac:dyDescent="0.45"/>
    <row r="506" ht="17.399999999999999" customHeight="1" x14ac:dyDescent="0.45"/>
    <row r="507" ht="17.399999999999999" customHeight="1" x14ac:dyDescent="0.45"/>
    <row r="508" ht="17.399999999999999" customHeight="1" x14ac:dyDescent="0.45"/>
    <row r="509" ht="17.399999999999999" customHeight="1" x14ac:dyDescent="0.45"/>
    <row r="510" ht="17.399999999999999" customHeight="1" x14ac:dyDescent="0.45"/>
    <row r="511" ht="17.399999999999999" customHeight="1" x14ac:dyDescent="0.45"/>
    <row r="512" ht="17.399999999999999" customHeight="1" x14ac:dyDescent="0.45"/>
    <row r="513" ht="17.399999999999999" customHeight="1" x14ac:dyDescent="0.45"/>
    <row r="514" ht="17.399999999999999" customHeight="1" x14ac:dyDescent="0.45"/>
    <row r="515" ht="17.399999999999999" customHeight="1" x14ac:dyDescent="0.45"/>
    <row r="516" ht="17.399999999999999" customHeight="1" x14ac:dyDescent="0.45"/>
    <row r="517" ht="17.399999999999999" customHeight="1" x14ac:dyDescent="0.45"/>
    <row r="518" ht="17.399999999999999" customHeight="1" x14ac:dyDescent="0.45"/>
    <row r="519" ht="17.399999999999999" customHeight="1" x14ac:dyDescent="0.45"/>
    <row r="520" ht="17.399999999999999" customHeight="1" x14ac:dyDescent="0.45"/>
    <row r="521" ht="17.399999999999999" customHeight="1" x14ac:dyDescent="0.45"/>
    <row r="522" ht="17.399999999999999" customHeight="1" x14ac:dyDescent="0.45"/>
    <row r="523" ht="17.399999999999999" customHeight="1" x14ac:dyDescent="0.45"/>
    <row r="524" ht="17.399999999999999" customHeight="1" x14ac:dyDescent="0.45"/>
    <row r="525" ht="17.399999999999999" customHeight="1" x14ac:dyDescent="0.45"/>
    <row r="526" ht="17.399999999999999" customHeight="1" x14ac:dyDescent="0.45"/>
    <row r="527" ht="17.399999999999999" customHeight="1" x14ac:dyDescent="0.45"/>
    <row r="528" ht="17.399999999999999" customHeight="1" x14ac:dyDescent="0.45"/>
    <row r="529" ht="17.399999999999999" customHeight="1" x14ac:dyDescent="0.45"/>
    <row r="530" ht="17.399999999999999" customHeight="1" x14ac:dyDescent="0.45"/>
    <row r="531" ht="17.399999999999999" customHeight="1" x14ac:dyDescent="0.45"/>
    <row r="532" ht="17.399999999999999" customHeight="1" x14ac:dyDescent="0.45"/>
    <row r="533" ht="17.399999999999999" customHeight="1" x14ac:dyDescent="0.45"/>
    <row r="534" ht="17.399999999999999" customHeight="1" x14ac:dyDescent="0.45"/>
    <row r="535" ht="17.399999999999999" customHeight="1" x14ac:dyDescent="0.45"/>
    <row r="536" ht="17.399999999999999" customHeight="1" x14ac:dyDescent="0.45"/>
    <row r="537" ht="17.399999999999999" customHeight="1" x14ac:dyDescent="0.45"/>
    <row r="538" ht="17.399999999999999" customHeight="1" x14ac:dyDescent="0.45"/>
    <row r="539" ht="17.399999999999999" customHeight="1" x14ac:dyDescent="0.45"/>
    <row r="540" ht="17.399999999999999" customHeight="1" x14ac:dyDescent="0.45"/>
    <row r="541" ht="17.399999999999999" customHeight="1" x14ac:dyDescent="0.45"/>
    <row r="542" ht="17.399999999999999" customHeight="1" x14ac:dyDescent="0.45"/>
    <row r="543" ht="17.399999999999999" customHeight="1" x14ac:dyDescent="0.45"/>
    <row r="544" ht="17.399999999999999" customHeight="1" x14ac:dyDescent="0.45"/>
    <row r="545" ht="17.399999999999999" customHeight="1" x14ac:dyDescent="0.45"/>
    <row r="546" ht="17.399999999999999" customHeight="1" x14ac:dyDescent="0.45"/>
    <row r="547" ht="17.399999999999999" customHeight="1" x14ac:dyDescent="0.45"/>
    <row r="548" ht="17.399999999999999" customHeight="1" x14ac:dyDescent="0.45"/>
    <row r="549" ht="17.399999999999999" customHeight="1" x14ac:dyDescent="0.45"/>
    <row r="550" ht="17.399999999999999" customHeight="1" x14ac:dyDescent="0.45"/>
    <row r="551" ht="17.399999999999999" customHeight="1" x14ac:dyDescent="0.45"/>
    <row r="552" ht="17.399999999999999" customHeight="1" x14ac:dyDescent="0.45"/>
    <row r="553" ht="17.399999999999999" customHeight="1" x14ac:dyDescent="0.45"/>
    <row r="554" ht="17.399999999999999" customHeight="1" x14ac:dyDescent="0.45"/>
    <row r="555" ht="17.399999999999999" customHeight="1" x14ac:dyDescent="0.45"/>
    <row r="556" ht="17.399999999999999" customHeight="1" x14ac:dyDescent="0.45"/>
    <row r="557" ht="17.399999999999999" customHeight="1" x14ac:dyDescent="0.45"/>
    <row r="558" ht="17.399999999999999" customHeight="1" x14ac:dyDescent="0.45"/>
    <row r="559" ht="17.399999999999999" customHeight="1" x14ac:dyDescent="0.45"/>
    <row r="560" ht="17.399999999999999" customHeight="1" x14ac:dyDescent="0.45"/>
    <row r="561" ht="17.399999999999999" customHeight="1" x14ac:dyDescent="0.45"/>
    <row r="562" ht="17.399999999999999" customHeight="1" x14ac:dyDescent="0.45"/>
    <row r="563" ht="17.399999999999999" customHeight="1" x14ac:dyDescent="0.45"/>
    <row r="564" ht="17.399999999999999" customHeight="1" x14ac:dyDescent="0.45"/>
    <row r="565" ht="17.399999999999999" customHeight="1" x14ac:dyDescent="0.45"/>
    <row r="566" ht="17.399999999999999" customHeight="1" x14ac:dyDescent="0.45"/>
    <row r="567" ht="17.399999999999999" customHeight="1" x14ac:dyDescent="0.45"/>
    <row r="568" ht="17.399999999999999" customHeight="1" x14ac:dyDescent="0.45"/>
    <row r="569" ht="17.399999999999999" customHeight="1" x14ac:dyDescent="0.45"/>
    <row r="570" ht="17.399999999999999" customHeight="1" x14ac:dyDescent="0.45"/>
    <row r="571" ht="17.399999999999999" customHeight="1" x14ac:dyDescent="0.45"/>
    <row r="572" ht="17.399999999999999" customHeight="1" x14ac:dyDescent="0.45"/>
    <row r="573" ht="17.399999999999999" customHeight="1" x14ac:dyDescent="0.45"/>
    <row r="574" ht="17.399999999999999" customHeight="1" x14ac:dyDescent="0.45"/>
    <row r="575" ht="17.399999999999999" customHeight="1" x14ac:dyDescent="0.45"/>
    <row r="576" ht="17.399999999999999" customHeight="1" x14ac:dyDescent="0.45"/>
    <row r="577" ht="17.399999999999999" customHeight="1" x14ac:dyDescent="0.45"/>
    <row r="578" ht="17.399999999999999" customHeight="1" x14ac:dyDescent="0.45"/>
    <row r="579" ht="17.399999999999999" customHeight="1" x14ac:dyDescent="0.45"/>
    <row r="580" ht="17.399999999999999" customHeight="1" x14ac:dyDescent="0.45"/>
    <row r="581" ht="17.399999999999999" customHeight="1" x14ac:dyDescent="0.45"/>
    <row r="582" ht="17.399999999999999" customHeight="1" x14ac:dyDescent="0.45"/>
    <row r="583" ht="17.399999999999999" customHeight="1" x14ac:dyDescent="0.45"/>
    <row r="584" ht="17.399999999999999" customHeight="1" x14ac:dyDescent="0.45"/>
    <row r="585" ht="17.399999999999999" customHeight="1" x14ac:dyDescent="0.45"/>
    <row r="586" ht="17.399999999999999" customHeight="1" x14ac:dyDescent="0.45"/>
    <row r="587" ht="17.399999999999999" customHeight="1" x14ac:dyDescent="0.45"/>
    <row r="588" ht="17.399999999999999" customHeight="1" x14ac:dyDescent="0.45"/>
    <row r="589" ht="17.399999999999999" customHeight="1" x14ac:dyDescent="0.45"/>
    <row r="590" ht="17.399999999999999" customHeight="1" x14ac:dyDescent="0.45"/>
    <row r="591" ht="17.399999999999999" customHeight="1" x14ac:dyDescent="0.45"/>
    <row r="592" ht="17.399999999999999" customHeight="1" x14ac:dyDescent="0.45"/>
    <row r="593" ht="17.399999999999999" customHeight="1" x14ac:dyDescent="0.45"/>
    <row r="594" ht="17.399999999999999" customHeight="1" x14ac:dyDescent="0.45"/>
    <row r="595" ht="17.399999999999999" customHeight="1" x14ac:dyDescent="0.45"/>
    <row r="596" ht="17.399999999999999" customHeight="1" x14ac:dyDescent="0.45"/>
    <row r="597" ht="17.399999999999999" customHeight="1" x14ac:dyDescent="0.45"/>
    <row r="598" ht="17.399999999999999" customHeight="1" x14ac:dyDescent="0.45"/>
    <row r="599" ht="17.399999999999999" customHeight="1" x14ac:dyDescent="0.45"/>
    <row r="600" ht="17.399999999999999" customHeight="1" x14ac:dyDescent="0.45"/>
    <row r="601" ht="17.399999999999999" customHeight="1" x14ac:dyDescent="0.45"/>
    <row r="602" ht="17.399999999999999" customHeight="1" x14ac:dyDescent="0.45"/>
    <row r="603" ht="17.399999999999999" customHeight="1" x14ac:dyDescent="0.45"/>
    <row r="604" ht="17.399999999999999" customHeight="1" x14ac:dyDescent="0.45"/>
    <row r="605" ht="17.399999999999999" customHeight="1" x14ac:dyDescent="0.45"/>
    <row r="606" ht="17.399999999999999" customHeight="1" x14ac:dyDescent="0.45"/>
    <row r="607" ht="17.399999999999999" customHeight="1" x14ac:dyDescent="0.45"/>
    <row r="608" ht="17.399999999999999" customHeight="1" x14ac:dyDescent="0.45"/>
    <row r="609" ht="17.399999999999999" customHeight="1" x14ac:dyDescent="0.45"/>
    <row r="610" ht="17.399999999999999" customHeight="1" x14ac:dyDescent="0.45"/>
    <row r="611" ht="17.399999999999999" customHeight="1" x14ac:dyDescent="0.45"/>
    <row r="612" ht="17.399999999999999" customHeight="1" x14ac:dyDescent="0.45"/>
    <row r="613" ht="17.399999999999999" customHeight="1" x14ac:dyDescent="0.45"/>
    <row r="614" ht="17.399999999999999" customHeight="1" x14ac:dyDescent="0.45"/>
    <row r="615" ht="17.399999999999999" customHeight="1" x14ac:dyDescent="0.45"/>
    <row r="616" ht="17.399999999999999" customHeight="1" x14ac:dyDescent="0.45"/>
    <row r="617" ht="17.399999999999999" customHeight="1" x14ac:dyDescent="0.45"/>
    <row r="618" ht="17.399999999999999" customHeight="1" x14ac:dyDescent="0.45"/>
    <row r="619" ht="17.399999999999999" customHeight="1" x14ac:dyDescent="0.45"/>
    <row r="620" ht="17.399999999999999" customHeight="1" x14ac:dyDescent="0.45"/>
    <row r="621" ht="17.399999999999999" customHeight="1" x14ac:dyDescent="0.45"/>
    <row r="622" ht="17.399999999999999" customHeight="1" x14ac:dyDescent="0.45"/>
    <row r="623" ht="17.399999999999999" customHeight="1" x14ac:dyDescent="0.45"/>
    <row r="624" ht="17.399999999999999" customHeight="1" x14ac:dyDescent="0.45"/>
    <row r="625" ht="17.399999999999999" customHeight="1" x14ac:dyDescent="0.45"/>
    <row r="626" ht="17.399999999999999" customHeight="1" x14ac:dyDescent="0.45"/>
    <row r="627" ht="17.399999999999999" customHeight="1" x14ac:dyDescent="0.45"/>
    <row r="628" ht="17.399999999999999" customHeight="1" x14ac:dyDescent="0.45"/>
    <row r="629" ht="17.399999999999999" customHeight="1" x14ac:dyDescent="0.45"/>
    <row r="630" ht="17.399999999999999" customHeight="1" x14ac:dyDescent="0.45"/>
    <row r="631" ht="17.399999999999999" customHeight="1" x14ac:dyDescent="0.45"/>
    <row r="632" ht="17.399999999999999" customHeight="1" x14ac:dyDescent="0.45"/>
    <row r="633" ht="17.399999999999999" customHeight="1" x14ac:dyDescent="0.45"/>
    <row r="634" ht="17.399999999999999" customHeight="1" x14ac:dyDescent="0.45"/>
    <row r="635" ht="17.399999999999999" customHeight="1" x14ac:dyDescent="0.45"/>
    <row r="636" ht="17.399999999999999" customHeight="1" x14ac:dyDescent="0.45"/>
    <row r="637" ht="17.399999999999999" customHeight="1" x14ac:dyDescent="0.45"/>
    <row r="638" ht="17.399999999999999" customHeight="1" x14ac:dyDescent="0.45"/>
    <row r="639" ht="17.399999999999999" customHeight="1" x14ac:dyDescent="0.45"/>
    <row r="640" ht="17.399999999999999" customHeight="1" x14ac:dyDescent="0.45"/>
    <row r="641" ht="17.399999999999999" customHeight="1" x14ac:dyDescent="0.45"/>
    <row r="642" ht="17.399999999999999" customHeight="1" x14ac:dyDescent="0.45"/>
    <row r="643" ht="17.399999999999999" customHeight="1" x14ac:dyDescent="0.45"/>
    <row r="644" ht="17.399999999999999" customHeight="1" x14ac:dyDescent="0.45"/>
    <row r="645" ht="17.399999999999999" customHeight="1" x14ac:dyDescent="0.45"/>
    <row r="646" ht="17.399999999999999" customHeight="1" x14ac:dyDescent="0.45"/>
    <row r="647" ht="17.399999999999999" customHeight="1" x14ac:dyDescent="0.45"/>
    <row r="648" ht="17.399999999999999" customHeight="1" x14ac:dyDescent="0.45"/>
    <row r="649" ht="17.399999999999999" customHeight="1" x14ac:dyDescent="0.45"/>
    <row r="650" ht="17.399999999999999" customHeight="1" x14ac:dyDescent="0.45"/>
    <row r="651" ht="17.399999999999999" customHeight="1" x14ac:dyDescent="0.45"/>
    <row r="652" ht="17.399999999999999" customHeight="1" x14ac:dyDescent="0.45"/>
    <row r="653" ht="17.399999999999999" customHeight="1" x14ac:dyDescent="0.45"/>
    <row r="654" ht="17.399999999999999" customHeight="1" x14ac:dyDescent="0.45"/>
    <row r="655" ht="17.399999999999999" customHeight="1" x14ac:dyDescent="0.45"/>
    <row r="656" ht="17.399999999999999" customHeight="1" x14ac:dyDescent="0.45"/>
    <row r="657" ht="17.399999999999999" customHeight="1" x14ac:dyDescent="0.45"/>
    <row r="658" ht="17.399999999999999" customHeight="1" x14ac:dyDescent="0.45"/>
    <row r="659" ht="17.399999999999999" customHeight="1" x14ac:dyDescent="0.45"/>
    <row r="660" ht="17.399999999999999" customHeight="1" x14ac:dyDescent="0.45"/>
    <row r="661" ht="17.399999999999999" customHeight="1" x14ac:dyDescent="0.45"/>
    <row r="662" ht="17.399999999999999" customHeight="1" x14ac:dyDescent="0.45"/>
    <row r="663" ht="17.399999999999999" customHeight="1" x14ac:dyDescent="0.45"/>
    <row r="664" ht="17.399999999999999" customHeight="1" x14ac:dyDescent="0.45"/>
    <row r="665" ht="17.399999999999999" customHeight="1" x14ac:dyDescent="0.45"/>
    <row r="666" ht="17.399999999999999" customHeight="1" x14ac:dyDescent="0.45"/>
    <row r="667" ht="17.399999999999999" customHeight="1" x14ac:dyDescent="0.45"/>
    <row r="668" ht="17.399999999999999" customHeight="1" x14ac:dyDescent="0.45"/>
    <row r="669" ht="17.399999999999999" customHeight="1" x14ac:dyDescent="0.45"/>
    <row r="670" ht="17.399999999999999" customHeight="1" x14ac:dyDescent="0.45"/>
    <row r="671" ht="17.399999999999999" customHeight="1" x14ac:dyDescent="0.45"/>
    <row r="672" ht="17.399999999999999" customHeight="1" x14ac:dyDescent="0.45"/>
    <row r="673" ht="17.399999999999999" customHeight="1" x14ac:dyDescent="0.45"/>
    <row r="674" ht="17.399999999999999" customHeight="1" x14ac:dyDescent="0.45"/>
    <row r="675" ht="17.399999999999999" customHeight="1" x14ac:dyDescent="0.45"/>
    <row r="676" ht="17.399999999999999" customHeight="1" x14ac:dyDescent="0.45"/>
    <row r="677" ht="17.399999999999999" customHeight="1" x14ac:dyDescent="0.45"/>
    <row r="678" ht="17.399999999999999" customHeight="1" x14ac:dyDescent="0.45"/>
    <row r="679" ht="17.399999999999999" customHeight="1" x14ac:dyDescent="0.45"/>
    <row r="680" ht="17.399999999999999" customHeight="1" x14ac:dyDescent="0.45"/>
    <row r="681" ht="17.399999999999999" customHeight="1" x14ac:dyDescent="0.45"/>
    <row r="682" ht="17.399999999999999" customHeight="1" x14ac:dyDescent="0.45"/>
    <row r="683" ht="17.399999999999999" customHeight="1" x14ac:dyDescent="0.45"/>
    <row r="684" ht="17.399999999999999" customHeight="1" x14ac:dyDescent="0.45"/>
    <row r="685" ht="17.399999999999999" customHeight="1" x14ac:dyDescent="0.45"/>
    <row r="686" ht="17.399999999999999" customHeight="1" x14ac:dyDescent="0.45"/>
    <row r="687" ht="17.399999999999999" customHeight="1" x14ac:dyDescent="0.45"/>
    <row r="688" ht="17.399999999999999" customHeight="1" x14ac:dyDescent="0.45"/>
    <row r="689" ht="17.399999999999999" customHeight="1" x14ac:dyDescent="0.45"/>
    <row r="690" ht="17.399999999999999" customHeight="1" x14ac:dyDescent="0.45"/>
    <row r="691" ht="17.399999999999999" customHeight="1" x14ac:dyDescent="0.45"/>
    <row r="692" ht="17.399999999999999" customHeight="1" x14ac:dyDescent="0.45"/>
    <row r="693" ht="17.399999999999999" customHeight="1" x14ac:dyDescent="0.45"/>
    <row r="694" ht="17.399999999999999" customHeight="1" x14ac:dyDescent="0.45"/>
    <row r="695" ht="17.399999999999999" customHeight="1" x14ac:dyDescent="0.45"/>
    <row r="696" ht="17.399999999999999" customHeight="1" x14ac:dyDescent="0.45"/>
    <row r="697" ht="17.399999999999999" customHeight="1" x14ac:dyDescent="0.45"/>
    <row r="698" ht="17.399999999999999" customHeight="1" x14ac:dyDescent="0.45"/>
    <row r="699" ht="17.399999999999999" customHeight="1" x14ac:dyDescent="0.45"/>
    <row r="700" ht="17.399999999999999" customHeight="1" x14ac:dyDescent="0.45"/>
    <row r="701" ht="17.399999999999999" customHeight="1" x14ac:dyDescent="0.45"/>
    <row r="702" ht="17.399999999999999" customHeight="1" x14ac:dyDescent="0.45"/>
    <row r="703" ht="17.399999999999999" customHeight="1" x14ac:dyDescent="0.45"/>
    <row r="704" ht="17.399999999999999" customHeight="1" x14ac:dyDescent="0.45"/>
    <row r="705" ht="17.399999999999999" customHeight="1" x14ac:dyDescent="0.45"/>
    <row r="706" ht="17.399999999999999" customHeight="1" x14ac:dyDescent="0.45"/>
    <row r="707" ht="17.399999999999999" customHeight="1" x14ac:dyDescent="0.45"/>
    <row r="708" ht="17.399999999999999" customHeight="1" x14ac:dyDescent="0.45"/>
    <row r="709" ht="17.399999999999999" customHeight="1" x14ac:dyDescent="0.45"/>
    <row r="710" ht="17.399999999999999" customHeight="1" x14ac:dyDescent="0.45"/>
    <row r="711" ht="17.399999999999999" customHeight="1" x14ac:dyDescent="0.45"/>
    <row r="712" ht="17.399999999999999" customHeight="1" x14ac:dyDescent="0.45"/>
    <row r="713" ht="17.399999999999999" customHeight="1" x14ac:dyDescent="0.45"/>
    <row r="714" ht="17.399999999999999" customHeight="1" x14ac:dyDescent="0.45"/>
    <row r="715" ht="17.399999999999999" customHeight="1" x14ac:dyDescent="0.45"/>
    <row r="716" ht="17.399999999999999" customHeight="1" x14ac:dyDescent="0.45"/>
    <row r="717" ht="17.399999999999999" customHeight="1" x14ac:dyDescent="0.45"/>
    <row r="718" ht="17.399999999999999" customHeight="1" x14ac:dyDescent="0.45"/>
    <row r="719" ht="17.399999999999999" customHeight="1" x14ac:dyDescent="0.45"/>
    <row r="720" ht="17.399999999999999" customHeight="1" x14ac:dyDescent="0.45"/>
    <row r="721" ht="17.399999999999999" customHeight="1" x14ac:dyDescent="0.45"/>
    <row r="722" ht="17.399999999999999" customHeight="1" x14ac:dyDescent="0.45"/>
    <row r="723" ht="17.399999999999999" customHeight="1" x14ac:dyDescent="0.45"/>
    <row r="724" ht="17.399999999999999" customHeight="1" x14ac:dyDescent="0.45"/>
    <row r="725" ht="17.399999999999999" customHeight="1" x14ac:dyDescent="0.45"/>
    <row r="726" ht="17.399999999999999" customHeight="1" x14ac:dyDescent="0.45"/>
    <row r="727" ht="17.399999999999999" customHeight="1" x14ac:dyDescent="0.45"/>
    <row r="728" ht="17.399999999999999" customHeight="1" x14ac:dyDescent="0.45"/>
    <row r="729" ht="17.399999999999999" customHeight="1" x14ac:dyDescent="0.45"/>
    <row r="730" ht="17.399999999999999" customHeight="1" x14ac:dyDescent="0.45"/>
    <row r="731" ht="17.399999999999999" customHeight="1" x14ac:dyDescent="0.45"/>
    <row r="732" ht="17.399999999999999" customHeight="1" x14ac:dyDescent="0.45"/>
    <row r="733" ht="17.399999999999999" customHeight="1" x14ac:dyDescent="0.45"/>
    <row r="734" ht="17.399999999999999" customHeight="1" x14ac:dyDescent="0.45"/>
    <row r="735" ht="17.399999999999999" customHeight="1" x14ac:dyDescent="0.45"/>
    <row r="736" ht="17.399999999999999" customHeight="1" x14ac:dyDescent="0.45"/>
    <row r="737" ht="17.399999999999999" customHeight="1" x14ac:dyDescent="0.45"/>
    <row r="738" ht="17.399999999999999" customHeight="1" x14ac:dyDescent="0.45"/>
    <row r="739" ht="17.399999999999999" customHeight="1" x14ac:dyDescent="0.45"/>
    <row r="740" ht="17.399999999999999" customHeight="1" x14ac:dyDescent="0.45"/>
    <row r="741" ht="17.399999999999999" customHeight="1" x14ac:dyDescent="0.45"/>
    <row r="742" ht="17.399999999999999" customHeight="1" x14ac:dyDescent="0.45"/>
    <row r="743" ht="17.399999999999999" customHeight="1" x14ac:dyDescent="0.45"/>
    <row r="744" ht="17.399999999999999" customHeight="1" x14ac:dyDescent="0.45"/>
    <row r="745" ht="17.399999999999999" customHeight="1" x14ac:dyDescent="0.45"/>
    <row r="746" ht="17.399999999999999" customHeight="1" x14ac:dyDescent="0.45"/>
    <row r="747" ht="17.399999999999999" customHeight="1" x14ac:dyDescent="0.45"/>
    <row r="748" ht="17.399999999999999" customHeight="1" x14ac:dyDescent="0.45"/>
    <row r="749" ht="17.399999999999999" customHeight="1" x14ac:dyDescent="0.45"/>
    <row r="750" ht="17.399999999999999" customHeight="1" x14ac:dyDescent="0.45"/>
    <row r="751" ht="17.399999999999999" customHeight="1" x14ac:dyDescent="0.45"/>
    <row r="752" ht="17.399999999999999" customHeight="1" x14ac:dyDescent="0.45"/>
    <row r="753" ht="17.399999999999999" customHeight="1" x14ac:dyDescent="0.45"/>
    <row r="754" ht="17.399999999999999" customHeight="1" x14ac:dyDescent="0.45"/>
    <row r="755" ht="17.399999999999999" customHeight="1" x14ac:dyDescent="0.45"/>
    <row r="756" ht="17.399999999999999" customHeight="1" x14ac:dyDescent="0.45"/>
    <row r="757" ht="17.399999999999999" customHeight="1" x14ac:dyDescent="0.45"/>
    <row r="758" ht="17.399999999999999" customHeight="1" x14ac:dyDescent="0.45"/>
    <row r="759" ht="17.399999999999999" customHeight="1" x14ac:dyDescent="0.45"/>
    <row r="760" ht="17.399999999999999" customHeight="1" x14ac:dyDescent="0.45"/>
    <row r="761" ht="17.399999999999999" customHeight="1" x14ac:dyDescent="0.45"/>
    <row r="762" ht="17.399999999999999" customHeight="1" x14ac:dyDescent="0.45"/>
    <row r="763" ht="17.399999999999999" customHeight="1" x14ac:dyDescent="0.45"/>
    <row r="764" ht="17.399999999999999" customHeight="1" x14ac:dyDescent="0.45"/>
    <row r="765" ht="17.399999999999999" customHeight="1" x14ac:dyDescent="0.45"/>
    <row r="766" ht="17.399999999999999" customHeight="1" x14ac:dyDescent="0.45"/>
    <row r="767" ht="17.399999999999999" customHeight="1" x14ac:dyDescent="0.45"/>
    <row r="768" ht="17.399999999999999" customHeight="1" x14ac:dyDescent="0.45"/>
  </sheetData>
  <autoFilter ref="B8:I77" xr:uid="{643F601A-33FB-44EF-B845-7F08A05F1D8E}">
    <filterColumn colId="3">
      <filters>
        <filter val="TYP_INSTRMNT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 x14ac:dyDescent="0.25"/>
  <cols>
    <col min="1" max="1" width="8.69921875" style="324"/>
    <col min="2" max="2" width="18.69921875" style="324" bestFit="1" customWidth="1"/>
    <col min="3" max="3" width="34.8984375" style="324" bestFit="1" customWidth="1"/>
    <col min="4" max="4" width="14.5" style="324" customWidth="1"/>
    <col min="5" max="5" width="12.59765625" style="324" customWidth="1"/>
    <col min="6" max="6" width="24.5" style="324" customWidth="1"/>
    <col min="7" max="7" width="8.69921875" style="324"/>
    <col min="8" max="8" width="41.3984375" style="324" bestFit="1" customWidth="1"/>
    <col min="9" max="16384" width="8.69921875" style="324"/>
  </cols>
  <sheetData>
    <row r="2" spans="2:8" x14ac:dyDescent="0.25">
      <c r="D2" s="360" t="s">
        <v>467</v>
      </c>
      <c r="E2" s="360"/>
    </row>
    <row r="3" spans="2:8" ht="16.2" x14ac:dyDescent="0.25">
      <c r="B3" s="325" t="s">
        <v>3</v>
      </c>
      <c r="C3" s="325" t="s">
        <v>4</v>
      </c>
      <c r="D3" s="325" t="s">
        <v>453</v>
      </c>
      <c r="E3" s="325" t="s">
        <v>454</v>
      </c>
      <c r="F3" s="325" t="s">
        <v>13</v>
      </c>
      <c r="G3" s="325" t="s">
        <v>5</v>
      </c>
      <c r="H3" s="325" t="s">
        <v>456</v>
      </c>
    </row>
    <row r="4" spans="2:8" ht="16.2" x14ac:dyDescent="0.25">
      <c r="B4" s="326" t="s">
        <v>29</v>
      </c>
      <c r="C4" s="326" t="s">
        <v>79</v>
      </c>
      <c r="D4" s="326" t="s">
        <v>368</v>
      </c>
      <c r="E4" s="326" t="s">
        <v>451</v>
      </c>
      <c r="F4" s="326" t="s">
        <v>459</v>
      </c>
      <c r="G4" s="326" t="s">
        <v>466</v>
      </c>
      <c r="H4" s="326" t="s">
        <v>469</v>
      </c>
    </row>
    <row r="5" spans="2:8" ht="16.2" hidden="1" x14ac:dyDescent="0.25">
      <c r="B5" s="326" t="s">
        <v>29</v>
      </c>
      <c r="C5" s="326" t="s">
        <v>60</v>
      </c>
      <c r="D5" s="326" t="s">
        <v>451</v>
      </c>
      <c r="E5" s="326" t="s">
        <v>451</v>
      </c>
      <c r="F5" s="326"/>
      <c r="G5" s="326"/>
      <c r="H5" s="326" t="s">
        <v>362</v>
      </c>
    </row>
    <row r="6" spans="2:8" ht="16.2" x14ac:dyDescent="0.25">
      <c r="B6" s="326" t="s">
        <v>29</v>
      </c>
      <c r="C6" s="326" t="s">
        <v>80</v>
      </c>
      <c r="D6" s="326" t="s">
        <v>368</v>
      </c>
      <c r="E6" s="326" t="s">
        <v>451</v>
      </c>
      <c r="F6" s="326" t="s">
        <v>460</v>
      </c>
      <c r="G6" s="326" t="s">
        <v>466</v>
      </c>
      <c r="H6" s="326" t="s">
        <v>468</v>
      </c>
    </row>
    <row r="7" spans="2:8" ht="16.2" x14ac:dyDescent="0.25">
      <c r="B7" s="326" t="s">
        <v>29</v>
      </c>
      <c r="C7" s="326" t="s">
        <v>81</v>
      </c>
      <c r="D7" s="326" t="s">
        <v>368</v>
      </c>
      <c r="E7" s="326" t="s">
        <v>451</v>
      </c>
      <c r="F7" s="326" t="s">
        <v>461</v>
      </c>
      <c r="G7" s="326" t="s">
        <v>466</v>
      </c>
      <c r="H7" s="326" t="s">
        <v>468</v>
      </c>
    </row>
    <row r="8" spans="2:8" ht="16.2" hidden="1" x14ac:dyDescent="0.25">
      <c r="B8" s="326" t="s">
        <v>29</v>
      </c>
      <c r="C8" s="326" t="s">
        <v>82</v>
      </c>
      <c r="D8" s="326" t="s">
        <v>451</v>
      </c>
      <c r="E8" s="326" t="s">
        <v>451</v>
      </c>
      <c r="F8" s="326"/>
      <c r="G8" s="326" t="s">
        <v>466</v>
      </c>
      <c r="H8" s="326" t="s">
        <v>362</v>
      </c>
    </row>
    <row r="9" spans="2:8" ht="16.2" x14ac:dyDescent="0.25">
      <c r="B9" s="326" t="s">
        <v>29</v>
      </c>
      <c r="C9" s="326" t="s">
        <v>83</v>
      </c>
      <c r="D9" s="326" t="s">
        <v>368</v>
      </c>
      <c r="E9" s="326" t="s">
        <v>451</v>
      </c>
      <c r="F9" s="326" t="s">
        <v>462</v>
      </c>
      <c r="G9" s="326" t="s">
        <v>466</v>
      </c>
      <c r="H9" s="326" t="s">
        <v>468</v>
      </c>
    </row>
    <row r="10" spans="2:8" ht="16.2" x14ac:dyDescent="0.25">
      <c r="B10" s="326" t="s">
        <v>29</v>
      </c>
      <c r="C10" s="326" t="s">
        <v>61</v>
      </c>
      <c r="D10" s="326" t="s">
        <v>368</v>
      </c>
      <c r="E10" s="326" t="s">
        <v>368</v>
      </c>
      <c r="F10" s="326" t="s">
        <v>458</v>
      </c>
      <c r="G10" s="326"/>
      <c r="H10" s="326" t="s">
        <v>362</v>
      </c>
    </row>
    <row r="11" spans="2:8" ht="16.2" hidden="1" x14ac:dyDescent="0.25">
      <c r="B11" s="326" t="s">
        <v>29</v>
      </c>
      <c r="C11" s="326" t="s">
        <v>84</v>
      </c>
      <c r="D11" s="326" t="s">
        <v>451</v>
      </c>
      <c r="E11" s="326" t="s">
        <v>451</v>
      </c>
      <c r="F11" s="326"/>
      <c r="G11" s="326" t="s">
        <v>466</v>
      </c>
      <c r="H11" s="326" t="s">
        <v>362</v>
      </c>
    </row>
    <row r="12" spans="2:8" ht="16.2" x14ac:dyDescent="0.25">
      <c r="B12" s="326" t="s">
        <v>29</v>
      </c>
      <c r="C12" s="326" t="s">
        <v>85</v>
      </c>
      <c r="D12" s="326" t="s">
        <v>368</v>
      </c>
      <c r="E12" s="326" t="s">
        <v>451</v>
      </c>
      <c r="F12" s="326" t="s">
        <v>462</v>
      </c>
      <c r="G12" s="326" t="s">
        <v>466</v>
      </c>
      <c r="H12" s="326" t="s">
        <v>468</v>
      </c>
    </row>
    <row r="13" spans="2:8" ht="16.2" x14ac:dyDescent="0.25">
      <c r="B13" s="326" t="s">
        <v>29</v>
      </c>
      <c r="C13" s="326" t="s">
        <v>86</v>
      </c>
      <c r="D13" s="326" t="s">
        <v>368</v>
      </c>
      <c r="E13" s="326" t="s">
        <v>451</v>
      </c>
      <c r="F13" s="326" t="s">
        <v>462</v>
      </c>
      <c r="G13" s="326" t="s">
        <v>466</v>
      </c>
      <c r="H13" s="326" t="s">
        <v>468</v>
      </c>
    </row>
    <row r="14" spans="2:8" ht="16.2" hidden="1" x14ac:dyDescent="0.25">
      <c r="B14" s="326" t="s">
        <v>29</v>
      </c>
      <c r="C14" s="326" t="s">
        <v>62</v>
      </c>
      <c r="D14" s="326" t="s">
        <v>451</v>
      </c>
      <c r="E14" s="326" t="s">
        <v>451</v>
      </c>
      <c r="F14" s="326"/>
      <c r="G14" s="326" t="s">
        <v>466</v>
      </c>
      <c r="H14" s="326" t="s">
        <v>362</v>
      </c>
    </row>
    <row r="15" spans="2:8" ht="16.2" hidden="1" x14ac:dyDescent="0.25">
      <c r="B15" s="326" t="s">
        <v>29</v>
      </c>
      <c r="C15" s="326" t="s">
        <v>87</v>
      </c>
      <c r="D15" s="326" t="s">
        <v>451</v>
      </c>
      <c r="E15" s="326" t="s">
        <v>451</v>
      </c>
      <c r="F15" s="326"/>
      <c r="G15" s="326" t="s">
        <v>466</v>
      </c>
      <c r="H15" s="326" t="s">
        <v>362</v>
      </c>
    </row>
    <row r="16" spans="2:8" ht="16.2" hidden="1" x14ac:dyDescent="0.25">
      <c r="B16" s="326" t="s">
        <v>29</v>
      </c>
      <c r="C16" s="326" t="s">
        <v>88</v>
      </c>
      <c r="D16" s="326" t="s">
        <v>451</v>
      </c>
      <c r="E16" s="326" t="s">
        <v>451</v>
      </c>
      <c r="F16" s="326"/>
      <c r="G16" s="326" t="s">
        <v>466</v>
      </c>
      <c r="H16" s="326" t="s">
        <v>362</v>
      </c>
    </row>
    <row r="17" spans="2:8" ht="16.2" x14ac:dyDescent="0.25">
      <c r="B17" s="326" t="s">
        <v>29</v>
      </c>
      <c r="C17" s="326" t="s">
        <v>89</v>
      </c>
      <c r="D17" s="326" t="s">
        <v>368</v>
      </c>
      <c r="E17" s="326" t="s">
        <v>368</v>
      </c>
      <c r="F17" s="326" t="s">
        <v>458</v>
      </c>
      <c r="G17" s="326" t="s">
        <v>466</v>
      </c>
      <c r="H17" s="326" t="s">
        <v>362</v>
      </c>
    </row>
    <row r="18" spans="2:8" ht="16.2" x14ac:dyDescent="0.25">
      <c r="B18" s="326" t="s">
        <v>29</v>
      </c>
      <c r="C18" s="326" t="s">
        <v>90</v>
      </c>
      <c r="D18" s="326" t="s">
        <v>368</v>
      </c>
      <c r="E18" s="326" t="s">
        <v>451</v>
      </c>
      <c r="F18" s="326" t="s">
        <v>461</v>
      </c>
      <c r="G18" s="326" t="s">
        <v>466</v>
      </c>
      <c r="H18" s="326" t="s">
        <v>469</v>
      </c>
    </row>
    <row r="19" spans="2:8" ht="16.2" hidden="1" x14ac:dyDescent="0.25">
      <c r="B19" s="326" t="s">
        <v>29</v>
      </c>
      <c r="C19" s="326" t="s">
        <v>91</v>
      </c>
      <c r="D19" s="326" t="s">
        <v>451</v>
      </c>
      <c r="E19" s="326" t="s">
        <v>451</v>
      </c>
      <c r="F19" s="326"/>
      <c r="G19" s="326" t="s">
        <v>466</v>
      </c>
      <c r="H19" s="326" t="s">
        <v>362</v>
      </c>
    </row>
    <row r="20" spans="2:8" ht="16.2" x14ac:dyDescent="0.25">
      <c r="B20" s="326" t="s">
        <v>29</v>
      </c>
      <c r="C20" s="326" t="s">
        <v>92</v>
      </c>
      <c r="D20" s="326" t="s">
        <v>368</v>
      </c>
      <c r="E20" s="326" t="s">
        <v>451</v>
      </c>
      <c r="F20" s="326" t="s">
        <v>462</v>
      </c>
      <c r="G20" s="326" t="s">
        <v>466</v>
      </c>
      <c r="H20" s="326" t="s">
        <v>468</v>
      </c>
    </row>
    <row r="21" spans="2:8" ht="16.2" x14ac:dyDescent="0.25">
      <c r="B21" s="326" t="s">
        <v>29</v>
      </c>
      <c r="C21" s="326" t="s">
        <v>93</v>
      </c>
      <c r="D21" s="326" t="s">
        <v>368</v>
      </c>
      <c r="E21" s="326" t="s">
        <v>451</v>
      </c>
      <c r="F21" s="326" t="s">
        <v>462</v>
      </c>
      <c r="G21" s="326" t="s">
        <v>466</v>
      </c>
      <c r="H21" s="326" t="s">
        <v>468</v>
      </c>
    </row>
    <row r="22" spans="2:8" ht="16.2" hidden="1" x14ac:dyDescent="0.25">
      <c r="B22" s="326" t="s">
        <v>29</v>
      </c>
      <c r="C22" s="326" t="s">
        <v>94</v>
      </c>
      <c r="D22" s="326" t="s">
        <v>451</v>
      </c>
      <c r="E22" s="326" t="s">
        <v>451</v>
      </c>
      <c r="F22" s="326"/>
      <c r="G22" s="326" t="s">
        <v>466</v>
      </c>
      <c r="H22" s="326" t="s">
        <v>362</v>
      </c>
    </row>
    <row r="23" spans="2:8" ht="16.2" x14ac:dyDescent="0.25">
      <c r="B23" s="326" t="s">
        <v>29</v>
      </c>
      <c r="C23" s="326" t="s">
        <v>95</v>
      </c>
      <c r="D23" s="326" t="s">
        <v>368</v>
      </c>
      <c r="E23" s="326" t="s">
        <v>451</v>
      </c>
      <c r="F23" s="326" t="s">
        <v>462</v>
      </c>
      <c r="G23" s="326" t="s">
        <v>466</v>
      </c>
      <c r="H23" s="326" t="s">
        <v>468</v>
      </c>
    </row>
    <row r="24" spans="2:8" ht="16.2" x14ac:dyDescent="0.25">
      <c r="B24" s="326" t="s">
        <v>29</v>
      </c>
      <c r="C24" s="326" t="s">
        <v>96</v>
      </c>
      <c r="D24" s="326" t="s">
        <v>368</v>
      </c>
      <c r="E24" s="326" t="s">
        <v>451</v>
      </c>
      <c r="F24" s="326" t="s">
        <v>462</v>
      </c>
      <c r="G24" s="326" t="s">
        <v>466</v>
      </c>
      <c r="H24" s="326" t="s">
        <v>468</v>
      </c>
    </row>
    <row r="25" spans="2:8" ht="16.2" x14ac:dyDescent="0.25">
      <c r="B25" s="326" t="s">
        <v>29</v>
      </c>
      <c r="C25" s="326" t="s">
        <v>97</v>
      </c>
      <c r="D25" s="326" t="s">
        <v>368</v>
      </c>
      <c r="E25" s="326" t="s">
        <v>451</v>
      </c>
      <c r="F25" s="326" t="s">
        <v>462</v>
      </c>
      <c r="G25" s="326"/>
      <c r="H25" s="326" t="s">
        <v>362</v>
      </c>
    </row>
    <row r="26" spans="2:8" ht="16.2" x14ac:dyDescent="0.25">
      <c r="B26" s="326" t="s">
        <v>29</v>
      </c>
      <c r="C26" s="326" t="s">
        <v>98</v>
      </c>
      <c r="D26" s="326" t="s">
        <v>368</v>
      </c>
      <c r="E26" s="326" t="s">
        <v>451</v>
      </c>
      <c r="F26" s="326" t="s">
        <v>462</v>
      </c>
      <c r="G26" s="326"/>
      <c r="H26" s="326" t="s">
        <v>362</v>
      </c>
    </row>
    <row r="27" spans="2:8" ht="16.2" x14ac:dyDescent="0.25">
      <c r="B27" s="326" t="s">
        <v>29</v>
      </c>
      <c r="C27" s="326" t="s">
        <v>99</v>
      </c>
      <c r="D27" s="326" t="s">
        <v>368</v>
      </c>
      <c r="E27" s="326" t="s">
        <v>451</v>
      </c>
      <c r="F27" s="326" t="s">
        <v>462</v>
      </c>
      <c r="G27" s="326"/>
      <c r="H27" s="326" t="s">
        <v>362</v>
      </c>
    </row>
    <row r="28" spans="2:8" ht="16.2" x14ac:dyDescent="0.25">
      <c r="B28" s="326" t="s">
        <v>29</v>
      </c>
      <c r="C28" s="326" t="s">
        <v>100</v>
      </c>
      <c r="D28" s="326" t="s">
        <v>368</v>
      </c>
      <c r="E28" s="326" t="s">
        <v>451</v>
      </c>
      <c r="F28" s="326" t="s">
        <v>462</v>
      </c>
      <c r="G28" s="326"/>
      <c r="H28" s="326" t="s">
        <v>362</v>
      </c>
    </row>
    <row r="29" spans="2:8" ht="16.2" x14ac:dyDescent="0.25">
      <c r="B29" s="326" t="s">
        <v>29</v>
      </c>
      <c r="C29" s="326" t="s">
        <v>101</v>
      </c>
      <c r="D29" s="326" t="s">
        <v>368</v>
      </c>
      <c r="E29" s="326" t="s">
        <v>451</v>
      </c>
      <c r="F29" s="326" t="s">
        <v>462</v>
      </c>
      <c r="G29" s="326"/>
      <c r="H29" s="326" t="s">
        <v>362</v>
      </c>
    </row>
    <row r="30" spans="2:8" ht="16.2" x14ac:dyDescent="0.25">
      <c r="B30" s="326" t="s">
        <v>29</v>
      </c>
      <c r="C30" s="326" t="s">
        <v>63</v>
      </c>
      <c r="D30" s="326" t="s">
        <v>368</v>
      </c>
      <c r="E30" s="326" t="s">
        <v>368</v>
      </c>
      <c r="F30" s="326" t="s">
        <v>458</v>
      </c>
      <c r="G30" s="326"/>
      <c r="H30" s="326" t="s">
        <v>362</v>
      </c>
    </row>
    <row r="31" spans="2:8" ht="16.2" x14ac:dyDescent="0.25">
      <c r="B31" s="326" t="s">
        <v>29</v>
      </c>
      <c r="C31" s="326" t="s">
        <v>102</v>
      </c>
      <c r="D31" s="326" t="s">
        <v>368</v>
      </c>
      <c r="E31" s="326" t="s">
        <v>451</v>
      </c>
      <c r="F31" s="326" t="s">
        <v>462</v>
      </c>
      <c r="G31" s="326"/>
      <c r="H31" s="326" t="s">
        <v>362</v>
      </c>
    </row>
    <row r="32" spans="2:8" ht="16.2" x14ac:dyDescent="0.25">
      <c r="B32" s="326" t="s">
        <v>29</v>
      </c>
      <c r="C32" s="326" t="s">
        <v>103</v>
      </c>
      <c r="D32" s="326" t="s">
        <v>368</v>
      </c>
      <c r="E32" s="326" t="s">
        <v>451</v>
      </c>
      <c r="F32" s="326" t="s">
        <v>462</v>
      </c>
      <c r="G32" s="326"/>
      <c r="H32" s="326" t="s">
        <v>362</v>
      </c>
    </row>
    <row r="33" spans="2:8" ht="16.2" hidden="1" x14ac:dyDescent="0.25">
      <c r="B33" s="326" t="s">
        <v>29</v>
      </c>
      <c r="C33" s="326" t="s">
        <v>110</v>
      </c>
      <c r="D33" s="326" t="s">
        <v>451</v>
      </c>
      <c r="E33" s="326" t="s">
        <v>451</v>
      </c>
      <c r="F33" s="326"/>
      <c r="G33" s="326" t="s">
        <v>466</v>
      </c>
      <c r="H33" s="326" t="s">
        <v>362</v>
      </c>
    </row>
    <row r="34" spans="2:8" ht="16.2" hidden="1" x14ac:dyDescent="0.25">
      <c r="B34" s="326" t="s">
        <v>29</v>
      </c>
      <c r="C34" s="326" t="s">
        <v>111</v>
      </c>
      <c r="D34" s="326" t="s">
        <v>451</v>
      </c>
      <c r="E34" s="326" t="s">
        <v>451</v>
      </c>
      <c r="F34" s="326"/>
      <c r="G34" s="326" t="s">
        <v>466</v>
      </c>
      <c r="H34" s="326" t="s">
        <v>362</v>
      </c>
    </row>
    <row r="35" spans="2:8" ht="16.2" hidden="1" x14ac:dyDescent="0.25">
      <c r="B35" s="326" t="s">
        <v>29</v>
      </c>
      <c r="C35" s="326" t="s">
        <v>112</v>
      </c>
      <c r="D35" s="326" t="s">
        <v>451</v>
      </c>
      <c r="E35" s="326" t="s">
        <v>451</v>
      </c>
      <c r="F35" s="326"/>
      <c r="G35" s="326" t="s">
        <v>466</v>
      </c>
      <c r="H35" s="326" t="s">
        <v>362</v>
      </c>
    </row>
    <row r="36" spans="2:8" ht="16.2" hidden="1" x14ac:dyDescent="0.25">
      <c r="B36" s="326" t="s">
        <v>29</v>
      </c>
      <c r="C36" s="326" t="s">
        <v>51</v>
      </c>
      <c r="D36" s="326" t="s">
        <v>451</v>
      </c>
      <c r="E36" s="326" t="s">
        <v>451</v>
      </c>
      <c r="F36" s="326"/>
      <c r="G36" s="326" t="s">
        <v>466</v>
      </c>
      <c r="H36" s="326" t="s">
        <v>362</v>
      </c>
    </row>
    <row r="37" spans="2:8" ht="16.2" hidden="1" x14ac:dyDescent="0.25">
      <c r="B37" s="326" t="s">
        <v>29</v>
      </c>
      <c r="C37" s="326" t="s">
        <v>68</v>
      </c>
      <c r="D37" s="326"/>
      <c r="E37" s="326" t="s">
        <v>451</v>
      </c>
      <c r="F37" s="326" t="s">
        <v>465</v>
      </c>
      <c r="G37" s="326" t="s">
        <v>466</v>
      </c>
      <c r="H37" s="326" t="s">
        <v>362</v>
      </c>
    </row>
    <row r="38" spans="2:8" ht="16.2" hidden="1" x14ac:dyDescent="0.25">
      <c r="B38" s="326" t="s">
        <v>29</v>
      </c>
      <c r="C38" s="326" t="s">
        <v>52</v>
      </c>
      <c r="D38" s="326" t="s">
        <v>451</v>
      </c>
      <c r="E38" s="326" t="s">
        <v>451</v>
      </c>
      <c r="F38" s="326"/>
      <c r="G38" s="326" t="s">
        <v>466</v>
      </c>
      <c r="H38" s="326" t="s">
        <v>362</v>
      </c>
    </row>
    <row r="39" spans="2:8" ht="16.2" hidden="1" x14ac:dyDescent="0.25">
      <c r="B39" s="326" t="s">
        <v>29</v>
      </c>
      <c r="C39" s="326" t="s">
        <v>55</v>
      </c>
      <c r="D39" s="326" t="s">
        <v>451</v>
      </c>
      <c r="E39" s="326" t="s">
        <v>451</v>
      </c>
      <c r="F39" s="326"/>
      <c r="G39" s="326" t="s">
        <v>466</v>
      </c>
      <c r="H39" s="326" t="s">
        <v>362</v>
      </c>
    </row>
    <row r="40" spans="2:8" ht="16.2" hidden="1" x14ac:dyDescent="0.25">
      <c r="B40" s="326" t="s">
        <v>29</v>
      </c>
      <c r="C40" s="326" t="s">
        <v>69</v>
      </c>
      <c r="D40" s="326" t="s">
        <v>451</v>
      </c>
      <c r="E40" s="326" t="s">
        <v>451</v>
      </c>
      <c r="F40" s="326"/>
      <c r="G40" s="326" t="s">
        <v>466</v>
      </c>
      <c r="H40" s="326" t="s">
        <v>362</v>
      </c>
    </row>
    <row r="41" spans="2:8" ht="16.2" hidden="1" x14ac:dyDescent="0.25">
      <c r="B41" s="326" t="s">
        <v>29</v>
      </c>
      <c r="C41" s="326" t="s">
        <v>56</v>
      </c>
      <c r="D41" s="326" t="s">
        <v>451</v>
      </c>
      <c r="E41" s="326" t="s">
        <v>451</v>
      </c>
      <c r="F41" s="326"/>
      <c r="G41" s="326" t="s">
        <v>466</v>
      </c>
      <c r="H41" s="326" t="s">
        <v>362</v>
      </c>
    </row>
    <row r="42" spans="2:8" ht="16.2" x14ac:dyDescent="0.25">
      <c r="B42" s="326" t="s">
        <v>29</v>
      </c>
      <c r="C42" s="326" t="s">
        <v>70</v>
      </c>
      <c r="D42" s="326" t="s">
        <v>368</v>
      </c>
      <c r="E42" s="326" t="s">
        <v>368</v>
      </c>
      <c r="F42" s="326" t="s">
        <v>464</v>
      </c>
      <c r="G42" s="326" t="s">
        <v>466</v>
      </c>
      <c r="H42" s="326" t="s">
        <v>470</v>
      </c>
    </row>
    <row r="43" spans="2:8" ht="16.2" hidden="1" x14ac:dyDescent="0.25">
      <c r="B43" s="326" t="s">
        <v>29</v>
      </c>
      <c r="C43" s="326" t="s">
        <v>71</v>
      </c>
      <c r="D43" s="326" t="s">
        <v>451</v>
      </c>
      <c r="E43" s="326" t="s">
        <v>451</v>
      </c>
      <c r="F43" s="326"/>
      <c r="G43" s="326" t="s">
        <v>466</v>
      </c>
      <c r="H43" s="326" t="s">
        <v>470</v>
      </c>
    </row>
    <row r="44" spans="2:8" ht="16.2" hidden="1" x14ac:dyDescent="0.25">
      <c r="B44" s="326" t="s">
        <v>29</v>
      </c>
      <c r="C44" s="326" t="s">
        <v>72</v>
      </c>
      <c r="D44" s="326" t="s">
        <v>451</v>
      </c>
      <c r="E44" s="326" t="s">
        <v>451</v>
      </c>
      <c r="F44" s="326"/>
      <c r="G44" s="326" t="s">
        <v>466</v>
      </c>
      <c r="H44" s="326" t="s">
        <v>470</v>
      </c>
    </row>
    <row r="45" spans="2:8" ht="16.2" x14ac:dyDescent="0.25">
      <c r="B45" s="326" t="s">
        <v>29</v>
      </c>
      <c r="C45" s="326" t="s">
        <v>73</v>
      </c>
      <c r="D45" s="326" t="s">
        <v>368</v>
      </c>
      <c r="E45" s="326" t="s">
        <v>451</v>
      </c>
      <c r="F45" s="326"/>
      <c r="G45" s="326" t="s">
        <v>466</v>
      </c>
      <c r="H45" s="326" t="s">
        <v>470</v>
      </c>
    </row>
    <row r="46" spans="2:8" ht="16.2" hidden="1" x14ac:dyDescent="0.25">
      <c r="B46" s="326" t="s">
        <v>29</v>
      </c>
      <c r="C46" s="326" t="s">
        <v>74</v>
      </c>
      <c r="D46" s="326" t="s">
        <v>451</v>
      </c>
      <c r="E46" s="326" t="s">
        <v>451</v>
      </c>
      <c r="F46" s="326"/>
      <c r="G46" s="326" t="s">
        <v>466</v>
      </c>
      <c r="H46" s="326" t="s">
        <v>362</v>
      </c>
    </row>
    <row r="47" spans="2:8" ht="16.2" hidden="1" x14ac:dyDescent="0.25">
      <c r="B47" s="326" t="s">
        <v>29</v>
      </c>
      <c r="C47" s="326" t="s">
        <v>75</v>
      </c>
      <c r="D47" s="326" t="s">
        <v>451</v>
      </c>
      <c r="E47" s="326" t="s">
        <v>451</v>
      </c>
      <c r="F47" s="326"/>
      <c r="G47" s="326" t="s">
        <v>466</v>
      </c>
      <c r="H47" s="326" t="s">
        <v>362</v>
      </c>
    </row>
    <row r="48" spans="2:8" ht="16.2" hidden="1" x14ac:dyDescent="0.25">
      <c r="B48" s="326" t="s">
        <v>29</v>
      </c>
      <c r="C48" s="326" t="s">
        <v>76</v>
      </c>
      <c r="D48" s="326" t="s">
        <v>451</v>
      </c>
      <c r="E48" s="326" t="s">
        <v>451</v>
      </c>
      <c r="F48" s="326"/>
      <c r="G48" s="326" t="s">
        <v>466</v>
      </c>
      <c r="H48" s="326" t="s">
        <v>362</v>
      </c>
    </row>
    <row r="49" spans="2:8" ht="16.2" hidden="1" x14ac:dyDescent="0.25">
      <c r="B49" s="326" t="s">
        <v>29</v>
      </c>
      <c r="C49" s="326" t="s">
        <v>77</v>
      </c>
      <c r="D49" s="326" t="s">
        <v>451</v>
      </c>
      <c r="E49" s="326" t="s">
        <v>451</v>
      </c>
      <c r="F49" s="326"/>
      <c r="G49" s="326" t="s">
        <v>466</v>
      </c>
      <c r="H49" s="326" t="s">
        <v>362</v>
      </c>
    </row>
    <row r="50" spans="2:8" ht="16.2" hidden="1" x14ac:dyDescent="0.25">
      <c r="B50" s="326" t="s">
        <v>29</v>
      </c>
      <c r="C50" s="326" t="s">
        <v>78</v>
      </c>
      <c r="D50" s="326" t="s">
        <v>451</v>
      </c>
      <c r="E50" s="326" t="s">
        <v>451</v>
      </c>
      <c r="F50" s="326"/>
      <c r="G50" s="326" t="s">
        <v>466</v>
      </c>
      <c r="H50" s="326" t="s">
        <v>362</v>
      </c>
    </row>
    <row r="51" spans="2:8" ht="16.2" hidden="1" x14ac:dyDescent="0.25">
      <c r="B51" s="326" t="s">
        <v>29</v>
      </c>
      <c r="C51" s="326" t="s">
        <v>57</v>
      </c>
      <c r="D51" s="326" t="s">
        <v>451</v>
      </c>
      <c r="E51" s="326" t="s">
        <v>451</v>
      </c>
      <c r="F51" s="326"/>
      <c r="G51" s="326" t="s">
        <v>466</v>
      </c>
      <c r="H51" s="326" t="s">
        <v>362</v>
      </c>
    </row>
    <row r="52" spans="2:8" ht="16.2" x14ac:dyDescent="0.25">
      <c r="B52" s="326" t="s">
        <v>29</v>
      </c>
      <c r="C52" s="326" t="s">
        <v>66</v>
      </c>
      <c r="D52" s="326" t="s">
        <v>368</v>
      </c>
      <c r="E52" s="326" t="s">
        <v>451</v>
      </c>
      <c r="F52" s="326"/>
      <c r="G52" s="326" t="s">
        <v>466</v>
      </c>
      <c r="H52" s="326" t="s">
        <v>470</v>
      </c>
    </row>
    <row r="53" spans="2:8" ht="16.2" hidden="1" x14ac:dyDescent="0.25">
      <c r="B53" s="326" t="s">
        <v>275</v>
      </c>
      <c r="C53" s="326" t="s">
        <v>51</v>
      </c>
      <c r="D53" s="326" t="s">
        <v>451</v>
      </c>
      <c r="E53" s="326" t="s">
        <v>451</v>
      </c>
      <c r="F53" s="326"/>
      <c r="G53" s="326" t="s">
        <v>466</v>
      </c>
      <c r="H53" s="326" t="s">
        <v>362</v>
      </c>
    </row>
    <row r="54" spans="2:8" ht="16.2" hidden="1" x14ac:dyDescent="0.25">
      <c r="B54" s="326" t="s">
        <v>275</v>
      </c>
      <c r="C54" s="326" t="s">
        <v>52</v>
      </c>
      <c r="D54" s="326" t="s">
        <v>451</v>
      </c>
      <c r="E54" s="326" t="s">
        <v>451</v>
      </c>
      <c r="F54" s="326"/>
      <c r="G54" s="326" t="s">
        <v>466</v>
      </c>
      <c r="H54" s="326" t="s">
        <v>362</v>
      </c>
    </row>
    <row r="55" spans="2:8" ht="16.2" hidden="1" x14ac:dyDescent="0.25">
      <c r="B55" s="326" t="s">
        <v>275</v>
      </c>
      <c r="C55" s="326" t="s">
        <v>53</v>
      </c>
      <c r="D55" s="326" t="s">
        <v>451</v>
      </c>
      <c r="E55" s="326" t="s">
        <v>451</v>
      </c>
      <c r="F55" s="326"/>
      <c r="G55" s="326" t="s">
        <v>466</v>
      </c>
      <c r="H55" s="326" t="s">
        <v>362</v>
      </c>
    </row>
    <row r="56" spans="2:8" ht="16.2" hidden="1" x14ac:dyDescent="0.25">
      <c r="B56" s="326" t="s">
        <v>275</v>
      </c>
      <c r="C56" s="326" t="s">
        <v>113</v>
      </c>
      <c r="D56" s="326" t="s">
        <v>451</v>
      </c>
      <c r="E56" s="326" t="s">
        <v>451</v>
      </c>
      <c r="F56" s="326"/>
      <c r="G56" s="326" t="s">
        <v>466</v>
      </c>
      <c r="H56" s="326" t="s">
        <v>362</v>
      </c>
    </row>
    <row r="57" spans="2:8" ht="16.2" hidden="1" x14ac:dyDescent="0.25">
      <c r="B57" s="326" t="s">
        <v>28</v>
      </c>
      <c r="C57" s="326" t="s">
        <v>51</v>
      </c>
      <c r="D57" s="326" t="s">
        <v>451</v>
      </c>
      <c r="E57" s="326" t="s">
        <v>451</v>
      </c>
      <c r="F57" s="326"/>
      <c r="G57" s="326" t="s">
        <v>466</v>
      </c>
      <c r="H57" s="326" t="s">
        <v>362</v>
      </c>
    </row>
    <row r="58" spans="2:8" ht="16.2" hidden="1" x14ac:dyDescent="0.25">
      <c r="B58" s="326" t="s">
        <v>28</v>
      </c>
      <c r="C58" s="326" t="s">
        <v>52</v>
      </c>
      <c r="D58" s="326" t="s">
        <v>451</v>
      </c>
      <c r="E58" s="326" t="s">
        <v>451</v>
      </c>
      <c r="F58" s="326"/>
      <c r="G58" s="326" t="s">
        <v>466</v>
      </c>
      <c r="H58" s="326" t="s">
        <v>362</v>
      </c>
    </row>
    <row r="59" spans="2:8" ht="16.2" hidden="1" x14ac:dyDescent="0.25">
      <c r="B59" s="326" t="s">
        <v>28</v>
      </c>
      <c r="C59" s="326" t="s">
        <v>113</v>
      </c>
      <c r="D59" s="326" t="s">
        <v>451</v>
      </c>
      <c r="E59" s="326" t="s">
        <v>451</v>
      </c>
      <c r="F59" s="326"/>
      <c r="G59" s="326" t="s">
        <v>466</v>
      </c>
      <c r="H59" s="326" t="s">
        <v>362</v>
      </c>
    </row>
    <row r="60" spans="2:8" ht="16.2" hidden="1" x14ac:dyDescent="0.25">
      <c r="B60" s="326" t="s">
        <v>28</v>
      </c>
      <c r="C60" s="326" t="s">
        <v>114</v>
      </c>
      <c r="D60" s="326" t="s">
        <v>451</v>
      </c>
      <c r="E60" s="326" t="s">
        <v>368</v>
      </c>
      <c r="F60" s="326" t="s">
        <v>457</v>
      </c>
      <c r="G60" s="326" t="s">
        <v>466</v>
      </c>
      <c r="H60" s="326" t="s">
        <v>470</v>
      </c>
    </row>
    <row r="61" spans="2:8" ht="16.2" hidden="1" x14ac:dyDescent="0.25">
      <c r="B61" s="326" t="s">
        <v>28</v>
      </c>
      <c r="C61" s="326" t="s">
        <v>115</v>
      </c>
      <c r="D61" s="326" t="s">
        <v>451</v>
      </c>
      <c r="E61" s="326" t="s">
        <v>451</v>
      </c>
      <c r="F61" s="326"/>
      <c r="G61" s="326" t="s">
        <v>466</v>
      </c>
      <c r="H61" s="326" t="s">
        <v>362</v>
      </c>
    </row>
    <row r="62" spans="2:8" ht="16.2" hidden="1" x14ac:dyDescent="0.25">
      <c r="B62" s="326" t="s">
        <v>28</v>
      </c>
      <c r="C62" s="326" t="s">
        <v>430</v>
      </c>
      <c r="D62" s="326" t="s">
        <v>451</v>
      </c>
      <c r="E62" s="326" t="s">
        <v>451</v>
      </c>
      <c r="F62" s="326"/>
      <c r="G62" s="326"/>
      <c r="H62" s="326" t="s">
        <v>362</v>
      </c>
    </row>
    <row r="63" spans="2:8" ht="16.2" hidden="1" x14ac:dyDescent="0.25">
      <c r="B63" s="326" t="s">
        <v>28</v>
      </c>
      <c r="C63" s="326" t="s">
        <v>118</v>
      </c>
      <c r="D63" s="326" t="s">
        <v>451</v>
      </c>
      <c r="E63" s="326" t="s">
        <v>451</v>
      </c>
      <c r="F63" s="326"/>
      <c r="G63" s="326"/>
      <c r="H63" s="326" t="s">
        <v>362</v>
      </c>
    </row>
    <row r="64" spans="2:8" ht="16.2" hidden="1" x14ac:dyDescent="0.25">
      <c r="B64" s="326" t="s">
        <v>108</v>
      </c>
      <c r="C64" s="326" t="s">
        <v>116</v>
      </c>
      <c r="D64" s="326" t="s">
        <v>451</v>
      </c>
      <c r="E64" s="326" t="s">
        <v>451</v>
      </c>
      <c r="F64" s="326"/>
      <c r="G64" s="326"/>
      <c r="H64" s="326" t="s">
        <v>362</v>
      </c>
    </row>
    <row r="65" spans="2:8" ht="16.2" x14ac:dyDescent="0.25">
      <c r="B65" s="326" t="s">
        <v>29</v>
      </c>
      <c r="C65" s="326" t="s">
        <v>64</v>
      </c>
      <c r="D65" s="326" t="s">
        <v>368</v>
      </c>
      <c r="E65" s="326" t="s">
        <v>368</v>
      </c>
      <c r="F65" s="326" t="s">
        <v>463</v>
      </c>
      <c r="G65" s="326"/>
      <c r="H65" s="326" t="s">
        <v>362</v>
      </c>
    </row>
    <row r="66" spans="2:8" ht="16.2" hidden="1" x14ac:dyDescent="0.25">
      <c r="B66" s="326" t="s">
        <v>108</v>
      </c>
      <c r="C66" s="326" t="s">
        <v>58</v>
      </c>
      <c r="D66" s="326" t="s">
        <v>451</v>
      </c>
      <c r="E66" s="326" t="s">
        <v>451</v>
      </c>
      <c r="F66" s="326"/>
      <c r="G66" s="326"/>
      <c r="H66" s="326" t="s">
        <v>362</v>
      </c>
    </row>
    <row r="67" spans="2:8" ht="16.2" hidden="1" x14ac:dyDescent="0.25">
      <c r="B67" s="326" t="s">
        <v>108</v>
      </c>
      <c r="C67" s="326" t="s">
        <v>59</v>
      </c>
      <c r="D67" s="326" t="s">
        <v>451</v>
      </c>
      <c r="E67" s="326" t="s">
        <v>368</v>
      </c>
      <c r="F67" s="326"/>
      <c r="G67" s="326"/>
      <c r="H67" s="326" t="s">
        <v>362</v>
      </c>
    </row>
    <row r="68" spans="2:8" ht="16.2" hidden="1" x14ac:dyDescent="0.25">
      <c r="B68" s="326" t="s">
        <v>29</v>
      </c>
      <c r="C68" s="326" t="s">
        <v>53</v>
      </c>
      <c r="D68" s="326" t="s">
        <v>451</v>
      </c>
      <c r="E68" s="326" t="s">
        <v>451</v>
      </c>
      <c r="F68" s="326"/>
      <c r="G68" s="326" t="s">
        <v>466</v>
      </c>
      <c r="H68" s="326" t="s">
        <v>362</v>
      </c>
    </row>
    <row r="69" spans="2:8" ht="16.2" hidden="1" x14ac:dyDescent="0.25">
      <c r="B69" s="326" t="s">
        <v>275</v>
      </c>
      <c r="C69" s="326" t="s">
        <v>117</v>
      </c>
      <c r="D69" s="326" t="s">
        <v>451</v>
      </c>
      <c r="E69" s="326" t="s">
        <v>451</v>
      </c>
      <c r="F69" s="326"/>
      <c r="G69" s="326"/>
      <c r="H69" s="326" t="s">
        <v>362</v>
      </c>
    </row>
    <row r="70" spans="2:8" ht="16.2" hidden="1" x14ac:dyDescent="0.25">
      <c r="B70" s="326" t="s">
        <v>108</v>
      </c>
      <c r="C70" s="326" t="s">
        <v>51</v>
      </c>
      <c r="D70" s="326" t="s">
        <v>451</v>
      </c>
      <c r="E70" s="326" t="s">
        <v>451</v>
      </c>
      <c r="F70" s="326"/>
      <c r="G70" s="326"/>
      <c r="H70" s="326" t="s">
        <v>362</v>
      </c>
    </row>
    <row r="71" spans="2:8" ht="16.2" hidden="1" x14ac:dyDescent="0.25">
      <c r="B71" s="326" t="s">
        <v>108</v>
      </c>
      <c r="C71" s="326" t="s">
        <v>52</v>
      </c>
      <c r="D71" s="326" t="s">
        <v>451</v>
      </c>
      <c r="E71" s="326" t="s">
        <v>451</v>
      </c>
      <c r="F71" s="326"/>
      <c r="G71" s="326"/>
      <c r="H71" s="326" t="s">
        <v>362</v>
      </c>
    </row>
    <row r="72" spans="2:8" ht="16.2" hidden="1" x14ac:dyDescent="0.25">
      <c r="B72" s="326" t="s">
        <v>108</v>
      </c>
      <c r="C72" s="326" t="s">
        <v>53</v>
      </c>
      <c r="D72" s="326" t="s">
        <v>451</v>
      </c>
      <c r="E72" s="326" t="s">
        <v>451</v>
      </c>
      <c r="F72" s="326"/>
      <c r="G72" s="326"/>
      <c r="H72" s="326" t="s">
        <v>362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1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1" t="s">
        <v>135</v>
      </c>
      <c r="V8" s="362"/>
    </row>
    <row r="9" spans="1:23" ht="19.8" x14ac:dyDescent="0.45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45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25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25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25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25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25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25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45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45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45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45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45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45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45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45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45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45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45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45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45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45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45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45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45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45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45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45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45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45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45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45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25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 x14ac:dyDescent="0.25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 x14ac:dyDescent="0.25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 x14ac:dyDescent="0.25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 x14ac:dyDescent="0.25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 x14ac:dyDescent="0.25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 x14ac:dyDescent="0.25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 x14ac:dyDescent="0.25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 x14ac:dyDescent="0.25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 x14ac:dyDescent="0.25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 x14ac:dyDescent="0.25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 x14ac:dyDescent="0.25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 x14ac:dyDescent="0.25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 x14ac:dyDescent="0.25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 x14ac:dyDescent="0.25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25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25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45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45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 x14ac:dyDescent="0.25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 x14ac:dyDescent="0.25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 x14ac:dyDescent="0.25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 x14ac:dyDescent="0.25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 x14ac:dyDescent="0.25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 x14ac:dyDescent="0.25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 x14ac:dyDescent="0.25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 x14ac:dyDescent="0.25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 x14ac:dyDescent="0.25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 x14ac:dyDescent="0.25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 x14ac:dyDescent="0.25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 x14ac:dyDescent="0.25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 x14ac:dyDescent="0.25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 x14ac:dyDescent="0.25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 x14ac:dyDescent="0.25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 x14ac:dyDescent="0.25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 x14ac:dyDescent="0.25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 x14ac:dyDescent="0.25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 x14ac:dyDescent="0.25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 x14ac:dyDescent="0.25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 x14ac:dyDescent="0.25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 x14ac:dyDescent="0.25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 x14ac:dyDescent="0.25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 x14ac:dyDescent="0.25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 x14ac:dyDescent="0.25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 x14ac:dyDescent="0.25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 x14ac:dyDescent="0.25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 x14ac:dyDescent="0.25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 x14ac:dyDescent="0.25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 x14ac:dyDescent="0.25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 x14ac:dyDescent="0.25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 x14ac:dyDescent="0.25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 x14ac:dyDescent="0.25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 x14ac:dyDescent="0.25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 x14ac:dyDescent="0.25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 x14ac:dyDescent="0.25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 x14ac:dyDescent="0.25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 x14ac:dyDescent="0.25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 x14ac:dyDescent="0.25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 x14ac:dyDescent="0.25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 x14ac:dyDescent="0.25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 x14ac:dyDescent="0.25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 x14ac:dyDescent="0.25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 x14ac:dyDescent="0.25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 x14ac:dyDescent="0.25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 x14ac:dyDescent="0.2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25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25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45">
      <c r="D109" s="1"/>
      <c r="E109" s="1"/>
      <c r="F109" s="1"/>
      <c r="H109" s="130"/>
      <c r="I109" s="130"/>
      <c r="K109" s="69"/>
    </row>
    <row r="110" spans="2:22" ht="16.2" x14ac:dyDescent="0.25">
      <c r="D110" s="68"/>
      <c r="E110" s="63"/>
      <c r="F110" s="63"/>
      <c r="G110" s="63"/>
      <c r="H110" s="64"/>
      <c r="I110" s="64"/>
      <c r="J110" s="63"/>
      <c r="K110" s="69"/>
    </row>
    <row r="111" spans="2:22" ht="16.2" x14ac:dyDescent="0.25">
      <c r="D111" s="68"/>
      <c r="E111" s="131"/>
      <c r="F111" s="63"/>
      <c r="G111" s="63"/>
      <c r="H111" s="64"/>
      <c r="I111" s="64"/>
      <c r="J111" s="63"/>
      <c r="K111" s="69"/>
    </row>
    <row r="112" spans="2:22" ht="16.2" x14ac:dyDescent="0.25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45">
      <c r="K113" s="69"/>
    </row>
    <row r="114" spans="11:11" x14ac:dyDescent="0.45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 x14ac:dyDescent="0.3">
      <c r="A4" s="169"/>
      <c r="B4" s="169"/>
      <c r="C4" s="169"/>
      <c r="D4" s="169"/>
      <c r="E4" s="169"/>
    </row>
    <row r="7" spans="1:5" x14ac:dyDescent="0.3">
      <c r="B7" s="132" t="s">
        <v>123</v>
      </c>
      <c r="C7" s="132" t="s">
        <v>105</v>
      </c>
      <c r="D7" s="134"/>
    </row>
    <row r="8" spans="1:5" x14ac:dyDescent="0.3">
      <c r="B8" s="135" t="s">
        <v>19</v>
      </c>
      <c r="C8" s="136" t="s">
        <v>124</v>
      </c>
      <c r="D8" s="134"/>
    </row>
    <row r="9" spans="1:5" x14ac:dyDescent="0.3">
      <c r="B9" s="135" t="s">
        <v>21</v>
      </c>
      <c r="C9" s="136" t="s">
        <v>125</v>
      </c>
      <c r="D9" s="134"/>
    </row>
    <row r="10" spans="1:5" x14ac:dyDescent="0.3">
      <c r="B10" s="134"/>
      <c r="C10" s="134"/>
      <c r="D10" s="134"/>
    </row>
    <row r="11" spans="1:5" x14ac:dyDescent="0.3">
      <c r="B11" s="132" t="s">
        <v>120</v>
      </c>
      <c r="C11" s="132" t="s">
        <v>105</v>
      </c>
      <c r="D11" s="132" t="s">
        <v>127</v>
      </c>
    </row>
    <row r="12" spans="1:5" x14ac:dyDescent="0.3">
      <c r="B12" s="137" t="s">
        <v>119</v>
      </c>
      <c r="C12" s="136" t="s">
        <v>126</v>
      </c>
      <c r="D12" s="136">
        <v>25</v>
      </c>
    </row>
    <row r="13" spans="1:5" x14ac:dyDescent="0.3">
      <c r="B13" s="135" t="s">
        <v>128</v>
      </c>
      <c r="C13" s="136" t="s">
        <v>129</v>
      </c>
      <c r="D13" s="136"/>
    </row>
    <row r="14" spans="1:5" x14ac:dyDescent="0.3">
      <c r="B14" s="135" t="s">
        <v>247</v>
      </c>
      <c r="C14" s="136" t="s">
        <v>131</v>
      </c>
      <c r="D14" s="136"/>
    </row>
    <row r="15" spans="1:5" x14ac:dyDescent="0.3">
      <c r="B15" s="135" t="s">
        <v>130</v>
      </c>
      <c r="C15" s="136" t="s">
        <v>248</v>
      </c>
      <c r="D15" s="136"/>
    </row>
    <row r="16" spans="1:5" x14ac:dyDescent="0.3">
      <c r="B16" s="134"/>
      <c r="C16" s="134"/>
      <c r="D16" s="134"/>
    </row>
    <row r="17" spans="2:4" x14ac:dyDescent="0.3">
      <c r="B17" s="156" t="s">
        <v>264</v>
      </c>
      <c r="C17" s="157"/>
      <c r="D17" s="157"/>
    </row>
    <row r="18" spans="2:4" ht="6.9" customHeight="1" x14ac:dyDescent="0.3">
      <c r="B18" s="134"/>
      <c r="C18" s="134"/>
      <c r="D18" s="134"/>
    </row>
    <row r="19" spans="2:4" x14ac:dyDescent="0.3">
      <c r="B19" s="133" t="s">
        <v>5</v>
      </c>
      <c r="C19" s="132" t="s">
        <v>105</v>
      </c>
      <c r="D19" s="132" t="s">
        <v>50</v>
      </c>
    </row>
    <row r="20" spans="2:4" x14ac:dyDescent="0.3">
      <c r="B20" s="152" t="s">
        <v>39</v>
      </c>
      <c r="C20" s="136" t="s">
        <v>122</v>
      </c>
      <c r="D20" s="136" t="s">
        <v>15</v>
      </c>
    </row>
    <row r="21" spans="2:4" x14ac:dyDescent="0.3">
      <c r="B21" s="168" t="s">
        <v>262</v>
      </c>
      <c r="C21" s="136" t="s">
        <v>263</v>
      </c>
      <c r="D21" s="136" t="s">
        <v>15</v>
      </c>
    </row>
    <row r="22" spans="2:4" x14ac:dyDescent="0.3">
      <c r="B22" s="150" t="s">
        <v>266</v>
      </c>
      <c r="C22" s="136" t="s">
        <v>261</v>
      </c>
      <c r="D22" s="136" t="s">
        <v>15</v>
      </c>
    </row>
    <row r="23" spans="2:4" x14ac:dyDescent="0.3">
      <c r="B23" s="158" t="s">
        <v>267</v>
      </c>
      <c r="C23" s="136" t="s">
        <v>265</v>
      </c>
      <c r="D23" s="136" t="s">
        <v>121</v>
      </c>
    </row>
    <row r="24" spans="2:4" x14ac:dyDescent="0.3">
      <c r="B24" s="139" t="s">
        <v>268</v>
      </c>
      <c r="C24" s="136" t="s">
        <v>246</v>
      </c>
      <c r="D24" s="136" t="s">
        <v>132</v>
      </c>
    </row>
    <row r="25" spans="2:4" x14ac:dyDescent="0.3">
      <c r="B25" s="153" t="s">
        <v>274</v>
      </c>
      <c r="C25" s="136" t="s">
        <v>244</v>
      </c>
      <c r="D25" s="136" t="s">
        <v>121</v>
      </c>
    </row>
    <row r="26" spans="2:4" x14ac:dyDescent="0.3">
      <c r="B26" s="134"/>
      <c r="C26" s="134"/>
      <c r="D26" s="134"/>
    </row>
    <row r="27" spans="2:4" x14ac:dyDescent="0.3">
      <c r="B27" s="156" t="s">
        <v>260</v>
      </c>
      <c r="C27" s="157"/>
      <c r="D27" s="157"/>
    </row>
    <row r="28" spans="2:4" ht="6.9" customHeight="1" x14ac:dyDescent="0.3">
      <c r="B28" s="134"/>
      <c r="C28" s="134"/>
      <c r="D28" s="134"/>
    </row>
    <row r="29" spans="2:4" x14ac:dyDescent="0.3">
      <c r="B29" s="133" t="s">
        <v>5</v>
      </c>
      <c r="C29" s="132" t="s">
        <v>105</v>
      </c>
      <c r="D29" s="132" t="s">
        <v>50</v>
      </c>
    </row>
    <row r="30" spans="2:4" x14ac:dyDescent="0.3">
      <c r="B30" s="152" t="s">
        <v>39</v>
      </c>
      <c r="C30" s="136" t="s">
        <v>122</v>
      </c>
      <c r="D30" s="136" t="s">
        <v>15</v>
      </c>
    </row>
    <row r="31" spans="2:4" x14ac:dyDescent="0.3">
      <c r="B31" s="150" t="s">
        <v>40</v>
      </c>
      <c r="C31" s="136" t="s">
        <v>242</v>
      </c>
      <c r="D31" s="136" t="s">
        <v>15</v>
      </c>
    </row>
    <row r="32" spans="2:4" x14ac:dyDescent="0.3">
      <c r="B32" s="138" t="s">
        <v>346</v>
      </c>
      <c r="C32" s="136" t="s">
        <v>243</v>
      </c>
      <c r="D32" s="136" t="s">
        <v>121</v>
      </c>
    </row>
    <row r="33" spans="2:4" x14ac:dyDescent="0.3">
      <c r="B33" s="151" t="s">
        <v>347</v>
      </c>
      <c r="C33" s="136" t="s">
        <v>245</v>
      </c>
      <c r="D33" s="136" t="s">
        <v>249</v>
      </c>
    </row>
    <row r="34" spans="2:4" x14ac:dyDescent="0.3">
      <c r="B34" s="139" t="s">
        <v>268</v>
      </c>
      <c r="C34" s="136" t="s">
        <v>246</v>
      </c>
      <c r="D34" s="136" t="s">
        <v>132</v>
      </c>
    </row>
    <row r="35" spans="2:4" x14ac:dyDescent="0.3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3" workbookViewId="0">
      <selection activeCell="C30" sqref="C30"/>
    </sheetView>
  </sheetViews>
  <sheetFormatPr defaultColWidth="9" defaultRowHeight="14.4" x14ac:dyDescent="0.3"/>
  <cols>
    <col min="1" max="1" width="3.59765625" style="32" customWidth="1"/>
    <col min="2" max="2" width="19.5" style="32" bestFit="1" customWidth="1"/>
    <col min="3" max="3" width="29.69921875" style="32" bestFit="1" customWidth="1"/>
    <col min="4" max="4" width="34.5" style="32" bestFit="1" customWidth="1"/>
    <col min="5" max="5" width="11.69921875" style="32" bestFit="1" customWidth="1"/>
    <col min="6" max="6" width="11" style="32" bestFit="1" customWidth="1"/>
    <col min="7" max="7" width="11.3984375" style="32" bestFit="1" customWidth="1"/>
    <col min="8" max="9" width="11" style="32" bestFit="1" customWidth="1"/>
    <col min="10" max="16384" width="9" style="32"/>
  </cols>
  <sheetData>
    <row r="2" spans="2:9" x14ac:dyDescent="0.3">
      <c r="B2" s="181" t="s">
        <v>120</v>
      </c>
      <c r="C2" s="182" t="s">
        <v>119</v>
      </c>
    </row>
    <row r="4" spans="2:9" x14ac:dyDescent="0.3">
      <c r="B4" s="181" t="s">
        <v>48</v>
      </c>
      <c r="C4" s="182" t="s">
        <v>256</v>
      </c>
    </row>
    <row r="5" spans="2:9" x14ac:dyDescent="0.3">
      <c r="B5" s="183" t="s">
        <v>39</v>
      </c>
      <c r="C5" s="182">
        <v>3</v>
      </c>
    </row>
    <row r="6" spans="2:9" x14ac:dyDescent="0.3">
      <c r="B6" s="183" t="s">
        <v>266</v>
      </c>
      <c r="C6" s="182">
        <v>35</v>
      </c>
    </row>
    <row r="7" spans="2:9" x14ac:dyDescent="0.3">
      <c r="B7" s="183" t="s">
        <v>46</v>
      </c>
      <c r="C7" s="182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1" t="s">
        <v>120</v>
      </c>
      <c r="C12" s="182" t="s">
        <v>119</v>
      </c>
    </row>
    <row r="13" spans="2:9" x14ac:dyDescent="0.3">
      <c r="B13" s="183"/>
      <c r="C13" s="182"/>
    </row>
    <row r="14" spans="2:9" x14ac:dyDescent="0.3">
      <c r="B14" s="181" t="s">
        <v>256</v>
      </c>
      <c r="C14" s="181" t="s">
        <v>47</v>
      </c>
      <c r="D14" s="182"/>
      <c r="E14" s="182"/>
      <c r="F14"/>
      <c r="G14"/>
      <c r="H14"/>
      <c r="I14"/>
    </row>
    <row r="15" spans="2:9" x14ac:dyDescent="0.3">
      <c r="B15" s="181" t="s">
        <v>48</v>
      </c>
      <c r="C15" s="182" t="s">
        <v>39</v>
      </c>
      <c r="D15" s="182" t="s">
        <v>266</v>
      </c>
      <c r="E15" s="182" t="s">
        <v>46</v>
      </c>
      <c r="F15"/>
      <c r="G15"/>
      <c r="H15"/>
      <c r="I15"/>
    </row>
    <row r="16" spans="2:9" x14ac:dyDescent="0.3">
      <c r="B16" s="183" t="s">
        <v>29</v>
      </c>
      <c r="C16" s="182">
        <v>3</v>
      </c>
      <c r="D16" s="182">
        <v>29</v>
      </c>
      <c r="E16" s="182">
        <v>32</v>
      </c>
      <c r="F16"/>
      <c r="G16"/>
      <c r="H16"/>
      <c r="I16"/>
    </row>
    <row r="17" spans="2:9" x14ac:dyDescent="0.3">
      <c r="B17" s="183" t="s">
        <v>269</v>
      </c>
      <c r="C17" s="182"/>
      <c r="D17" s="182">
        <v>6</v>
      </c>
      <c r="E17" s="182">
        <v>6</v>
      </c>
      <c r="F17"/>
      <c r="G17"/>
      <c r="H17"/>
      <c r="I17"/>
    </row>
    <row r="18" spans="2:9" x14ac:dyDescent="0.3">
      <c r="B18" s="183" t="s">
        <v>46</v>
      </c>
      <c r="C18" s="182">
        <v>3</v>
      </c>
      <c r="D18" s="182">
        <v>35</v>
      </c>
      <c r="E18" s="182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83"/>
      <c r="C22" s="182"/>
      <c r="D22" s="182"/>
      <c r="E22" s="182"/>
      <c r="F22" s="182"/>
      <c r="G22" s="182"/>
      <c r="H22"/>
    </row>
    <row r="23" spans="2:9" x14ac:dyDescent="0.3">
      <c r="B23" s="183"/>
      <c r="C23" s="182"/>
      <c r="D23" s="182"/>
      <c r="E23" s="182"/>
      <c r="F23" s="182"/>
      <c r="G23" s="182"/>
      <c r="H23"/>
    </row>
    <row r="24" spans="2:9" x14ac:dyDescent="0.3">
      <c r="B24" s="183"/>
      <c r="C24" s="182"/>
      <c r="D24" s="182"/>
      <c r="E24" s="182"/>
      <c r="F24" s="182"/>
      <c r="G24" s="182"/>
      <c r="H24"/>
    </row>
    <row r="25" spans="2:9" x14ac:dyDescent="0.3">
      <c r="B25" s="183"/>
      <c r="C25" s="182"/>
      <c r="D25" s="182"/>
      <c r="E25" s="182"/>
      <c r="F25" s="182"/>
      <c r="G25" s="182"/>
      <c r="H25"/>
    </row>
    <row r="26" spans="2:9" x14ac:dyDescent="0.3">
      <c r="B26" s="179" t="s">
        <v>120</v>
      </c>
      <c r="C26" t="s">
        <v>345</v>
      </c>
    </row>
    <row r="28" spans="2:9" x14ac:dyDescent="0.3">
      <c r="B28" s="179" t="s">
        <v>48</v>
      </c>
      <c r="C28" t="s">
        <v>256</v>
      </c>
      <c r="D28"/>
    </row>
    <row r="29" spans="2:9" x14ac:dyDescent="0.3">
      <c r="B29" s="180" t="s">
        <v>40</v>
      </c>
      <c r="C29">
        <v>49</v>
      </c>
      <c r="D29"/>
    </row>
    <row r="30" spans="2:9" x14ac:dyDescent="0.3">
      <c r="B30" s="180" t="s">
        <v>346</v>
      </c>
      <c r="C30">
        <v>18</v>
      </c>
      <c r="D30"/>
    </row>
    <row r="31" spans="2:9" x14ac:dyDescent="0.3">
      <c r="B31" s="180" t="s">
        <v>274</v>
      </c>
      <c r="C31">
        <v>7</v>
      </c>
      <c r="D31"/>
    </row>
    <row r="32" spans="2:9" x14ac:dyDescent="0.3">
      <c r="B32" s="180" t="s">
        <v>46</v>
      </c>
      <c r="C32">
        <v>74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79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">
      <c r="B40" s="179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0" t="s">
        <v>29</v>
      </c>
      <c r="C41">
        <v>40</v>
      </c>
      <c r="D41">
        <v>9</v>
      </c>
      <c r="E41">
        <v>2</v>
      </c>
      <c r="F41">
        <v>51</v>
      </c>
      <c r="G41"/>
      <c r="H41"/>
      <c r="I41"/>
    </row>
    <row r="42" spans="2:9" x14ac:dyDescent="0.3">
      <c r="B42" s="180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0" t="s">
        <v>275</v>
      </c>
      <c r="C43">
        <v>4</v>
      </c>
      <c r="D43"/>
      <c r="E43">
        <v>1</v>
      </c>
      <c r="F43">
        <v>5</v>
      </c>
      <c r="G43"/>
      <c r="H43"/>
      <c r="I43"/>
    </row>
    <row r="44" spans="2:9" x14ac:dyDescent="0.3">
      <c r="B44" s="180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0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0" t="s">
        <v>46</v>
      </c>
      <c r="C46">
        <v>49</v>
      </c>
      <c r="D46">
        <v>18</v>
      </c>
      <c r="E46">
        <v>7</v>
      </c>
      <c r="F46">
        <v>74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 x14ac:dyDescent="0.3">
      <c r="B2" s="197" t="s">
        <v>356</v>
      </c>
      <c r="C2" s="32">
        <f>+COUNTA(C11:C39,C49:C87)</f>
        <v>68</v>
      </c>
    </row>
    <row r="4" spans="1:10" x14ac:dyDescent="0.3">
      <c r="B4" s="197" t="s">
        <v>360</v>
      </c>
    </row>
    <row r="5" spans="1:10" x14ac:dyDescent="0.3">
      <c r="B5" s="32" t="s">
        <v>361</v>
      </c>
    </row>
    <row r="6" spans="1:10" x14ac:dyDescent="0.3">
      <c r="B6" s="32" t="s">
        <v>363</v>
      </c>
    </row>
    <row r="7" spans="1:10" x14ac:dyDescent="0.3">
      <c r="B7" s="32" t="s">
        <v>367</v>
      </c>
    </row>
    <row r="10" spans="1:10" x14ac:dyDescent="0.3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7" t="s">
        <v>359</v>
      </c>
      <c r="I10" s="197" t="s">
        <v>393</v>
      </c>
      <c r="J10" s="197" t="s">
        <v>394</v>
      </c>
    </row>
    <row r="11" spans="1:10" hidden="1" x14ac:dyDescent="0.3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">
      <c r="B17" s="134" t="s">
        <v>29</v>
      </c>
      <c r="C17" s="199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">
      <c r="B32" s="134" t="s">
        <v>29</v>
      </c>
      <c r="C32" s="199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">
      <c r="B33" s="134" t="s">
        <v>29</v>
      </c>
      <c r="C33" s="199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">
      <c r="B34" s="134" t="s">
        <v>29</v>
      </c>
      <c r="C34" s="199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">
      <c r="B35" s="134" t="s">
        <v>29</v>
      </c>
      <c r="C35" s="199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">
      <c r="B36" s="134" t="s">
        <v>29</v>
      </c>
      <c r="C36" s="199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">
      <c r="B37" s="134" t="s">
        <v>29</v>
      </c>
      <c r="C37" s="199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">
      <c r="B38" s="134" t="s">
        <v>29</v>
      </c>
      <c r="C38" s="199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">
      <c r="B39" s="134" t="s">
        <v>29</v>
      </c>
      <c r="C39" s="199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">
      <c r="B40" s="195" t="s">
        <v>29</v>
      </c>
      <c r="C40" s="195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">
      <c r="B41" s="195" t="s">
        <v>269</v>
      </c>
      <c r="C41" s="195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">
      <c r="B42" s="195" t="s">
        <v>269</v>
      </c>
      <c r="C42" s="195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">
      <c r="B43" s="195" t="s">
        <v>269</v>
      </c>
      <c r="C43" s="195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">
      <c r="B44" s="195" t="s">
        <v>269</v>
      </c>
      <c r="C44" s="195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">
      <c r="B45" s="195" t="s">
        <v>269</v>
      </c>
      <c r="C45" s="195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">
      <c r="B46" s="195" t="s">
        <v>269</v>
      </c>
      <c r="C46" s="195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">
      <c r="B47" s="195" t="s">
        <v>29</v>
      </c>
      <c r="C47" s="195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">
      <c r="B48" s="195" t="s">
        <v>29</v>
      </c>
      <c r="C48" s="195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">
      <c r="A49" s="32" t="s">
        <v>364</v>
      </c>
      <c r="B49" s="240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">
      <c r="A50" s="32" t="s">
        <v>364</v>
      </c>
      <c r="B50" s="240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">
      <c r="A51" s="32" t="s">
        <v>364</v>
      </c>
      <c r="B51" s="240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">
      <c r="A52" s="32" t="s">
        <v>364</v>
      </c>
      <c r="B52" s="240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">
      <c r="A53" s="32" t="s">
        <v>364</v>
      </c>
      <c r="B53" s="240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">
      <c r="A54" s="32" t="s">
        <v>364</v>
      </c>
      <c r="B54" s="240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">
      <c r="A55" s="32" t="s">
        <v>364</v>
      </c>
      <c r="B55" s="240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">
      <c r="A56" s="32" t="s">
        <v>364</v>
      </c>
      <c r="B56" s="240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">
      <c r="A57" s="32" t="s">
        <v>364</v>
      </c>
      <c r="B57" s="240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">
      <c r="A58" s="32" t="s">
        <v>364</v>
      </c>
      <c r="B58" s="240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">
      <c r="A59" s="32" t="s">
        <v>364</v>
      </c>
      <c r="B59" s="240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">
      <c r="A60" s="32" t="s">
        <v>364</v>
      </c>
      <c r="B60" s="240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">
      <c r="A61" s="32" t="s">
        <v>364</v>
      </c>
      <c r="B61" s="240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">
      <c r="A62" s="32" t="s">
        <v>364</v>
      </c>
      <c r="B62" s="240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">
      <c r="A63" s="32" t="s">
        <v>364</v>
      </c>
      <c r="B63" s="240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">
      <c r="A64" s="32" t="s">
        <v>364</v>
      </c>
      <c r="B64" s="240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">
      <c r="A65" s="32" t="s">
        <v>364</v>
      </c>
      <c r="B65" s="240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">
      <c r="B66" s="240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2" t="s">
        <v>390</v>
      </c>
      <c r="B67" s="240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40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40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">
      <c r="B70" s="240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">
      <c r="B71" s="240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">
      <c r="B72" s="240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">
      <c r="B73" s="240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">
      <c r="B74" s="240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">
      <c r="B75" s="240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">
      <c r="A76" s="32" t="s">
        <v>389</v>
      </c>
      <c r="B76" s="240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2" t="s">
        <v>392</v>
      </c>
      <c r="B77" s="240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40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40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">
      <c r="B80" s="240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">
      <c r="B81" s="240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">
      <c r="B82" s="240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">
      <c r="B83" s="240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0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0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">
      <c r="B85" s="240" t="s">
        <v>108</v>
      </c>
      <c r="C85" s="198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0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">
      <c r="B86" s="240" t="s">
        <v>108</v>
      </c>
      <c r="C86" s="198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0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">
      <c r="B87" s="240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0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 x14ac:dyDescent="0.25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25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25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 x14ac:dyDescent="0.25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 x14ac:dyDescent="0.25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 x14ac:dyDescent="0.25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 x14ac:dyDescent="0.25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 x14ac:dyDescent="0.25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 x14ac:dyDescent="0.25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 x14ac:dyDescent="0.25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 x14ac:dyDescent="0.25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 x14ac:dyDescent="0.25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 x14ac:dyDescent="0.25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 x14ac:dyDescent="0.25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 x14ac:dyDescent="0.25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 x14ac:dyDescent="0.25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 x14ac:dyDescent="0.25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 x14ac:dyDescent="0.25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 x14ac:dyDescent="0.25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 x14ac:dyDescent="0.25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25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6" t="s">
        <v>29</v>
      </c>
      <c r="N23" s="196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25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6" t="s">
        <v>29</v>
      </c>
      <c r="N24" s="196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25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6" t="s">
        <v>29</v>
      </c>
      <c r="N25" s="196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25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6" t="s">
        <v>275</v>
      </c>
      <c r="N26" s="196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25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6" t="s">
        <v>275</v>
      </c>
      <c r="N27" s="196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25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6" t="s">
        <v>275</v>
      </c>
      <c r="N28" s="196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25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6" t="s">
        <v>275</v>
      </c>
      <c r="N29" s="196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25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6" t="s">
        <v>28</v>
      </c>
      <c r="N30" s="196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25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6" t="s">
        <v>28</v>
      </c>
      <c r="N31" s="196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25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6" t="s">
        <v>28</v>
      </c>
      <c r="N32" s="196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25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6" t="s">
        <v>28</v>
      </c>
      <c r="N33" s="196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25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6" t="s">
        <v>28</v>
      </c>
      <c r="N34" s="196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25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6" t="s">
        <v>28</v>
      </c>
      <c r="N35" s="196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25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6" t="s">
        <v>108</v>
      </c>
      <c r="N36" s="196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25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6" t="s">
        <v>29</v>
      </c>
      <c r="N37" s="196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25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6" t="s">
        <v>108</v>
      </c>
      <c r="N38" s="196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25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6" t="s">
        <v>108</v>
      </c>
      <c r="N39" s="196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25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6" t="s">
        <v>29</v>
      </c>
      <c r="N40" s="196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25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6" t="s">
        <v>29</v>
      </c>
      <c r="N41" s="196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25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6" t="s">
        <v>29</v>
      </c>
      <c r="N42" s="196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25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6" t="s">
        <v>29</v>
      </c>
      <c r="N43" s="196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25">
      <c r="L44" s="134" t="s">
        <v>352</v>
      </c>
      <c r="M44" s="196" t="s">
        <v>29</v>
      </c>
      <c r="N44" s="196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25">
      <c r="L45" s="134" t="s">
        <v>352</v>
      </c>
      <c r="M45" s="196" t="s">
        <v>29</v>
      </c>
      <c r="N45" s="196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25">
      <c r="L46" s="134" t="s">
        <v>352</v>
      </c>
      <c r="M46" s="196" t="s">
        <v>29</v>
      </c>
      <c r="N46" s="196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25">
      <c r="L47" s="134" t="s">
        <v>352</v>
      </c>
      <c r="M47" s="196" t="s">
        <v>29</v>
      </c>
      <c r="N47" s="196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25">
      <c r="L48" s="134" t="s">
        <v>352</v>
      </c>
      <c r="M48" s="196" t="s">
        <v>29</v>
      </c>
      <c r="N48" s="196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25">
      <c r="L49" s="134" t="s">
        <v>352</v>
      </c>
      <c r="M49" s="196" t="s">
        <v>29</v>
      </c>
      <c r="N49" s="196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25">
      <c r="L50" s="134" t="s">
        <v>352</v>
      </c>
      <c r="M50" s="196" t="s">
        <v>29</v>
      </c>
      <c r="N50" s="196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25">
      <c r="L51" s="134" t="s">
        <v>352</v>
      </c>
      <c r="M51" s="196" t="s">
        <v>29</v>
      </c>
      <c r="N51" s="196" t="s">
        <v>87</v>
      </c>
    </row>
    <row r="52" spans="12:23" x14ac:dyDescent="0.25">
      <c r="L52" s="134" t="s">
        <v>352</v>
      </c>
      <c r="M52" s="196" t="s">
        <v>29</v>
      </c>
      <c r="N52" s="196" t="s">
        <v>88</v>
      </c>
    </row>
    <row r="53" spans="12:23" x14ac:dyDescent="0.25">
      <c r="L53" s="134" t="s">
        <v>352</v>
      </c>
      <c r="M53" s="196" t="s">
        <v>29</v>
      </c>
      <c r="N53" s="196" t="s">
        <v>89</v>
      </c>
    </row>
    <row r="54" spans="12:23" x14ac:dyDescent="0.25">
      <c r="L54" s="134" t="s">
        <v>352</v>
      </c>
      <c r="M54" s="196" t="s">
        <v>29</v>
      </c>
      <c r="N54" s="196" t="s">
        <v>90</v>
      </c>
    </row>
    <row r="55" spans="12:23" x14ac:dyDescent="0.25">
      <c r="L55" s="134" t="s">
        <v>352</v>
      </c>
      <c r="M55" s="196" t="s">
        <v>29</v>
      </c>
      <c r="N55" s="196" t="s">
        <v>91</v>
      </c>
    </row>
    <row r="56" spans="12:23" x14ac:dyDescent="0.25">
      <c r="L56" s="134" t="s">
        <v>352</v>
      </c>
      <c r="M56" s="196" t="s">
        <v>29</v>
      </c>
      <c r="N56" s="196" t="s">
        <v>92</v>
      </c>
    </row>
    <row r="57" spans="12:23" x14ac:dyDescent="0.25">
      <c r="L57" s="134" t="s">
        <v>352</v>
      </c>
      <c r="M57" s="196" t="s">
        <v>29</v>
      </c>
      <c r="N57" s="196" t="s">
        <v>93</v>
      </c>
    </row>
    <row r="58" spans="12:23" x14ac:dyDescent="0.25">
      <c r="L58" s="134" t="s">
        <v>352</v>
      </c>
      <c r="M58" s="196" t="s">
        <v>29</v>
      </c>
      <c r="N58" s="196" t="s">
        <v>94</v>
      </c>
    </row>
    <row r="59" spans="12:23" x14ac:dyDescent="0.25">
      <c r="L59" s="134" t="s">
        <v>352</v>
      </c>
      <c r="M59" s="196" t="s">
        <v>29</v>
      </c>
      <c r="N59" s="196" t="s">
        <v>95</v>
      </c>
    </row>
    <row r="60" spans="12:23" x14ac:dyDescent="0.25">
      <c r="L60" s="134" t="s">
        <v>352</v>
      </c>
      <c r="M60" s="196" t="s">
        <v>29</v>
      </c>
      <c r="N60" s="196" t="s">
        <v>96</v>
      </c>
    </row>
    <row r="61" spans="12:23" x14ac:dyDescent="0.25">
      <c r="L61" s="134" t="s">
        <v>352</v>
      </c>
      <c r="M61" s="196" t="s">
        <v>29</v>
      </c>
      <c r="N61" s="196" t="s">
        <v>97</v>
      </c>
    </row>
    <row r="62" spans="12:23" x14ac:dyDescent="0.25">
      <c r="L62" s="134" t="s">
        <v>352</v>
      </c>
      <c r="M62" s="196" t="s">
        <v>29</v>
      </c>
      <c r="N62" s="196" t="s">
        <v>98</v>
      </c>
    </row>
    <row r="63" spans="12:23" x14ac:dyDescent="0.25">
      <c r="L63" s="134" t="s">
        <v>352</v>
      </c>
      <c r="M63" s="196" t="s">
        <v>29</v>
      </c>
      <c r="N63" s="196" t="s">
        <v>99</v>
      </c>
    </row>
    <row r="64" spans="12:23" x14ac:dyDescent="0.25">
      <c r="L64" s="134" t="s">
        <v>352</v>
      </c>
      <c r="M64" s="196" t="s">
        <v>29</v>
      </c>
      <c r="N64" s="196" t="s">
        <v>100</v>
      </c>
    </row>
    <row r="65" spans="12:14" x14ac:dyDescent="0.25">
      <c r="L65" s="134" t="s">
        <v>352</v>
      </c>
      <c r="M65" s="196" t="s">
        <v>29</v>
      </c>
      <c r="N65" s="196" t="s">
        <v>101</v>
      </c>
    </row>
    <row r="66" spans="12:14" x14ac:dyDescent="0.25">
      <c r="L66" s="134" t="s">
        <v>352</v>
      </c>
      <c r="M66" s="196" t="s">
        <v>29</v>
      </c>
      <c r="N66" s="196" t="s">
        <v>63</v>
      </c>
    </row>
    <row r="67" spans="12:14" x14ac:dyDescent="0.25">
      <c r="L67" s="134" t="s">
        <v>352</v>
      </c>
      <c r="M67" s="196" t="s">
        <v>29</v>
      </c>
      <c r="N67" s="196" t="s">
        <v>102</v>
      </c>
    </row>
    <row r="68" spans="12:14" x14ac:dyDescent="0.25">
      <c r="L68" s="134" t="s">
        <v>352</v>
      </c>
      <c r="M68" s="196" t="s">
        <v>29</v>
      </c>
      <c r="N68" s="196" t="s">
        <v>103</v>
      </c>
    </row>
    <row r="69" spans="12:14" x14ac:dyDescent="0.25">
      <c r="L69" s="134" t="s">
        <v>352</v>
      </c>
      <c r="M69" s="196" t="s">
        <v>269</v>
      </c>
      <c r="N69" s="196" t="s">
        <v>30</v>
      </c>
    </row>
    <row r="70" spans="12:14" x14ac:dyDescent="0.25">
      <c r="L70" s="134" t="s">
        <v>352</v>
      </c>
      <c r="M70" s="196" t="s">
        <v>269</v>
      </c>
      <c r="N70" s="196" t="s">
        <v>270</v>
      </c>
    </row>
    <row r="71" spans="12:14" x14ac:dyDescent="0.25">
      <c r="L71" s="134" t="s">
        <v>352</v>
      </c>
      <c r="M71" s="196" t="s">
        <v>269</v>
      </c>
      <c r="N71" s="196" t="s">
        <v>271</v>
      </c>
    </row>
    <row r="72" spans="12:14" x14ac:dyDescent="0.25">
      <c r="L72" s="134" t="s">
        <v>352</v>
      </c>
      <c r="M72" s="196" t="s">
        <v>269</v>
      </c>
      <c r="N72" s="196" t="s">
        <v>272</v>
      </c>
    </row>
    <row r="73" spans="12:14" x14ac:dyDescent="0.25">
      <c r="L73" s="134" t="s">
        <v>352</v>
      </c>
      <c r="M73" s="196" t="s">
        <v>269</v>
      </c>
      <c r="N73" s="196" t="s">
        <v>26</v>
      </c>
    </row>
    <row r="74" spans="12:14" x14ac:dyDescent="0.25">
      <c r="L74" s="134" t="s">
        <v>352</v>
      </c>
      <c r="M74" s="196" t="s">
        <v>269</v>
      </c>
      <c r="N74" s="196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E2705D-B466-4986-9135-6F10D22866C1}"/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Status Resumo</vt:lpstr>
      <vt:lpstr>2. Status Detalhe Campos</vt:lpstr>
      <vt:lpstr>3. Plano_Detalhado</vt:lpstr>
      <vt:lpstr>FC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2025-02-05T19:23:53Z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