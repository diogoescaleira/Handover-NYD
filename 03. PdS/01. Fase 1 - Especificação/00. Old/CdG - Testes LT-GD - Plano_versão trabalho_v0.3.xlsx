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991" documentId="8_{268BF0E7-4355-4912-AA21-CDA4BEF7BA22}" xr6:coauthVersionLast="47" xr6:coauthVersionMax="47" xr10:uidLastSave="{A02CB041-B193-47C3-95E8-078EA4BC3211}"/>
  <bookViews>
    <workbookView xWindow="-108" yWindow="-108" windowWidth="23256" windowHeight="12576" tabRatio="856" xr2:uid="{00000000-000D-0000-FFFF-FFFF00000000}"/>
  </bookViews>
  <sheets>
    <sheet name="1. Status Resumo" sheetId="15" r:id="rId1"/>
    <sheet name="FC" sheetId="29" state="hidden" r:id="rId2"/>
    <sheet name="Sheet2" sheetId="30" state="hidden" r:id="rId3"/>
    <sheet name="2. Status Detalhe Campos" sheetId="17" r:id="rId4"/>
    <sheet name="Plano_Detalhado" sheetId="20" r:id="rId5"/>
    <sheet name="Macro_Plano_2025_v1" sheetId="24" r:id="rId6"/>
    <sheet name="Sheet1" sheetId="28" r:id="rId7"/>
    <sheet name="Auxiliar_GD" sheetId="23" r:id="rId8"/>
    <sheet name="Pivots_GD" sheetId="25" r:id="rId9"/>
  </sheets>
  <externalReferences>
    <externalReference r:id="rId10"/>
  </externalReferences>
  <definedNames>
    <definedName name="_xlnm._FilterDatabase" localSheetId="3" hidden="1">'2. Status Detalhe Campos'!$A$6:$J$531</definedName>
    <definedName name="_xlnm._FilterDatabase" localSheetId="4" hidden="1">Plano_Detalhado!$B$8:$P$622</definedName>
    <definedName name="_xlnm._FilterDatabase" localSheetId="6" hidden="1">Sheet1!$Q$5:$R$50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</definedNames>
  <calcPr calcId="191029"/>
  <pivotCaches>
    <pivotCache cacheId="24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0" l="1"/>
  <c r="C5" i="30" s="1"/>
  <c r="B6" i="30" s="1"/>
  <c r="C6" i="30" s="1"/>
  <c r="B7" i="30" s="1"/>
  <c r="C7" i="30" s="1"/>
  <c r="B8" i="30" s="1"/>
  <c r="C8" i="30" s="1"/>
  <c r="B9" i="30" s="1"/>
  <c r="C9" i="30" s="1"/>
  <c r="B10" i="30" s="1"/>
  <c r="C10" i="30" s="1"/>
  <c r="B11" i="30" s="1"/>
  <c r="C11" i="30" s="1"/>
  <c r="B12" i="30" s="1"/>
  <c r="C12" i="30" s="1"/>
  <c r="B13" i="30" s="1"/>
  <c r="C13" i="30" s="1"/>
  <c r="B14" i="30" s="1"/>
  <c r="C14" i="30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T6" i="28" a="1"/>
  <c r="T6" i="28" s="1"/>
  <c r="S6" i="28" a="1"/>
  <c r="S6" i="28" s="1"/>
  <c r="S50" i="28" a="1"/>
  <c r="S50" i="28" s="1"/>
  <c r="S49" i="28" a="1"/>
  <c r="S49" i="28" s="1"/>
  <c r="S48" i="28" a="1"/>
  <c r="S48" i="28" s="1"/>
  <c r="S47" i="28" a="1"/>
  <c r="S47" i="28" s="1"/>
  <c r="S46" i="28" a="1"/>
  <c r="S46" i="28" s="1"/>
  <c r="S45" i="28" a="1"/>
  <c r="S45" i="28" s="1"/>
  <c r="S44" i="28" a="1"/>
  <c r="S44" i="28" s="1"/>
  <c r="S43" i="28" a="1"/>
  <c r="S43" i="28" s="1"/>
  <c r="S42" i="28" a="1"/>
  <c r="S42" i="28" s="1"/>
  <c r="S41" i="28" a="1"/>
  <c r="S41" i="28" s="1"/>
  <c r="S40" i="28" a="1"/>
  <c r="S40" i="28" s="1"/>
  <c r="S39" i="28" a="1"/>
  <c r="S39" i="28" s="1"/>
  <c r="S38" i="28" a="1"/>
  <c r="S38" i="28" s="1"/>
  <c r="S37" i="28" a="1"/>
  <c r="S37" i="28" s="1"/>
  <c r="S36" i="28" a="1"/>
  <c r="S36" i="28" s="1"/>
  <c r="S35" i="28" a="1"/>
  <c r="S35" i="28" s="1"/>
  <c r="S34" i="28" a="1"/>
  <c r="S34" i="28" s="1"/>
  <c r="S33" i="28" a="1"/>
  <c r="S33" i="28" s="1"/>
  <c r="S32" i="28" a="1"/>
  <c r="S32" i="28" s="1"/>
  <c r="S31" i="28" a="1"/>
  <c r="S31" i="28" s="1"/>
  <c r="S30" i="28" a="1"/>
  <c r="S30" i="28" s="1"/>
  <c r="S29" i="28" a="1"/>
  <c r="S29" i="28" s="1"/>
  <c r="S28" i="28" a="1"/>
  <c r="S28" i="28" s="1"/>
  <c r="S27" i="28" a="1"/>
  <c r="S27" i="28" s="1"/>
  <c r="S26" i="28" a="1"/>
  <c r="S26" i="28" s="1"/>
  <c r="S25" i="28" a="1"/>
  <c r="S25" i="28" s="1"/>
  <c r="S24" i="28" a="1"/>
  <c r="S24" i="28" s="1"/>
  <c r="S23" i="28" a="1"/>
  <c r="S23" i="28" s="1"/>
  <c r="S22" i="28" a="1"/>
  <c r="S22" i="28" s="1"/>
  <c r="S21" i="28" a="1"/>
  <c r="S21" i="28" s="1"/>
  <c r="S20" i="28" a="1"/>
  <c r="S20" i="28" s="1"/>
  <c r="S19" i="28" a="1"/>
  <c r="S19" i="28" s="1"/>
  <c r="S18" i="28" a="1"/>
  <c r="S18" i="28" s="1"/>
  <c r="S17" i="28" a="1"/>
  <c r="S17" i="28" s="1"/>
  <c r="S16" i="28" a="1"/>
  <c r="S16" i="28" s="1"/>
  <c r="S15" i="28" a="1"/>
  <c r="S15" i="28" s="1"/>
  <c r="S14" i="28" a="1"/>
  <c r="S14" i="28" s="1"/>
  <c r="S13" i="28" a="1"/>
  <c r="S13" i="28" s="1"/>
  <c r="S12" i="28" a="1"/>
  <c r="S12" i="28" s="1"/>
  <c r="S11" i="28" a="1"/>
  <c r="S11" i="28" s="1"/>
  <c r="S10" i="28" a="1"/>
  <c r="S10" i="28" s="1"/>
  <c r="S9" i="28" a="1"/>
  <c r="S9" i="28" s="1"/>
  <c r="S8" i="28" a="1"/>
  <c r="S8" i="28" s="1"/>
  <c r="S7" i="28" a="1"/>
  <c r="S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R3" i="28"/>
  <c r="N3" i="28"/>
  <c r="H3" i="28"/>
  <c r="C3" i="28"/>
  <c r="G37" i="17" l="1" a="1"/>
  <c r="G37" i="17" s="1"/>
  <c r="G38" i="17" a="1"/>
  <c r="G38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K34" i="20" l="1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K13" i="20"/>
  <c r="K12" i="20"/>
  <c r="K11" i="20"/>
  <c r="K10" i="20"/>
  <c r="I9" i="20"/>
  <c r="I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K9" i="20" l="1"/>
  <c r="L10" i="20"/>
  <c r="L9" i="20" s="1"/>
  <c r="J9" i="20"/>
  <c r="I33" i="20"/>
  <c r="I29" i="20"/>
  <c r="I17" i="20"/>
  <c r="I13" i="20"/>
  <c r="I25" i="20"/>
  <c r="I21" i="20"/>
  <c r="I32" i="20"/>
  <c r="I28" i="20"/>
  <c r="I24" i="20"/>
  <c r="I20" i="20"/>
  <c r="I16" i="20"/>
  <c r="I10" i="20"/>
  <c r="I31" i="20"/>
  <c r="I27" i="20"/>
  <c r="I23" i="20"/>
  <c r="I19" i="20"/>
  <c r="I15" i="20"/>
  <c r="I11" i="20"/>
  <c r="I12" i="20"/>
  <c r="I34" i="20"/>
  <c r="I30" i="20"/>
  <c r="I26" i="20"/>
  <c r="I22" i="20"/>
  <c r="I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J12" i="20" l="1"/>
  <c r="J16" i="20"/>
  <c r="J20" i="20"/>
  <c r="J24" i="20"/>
  <c r="J28" i="20"/>
  <c r="J32" i="20"/>
  <c r="J13" i="20"/>
  <c r="J17" i="20"/>
  <c r="J21" i="20"/>
  <c r="J25" i="20"/>
  <c r="J29" i="20"/>
  <c r="J33" i="20"/>
  <c r="J14" i="20"/>
  <c r="J10" i="20"/>
  <c r="J11" i="20"/>
  <c r="J15" i="20"/>
  <c r="J19" i="20"/>
  <c r="J23" i="20"/>
  <c r="J27" i="20"/>
  <c r="J31" i="20"/>
  <c r="J34" i="20"/>
  <c r="J18" i="20"/>
  <c r="J22" i="20"/>
  <c r="J26" i="20"/>
  <c r="J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A159" i="20" l="1"/>
  <c r="H159" i="20" s="1"/>
  <c r="K159" i="20"/>
  <c r="L159" i="20" s="1"/>
  <c r="I159" i="20" l="1"/>
  <c r="J159" i="20" s="1"/>
  <c r="N159" i="20" s="1"/>
  <c r="O159" i="20" s="1"/>
  <c r="A554" i="20" l="1"/>
  <c r="H554" i="20" s="1"/>
  <c r="A553" i="20"/>
  <c r="H553" i="20" s="1"/>
  <c r="A552" i="20"/>
  <c r="H552" i="20" s="1"/>
  <c r="A551" i="20"/>
  <c r="H551" i="20" s="1"/>
  <c r="A550" i="20"/>
  <c r="A549" i="20"/>
  <c r="I550" i="20" l="1"/>
  <c r="J550" i="20" s="1"/>
  <c r="I554" i="20"/>
  <c r="J554" i="20" s="1"/>
  <c r="K553" i="20"/>
  <c r="L553" i="20" s="1"/>
  <c r="K551" i="20"/>
  <c r="L551" i="20" s="1"/>
  <c r="K550" i="20"/>
  <c r="L550" i="20" s="1"/>
  <c r="I553" i="20"/>
  <c r="J553" i="20" s="1"/>
  <c r="K552" i="20"/>
  <c r="L552" i="20" s="1"/>
  <c r="H550" i="20"/>
  <c r="K554" i="20"/>
  <c r="L554" i="20" s="1"/>
  <c r="I552" i="20"/>
  <c r="J552" i="20" s="1"/>
  <c r="I551" i="20"/>
  <c r="J551" i="20" s="1"/>
  <c r="N554" i="20" l="1"/>
  <c r="N550" i="20"/>
  <c r="N553" i="20"/>
  <c r="N551" i="20"/>
  <c r="N552" i="20"/>
  <c r="A621" i="20"/>
  <c r="A620" i="20"/>
  <c r="A619" i="20"/>
  <c r="A618" i="20"/>
  <c r="H621" i="20" l="1"/>
  <c r="H620" i="20"/>
  <c r="H619" i="20"/>
  <c r="H618" i="20"/>
  <c r="O400" i="20" l="1"/>
  <c r="O309" i="20"/>
  <c r="N50" i="20"/>
  <c r="N10" i="20" l="1"/>
  <c r="M10" i="20"/>
  <c r="O10" i="20" l="1"/>
  <c r="N9" i="20"/>
  <c r="A67" i="20"/>
  <c r="A58" i="20"/>
  <c r="H58" i="20" s="1"/>
  <c r="A231" i="20" l="1"/>
  <c r="H231" i="20" s="1"/>
  <c r="A230" i="20"/>
  <c r="H230" i="20" s="1"/>
  <c r="A229" i="20"/>
  <c r="H229" i="20" s="1"/>
  <c r="A228" i="20"/>
  <c r="H228" i="20" s="1"/>
  <c r="A227" i="20"/>
  <c r="H227" i="20" s="1"/>
  <c r="A226" i="20"/>
  <c r="H226" i="20" s="1"/>
  <c r="A225" i="20"/>
  <c r="H225" i="20" s="1"/>
  <c r="K225" i="20" l="1"/>
  <c r="L225" i="20" s="1"/>
  <c r="I229" i="20"/>
  <c r="J229" i="20" s="1"/>
  <c r="K231" i="20"/>
  <c r="L231" i="20" s="1"/>
  <c r="K229" i="20"/>
  <c r="L229" i="20" s="1"/>
  <c r="K227" i="20"/>
  <c r="L227" i="20" s="1"/>
  <c r="K226" i="20"/>
  <c r="L226" i="20" s="1"/>
  <c r="I226" i="20"/>
  <c r="J226" i="20" s="1"/>
  <c r="K230" i="20"/>
  <c r="L230" i="20" s="1"/>
  <c r="I228" i="20"/>
  <c r="J228" i="20" s="1"/>
  <c r="K228" i="20"/>
  <c r="L228" i="20" s="1"/>
  <c r="I227" i="20"/>
  <c r="J227" i="20" s="1"/>
  <c r="I230" i="20"/>
  <c r="J230" i="20" s="1"/>
  <c r="I225" i="20"/>
  <c r="J225" i="20" s="1"/>
  <c r="I231" i="20"/>
  <c r="J231" i="20" s="1"/>
  <c r="N229" i="20" l="1"/>
  <c r="O229" i="20" s="1"/>
  <c r="N228" i="20"/>
  <c r="O228" i="20" s="1"/>
  <c r="N226" i="20"/>
  <c r="O226" i="20" s="1"/>
  <c r="N231" i="20"/>
  <c r="O231" i="20" s="1"/>
  <c r="N227" i="20"/>
  <c r="O227" i="20" s="1"/>
  <c r="N225" i="20"/>
  <c r="O225" i="20" s="1"/>
  <c r="N230" i="20"/>
  <c r="O230" i="20" s="1"/>
  <c r="A265" i="20"/>
  <c r="H265" i="20" s="1"/>
  <c r="A264" i="20"/>
  <c r="H264" i="20" s="1"/>
  <c r="K264" i="20" l="1"/>
  <c r="L264" i="20" s="1"/>
  <c r="I264" i="20"/>
  <c r="J264" i="20" s="1"/>
  <c r="K265" i="20"/>
  <c r="L265" i="20" s="1"/>
  <c r="I265" i="20"/>
  <c r="J265" i="20" s="1"/>
  <c r="N264" i="20" l="1"/>
  <c r="O264" i="20" s="1"/>
  <c r="N265" i="20"/>
  <c r="O265" i="20" s="1"/>
  <c r="A309" i="20" l="1"/>
  <c r="H309" i="20" s="1"/>
  <c r="K617" i="20" l="1"/>
  <c r="L617" i="20" s="1"/>
  <c r="K616" i="20"/>
  <c r="L616" i="20" s="1"/>
  <c r="K615" i="20"/>
  <c r="L615" i="20" s="1"/>
  <c r="K614" i="20"/>
  <c r="L614" i="20" s="1"/>
  <c r="K613" i="20"/>
  <c r="L613" i="20" s="1"/>
  <c r="K612" i="20"/>
  <c r="L612" i="20" s="1"/>
  <c r="K611" i="20"/>
  <c r="L611" i="20" s="1"/>
  <c r="K610" i="20"/>
  <c r="L610" i="20" s="1"/>
  <c r="K609" i="20"/>
  <c r="L609" i="20" s="1"/>
  <c r="K608" i="20"/>
  <c r="L608" i="20" s="1"/>
  <c r="K607" i="20"/>
  <c r="L607" i="20" s="1"/>
  <c r="K606" i="20"/>
  <c r="L606" i="20" s="1"/>
  <c r="K605" i="20"/>
  <c r="L605" i="20" s="1"/>
  <c r="K604" i="20"/>
  <c r="L604" i="20" s="1"/>
  <c r="K603" i="20"/>
  <c r="L603" i="20" s="1"/>
  <c r="K602" i="20"/>
  <c r="L602" i="20" s="1"/>
  <c r="K601" i="20"/>
  <c r="L601" i="20" s="1"/>
  <c r="K600" i="20"/>
  <c r="L600" i="20" s="1"/>
  <c r="K599" i="20"/>
  <c r="L599" i="20" s="1"/>
  <c r="K598" i="20"/>
  <c r="L598" i="20" s="1"/>
  <c r="K597" i="20"/>
  <c r="L597" i="20" s="1"/>
  <c r="K596" i="20"/>
  <c r="L596" i="20" s="1"/>
  <c r="K595" i="20"/>
  <c r="L595" i="20" s="1"/>
  <c r="K594" i="20"/>
  <c r="L594" i="20" s="1"/>
  <c r="K593" i="20"/>
  <c r="L593" i="20" s="1"/>
  <c r="K592" i="20"/>
  <c r="L592" i="20" s="1"/>
  <c r="K591" i="20"/>
  <c r="L591" i="20" s="1"/>
  <c r="K590" i="20"/>
  <c r="L590" i="20" s="1"/>
  <c r="K589" i="20"/>
  <c r="L589" i="20" s="1"/>
  <c r="K588" i="20"/>
  <c r="L588" i="20" s="1"/>
  <c r="K587" i="20"/>
  <c r="L587" i="20" s="1"/>
  <c r="K586" i="20"/>
  <c r="L586" i="20" s="1"/>
  <c r="K585" i="20"/>
  <c r="L585" i="20" s="1"/>
  <c r="K584" i="20"/>
  <c r="L584" i="20" s="1"/>
  <c r="K583" i="20"/>
  <c r="L583" i="20" s="1"/>
  <c r="K582" i="20"/>
  <c r="L582" i="20" s="1"/>
  <c r="K581" i="20"/>
  <c r="L581" i="20" s="1"/>
  <c r="K580" i="20"/>
  <c r="L580" i="20" s="1"/>
  <c r="K579" i="20"/>
  <c r="L579" i="20" s="1"/>
  <c r="K578" i="20"/>
  <c r="L578" i="20" s="1"/>
  <c r="K577" i="20"/>
  <c r="L577" i="20" s="1"/>
  <c r="K576" i="20"/>
  <c r="L576" i="20" s="1"/>
  <c r="K575" i="20"/>
  <c r="L575" i="20" s="1"/>
  <c r="K574" i="20"/>
  <c r="L574" i="20" s="1"/>
  <c r="K573" i="20"/>
  <c r="L573" i="20" s="1"/>
  <c r="K572" i="20"/>
  <c r="L572" i="20" s="1"/>
  <c r="K571" i="20"/>
  <c r="L571" i="20" s="1"/>
  <c r="K570" i="20"/>
  <c r="L570" i="20" s="1"/>
  <c r="K569" i="20"/>
  <c r="L569" i="20" s="1"/>
  <c r="K568" i="20"/>
  <c r="L568" i="20" s="1"/>
  <c r="K567" i="20"/>
  <c r="L567" i="20" s="1"/>
  <c r="K566" i="20"/>
  <c r="L566" i="20" s="1"/>
  <c r="K565" i="20"/>
  <c r="L565" i="20" s="1"/>
  <c r="K564" i="20"/>
  <c r="L564" i="20" s="1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622" i="20" l="1"/>
  <c r="I617" i="20"/>
  <c r="J617" i="20" s="1"/>
  <c r="N617" i="20" s="1"/>
  <c r="A617" i="20"/>
  <c r="H617" i="20" s="1"/>
  <c r="I616" i="20"/>
  <c r="J616" i="20" s="1"/>
  <c r="N616" i="20" s="1"/>
  <c r="A616" i="20"/>
  <c r="H616" i="20" s="1"/>
  <c r="I615" i="20"/>
  <c r="J615" i="20" s="1"/>
  <c r="N615" i="20" s="1"/>
  <c r="A615" i="20"/>
  <c r="H615" i="20" s="1"/>
  <c r="I614" i="20"/>
  <c r="J614" i="20" s="1"/>
  <c r="N614" i="20" s="1"/>
  <c r="A614" i="20"/>
  <c r="H614" i="20" s="1"/>
  <c r="I613" i="20"/>
  <c r="J613" i="20" s="1"/>
  <c r="N613" i="20" s="1"/>
  <c r="A613" i="20"/>
  <c r="H613" i="20" s="1"/>
  <c r="I612" i="20"/>
  <c r="J612" i="20" s="1"/>
  <c r="N612" i="20" s="1"/>
  <c r="A612" i="20"/>
  <c r="H612" i="20" s="1"/>
  <c r="I611" i="20"/>
  <c r="J611" i="20" s="1"/>
  <c r="N611" i="20" s="1"/>
  <c r="A611" i="20"/>
  <c r="H611" i="20" s="1"/>
  <c r="I610" i="20"/>
  <c r="J610" i="20" s="1"/>
  <c r="N610" i="20" s="1"/>
  <c r="A610" i="20"/>
  <c r="H610" i="20" s="1"/>
  <c r="I609" i="20"/>
  <c r="J609" i="20" s="1"/>
  <c r="N609" i="20" s="1"/>
  <c r="A609" i="20"/>
  <c r="H609" i="20" s="1"/>
  <c r="I608" i="20"/>
  <c r="J608" i="20" s="1"/>
  <c r="N608" i="20" s="1"/>
  <c r="A608" i="20"/>
  <c r="H608" i="20" s="1"/>
  <c r="I607" i="20"/>
  <c r="J607" i="20" s="1"/>
  <c r="N607" i="20" s="1"/>
  <c r="A607" i="20"/>
  <c r="H607" i="20" s="1"/>
  <c r="I606" i="20"/>
  <c r="J606" i="20" s="1"/>
  <c r="N606" i="20" s="1"/>
  <c r="A606" i="20"/>
  <c r="H606" i="20" s="1"/>
  <c r="I605" i="20"/>
  <c r="J605" i="20" s="1"/>
  <c r="N605" i="20" s="1"/>
  <c r="A605" i="20"/>
  <c r="H605" i="20" s="1"/>
  <c r="I604" i="20"/>
  <c r="J604" i="20" s="1"/>
  <c r="N604" i="20" s="1"/>
  <c r="A604" i="20"/>
  <c r="H604" i="20" s="1"/>
  <c r="I603" i="20"/>
  <c r="J603" i="20" s="1"/>
  <c r="N603" i="20" s="1"/>
  <c r="A603" i="20"/>
  <c r="H603" i="20" s="1"/>
  <c r="I602" i="20"/>
  <c r="J602" i="20" s="1"/>
  <c r="N602" i="20" s="1"/>
  <c r="A602" i="20"/>
  <c r="H602" i="20" s="1"/>
  <c r="I601" i="20"/>
  <c r="J601" i="20" s="1"/>
  <c r="N601" i="20" s="1"/>
  <c r="A601" i="20"/>
  <c r="H601" i="20" s="1"/>
  <c r="I600" i="20"/>
  <c r="J600" i="20" s="1"/>
  <c r="N600" i="20" s="1"/>
  <c r="A600" i="20"/>
  <c r="H600" i="20" s="1"/>
  <c r="I599" i="20"/>
  <c r="J599" i="20" s="1"/>
  <c r="N599" i="20" s="1"/>
  <c r="A599" i="20"/>
  <c r="H599" i="20" s="1"/>
  <c r="I598" i="20"/>
  <c r="J598" i="20" s="1"/>
  <c r="N598" i="20" s="1"/>
  <c r="A598" i="20"/>
  <c r="H598" i="20" s="1"/>
  <c r="I597" i="20"/>
  <c r="J597" i="20" s="1"/>
  <c r="N597" i="20" s="1"/>
  <c r="A597" i="20"/>
  <c r="H597" i="20" s="1"/>
  <c r="I596" i="20"/>
  <c r="J596" i="20" s="1"/>
  <c r="N596" i="20" s="1"/>
  <c r="A596" i="20"/>
  <c r="H596" i="20" s="1"/>
  <c r="I595" i="20"/>
  <c r="J595" i="20" s="1"/>
  <c r="N595" i="20" s="1"/>
  <c r="A595" i="20"/>
  <c r="H595" i="20" s="1"/>
  <c r="I594" i="20"/>
  <c r="J594" i="20" s="1"/>
  <c r="N594" i="20" s="1"/>
  <c r="A594" i="20"/>
  <c r="H594" i="20" s="1"/>
  <c r="I593" i="20"/>
  <c r="J593" i="20" s="1"/>
  <c r="N593" i="20" s="1"/>
  <c r="A593" i="20"/>
  <c r="H593" i="20" s="1"/>
  <c r="I592" i="20"/>
  <c r="J592" i="20" s="1"/>
  <c r="N592" i="20" s="1"/>
  <c r="A592" i="20"/>
  <c r="H592" i="20" s="1"/>
  <c r="I591" i="20"/>
  <c r="J591" i="20" s="1"/>
  <c r="N591" i="20" s="1"/>
  <c r="A591" i="20"/>
  <c r="H591" i="20" s="1"/>
  <c r="I590" i="20"/>
  <c r="J590" i="20" s="1"/>
  <c r="N590" i="20" s="1"/>
  <c r="A590" i="20"/>
  <c r="H590" i="20" s="1"/>
  <c r="I589" i="20"/>
  <c r="J589" i="20" s="1"/>
  <c r="N589" i="20" s="1"/>
  <c r="A589" i="20"/>
  <c r="H589" i="20" s="1"/>
  <c r="I588" i="20"/>
  <c r="J588" i="20" s="1"/>
  <c r="N588" i="20" s="1"/>
  <c r="A588" i="20"/>
  <c r="H588" i="20" s="1"/>
  <c r="I587" i="20"/>
  <c r="J587" i="20" s="1"/>
  <c r="N587" i="20" s="1"/>
  <c r="A587" i="20"/>
  <c r="H587" i="20" s="1"/>
  <c r="I586" i="20"/>
  <c r="J586" i="20" s="1"/>
  <c r="N586" i="20" s="1"/>
  <c r="A586" i="20"/>
  <c r="H586" i="20" s="1"/>
  <c r="I585" i="20"/>
  <c r="J585" i="20" s="1"/>
  <c r="N585" i="20" s="1"/>
  <c r="A585" i="20"/>
  <c r="H585" i="20" s="1"/>
  <c r="I584" i="20"/>
  <c r="J584" i="20" s="1"/>
  <c r="N584" i="20" s="1"/>
  <c r="A584" i="20"/>
  <c r="H584" i="20" s="1"/>
  <c r="I583" i="20"/>
  <c r="J583" i="20" s="1"/>
  <c r="N583" i="20" s="1"/>
  <c r="A583" i="20"/>
  <c r="H583" i="20" s="1"/>
  <c r="I582" i="20"/>
  <c r="J582" i="20" s="1"/>
  <c r="N582" i="20" s="1"/>
  <c r="A582" i="20"/>
  <c r="H582" i="20" s="1"/>
  <c r="I581" i="20"/>
  <c r="J581" i="20" s="1"/>
  <c r="N581" i="20" s="1"/>
  <c r="A581" i="20"/>
  <c r="H581" i="20" s="1"/>
  <c r="I580" i="20"/>
  <c r="J580" i="20" s="1"/>
  <c r="N580" i="20" s="1"/>
  <c r="A580" i="20"/>
  <c r="H580" i="20" s="1"/>
  <c r="I579" i="20"/>
  <c r="J579" i="20" s="1"/>
  <c r="N579" i="20" s="1"/>
  <c r="A579" i="20"/>
  <c r="H579" i="20" s="1"/>
  <c r="I578" i="20"/>
  <c r="J578" i="20" s="1"/>
  <c r="N578" i="20" s="1"/>
  <c r="A578" i="20"/>
  <c r="H578" i="20" s="1"/>
  <c r="I577" i="20"/>
  <c r="J577" i="20" s="1"/>
  <c r="N577" i="20" s="1"/>
  <c r="A577" i="20"/>
  <c r="H577" i="20" s="1"/>
  <c r="I576" i="20"/>
  <c r="J576" i="20" s="1"/>
  <c r="N576" i="20" s="1"/>
  <c r="A576" i="20"/>
  <c r="H576" i="20" s="1"/>
  <c r="I575" i="20"/>
  <c r="J575" i="20" s="1"/>
  <c r="N575" i="20" s="1"/>
  <c r="A575" i="20"/>
  <c r="H575" i="20" s="1"/>
  <c r="I574" i="20"/>
  <c r="J574" i="20" s="1"/>
  <c r="N574" i="20" s="1"/>
  <c r="A574" i="20"/>
  <c r="H574" i="20" s="1"/>
  <c r="I573" i="20"/>
  <c r="J573" i="20" s="1"/>
  <c r="N573" i="20" s="1"/>
  <c r="A573" i="20"/>
  <c r="H573" i="20" s="1"/>
  <c r="I572" i="20"/>
  <c r="J572" i="20" s="1"/>
  <c r="N572" i="20" s="1"/>
  <c r="A572" i="20"/>
  <c r="H572" i="20" s="1"/>
  <c r="I571" i="20"/>
  <c r="J571" i="20" s="1"/>
  <c r="N571" i="20" s="1"/>
  <c r="A571" i="20"/>
  <c r="H571" i="20" s="1"/>
  <c r="I570" i="20"/>
  <c r="J570" i="20" s="1"/>
  <c r="N570" i="20" s="1"/>
  <c r="A570" i="20"/>
  <c r="H570" i="20" s="1"/>
  <c r="I569" i="20"/>
  <c r="J569" i="20" s="1"/>
  <c r="N569" i="20" s="1"/>
  <c r="A569" i="20"/>
  <c r="H569" i="20" s="1"/>
  <c r="I568" i="20"/>
  <c r="J568" i="20" s="1"/>
  <c r="N568" i="20" s="1"/>
  <c r="A568" i="20"/>
  <c r="H568" i="20" s="1"/>
  <c r="I567" i="20"/>
  <c r="J567" i="20" s="1"/>
  <c r="N567" i="20" s="1"/>
  <c r="A567" i="20"/>
  <c r="H567" i="20" s="1"/>
  <c r="I566" i="20"/>
  <c r="J566" i="20" s="1"/>
  <c r="N566" i="20" s="1"/>
  <c r="A566" i="20"/>
  <c r="H566" i="20" s="1"/>
  <c r="I565" i="20"/>
  <c r="J565" i="20" s="1"/>
  <c r="N565" i="20" s="1"/>
  <c r="A565" i="20"/>
  <c r="H565" i="20" s="1"/>
  <c r="I564" i="20"/>
  <c r="J564" i="20" s="1"/>
  <c r="N564" i="20" s="1"/>
  <c r="A564" i="20"/>
  <c r="H564" i="20" s="1"/>
  <c r="A563" i="20"/>
  <c r="H563" i="20" s="1"/>
  <c r="A562" i="20"/>
  <c r="H562" i="20" s="1"/>
  <c r="A561" i="20"/>
  <c r="H561" i="20" s="1"/>
  <c r="A560" i="20"/>
  <c r="H560" i="20" s="1"/>
  <c r="A559" i="20"/>
  <c r="H559" i="20" s="1"/>
  <c r="A558" i="20"/>
  <c r="H558" i="20" s="1"/>
  <c r="A557" i="20"/>
  <c r="H557" i="20" s="1"/>
  <c r="A556" i="20"/>
  <c r="H556" i="20" s="1"/>
  <c r="A555" i="20"/>
  <c r="H555" i="20" s="1"/>
  <c r="H549" i="20"/>
  <c r="A548" i="20"/>
  <c r="H548" i="20" s="1"/>
  <c r="A547" i="20"/>
  <c r="H547" i="20" s="1"/>
  <c r="A546" i="20"/>
  <c r="H546" i="20" s="1"/>
  <c r="A545" i="20"/>
  <c r="H545" i="20" s="1"/>
  <c r="A544" i="20"/>
  <c r="H544" i="20" s="1"/>
  <c r="A543" i="20"/>
  <c r="H543" i="20" s="1"/>
  <c r="A542" i="20"/>
  <c r="H542" i="20" s="1"/>
  <c r="A541" i="20"/>
  <c r="H541" i="20" s="1"/>
  <c r="A540" i="20"/>
  <c r="H540" i="20" s="1"/>
  <c r="A539" i="20"/>
  <c r="H539" i="20" s="1"/>
  <c r="A538" i="20"/>
  <c r="H538" i="20" s="1"/>
  <c r="A537" i="20"/>
  <c r="H537" i="20" s="1"/>
  <c r="A536" i="20"/>
  <c r="H536" i="20" s="1"/>
  <c r="A535" i="20"/>
  <c r="H535" i="20" s="1"/>
  <c r="A534" i="20"/>
  <c r="H534" i="20" s="1"/>
  <c r="A533" i="20"/>
  <c r="H533" i="20" s="1"/>
  <c r="A532" i="20"/>
  <c r="H532" i="20" s="1"/>
  <c r="A531" i="20"/>
  <c r="H531" i="20" s="1"/>
  <c r="A530" i="20"/>
  <c r="H530" i="20" s="1"/>
  <c r="A529" i="20"/>
  <c r="H529" i="20" s="1"/>
  <c r="A528" i="20"/>
  <c r="H528" i="20" s="1"/>
  <c r="A527" i="20"/>
  <c r="H527" i="20" s="1"/>
  <c r="A526" i="20"/>
  <c r="H526" i="20" s="1"/>
  <c r="A525" i="20"/>
  <c r="H525" i="20" s="1"/>
  <c r="A524" i="20"/>
  <c r="H524" i="20" s="1"/>
  <c r="A523" i="20"/>
  <c r="H523" i="20" s="1"/>
  <c r="A522" i="20"/>
  <c r="H522" i="20" s="1"/>
  <c r="A521" i="20"/>
  <c r="H521" i="20" s="1"/>
  <c r="A520" i="20"/>
  <c r="H520" i="20" s="1"/>
  <c r="A519" i="20"/>
  <c r="H519" i="20" s="1"/>
  <c r="A518" i="20"/>
  <c r="H518" i="20" s="1"/>
  <c r="A517" i="20"/>
  <c r="H517" i="20" s="1"/>
  <c r="A516" i="20"/>
  <c r="H516" i="20" s="1"/>
  <c r="A515" i="20"/>
  <c r="H515" i="20" s="1"/>
  <c r="A514" i="20"/>
  <c r="H514" i="20" s="1"/>
  <c r="A513" i="20"/>
  <c r="H513" i="20" s="1"/>
  <c r="A512" i="20"/>
  <c r="H512" i="20" s="1"/>
  <c r="A511" i="20"/>
  <c r="H511" i="20" s="1"/>
  <c r="A510" i="20"/>
  <c r="H510" i="20" s="1"/>
  <c r="A509" i="20"/>
  <c r="H509" i="20" s="1"/>
  <c r="A508" i="20"/>
  <c r="H508" i="20" s="1"/>
  <c r="A507" i="20"/>
  <c r="H507" i="20" s="1"/>
  <c r="A506" i="20"/>
  <c r="H506" i="20" s="1"/>
  <c r="A505" i="20"/>
  <c r="H505" i="20" s="1"/>
  <c r="A504" i="20"/>
  <c r="H504" i="20" s="1"/>
  <c r="A503" i="20"/>
  <c r="H503" i="20" s="1"/>
  <c r="A502" i="20"/>
  <c r="H502" i="20" s="1"/>
  <c r="A501" i="20"/>
  <c r="H501" i="20" s="1"/>
  <c r="A500" i="20"/>
  <c r="H500" i="20" s="1"/>
  <c r="A499" i="20"/>
  <c r="H499" i="20" s="1"/>
  <c r="A498" i="20"/>
  <c r="H498" i="20" s="1"/>
  <c r="A497" i="20"/>
  <c r="H497" i="20" s="1"/>
  <c r="A496" i="20"/>
  <c r="H496" i="20" s="1"/>
  <c r="A495" i="20"/>
  <c r="H495" i="20" s="1"/>
  <c r="A494" i="20"/>
  <c r="H494" i="20" s="1"/>
  <c r="A493" i="20"/>
  <c r="H493" i="20" s="1"/>
  <c r="A492" i="20"/>
  <c r="H492" i="20" s="1"/>
  <c r="A491" i="20"/>
  <c r="H491" i="20" s="1"/>
  <c r="A490" i="20"/>
  <c r="H490" i="20" s="1"/>
  <c r="A489" i="20"/>
  <c r="H489" i="20" s="1"/>
  <c r="A488" i="20"/>
  <c r="H488" i="20" s="1"/>
  <c r="A487" i="20"/>
  <c r="H487" i="20" s="1"/>
  <c r="A486" i="20"/>
  <c r="A485" i="20"/>
  <c r="A484" i="20"/>
  <c r="H484" i="20" s="1"/>
  <c r="A483" i="20"/>
  <c r="H483" i="20" s="1"/>
  <c r="A482" i="20"/>
  <c r="H482" i="20" s="1"/>
  <c r="A481" i="20"/>
  <c r="H481" i="20" s="1"/>
  <c r="A480" i="20"/>
  <c r="H480" i="20" s="1"/>
  <c r="A479" i="20"/>
  <c r="H479" i="20" s="1"/>
  <c r="A478" i="20"/>
  <c r="H478" i="20" s="1"/>
  <c r="A477" i="20"/>
  <c r="H477" i="20" s="1"/>
  <c r="A476" i="20"/>
  <c r="H476" i="20" s="1"/>
  <c r="A475" i="20"/>
  <c r="H475" i="20" s="1"/>
  <c r="A474" i="20"/>
  <c r="H474" i="20" s="1"/>
  <c r="A473" i="20"/>
  <c r="H473" i="20" s="1"/>
  <c r="A472" i="20"/>
  <c r="H472" i="20" s="1"/>
  <c r="A471" i="20"/>
  <c r="H471" i="20" s="1"/>
  <c r="A470" i="20"/>
  <c r="H470" i="20" s="1"/>
  <c r="A469" i="20"/>
  <c r="H469" i="20" s="1"/>
  <c r="A468" i="20"/>
  <c r="H468" i="20" s="1"/>
  <c r="A467" i="20"/>
  <c r="H467" i="20" s="1"/>
  <c r="A466" i="20"/>
  <c r="H466" i="20" s="1"/>
  <c r="A465" i="20"/>
  <c r="H465" i="20" s="1"/>
  <c r="A464" i="20"/>
  <c r="H464" i="20" s="1"/>
  <c r="A463" i="20"/>
  <c r="H463" i="20" s="1"/>
  <c r="A462" i="20"/>
  <c r="H462" i="20" s="1"/>
  <c r="A461" i="20"/>
  <c r="H461" i="20" s="1"/>
  <c r="A460" i="20"/>
  <c r="H460" i="20" s="1"/>
  <c r="A459" i="20"/>
  <c r="H459" i="20" s="1"/>
  <c r="A458" i="20"/>
  <c r="H458" i="20" s="1"/>
  <c r="A457" i="20"/>
  <c r="H457" i="20" s="1"/>
  <c r="A456" i="20"/>
  <c r="H456" i="20" s="1"/>
  <c r="A455" i="20"/>
  <c r="H455" i="20" s="1"/>
  <c r="A454" i="20"/>
  <c r="H454" i="20" s="1"/>
  <c r="A453" i="20"/>
  <c r="H453" i="20" s="1"/>
  <c r="A452" i="20"/>
  <c r="H452" i="20" s="1"/>
  <c r="A451" i="20"/>
  <c r="H451" i="20" s="1"/>
  <c r="A450" i="20"/>
  <c r="H450" i="20" s="1"/>
  <c r="A449" i="20"/>
  <c r="H449" i="20" s="1"/>
  <c r="A448" i="20"/>
  <c r="H448" i="20" s="1"/>
  <c r="A447" i="20"/>
  <c r="H447" i="20" s="1"/>
  <c r="A446" i="20"/>
  <c r="H446" i="20" s="1"/>
  <c r="A445" i="20"/>
  <c r="H445" i="20" s="1"/>
  <c r="A444" i="20"/>
  <c r="H444" i="20" s="1"/>
  <c r="A443" i="20"/>
  <c r="H443" i="20" s="1"/>
  <c r="A442" i="20"/>
  <c r="H442" i="20" s="1"/>
  <c r="A441" i="20"/>
  <c r="H441" i="20" s="1"/>
  <c r="A440" i="20"/>
  <c r="H440" i="20" s="1"/>
  <c r="A439" i="20"/>
  <c r="H439" i="20" s="1"/>
  <c r="A438" i="20"/>
  <c r="H438" i="20" s="1"/>
  <c r="A437" i="20"/>
  <c r="H437" i="20" s="1"/>
  <c r="A436" i="20"/>
  <c r="H436" i="20" s="1"/>
  <c r="A435" i="20"/>
  <c r="H435" i="20" s="1"/>
  <c r="A434" i="20"/>
  <c r="H434" i="20" s="1"/>
  <c r="A433" i="20"/>
  <c r="H433" i="20" s="1"/>
  <c r="A432" i="20"/>
  <c r="H432" i="20" s="1"/>
  <c r="A431" i="20"/>
  <c r="H431" i="20" s="1"/>
  <c r="A430" i="20"/>
  <c r="H430" i="20" s="1"/>
  <c r="A429" i="20"/>
  <c r="H429" i="20" s="1"/>
  <c r="A428" i="20"/>
  <c r="H428" i="20" s="1"/>
  <c r="A427" i="20"/>
  <c r="H427" i="20" s="1"/>
  <c r="A426" i="20"/>
  <c r="H426" i="20" s="1"/>
  <c r="A425" i="20"/>
  <c r="H425" i="20" s="1"/>
  <c r="A424" i="20"/>
  <c r="H424" i="20" s="1"/>
  <c r="A423" i="20"/>
  <c r="H423" i="20" s="1"/>
  <c r="A422" i="20"/>
  <c r="H422" i="20" s="1"/>
  <c r="A421" i="20"/>
  <c r="H421" i="20" s="1"/>
  <c r="A420" i="20"/>
  <c r="H420" i="20" s="1"/>
  <c r="A419" i="20"/>
  <c r="H419" i="20" s="1"/>
  <c r="A418" i="20"/>
  <c r="H418" i="20" s="1"/>
  <c r="A417" i="20"/>
  <c r="H417" i="20" s="1"/>
  <c r="A416" i="20"/>
  <c r="H416" i="20" s="1"/>
  <c r="A415" i="20"/>
  <c r="H415" i="20" s="1"/>
  <c r="A414" i="20"/>
  <c r="H414" i="20" s="1"/>
  <c r="A413" i="20"/>
  <c r="H413" i="20" s="1"/>
  <c r="A412" i="20"/>
  <c r="H412" i="20" s="1"/>
  <c r="A411" i="20"/>
  <c r="H411" i="20" s="1"/>
  <c r="A410" i="20"/>
  <c r="H410" i="20" s="1"/>
  <c r="A409" i="20"/>
  <c r="H409" i="20" s="1"/>
  <c r="A408" i="20"/>
  <c r="H408" i="20" s="1"/>
  <c r="A407" i="20"/>
  <c r="H407" i="20" s="1"/>
  <c r="A406" i="20"/>
  <c r="H406" i="20" s="1"/>
  <c r="A405" i="20"/>
  <c r="H405" i="20" s="1"/>
  <c r="A404" i="20"/>
  <c r="H404" i="20" s="1"/>
  <c r="A403" i="20"/>
  <c r="H403" i="20" s="1"/>
  <c r="A402" i="20"/>
  <c r="H402" i="20" s="1"/>
  <c r="A401" i="20"/>
  <c r="I400" i="20"/>
  <c r="A400" i="20"/>
  <c r="A399" i="20"/>
  <c r="H399" i="20" s="1"/>
  <c r="A398" i="20"/>
  <c r="H398" i="20" s="1"/>
  <c r="A397" i="20"/>
  <c r="H397" i="20" s="1"/>
  <c r="A396" i="20"/>
  <c r="H396" i="20" s="1"/>
  <c r="A395" i="20"/>
  <c r="H395" i="20" s="1"/>
  <c r="A394" i="20"/>
  <c r="H394" i="20" s="1"/>
  <c r="A393" i="20"/>
  <c r="H393" i="20" s="1"/>
  <c r="A392" i="20"/>
  <c r="H392" i="20" s="1"/>
  <c r="A391" i="20"/>
  <c r="H391" i="20" s="1"/>
  <c r="A390" i="20"/>
  <c r="H390" i="20" s="1"/>
  <c r="A389" i="20"/>
  <c r="H389" i="20" s="1"/>
  <c r="A388" i="20"/>
  <c r="H388" i="20" s="1"/>
  <c r="A387" i="20"/>
  <c r="H387" i="20" s="1"/>
  <c r="A386" i="20"/>
  <c r="H386" i="20" s="1"/>
  <c r="A385" i="20"/>
  <c r="H385" i="20" s="1"/>
  <c r="A384" i="20"/>
  <c r="H384" i="20" s="1"/>
  <c r="A383" i="20"/>
  <c r="H383" i="20" s="1"/>
  <c r="A382" i="20"/>
  <c r="H382" i="20" s="1"/>
  <c r="A381" i="20"/>
  <c r="H381" i="20" s="1"/>
  <c r="A380" i="20"/>
  <c r="H380" i="20" s="1"/>
  <c r="A379" i="20"/>
  <c r="H379" i="20" s="1"/>
  <c r="A378" i="20"/>
  <c r="H378" i="20" s="1"/>
  <c r="A377" i="20"/>
  <c r="H377" i="20" s="1"/>
  <c r="A376" i="20"/>
  <c r="H376" i="20" s="1"/>
  <c r="A375" i="20"/>
  <c r="H375" i="20" s="1"/>
  <c r="A374" i="20"/>
  <c r="H374" i="20" s="1"/>
  <c r="A373" i="20"/>
  <c r="H373" i="20" s="1"/>
  <c r="A372" i="20"/>
  <c r="H372" i="20" s="1"/>
  <c r="A371" i="20"/>
  <c r="H371" i="20" s="1"/>
  <c r="A370" i="20"/>
  <c r="H370" i="20" s="1"/>
  <c r="A369" i="20"/>
  <c r="H369" i="20" s="1"/>
  <c r="A368" i="20"/>
  <c r="H368" i="20" s="1"/>
  <c r="A367" i="20"/>
  <c r="H367" i="20" s="1"/>
  <c r="A366" i="20"/>
  <c r="H366" i="20" s="1"/>
  <c r="A365" i="20"/>
  <c r="H365" i="20" s="1"/>
  <c r="A364" i="20"/>
  <c r="H364" i="20" s="1"/>
  <c r="A363" i="20"/>
  <c r="H363" i="20" s="1"/>
  <c r="A362" i="20"/>
  <c r="H362" i="20" s="1"/>
  <c r="A361" i="20"/>
  <c r="H361" i="20" s="1"/>
  <c r="A360" i="20"/>
  <c r="H360" i="20" s="1"/>
  <c r="A359" i="20"/>
  <c r="H359" i="20" s="1"/>
  <c r="A358" i="20"/>
  <c r="H358" i="20" s="1"/>
  <c r="A357" i="20"/>
  <c r="H357" i="20" s="1"/>
  <c r="A356" i="20"/>
  <c r="H356" i="20" s="1"/>
  <c r="A355" i="20"/>
  <c r="H355" i="20" s="1"/>
  <c r="A354" i="20"/>
  <c r="H354" i="20" s="1"/>
  <c r="A353" i="20"/>
  <c r="H353" i="20" s="1"/>
  <c r="A352" i="20"/>
  <c r="H352" i="20" s="1"/>
  <c r="A351" i="20"/>
  <c r="H351" i="20" s="1"/>
  <c r="A350" i="20"/>
  <c r="H350" i="20" s="1"/>
  <c r="A349" i="20"/>
  <c r="H349" i="20" s="1"/>
  <c r="A348" i="20"/>
  <c r="H348" i="20" s="1"/>
  <c r="A347" i="20"/>
  <c r="H347" i="20" s="1"/>
  <c r="A346" i="20"/>
  <c r="H346" i="20" s="1"/>
  <c r="A345" i="20"/>
  <c r="H345" i="20" s="1"/>
  <c r="A344" i="20"/>
  <c r="H344" i="20" s="1"/>
  <c r="A343" i="20"/>
  <c r="H343" i="20" s="1"/>
  <c r="A342" i="20"/>
  <c r="H342" i="20" s="1"/>
  <c r="A341" i="20"/>
  <c r="H341" i="20" s="1"/>
  <c r="A340" i="20"/>
  <c r="H340" i="20" s="1"/>
  <c r="A339" i="20"/>
  <c r="H339" i="20" s="1"/>
  <c r="A338" i="20"/>
  <c r="H338" i="20" s="1"/>
  <c r="A337" i="20"/>
  <c r="H337" i="20" s="1"/>
  <c r="A336" i="20"/>
  <c r="H336" i="20" s="1"/>
  <c r="A335" i="20"/>
  <c r="H335" i="20" s="1"/>
  <c r="A334" i="20"/>
  <c r="H334" i="20" s="1"/>
  <c r="A333" i="20"/>
  <c r="H333" i="20" s="1"/>
  <c r="A332" i="20"/>
  <c r="H332" i="20" s="1"/>
  <c r="A331" i="20"/>
  <c r="H331" i="20" s="1"/>
  <c r="A330" i="20"/>
  <c r="H330" i="20" s="1"/>
  <c r="A329" i="20"/>
  <c r="H329" i="20" s="1"/>
  <c r="A328" i="20"/>
  <c r="H328" i="20" s="1"/>
  <c r="A327" i="20"/>
  <c r="H327" i="20" s="1"/>
  <c r="A326" i="20"/>
  <c r="H326" i="20" s="1"/>
  <c r="A325" i="20"/>
  <c r="H325" i="20" s="1"/>
  <c r="A324" i="20"/>
  <c r="H324" i="20" s="1"/>
  <c r="A323" i="20"/>
  <c r="H323" i="20" s="1"/>
  <c r="A322" i="20"/>
  <c r="H322" i="20" s="1"/>
  <c r="A321" i="20"/>
  <c r="H321" i="20" s="1"/>
  <c r="A320" i="20"/>
  <c r="H320" i="20" s="1"/>
  <c r="A319" i="20"/>
  <c r="H319" i="20" s="1"/>
  <c r="A318" i="20"/>
  <c r="H318" i="20" s="1"/>
  <c r="A317" i="20"/>
  <c r="H317" i="20" s="1"/>
  <c r="A316" i="20"/>
  <c r="H316" i="20" s="1"/>
  <c r="A315" i="20"/>
  <c r="H315" i="20" s="1"/>
  <c r="A314" i="20"/>
  <c r="H314" i="20" s="1"/>
  <c r="A313" i="20"/>
  <c r="H313" i="20" s="1"/>
  <c r="A312" i="20"/>
  <c r="H312" i="20" s="1"/>
  <c r="A311" i="20"/>
  <c r="H311" i="20" s="1"/>
  <c r="A310" i="20"/>
  <c r="H310" i="20" s="1"/>
  <c r="A308" i="20"/>
  <c r="H308" i="20" s="1"/>
  <c r="A307" i="20"/>
  <c r="H307" i="20" s="1"/>
  <c r="A306" i="20"/>
  <c r="H306" i="20" s="1"/>
  <c r="A305" i="20"/>
  <c r="H305" i="20" s="1"/>
  <c r="A304" i="20"/>
  <c r="H304" i="20" s="1"/>
  <c r="A303" i="20"/>
  <c r="H303" i="20" s="1"/>
  <c r="A302" i="20"/>
  <c r="H302" i="20" s="1"/>
  <c r="A301" i="20"/>
  <c r="H301" i="20" s="1"/>
  <c r="A300" i="20"/>
  <c r="H300" i="20" s="1"/>
  <c r="A299" i="20"/>
  <c r="H299" i="20" s="1"/>
  <c r="A298" i="20"/>
  <c r="H298" i="20" s="1"/>
  <c r="A297" i="20"/>
  <c r="H297" i="20" s="1"/>
  <c r="A296" i="20"/>
  <c r="H296" i="20" s="1"/>
  <c r="A295" i="20"/>
  <c r="H295" i="20" s="1"/>
  <c r="A294" i="20"/>
  <c r="H294" i="20" s="1"/>
  <c r="A293" i="20"/>
  <c r="H293" i="20" s="1"/>
  <c r="A292" i="20"/>
  <c r="H292" i="20" s="1"/>
  <c r="A291" i="20"/>
  <c r="H291" i="20" s="1"/>
  <c r="A290" i="20"/>
  <c r="H290" i="20" s="1"/>
  <c r="A289" i="20"/>
  <c r="H289" i="20" s="1"/>
  <c r="A288" i="20"/>
  <c r="H288" i="20" s="1"/>
  <c r="A287" i="20"/>
  <c r="H287" i="20" s="1"/>
  <c r="A286" i="20"/>
  <c r="H286" i="20" s="1"/>
  <c r="A285" i="20"/>
  <c r="H285" i="20" s="1"/>
  <c r="A284" i="20"/>
  <c r="H284" i="20" s="1"/>
  <c r="A283" i="20"/>
  <c r="H283" i="20" s="1"/>
  <c r="A282" i="20"/>
  <c r="H282" i="20" s="1"/>
  <c r="A281" i="20"/>
  <c r="H281" i="20" s="1"/>
  <c r="A280" i="20"/>
  <c r="H280" i="20" s="1"/>
  <c r="A279" i="20"/>
  <c r="H279" i="20" s="1"/>
  <c r="A278" i="20"/>
  <c r="H278" i="20" s="1"/>
  <c r="A277" i="20"/>
  <c r="H277" i="20" s="1"/>
  <c r="A276" i="20"/>
  <c r="H276" i="20" s="1"/>
  <c r="A275" i="20"/>
  <c r="H275" i="20" s="1"/>
  <c r="A274" i="20"/>
  <c r="H274" i="20" s="1"/>
  <c r="A273" i="20"/>
  <c r="H273" i="20" s="1"/>
  <c r="A272" i="20"/>
  <c r="H272" i="20" s="1"/>
  <c r="A271" i="20"/>
  <c r="H271" i="20" s="1"/>
  <c r="A270" i="20"/>
  <c r="H270" i="20" s="1"/>
  <c r="A269" i="20"/>
  <c r="H269" i="20" s="1"/>
  <c r="A268" i="20"/>
  <c r="H268" i="20" s="1"/>
  <c r="A267" i="20"/>
  <c r="H267" i="20" s="1"/>
  <c r="A266" i="20"/>
  <c r="H266" i="20" s="1"/>
  <c r="A263" i="20"/>
  <c r="H263" i="20" s="1"/>
  <c r="A262" i="20"/>
  <c r="H262" i="20" s="1"/>
  <c r="A261" i="20"/>
  <c r="H261" i="20" s="1"/>
  <c r="A260" i="20"/>
  <c r="H260" i="20" s="1"/>
  <c r="A259" i="20"/>
  <c r="H259" i="20" s="1"/>
  <c r="A258" i="20"/>
  <c r="H258" i="20" s="1"/>
  <c r="A257" i="20"/>
  <c r="H257" i="20" s="1"/>
  <c r="A256" i="20"/>
  <c r="H256" i="20" s="1"/>
  <c r="A255" i="20"/>
  <c r="H255" i="20" s="1"/>
  <c r="A254" i="20"/>
  <c r="H254" i="20" s="1"/>
  <c r="A253" i="20"/>
  <c r="H253" i="20" s="1"/>
  <c r="A252" i="20"/>
  <c r="H252" i="20" s="1"/>
  <c r="A251" i="20"/>
  <c r="H251" i="20" s="1"/>
  <c r="A250" i="20"/>
  <c r="H250" i="20" s="1"/>
  <c r="A249" i="20"/>
  <c r="H249" i="20" s="1"/>
  <c r="A248" i="20"/>
  <c r="H248" i="20" s="1"/>
  <c r="A247" i="20"/>
  <c r="H247" i="20" s="1"/>
  <c r="A246" i="20"/>
  <c r="H246" i="20" s="1"/>
  <c r="A245" i="20"/>
  <c r="H245" i="20" s="1"/>
  <c r="A244" i="20"/>
  <c r="H244" i="20" s="1"/>
  <c r="A243" i="20"/>
  <c r="H243" i="20" s="1"/>
  <c r="A242" i="20"/>
  <c r="H242" i="20" s="1"/>
  <c r="A241" i="20"/>
  <c r="H241" i="20" s="1"/>
  <c r="A240" i="20"/>
  <c r="H240" i="20" s="1"/>
  <c r="A239" i="20"/>
  <c r="H239" i="20" s="1"/>
  <c r="A238" i="20"/>
  <c r="H238" i="20" s="1"/>
  <c r="A237" i="20"/>
  <c r="H237" i="20" s="1"/>
  <c r="A236" i="20"/>
  <c r="H236" i="20" s="1"/>
  <c r="A235" i="20"/>
  <c r="H235" i="20" s="1"/>
  <c r="A234" i="20"/>
  <c r="A233" i="20"/>
  <c r="A232" i="20"/>
  <c r="A224" i="20"/>
  <c r="H224" i="20" s="1"/>
  <c r="A223" i="20"/>
  <c r="H223" i="20" s="1"/>
  <c r="A222" i="20"/>
  <c r="H222" i="20" s="1"/>
  <c r="A221" i="20"/>
  <c r="H221" i="20" s="1"/>
  <c r="A220" i="20"/>
  <c r="H220" i="20" s="1"/>
  <c r="A219" i="20"/>
  <c r="H219" i="20" s="1"/>
  <c r="A218" i="20"/>
  <c r="H218" i="20" s="1"/>
  <c r="A217" i="20"/>
  <c r="H217" i="20" s="1"/>
  <c r="A216" i="20"/>
  <c r="H216" i="20" s="1"/>
  <c r="A215" i="20"/>
  <c r="H215" i="20" s="1"/>
  <c r="A214" i="20"/>
  <c r="H214" i="20" s="1"/>
  <c r="A213" i="20"/>
  <c r="H213" i="20" s="1"/>
  <c r="A212" i="20"/>
  <c r="H212" i="20" s="1"/>
  <c r="A211" i="20"/>
  <c r="H211" i="20" s="1"/>
  <c r="A210" i="20"/>
  <c r="H210" i="20" s="1"/>
  <c r="A209" i="20"/>
  <c r="H209" i="20" s="1"/>
  <c r="A208" i="20"/>
  <c r="H208" i="20" s="1"/>
  <c r="A207" i="20"/>
  <c r="H207" i="20" s="1"/>
  <c r="A206" i="20"/>
  <c r="H206" i="20" s="1"/>
  <c r="A205" i="20"/>
  <c r="H205" i="20" s="1"/>
  <c r="A204" i="20"/>
  <c r="H204" i="20" s="1"/>
  <c r="A203" i="20"/>
  <c r="H203" i="20" s="1"/>
  <c r="A202" i="20"/>
  <c r="H202" i="20" s="1"/>
  <c r="A201" i="20"/>
  <c r="H201" i="20" s="1"/>
  <c r="A200" i="20"/>
  <c r="H200" i="20" s="1"/>
  <c r="A199" i="20"/>
  <c r="H199" i="20" s="1"/>
  <c r="A198" i="20"/>
  <c r="H198" i="20" s="1"/>
  <c r="A197" i="20"/>
  <c r="H197" i="20" s="1"/>
  <c r="A196" i="20"/>
  <c r="H196" i="20" s="1"/>
  <c r="A195" i="20"/>
  <c r="H195" i="20" s="1"/>
  <c r="A194" i="20"/>
  <c r="H194" i="20" s="1"/>
  <c r="A193" i="20"/>
  <c r="H193" i="20" s="1"/>
  <c r="A192" i="20"/>
  <c r="H192" i="20" s="1"/>
  <c r="A191" i="20"/>
  <c r="H191" i="20" s="1"/>
  <c r="A190" i="20"/>
  <c r="H190" i="20" s="1"/>
  <c r="A189" i="20"/>
  <c r="H189" i="20" s="1"/>
  <c r="A188" i="20"/>
  <c r="H188" i="20" s="1"/>
  <c r="A187" i="20"/>
  <c r="H187" i="20" s="1"/>
  <c r="A186" i="20"/>
  <c r="H186" i="20" s="1"/>
  <c r="A185" i="20"/>
  <c r="H185" i="20" s="1"/>
  <c r="A184" i="20"/>
  <c r="H184" i="20" s="1"/>
  <c r="A183" i="20"/>
  <c r="H183" i="20" s="1"/>
  <c r="A182" i="20"/>
  <c r="H182" i="20" s="1"/>
  <c r="A181" i="20"/>
  <c r="H181" i="20" s="1"/>
  <c r="A180" i="20"/>
  <c r="H180" i="20" s="1"/>
  <c r="A179" i="20"/>
  <c r="H179" i="20" s="1"/>
  <c r="A178" i="20"/>
  <c r="H178" i="20" s="1"/>
  <c r="A177" i="20"/>
  <c r="H177" i="20" s="1"/>
  <c r="A176" i="20"/>
  <c r="H176" i="20" s="1"/>
  <c r="A175" i="20"/>
  <c r="H175" i="20" s="1"/>
  <c r="A174" i="20"/>
  <c r="H174" i="20" s="1"/>
  <c r="A173" i="20"/>
  <c r="H173" i="20" s="1"/>
  <c r="A172" i="20"/>
  <c r="H172" i="20" s="1"/>
  <c r="A171" i="20"/>
  <c r="H171" i="20" s="1"/>
  <c r="A170" i="20"/>
  <c r="H170" i="20" s="1"/>
  <c r="A169" i="20"/>
  <c r="H169" i="20" s="1"/>
  <c r="A168" i="20"/>
  <c r="H168" i="20" s="1"/>
  <c r="A167" i="20"/>
  <c r="H167" i="20" s="1"/>
  <c r="A166" i="20"/>
  <c r="H166" i="20" s="1"/>
  <c r="A165" i="20"/>
  <c r="H165" i="20" s="1"/>
  <c r="A164" i="20"/>
  <c r="H164" i="20" s="1"/>
  <c r="A163" i="20"/>
  <c r="H163" i="20" s="1"/>
  <c r="A162" i="20"/>
  <c r="H162" i="20" s="1"/>
  <c r="A161" i="20"/>
  <c r="H161" i="20" s="1"/>
  <c r="A160" i="20"/>
  <c r="H160" i="20" s="1"/>
  <c r="A158" i="20"/>
  <c r="H158" i="20" s="1"/>
  <c r="A157" i="20"/>
  <c r="H157" i="20" s="1"/>
  <c r="A156" i="20"/>
  <c r="H156" i="20" s="1"/>
  <c r="A155" i="20"/>
  <c r="H155" i="20" s="1"/>
  <c r="A154" i="20"/>
  <c r="H154" i="20" s="1"/>
  <c r="A153" i="20"/>
  <c r="H153" i="20" s="1"/>
  <c r="A152" i="20"/>
  <c r="H152" i="20" s="1"/>
  <c r="A151" i="20"/>
  <c r="H151" i="20" s="1"/>
  <c r="A150" i="20"/>
  <c r="H150" i="20" s="1"/>
  <c r="A149" i="20"/>
  <c r="H149" i="20" s="1"/>
  <c r="A148" i="20"/>
  <c r="H148" i="20" s="1"/>
  <c r="A147" i="20"/>
  <c r="H147" i="20" s="1"/>
  <c r="A146" i="20"/>
  <c r="H146" i="20" s="1"/>
  <c r="A145" i="20"/>
  <c r="H145" i="20" s="1"/>
  <c r="A144" i="20"/>
  <c r="H144" i="20" s="1"/>
  <c r="A143" i="20"/>
  <c r="H143" i="20" s="1"/>
  <c r="A142" i="20"/>
  <c r="H142" i="20" s="1"/>
  <c r="A141" i="20"/>
  <c r="H141" i="20" s="1"/>
  <c r="A140" i="20"/>
  <c r="H140" i="20" s="1"/>
  <c r="A139" i="20"/>
  <c r="H139" i="20" s="1"/>
  <c r="A138" i="20"/>
  <c r="H138" i="20" s="1"/>
  <c r="A137" i="20"/>
  <c r="H137" i="20" s="1"/>
  <c r="A136" i="20"/>
  <c r="H136" i="20" s="1"/>
  <c r="J135" i="20"/>
  <c r="A135" i="20"/>
  <c r="H135" i="20" s="1"/>
  <c r="A134" i="20"/>
  <c r="H134" i="20" s="1"/>
  <c r="A133" i="20"/>
  <c r="H133" i="20" s="1"/>
  <c r="A132" i="20"/>
  <c r="H132" i="20" s="1"/>
  <c r="A131" i="20"/>
  <c r="H131" i="20" s="1"/>
  <c r="A130" i="20"/>
  <c r="H130" i="20" s="1"/>
  <c r="A129" i="20"/>
  <c r="H129" i="20" s="1"/>
  <c r="A128" i="20"/>
  <c r="H128" i="20" s="1"/>
  <c r="J127" i="20"/>
  <c r="A127" i="20"/>
  <c r="H127" i="20" s="1"/>
  <c r="A126" i="20"/>
  <c r="H126" i="20" s="1"/>
  <c r="A125" i="20"/>
  <c r="H125" i="20" s="1"/>
  <c r="A124" i="20"/>
  <c r="H124" i="20" s="1"/>
  <c r="A123" i="20"/>
  <c r="H123" i="20" s="1"/>
  <c r="A122" i="20"/>
  <c r="H122" i="20" s="1"/>
  <c r="A121" i="20"/>
  <c r="H121" i="20" s="1"/>
  <c r="A120" i="20"/>
  <c r="H120" i="20" s="1"/>
  <c r="J119" i="20"/>
  <c r="A119" i="20"/>
  <c r="H119" i="20" s="1"/>
  <c r="A118" i="20"/>
  <c r="H118" i="20" s="1"/>
  <c r="A117" i="20"/>
  <c r="H117" i="20" s="1"/>
  <c r="A116" i="20"/>
  <c r="H116" i="20" s="1"/>
  <c r="A115" i="20"/>
  <c r="H115" i="20" s="1"/>
  <c r="A114" i="20"/>
  <c r="H114" i="20" s="1"/>
  <c r="A113" i="20"/>
  <c r="H113" i="20" s="1"/>
  <c r="A112" i="20"/>
  <c r="H112" i="20" s="1"/>
  <c r="A111" i="20"/>
  <c r="H111" i="20" s="1"/>
  <c r="A110" i="20"/>
  <c r="H110" i="20" s="1"/>
  <c r="A109" i="20"/>
  <c r="H109" i="20" s="1"/>
  <c r="A108" i="20"/>
  <c r="H108" i="20" s="1"/>
  <c r="J107" i="20"/>
  <c r="A107" i="20"/>
  <c r="H107" i="20" s="1"/>
  <c r="J106" i="20"/>
  <c r="A106" i="20"/>
  <c r="H106" i="20" s="1"/>
  <c r="A105" i="20"/>
  <c r="H105" i="20" s="1"/>
  <c r="A104" i="20"/>
  <c r="H104" i="20" s="1"/>
  <c r="A103" i="20"/>
  <c r="H103" i="20" s="1"/>
  <c r="A102" i="20"/>
  <c r="H102" i="20" s="1"/>
  <c r="A101" i="20"/>
  <c r="H101" i="20" s="1"/>
  <c r="J100" i="20"/>
  <c r="A100" i="20"/>
  <c r="H100" i="20" s="1"/>
  <c r="A99" i="20"/>
  <c r="H99" i="20" s="1"/>
  <c r="A98" i="20"/>
  <c r="H98" i="20" s="1"/>
  <c r="A97" i="20"/>
  <c r="H97" i="20" s="1"/>
  <c r="A96" i="20"/>
  <c r="H96" i="20" s="1"/>
  <c r="A95" i="20"/>
  <c r="H95" i="20" s="1"/>
  <c r="A94" i="20"/>
  <c r="H94" i="20" s="1"/>
  <c r="A93" i="20"/>
  <c r="H93" i="20" s="1"/>
  <c r="A92" i="20"/>
  <c r="H92" i="20" s="1"/>
  <c r="A91" i="20"/>
  <c r="H91" i="20" s="1"/>
  <c r="A90" i="20"/>
  <c r="H90" i="20" s="1"/>
  <c r="A89" i="20"/>
  <c r="H89" i="20" s="1"/>
  <c r="A88" i="20"/>
  <c r="H88" i="20" s="1"/>
  <c r="A87" i="20"/>
  <c r="J86" i="20"/>
  <c r="A86" i="20"/>
  <c r="H86" i="20" s="1"/>
  <c r="J85" i="20"/>
  <c r="A85" i="20"/>
  <c r="H85" i="20" s="1"/>
  <c r="A84" i="20"/>
  <c r="H84" i="20" s="1"/>
  <c r="A83" i="20"/>
  <c r="H83" i="20" s="1"/>
  <c r="A82" i="20"/>
  <c r="H82" i="20" s="1"/>
  <c r="A81" i="20"/>
  <c r="H81" i="20" s="1"/>
  <c r="A80" i="20"/>
  <c r="H80" i="20" s="1"/>
  <c r="A79" i="20"/>
  <c r="H79" i="20" s="1"/>
  <c r="A78" i="20"/>
  <c r="H78" i="20" s="1"/>
  <c r="A77" i="20"/>
  <c r="H77" i="20" s="1"/>
  <c r="A76" i="20"/>
  <c r="H76" i="20" s="1"/>
  <c r="J75" i="20"/>
  <c r="A75" i="20"/>
  <c r="H75" i="20" s="1"/>
  <c r="A74" i="20"/>
  <c r="H74" i="20" s="1"/>
  <c r="A73" i="20"/>
  <c r="H73" i="20" s="1"/>
  <c r="A72" i="20"/>
  <c r="H72" i="20" s="1"/>
  <c r="A71" i="20"/>
  <c r="A70" i="20"/>
  <c r="A69" i="20"/>
  <c r="A68" i="20"/>
  <c r="H68" i="20" s="1"/>
  <c r="H67" i="20"/>
  <c r="A66" i="20"/>
  <c r="H66" i="20" s="1"/>
  <c r="A65" i="20"/>
  <c r="H65" i="20" s="1"/>
  <c r="A64" i="20"/>
  <c r="H64" i="20" s="1"/>
  <c r="A63" i="20"/>
  <c r="H63" i="20" s="1"/>
  <c r="A62" i="20"/>
  <c r="H62" i="20" s="1"/>
  <c r="A61" i="20"/>
  <c r="H61" i="20" s="1"/>
  <c r="A60" i="20"/>
  <c r="H60" i="20" s="1"/>
  <c r="A59" i="20"/>
  <c r="A57" i="20"/>
  <c r="H57" i="20" s="1"/>
  <c r="A56" i="20"/>
  <c r="I52" i="20"/>
  <c r="I51" i="20"/>
  <c r="I50" i="20"/>
  <c r="J49" i="20"/>
  <c r="N49" i="20" s="1"/>
  <c r="R8" i="20"/>
  <c r="Q7" i="20"/>
  <c r="R7" i="20" l="1"/>
  <c r="L49" i="20"/>
  <c r="H87" i="20"/>
  <c r="H232" i="20"/>
  <c r="H71" i="20"/>
  <c r="H56" i="20"/>
  <c r="H59" i="20"/>
  <c r="I49" i="20"/>
  <c r="S8" i="20"/>
  <c r="M9" i="20" l="1"/>
  <c r="O9" i="20" s="1"/>
  <c r="K49" i="20"/>
  <c r="S7" i="20"/>
  <c r="T8" i="20"/>
  <c r="U8" i="20" l="1"/>
  <c r="T7" i="20"/>
  <c r="V8" i="20" l="1"/>
  <c r="U7" i="20"/>
  <c r="W8" i="20" l="1"/>
  <c r="V7" i="20"/>
  <c r="K23" i="15" l="1"/>
  <c r="L18" i="15" s="1"/>
  <c r="X8" i="20"/>
  <c r="W7" i="20"/>
  <c r="A7" i="17"/>
  <c r="L23" i="15" l="1"/>
  <c r="L19" i="15"/>
  <c r="L17" i="15"/>
  <c r="L22" i="15"/>
  <c r="L20" i="15"/>
  <c r="L21" i="15"/>
  <c r="Y8" i="20"/>
  <c r="X7" i="20"/>
  <c r="Y7" i="20" l="1"/>
  <c r="Z8" i="20"/>
  <c r="Z7" i="20" l="1"/>
  <c r="AA8" i="20"/>
  <c r="AA7" i="20" l="1"/>
  <c r="AB8" i="20"/>
  <c r="AC8" i="20" l="1"/>
  <c r="AB7" i="20"/>
  <c r="AD8" i="20" l="1"/>
  <c r="AC7" i="20"/>
  <c r="AE8" i="20" l="1"/>
  <c r="AD7" i="20"/>
  <c r="AF8" i="20" l="1"/>
  <c r="AE7" i="20"/>
  <c r="AG8" i="20" l="1"/>
  <c r="AF7" i="20"/>
  <c r="AG7" i="20" l="1"/>
  <c r="AH8" i="20"/>
  <c r="AH7" i="20" l="1"/>
  <c r="AI8" i="20"/>
  <c r="AI7" i="20" l="1"/>
  <c r="AJ8" i="20"/>
  <c r="AK8" i="20" l="1"/>
  <c r="AJ7" i="20"/>
  <c r="AL8" i="20" l="1"/>
  <c r="AK7" i="20"/>
  <c r="AM8" i="20" l="1"/>
  <c r="AL7" i="20"/>
  <c r="AN8" i="20" l="1"/>
  <c r="AM7" i="20"/>
  <c r="AO8" i="20" l="1"/>
  <c r="AN7" i="20"/>
  <c r="AO7" i="20" l="1"/>
  <c r="AP8" i="20"/>
  <c r="AP7" i="20" l="1"/>
  <c r="AQ8" i="20"/>
  <c r="AQ7" i="20" l="1"/>
  <c r="AR8" i="20"/>
  <c r="AS8" i="20" l="1"/>
  <c r="AR7" i="20"/>
  <c r="AT8" i="20" l="1"/>
  <c r="AS7" i="20"/>
  <c r="AU8" i="20" l="1"/>
  <c r="AT7" i="20"/>
  <c r="AV8" i="20" l="1"/>
  <c r="AU7" i="20"/>
  <c r="AW8" i="20" l="1"/>
  <c r="AV7" i="20"/>
  <c r="AW7" i="20" l="1"/>
  <c r="AX8" i="20"/>
  <c r="AX7" i="20" l="1"/>
  <c r="AY8" i="20"/>
  <c r="AY7" i="20" l="1"/>
  <c r="AZ8" i="20"/>
  <c r="BA8" i="20" l="1"/>
  <c r="AZ7" i="20"/>
  <c r="BB8" i="20" l="1"/>
  <c r="BA7" i="20"/>
  <c r="BC8" i="20" l="1"/>
  <c r="BB7" i="20"/>
  <c r="BD8" i="20" l="1"/>
  <c r="BC7" i="20"/>
  <c r="BE8" i="20" l="1"/>
  <c r="BD7" i="20"/>
  <c r="BE7" i="20" l="1"/>
  <c r="BF8" i="20"/>
  <c r="BF7" i="20" l="1"/>
  <c r="BG8" i="20"/>
  <c r="BG7" i="20" l="1"/>
  <c r="BH8" i="20"/>
  <c r="BI8" i="20" l="1"/>
  <c r="BH7" i="20"/>
  <c r="BJ8" i="20" l="1"/>
  <c r="BI7" i="20"/>
  <c r="BK8" i="20" l="1"/>
  <c r="BJ7" i="20"/>
  <c r="BL8" i="20" l="1"/>
  <c r="BK7" i="20"/>
  <c r="BM8" i="20" l="1"/>
  <c r="BL7" i="20"/>
  <c r="BM7" i="20" l="1"/>
  <c r="BN8" i="20"/>
  <c r="K397" i="20" l="1"/>
  <c r="L397" i="20" s="1"/>
  <c r="K396" i="20"/>
  <c r="L396" i="20" s="1"/>
  <c r="K395" i="20"/>
  <c r="L395" i="20" s="1"/>
  <c r="K394" i="20"/>
  <c r="L394" i="20" s="1"/>
  <c r="K393" i="20"/>
  <c r="L393" i="20" s="1"/>
  <c r="K392" i="20"/>
  <c r="L392" i="20" s="1"/>
  <c r="K391" i="20"/>
  <c r="L391" i="20" s="1"/>
  <c r="K390" i="20"/>
  <c r="L390" i="20" s="1"/>
  <c r="K389" i="20"/>
  <c r="L389" i="20" s="1"/>
  <c r="K388" i="20"/>
  <c r="L388" i="20" s="1"/>
  <c r="K387" i="20"/>
  <c r="L387" i="20" s="1"/>
  <c r="K386" i="20"/>
  <c r="L386" i="20" s="1"/>
  <c r="K385" i="20"/>
  <c r="L385" i="20" s="1"/>
  <c r="K384" i="20"/>
  <c r="L384" i="20" s="1"/>
  <c r="K383" i="20"/>
  <c r="L383" i="20" s="1"/>
  <c r="K382" i="20"/>
  <c r="L382" i="20" s="1"/>
  <c r="K378" i="20"/>
  <c r="L378" i="20" s="1"/>
  <c r="K377" i="20"/>
  <c r="L377" i="20" s="1"/>
  <c r="K375" i="20"/>
  <c r="L375" i="20" s="1"/>
  <c r="K374" i="20"/>
  <c r="L374" i="20" s="1"/>
  <c r="K373" i="20"/>
  <c r="L373" i="20" s="1"/>
  <c r="K372" i="20"/>
  <c r="L372" i="20" s="1"/>
  <c r="K370" i="20"/>
  <c r="L370" i="20" s="1"/>
  <c r="K369" i="20"/>
  <c r="L369" i="20" s="1"/>
  <c r="K368" i="20"/>
  <c r="L368" i="20" s="1"/>
  <c r="K367" i="20"/>
  <c r="L367" i="20" s="1"/>
  <c r="K366" i="20"/>
  <c r="L366" i="20" s="1"/>
  <c r="K365" i="20"/>
  <c r="L365" i="20" s="1"/>
  <c r="K364" i="20"/>
  <c r="L364" i="20" s="1"/>
  <c r="K363" i="20"/>
  <c r="L363" i="20" s="1"/>
  <c r="K362" i="20"/>
  <c r="L362" i="20" s="1"/>
  <c r="K361" i="20"/>
  <c r="L361" i="20" s="1"/>
  <c r="K360" i="20"/>
  <c r="L360" i="20" s="1"/>
  <c r="K359" i="20"/>
  <c r="L359" i="20" s="1"/>
  <c r="K353" i="20"/>
  <c r="L353" i="20" s="1"/>
  <c r="K351" i="20"/>
  <c r="L351" i="20" s="1"/>
  <c r="K347" i="20"/>
  <c r="L347" i="20" s="1"/>
  <c r="K345" i="20"/>
  <c r="L345" i="20" s="1"/>
  <c r="K310" i="20"/>
  <c r="L310" i="20" s="1"/>
  <c r="K308" i="20"/>
  <c r="L308" i="20" s="1"/>
  <c r="K307" i="20"/>
  <c r="L307" i="20" s="1"/>
  <c r="K304" i="20"/>
  <c r="L304" i="20" s="1"/>
  <c r="K303" i="20"/>
  <c r="L303" i="20" s="1"/>
  <c r="K302" i="20"/>
  <c r="L302" i="20" s="1"/>
  <c r="K301" i="20"/>
  <c r="L301" i="20" s="1"/>
  <c r="K297" i="20"/>
  <c r="L297" i="20" s="1"/>
  <c r="K291" i="20"/>
  <c r="L291" i="20" s="1"/>
  <c r="K277" i="20"/>
  <c r="L277" i="20" s="1"/>
  <c r="K274" i="20"/>
  <c r="L274" i="20" s="1"/>
  <c r="K470" i="20"/>
  <c r="L470" i="20" s="1"/>
  <c r="K454" i="20"/>
  <c r="L454" i="20" s="1"/>
  <c r="K421" i="20"/>
  <c r="L421" i="20" s="1"/>
  <c r="K402" i="20"/>
  <c r="K119" i="20"/>
  <c r="L119" i="20" s="1"/>
  <c r="N119" i="20" s="1"/>
  <c r="O119" i="20" s="1"/>
  <c r="K110" i="20"/>
  <c r="L110" i="20" s="1"/>
  <c r="K107" i="20"/>
  <c r="L107" i="20" s="1"/>
  <c r="N107" i="20" s="1"/>
  <c r="O107" i="20" s="1"/>
  <c r="K106" i="20"/>
  <c r="L106" i="20" s="1"/>
  <c r="N106" i="20" s="1"/>
  <c r="O106" i="20" s="1"/>
  <c r="K100" i="20"/>
  <c r="L100" i="20" s="1"/>
  <c r="N100" i="20" s="1"/>
  <c r="O100" i="20" s="1"/>
  <c r="K89" i="20"/>
  <c r="L89" i="20" s="1"/>
  <c r="K86" i="20"/>
  <c r="L86" i="20" s="1"/>
  <c r="N86" i="20" s="1"/>
  <c r="O86" i="20" s="1"/>
  <c r="K85" i="20"/>
  <c r="L85" i="20" s="1"/>
  <c r="N85" i="20" s="1"/>
  <c r="O85" i="20" s="1"/>
  <c r="K75" i="20"/>
  <c r="L75" i="20" s="1"/>
  <c r="N75" i="20" s="1"/>
  <c r="O75" i="20" s="1"/>
  <c r="K71" i="20"/>
  <c r="K160" i="20"/>
  <c r="L160" i="20" s="1"/>
  <c r="K135" i="20"/>
  <c r="L135" i="20" s="1"/>
  <c r="N135" i="20" s="1"/>
  <c r="O135" i="20" s="1"/>
  <c r="K127" i="20"/>
  <c r="L127" i="20" s="1"/>
  <c r="N127" i="20" s="1"/>
  <c r="O127" i="20" s="1"/>
  <c r="K126" i="20"/>
  <c r="L126" i="20" s="1"/>
  <c r="K56" i="20"/>
  <c r="G159" i="20" l="1"/>
  <c r="G554" i="20"/>
  <c r="G552" i="20"/>
  <c r="G551" i="20"/>
  <c r="G553" i="20"/>
  <c r="G550" i="20"/>
  <c r="G620" i="20"/>
  <c r="G618" i="20"/>
  <c r="G619" i="20"/>
  <c r="G621" i="20"/>
  <c r="K620" i="20"/>
  <c r="L620" i="20" s="1"/>
  <c r="I620" i="20"/>
  <c r="J620" i="20" s="1"/>
  <c r="K619" i="20"/>
  <c r="L619" i="20" s="1"/>
  <c r="I619" i="20"/>
  <c r="J619" i="20" s="1"/>
  <c r="K618" i="20"/>
  <c r="L618" i="20" s="1"/>
  <c r="I618" i="20"/>
  <c r="J618" i="20" s="1"/>
  <c r="K621" i="20"/>
  <c r="L621" i="20" s="1"/>
  <c r="I621" i="20"/>
  <c r="J621" i="20" s="1"/>
  <c r="G58" i="20"/>
  <c r="G225" i="20"/>
  <c r="G119" i="20"/>
  <c r="G228" i="20"/>
  <c r="G230" i="20"/>
  <c r="G227" i="20"/>
  <c r="G231" i="20"/>
  <c r="G226" i="20"/>
  <c r="G229" i="20"/>
  <c r="G295" i="20"/>
  <c r="G264" i="20"/>
  <c r="G265" i="20"/>
  <c r="G309" i="20"/>
  <c r="K236" i="20"/>
  <c r="L236" i="20" s="1"/>
  <c r="K240" i="20"/>
  <c r="L240" i="20" s="1"/>
  <c r="K244" i="20"/>
  <c r="L244" i="20" s="1"/>
  <c r="K248" i="20"/>
  <c r="L248" i="20" s="1"/>
  <c r="K252" i="20"/>
  <c r="L252" i="20" s="1"/>
  <c r="K256" i="20"/>
  <c r="L256" i="20" s="1"/>
  <c r="K260" i="20"/>
  <c r="L260" i="20" s="1"/>
  <c r="K266" i="20"/>
  <c r="L266" i="20" s="1"/>
  <c r="K270" i="20"/>
  <c r="L270" i="20" s="1"/>
  <c r="K279" i="20"/>
  <c r="L279" i="20" s="1"/>
  <c r="K283" i="20"/>
  <c r="L283" i="20" s="1"/>
  <c r="K398" i="20"/>
  <c r="L398" i="20" s="1"/>
  <c r="K287" i="20"/>
  <c r="L287" i="20" s="1"/>
  <c r="K300" i="20"/>
  <c r="L300" i="20" s="1"/>
  <c r="K58" i="20"/>
  <c r="L58" i="20" s="1"/>
  <c r="K62" i="20"/>
  <c r="L62" i="20" s="1"/>
  <c r="K66" i="20"/>
  <c r="L66" i="20" s="1"/>
  <c r="K294" i="20"/>
  <c r="L294" i="20" s="1"/>
  <c r="K311" i="20"/>
  <c r="L311" i="20" s="1"/>
  <c r="K315" i="20"/>
  <c r="L315" i="20" s="1"/>
  <c r="K319" i="20"/>
  <c r="L319" i="20" s="1"/>
  <c r="K323" i="20"/>
  <c r="L323" i="20" s="1"/>
  <c r="K327" i="20"/>
  <c r="L327" i="20" s="1"/>
  <c r="K331" i="20"/>
  <c r="L331" i="20" s="1"/>
  <c r="K335" i="20"/>
  <c r="L335" i="20" s="1"/>
  <c r="K339" i="20"/>
  <c r="L339" i="20" s="1"/>
  <c r="K343" i="20"/>
  <c r="L343" i="20" s="1"/>
  <c r="K371" i="20"/>
  <c r="L371" i="20" s="1"/>
  <c r="K488" i="20"/>
  <c r="L488" i="20" s="1"/>
  <c r="K348" i="20"/>
  <c r="L348" i="20" s="1"/>
  <c r="K357" i="20"/>
  <c r="L357" i="20" s="1"/>
  <c r="K496" i="20"/>
  <c r="L496" i="20" s="1"/>
  <c r="K504" i="20"/>
  <c r="L504" i="20" s="1"/>
  <c r="K512" i="20"/>
  <c r="L512" i="20" s="1"/>
  <c r="K520" i="20"/>
  <c r="L520" i="20" s="1"/>
  <c r="K528" i="20"/>
  <c r="L528" i="20" s="1"/>
  <c r="K532" i="20"/>
  <c r="L532" i="20" s="1"/>
  <c r="K540" i="20"/>
  <c r="L540" i="20" s="1"/>
  <c r="K548" i="20"/>
  <c r="L548" i="20" s="1"/>
  <c r="K561" i="20"/>
  <c r="L561" i="20" s="1"/>
  <c r="K128" i="20"/>
  <c r="L128" i="20" s="1"/>
  <c r="K142" i="20"/>
  <c r="L142" i="20" s="1"/>
  <c r="K158" i="20"/>
  <c r="L158" i="20" s="1"/>
  <c r="K173" i="20"/>
  <c r="L173" i="20" s="1"/>
  <c r="K189" i="20"/>
  <c r="L189" i="20" s="1"/>
  <c r="K205" i="20"/>
  <c r="L205" i="20" s="1"/>
  <c r="K213" i="20"/>
  <c r="L213" i="20" s="1"/>
  <c r="K78" i="20"/>
  <c r="L78" i="20" s="1"/>
  <c r="K102" i="20"/>
  <c r="L102" i="20" s="1"/>
  <c r="K112" i="20"/>
  <c r="L112" i="20" s="1"/>
  <c r="K408" i="20"/>
  <c r="L408" i="20" s="1"/>
  <c r="K416" i="20"/>
  <c r="L416" i="20" s="1"/>
  <c r="K430" i="20"/>
  <c r="L430" i="20" s="1"/>
  <c r="K468" i="20"/>
  <c r="L468" i="20" s="1"/>
  <c r="K482" i="20"/>
  <c r="L482" i="20" s="1"/>
  <c r="K150" i="20"/>
  <c r="L150" i="20" s="1"/>
  <c r="K165" i="20"/>
  <c r="L165" i="20" s="1"/>
  <c r="K181" i="20"/>
  <c r="L181" i="20" s="1"/>
  <c r="K197" i="20"/>
  <c r="L197" i="20" s="1"/>
  <c r="K221" i="20"/>
  <c r="L221" i="20" s="1"/>
  <c r="K72" i="20"/>
  <c r="L72" i="20" s="1"/>
  <c r="K96" i="20"/>
  <c r="L96" i="20" s="1"/>
  <c r="K422" i="20"/>
  <c r="L422" i="20" s="1"/>
  <c r="K438" i="20"/>
  <c r="L438" i="20" s="1"/>
  <c r="K446" i="20"/>
  <c r="L446" i="20" s="1"/>
  <c r="K460" i="20"/>
  <c r="L460" i="20" s="1"/>
  <c r="K474" i="20"/>
  <c r="L474" i="20" s="1"/>
  <c r="K235" i="20"/>
  <c r="K239" i="20"/>
  <c r="L239" i="20" s="1"/>
  <c r="K57" i="20"/>
  <c r="L57" i="20" s="1"/>
  <c r="K61" i="20"/>
  <c r="L61" i="20" s="1"/>
  <c r="K65" i="20"/>
  <c r="L65" i="20" s="1"/>
  <c r="K306" i="20"/>
  <c r="L306" i="20" s="1"/>
  <c r="K143" i="20"/>
  <c r="L143" i="20" s="1"/>
  <c r="K174" i="20"/>
  <c r="L174" i="20" s="1"/>
  <c r="K182" i="20"/>
  <c r="L182" i="20" s="1"/>
  <c r="K206" i="20"/>
  <c r="L206" i="20" s="1"/>
  <c r="K222" i="20"/>
  <c r="L222" i="20" s="1"/>
  <c r="K129" i="20"/>
  <c r="L129" i="20" s="1"/>
  <c r="K151" i="20"/>
  <c r="L151" i="20" s="1"/>
  <c r="K166" i="20"/>
  <c r="L166" i="20" s="1"/>
  <c r="K190" i="20"/>
  <c r="L190" i="20" s="1"/>
  <c r="K198" i="20"/>
  <c r="L198" i="20" s="1"/>
  <c r="K214" i="20"/>
  <c r="L214" i="20" s="1"/>
  <c r="K79" i="20"/>
  <c r="L79" i="20" s="1"/>
  <c r="K103" i="20"/>
  <c r="L103" i="20" s="1"/>
  <c r="K409" i="20"/>
  <c r="L409" i="20" s="1"/>
  <c r="K423" i="20"/>
  <c r="L423" i="20" s="1"/>
  <c r="K439" i="20"/>
  <c r="L439" i="20" s="1"/>
  <c r="K461" i="20"/>
  <c r="L461" i="20" s="1"/>
  <c r="K475" i="20"/>
  <c r="L475" i="20" s="1"/>
  <c r="K489" i="20"/>
  <c r="L489" i="20" s="1"/>
  <c r="K497" i="20"/>
  <c r="L497" i="20" s="1"/>
  <c r="K505" i="20"/>
  <c r="L505" i="20" s="1"/>
  <c r="K513" i="20"/>
  <c r="L513" i="20" s="1"/>
  <c r="K521" i="20"/>
  <c r="L521" i="20" s="1"/>
  <c r="K529" i="20"/>
  <c r="L529" i="20" s="1"/>
  <c r="K533" i="20"/>
  <c r="L533" i="20" s="1"/>
  <c r="K541" i="20"/>
  <c r="L541" i="20" s="1"/>
  <c r="K549" i="20"/>
  <c r="L549" i="20" s="1"/>
  <c r="K562" i="20"/>
  <c r="L562" i="20" s="1"/>
  <c r="K73" i="20"/>
  <c r="L73" i="20" s="1"/>
  <c r="K97" i="20"/>
  <c r="L97" i="20" s="1"/>
  <c r="K113" i="20"/>
  <c r="L113" i="20" s="1"/>
  <c r="K417" i="20"/>
  <c r="L417" i="20" s="1"/>
  <c r="K431" i="20"/>
  <c r="L431" i="20" s="1"/>
  <c r="K447" i="20"/>
  <c r="L447" i="20" s="1"/>
  <c r="K469" i="20"/>
  <c r="L469" i="20" s="1"/>
  <c r="K483" i="20"/>
  <c r="L483" i="20" s="1"/>
  <c r="K136" i="20"/>
  <c r="L136" i="20" s="1"/>
  <c r="K152" i="20"/>
  <c r="L152" i="20" s="1"/>
  <c r="K175" i="20"/>
  <c r="L175" i="20" s="1"/>
  <c r="K191" i="20"/>
  <c r="L191" i="20" s="1"/>
  <c r="K199" i="20"/>
  <c r="L199" i="20" s="1"/>
  <c r="K207" i="20"/>
  <c r="L207" i="20" s="1"/>
  <c r="K215" i="20"/>
  <c r="L215" i="20" s="1"/>
  <c r="K223" i="20"/>
  <c r="L223" i="20" s="1"/>
  <c r="K74" i="20"/>
  <c r="L74" i="20" s="1"/>
  <c r="K130" i="20"/>
  <c r="L130" i="20" s="1"/>
  <c r="K144" i="20"/>
  <c r="L144" i="20" s="1"/>
  <c r="K167" i="20"/>
  <c r="L167" i="20" s="1"/>
  <c r="K183" i="20"/>
  <c r="L183" i="20" s="1"/>
  <c r="K80" i="20"/>
  <c r="L80" i="20" s="1"/>
  <c r="K90" i="20"/>
  <c r="L90" i="20" s="1"/>
  <c r="K98" i="20"/>
  <c r="L98" i="20" s="1"/>
  <c r="K104" i="20"/>
  <c r="L104" i="20" s="1"/>
  <c r="K108" i="20"/>
  <c r="L108" i="20" s="1"/>
  <c r="K114" i="20"/>
  <c r="L114" i="20" s="1"/>
  <c r="K120" i="20"/>
  <c r="L120" i="20" s="1"/>
  <c r="K410" i="20"/>
  <c r="L410" i="20" s="1"/>
  <c r="K418" i="20"/>
  <c r="L418" i="20" s="1"/>
  <c r="K424" i="20"/>
  <c r="L424" i="20" s="1"/>
  <c r="K432" i="20"/>
  <c r="L432" i="20" s="1"/>
  <c r="K440" i="20"/>
  <c r="L440" i="20" s="1"/>
  <c r="K448" i="20"/>
  <c r="L448" i="20" s="1"/>
  <c r="K462" i="20"/>
  <c r="L462" i="20" s="1"/>
  <c r="K476" i="20"/>
  <c r="L476" i="20" s="1"/>
  <c r="K484" i="20"/>
  <c r="L484" i="20" s="1"/>
  <c r="K276" i="20"/>
  <c r="L276" i="20" s="1"/>
  <c r="K293" i="20"/>
  <c r="L293" i="20" s="1"/>
  <c r="K314" i="20"/>
  <c r="L314" i="20" s="1"/>
  <c r="K318" i="20"/>
  <c r="L318" i="20" s="1"/>
  <c r="K322" i="20"/>
  <c r="L322" i="20" s="1"/>
  <c r="K326" i="20"/>
  <c r="L326" i="20" s="1"/>
  <c r="K330" i="20"/>
  <c r="L330" i="20" s="1"/>
  <c r="K334" i="20"/>
  <c r="L334" i="20" s="1"/>
  <c r="K338" i="20"/>
  <c r="L338" i="20" s="1"/>
  <c r="K342" i="20"/>
  <c r="L342" i="20" s="1"/>
  <c r="K356" i="20"/>
  <c r="L356" i="20" s="1"/>
  <c r="K376" i="20"/>
  <c r="L376" i="20" s="1"/>
  <c r="K381" i="20"/>
  <c r="L381" i="20" s="1"/>
  <c r="K498" i="20"/>
  <c r="L498" i="20" s="1"/>
  <c r="K506" i="20"/>
  <c r="L506" i="20" s="1"/>
  <c r="K514" i="20"/>
  <c r="L514" i="20" s="1"/>
  <c r="K522" i="20"/>
  <c r="L522" i="20" s="1"/>
  <c r="K530" i="20"/>
  <c r="L530" i="20" s="1"/>
  <c r="K534" i="20"/>
  <c r="L534" i="20" s="1"/>
  <c r="K542" i="20"/>
  <c r="L542" i="20" s="1"/>
  <c r="K555" i="20"/>
  <c r="L555" i="20" s="1"/>
  <c r="K563" i="20"/>
  <c r="L563" i="20" s="1"/>
  <c r="K141" i="20"/>
  <c r="L141" i="20" s="1"/>
  <c r="K149" i="20"/>
  <c r="L149" i="20" s="1"/>
  <c r="K157" i="20"/>
  <c r="L157" i="20" s="1"/>
  <c r="K164" i="20"/>
  <c r="L164" i="20" s="1"/>
  <c r="K172" i="20"/>
  <c r="L172" i="20" s="1"/>
  <c r="K180" i="20"/>
  <c r="L180" i="20" s="1"/>
  <c r="K188" i="20"/>
  <c r="L188" i="20" s="1"/>
  <c r="K196" i="20"/>
  <c r="L196" i="20" s="1"/>
  <c r="K204" i="20"/>
  <c r="L204" i="20" s="1"/>
  <c r="K212" i="20"/>
  <c r="L212" i="20" s="1"/>
  <c r="K220" i="20"/>
  <c r="L220" i="20" s="1"/>
  <c r="K77" i="20"/>
  <c r="L77" i="20" s="1"/>
  <c r="K95" i="20"/>
  <c r="L95" i="20" s="1"/>
  <c r="K101" i="20"/>
  <c r="L101" i="20" s="1"/>
  <c r="K111" i="20"/>
  <c r="L111" i="20" s="1"/>
  <c r="K125" i="20"/>
  <c r="L125" i="20" s="1"/>
  <c r="K407" i="20"/>
  <c r="L407" i="20" s="1"/>
  <c r="K415" i="20"/>
  <c r="L415" i="20" s="1"/>
  <c r="K429" i="20"/>
  <c r="L429" i="20" s="1"/>
  <c r="K437" i="20"/>
  <c r="L437" i="20" s="1"/>
  <c r="K445" i="20"/>
  <c r="L445" i="20" s="1"/>
  <c r="K453" i="20"/>
  <c r="L453" i="20" s="1"/>
  <c r="K459" i="20"/>
  <c r="L459" i="20" s="1"/>
  <c r="K467" i="20"/>
  <c r="L467" i="20" s="1"/>
  <c r="K473" i="20"/>
  <c r="L473" i="20" s="1"/>
  <c r="K481" i="20"/>
  <c r="L481" i="20" s="1"/>
  <c r="K237" i="20"/>
  <c r="L237" i="20" s="1"/>
  <c r="K241" i="20"/>
  <c r="L241" i="20" s="1"/>
  <c r="K245" i="20"/>
  <c r="L245" i="20" s="1"/>
  <c r="K249" i="20"/>
  <c r="L249" i="20" s="1"/>
  <c r="K490" i="20"/>
  <c r="L490" i="20" s="1"/>
  <c r="K253" i="20"/>
  <c r="L253" i="20" s="1"/>
  <c r="K257" i="20"/>
  <c r="L257" i="20" s="1"/>
  <c r="K261" i="20"/>
  <c r="L261" i="20" s="1"/>
  <c r="K267" i="20"/>
  <c r="L267" i="20" s="1"/>
  <c r="K271" i="20"/>
  <c r="L271" i="20" s="1"/>
  <c r="K280" i="20"/>
  <c r="L280" i="20" s="1"/>
  <c r="K284" i="20"/>
  <c r="L284" i="20" s="1"/>
  <c r="K288" i="20"/>
  <c r="L288" i="20" s="1"/>
  <c r="K346" i="20"/>
  <c r="L346" i="20" s="1"/>
  <c r="K487" i="20"/>
  <c r="K495" i="20"/>
  <c r="L495" i="20" s="1"/>
  <c r="K503" i="20"/>
  <c r="L503" i="20" s="1"/>
  <c r="K511" i="20"/>
  <c r="L511" i="20" s="1"/>
  <c r="K519" i="20"/>
  <c r="L519" i="20" s="1"/>
  <c r="K527" i="20"/>
  <c r="L527" i="20" s="1"/>
  <c r="K531" i="20"/>
  <c r="L531" i="20" s="1"/>
  <c r="K539" i="20"/>
  <c r="L539" i="20" s="1"/>
  <c r="K547" i="20"/>
  <c r="L547" i="20" s="1"/>
  <c r="K560" i="20"/>
  <c r="L560" i="20" s="1"/>
  <c r="K537" i="20"/>
  <c r="L537" i="20" s="1"/>
  <c r="K545" i="20"/>
  <c r="L545" i="20" s="1"/>
  <c r="K60" i="20"/>
  <c r="L60" i="20" s="1"/>
  <c r="K64" i="20"/>
  <c r="L64" i="20" s="1"/>
  <c r="K68" i="20"/>
  <c r="L68" i="20" s="1"/>
  <c r="K132" i="20"/>
  <c r="L132" i="20" s="1"/>
  <c r="K138" i="20"/>
  <c r="L138" i="20" s="1"/>
  <c r="K146" i="20"/>
  <c r="L146" i="20" s="1"/>
  <c r="K154" i="20"/>
  <c r="L154" i="20" s="1"/>
  <c r="K161" i="20"/>
  <c r="L161" i="20" s="1"/>
  <c r="K169" i="20"/>
  <c r="L169" i="20" s="1"/>
  <c r="K177" i="20"/>
  <c r="L177" i="20" s="1"/>
  <c r="K185" i="20"/>
  <c r="L185" i="20" s="1"/>
  <c r="K193" i="20"/>
  <c r="L193" i="20" s="1"/>
  <c r="K201" i="20"/>
  <c r="L201" i="20" s="1"/>
  <c r="K209" i="20"/>
  <c r="L209" i="20" s="1"/>
  <c r="K217" i="20"/>
  <c r="L217" i="20" s="1"/>
  <c r="K82" i="20"/>
  <c r="L82" i="20" s="1"/>
  <c r="K92" i="20"/>
  <c r="L92" i="20" s="1"/>
  <c r="K116" i="20"/>
  <c r="L116" i="20" s="1"/>
  <c r="K122" i="20"/>
  <c r="L122" i="20" s="1"/>
  <c r="K404" i="20"/>
  <c r="L404" i="20" s="1"/>
  <c r="K412" i="20"/>
  <c r="L412" i="20" s="1"/>
  <c r="K420" i="20"/>
  <c r="L420" i="20" s="1"/>
  <c r="K426" i="20"/>
  <c r="L426" i="20" s="1"/>
  <c r="K434" i="20"/>
  <c r="L434" i="20" s="1"/>
  <c r="K442" i="20"/>
  <c r="L442" i="20" s="1"/>
  <c r="K450" i="20"/>
  <c r="L450" i="20" s="1"/>
  <c r="K456" i="20"/>
  <c r="L456" i="20" s="1"/>
  <c r="K464" i="20"/>
  <c r="L464" i="20" s="1"/>
  <c r="K478" i="20"/>
  <c r="L478" i="20" s="1"/>
  <c r="K275" i="20"/>
  <c r="L275" i="20" s="1"/>
  <c r="K292" i="20"/>
  <c r="L292" i="20" s="1"/>
  <c r="K296" i="20"/>
  <c r="L296" i="20" s="1"/>
  <c r="K313" i="20"/>
  <c r="L313" i="20" s="1"/>
  <c r="K317" i="20"/>
  <c r="L317" i="20" s="1"/>
  <c r="K321" i="20"/>
  <c r="L321" i="20" s="1"/>
  <c r="K325" i="20"/>
  <c r="L325" i="20" s="1"/>
  <c r="K329" i="20"/>
  <c r="L329" i="20" s="1"/>
  <c r="K333" i="20"/>
  <c r="L333" i="20" s="1"/>
  <c r="K337" i="20"/>
  <c r="L337" i="20" s="1"/>
  <c r="K341" i="20"/>
  <c r="L341" i="20" s="1"/>
  <c r="K350" i="20"/>
  <c r="L350" i="20" s="1"/>
  <c r="K355" i="20"/>
  <c r="L355" i="20" s="1"/>
  <c r="K380" i="20"/>
  <c r="L380" i="20" s="1"/>
  <c r="K492" i="20"/>
  <c r="L492" i="20" s="1"/>
  <c r="K500" i="20"/>
  <c r="L500" i="20" s="1"/>
  <c r="K508" i="20"/>
  <c r="L508" i="20" s="1"/>
  <c r="K516" i="20"/>
  <c r="L516" i="20" s="1"/>
  <c r="K524" i="20"/>
  <c r="L524" i="20" s="1"/>
  <c r="K536" i="20"/>
  <c r="L536" i="20" s="1"/>
  <c r="K544" i="20"/>
  <c r="L544" i="20" s="1"/>
  <c r="K557" i="20"/>
  <c r="L557" i="20" s="1"/>
  <c r="K133" i="20"/>
  <c r="L133" i="20" s="1"/>
  <c r="K139" i="20"/>
  <c r="L139" i="20" s="1"/>
  <c r="K147" i="20"/>
  <c r="L147" i="20" s="1"/>
  <c r="K155" i="20"/>
  <c r="L155" i="20" s="1"/>
  <c r="K162" i="20"/>
  <c r="L162" i="20" s="1"/>
  <c r="K170" i="20"/>
  <c r="L170" i="20" s="1"/>
  <c r="K178" i="20"/>
  <c r="L178" i="20" s="1"/>
  <c r="K186" i="20"/>
  <c r="L186" i="20" s="1"/>
  <c r="K194" i="20"/>
  <c r="L194" i="20" s="1"/>
  <c r="K202" i="20"/>
  <c r="L202" i="20" s="1"/>
  <c r="K210" i="20"/>
  <c r="L210" i="20" s="1"/>
  <c r="K218" i="20"/>
  <c r="L218" i="20" s="1"/>
  <c r="L71" i="20"/>
  <c r="K83" i="20"/>
  <c r="L83" i="20" s="1"/>
  <c r="K87" i="20"/>
  <c r="L87" i="20" s="1"/>
  <c r="K93" i="20"/>
  <c r="L93" i="20" s="1"/>
  <c r="K117" i="20"/>
  <c r="L117" i="20" s="1"/>
  <c r="K123" i="20"/>
  <c r="L123" i="20" s="1"/>
  <c r="K405" i="20"/>
  <c r="L405" i="20" s="1"/>
  <c r="K413" i="20"/>
  <c r="L413" i="20" s="1"/>
  <c r="K427" i="20"/>
  <c r="L427" i="20" s="1"/>
  <c r="K435" i="20"/>
  <c r="L435" i="20" s="1"/>
  <c r="K443" i="20"/>
  <c r="L443" i="20" s="1"/>
  <c r="K451" i="20"/>
  <c r="L451" i="20" s="1"/>
  <c r="K457" i="20"/>
  <c r="L457" i="20" s="1"/>
  <c r="K465" i="20"/>
  <c r="L465" i="20" s="1"/>
  <c r="K471" i="20"/>
  <c r="L471" i="20" s="1"/>
  <c r="K479" i="20"/>
  <c r="L479" i="20" s="1"/>
  <c r="K238" i="20"/>
  <c r="L238" i="20" s="1"/>
  <c r="K242" i="20"/>
  <c r="L242" i="20" s="1"/>
  <c r="K246" i="20"/>
  <c r="L246" i="20" s="1"/>
  <c r="K250" i="20"/>
  <c r="L250" i="20" s="1"/>
  <c r="K254" i="20"/>
  <c r="L254" i="20" s="1"/>
  <c r="K258" i="20"/>
  <c r="L258" i="20" s="1"/>
  <c r="K262" i="20"/>
  <c r="L262" i="20" s="1"/>
  <c r="K268" i="20"/>
  <c r="L268" i="20" s="1"/>
  <c r="K272" i="20"/>
  <c r="L272" i="20" s="1"/>
  <c r="K281" i="20"/>
  <c r="L281" i="20" s="1"/>
  <c r="K285" i="20"/>
  <c r="L285" i="20" s="1"/>
  <c r="K289" i="20"/>
  <c r="L289" i="20" s="1"/>
  <c r="K298" i="20"/>
  <c r="L298" i="20" s="1"/>
  <c r="K352" i="20"/>
  <c r="L352" i="20" s="1"/>
  <c r="K493" i="20"/>
  <c r="L493" i="20" s="1"/>
  <c r="K501" i="20"/>
  <c r="L501" i="20" s="1"/>
  <c r="K509" i="20"/>
  <c r="L509" i="20" s="1"/>
  <c r="K517" i="20"/>
  <c r="L517" i="20" s="1"/>
  <c r="K525" i="20"/>
  <c r="L525" i="20" s="1"/>
  <c r="K558" i="20"/>
  <c r="L558" i="20" s="1"/>
  <c r="L56" i="20"/>
  <c r="L402" i="20"/>
  <c r="K131" i="20"/>
  <c r="L131" i="20" s="1"/>
  <c r="K137" i="20"/>
  <c r="L137" i="20" s="1"/>
  <c r="K145" i="20"/>
  <c r="L145" i="20" s="1"/>
  <c r="K153" i="20"/>
  <c r="L153" i="20" s="1"/>
  <c r="K168" i="20"/>
  <c r="L168" i="20" s="1"/>
  <c r="K176" i="20"/>
  <c r="L176" i="20" s="1"/>
  <c r="K184" i="20"/>
  <c r="L184" i="20" s="1"/>
  <c r="K192" i="20"/>
  <c r="L192" i="20" s="1"/>
  <c r="K200" i="20"/>
  <c r="L200" i="20" s="1"/>
  <c r="K208" i="20"/>
  <c r="L208" i="20" s="1"/>
  <c r="K216" i="20"/>
  <c r="L216" i="20" s="1"/>
  <c r="K224" i="20"/>
  <c r="L224" i="20" s="1"/>
  <c r="K81" i="20"/>
  <c r="L81" i="20" s="1"/>
  <c r="K91" i="20"/>
  <c r="L91" i="20" s="1"/>
  <c r="K99" i="20"/>
  <c r="L99" i="20" s="1"/>
  <c r="K105" i="20"/>
  <c r="L105" i="20" s="1"/>
  <c r="K109" i="20"/>
  <c r="L109" i="20" s="1"/>
  <c r="K115" i="20"/>
  <c r="L115" i="20" s="1"/>
  <c r="K121" i="20"/>
  <c r="L121" i="20" s="1"/>
  <c r="K403" i="20"/>
  <c r="L403" i="20" s="1"/>
  <c r="K411" i="20"/>
  <c r="L411" i="20" s="1"/>
  <c r="K419" i="20"/>
  <c r="L419" i="20" s="1"/>
  <c r="K425" i="20"/>
  <c r="L425" i="20" s="1"/>
  <c r="K433" i="20"/>
  <c r="L433" i="20" s="1"/>
  <c r="K441" i="20"/>
  <c r="L441" i="20" s="1"/>
  <c r="K449" i="20"/>
  <c r="L449" i="20" s="1"/>
  <c r="K455" i="20"/>
  <c r="L455" i="20" s="1"/>
  <c r="K463" i="20"/>
  <c r="L463" i="20" s="1"/>
  <c r="K477" i="20"/>
  <c r="L477" i="20" s="1"/>
  <c r="K243" i="20"/>
  <c r="L243" i="20" s="1"/>
  <c r="K247" i="20"/>
  <c r="L247" i="20" s="1"/>
  <c r="K251" i="20"/>
  <c r="L251" i="20" s="1"/>
  <c r="K255" i="20"/>
  <c r="L255" i="20" s="1"/>
  <c r="K259" i="20"/>
  <c r="L259" i="20" s="1"/>
  <c r="K263" i="20"/>
  <c r="L263" i="20" s="1"/>
  <c r="K269" i="20"/>
  <c r="L269" i="20" s="1"/>
  <c r="K273" i="20"/>
  <c r="L273" i="20" s="1"/>
  <c r="K278" i="20"/>
  <c r="L278" i="20" s="1"/>
  <c r="K282" i="20"/>
  <c r="L282" i="20" s="1"/>
  <c r="K286" i="20"/>
  <c r="L286" i="20" s="1"/>
  <c r="K290" i="20"/>
  <c r="L290" i="20" s="1"/>
  <c r="K299" i="20"/>
  <c r="L299" i="20" s="1"/>
  <c r="K305" i="20"/>
  <c r="L305" i="20" s="1"/>
  <c r="K491" i="20"/>
  <c r="L491" i="20" s="1"/>
  <c r="K499" i="20"/>
  <c r="L499" i="20" s="1"/>
  <c r="K507" i="20"/>
  <c r="L507" i="20" s="1"/>
  <c r="K515" i="20"/>
  <c r="L515" i="20" s="1"/>
  <c r="K523" i="20"/>
  <c r="L523" i="20" s="1"/>
  <c r="K535" i="20"/>
  <c r="L535" i="20" s="1"/>
  <c r="K543" i="20"/>
  <c r="L543" i="20" s="1"/>
  <c r="K556" i="20"/>
  <c r="L556" i="20" s="1"/>
  <c r="K59" i="20"/>
  <c r="L59" i="20" s="1"/>
  <c r="K63" i="20"/>
  <c r="L63" i="20" s="1"/>
  <c r="K67" i="20"/>
  <c r="L67" i="20" s="1"/>
  <c r="K134" i="20"/>
  <c r="L134" i="20" s="1"/>
  <c r="K140" i="20"/>
  <c r="L140" i="20" s="1"/>
  <c r="K148" i="20"/>
  <c r="L148" i="20" s="1"/>
  <c r="K156" i="20"/>
  <c r="L156" i="20" s="1"/>
  <c r="K163" i="20"/>
  <c r="L163" i="20" s="1"/>
  <c r="K171" i="20"/>
  <c r="L171" i="20" s="1"/>
  <c r="K179" i="20"/>
  <c r="L179" i="20" s="1"/>
  <c r="K187" i="20"/>
  <c r="L187" i="20" s="1"/>
  <c r="K195" i="20"/>
  <c r="L195" i="20" s="1"/>
  <c r="K203" i="20"/>
  <c r="L203" i="20" s="1"/>
  <c r="K211" i="20"/>
  <c r="L211" i="20" s="1"/>
  <c r="K219" i="20"/>
  <c r="L219" i="20" s="1"/>
  <c r="K76" i="20"/>
  <c r="L76" i="20" s="1"/>
  <c r="K84" i="20"/>
  <c r="L84" i="20" s="1"/>
  <c r="K88" i="20"/>
  <c r="L88" i="20" s="1"/>
  <c r="K94" i="20"/>
  <c r="L94" i="20" s="1"/>
  <c r="K118" i="20"/>
  <c r="L118" i="20" s="1"/>
  <c r="K124" i="20"/>
  <c r="L124" i="20" s="1"/>
  <c r="K406" i="20"/>
  <c r="L406" i="20" s="1"/>
  <c r="K414" i="20"/>
  <c r="L414" i="20" s="1"/>
  <c r="K428" i="20"/>
  <c r="L428" i="20" s="1"/>
  <c r="K436" i="20"/>
  <c r="L436" i="20" s="1"/>
  <c r="K444" i="20"/>
  <c r="L444" i="20" s="1"/>
  <c r="K452" i="20"/>
  <c r="L452" i="20" s="1"/>
  <c r="K458" i="20"/>
  <c r="L458" i="20" s="1"/>
  <c r="K466" i="20"/>
  <c r="L466" i="20" s="1"/>
  <c r="K472" i="20"/>
  <c r="L472" i="20" s="1"/>
  <c r="K480" i="20"/>
  <c r="L480" i="20" s="1"/>
  <c r="K295" i="20"/>
  <c r="L295" i="20" s="1"/>
  <c r="K312" i="20"/>
  <c r="L312" i="20" s="1"/>
  <c r="K316" i="20"/>
  <c r="L316" i="20" s="1"/>
  <c r="K320" i="20"/>
  <c r="L320" i="20" s="1"/>
  <c r="K324" i="20"/>
  <c r="L324" i="20" s="1"/>
  <c r="K328" i="20"/>
  <c r="L328" i="20" s="1"/>
  <c r="K332" i="20"/>
  <c r="L332" i="20" s="1"/>
  <c r="K336" i="20"/>
  <c r="L336" i="20" s="1"/>
  <c r="K340" i="20"/>
  <c r="L340" i="20" s="1"/>
  <c r="K344" i="20"/>
  <c r="L344" i="20" s="1"/>
  <c r="K349" i="20"/>
  <c r="L349" i="20" s="1"/>
  <c r="K354" i="20"/>
  <c r="L354" i="20" s="1"/>
  <c r="K358" i="20"/>
  <c r="L358" i="20" s="1"/>
  <c r="K379" i="20"/>
  <c r="L379" i="20" s="1"/>
  <c r="K399" i="20"/>
  <c r="L399" i="20" s="1"/>
  <c r="K494" i="20"/>
  <c r="L494" i="20" s="1"/>
  <c r="K502" i="20"/>
  <c r="L502" i="20" s="1"/>
  <c r="K510" i="20"/>
  <c r="L510" i="20" s="1"/>
  <c r="K518" i="20"/>
  <c r="L518" i="20" s="1"/>
  <c r="K526" i="20"/>
  <c r="L526" i="20" s="1"/>
  <c r="K538" i="20"/>
  <c r="L538" i="20" s="1"/>
  <c r="K546" i="20"/>
  <c r="L546" i="20" s="1"/>
  <c r="K559" i="20"/>
  <c r="L559" i="20" s="1"/>
  <c r="G165" i="20"/>
  <c r="G236" i="20"/>
  <c r="G302" i="20"/>
  <c r="G367" i="20"/>
  <c r="G429" i="20"/>
  <c r="G532" i="20"/>
  <c r="G524" i="20"/>
  <c r="G60" i="20"/>
  <c r="G77" i="20"/>
  <c r="G502" i="20"/>
  <c r="G135" i="20"/>
  <c r="G199" i="20"/>
  <c r="G272" i="20"/>
  <c r="G337" i="20"/>
  <c r="G407" i="20"/>
  <c r="G471" i="20"/>
  <c r="G93" i="20"/>
  <c r="G520" i="20"/>
  <c r="G144" i="20"/>
  <c r="G89" i="20"/>
  <c r="G173" i="20"/>
  <c r="G244" i="20"/>
  <c r="G311" i="20"/>
  <c r="G375" i="20"/>
  <c r="G437" i="20"/>
  <c r="G104" i="20"/>
  <c r="G85" i="20"/>
  <c r="G510" i="20"/>
  <c r="G142" i="20"/>
  <c r="G207" i="20"/>
  <c r="G280" i="20"/>
  <c r="G345" i="20"/>
  <c r="G415" i="20"/>
  <c r="G479" i="20"/>
  <c r="G107" i="20"/>
  <c r="G528" i="20"/>
  <c r="G152" i="20"/>
  <c r="G132" i="20"/>
  <c r="G181" i="20"/>
  <c r="G252" i="20"/>
  <c r="G319" i="20"/>
  <c r="G383" i="20"/>
  <c r="G445" i="20"/>
  <c r="G83" i="20"/>
  <c r="G508" i="20"/>
  <c r="G91" i="20"/>
  <c r="G518" i="20"/>
  <c r="G150" i="20"/>
  <c r="G548" i="20"/>
  <c r="G189" i="20"/>
  <c r="G260" i="20"/>
  <c r="G327" i="20"/>
  <c r="G391" i="20"/>
  <c r="G453" i="20"/>
  <c r="G118" i="20"/>
  <c r="G56" i="20"/>
  <c r="G540" i="20"/>
  <c r="G99" i="20"/>
  <c r="G526" i="20"/>
  <c r="G158" i="20"/>
  <c r="G223" i="20"/>
  <c r="G296" i="20"/>
  <c r="G361" i="20"/>
  <c r="G431" i="20"/>
  <c r="G495" i="20"/>
  <c r="G121" i="20"/>
  <c r="G544" i="20"/>
  <c r="G169" i="20"/>
  <c r="G240" i="20"/>
  <c r="G306" i="20"/>
  <c r="G371" i="20"/>
  <c r="G441" i="20"/>
  <c r="G197" i="20"/>
  <c r="G270" i="20"/>
  <c r="G335" i="20"/>
  <c r="G399" i="20"/>
  <c r="G461" i="20"/>
  <c r="G516" i="20"/>
  <c r="G561" i="20"/>
  <c r="G106" i="20"/>
  <c r="G534" i="20"/>
  <c r="G167" i="20"/>
  <c r="G238" i="20"/>
  <c r="G304" i="20"/>
  <c r="G369" i="20"/>
  <c r="G439" i="20"/>
  <c r="G64" i="20"/>
  <c r="G128" i="20"/>
  <c r="G557" i="20"/>
  <c r="G177" i="20"/>
  <c r="G248" i="20"/>
  <c r="G315" i="20"/>
  <c r="G379" i="20"/>
  <c r="G449" i="20"/>
  <c r="G140" i="20"/>
  <c r="G205" i="20"/>
  <c r="G278" i="20"/>
  <c r="G343" i="20"/>
  <c r="G405" i="20"/>
  <c r="G469" i="20"/>
  <c r="G68" i="20"/>
  <c r="G112" i="20"/>
  <c r="G542" i="20"/>
  <c r="G175" i="20"/>
  <c r="G246" i="20"/>
  <c r="G313" i="20"/>
  <c r="G377" i="20"/>
  <c r="G447" i="20"/>
  <c r="G72" i="20"/>
  <c r="G496" i="20"/>
  <c r="G185" i="20"/>
  <c r="G256" i="20"/>
  <c r="G323" i="20"/>
  <c r="G387" i="20"/>
  <c r="G457" i="20"/>
  <c r="G148" i="20"/>
  <c r="G413" i="20"/>
  <c r="G321" i="20"/>
  <c r="G487" i="20"/>
  <c r="G161" i="20"/>
  <c r="G282" i="20"/>
  <c r="G395" i="20"/>
  <c r="G489" i="20"/>
  <c r="G102" i="20"/>
  <c r="G138" i="20"/>
  <c r="G78" i="20"/>
  <c r="G166" i="20"/>
  <c r="G237" i="20"/>
  <c r="G303" i="20"/>
  <c r="G368" i="20"/>
  <c r="G438" i="20"/>
  <c r="G509" i="20"/>
  <c r="G571" i="20"/>
  <c r="G603" i="20"/>
  <c r="G115" i="20"/>
  <c r="G184" i="20"/>
  <c r="G255" i="20"/>
  <c r="G322" i="20"/>
  <c r="G386" i="20"/>
  <c r="G456" i="20"/>
  <c r="G527" i="20"/>
  <c r="G580" i="20"/>
  <c r="G612" i="20"/>
  <c r="G117" i="20"/>
  <c r="G178" i="20"/>
  <c r="G257" i="20"/>
  <c r="G324" i="20"/>
  <c r="G388" i="20"/>
  <c r="G450" i="20"/>
  <c r="G513" i="20"/>
  <c r="G573" i="20"/>
  <c r="G605" i="20"/>
  <c r="G250" i="20"/>
  <c r="G317" i="20"/>
  <c r="G381" i="20"/>
  <c r="G443" i="20"/>
  <c r="G506" i="20"/>
  <c r="G84" i="20"/>
  <c r="G139" i="20"/>
  <c r="G204" i="20"/>
  <c r="G277" i="20"/>
  <c r="G342" i="20"/>
  <c r="G404" i="20"/>
  <c r="G468" i="20"/>
  <c r="G531" i="20"/>
  <c r="G582" i="20"/>
  <c r="G614" i="20"/>
  <c r="G212" i="20"/>
  <c r="G285" i="20"/>
  <c r="G350" i="20"/>
  <c r="G156" i="20"/>
  <c r="G421" i="20"/>
  <c r="G329" i="20"/>
  <c r="G79" i="20"/>
  <c r="G193" i="20"/>
  <c r="G290" i="20"/>
  <c r="G409" i="20"/>
  <c r="G108" i="20"/>
  <c r="G146" i="20"/>
  <c r="G92" i="20"/>
  <c r="G174" i="20"/>
  <c r="G245" i="20"/>
  <c r="G312" i="20"/>
  <c r="G376" i="20"/>
  <c r="G446" i="20"/>
  <c r="G517" i="20"/>
  <c r="G575" i="20"/>
  <c r="G607" i="20"/>
  <c r="G122" i="20"/>
  <c r="G192" i="20"/>
  <c r="G263" i="20"/>
  <c r="G330" i="20"/>
  <c r="G394" i="20"/>
  <c r="G464" i="20"/>
  <c r="G535" i="20"/>
  <c r="G584" i="20"/>
  <c r="G616" i="20"/>
  <c r="G67" i="20"/>
  <c r="G124" i="20"/>
  <c r="G186" i="20"/>
  <c r="G267" i="20"/>
  <c r="G332" i="20"/>
  <c r="G396" i="20"/>
  <c r="G458" i="20"/>
  <c r="G521" i="20"/>
  <c r="G577" i="20"/>
  <c r="G609" i="20"/>
  <c r="G258" i="20"/>
  <c r="G325" i="20"/>
  <c r="G389" i="20"/>
  <c r="G451" i="20"/>
  <c r="G514" i="20"/>
  <c r="G90" i="20"/>
  <c r="G147" i="20"/>
  <c r="G213" i="20"/>
  <c r="G477" i="20"/>
  <c r="G110" i="20"/>
  <c r="G97" i="20"/>
  <c r="G183" i="20"/>
  <c r="G353" i="20"/>
  <c r="G86" i="20"/>
  <c r="G201" i="20"/>
  <c r="G298" i="20"/>
  <c r="G417" i="20"/>
  <c r="G116" i="20"/>
  <c r="G154" i="20"/>
  <c r="G100" i="20"/>
  <c r="G182" i="20"/>
  <c r="G253" i="20"/>
  <c r="G320" i="20"/>
  <c r="G384" i="20"/>
  <c r="G454" i="20"/>
  <c r="G525" i="20"/>
  <c r="G579" i="20"/>
  <c r="G611" i="20"/>
  <c r="G57" i="20"/>
  <c r="G129" i="20"/>
  <c r="G200" i="20"/>
  <c r="G273" i="20"/>
  <c r="G338" i="20"/>
  <c r="G408" i="20"/>
  <c r="G472" i="20"/>
  <c r="G543" i="20"/>
  <c r="G588" i="20"/>
  <c r="G75" i="20"/>
  <c r="G131" i="20"/>
  <c r="G194" i="20"/>
  <c r="G275" i="20"/>
  <c r="G340" i="20"/>
  <c r="G402" i="20"/>
  <c r="G466" i="20"/>
  <c r="G529" i="20"/>
  <c r="G581" i="20"/>
  <c r="G613" i="20"/>
  <c r="G268" i="20"/>
  <c r="G333" i="20"/>
  <c r="G397" i="20"/>
  <c r="G459" i="20"/>
  <c r="G522" i="20"/>
  <c r="G98" i="20"/>
  <c r="G155" i="20"/>
  <c r="G220" i="20"/>
  <c r="G293" i="20"/>
  <c r="G358" i="20"/>
  <c r="G420" i="20"/>
  <c r="G484" i="20"/>
  <c r="G547" i="20"/>
  <c r="G590" i="20"/>
  <c r="G221" i="20"/>
  <c r="G493" i="20"/>
  <c r="G500" i="20"/>
  <c r="G125" i="20"/>
  <c r="G62" i="20"/>
  <c r="G191" i="20"/>
  <c r="G385" i="20"/>
  <c r="G114" i="20"/>
  <c r="G209" i="20"/>
  <c r="G331" i="20"/>
  <c r="G425" i="20"/>
  <c r="G66" i="20"/>
  <c r="G123" i="20"/>
  <c r="G163" i="20"/>
  <c r="G113" i="20"/>
  <c r="G190" i="20"/>
  <c r="G261" i="20"/>
  <c r="G328" i="20"/>
  <c r="G392" i="20"/>
  <c r="G462" i="20"/>
  <c r="G533" i="20"/>
  <c r="G583" i="20"/>
  <c r="G615" i="20"/>
  <c r="G65" i="20"/>
  <c r="G143" i="20"/>
  <c r="G208" i="20"/>
  <c r="G281" i="20"/>
  <c r="G346" i="20"/>
  <c r="G416" i="20"/>
  <c r="G480" i="20"/>
  <c r="G556" i="20"/>
  <c r="G592" i="20"/>
  <c r="G82" i="20"/>
  <c r="G137" i="20"/>
  <c r="G202" i="20"/>
  <c r="G283" i="20"/>
  <c r="G348" i="20"/>
  <c r="G410" i="20"/>
  <c r="G474" i="20"/>
  <c r="G537" i="20"/>
  <c r="G585" i="20"/>
  <c r="G617" i="20"/>
  <c r="G276" i="20"/>
  <c r="G341" i="20"/>
  <c r="G403" i="20"/>
  <c r="G467" i="20"/>
  <c r="G530" i="20"/>
  <c r="G105" i="20"/>
  <c r="G164" i="20"/>
  <c r="G235" i="20"/>
  <c r="G301" i="20"/>
  <c r="G366" i="20"/>
  <c r="G428" i="20"/>
  <c r="G492" i="20"/>
  <c r="G560" i="20"/>
  <c r="G594" i="20"/>
  <c r="G598" i="20"/>
  <c r="G602" i="20"/>
  <c r="G286" i="20"/>
  <c r="G127" i="20"/>
  <c r="G215" i="20"/>
  <c r="G393" i="20"/>
  <c r="G504" i="20"/>
  <c r="G217" i="20"/>
  <c r="G339" i="20"/>
  <c r="G433" i="20"/>
  <c r="G74" i="20"/>
  <c r="G130" i="20"/>
  <c r="G171" i="20"/>
  <c r="G120" i="20"/>
  <c r="G198" i="20"/>
  <c r="G271" i="20"/>
  <c r="G336" i="20"/>
  <c r="G406" i="20"/>
  <c r="G470" i="20"/>
  <c r="G541" i="20"/>
  <c r="G587" i="20"/>
  <c r="G73" i="20"/>
  <c r="G151" i="20"/>
  <c r="G216" i="20"/>
  <c r="G289" i="20"/>
  <c r="G354" i="20"/>
  <c r="G424" i="20"/>
  <c r="G488" i="20"/>
  <c r="G564" i="20"/>
  <c r="G596" i="20"/>
  <c r="G88" i="20"/>
  <c r="G145" i="20"/>
  <c r="G210" i="20"/>
  <c r="G291" i="20"/>
  <c r="G356" i="20"/>
  <c r="G418" i="20"/>
  <c r="G482" i="20"/>
  <c r="G545" i="20"/>
  <c r="G589" i="20"/>
  <c r="G203" i="20"/>
  <c r="G284" i="20"/>
  <c r="G349" i="20"/>
  <c r="G411" i="20"/>
  <c r="G475" i="20"/>
  <c r="G538" i="20"/>
  <c r="G111" i="20"/>
  <c r="G172" i="20"/>
  <c r="G243" i="20"/>
  <c r="G310" i="20"/>
  <c r="G374" i="20"/>
  <c r="G436" i="20"/>
  <c r="G499" i="20"/>
  <c r="G566" i="20"/>
  <c r="G294" i="20"/>
  <c r="G134" i="20"/>
  <c r="G254" i="20"/>
  <c r="G423" i="20"/>
  <c r="G512" i="20"/>
  <c r="G232" i="20"/>
  <c r="G347" i="20"/>
  <c r="G465" i="20"/>
  <c r="G81" i="20"/>
  <c r="G179" i="20"/>
  <c r="G141" i="20"/>
  <c r="G206" i="20"/>
  <c r="G279" i="20"/>
  <c r="G344" i="20"/>
  <c r="G414" i="20"/>
  <c r="G478" i="20"/>
  <c r="G549" i="20"/>
  <c r="G591" i="20"/>
  <c r="G80" i="20"/>
  <c r="G160" i="20"/>
  <c r="G224" i="20"/>
  <c r="G297" i="20"/>
  <c r="G362" i="20"/>
  <c r="G432" i="20"/>
  <c r="G503" i="20"/>
  <c r="G568" i="20"/>
  <c r="G600" i="20"/>
  <c r="G96" i="20"/>
  <c r="G153" i="20"/>
  <c r="G218" i="20"/>
  <c r="G299" i="20"/>
  <c r="G364" i="20"/>
  <c r="G426" i="20"/>
  <c r="G490" i="20"/>
  <c r="G558" i="20"/>
  <c r="G593" i="20"/>
  <c r="G211" i="20"/>
  <c r="G292" i="20"/>
  <c r="G357" i="20"/>
  <c r="G419" i="20"/>
  <c r="G483" i="20"/>
  <c r="G546" i="20"/>
  <c r="G180" i="20"/>
  <c r="G251" i="20"/>
  <c r="G318" i="20"/>
  <c r="G382" i="20"/>
  <c r="G444" i="20"/>
  <c r="G507" i="20"/>
  <c r="G570" i="20"/>
  <c r="G351" i="20"/>
  <c r="G555" i="20"/>
  <c r="G262" i="20"/>
  <c r="G455" i="20"/>
  <c r="G536" i="20"/>
  <c r="G266" i="20"/>
  <c r="G355" i="20"/>
  <c r="G473" i="20"/>
  <c r="G87" i="20"/>
  <c r="G187" i="20"/>
  <c r="G288" i="20"/>
  <c r="G157" i="20"/>
  <c r="G430" i="20"/>
  <c r="G314" i="20"/>
  <c r="G576" i="20"/>
  <c r="G170" i="20"/>
  <c r="G442" i="20"/>
  <c r="G242" i="20"/>
  <c r="G498" i="20"/>
  <c r="G196" i="20"/>
  <c r="G452" i="20"/>
  <c r="G586" i="20"/>
  <c r="G103" i="20"/>
  <c r="G126" i="20"/>
  <c r="G412" i="20"/>
  <c r="G463" i="20"/>
  <c r="G95" i="20"/>
  <c r="G214" i="20"/>
  <c r="G494" i="20"/>
  <c r="G94" i="20"/>
  <c r="G370" i="20"/>
  <c r="G604" i="20"/>
  <c r="G241" i="20"/>
  <c r="G497" i="20"/>
  <c r="G300" i="20"/>
  <c r="G559" i="20"/>
  <c r="G259" i="20"/>
  <c r="G460" i="20"/>
  <c r="G606" i="20"/>
  <c r="G476" i="20"/>
  <c r="G334" i="20"/>
  <c r="G595" i="20"/>
  <c r="G427" i="20"/>
  <c r="G149" i="20"/>
  <c r="G434" i="20"/>
  <c r="G578" i="20"/>
  <c r="G359" i="20"/>
  <c r="G195" i="20"/>
  <c r="G222" i="20"/>
  <c r="G501" i="20"/>
  <c r="G101" i="20"/>
  <c r="G378" i="20"/>
  <c r="G608" i="20"/>
  <c r="G249" i="20"/>
  <c r="G505" i="20"/>
  <c r="G308" i="20"/>
  <c r="G269" i="20"/>
  <c r="G610" i="20"/>
  <c r="G63" i="20"/>
  <c r="G372" i="20"/>
  <c r="G390" i="20"/>
  <c r="G305" i="20"/>
  <c r="G491" i="20"/>
  <c r="G287" i="20"/>
  <c r="G562" i="20"/>
  <c r="G168" i="20"/>
  <c r="G440" i="20"/>
  <c r="G307" i="20"/>
  <c r="G565" i="20"/>
  <c r="G365" i="20"/>
  <c r="G61" i="20"/>
  <c r="G326" i="20"/>
  <c r="G515" i="20"/>
  <c r="G511" i="20"/>
  <c r="G422" i="20"/>
  <c r="G219" i="20"/>
  <c r="G136" i="20"/>
  <c r="G567" i="20"/>
  <c r="G176" i="20"/>
  <c r="G448" i="20"/>
  <c r="G316" i="20"/>
  <c r="G569" i="20"/>
  <c r="G373" i="20"/>
  <c r="G76" i="20"/>
  <c r="G523" i="20"/>
  <c r="G274" i="20"/>
  <c r="G352" i="20"/>
  <c r="G239" i="20"/>
  <c r="G597" i="20"/>
  <c r="G539" i="20"/>
  <c r="G572" i="20"/>
  <c r="G188" i="20"/>
  <c r="G563" i="20"/>
  <c r="G363" i="20"/>
  <c r="G71" i="20"/>
  <c r="G360" i="20"/>
  <c r="G599" i="20"/>
  <c r="G247" i="20"/>
  <c r="G519" i="20"/>
  <c r="G109" i="20"/>
  <c r="G380" i="20"/>
  <c r="G601" i="20"/>
  <c r="G435" i="20"/>
  <c r="G133" i="20"/>
  <c r="G398" i="20"/>
  <c r="G574" i="20"/>
  <c r="G481" i="20"/>
  <c r="G162" i="20"/>
  <c r="G59" i="20"/>
  <c r="I304" i="20"/>
  <c r="J304" i="20" s="1"/>
  <c r="I331" i="20"/>
  <c r="J331" i="20" s="1"/>
  <c r="I357" i="20"/>
  <c r="J357" i="20" s="1"/>
  <c r="I398" i="20"/>
  <c r="J398" i="20" s="1"/>
  <c r="I504" i="20"/>
  <c r="J504" i="20" s="1"/>
  <c r="I520" i="20"/>
  <c r="J520" i="20" s="1"/>
  <c r="I532" i="20"/>
  <c r="J532" i="20" s="1"/>
  <c r="I561" i="20"/>
  <c r="J561" i="20" s="1"/>
  <c r="I168" i="20"/>
  <c r="J168" i="20" s="1"/>
  <c r="I184" i="20"/>
  <c r="J184" i="20" s="1"/>
  <c r="I200" i="20"/>
  <c r="J200" i="20" s="1"/>
  <c r="I216" i="20"/>
  <c r="J216" i="20" s="1"/>
  <c r="I115" i="20"/>
  <c r="J115" i="20" s="1"/>
  <c r="I463" i="20"/>
  <c r="J463" i="20" s="1"/>
  <c r="I477" i="20"/>
  <c r="J477" i="20" s="1"/>
  <c r="I247" i="20"/>
  <c r="J247" i="20" s="1"/>
  <c r="I273" i="20"/>
  <c r="J273" i="20" s="1"/>
  <c r="I299" i="20"/>
  <c r="J299" i="20" s="1"/>
  <c r="I378" i="20"/>
  <c r="J378" i="20" s="1"/>
  <c r="I507" i="20"/>
  <c r="J507" i="20" s="1"/>
  <c r="I543" i="20"/>
  <c r="J543" i="20" s="1"/>
  <c r="I59" i="20"/>
  <c r="J59" i="20" s="1"/>
  <c r="I63" i="20"/>
  <c r="J63" i="20" s="1"/>
  <c r="I67" i="20"/>
  <c r="J67" i="20" s="1"/>
  <c r="I134" i="20"/>
  <c r="J134" i="20" s="1"/>
  <c r="I140" i="20"/>
  <c r="J140" i="20" s="1"/>
  <c r="I148" i="20"/>
  <c r="J148" i="20" s="1"/>
  <c r="I156" i="20"/>
  <c r="J156" i="20" s="1"/>
  <c r="I163" i="20"/>
  <c r="J163" i="20" s="1"/>
  <c r="I171" i="20"/>
  <c r="J171" i="20" s="1"/>
  <c r="I179" i="20"/>
  <c r="J179" i="20" s="1"/>
  <c r="I187" i="20"/>
  <c r="J187" i="20" s="1"/>
  <c r="I195" i="20"/>
  <c r="J195" i="20" s="1"/>
  <c r="I203" i="20"/>
  <c r="J203" i="20" s="1"/>
  <c r="I211" i="20"/>
  <c r="J211" i="20" s="1"/>
  <c r="I219" i="20"/>
  <c r="J219" i="20" s="1"/>
  <c r="I76" i="20"/>
  <c r="J76" i="20" s="1"/>
  <c r="I84" i="20"/>
  <c r="J84" i="20" s="1"/>
  <c r="I88" i="20"/>
  <c r="J88" i="20" s="1"/>
  <c r="I94" i="20"/>
  <c r="J94" i="20" s="1"/>
  <c r="I118" i="20"/>
  <c r="J118" i="20" s="1"/>
  <c r="I124" i="20"/>
  <c r="J124" i="20" s="1"/>
  <c r="I406" i="20"/>
  <c r="J406" i="20" s="1"/>
  <c r="I414" i="20"/>
  <c r="J414" i="20" s="1"/>
  <c r="I428" i="20"/>
  <c r="J428" i="20" s="1"/>
  <c r="I436" i="20"/>
  <c r="J436" i="20" s="1"/>
  <c r="I444" i="20"/>
  <c r="J444" i="20" s="1"/>
  <c r="I452" i="20"/>
  <c r="J452" i="20" s="1"/>
  <c r="I458" i="20"/>
  <c r="J458" i="20" s="1"/>
  <c r="I466" i="20"/>
  <c r="J466" i="20" s="1"/>
  <c r="I472" i="20"/>
  <c r="J472" i="20" s="1"/>
  <c r="I480" i="20"/>
  <c r="J480" i="20" s="1"/>
  <c r="I295" i="20"/>
  <c r="J295" i="20" s="1"/>
  <c r="I312" i="20"/>
  <c r="J312" i="20" s="1"/>
  <c r="I316" i="20"/>
  <c r="J316" i="20" s="1"/>
  <c r="I320" i="20"/>
  <c r="J320" i="20" s="1"/>
  <c r="I324" i="20"/>
  <c r="J324" i="20" s="1"/>
  <c r="I328" i="20"/>
  <c r="J328" i="20" s="1"/>
  <c r="I332" i="20"/>
  <c r="J332" i="20" s="1"/>
  <c r="I336" i="20"/>
  <c r="J336" i="20" s="1"/>
  <c r="I340" i="20"/>
  <c r="J340" i="20" s="1"/>
  <c r="I344" i="20"/>
  <c r="J344" i="20" s="1"/>
  <c r="I349" i="20"/>
  <c r="J349" i="20" s="1"/>
  <c r="I354" i="20"/>
  <c r="J354" i="20" s="1"/>
  <c r="I358" i="20"/>
  <c r="J358" i="20" s="1"/>
  <c r="I365" i="20"/>
  <c r="J365" i="20" s="1"/>
  <c r="I372" i="20"/>
  <c r="J372" i="20" s="1"/>
  <c r="I379" i="20"/>
  <c r="J379" i="20" s="1"/>
  <c r="I384" i="20"/>
  <c r="J384" i="20" s="1"/>
  <c r="I392" i="20"/>
  <c r="J392" i="20" s="1"/>
  <c r="I399" i="20"/>
  <c r="J399" i="20" s="1"/>
  <c r="I494" i="20"/>
  <c r="J494" i="20" s="1"/>
  <c r="I502" i="20"/>
  <c r="J502" i="20" s="1"/>
  <c r="I510" i="20"/>
  <c r="J510" i="20" s="1"/>
  <c r="I518" i="20"/>
  <c r="J518" i="20" s="1"/>
  <c r="I526" i="20"/>
  <c r="J526" i="20" s="1"/>
  <c r="I538" i="20"/>
  <c r="J538" i="20" s="1"/>
  <c r="I546" i="20"/>
  <c r="J546" i="20" s="1"/>
  <c r="I559" i="20"/>
  <c r="J559" i="20" s="1"/>
  <c r="I58" i="20"/>
  <c r="J58" i="20" s="1"/>
  <c r="I150" i="20"/>
  <c r="J150" i="20" s="1"/>
  <c r="I78" i="20"/>
  <c r="J78" i="20" s="1"/>
  <c r="I96" i="20"/>
  <c r="J96" i="20" s="1"/>
  <c r="I408" i="20"/>
  <c r="J408" i="20" s="1"/>
  <c r="I474" i="20"/>
  <c r="J474" i="20" s="1"/>
  <c r="I319" i="20"/>
  <c r="J319" i="20" s="1"/>
  <c r="I343" i="20"/>
  <c r="J343" i="20" s="1"/>
  <c r="I377" i="20"/>
  <c r="J377" i="20" s="1"/>
  <c r="I145" i="20"/>
  <c r="J145" i="20" s="1"/>
  <c r="I109" i="20"/>
  <c r="J109" i="20" s="1"/>
  <c r="I419" i="20"/>
  <c r="J419" i="20" s="1"/>
  <c r="I243" i="20"/>
  <c r="J243" i="20" s="1"/>
  <c r="I269" i="20"/>
  <c r="J269" i="20" s="1"/>
  <c r="I364" i="20"/>
  <c r="J364" i="20" s="1"/>
  <c r="I499" i="20"/>
  <c r="J499" i="20" s="1"/>
  <c r="I556" i="20"/>
  <c r="J556" i="20" s="1"/>
  <c r="I129" i="20"/>
  <c r="J129" i="20" s="1"/>
  <c r="I143" i="20"/>
  <c r="J143" i="20" s="1"/>
  <c r="I151" i="20"/>
  <c r="J151" i="20" s="1"/>
  <c r="I160" i="20"/>
  <c r="J160" i="20" s="1"/>
  <c r="I166" i="20"/>
  <c r="J166" i="20" s="1"/>
  <c r="I174" i="20"/>
  <c r="J174" i="20" s="1"/>
  <c r="I182" i="20"/>
  <c r="J182" i="20" s="1"/>
  <c r="I190" i="20"/>
  <c r="J190" i="20" s="1"/>
  <c r="I198" i="20"/>
  <c r="J198" i="20" s="1"/>
  <c r="I206" i="20"/>
  <c r="J206" i="20" s="1"/>
  <c r="I214" i="20"/>
  <c r="J214" i="20" s="1"/>
  <c r="I222" i="20"/>
  <c r="J222" i="20" s="1"/>
  <c r="I73" i="20"/>
  <c r="J73" i="20" s="1"/>
  <c r="I79" i="20"/>
  <c r="J79" i="20" s="1"/>
  <c r="I97" i="20"/>
  <c r="J97" i="20" s="1"/>
  <c r="I103" i="20"/>
  <c r="J103" i="20" s="1"/>
  <c r="I113" i="20"/>
  <c r="J113" i="20" s="1"/>
  <c r="I409" i="20"/>
  <c r="J409" i="20" s="1"/>
  <c r="I417" i="20"/>
  <c r="J417" i="20" s="1"/>
  <c r="I423" i="20"/>
  <c r="J423" i="20" s="1"/>
  <c r="I431" i="20"/>
  <c r="J431" i="20" s="1"/>
  <c r="I439" i="20"/>
  <c r="J439" i="20" s="1"/>
  <c r="I447" i="20"/>
  <c r="J447" i="20" s="1"/>
  <c r="I461" i="20"/>
  <c r="J461" i="20" s="1"/>
  <c r="I469" i="20"/>
  <c r="J469" i="20" s="1"/>
  <c r="I475" i="20"/>
  <c r="J475" i="20" s="1"/>
  <c r="I483" i="20"/>
  <c r="J483" i="20" s="1"/>
  <c r="I236" i="20"/>
  <c r="J236" i="20" s="1"/>
  <c r="I240" i="20"/>
  <c r="J240" i="20" s="1"/>
  <c r="I244" i="20"/>
  <c r="J244" i="20" s="1"/>
  <c r="I248" i="20"/>
  <c r="J248" i="20" s="1"/>
  <c r="I252" i="20"/>
  <c r="J252" i="20" s="1"/>
  <c r="I256" i="20"/>
  <c r="J256" i="20" s="1"/>
  <c r="I260" i="20"/>
  <c r="J260" i="20" s="1"/>
  <c r="I266" i="20"/>
  <c r="J266" i="20" s="1"/>
  <c r="I270" i="20"/>
  <c r="J270" i="20" s="1"/>
  <c r="I274" i="20"/>
  <c r="J274" i="20" s="1"/>
  <c r="I279" i="20"/>
  <c r="J279" i="20" s="1"/>
  <c r="I283" i="20"/>
  <c r="J283" i="20" s="1"/>
  <c r="I287" i="20"/>
  <c r="J287" i="20" s="1"/>
  <c r="I291" i="20"/>
  <c r="J291" i="20" s="1"/>
  <c r="I300" i="20"/>
  <c r="J300" i="20" s="1"/>
  <c r="I306" i="20"/>
  <c r="J306" i="20" s="1"/>
  <c r="I366" i="20"/>
  <c r="J366" i="20" s="1"/>
  <c r="I373" i="20"/>
  <c r="J373" i="20" s="1"/>
  <c r="I385" i="20"/>
  <c r="J385" i="20" s="1"/>
  <c r="I393" i="20"/>
  <c r="J393" i="20" s="1"/>
  <c r="I489" i="20"/>
  <c r="J489" i="20" s="1"/>
  <c r="I497" i="20"/>
  <c r="J497" i="20" s="1"/>
  <c r="I505" i="20"/>
  <c r="J505" i="20" s="1"/>
  <c r="I513" i="20"/>
  <c r="J513" i="20" s="1"/>
  <c r="I521" i="20"/>
  <c r="J521" i="20" s="1"/>
  <c r="I529" i="20"/>
  <c r="J529" i="20" s="1"/>
  <c r="I533" i="20"/>
  <c r="J533" i="20" s="1"/>
  <c r="I541" i="20"/>
  <c r="J541" i="20" s="1"/>
  <c r="I549" i="20"/>
  <c r="J549" i="20" s="1"/>
  <c r="I562" i="20"/>
  <c r="J562" i="20" s="1"/>
  <c r="I165" i="20"/>
  <c r="J165" i="20" s="1"/>
  <c r="I181" i="20"/>
  <c r="J181" i="20" s="1"/>
  <c r="I197" i="20"/>
  <c r="J197" i="20" s="1"/>
  <c r="I213" i="20"/>
  <c r="J213" i="20" s="1"/>
  <c r="I112" i="20"/>
  <c r="J112" i="20" s="1"/>
  <c r="I482" i="20"/>
  <c r="J482" i="20" s="1"/>
  <c r="I311" i="20"/>
  <c r="J311" i="20" s="1"/>
  <c r="I335" i="20"/>
  <c r="J335" i="20" s="1"/>
  <c r="I371" i="20"/>
  <c r="J371" i="20" s="1"/>
  <c r="I176" i="20"/>
  <c r="J176" i="20" s="1"/>
  <c r="I192" i="20"/>
  <c r="J192" i="20" s="1"/>
  <c r="I208" i="20"/>
  <c r="J208" i="20" s="1"/>
  <c r="I224" i="20"/>
  <c r="J224" i="20" s="1"/>
  <c r="I105" i="20"/>
  <c r="J105" i="20" s="1"/>
  <c r="I433" i="20"/>
  <c r="J433" i="20" s="1"/>
  <c r="I449" i="20"/>
  <c r="J449" i="20" s="1"/>
  <c r="I255" i="20"/>
  <c r="J255" i="20" s="1"/>
  <c r="I282" i="20"/>
  <c r="J282" i="20" s="1"/>
  <c r="I491" i="20"/>
  <c r="J491" i="20" s="1"/>
  <c r="I60" i="20"/>
  <c r="J60" i="20" s="1"/>
  <c r="I64" i="20"/>
  <c r="J64" i="20" s="1"/>
  <c r="I68" i="20"/>
  <c r="J68" i="20" s="1"/>
  <c r="I132" i="20"/>
  <c r="J132" i="20" s="1"/>
  <c r="I138" i="20"/>
  <c r="J138" i="20" s="1"/>
  <c r="I146" i="20"/>
  <c r="J146" i="20" s="1"/>
  <c r="I154" i="20"/>
  <c r="J154" i="20" s="1"/>
  <c r="I161" i="20"/>
  <c r="J161" i="20" s="1"/>
  <c r="I169" i="20"/>
  <c r="J169" i="20" s="1"/>
  <c r="I177" i="20"/>
  <c r="J177" i="20" s="1"/>
  <c r="I185" i="20"/>
  <c r="J185" i="20" s="1"/>
  <c r="I193" i="20"/>
  <c r="J193" i="20" s="1"/>
  <c r="I201" i="20"/>
  <c r="J201" i="20" s="1"/>
  <c r="I209" i="20"/>
  <c r="J209" i="20" s="1"/>
  <c r="I217" i="20"/>
  <c r="J217" i="20" s="1"/>
  <c r="I232" i="20"/>
  <c r="J232" i="20" s="1"/>
  <c r="I82" i="20"/>
  <c r="J82" i="20" s="1"/>
  <c r="I92" i="20"/>
  <c r="J92" i="20" s="1"/>
  <c r="I110" i="20"/>
  <c r="J110" i="20" s="1"/>
  <c r="I116" i="20"/>
  <c r="J116" i="20" s="1"/>
  <c r="I122" i="20"/>
  <c r="J122" i="20" s="1"/>
  <c r="I404" i="20"/>
  <c r="J404" i="20" s="1"/>
  <c r="I412" i="20"/>
  <c r="J412" i="20" s="1"/>
  <c r="I420" i="20"/>
  <c r="J420" i="20" s="1"/>
  <c r="I426" i="20"/>
  <c r="J426" i="20" s="1"/>
  <c r="I434" i="20"/>
  <c r="J434" i="20" s="1"/>
  <c r="I442" i="20"/>
  <c r="J442" i="20" s="1"/>
  <c r="I450" i="20"/>
  <c r="J450" i="20" s="1"/>
  <c r="I456" i="20"/>
  <c r="J456" i="20" s="1"/>
  <c r="I464" i="20"/>
  <c r="J464" i="20" s="1"/>
  <c r="I478" i="20"/>
  <c r="J478" i="20" s="1"/>
  <c r="I275" i="20"/>
  <c r="J275" i="20" s="1"/>
  <c r="I292" i="20"/>
  <c r="J292" i="20" s="1"/>
  <c r="I296" i="20"/>
  <c r="J296" i="20" s="1"/>
  <c r="I313" i="20"/>
  <c r="J313" i="20" s="1"/>
  <c r="I317" i="20"/>
  <c r="J317" i="20" s="1"/>
  <c r="I321" i="20"/>
  <c r="J321" i="20" s="1"/>
  <c r="I325" i="20"/>
  <c r="J325" i="20" s="1"/>
  <c r="I329" i="20"/>
  <c r="J329" i="20" s="1"/>
  <c r="I333" i="20"/>
  <c r="J333" i="20" s="1"/>
  <c r="I337" i="20"/>
  <c r="J337" i="20" s="1"/>
  <c r="I341" i="20"/>
  <c r="J341" i="20" s="1"/>
  <c r="I345" i="20"/>
  <c r="J345" i="20" s="1"/>
  <c r="I350" i="20"/>
  <c r="J350" i="20" s="1"/>
  <c r="I355" i="20"/>
  <c r="J355" i="20" s="1"/>
  <c r="I359" i="20"/>
  <c r="J359" i="20" s="1"/>
  <c r="I367" i="20"/>
  <c r="J367" i="20" s="1"/>
  <c r="I374" i="20"/>
  <c r="J374" i="20" s="1"/>
  <c r="I380" i="20"/>
  <c r="J380" i="20" s="1"/>
  <c r="I386" i="20"/>
  <c r="J386" i="20" s="1"/>
  <c r="I394" i="20"/>
  <c r="J394" i="20" s="1"/>
  <c r="I492" i="20"/>
  <c r="J492" i="20" s="1"/>
  <c r="I500" i="20"/>
  <c r="J500" i="20" s="1"/>
  <c r="I508" i="20"/>
  <c r="J508" i="20" s="1"/>
  <c r="I516" i="20"/>
  <c r="J516" i="20" s="1"/>
  <c r="I524" i="20"/>
  <c r="J524" i="20" s="1"/>
  <c r="I536" i="20"/>
  <c r="J536" i="20" s="1"/>
  <c r="I544" i="20"/>
  <c r="J544" i="20" s="1"/>
  <c r="I557" i="20"/>
  <c r="J557" i="20" s="1"/>
  <c r="I66" i="20"/>
  <c r="J66" i="20" s="1"/>
  <c r="I142" i="20"/>
  <c r="J142" i="20" s="1"/>
  <c r="I158" i="20"/>
  <c r="J158" i="20" s="1"/>
  <c r="I205" i="20"/>
  <c r="J205" i="20" s="1"/>
  <c r="I102" i="20"/>
  <c r="J102" i="20" s="1"/>
  <c r="I416" i="20"/>
  <c r="J416" i="20" s="1"/>
  <c r="I468" i="20"/>
  <c r="J468" i="20" s="1"/>
  <c r="I294" i="20"/>
  <c r="J294" i="20" s="1"/>
  <c r="I323" i="20"/>
  <c r="J323" i="20" s="1"/>
  <c r="I390" i="20"/>
  <c r="J390" i="20" s="1"/>
  <c r="I81" i="20"/>
  <c r="J81" i="20" s="1"/>
  <c r="I99" i="20"/>
  <c r="J99" i="20" s="1"/>
  <c r="I411" i="20"/>
  <c r="J411" i="20" s="1"/>
  <c r="I425" i="20"/>
  <c r="J425" i="20" s="1"/>
  <c r="I441" i="20"/>
  <c r="J441" i="20" s="1"/>
  <c r="I235" i="20"/>
  <c r="I259" i="20"/>
  <c r="J259" i="20" s="1"/>
  <c r="I286" i="20"/>
  <c r="J286" i="20" s="1"/>
  <c r="I391" i="20"/>
  <c r="J391" i="20" s="1"/>
  <c r="I56" i="20"/>
  <c r="I141" i="20"/>
  <c r="J141" i="20" s="1"/>
  <c r="I149" i="20"/>
  <c r="J149" i="20" s="1"/>
  <c r="I157" i="20"/>
  <c r="J157" i="20" s="1"/>
  <c r="I164" i="20"/>
  <c r="J164" i="20" s="1"/>
  <c r="I172" i="20"/>
  <c r="J172" i="20" s="1"/>
  <c r="I180" i="20"/>
  <c r="J180" i="20" s="1"/>
  <c r="I188" i="20"/>
  <c r="J188" i="20" s="1"/>
  <c r="I196" i="20"/>
  <c r="J196" i="20" s="1"/>
  <c r="I204" i="20"/>
  <c r="J204" i="20" s="1"/>
  <c r="I212" i="20"/>
  <c r="J212" i="20" s="1"/>
  <c r="I220" i="20"/>
  <c r="J220" i="20" s="1"/>
  <c r="I77" i="20"/>
  <c r="J77" i="20" s="1"/>
  <c r="I89" i="20"/>
  <c r="J89" i="20" s="1"/>
  <c r="I95" i="20"/>
  <c r="J95" i="20" s="1"/>
  <c r="I101" i="20"/>
  <c r="J101" i="20" s="1"/>
  <c r="I111" i="20"/>
  <c r="J111" i="20" s="1"/>
  <c r="I125" i="20"/>
  <c r="J125" i="20" s="1"/>
  <c r="I407" i="20"/>
  <c r="J407" i="20" s="1"/>
  <c r="I415" i="20"/>
  <c r="J415" i="20" s="1"/>
  <c r="I429" i="20"/>
  <c r="J429" i="20" s="1"/>
  <c r="I437" i="20"/>
  <c r="J437" i="20" s="1"/>
  <c r="I445" i="20"/>
  <c r="J445" i="20" s="1"/>
  <c r="I453" i="20"/>
  <c r="J453" i="20" s="1"/>
  <c r="I459" i="20"/>
  <c r="J459" i="20" s="1"/>
  <c r="I467" i="20"/>
  <c r="J467" i="20" s="1"/>
  <c r="I473" i="20"/>
  <c r="J473" i="20" s="1"/>
  <c r="I481" i="20"/>
  <c r="J481" i="20" s="1"/>
  <c r="I237" i="20"/>
  <c r="J237" i="20" s="1"/>
  <c r="I241" i="20"/>
  <c r="J241" i="20" s="1"/>
  <c r="I245" i="20"/>
  <c r="J245" i="20" s="1"/>
  <c r="I249" i="20"/>
  <c r="J249" i="20" s="1"/>
  <c r="I253" i="20"/>
  <c r="J253" i="20" s="1"/>
  <c r="I257" i="20"/>
  <c r="J257" i="20" s="1"/>
  <c r="I261" i="20"/>
  <c r="J261" i="20" s="1"/>
  <c r="I267" i="20"/>
  <c r="J267" i="20" s="1"/>
  <c r="I271" i="20"/>
  <c r="J271" i="20" s="1"/>
  <c r="I280" i="20"/>
  <c r="J280" i="20" s="1"/>
  <c r="I284" i="20"/>
  <c r="J284" i="20" s="1"/>
  <c r="I288" i="20"/>
  <c r="J288" i="20" s="1"/>
  <c r="I301" i="20"/>
  <c r="J301" i="20" s="1"/>
  <c r="I307" i="20"/>
  <c r="J307" i="20" s="1"/>
  <c r="I346" i="20"/>
  <c r="J346" i="20" s="1"/>
  <c r="I360" i="20"/>
  <c r="J360" i="20" s="1"/>
  <c r="I368" i="20"/>
  <c r="J368" i="20" s="1"/>
  <c r="I375" i="20"/>
  <c r="J375" i="20" s="1"/>
  <c r="I387" i="20"/>
  <c r="J387" i="20" s="1"/>
  <c r="I395" i="20"/>
  <c r="J395" i="20" s="1"/>
  <c r="I487" i="20"/>
  <c r="I495" i="20"/>
  <c r="J495" i="20" s="1"/>
  <c r="I503" i="20"/>
  <c r="J503" i="20" s="1"/>
  <c r="I511" i="20"/>
  <c r="J511" i="20" s="1"/>
  <c r="I519" i="20"/>
  <c r="J519" i="20" s="1"/>
  <c r="I527" i="20"/>
  <c r="J527" i="20" s="1"/>
  <c r="I531" i="20"/>
  <c r="J531" i="20" s="1"/>
  <c r="I539" i="20"/>
  <c r="J539" i="20" s="1"/>
  <c r="I547" i="20"/>
  <c r="J547" i="20" s="1"/>
  <c r="I560" i="20"/>
  <c r="J560" i="20" s="1"/>
  <c r="I128" i="20"/>
  <c r="J128" i="20" s="1"/>
  <c r="I72" i="20"/>
  <c r="J72" i="20" s="1"/>
  <c r="I402" i="20"/>
  <c r="I422" i="20"/>
  <c r="J422" i="20" s="1"/>
  <c r="I438" i="20"/>
  <c r="J438" i="20" s="1"/>
  <c r="I454" i="20"/>
  <c r="J454" i="20" s="1"/>
  <c r="I315" i="20"/>
  <c r="J315" i="20" s="1"/>
  <c r="I339" i="20"/>
  <c r="J339" i="20" s="1"/>
  <c r="I363" i="20"/>
  <c r="J363" i="20" s="1"/>
  <c r="I488" i="20"/>
  <c r="J488" i="20" s="1"/>
  <c r="I548" i="20"/>
  <c r="J548" i="20" s="1"/>
  <c r="I137" i="20"/>
  <c r="J137" i="20" s="1"/>
  <c r="I153" i="20"/>
  <c r="J153" i="20" s="1"/>
  <c r="I121" i="20"/>
  <c r="J121" i="20" s="1"/>
  <c r="I251" i="20"/>
  <c r="J251" i="20" s="1"/>
  <c r="I278" i="20"/>
  <c r="J278" i="20" s="1"/>
  <c r="I305" i="20"/>
  <c r="J305" i="20" s="1"/>
  <c r="I353" i="20"/>
  <c r="J353" i="20" s="1"/>
  <c r="I383" i="20"/>
  <c r="J383" i="20" s="1"/>
  <c r="I523" i="20"/>
  <c r="J523" i="20" s="1"/>
  <c r="I535" i="20"/>
  <c r="J535" i="20" s="1"/>
  <c r="I57" i="20"/>
  <c r="J57" i="20" s="1"/>
  <c r="I61" i="20"/>
  <c r="J61" i="20" s="1"/>
  <c r="I65" i="20"/>
  <c r="J65" i="20" s="1"/>
  <c r="I126" i="20"/>
  <c r="J126" i="20" s="1"/>
  <c r="I130" i="20"/>
  <c r="J130" i="20" s="1"/>
  <c r="I136" i="20"/>
  <c r="J136" i="20" s="1"/>
  <c r="I144" i="20"/>
  <c r="J144" i="20" s="1"/>
  <c r="I152" i="20"/>
  <c r="J152" i="20" s="1"/>
  <c r="I167" i="20"/>
  <c r="J167" i="20" s="1"/>
  <c r="I175" i="20"/>
  <c r="J175" i="20" s="1"/>
  <c r="I183" i="20"/>
  <c r="J183" i="20" s="1"/>
  <c r="I191" i="20"/>
  <c r="J191" i="20" s="1"/>
  <c r="I199" i="20"/>
  <c r="J199" i="20" s="1"/>
  <c r="I207" i="20"/>
  <c r="J207" i="20" s="1"/>
  <c r="I215" i="20"/>
  <c r="J215" i="20" s="1"/>
  <c r="I223" i="20"/>
  <c r="J223" i="20" s="1"/>
  <c r="I74" i="20"/>
  <c r="J74" i="20" s="1"/>
  <c r="I80" i="20"/>
  <c r="J80" i="20" s="1"/>
  <c r="I90" i="20"/>
  <c r="J90" i="20" s="1"/>
  <c r="I98" i="20"/>
  <c r="J98" i="20" s="1"/>
  <c r="I104" i="20"/>
  <c r="J104" i="20" s="1"/>
  <c r="I108" i="20"/>
  <c r="J108" i="20" s="1"/>
  <c r="I114" i="20"/>
  <c r="J114" i="20" s="1"/>
  <c r="I120" i="20"/>
  <c r="J120" i="20" s="1"/>
  <c r="I410" i="20"/>
  <c r="J410" i="20" s="1"/>
  <c r="I418" i="20"/>
  <c r="J418" i="20" s="1"/>
  <c r="I424" i="20"/>
  <c r="J424" i="20" s="1"/>
  <c r="I432" i="20"/>
  <c r="J432" i="20" s="1"/>
  <c r="I440" i="20"/>
  <c r="J440" i="20" s="1"/>
  <c r="I448" i="20"/>
  <c r="J448" i="20" s="1"/>
  <c r="I462" i="20"/>
  <c r="J462" i="20" s="1"/>
  <c r="I470" i="20"/>
  <c r="J470" i="20" s="1"/>
  <c r="I476" i="20"/>
  <c r="J476" i="20" s="1"/>
  <c r="I484" i="20"/>
  <c r="J484" i="20" s="1"/>
  <c r="I276" i="20"/>
  <c r="J276" i="20" s="1"/>
  <c r="I293" i="20"/>
  <c r="J293" i="20" s="1"/>
  <c r="I297" i="20"/>
  <c r="J297" i="20" s="1"/>
  <c r="I302" i="20"/>
  <c r="J302" i="20" s="1"/>
  <c r="I308" i="20"/>
  <c r="J308" i="20" s="1"/>
  <c r="I314" i="20"/>
  <c r="J314" i="20" s="1"/>
  <c r="I318" i="20"/>
  <c r="J318" i="20" s="1"/>
  <c r="I322" i="20"/>
  <c r="J322" i="20" s="1"/>
  <c r="I326" i="20"/>
  <c r="J326" i="20" s="1"/>
  <c r="I330" i="20"/>
  <c r="J330" i="20" s="1"/>
  <c r="I334" i="20"/>
  <c r="J334" i="20" s="1"/>
  <c r="I338" i="20"/>
  <c r="J338" i="20" s="1"/>
  <c r="I342" i="20"/>
  <c r="J342" i="20" s="1"/>
  <c r="I351" i="20"/>
  <c r="J351" i="20" s="1"/>
  <c r="I356" i="20"/>
  <c r="J356" i="20" s="1"/>
  <c r="I361" i="20"/>
  <c r="J361" i="20" s="1"/>
  <c r="I369" i="20"/>
  <c r="J369" i="20" s="1"/>
  <c r="I376" i="20"/>
  <c r="J376" i="20" s="1"/>
  <c r="I381" i="20"/>
  <c r="J381" i="20" s="1"/>
  <c r="I388" i="20"/>
  <c r="J388" i="20" s="1"/>
  <c r="I396" i="20"/>
  <c r="J396" i="20" s="1"/>
  <c r="I490" i="20"/>
  <c r="J490" i="20" s="1"/>
  <c r="I498" i="20"/>
  <c r="J498" i="20" s="1"/>
  <c r="I506" i="20"/>
  <c r="J506" i="20" s="1"/>
  <c r="I514" i="20"/>
  <c r="J514" i="20" s="1"/>
  <c r="I522" i="20"/>
  <c r="J522" i="20" s="1"/>
  <c r="I530" i="20"/>
  <c r="J530" i="20" s="1"/>
  <c r="I534" i="20"/>
  <c r="J534" i="20" s="1"/>
  <c r="I542" i="20"/>
  <c r="J542" i="20" s="1"/>
  <c r="I555" i="20"/>
  <c r="J555" i="20" s="1"/>
  <c r="I563" i="20"/>
  <c r="J563" i="20" s="1"/>
  <c r="I62" i="20"/>
  <c r="J62" i="20" s="1"/>
  <c r="I173" i="20"/>
  <c r="J173" i="20" s="1"/>
  <c r="I189" i="20"/>
  <c r="J189" i="20" s="1"/>
  <c r="I221" i="20"/>
  <c r="J221" i="20" s="1"/>
  <c r="I430" i="20"/>
  <c r="J430" i="20" s="1"/>
  <c r="I446" i="20"/>
  <c r="J446" i="20" s="1"/>
  <c r="I460" i="20"/>
  <c r="J460" i="20" s="1"/>
  <c r="I277" i="20"/>
  <c r="J277" i="20" s="1"/>
  <c r="I327" i="20"/>
  <c r="J327" i="20" s="1"/>
  <c r="I348" i="20"/>
  <c r="J348" i="20" s="1"/>
  <c r="I382" i="20"/>
  <c r="J382" i="20" s="1"/>
  <c r="I496" i="20"/>
  <c r="J496" i="20" s="1"/>
  <c r="I512" i="20"/>
  <c r="J512" i="20" s="1"/>
  <c r="I528" i="20"/>
  <c r="J528" i="20" s="1"/>
  <c r="I540" i="20"/>
  <c r="J540" i="20" s="1"/>
  <c r="I131" i="20"/>
  <c r="J131" i="20" s="1"/>
  <c r="I91" i="20"/>
  <c r="J91" i="20" s="1"/>
  <c r="I403" i="20"/>
  <c r="J403" i="20" s="1"/>
  <c r="I455" i="20"/>
  <c r="J455" i="20" s="1"/>
  <c r="I239" i="20"/>
  <c r="J239" i="20" s="1"/>
  <c r="I263" i="20"/>
  <c r="J263" i="20" s="1"/>
  <c r="I290" i="20"/>
  <c r="J290" i="20" s="1"/>
  <c r="I515" i="20"/>
  <c r="J515" i="20" s="1"/>
  <c r="I133" i="20"/>
  <c r="J133" i="20" s="1"/>
  <c r="I139" i="20"/>
  <c r="J139" i="20" s="1"/>
  <c r="I147" i="20"/>
  <c r="J147" i="20" s="1"/>
  <c r="I155" i="20"/>
  <c r="J155" i="20" s="1"/>
  <c r="I162" i="20"/>
  <c r="J162" i="20" s="1"/>
  <c r="I170" i="20"/>
  <c r="J170" i="20" s="1"/>
  <c r="I178" i="20"/>
  <c r="J178" i="20" s="1"/>
  <c r="I186" i="20"/>
  <c r="J186" i="20" s="1"/>
  <c r="I194" i="20"/>
  <c r="J194" i="20" s="1"/>
  <c r="I202" i="20"/>
  <c r="J202" i="20" s="1"/>
  <c r="I210" i="20"/>
  <c r="J210" i="20" s="1"/>
  <c r="I218" i="20"/>
  <c r="J218" i="20" s="1"/>
  <c r="I71" i="20"/>
  <c r="I83" i="20"/>
  <c r="J83" i="20" s="1"/>
  <c r="I87" i="20"/>
  <c r="J87" i="20" s="1"/>
  <c r="I93" i="20"/>
  <c r="J93" i="20" s="1"/>
  <c r="I117" i="20"/>
  <c r="J117" i="20" s="1"/>
  <c r="I123" i="20"/>
  <c r="J123" i="20" s="1"/>
  <c r="I405" i="20"/>
  <c r="J405" i="20" s="1"/>
  <c r="I413" i="20"/>
  <c r="J413" i="20" s="1"/>
  <c r="I421" i="20"/>
  <c r="J421" i="20" s="1"/>
  <c r="I427" i="20"/>
  <c r="J427" i="20" s="1"/>
  <c r="I435" i="20"/>
  <c r="J435" i="20" s="1"/>
  <c r="I443" i="20"/>
  <c r="J443" i="20" s="1"/>
  <c r="I451" i="20"/>
  <c r="J451" i="20" s="1"/>
  <c r="I457" i="20"/>
  <c r="J457" i="20" s="1"/>
  <c r="I465" i="20"/>
  <c r="J465" i="20" s="1"/>
  <c r="I471" i="20"/>
  <c r="J471" i="20" s="1"/>
  <c r="I479" i="20"/>
  <c r="J479" i="20" s="1"/>
  <c r="I238" i="20"/>
  <c r="J238" i="20" s="1"/>
  <c r="I242" i="20"/>
  <c r="J242" i="20" s="1"/>
  <c r="I246" i="20"/>
  <c r="J246" i="20" s="1"/>
  <c r="I250" i="20"/>
  <c r="J250" i="20" s="1"/>
  <c r="I254" i="20"/>
  <c r="J254" i="20" s="1"/>
  <c r="I258" i="20"/>
  <c r="J258" i="20" s="1"/>
  <c r="I262" i="20"/>
  <c r="J262" i="20" s="1"/>
  <c r="I268" i="20"/>
  <c r="J268" i="20" s="1"/>
  <c r="I272" i="20"/>
  <c r="J272" i="20" s="1"/>
  <c r="I281" i="20"/>
  <c r="J281" i="20" s="1"/>
  <c r="I285" i="20"/>
  <c r="J285" i="20" s="1"/>
  <c r="I289" i="20"/>
  <c r="J289" i="20" s="1"/>
  <c r="I298" i="20"/>
  <c r="J298" i="20" s="1"/>
  <c r="I303" i="20"/>
  <c r="J303" i="20" s="1"/>
  <c r="I310" i="20"/>
  <c r="J310" i="20" s="1"/>
  <c r="I347" i="20"/>
  <c r="J347" i="20" s="1"/>
  <c r="I352" i="20"/>
  <c r="J352" i="20" s="1"/>
  <c r="I362" i="20"/>
  <c r="J362" i="20" s="1"/>
  <c r="I370" i="20"/>
  <c r="J370" i="20" s="1"/>
  <c r="I389" i="20"/>
  <c r="J389" i="20" s="1"/>
  <c r="I397" i="20"/>
  <c r="J397" i="20" s="1"/>
  <c r="I493" i="20"/>
  <c r="J493" i="20" s="1"/>
  <c r="I501" i="20"/>
  <c r="J501" i="20" s="1"/>
  <c r="I509" i="20"/>
  <c r="J509" i="20" s="1"/>
  <c r="I517" i="20"/>
  <c r="J517" i="20" s="1"/>
  <c r="I525" i="20"/>
  <c r="J525" i="20" s="1"/>
  <c r="I537" i="20"/>
  <c r="J537" i="20" s="1"/>
  <c r="I545" i="20"/>
  <c r="J545" i="20" s="1"/>
  <c r="I558" i="20"/>
  <c r="J558" i="20" s="1"/>
  <c r="N618" i="20" l="1"/>
  <c r="N621" i="20"/>
  <c r="N619" i="20"/>
  <c r="N620" i="20"/>
  <c r="L487" i="20"/>
  <c r="L235" i="20"/>
  <c r="K234" i="20"/>
  <c r="L234" i="20" s="1"/>
  <c r="N536" i="20"/>
  <c r="K232" i="20"/>
  <c r="L232" i="20" s="1"/>
  <c r="N232" i="20" s="1"/>
  <c r="O232" i="20" s="1"/>
  <c r="N519" i="20"/>
  <c r="N549" i="20"/>
  <c r="N489" i="20"/>
  <c r="N488" i="20"/>
  <c r="N512" i="20"/>
  <c r="N520" i="20"/>
  <c r="N528" i="20"/>
  <c r="N496" i="20"/>
  <c r="N540" i="20"/>
  <c r="N561" i="20"/>
  <c r="N532" i="20"/>
  <c r="N504" i="20"/>
  <c r="N548" i="20"/>
  <c r="N510" i="20"/>
  <c r="N562" i="20"/>
  <c r="N497" i="20"/>
  <c r="N527" i="20"/>
  <c r="N517" i="20"/>
  <c r="N542" i="20"/>
  <c r="N505" i="20"/>
  <c r="N563" i="20"/>
  <c r="N498" i="20"/>
  <c r="N531" i="20"/>
  <c r="N525" i="20"/>
  <c r="N555" i="20"/>
  <c r="N490" i="20"/>
  <c r="N513" i="20"/>
  <c r="N506" i="20"/>
  <c r="N529" i="20"/>
  <c r="N538" i="20"/>
  <c r="N515" i="20"/>
  <c r="N543" i="20"/>
  <c r="N541" i="20"/>
  <c r="N545" i="20"/>
  <c r="N501" i="20"/>
  <c r="N530" i="20"/>
  <c r="N521" i="20"/>
  <c r="N533" i="20"/>
  <c r="N522" i="20"/>
  <c r="N509" i="20"/>
  <c r="N511" i="20"/>
  <c r="N494" i="20"/>
  <c r="N524" i="20"/>
  <c r="N535" i="20"/>
  <c r="N534" i="20"/>
  <c r="N503" i="20"/>
  <c r="N537" i="20"/>
  <c r="N508" i="20"/>
  <c r="N559" i="20"/>
  <c r="N523" i="20"/>
  <c r="N560" i="20"/>
  <c r="N495" i="20"/>
  <c r="N546" i="20"/>
  <c r="N514" i="20"/>
  <c r="N558" i="20"/>
  <c r="N539" i="20"/>
  <c r="N557" i="20"/>
  <c r="N547" i="20"/>
  <c r="N492" i="20"/>
  <c r="N526" i="20"/>
  <c r="N507" i="20"/>
  <c r="N491" i="20"/>
  <c r="N544" i="20"/>
  <c r="N493" i="20"/>
  <c r="N500" i="20"/>
  <c r="K69" i="20"/>
  <c r="L69" i="20" s="1"/>
  <c r="N502" i="20"/>
  <c r="N516" i="20"/>
  <c r="N556" i="20"/>
  <c r="K622" i="20"/>
  <c r="L622" i="20" s="1"/>
  <c r="N499" i="20"/>
  <c r="N518" i="20"/>
  <c r="K485" i="20"/>
  <c r="L485" i="20" s="1"/>
  <c r="N397" i="20"/>
  <c r="O397" i="20" s="1"/>
  <c r="N238" i="20"/>
  <c r="O238" i="20" s="1"/>
  <c r="N123" i="20"/>
  <c r="O123" i="20" s="1"/>
  <c r="N446" i="20"/>
  <c r="O446" i="20" s="1"/>
  <c r="N462" i="20"/>
  <c r="O462" i="20" s="1"/>
  <c r="N183" i="20"/>
  <c r="O183" i="20" s="1"/>
  <c r="N347" i="20"/>
  <c r="O347" i="20" s="1"/>
  <c r="N194" i="20"/>
  <c r="O194" i="20" s="1"/>
  <c r="N162" i="20"/>
  <c r="O162" i="20" s="1"/>
  <c r="N290" i="20"/>
  <c r="O290" i="20" s="1"/>
  <c r="N403" i="20"/>
  <c r="O403" i="20" s="1"/>
  <c r="N348" i="20"/>
  <c r="O348" i="20" s="1"/>
  <c r="N396" i="20"/>
  <c r="O396" i="20" s="1"/>
  <c r="N369" i="20"/>
  <c r="O369" i="20" s="1"/>
  <c r="N342" i="20"/>
  <c r="O342" i="20" s="1"/>
  <c r="N326" i="20"/>
  <c r="O326" i="20" s="1"/>
  <c r="N308" i="20"/>
  <c r="O308" i="20" s="1"/>
  <c r="N276" i="20"/>
  <c r="O276" i="20" s="1"/>
  <c r="N424" i="20"/>
  <c r="O424" i="20" s="1"/>
  <c r="N114" i="20"/>
  <c r="O114" i="20" s="1"/>
  <c r="N90" i="20"/>
  <c r="O90" i="20" s="1"/>
  <c r="N65" i="20"/>
  <c r="O65" i="20" s="1"/>
  <c r="N153" i="20"/>
  <c r="O153" i="20" s="1"/>
  <c r="N363" i="20"/>
  <c r="O363" i="20" s="1"/>
  <c r="N438" i="20"/>
  <c r="O438" i="20" s="1"/>
  <c r="N395" i="20"/>
  <c r="O395" i="20" s="1"/>
  <c r="N360" i="20"/>
  <c r="O360" i="20" s="1"/>
  <c r="N288" i="20"/>
  <c r="O288" i="20" s="1"/>
  <c r="N267" i="20"/>
  <c r="O267" i="20" s="1"/>
  <c r="N249" i="20"/>
  <c r="O249" i="20" s="1"/>
  <c r="N481" i="20"/>
  <c r="O481" i="20" s="1"/>
  <c r="N453" i="20"/>
  <c r="O453" i="20" s="1"/>
  <c r="N415" i="20"/>
  <c r="O415" i="20" s="1"/>
  <c r="N101" i="20"/>
  <c r="O101" i="20" s="1"/>
  <c r="N220" i="20"/>
  <c r="O220" i="20" s="1"/>
  <c r="N188" i="20"/>
  <c r="O188" i="20" s="1"/>
  <c r="N294" i="20"/>
  <c r="O294" i="20" s="1"/>
  <c r="N205" i="20"/>
  <c r="O205" i="20" s="1"/>
  <c r="N367" i="20"/>
  <c r="O367" i="20" s="1"/>
  <c r="N478" i="20"/>
  <c r="O478" i="20" s="1"/>
  <c r="N442" i="20"/>
  <c r="O442" i="20" s="1"/>
  <c r="N217" i="20"/>
  <c r="O217" i="20" s="1"/>
  <c r="N185" i="20"/>
  <c r="O185" i="20" s="1"/>
  <c r="N282" i="20"/>
  <c r="O282" i="20" s="1"/>
  <c r="N105" i="20"/>
  <c r="O105" i="20" s="1"/>
  <c r="N176" i="20"/>
  <c r="O176" i="20" s="1"/>
  <c r="N482" i="20"/>
  <c r="O482" i="20" s="1"/>
  <c r="N181" i="20"/>
  <c r="O181" i="20" s="1"/>
  <c r="N306" i="20"/>
  <c r="O306" i="20" s="1"/>
  <c r="N266" i="20"/>
  <c r="O266" i="20" s="1"/>
  <c r="N182" i="20"/>
  <c r="O182" i="20" s="1"/>
  <c r="N379" i="20"/>
  <c r="O379" i="20" s="1"/>
  <c r="N414" i="20"/>
  <c r="O414" i="20" s="1"/>
  <c r="N187" i="20"/>
  <c r="O187" i="20" s="1"/>
  <c r="N156" i="20"/>
  <c r="O156" i="20" s="1"/>
  <c r="N247" i="20"/>
  <c r="O247" i="20" s="1"/>
  <c r="N370" i="20"/>
  <c r="O370" i="20" s="1"/>
  <c r="N272" i="20"/>
  <c r="O272" i="20" s="1"/>
  <c r="N427" i="20"/>
  <c r="O427" i="20" s="1"/>
  <c r="N139" i="20"/>
  <c r="O139" i="20" s="1"/>
  <c r="N389" i="20"/>
  <c r="O389" i="20" s="1"/>
  <c r="N268" i="20"/>
  <c r="O268" i="20" s="1"/>
  <c r="N479" i="20"/>
  <c r="O479" i="20" s="1"/>
  <c r="N421" i="20"/>
  <c r="O421" i="20" s="1"/>
  <c r="I233" i="20"/>
  <c r="J233" i="20" s="1"/>
  <c r="N263" i="20"/>
  <c r="O263" i="20" s="1"/>
  <c r="N430" i="20"/>
  <c r="O430" i="20" s="1"/>
  <c r="N418" i="20"/>
  <c r="O418" i="20" s="1"/>
  <c r="N175" i="20"/>
  <c r="O175" i="20" s="1"/>
  <c r="N61" i="20"/>
  <c r="O61" i="20" s="1"/>
  <c r="N305" i="20"/>
  <c r="O305" i="20" s="1"/>
  <c r="N128" i="20"/>
  <c r="O128" i="20" s="1"/>
  <c r="N99" i="20"/>
  <c r="O99" i="20" s="1"/>
  <c r="N394" i="20"/>
  <c r="O394" i="20" s="1"/>
  <c r="N345" i="20"/>
  <c r="O345" i="20" s="1"/>
  <c r="N329" i="20"/>
  <c r="O329" i="20" s="1"/>
  <c r="N313" i="20"/>
  <c r="O313" i="20" s="1"/>
  <c r="N412" i="20"/>
  <c r="O412" i="20" s="1"/>
  <c r="N110" i="20"/>
  <c r="O110" i="20" s="1"/>
  <c r="N154" i="20"/>
  <c r="O154" i="20" s="1"/>
  <c r="N68" i="20"/>
  <c r="O68" i="20" s="1"/>
  <c r="N393" i="20"/>
  <c r="O393" i="20" s="1"/>
  <c r="N283" i="20"/>
  <c r="O283" i="20" s="1"/>
  <c r="N248" i="20"/>
  <c r="O248" i="20" s="1"/>
  <c r="N483" i="20"/>
  <c r="O483" i="20" s="1"/>
  <c r="N447" i="20"/>
  <c r="O447" i="20" s="1"/>
  <c r="N417" i="20"/>
  <c r="O417" i="20" s="1"/>
  <c r="N97" i="20"/>
  <c r="O97" i="20" s="1"/>
  <c r="N214" i="20"/>
  <c r="O214" i="20" s="1"/>
  <c r="N151" i="20"/>
  <c r="O151" i="20" s="1"/>
  <c r="N243" i="20"/>
  <c r="O243" i="20" s="1"/>
  <c r="N377" i="20"/>
  <c r="O377" i="20" s="1"/>
  <c r="N408" i="20"/>
  <c r="O408" i="20" s="1"/>
  <c r="N58" i="20"/>
  <c r="O58" i="20" s="1"/>
  <c r="N354" i="20"/>
  <c r="O354" i="20" s="1"/>
  <c r="N336" i="20"/>
  <c r="O336" i="20" s="1"/>
  <c r="N320" i="20"/>
  <c r="O320" i="20" s="1"/>
  <c r="N480" i="20"/>
  <c r="O480" i="20" s="1"/>
  <c r="N452" i="20"/>
  <c r="O452" i="20" s="1"/>
  <c r="N94" i="20"/>
  <c r="O94" i="20" s="1"/>
  <c r="N219" i="20"/>
  <c r="O219" i="20" s="1"/>
  <c r="N67" i="20"/>
  <c r="O67" i="20" s="1"/>
  <c r="N216" i="20"/>
  <c r="O216" i="20" s="1"/>
  <c r="N398" i="20"/>
  <c r="O398" i="20" s="1"/>
  <c r="N254" i="20"/>
  <c r="O254" i="20" s="1"/>
  <c r="N83" i="20"/>
  <c r="O83" i="20" s="1"/>
  <c r="N289" i="20"/>
  <c r="O289" i="20" s="1"/>
  <c r="N250" i="20"/>
  <c r="O250" i="20" s="1"/>
  <c r="N451" i="20"/>
  <c r="O451" i="20" s="1"/>
  <c r="N117" i="20"/>
  <c r="O117" i="20" s="1"/>
  <c r="N133" i="20"/>
  <c r="O133" i="20" s="1"/>
  <c r="N327" i="20"/>
  <c r="O327" i="20" s="1"/>
  <c r="N302" i="20"/>
  <c r="O302" i="20" s="1"/>
  <c r="N207" i="20"/>
  <c r="O207" i="20" s="1"/>
  <c r="N136" i="20"/>
  <c r="O136" i="20" s="1"/>
  <c r="N186" i="20"/>
  <c r="O186" i="20" s="1"/>
  <c r="N91" i="20"/>
  <c r="O91" i="20" s="1"/>
  <c r="N62" i="20"/>
  <c r="O62" i="20" s="1"/>
  <c r="N388" i="20"/>
  <c r="O388" i="20" s="1"/>
  <c r="N361" i="20"/>
  <c r="O361" i="20" s="1"/>
  <c r="N338" i="20"/>
  <c r="O338" i="20" s="1"/>
  <c r="N322" i="20"/>
  <c r="O322" i="20" s="1"/>
  <c r="N484" i="20"/>
  <c r="O484" i="20" s="1"/>
  <c r="N448" i="20"/>
  <c r="O448" i="20" s="1"/>
  <c r="N108" i="20"/>
  <c r="O108" i="20" s="1"/>
  <c r="N80" i="20"/>
  <c r="O80" i="20" s="1"/>
  <c r="N137" i="20"/>
  <c r="O137" i="20" s="1"/>
  <c r="N339" i="20"/>
  <c r="O339" i="20" s="1"/>
  <c r="N422" i="20"/>
  <c r="O422" i="20" s="1"/>
  <c r="N387" i="20"/>
  <c r="O387" i="20" s="1"/>
  <c r="N346" i="20"/>
  <c r="O346" i="20" s="1"/>
  <c r="N284" i="20"/>
  <c r="O284" i="20" s="1"/>
  <c r="N261" i="20"/>
  <c r="O261" i="20" s="1"/>
  <c r="N245" i="20"/>
  <c r="O245" i="20" s="1"/>
  <c r="N473" i="20"/>
  <c r="O473" i="20" s="1"/>
  <c r="N445" i="20"/>
  <c r="O445" i="20" s="1"/>
  <c r="N407" i="20"/>
  <c r="O407" i="20" s="1"/>
  <c r="N95" i="20"/>
  <c r="O95" i="20" s="1"/>
  <c r="N212" i="20"/>
  <c r="O212" i="20" s="1"/>
  <c r="N180" i="20"/>
  <c r="O180" i="20" s="1"/>
  <c r="N149" i="20"/>
  <c r="O149" i="20" s="1"/>
  <c r="N158" i="20"/>
  <c r="O158" i="20" s="1"/>
  <c r="N359" i="20"/>
  <c r="O359" i="20" s="1"/>
  <c r="N434" i="20"/>
  <c r="O434" i="20" s="1"/>
  <c r="N209" i="20"/>
  <c r="O209" i="20" s="1"/>
  <c r="N177" i="20"/>
  <c r="O177" i="20" s="1"/>
  <c r="N146" i="20"/>
  <c r="O146" i="20" s="1"/>
  <c r="N371" i="20"/>
  <c r="O371" i="20" s="1"/>
  <c r="N165" i="20"/>
  <c r="O165" i="20" s="1"/>
  <c r="N206" i="20"/>
  <c r="O206" i="20" s="1"/>
  <c r="N174" i="20"/>
  <c r="O174" i="20" s="1"/>
  <c r="N143" i="20"/>
  <c r="O143" i="20" s="1"/>
  <c r="N343" i="20"/>
  <c r="O343" i="20" s="1"/>
  <c r="N406" i="20"/>
  <c r="O406" i="20" s="1"/>
  <c r="N211" i="20"/>
  <c r="O211" i="20" s="1"/>
  <c r="N179" i="20"/>
  <c r="O179" i="20" s="1"/>
  <c r="N148" i="20"/>
  <c r="O148" i="20" s="1"/>
  <c r="N262" i="20"/>
  <c r="O262" i="20" s="1"/>
  <c r="N413" i="20"/>
  <c r="O413" i="20" s="1"/>
  <c r="N410" i="20"/>
  <c r="O410" i="20" s="1"/>
  <c r="N141" i="20"/>
  <c r="O141" i="20" s="1"/>
  <c r="N468" i="20"/>
  <c r="O468" i="20" s="1"/>
  <c r="N341" i="20"/>
  <c r="O341" i="20" s="1"/>
  <c r="N404" i="20"/>
  <c r="O404" i="20" s="1"/>
  <c r="N255" i="20"/>
  <c r="O255" i="20" s="1"/>
  <c r="N224" i="20"/>
  <c r="O224" i="20" s="1"/>
  <c r="N112" i="20"/>
  <c r="O112" i="20" s="1"/>
  <c r="N385" i="20"/>
  <c r="O385" i="20" s="1"/>
  <c r="N300" i="20"/>
  <c r="O300" i="20" s="1"/>
  <c r="N279" i="20"/>
  <c r="O279" i="20" s="1"/>
  <c r="N260" i="20"/>
  <c r="O260" i="20" s="1"/>
  <c r="N244" i="20"/>
  <c r="O244" i="20" s="1"/>
  <c r="N475" i="20"/>
  <c r="O475" i="20" s="1"/>
  <c r="N439" i="20"/>
  <c r="O439" i="20" s="1"/>
  <c r="N409" i="20"/>
  <c r="O409" i="20" s="1"/>
  <c r="N79" i="20"/>
  <c r="O79" i="20" s="1"/>
  <c r="N419" i="20"/>
  <c r="O419" i="20" s="1"/>
  <c r="N96" i="20"/>
  <c r="O96" i="20" s="1"/>
  <c r="N399" i="20"/>
  <c r="O399" i="20" s="1"/>
  <c r="N372" i="20"/>
  <c r="O372" i="20" s="1"/>
  <c r="N349" i="20"/>
  <c r="O349" i="20" s="1"/>
  <c r="N332" i="20"/>
  <c r="O332" i="20" s="1"/>
  <c r="N316" i="20"/>
  <c r="O316" i="20" s="1"/>
  <c r="N472" i="20"/>
  <c r="O472" i="20" s="1"/>
  <c r="N444" i="20"/>
  <c r="O444" i="20" s="1"/>
  <c r="N88" i="20"/>
  <c r="O88" i="20" s="1"/>
  <c r="N63" i="20"/>
  <c r="O63" i="20" s="1"/>
  <c r="N378" i="20"/>
  <c r="O378" i="20" s="1"/>
  <c r="N477" i="20"/>
  <c r="O477" i="20" s="1"/>
  <c r="N200" i="20"/>
  <c r="O200" i="20" s="1"/>
  <c r="N357" i="20"/>
  <c r="O357" i="20" s="1"/>
  <c r="N246" i="20"/>
  <c r="O246" i="20" s="1"/>
  <c r="N93" i="20"/>
  <c r="O93" i="20" s="1"/>
  <c r="N199" i="20"/>
  <c r="O199" i="20" s="1"/>
  <c r="N278" i="20"/>
  <c r="O278" i="20" s="1"/>
  <c r="N391" i="20"/>
  <c r="O391" i="20" s="1"/>
  <c r="N464" i="20"/>
  <c r="O464" i="20" s="1"/>
  <c r="N281" i="20"/>
  <c r="O281" i="20" s="1"/>
  <c r="N239" i="20"/>
  <c r="O239" i="20" s="1"/>
  <c r="N277" i="20"/>
  <c r="O277" i="20" s="1"/>
  <c r="N221" i="20"/>
  <c r="O221" i="20" s="1"/>
  <c r="N381" i="20"/>
  <c r="O381" i="20" s="1"/>
  <c r="N356" i="20"/>
  <c r="O356" i="20" s="1"/>
  <c r="N334" i="20"/>
  <c r="O334" i="20" s="1"/>
  <c r="N318" i="20"/>
  <c r="O318" i="20" s="1"/>
  <c r="N297" i="20"/>
  <c r="O297" i="20" s="1"/>
  <c r="N476" i="20"/>
  <c r="O476" i="20" s="1"/>
  <c r="N440" i="20"/>
  <c r="O440" i="20" s="1"/>
  <c r="N104" i="20"/>
  <c r="O104" i="20" s="1"/>
  <c r="N74" i="20"/>
  <c r="O74" i="20" s="1"/>
  <c r="N130" i="20"/>
  <c r="O130" i="20" s="1"/>
  <c r="N251" i="20"/>
  <c r="O251" i="20" s="1"/>
  <c r="N315" i="20"/>
  <c r="O315" i="20" s="1"/>
  <c r="I485" i="20"/>
  <c r="J485" i="20" s="1"/>
  <c r="N307" i="20"/>
  <c r="O307" i="20" s="1"/>
  <c r="N280" i="20"/>
  <c r="O280" i="20" s="1"/>
  <c r="N257" i="20"/>
  <c r="O257" i="20" s="1"/>
  <c r="N241" i="20"/>
  <c r="O241" i="20" s="1"/>
  <c r="N467" i="20"/>
  <c r="O467" i="20" s="1"/>
  <c r="N437" i="20"/>
  <c r="O437" i="20" s="1"/>
  <c r="N89" i="20"/>
  <c r="O89" i="20" s="1"/>
  <c r="N204" i="20"/>
  <c r="O204" i="20" s="1"/>
  <c r="N172" i="20"/>
  <c r="O172" i="20" s="1"/>
  <c r="N286" i="20"/>
  <c r="O286" i="20" s="1"/>
  <c r="N142" i="20"/>
  <c r="O142" i="20" s="1"/>
  <c r="N426" i="20"/>
  <c r="O426" i="20" s="1"/>
  <c r="N201" i="20"/>
  <c r="O201" i="20" s="1"/>
  <c r="N169" i="20"/>
  <c r="O169" i="20" s="1"/>
  <c r="N138" i="20"/>
  <c r="O138" i="20" s="1"/>
  <c r="N208" i="20"/>
  <c r="O208" i="20" s="1"/>
  <c r="N335" i="20"/>
  <c r="O335" i="20" s="1"/>
  <c r="N213" i="20"/>
  <c r="O213" i="20" s="1"/>
  <c r="N274" i="20"/>
  <c r="O274" i="20" s="1"/>
  <c r="N256" i="20"/>
  <c r="O256" i="20" s="1"/>
  <c r="N73" i="20"/>
  <c r="O73" i="20" s="1"/>
  <c r="N198" i="20"/>
  <c r="O198" i="20" s="1"/>
  <c r="N166" i="20"/>
  <c r="O166" i="20" s="1"/>
  <c r="N129" i="20"/>
  <c r="O129" i="20" s="1"/>
  <c r="N319" i="20"/>
  <c r="O319" i="20" s="1"/>
  <c r="N466" i="20"/>
  <c r="O466" i="20" s="1"/>
  <c r="N203" i="20"/>
  <c r="O203" i="20" s="1"/>
  <c r="N171" i="20"/>
  <c r="O171" i="20" s="1"/>
  <c r="N140" i="20"/>
  <c r="O140" i="20" s="1"/>
  <c r="N331" i="20"/>
  <c r="O331" i="20" s="1"/>
  <c r="N285" i="20"/>
  <c r="O285" i="20" s="1"/>
  <c r="N443" i="20"/>
  <c r="O443" i="20" s="1"/>
  <c r="N155" i="20"/>
  <c r="O155" i="20" s="1"/>
  <c r="N57" i="20"/>
  <c r="O57" i="20" s="1"/>
  <c r="N125" i="20"/>
  <c r="O125" i="20" s="1"/>
  <c r="N81" i="20"/>
  <c r="O81" i="20" s="1"/>
  <c r="N386" i="20"/>
  <c r="O386" i="20" s="1"/>
  <c r="N296" i="20"/>
  <c r="O296" i="20" s="1"/>
  <c r="N64" i="20"/>
  <c r="O64" i="20" s="1"/>
  <c r="N303" i="20"/>
  <c r="O303" i="20" s="1"/>
  <c r="N242" i="20"/>
  <c r="O242" i="20" s="1"/>
  <c r="N435" i="20"/>
  <c r="O435" i="20" s="1"/>
  <c r="N87" i="20"/>
  <c r="O87" i="20" s="1"/>
  <c r="N210" i="20"/>
  <c r="O210" i="20" s="1"/>
  <c r="N147" i="20"/>
  <c r="O147" i="20" s="1"/>
  <c r="N189" i="20"/>
  <c r="O189" i="20" s="1"/>
  <c r="N351" i="20"/>
  <c r="O351" i="20" s="1"/>
  <c r="N470" i="20"/>
  <c r="O470" i="20" s="1"/>
  <c r="N191" i="20"/>
  <c r="O191" i="20" s="1"/>
  <c r="N152" i="20"/>
  <c r="O152" i="20" s="1"/>
  <c r="N383" i="20"/>
  <c r="O383" i="20" s="1"/>
  <c r="N425" i="20"/>
  <c r="O425" i="20" s="1"/>
  <c r="N390" i="20"/>
  <c r="O390" i="20" s="1"/>
  <c r="N416" i="20"/>
  <c r="O416" i="20" s="1"/>
  <c r="N380" i="20"/>
  <c r="O380" i="20" s="1"/>
  <c r="N355" i="20"/>
  <c r="O355" i="20" s="1"/>
  <c r="N337" i="20"/>
  <c r="O337" i="20" s="1"/>
  <c r="N321" i="20"/>
  <c r="O321" i="20" s="1"/>
  <c r="N292" i="20"/>
  <c r="O292" i="20" s="1"/>
  <c r="N456" i="20"/>
  <c r="O456" i="20" s="1"/>
  <c r="N122" i="20"/>
  <c r="O122" i="20" s="1"/>
  <c r="N82" i="20"/>
  <c r="O82" i="20" s="1"/>
  <c r="N60" i="20"/>
  <c r="O60" i="20" s="1"/>
  <c r="N449" i="20"/>
  <c r="O449" i="20" s="1"/>
  <c r="N373" i="20"/>
  <c r="O373" i="20" s="1"/>
  <c r="N291" i="20"/>
  <c r="O291" i="20" s="1"/>
  <c r="N240" i="20"/>
  <c r="O240" i="20" s="1"/>
  <c r="N469" i="20"/>
  <c r="O469" i="20" s="1"/>
  <c r="N431" i="20"/>
  <c r="O431" i="20" s="1"/>
  <c r="N113" i="20"/>
  <c r="O113" i="20" s="1"/>
  <c r="N364" i="20"/>
  <c r="O364" i="20" s="1"/>
  <c r="N109" i="20"/>
  <c r="O109" i="20" s="1"/>
  <c r="N78" i="20"/>
  <c r="O78" i="20" s="1"/>
  <c r="N392" i="20"/>
  <c r="O392" i="20" s="1"/>
  <c r="N365" i="20"/>
  <c r="O365" i="20" s="1"/>
  <c r="N344" i="20"/>
  <c r="O344" i="20" s="1"/>
  <c r="N328" i="20"/>
  <c r="O328" i="20" s="1"/>
  <c r="N312" i="20"/>
  <c r="O312" i="20" s="1"/>
  <c r="N436" i="20"/>
  <c r="O436" i="20" s="1"/>
  <c r="N124" i="20"/>
  <c r="O124" i="20" s="1"/>
  <c r="N84" i="20"/>
  <c r="O84" i="20" s="1"/>
  <c r="N59" i="20"/>
  <c r="O59" i="20" s="1"/>
  <c r="N299" i="20"/>
  <c r="O299" i="20" s="1"/>
  <c r="N463" i="20"/>
  <c r="O463" i="20" s="1"/>
  <c r="N184" i="20"/>
  <c r="O184" i="20" s="1"/>
  <c r="N310" i="20"/>
  <c r="O310" i="20" s="1"/>
  <c r="N471" i="20"/>
  <c r="O471" i="20" s="1"/>
  <c r="N218" i="20"/>
  <c r="O218" i="20" s="1"/>
  <c r="N167" i="20"/>
  <c r="O167" i="20" s="1"/>
  <c r="N375" i="20"/>
  <c r="O375" i="20" s="1"/>
  <c r="N441" i="20"/>
  <c r="O441" i="20" s="1"/>
  <c r="N325" i="20"/>
  <c r="O325" i="20" s="1"/>
  <c r="N92" i="20"/>
  <c r="O92" i="20" s="1"/>
  <c r="N131" i="20"/>
  <c r="O131" i="20" s="1"/>
  <c r="N362" i="20"/>
  <c r="O362" i="20" s="1"/>
  <c r="N258" i="20"/>
  <c r="O258" i="20" s="1"/>
  <c r="N465" i="20"/>
  <c r="O465" i="20" s="1"/>
  <c r="N405" i="20"/>
  <c r="O405" i="20" s="1"/>
  <c r="N178" i="20"/>
  <c r="O178" i="20" s="1"/>
  <c r="N298" i="20"/>
  <c r="O298" i="20" s="1"/>
  <c r="N170" i="20"/>
  <c r="O170" i="20" s="1"/>
  <c r="N455" i="20"/>
  <c r="O455" i="20" s="1"/>
  <c r="N382" i="20"/>
  <c r="O382" i="20" s="1"/>
  <c r="N460" i="20"/>
  <c r="O460" i="20" s="1"/>
  <c r="N376" i="20"/>
  <c r="O376" i="20" s="1"/>
  <c r="N330" i="20"/>
  <c r="O330" i="20" s="1"/>
  <c r="N314" i="20"/>
  <c r="O314" i="20" s="1"/>
  <c r="N293" i="20"/>
  <c r="O293" i="20" s="1"/>
  <c r="N432" i="20"/>
  <c r="O432" i="20" s="1"/>
  <c r="N120" i="20"/>
  <c r="O120" i="20" s="1"/>
  <c r="N98" i="20"/>
  <c r="O98" i="20" s="1"/>
  <c r="N223" i="20"/>
  <c r="O223" i="20" s="1"/>
  <c r="N126" i="20"/>
  <c r="O126" i="20" s="1"/>
  <c r="N454" i="20"/>
  <c r="O454" i="20" s="1"/>
  <c r="I622" i="20"/>
  <c r="J622" i="20" s="1"/>
  <c r="N368" i="20"/>
  <c r="O368" i="20" s="1"/>
  <c r="N301" i="20"/>
  <c r="O301" i="20" s="1"/>
  <c r="N271" i="20"/>
  <c r="O271" i="20" s="1"/>
  <c r="N253" i="20"/>
  <c r="O253" i="20" s="1"/>
  <c r="N237" i="20"/>
  <c r="O237" i="20" s="1"/>
  <c r="N459" i="20"/>
  <c r="O459" i="20" s="1"/>
  <c r="N429" i="20"/>
  <c r="O429" i="20" s="1"/>
  <c r="N111" i="20"/>
  <c r="O111" i="20" s="1"/>
  <c r="N77" i="20"/>
  <c r="O77" i="20" s="1"/>
  <c r="N196" i="20"/>
  <c r="O196" i="20" s="1"/>
  <c r="N164" i="20"/>
  <c r="O164" i="20" s="1"/>
  <c r="I69" i="20"/>
  <c r="J69" i="20" s="1"/>
  <c r="N450" i="20"/>
  <c r="O450" i="20" s="1"/>
  <c r="N193" i="20"/>
  <c r="O193" i="20" s="1"/>
  <c r="N161" i="20"/>
  <c r="O161" i="20" s="1"/>
  <c r="N311" i="20"/>
  <c r="O311" i="20" s="1"/>
  <c r="N197" i="20"/>
  <c r="O197" i="20" s="1"/>
  <c r="N270" i="20"/>
  <c r="O270" i="20" s="1"/>
  <c r="N252" i="20"/>
  <c r="O252" i="20" s="1"/>
  <c r="N190" i="20"/>
  <c r="O190" i="20" s="1"/>
  <c r="N269" i="20"/>
  <c r="O269" i="20" s="1"/>
  <c r="N474" i="20"/>
  <c r="O474" i="20" s="1"/>
  <c r="N150" i="20"/>
  <c r="O150" i="20" s="1"/>
  <c r="N458" i="20"/>
  <c r="O458" i="20" s="1"/>
  <c r="N163" i="20"/>
  <c r="O163" i="20" s="1"/>
  <c r="N352" i="20"/>
  <c r="O352" i="20" s="1"/>
  <c r="N457" i="20"/>
  <c r="O457" i="20" s="1"/>
  <c r="N202" i="20"/>
  <c r="O202" i="20" s="1"/>
  <c r="N173" i="20"/>
  <c r="O173" i="20" s="1"/>
  <c r="N215" i="20"/>
  <c r="O215" i="20" s="1"/>
  <c r="N144" i="20"/>
  <c r="O144" i="20" s="1"/>
  <c r="N353" i="20"/>
  <c r="O353" i="20" s="1"/>
  <c r="N121" i="20"/>
  <c r="O121" i="20" s="1"/>
  <c r="N72" i="20"/>
  <c r="O72" i="20" s="1"/>
  <c r="N157" i="20"/>
  <c r="O157" i="20" s="1"/>
  <c r="N259" i="20"/>
  <c r="O259" i="20" s="1"/>
  <c r="N411" i="20"/>
  <c r="O411" i="20" s="1"/>
  <c r="N323" i="20"/>
  <c r="O323" i="20" s="1"/>
  <c r="N102" i="20"/>
  <c r="O102" i="20" s="1"/>
  <c r="N66" i="20"/>
  <c r="O66" i="20" s="1"/>
  <c r="N374" i="20"/>
  <c r="O374" i="20" s="1"/>
  <c r="N350" i="20"/>
  <c r="O350" i="20" s="1"/>
  <c r="N333" i="20"/>
  <c r="O333" i="20" s="1"/>
  <c r="N317" i="20"/>
  <c r="O317" i="20" s="1"/>
  <c r="N275" i="20"/>
  <c r="O275" i="20" s="1"/>
  <c r="N420" i="20"/>
  <c r="O420" i="20" s="1"/>
  <c r="N116" i="20"/>
  <c r="O116" i="20" s="1"/>
  <c r="N132" i="20"/>
  <c r="O132" i="20" s="1"/>
  <c r="N433" i="20"/>
  <c r="O433" i="20" s="1"/>
  <c r="N192" i="20"/>
  <c r="O192" i="20" s="1"/>
  <c r="N366" i="20"/>
  <c r="O366" i="20" s="1"/>
  <c r="N287" i="20"/>
  <c r="O287" i="20" s="1"/>
  <c r="N236" i="20"/>
  <c r="O236" i="20" s="1"/>
  <c r="N461" i="20"/>
  <c r="O461" i="20" s="1"/>
  <c r="N423" i="20"/>
  <c r="O423" i="20" s="1"/>
  <c r="N103" i="20"/>
  <c r="O103" i="20" s="1"/>
  <c r="N222" i="20"/>
  <c r="O222" i="20" s="1"/>
  <c r="N160" i="20"/>
  <c r="O160" i="20" s="1"/>
  <c r="N145" i="20"/>
  <c r="O145" i="20" s="1"/>
  <c r="N384" i="20"/>
  <c r="O384" i="20" s="1"/>
  <c r="N358" i="20"/>
  <c r="O358" i="20" s="1"/>
  <c r="N340" i="20"/>
  <c r="O340" i="20" s="1"/>
  <c r="N324" i="20"/>
  <c r="O324" i="20" s="1"/>
  <c r="N295" i="20"/>
  <c r="O295" i="20" s="1"/>
  <c r="N428" i="20"/>
  <c r="O428" i="20" s="1"/>
  <c r="N118" i="20"/>
  <c r="O118" i="20" s="1"/>
  <c r="N76" i="20"/>
  <c r="O76" i="20" s="1"/>
  <c r="N195" i="20"/>
  <c r="O195" i="20" s="1"/>
  <c r="N134" i="20"/>
  <c r="O134" i="20" s="1"/>
  <c r="N273" i="20"/>
  <c r="O273" i="20" s="1"/>
  <c r="N115" i="20"/>
  <c r="O115" i="20" s="1"/>
  <c r="N168" i="20"/>
  <c r="O168" i="20" s="1"/>
  <c r="N304" i="20"/>
  <c r="O304" i="20" s="1"/>
  <c r="I234" i="20"/>
  <c r="J234" i="20" s="1"/>
  <c r="J235" i="20"/>
  <c r="J402" i="20"/>
  <c r="J487" i="20"/>
  <c r="J56" i="20"/>
  <c r="J71" i="20"/>
  <c r="N234" i="20" l="1"/>
  <c r="N487" i="20"/>
  <c r="K401" i="20"/>
  <c r="K486" i="20"/>
  <c r="L486" i="20" s="1"/>
  <c r="I55" i="20"/>
  <c r="J55" i="20" s="1"/>
  <c r="K233" i="20"/>
  <c r="L233" i="20" s="1"/>
  <c r="N233" i="20" s="1"/>
  <c r="O233" i="20" s="1"/>
  <c r="K55" i="20"/>
  <c r="L55" i="20" s="1"/>
  <c r="N622" i="20"/>
  <c r="N71" i="20"/>
  <c r="O71" i="20" s="1"/>
  <c r="N69" i="20"/>
  <c r="O69" i="20" s="1"/>
  <c r="N56" i="20"/>
  <c r="O56" i="20" s="1"/>
  <c r="N485" i="20"/>
  <c r="O485" i="20" s="1"/>
  <c r="N402" i="20"/>
  <c r="O402" i="20" s="1"/>
  <c r="N235" i="20"/>
  <c r="O235" i="20" s="1"/>
  <c r="I486" i="20"/>
  <c r="J486" i="20" s="1"/>
  <c r="I70" i="20"/>
  <c r="J70" i="20" s="1"/>
  <c r="I401" i="20"/>
  <c r="J401" i="20" s="1"/>
  <c r="L401" i="20" l="1"/>
  <c r="N401" i="20" s="1"/>
  <c r="N486" i="20"/>
  <c r="K70" i="20"/>
  <c r="L70" i="20" s="1"/>
  <c r="N70" i="20" s="1"/>
  <c r="N55" i="20"/>
  <c r="J54" i="20"/>
  <c r="J624" i="20" s="1"/>
  <c r="I54" i="20"/>
  <c r="K54" i="20" l="1"/>
  <c r="L54" i="20"/>
  <c r="L624" i="20" s="1"/>
  <c r="N54" i="20" l="1"/>
  <c r="N624" i="20" s="1"/>
  <c r="BN7" i="20"/>
  <c r="BO8" i="20"/>
  <c r="BO7" i="20" s="1"/>
  <c r="BP8" i="20" l="1"/>
  <c r="BP7" i="20" l="1"/>
  <c r="BQ8" i="20"/>
  <c r="BR8" i="20" l="1"/>
  <c r="BQ7" i="20"/>
  <c r="BS8" i="20" l="1"/>
  <c r="BR7" i="20"/>
  <c r="BS7" i="20" l="1"/>
  <c r="BT8" i="20"/>
  <c r="BT7" i="20" l="1"/>
  <c r="BU8" i="20"/>
  <c r="BV8" i="20" l="1"/>
  <c r="BU7" i="20"/>
  <c r="BW8" i="20" l="1"/>
  <c r="BV7" i="20"/>
  <c r="BW7" i="20" l="1"/>
  <c r="BX8" i="20"/>
  <c r="BY8" i="20" l="1"/>
  <c r="BX7" i="20"/>
  <c r="BZ8" i="20" l="1"/>
  <c r="BY7" i="20"/>
  <c r="CA8" i="20" l="1"/>
  <c r="BZ7" i="20"/>
  <c r="CA7" i="20" l="1"/>
  <c r="M486" i="20" l="1"/>
  <c r="O486" i="20" s="1"/>
  <c r="M50" i="20"/>
  <c r="M234" i="20"/>
  <c r="O234" i="20" s="1"/>
  <c r="M70" i="20"/>
  <c r="O70" i="20" s="1"/>
  <c r="M401" i="20"/>
  <c r="O401" i="20" s="1"/>
  <c r="M51" i="20"/>
  <c r="O51" i="20" s="1"/>
  <c r="M52" i="20"/>
  <c r="O52" i="20" s="1"/>
  <c r="M55" i="20"/>
  <c r="M54" i="20" l="1"/>
  <c r="O55" i="20"/>
  <c r="M49" i="20"/>
  <c r="O49" i="20" s="1"/>
  <c r="O50" i="20"/>
  <c r="O54" i="20" l="1"/>
  <c r="M624" i="20"/>
  <c r="O624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<sst xmlns="http://schemas.openxmlformats.org/spreadsheetml/2006/main" count="4744" uniqueCount="800">
  <si>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</si>
  <si>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</si>
  <si>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</si>
  <si>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</si>
  <si>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</si>
  <si>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</si>
  <si>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</si>
  <si>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</si>
  <si>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</si>
  <si>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</si>
  <si>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</si>
  <si>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</si>
  <si>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</si>
  <si>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</si>
  <si>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</si>
  <si>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</si>
  <si>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</si>
  <si>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Bens Imóveis</t>
  </si>
  <si>
    <t>7. Por iniciar</t>
  </si>
  <si>
    <t>Modelo Verde</t>
  </si>
  <si>
    <t>LT Pilar III</t>
  </si>
  <si>
    <t>GD</t>
  </si>
  <si>
    <t>2. Re-especificação</t>
  </si>
  <si>
    <t>3. Testes / Re-testes</t>
  </si>
  <si>
    <t>Bens Imóveis - Input</t>
  </si>
  <si>
    <t>- Pendência de desenvolvimentos de IT: Tabela da Gloval</t>
  </si>
  <si>
    <t>1. Universo</t>
  </si>
  <si>
    <t>ENERGY_CERTIFICATE_EST_INPUT</t>
  </si>
  <si>
    <t>n.a.</t>
  </si>
  <si>
    <t>sem pendencia</t>
  </si>
  <si>
    <t>2. Campo</t>
  </si>
  <si>
    <t>PROPERTY_BANK_ID</t>
  </si>
  <si>
    <t>ENCRYPTED_KEY</t>
  </si>
  <si>
    <t>PROPERTY_BRANCH_CODE</t>
  </si>
  <si>
    <t>PROPERTY_CONTRACT_ID</t>
  </si>
  <si>
    <t>PROPERTY_REFERENCE_CODE</t>
  </si>
  <si>
    <t>DATA_EXTRACTION_DATE</t>
  </si>
  <si>
    <t>EPC</t>
  </si>
  <si>
    <t>DATA_PROVIDER</t>
  </si>
  <si>
    <t>ACTUAL_VALUE_IND</t>
  </si>
  <si>
    <t>QUALITY_SCORE</t>
  </si>
  <si>
    <t>ENERGY_CONSUMPTION_VALUE_YEAR</t>
  </si>
  <si>
    <t>CARBON_EMISSION_VALUE_YEAR</t>
  </si>
  <si>
    <t>Re-testes</t>
  </si>
  <si>
    <t>Bens Imóveis - Output</t>
  </si>
  <si>
    <t>PROCESS</t>
  </si>
  <si>
    <t>cd_imv_out_trz_cred_prc</t>
  </si>
  <si>
    <t>PROCESS_BANK_ID</t>
  </si>
  <si>
    <t>PROCESS_BRANCH_CODE</t>
  </si>
  <si>
    <t>PROCESS_ACCOUNT_ID</t>
  </si>
  <si>
    <t>cod_estd_prcs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</si>
  <si>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</si>
  <si>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</si>
  <si>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</si>
  <si>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</si>
  <si>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</si>
  <si>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</si>
  <si>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</si>
  <si>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</si>
  <si>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</si>
  <si>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montante_eur</t>
  </si>
  <si>
    <t>montante_org</t>
  </si>
  <si>
    <t>origem</t>
  </si>
  <si>
    <t>DATA_DATE_PART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</si>
  <si>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</si>
  <si>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</si>
  <si>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</si>
  <si>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</si>
  <si>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</si>
  <si>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</si>
  <si>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</si>
  <si>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</si>
  <si>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cod_sit</t>
  </si>
  <si>
    <t>SUBPRODUCT_ID</t>
  </si>
  <si>
    <t>EFFECTIVE_RELATION_END_DATE</t>
  </si>
  <si>
    <t>idetgar</t>
  </si>
  <si>
    <t>num_prop</t>
  </si>
  <si>
    <t>SOURCE_CODE</t>
  </si>
  <si>
    <t>PROCESS_PROPERTY_REL</t>
  </si>
  <si>
    <t>data_assc</t>
  </si>
  <si>
    <t>SEIZED_PROPERTY_IND</t>
  </si>
  <si>
    <t>COLLATERAL_PROPERTY_IND</t>
  </si>
  <si>
    <t>FINANCED_PROPERTY_IND</t>
  </si>
  <si>
    <t>OWNED_PROPERTY_IND</t>
  </si>
  <si>
    <t>PROPERTY</t>
  </si>
  <si>
    <t xml:space="preserve">cd_imv_out_trz_prc_bens_imv ; cd_imv_out_prc ; cd_imv_out_trz_cred_prc </t>
  </si>
  <si>
    <t>CONSTRUCTION_YEAR</t>
  </si>
  <si>
    <t>NET_FLOOR_AREA</t>
  </si>
  <si>
    <t>CADASTRAL_REGISTER_CODE</t>
  </si>
  <si>
    <t>APPRAISAL_CODE</t>
  </si>
  <si>
    <t>cod_bem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</si>
  <si>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</si>
  <si>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</si>
  <si>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</si>
  <si>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</si>
  <si>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</si>
  <si>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</si>
  <si>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</si>
  <si>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</si>
  <si>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</si>
  <si>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</si>
  <si>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</si>
  <si>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</si>
  <si>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</si>
  <si>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</si>
  <si>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</si>
  <si>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</si>
  <si>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</si>
  <si>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</si>
  <si>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Origem</t>
  </si>
  <si>
    <t>CURRENT_CONSTRUCTION_PCT</t>
  </si>
  <si>
    <t>CONSTRUCTION_COMPLETED_PCT</t>
  </si>
  <si>
    <t>URBANIZATION</t>
  </si>
  <si>
    <t>PROPERTY_ENERGY_CERTIFICATE</t>
  </si>
  <si>
    <t>cd_imv_out_bens; cd_imv_inp_certif_estimativa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</si>
  <si>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</si>
  <si>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</si>
  <si>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</si>
  <si>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</si>
  <si>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</si>
  <si>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</si>
  <si>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</si>
  <si>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</si>
  <si>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</si>
  <si>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</si>
  <si>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</si>
  <si>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</si>
  <si>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</si>
  <si>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</si>
  <si>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</si>
  <si>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</si>
  <si>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</si>
  <si>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</si>
  <si>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</si>
  <si>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</si>
  <si>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</si>
  <si>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</si>
  <si>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</si>
  <si>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</si>
  <si>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</si>
  <si>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</si>
  <si>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</si>
  <si>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</si>
  <si>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</si>
  <si>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</si>
  <si>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</si>
  <si>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</si>
  <si>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</si>
  <si>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</si>
  <si>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</si>
  <si>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</si>
  <si>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</si>
  <si>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</si>
  <si>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</si>
  <si>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</si>
  <si>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</si>
  <si>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</si>
  <si>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</si>
  <si>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</si>
  <si>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</si>
  <si>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</si>
  <si>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</si>
  <si>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</si>
  <si>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</si>
  <si>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</si>
  <si>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</si>
  <si>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</si>
  <si>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</si>
  <si>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</si>
  <si>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</si>
  <si>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2. Em Teste</t>
  </si>
  <si>
    <t>Modelo Verde - Input</t>
  </si>
  <si>
    <t>modesg_param_sfcs_taxon_europeia</t>
  </si>
  <si>
    <t>cbalcao</t>
  </si>
  <si>
    <t>cempresa</t>
  </si>
  <si>
    <t>ckmetamis</t>
  </si>
  <si>
    <t>ckprodmi</t>
  </si>
  <si>
    <t>cmetanseg</t>
  </si>
  <si>
    <t>cnsm_co2</t>
  </si>
  <si>
    <t>cnumecta</t>
  </si>
  <si>
    <t>cod_lease</t>
  </si>
  <si>
    <t>cod_regra</t>
  </si>
  <si>
    <t>comite</t>
  </si>
  <si>
    <t>data_aprvc</t>
  </si>
  <si>
    <t>data_final</t>
  </si>
  <si>
    <t>data_inicial</t>
  </si>
  <si>
    <t>dominio</t>
  </si>
  <si>
    <t>dscrc</t>
  </si>
  <si>
    <t>epc</t>
  </si>
  <si>
    <t>flag_project_finance</t>
  </si>
  <si>
    <t>cfinalidad</t>
  </si>
  <si>
    <t>tipo_combust</t>
  </si>
  <si>
    <t>montante_pndrc</t>
  </si>
  <si>
    <t>nome_ctgr_sfcs</t>
  </si>
  <si>
    <t>nome_general_specific_purpose</t>
  </si>
  <si>
    <t>nome_purpose_esg</t>
  </si>
  <si>
    <t>nome_specific_eligible</t>
  </si>
  <si>
    <t>nome_specific_sustainable</t>
  </si>
  <si>
    <t>ref_date</t>
  </si>
  <si>
    <t>zcliente</t>
  </si>
  <si>
    <t>zdeposit</t>
  </si>
  <si>
    <t>ordem</t>
  </si>
  <si>
    <t>nivel_mrc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</si>
  <si>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</si>
  <si>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</si>
  <si>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</si>
  <si>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</si>
  <si>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</si>
  <si>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</si>
  <si>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</si>
  <si>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</si>
  <si>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</si>
  <si>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</si>
  <si>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</si>
  <si>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</si>
  <si>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</si>
  <si>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</si>
  <si>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</si>
  <si>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subgrupo</t>
  </si>
  <si>
    <t>nome_unidade_funcional</t>
  </si>
  <si>
    <t>unidade_funcional</t>
  </si>
  <si>
    <t>nome_fator_emissao</t>
  </si>
  <si>
    <t>unidade_fator_de_emissao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</si>
  <si>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</si>
  <si>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</si>
  <si>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</si>
  <si>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</si>
  <si>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</si>
  <si>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</si>
  <si>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</si>
  <si>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</si>
  <si>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</si>
  <si>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</si>
  <si>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</si>
  <si>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</si>
  <si>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</si>
  <si>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</si>
  <si>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</si>
  <si>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</si>
  <si>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</si>
  <si>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</si>
  <si>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</si>
  <si>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</si>
  <si>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</si>
  <si>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</si>
  <si>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</si>
  <si>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</si>
  <si>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</si>
  <si>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</si>
  <si>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</si>
  <si>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</si>
  <si>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</si>
  <si>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</si>
  <si>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</si>
  <si>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</si>
  <si>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</si>
  <si>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</si>
  <si>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</si>
  <si>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</si>
  <si>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</si>
  <si>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</si>
  <si>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</si>
  <si>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</si>
  <si>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</si>
  <si>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</si>
  <si>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</si>
  <si>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</si>
  <si>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</si>
  <si>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</si>
  <si>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</si>
  <si>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</si>
  <si>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</si>
  <si>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</si>
  <si>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</si>
  <si>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</si>
  <si>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</si>
  <si>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</si>
  <si>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</si>
  <si>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</si>
  <si>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</si>
  <si>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</si>
  <si>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</si>
  <si>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</si>
  <si>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</si>
  <si>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</si>
  <si>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</si>
  <si>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</si>
  <si>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</si>
  <si>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</si>
  <si>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</si>
  <si>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nivel_classificacao_1</t>
  </si>
  <si>
    <t>classe_ativo</t>
  </si>
  <si>
    <t>opcao_metodologia</t>
  </si>
  <si>
    <t>unidades_fator_de_emissao</t>
  </si>
  <si>
    <t>tipo_fator_emissao</t>
  </si>
  <si>
    <t>regiao</t>
  </si>
  <si>
    <t>tipo_bem</t>
  </si>
  <si>
    <t>tipo_finalidade_bem</t>
  </si>
  <si>
    <t>flg_ftr_emss_area</t>
  </si>
  <si>
    <t>ano_fator_emissao</t>
  </si>
  <si>
    <t>3. Pendente</t>
  </si>
  <si>
    <t>Modelo Verde - Output</t>
  </si>
  <si>
    <t>modesg_out_bens_imoveis</t>
  </si>
  <si>
    <t>cd_imv_out_bens; modesg_inp_risco_fisico; modesg_inp_emss_bens_imoveis</t>
  </si>
  <si>
    <t>cempbem</t>
  </si>
  <si>
    <t>ckbalbem</t>
  </si>
  <si>
    <t>ckctabem</t>
  </si>
  <si>
    <t>ckrefbem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</si>
  <si>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</si>
  <si>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</si>
  <si>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</si>
  <si>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</si>
  <si>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</si>
  <si>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</si>
  <si>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</si>
  <si>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</si>
  <si>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</si>
  <si>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modesg_inp_empr_excl_paris; modesg_inp_nfrd_alinhamento_tax; modesg_inp_risco_fisico; modesg_inp_emss_scib; modesg_inp_emss_nace</t>
  </si>
  <si>
    <t>flg_emprs_excl_paris</t>
  </si>
  <si>
    <t>origem_alinhamentos</t>
  </si>
  <si>
    <t>origem_flg_emprs_excl_paris</t>
  </si>
  <si>
    <t>origem_flg_nfrd</t>
  </si>
  <si>
    <t>modesg_out_emss_vcls</t>
  </si>
  <si>
    <t>modesg_inp_emss_vcls; modesg_inp_km_medios_emss_vcls</t>
  </si>
  <si>
    <t>modesg_out_sfcs_taxon_europeia</t>
  </si>
  <si>
    <t>modesg_param_sfcs_taxon_europeia; cd_imv_out_trz_cred_prc; cd_imv_out_trz_prc_bens_imv ; cd_imv_out_certif; cd_mv_out_bens ; modesg_out_emss_vcls ;</t>
  </si>
  <si>
    <t>lt003_entity</t>
  </si>
  <si>
    <t>nace_esg</t>
  </si>
  <si>
    <t xml:space="preserve">modesg_out_empr_info_nfin 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</si>
  <si>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</si>
  <si>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</si>
  <si>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</si>
  <si>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</si>
  <si>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</si>
  <si>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</si>
  <si>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</si>
  <si>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</si>
  <si>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</si>
  <si>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</si>
  <si>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</si>
  <si>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</si>
  <si>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</si>
  <si>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</si>
  <si>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</si>
  <si>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</si>
  <si>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</si>
  <si>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</si>
  <si>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</si>
  <si>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</si>
  <si>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</si>
  <si>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</si>
  <si>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</si>
  <si>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</si>
  <si>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</si>
  <si>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</si>
  <si>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</si>
  <si>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</si>
  <si>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</si>
  <si>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</si>
  <si>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</si>
  <si>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</si>
  <si>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</si>
  <si>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</si>
  <si>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</si>
  <si>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</si>
  <si>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</si>
  <si>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</si>
  <si>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</si>
  <si>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</si>
  <si>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</si>
  <si>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</si>
  <si>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</si>
  <si>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</si>
  <si>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</si>
  <si>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</si>
  <si>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</si>
  <si>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</si>
  <si>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</si>
  <si>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</si>
  <si>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</si>
  <si>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</si>
  <si>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</si>
  <si>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</si>
  <si>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</si>
  <si>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</si>
  <si>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</si>
  <si>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</si>
  <si>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</si>
  <si>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</si>
  <si>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LT ESTR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</si>
  <si>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</si>
  <si>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</si>
  <si>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</si>
  <si>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</si>
  <si>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</si>
  <si>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</si>
  <si>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</si>
  <si>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</si>
  <si>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</si>
  <si>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</si>
  <si>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</si>
  <si>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</si>
  <si>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</si>
  <si>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</si>
  <si>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</si>
  <si>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</si>
  <si>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</si>
  <si>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</si>
  <si>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</si>
  <si>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</si>
  <si>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</si>
  <si>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</si>
  <si>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</si>
  <si>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</si>
  <si>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</si>
  <si>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</si>
  <si>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</si>
  <si>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</si>
  <si>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</si>
  <si>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</si>
  <si>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</si>
  <si>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</si>
  <si>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</si>
  <si>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</si>
  <si>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</si>
  <si>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</si>
  <si>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</si>
  <si>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</si>
  <si>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</si>
  <si>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</si>
  <si>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</si>
  <si>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</si>
  <si>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</si>
  <si>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</si>
  <si>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</si>
  <si>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</si>
  <si>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flg_col</t>
  </si>
  <si>
    <t>flg_fin</t>
  </si>
  <si>
    <t>flg_pro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</si>
  <si>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</si>
  <si>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</si>
  <si>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</si>
  <si>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</si>
  <si>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</si>
  <si>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</si>
  <si>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</si>
  <si>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</si>
  <si>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</si>
  <si>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</si>
  <si>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</si>
  <si>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</si>
  <si>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</si>
  <si>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</si>
  <si>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</si>
  <si>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</si>
  <si>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</si>
  <si>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flg_exec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</si>
  <si>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</si>
  <si>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</si>
  <si>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</si>
  <si>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</si>
  <si>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</si>
  <si>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</si>
  <si>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</si>
  <si>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</si>
  <si>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</si>
  <si>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</si>
  <si>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</si>
  <si>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</si>
  <si>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</si>
  <si>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</si>
  <si>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</si>
  <si>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</si>
  <si>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</si>
  <si>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</si>
  <si>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</si>
  <si>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</si>
  <si>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</si>
  <si>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</si>
  <si>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</si>
  <si>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</si>
  <si>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</si>
  <si>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</si>
  <si>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</si>
  <si>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</si>
  <si>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</si>
  <si>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</si>
  <si>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</si>
  <si>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</si>
  <si>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</si>
  <si>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</si>
  <si>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</si>
  <si>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</si>
  <si>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</si>
  <si>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</si>
  <si>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</si>
  <si>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</si>
  <si>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</si>
  <si>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</si>
  <si>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</si>
  <si>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</si>
  <si>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</si>
  <si>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</si>
  <si>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</si>
  <si>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</si>
  <si>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</si>
  <si>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</si>
  <si>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</si>
  <si>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</si>
  <si>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</si>
  <si>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</si>
  <si>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</si>
  <si>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- Pendente de desenvolvimentos de IT</t>
  </si>
  <si>
    <t>Data Prevista de Re-especificação</t>
  </si>
  <si>
    <t>Data Prevista de Teste</t>
  </si>
  <si>
    <r>
      <t xml:space="preserve">- Pendência de desenvolvimentos de IT do </t>
    </r>
    <r>
      <rPr>
        <b/>
        <i/>
        <sz val="10"/>
        <color theme="1"/>
        <rFont val="Santander Text"/>
        <family val="2"/>
      </rPr>
      <t>input</t>
    </r>
    <r>
      <rPr>
        <b/>
        <sz val="10"/>
        <color theme="1"/>
        <rFont val="Santander Text"/>
        <family val="2"/>
      </rPr>
      <t xml:space="preserve"> da MunichRe e dos desenvolvimentos das alterações na parametrização da marcação verde;
- Pendente do mapeamento das categorias SFCIS e categorias GD.</t>
    </r>
  </si>
  <si>
    <t>- Já foram testados os campos da LT Estrutural e uma tabela de parametrização.</t>
  </si>
  <si>
    <t>purpose_code</t>
  </si>
  <si>
    <t xml:space="preserve">- Pendência de reprocessamento de IT: Tabela de certificados energéticos. </t>
  </si>
  <si>
    <t>- Em falta a re-especificação de um campo do Pilar III dependente de reunião com o LCM</t>
  </si>
  <si>
    <t>CGARANT_BEM</t>
  </si>
  <si>
    <t>lt007_instr_activity</t>
  </si>
  <si>
    <t>lt827_mthd_usd_instrmnt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</si>
  <si>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</si>
  <si>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</si>
  <si>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</si>
  <si>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</si>
  <si>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</si>
  <si>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</si>
  <si>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</si>
  <si>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</si>
  <si>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</si>
  <si>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</si>
  <si>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</si>
  <si>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</si>
  <si>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</si>
  <si>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</si>
  <si>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6. Em Correção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</si>
  <si>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</si>
  <si>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</si>
  <si>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</si>
  <si>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</si>
  <si>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</si>
  <si>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</si>
  <si>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</si>
  <si>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</si>
  <si>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</si>
  <si>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</si>
  <si>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IT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</si>
  <si>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</si>
  <si>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</si>
  <si>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</si>
  <si>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</si>
  <si>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</si>
  <si>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</si>
  <si>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</si>
  <si>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</si>
  <si>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</si>
  <si>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</si>
  <si>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</si>
  <si>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</si>
  <si>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</si>
  <si>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</si>
  <si>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</si>
  <si>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</si>
  <si>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</si>
  <si>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</si>
  <si>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</si>
  <si>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</si>
  <si>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</si>
  <si>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</si>
  <si>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</si>
  <si>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</si>
  <si>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</si>
  <si>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</si>
  <si>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</si>
  <si>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</si>
  <si>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</si>
  <si>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</si>
  <si>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</si>
  <si>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</si>
  <si>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</si>
  <si>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</si>
  <si>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</si>
  <si>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</si>
  <si>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</si>
  <si>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</si>
  <si>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</si>
  <si>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</si>
  <si>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</si>
  <si>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</si>
  <si>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</si>
  <si>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</si>
  <si>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</si>
  <si>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</si>
  <si>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</si>
  <si>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</si>
  <si>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</si>
  <si>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</si>
  <si>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</si>
  <si>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</si>
  <si>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</si>
  <si>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</si>
  <si>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</si>
  <si>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</si>
  <si>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</si>
  <si>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</si>
  <si>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</si>
  <si>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</si>
  <si>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</si>
  <si>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</si>
  <si>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</si>
  <si>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</si>
  <si>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</si>
  <si>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</si>
  <si>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</si>
  <si>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</si>
  <si>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</si>
  <si>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</si>
  <si>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</si>
  <si>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</si>
  <si>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</si>
  <si>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</si>
  <si>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</si>
  <si>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</si>
  <si>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</si>
  <si>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</si>
  <si>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</si>
  <si>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</si>
  <si>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</si>
  <si>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</si>
  <si>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</si>
  <si>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</si>
  <si>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</si>
  <si>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</si>
  <si>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</si>
  <si>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</si>
  <si>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</si>
  <si>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</si>
  <si>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</si>
  <si>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</si>
  <si>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</si>
  <si>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</si>
  <si>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</si>
  <si>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</si>
  <si>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</si>
  <si>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</si>
  <si>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</si>
  <si>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</si>
  <si>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</si>
  <si>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</si>
  <si>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</si>
  <si>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</si>
  <si>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</si>
  <si>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</si>
  <si>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</si>
  <si>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</si>
  <si>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</si>
  <si>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</si>
  <si>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</si>
  <si>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em testes pela equipa de testes</t>
  </si>
  <si>
    <t>Campo não inciado pela equipa de testes</t>
  </si>
  <si>
    <t>Campo em implementação por IT</t>
  </si>
  <si>
    <t>Campo com incidências e em correção por IT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</si>
  <si>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</si>
  <si>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</si>
  <si>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</si>
  <si>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</si>
  <si>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4. Pendente de outros desenvolvimentos/validações</t>
  </si>
  <si>
    <t>5. Validação da especificação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</si>
  <si>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</si>
  <si>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</si>
  <si>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</si>
  <si>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</si>
  <si>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</si>
  <si>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</si>
  <si>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3. Em Especificação/Re-especificação</t>
  </si>
  <si>
    <t>7. Em Implementação</t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</si>
  <si>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</si>
  <si>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</si>
  <si>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</si>
  <si>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</si>
  <si>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</si>
  <si>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</si>
  <si>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</si>
  <si>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Campo em implementação por IT da nova especificação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</si>
  <si>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</si>
  <si>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</si>
  <si>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</si>
  <si>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</si>
  <si>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Campo em re-especificação pela equipa Neyond</t>
  </si>
  <si>
    <t>2. Concluído</t>
  </si>
  <si>
    <t>3. Em Análise</t>
  </si>
  <si>
    <t>4. Validação da especificação</t>
  </si>
  <si>
    <t>5. Em Re-especificação</t>
  </si>
  <si>
    <t>6. Em Implementação</t>
  </si>
  <si>
    <t>7. Em Testes</t>
  </si>
  <si>
    <t>lt824_assoc_kpi_gd</t>
  </si>
  <si>
    <t>tipo_conta_local</t>
  </si>
  <si>
    <t>valor_gd</t>
  </si>
  <si>
    <t>kpi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</si>
  <si>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02/jan a 09/jan</t>
    </r>
  </si>
  <si>
    <r>
      <t xml:space="preserve">- Inicio do </t>
    </r>
    <r>
      <rPr>
        <i/>
        <sz val="12"/>
        <color theme="1"/>
        <rFont val="Santander Text"/>
        <family val="2"/>
      </rPr>
      <t>assessment</t>
    </r>
    <r>
      <rPr>
        <sz val="12"/>
        <color theme="1"/>
        <rFont val="Santander Text"/>
        <family val="2"/>
      </rPr>
      <t xml:space="preserve"> aos campos previamente definidos pela Deloitte.
- Início da atualização da documentação (</t>
    </r>
    <r>
      <rPr>
        <i/>
        <sz val="12"/>
        <color theme="1"/>
        <rFont val="Santander Text"/>
        <family val="2"/>
      </rPr>
      <t>word</t>
    </r>
    <r>
      <rPr>
        <sz val="12"/>
        <color theme="1"/>
        <rFont val="Santander Text"/>
        <family val="2"/>
      </rPr>
      <t xml:space="preserve"> e </t>
    </r>
    <r>
      <rPr>
        <i/>
        <sz val="12"/>
        <color theme="1"/>
        <rFont val="Santander Text"/>
        <family val="2"/>
      </rPr>
      <t>excel</t>
    </r>
    <r>
      <rPr>
        <sz val="12"/>
        <color theme="1"/>
        <rFont val="Santander Text"/>
        <family val="2"/>
      </rPr>
      <t xml:space="preserve">) com a proposta de especificação </t>
    </r>
    <r>
      <rPr>
        <i/>
        <sz val="12"/>
        <color theme="1"/>
        <rFont val="Santander Text"/>
        <family val="2"/>
      </rPr>
      <t>to-be</t>
    </r>
    <r>
      <rPr>
        <sz val="12"/>
        <color theme="1"/>
        <rFont val="Santander Text"/>
        <family val="2"/>
      </rPr>
      <t>.</t>
    </r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</si>
  <si>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</si>
  <si>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</si>
  <si>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10 campos concluídos:</t>
    </r>
    <r>
      <rPr>
        <sz val="11"/>
        <rFont val="Santander Text"/>
        <family val="2"/>
      </rPr>
      <t xml:space="preserve"> especificação validada com CdG.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6 campos em análise</t>
    </r>
    <r>
      <rPr>
        <sz val="11"/>
        <rFont val="Santander Text"/>
        <family val="2"/>
      </rPr>
      <t xml:space="preserve">.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5 campos para validação da especificação</t>
    </r>
    <r>
      <rPr>
        <sz val="11"/>
        <rFont val="Santander Text"/>
        <family val="2"/>
      </rPr>
      <t xml:space="preserve"> com CdG.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14 campos por iniciar</t>
    </r>
    <r>
      <rPr>
        <sz val="11"/>
        <rFont val="Santander Text"/>
        <family val="2"/>
      </rPr>
      <t>.</t>
    </r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</si>
  <si>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</si>
  <si>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</si>
  <si>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</si>
  <si>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</si>
  <si>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</si>
  <si>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</si>
  <si>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</si>
  <si>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</si>
  <si>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</si>
  <si>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</si>
  <si>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</si>
  <si>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</si>
  <si>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</si>
  <si>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</si>
  <si>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</si>
  <si>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</si>
  <si>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</si>
  <si>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</si>
  <si>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</si>
  <si>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</si>
  <si>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</si>
  <si>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</si>
  <si>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</si>
  <si>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</si>
  <si>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</si>
  <si>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</si>
  <si>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</si>
  <si>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</si>
  <si>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</si>
  <si>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</si>
  <si>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</si>
  <si>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Atividades</t>
  </si>
  <si>
    <t>Data Inicio</t>
  </si>
  <si>
    <t>Data Fim</t>
  </si>
  <si>
    <t>Data Fim Real</t>
  </si>
  <si>
    <t>1.1</t>
  </si>
  <si>
    <t>=</t>
  </si>
  <si>
    <t>1.2</t>
  </si>
  <si>
    <t>1.3</t>
  </si>
  <si>
    <t>1.4</t>
  </si>
  <si>
    <t>1.5</t>
  </si>
  <si>
    <t>1.6</t>
  </si>
  <si>
    <t>1.7</t>
  </si>
  <si>
    <t>1.8</t>
  </si>
  <si>
    <t>2.1</t>
  </si>
  <si>
    <t>2.2</t>
  </si>
  <si>
    <t>2.3</t>
  </si>
  <si>
    <t>2.4</t>
  </si>
  <si>
    <t>2.5</t>
  </si>
  <si>
    <t>2.6</t>
  </si>
  <si>
    <t>3.1</t>
  </si>
  <si>
    <t>3.2</t>
  </si>
  <si>
    <t>3.3</t>
  </si>
  <si>
    <t>3.4</t>
  </si>
  <si>
    <t>4.1</t>
  </si>
  <si>
    <t>«</t>
  </si>
  <si>
    <t>4.2</t>
  </si>
  <si>
    <t>4.3</t>
  </si>
  <si>
    <t>4.4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</si>
  <si>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</si>
  <si>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</si>
  <si>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</si>
  <si>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</si>
  <si>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</si>
  <si>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</si>
  <si>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</si>
  <si>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r>
      <rPr>
        <b/>
        <i/>
        <sz val="11"/>
        <rFont val="Calibri"/>
        <family val="2"/>
      </rPr>
      <t>Assessment</t>
    </r>
    <r>
      <rPr>
        <b/>
        <sz val="11"/>
        <rFont val="Calibri"/>
        <family val="2"/>
      </rPr>
      <t xml:space="preserve"> Especificação Deloitte</t>
    </r>
  </si>
  <si>
    <t>Validação da especificação dos campos (total = 35)</t>
  </si>
  <si>
    <r>
      <t>Atualização da documentação (</t>
    </r>
    <r>
      <rPr>
        <i/>
        <sz val="11"/>
        <rFont val="Calibri"/>
        <family val="2"/>
      </rPr>
      <t>word</t>
    </r>
    <r>
      <rPr>
        <sz val="11"/>
        <rFont val="Calibri"/>
        <family val="2"/>
      </rPr>
      <t xml:space="preserve"> + </t>
    </r>
    <r>
      <rPr>
        <i/>
        <sz val="11"/>
        <rFont val="Calibri"/>
        <family val="2"/>
      </rPr>
      <t>excel</t>
    </r>
    <r>
      <rPr>
        <sz val="11"/>
        <rFont val="Calibri"/>
        <family val="2"/>
      </rPr>
      <t xml:space="preserve">) com a especificação </t>
    </r>
    <r>
      <rPr>
        <i/>
        <sz val="11"/>
        <rFont val="Calibri"/>
        <family val="2"/>
      </rPr>
      <t>to-be</t>
    </r>
  </si>
  <si>
    <t>Outros Temas</t>
  </si>
  <si>
    <t>Contratos intra-mês: validação do universo</t>
  </si>
  <si>
    <t>5.2</t>
  </si>
  <si>
    <t>Desagregação por Business Area</t>
  </si>
  <si>
    <t>02/jan</t>
  </si>
  <si>
    <t>03/jan</t>
  </si>
  <si>
    <t>06/jan</t>
  </si>
  <si>
    <t>10/jan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</si>
  <si>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</si>
  <si>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</si>
  <si>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</si>
  <si>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</si>
  <si>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</si>
  <si>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</si>
  <si>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</si>
  <si>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</si>
  <si>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</si>
  <si>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</si>
  <si>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</si>
  <si>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</si>
  <si>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</si>
  <si>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</si>
  <si>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</si>
  <si>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</si>
  <si>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colocar em curso a especificação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</si>
</sst>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ddd"/>
    <numFmt numFmtId="166" formatCode="0.0"/>
    <numFmt numFmtId="167" formatCode="0.0%"/>
  </numFmts>
  <fonts count="7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Santander Text"/>
      <family val="2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0"/>
      <name val="Arial"/>
      <family val="2"/>
      <scheme val="minor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b/>
      <i/>
      <sz val="10"/>
      <color theme="1"/>
      <name val="Santander Text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i/>
      <sz val="12"/>
      <color theme="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Wingdings"/>
      <charset val="2"/>
    </font>
    <font>
      <sz val="11"/>
      <color theme="8" tint="-0.499984740745262"/>
      <name val="Calibri"/>
      <family val="2"/>
    </font>
    <font>
      <b/>
      <sz val="11"/>
      <name val="Calibri"/>
      <family val="2"/>
    </font>
    <font>
      <b/>
      <u/>
      <sz val="11"/>
      <color theme="1"/>
      <name val="Calibri"/>
      <family val="2"/>
    </font>
    <font>
      <sz val="11"/>
      <color rgb="FF002060"/>
      <name val="Calibri"/>
      <family val="2"/>
    </font>
    <font>
      <b/>
      <sz val="11"/>
      <color rgb="FF92D050"/>
      <name val="Calibri"/>
      <family val="2"/>
    </font>
    <font>
      <i/>
      <sz val="11"/>
      <name val="Calibri"/>
      <family val="2"/>
    </font>
    <font>
      <sz val="11"/>
      <color rgb="FF00B0F0"/>
      <name val="Calibri"/>
      <family val="2"/>
    </font>
    <font>
      <sz val="11"/>
      <color theme="0" tint="-0.14999847407452621"/>
      <name val="Calibri"/>
      <family val="2"/>
    </font>
    <font>
      <b/>
      <sz val="11"/>
      <color theme="0" tint="-0.499984740745262"/>
      <name val="Calibri"/>
      <family val="2"/>
    </font>
    <font>
      <b/>
      <sz val="11"/>
      <color rgb="FFFFC000"/>
      <name val="Calibri"/>
      <family val="2"/>
    </font>
    <font>
      <b/>
      <i/>
      <sz val="11"/>
      <name val="Calibri"/>
      <family val="2"/>
    </font>
    <font>
      <sz val="11"/>
      <color theme="1"/>
      <name val="Calibri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9.9978637043366805E-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/>
      <bottom/>
      <diagonal/>
    </border>
    <border>
      <left/>
      <right/>
      <top style="hair">
        <color theme="0" tint="-0.249977111117893"/>
      </top>
      <bottom/>
      <diagonal/>
    </border>
    <border>
      <left/>
      <right/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5" fillId="0" borderId="0"/>
  </cellStyleXfs>
  <cellXfs count="336">
    <xf numFmtId="0" fontId="0" fillId="0" borderId="0" xfId="0"/>
    <xf numFmtId="0" fontId="4" fillId="0" borderId="0" xfId="0" applyFont="1"/>
    <xf numFmtId="0" fontId="2" fillId="0" borderId="0" xfId="0" applyFont="1"/>
    <xf numFmtId="0" fontId="6" fillId="0" borderId="0" xfId="0" applyFont="1"/>
    <xf numFmtId="0" fontId="0" fillId="3" borderId="0" xfId="0" applyFill="1"/>
    <xf numFmtId="0" fontId="11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 indent="2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 indent="2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readingOrder="1"/>
    </xf>
    <xf numFmtId="0" fontId="12" fillId="0" borderId="0" xfId="0" applyFont="1" applyAlignment="1">
      <alignment horizontal="left" vertical="center"/>
    </xf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11" fillId="7" borderId="3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0" borderId="4" xfId="0" applyFont="1" applyBorder="1"/>
    <xf numFmtId="0" fontId="14" fillId="0" borderId="5" xfId="0" applyFont="1" applyBorder="1"/>
    <xf numFmtId="0" fontId="14" fillId="0" borderId="4" xfId="0" applyFont="1" applyBorder="1"/>
    <xf numFmtId="0" fontId="14" fillId="0" borderId="5" xfId="0" applyFont="1" applyBorder="1" applyAlignment="1">
      <alignment vertical="center"/>
    </xf>
    <xf numFmtId="166" fontId="15" fillId="0" borderId="0" xfId="0" applyNumberFormat="1" applyFont="1" applyAlignment="1">
      <alignment horizontal="center" vertical="center"/>
    </xf>
    <xf numFmtId="0" fontId="0" fillId="8" borderId="6" xfId="0" applyFill="1" applyBorder="1"/>
    <xf numFmtId="0" fontId="0" fillId="8" borderId="4" xfId="0" applyFill="1" applyBorder="1"/>
    <xf numFmtId="0" fontId="0" fillId="8" borderId="7" xfId="0" applyFill="1" applyBorder="1"/>
    <xf numFmtId="0" fontId="11" fillId="0" borderId="4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center" indent="2"/>
    </xf>
    <xf numFmtId="0" fontId="10" fillId="0" borderId="0" xfId="0" applyFont="1"/>
    <xf numFmtId="0" fontId="2" fillId="10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16" fillId="4" borderId="0" xfId="0" applyFont="1" applyFill="1"/>
    <xf numFmtId="0" fontId="18" fillId="4" borderId="0" xfId="0" applyFont="1" applyFill="1"/>
    <xf numFmtId="0" fontId="11" fillId="0" borderId="1" xfId="0" applyFont="1" applyBorder="1"/>
    <xf numFmtId="0" fontId="2" fillId="0" borderId="1" xfId="0" applyFont="1" applyBorder="1"/>
    <xf numFmtId="16" fontId="11" fillId="0" borderId="1" xfId="0" applyNumberFormat="1" applyFont="1" applyBorder="1"/>
    <xf numFmtId="0" fontId="14" fillId="0" borderId="16" xfId="0" applyFont="1" applyBorder="1" applyAlignment="1">
      <alignment vertical="center"/>
    </xf>
    <xf numFmtId="0" fontId="14" fillId="0" borderId="16" xfId="0" applyFont="1" applyBorder="1" applyAlignment="1">
      <alignment horizontal="left" vertical="center"/>
    </xf>
    <xf numFmtId="0" fontId="14" fillId="0" borderId="16" xfId="0" applyFont="1" applyBorder="1"/>
    <xf numFmtId="0" fontId="0" fillId="12" borderId="7" xfId="0" applyFill="1" applyBorder="1"/>
    <xf numFmtId="14" fontId="14" fillId="0" borderId="16" xfId="0" applyNumberFormat="1" applyFont="1" applyBorder="1"/>
    <xf numFmtId="0" fontId="17" fillId="0" borderId="0" xfId="0" applyFont="1"/>
    <xf numFmtId="0" fontId="19" fillId="0" borderId="0" xfId="0" applyFont="1"/>
    <xf numFmtId="0" fontId="26" fillId="0" borderId="0" xfId="0" applyFont="1"/>
    <xf numFmtId="0" fontId="0" fillId="0" borderId="0" xfId="0" applyAlignment="1">
      <alignment horizontal="left" indent="2"/>
    </xf>
    <xf numFmtId="0" fontId="11" fillId="7" borderId="4" xfId="0" applyFont="1" applyFill="1" applyBorder="1" applyAlignment="1">
      <alignment horizontal="center" vertical="center"/>
    </xf>
    <xf numFmtId="9" fontId="11" fillId="7" borderId="4" xfId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" fontId="11" fillId="7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9" fontId="11" fillId="0" borderId="4" xfId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 vertical="center"/>
    </xf>
    <xf numFmtId="9" fontId="11" fillId="0" borderId="4" xfId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quotePrefix="1" applyFont="1" applyBorder="1" applyAlignment="1">
      <alignment horizontal="left" vertical="center" wrapText="1"/>
    </xf>
    <xf numFmtId="0" fontId="13" fillId="0" borderId="5" xfId="0" quotePrefix="1" applyFont="1" applyBorder="1" applyAlignment="1">
      <alignment wrapText="1"/>
    </xf>
    <xf numFmtId="0" fontId="13" fillId="0" borderId="5" xfId="0" quotePrefix="1" applyFont="1" applyBorder="1"/>
    <xf numFmtId="0" fontId="8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3" fillId="0" borderId="5" xfId="0" quotePrefix="1" applyFont="1" applyBorder="1" applyAlignment="1">
      <alignment vertical="center" wrapText="1"/>
    </xf>
    <xf numFmtId="14" fontId="28" fillId="0" borderId="16" xfId="0" applyNumberFormat="1" applyFont="1" applyBorder="1"/>
    <xf numFmtId="14" fontId="28" fillId="0" borderId="20" xfId="0" applyNumberFormat="1" applyFont="1" applyBorder="1"/>
    <xf numFmtId="0" fontId="8" fillId="10" borderId="5" xfId="0" applyFont="1" applyFill="1" applyBorder="1" applyAlignment="1">
      <alignment horizontal="left" vertical="center"/>
    </xf>
    <xf numFmtId="0" fontId="8" fillId="10" borderId="16" xfId="0" applyFont="1" applyFill="1" applyBorder="1" applyAlignment="1">
      <alignment horizontal="left" vertical="center"/>
    </xf>
    <xf numFmtId="0" fontId="8" fillId="10" borderId="11" xfId="0" applyFont="1" applyFill="1" applyBorder="1" applyAlignment="1">
      <alignment horizontal="left" vertical="center"/>
    </xf>
    <xf numFmtId="0" fontId="8" fillId="13" borderId="11" xfId="0" applyFont="1" applyFill="1" applyBorder="1" applyAlignment="1">
      <alignment horizontal="left" vertical="center"/>
    </xf>
    <xf numFmtId="0" fontId="8" fillId="13" borderId="0" xfId="0" applyFont="1" applyFill="1" applyAlignment="1">
      <alignment horizontal="left" vertical="center"/>
    </xf>
    <xf numFmtId="0" fontId="29" fillId="13" borderId="21" xfId="0" applyFont="1" applyFill="1" applyBorder="1" applyAlignment="1">
      <alignment horizontal="left" vertical="center"/>
    </xf>
    <xf numFmtId="0" fontId="8" fillId="13" borderId="21" xfId="0" applyFont="1" applyFill="1" applyBorder="1" applyAlignment="1">
      <alignment horizontal="left" vertical="center"/>
    </xf>
    <xf numFmtId="0" fontId="20" fillId="14" borderId="5" xfId="0" applyFont="1" applyFill="1" applyBorder="1" applyAlignment="1">
      <alignment vertical="center"/>
    </xf>
    <xf numFmtId="0" fontId="20" fillId="14" borderId="16" xfId="0" applyFont="1" applyFill="1" applyBorder="1" applyAlignment="1">
      <alignment vertical="center"/>
    </xf>
    <xf numFmtId="0" fontId="14" fillId="0" borderId="3" xfId="0" applyFont="1" applyBorder="1"/>
    <xf numFmtId="14" fontId="14" fillId="0" borderId="3" xfId="0" applyNumberFormat="1" applyFont="1" applyBorder="1"/>
    <xf numFmtId="0" fontId="8" fillId="15" borderId="16" xfId="0" applyFont="1" applyFill="1" applyBorder="1" applyAlignment="1">
      <alignment horizontal="left" vertical="center"/>
    </xf>
    <xf numFmtId="0" fontId="0" fillId="0" borderId="0" xfId="0" quotePrefix="1"/>
    <xf numFmtId="0" fontId="8" fillId="3" borderId="0" xfId="0" applyFont="1" applyFill="1"/>
    <xf numFmtId="0" fontId="8" fillId="3" borderId="22" xfId="0" applyFont="1" applyFill="1" applyBorder="1"/>
    <xf numFmtId="0" fontId="8" fillId="3" borderId="23" xfId="0" applyFont="1" applyFill="1" applyBorder="1"/>
    <xf numFmtId="0" fontId="33" fillId="3" borderId="0" xfId="0" applyFont="1" applyFill="1" applyAlignment="1">
      <alignment horizontal="left" vertical="center"/>
    </xf>
    <xf numFmtId="0" fontId="34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5" fillId="0" borderId="0" xfId="0" applyFont="1" applyAlignment="1">
      <alignment horizontal="center" vertical="center"/>
    </xf>
    <xf numFmtId="164" fontId="8" fillId="16" borderId="0" xfId="0" applyNumberFormat="1" applyFont="1" applyFill="1" applyAlignment="1">
      <alignment horizontal="center"/>
    </xf>
    <xf numFmtId="164" fontId="8" fillId="16" borderId="22" xfId="0" applyNumberFormat="1" applyFont="1" applyFill="1" applyBorder="1" applyAlignment="1">
      <alignment horizontal="center"/>
    </xf>
    <xf numFmtId="164" fontId="8" fillId="16" borderId="23" xfId="0" applyNumberFormat="1" applyFont="1" applyFill="1" applyBorder="1" applyAlignment="1">
      <alignment horizont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39" fillId="0" borderId="0" xfId="0" applyFont="1" applyAlignment="1">
      <alignment vertical="center"/>
    </xf>
    <xf numFmtId="2" fontId="37" fillId="0" borderId="0" xfId="0" applyNumberFormat="1" applyFont="1" applyAlignment="1">
      <alignment vertical="center"/>
    </xf>
    <xf numFmtId="0" fontId="40" fillId="17" borderId="24" xfId="0" applyFont="1" applyFill="1" applyBorder="1" applyAlignment="1">
      <alignment horizontal="center" vertical="center"/>
    </xf>
    <xf numFmtId="0" fontId="11" fillId="14" borderId="0" xfId="0" applyFont="1" applyFill="1" applyAlignment="1">
      <alignment horizontal="left" vertical="center"/>
    </xf>
    <xf numFmtId="0" fontId="12" fillId="14" borderId="0" xfId="0" applyFont="1" applyFill="1" applyAlignment="1">
      <alignment horizontal="left" vertical="center"/>
    </xf>
    <xf numFmtId="0" fontId="13" fillId="14" borderId="0" xfId="0" applyFont="1" applyFill="1" applyAlignment="1">
      <alignment horizontal="left" vertical="center"/>
    </xf>
    <xf numFmtId="0" fontId="39" fillId="14" borderId="0" xfId="0" applyFont="1" applyFill="1" applyAlignment="1">
      <alignment vertical="center"/>
    </xf>
    <xf numFmtId="0" fontId="30" fillId="14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2" fontId="37" fillId="2" borderId="0" xfId="0" applyNumberFormat="1" applyFont="1" applyFill="1" applyAlignment="1">
      <alignment vertical="center"/>
    </xf>
    <xf numFmtId="0" fontId="40" fillId="14" borderId="24" xfId="0" applyFont="1" applyFill="1" applyBorder="1" applyAlignment="1">
      <alignment horizontal="center" vertical="center"/>
    </xf>
    <xf numFmtId="0" fontId="0" fillId="0" borderId="24" xfId="0" applyBorder="1"/>
    <xf numFmtId="0" fontId="0" fillId="2" borderId="0" xfId="0" applyFill="1"/>
    <xf numFmtId="0" fontId="0" fillId="14" borderId="24" xfId="0" applyFill="1" applyBorder="1"/>
    <xf numFmtId="0" fontId="41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left" vertical="center"/>
    </xf>
    <xf numFmtId="0" fontId="21" fillId="0" borderId="25" xfId="0" applyFont="1" applyBorder="1" applyAlignment="1">
      <alignment horizontal="center" vertical="center"/>
    </xf>
    <xf numFmtId="0" fontId="14" fillId="0" borderId="25" xfId="0" applyFont="1" applyBorder="1" applyAlignment="1">
      <alignment horizontal="left" vertical="center"/>
    </xf>
    <xf numFmtId="0" fontId="39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18" borderId="24" xfId="0" applyFill="1" applyBorder="1"/>
    <xf numFmtId="0" fontId="21" fillId="0" borderId="26" xfId="0" applyFont="1" applyBorder="1" applyAlignment="1">
      <alignment horizontal="left" vertical="center"/>
    </xf>
    <xf numFmtId="0" fontId="21" fillId="0" borderId="26" xfId="0" applyFont="1" applyBorder="1" applyAlignment="1">
      <alignment horizontal="center" vertical="center"/>
    </xf>
    <xf numFmtId="0" fontId="14" fillId="0" borderId="26" xfId="0" applyFont="1" applyBorder="1" applyAlignment="1">
      <alignment horizontal="left" vertical="center"/>
    </xf>
    <xf numFmtId="0" fontId="39" fillId="0" borderId="26" xfId="0" applyFont="1" applyBorder="1" applyAlignment="1">
      <alignment vertical="center"/>
    </xf>
    <xf numFmtId="0" fontId="2" fillId="0" borderId="26" xfId="0" applyFont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0" fillId="0" borderId="27" xfId="0" applyBorder="1"/>
    <xf numFmtId="0" fontId="21" fillId="14" borderId="0" xfId="0" applyFont="1" applyFill="1" applyAlignment="1">
      <alignment horizontal="left" vertical="center"/>
    </xf>
    <xf numFmtId="0" fontId="21" fillId="14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center"/>
    </xf>
    <xf numFmtId="0" fontId="37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42" fillId="17" borderId="24" xfId="0" applyFont="1" applyFill="1" applyBorder="1"/>
    <xf numFmtId="0" fontId="31" fillId="0" borderId="24" xfId="0" applyFont="1" applyBorder="1"/>
    <xf numFmtId="0" fontId="30" fillId="14" borderId="0" xfId="0" applyFont="1" applyFill="1" applyAlignment="1">
      <alignment horizontal="left" vertical="center"/>
    </xf>
    <xf numFmtId="0" fontId="0" fillId="14" borderId="28" xfId="0" applyFill="1" applyBorder="1"/>
    <xf numFmtId="0" fontId="0" fillId="14" borderId="0" xfId="0" applyFill="1"/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29" xfId="0" applyBorder="1"/>
    <xf numFmtId="0" fontId="30" fillId="0" borderId="25" xfId="0" applyFont="1" applyBorder="1" applyAlignment="1">
      <alignment horizontal="left" vertical="center"/>
    </xf>
    <xf numFmtId="0" fontId="2" fillId="0" borderId="25" xfId="0" applyFont="1" applyBorder="1"/>
    <xf numFmtId="0" fontId="11" fillId="0" borderId="25" xfId="0" applyFont="1" applyBorder="1" applyAlignment="1">
      <alignment horizontal="left" vertical="center"/>
    </xf>
    <xf numFmtId="0" fontId="30" fillId="0" borderId="25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30" fillId="0" borderId="26" xfId="0" applyFont="1" applyBorder="1" applyAlignment="1">
      <alignment horizontal="left" vertical="center"/>
    </xf>
    <xf numFmtId="0" fontId="2" fillId="0" borderId="26" xfId="0" applyFont="1" applyBorder="1"/>
    <xf numFmtId="0" fontId="11" fillId="0" borderId="26" xfId="0" applyFont="1" applyBorder="1" applyAlignment="1">
      <alignment horizontal="left" vertical="center"/>
    </xf>
    <xf numFmtId="0" fontId="30" fillId="0" borderId="26" xfId="0" applyFont="1" applyBorder="1" applyAlignment="1">
      <alignment horizontal="center" vertical="center"/>
    </xf>
    <xf numFmtId="0" fontId="45" fillId="18" borderId="24" xfId="0" applyFont="1" applyFill="1" applyBorder="1"/>
    <xf numFmtId="2" fontId="37" fillId="0" borderId="32" xfId="0" applyNumberFormat="1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0" fillId="14" borderId="31" xfId="0" applyFill="1" applyBorder="1"/>
    <xf numFmtId="1" fontId="3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3" fillId="0" borderId="0" xfId="0" applyNumberFormat="1" applyFont="1" applyAlignment="1">
      <alignment horizontal="left" vertical="center"/>
    </xf>
    <xf numFmtId="0" fontId="46" fillId="3" borderId="33" xfId="0" applyFont="1" applyFill="1" applyBorder="1" applyAlignment="1">
      <alignment horizontal="center" vertical="center"/>
    </xf>
    <xf numFmtId="0" fontId="47" fillId="3" borderId="33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32" fillId="4" borderId="33" xfId="0" applyFont="1" applyFill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48" fillId="4" borderId="33" xfId="0" applyFont="1" applyFill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32" fillId="20" borderId="33" xfId="0" applyFont="1" applyFill="1" applyBorder="1" applyAlignment="1">
      <alignment vertical="center"/>
    </xf>
    <xf numFmtId="0" fontId="32" fillId="21" borderId="33" xfId="0" applyFont="1" applyFill="1" applyBorder="1" applyAlignment="1">
      <alignment vertical="center"/>
    </xf>
    <xf numFmtId="0" fontId="32" fillId="11" borderId="33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5" fontId="13" fillId="19" borderId="34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8" borderId="34" xfId="0" applyFill="1" applyBorder="1"/>
    <xf numFmtId="0" fontId="11" fillId="19" borderId="3" xfId="0" applyFont="1" applyFill="1" applyBorder="1" applyAlignment="1">
      <alignment vertical="center"/>
    </xf>
    <xf numFmtId="0" fontId="2" fillId="19" borderId="4" xfId="0" applyFont="1" applyFill="1" applyBorder="1" applyAlignment="1">
      <alignment vertical="center"/>
    </xf>
    <xf numFmtId="0" fontId="11" fillId="19" borderId="4" xfId="0" applyFont="1" applyFill="1" applyBorder="1" applyAlignment="1">
      <alignment horizontal="center" vertical="center"/>
    </xf>
    <xf numFmtId="9" fontId="11" fillId="19" borderId="4" xfId="1" applyFont="1" applyFill="1" applyBorder="1" applyAlignment="1">
      <alignment horizontal="center" vertical="center"/>
    </xf>
    <xf numFmtId="0" fontId="13" fillId="19" borderId="4" xfId="0" applyFont="1" applyFill="1" applyBorder="1" applyAlignment="1">
      <alignment horizontal="center" vertical="center"/>
    </xf>
    <xf numFmtId="164" fontId="11" fillId="4" borderId="34" xfId="0" applyNumberFormat="1" applyFont="1" applyFill="1" applyBorder="1" applyAlignment="1" applyProtection="1">
      <alignment horizontal="center" vertical="center"/>
      <protection hidden="1"/>
    </xf>
    <xf numFmtId="2" fontId="2" fillId="0" borderId="4" xfId="0" applyNumberFormat="1" applyFont="1" applyBorder="1" applyAlignment="1">
      <alignment horizontal="center" vertical="center"/>
    </xf>
    <xf numFmtId="2" fontId="11" fillId="19" borderId="4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11" fillId="0" borderId="2" xfId="0" applyFont="1" applyBorder="1"/>
    <xf numFmtId="0" fontId="2" fillId="0" borderId="2" xfId="0" applyFont="1" applyBorder="1"/>
    <xf numFmtId="167" fontId="2" fillId="0" borderId="2" xfId="1" applyNumberFormat="1" applyFont="1" applyBorder="1" applyAlignment="1">
      <alignment vertical="center"/>
    </xf>
    <xf numFmtId="0" fontId="32" fillId="22" borderId="33" xfId="0" applyFont="1" applyFill="1" applyBorder="1" applyAlignment="1">
      <alignment vertical="center"/>
    </xf>
    <xf numFmtId="0" fontId="32" fillId="23" borderId="33" xfId="0" applyFont="1" applyFill="1" applyBorder="1" applyAlignment="1">
      <alignment vertical="center"/>
    </xf>
    <xf numFmtId="0" fontId="32" fillId="24" borderId="33" xfId="0" applyFont="1" applyFill="1" applyBorder="1" applyAlignment="1">
      <alignment vertical="center"/>
    </xf>
    <xf numFmtId="0" fontId="32" fillId="10" borderId="33" xfId="0" applyFont="1" applyFill="1" applyBorder="1" applyAlignment="1">
      <alignment vertical="center"/>
    </xf>
    <xf numFmtId="0" fontId="32" fillId="25" borderId="33" xfId="0" applyFont="1" applyFill="1" applyBorder="1" applyAlignment="1">
      <alignment vertical="center"/>
    </xf>
    <xf numFmtId="0" fontId="32" fillId="14" borderId="33" xfId="0" applyFont="1" applyFill="1" applyBorder="1" applyAlignment="1">
      <alignment vertical="center"/>
    </xf>
    <xf numFmtId="16" fontId="11" fillId="0" borderId="1" xfId="0" applyNumberFormat="1" applyFont="1" applyBorder="1" applyAlignment="1">
      <alignment horizontal="right" vertical="center"/>
    </xf>
    <xf numFmtId="0" fontId="11" fillId="4" borderId="0" xfId="0" applyFont="1" applyFill="1"/>
    <xf numFmtId="0" fontId="32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32" fillId="26" borderId="33" xfId="0" applyFont="1" applyFill="1" applyBorder="1" applyAlignment="1">
      <alignment vertical="center"/>
    </xf>
    <xf numFmtId="14" fontId="14" fillId="0" borderId="5" xfId="0" applyNumberFormat="1" applyFont="1" applyBorder="1"/>
    <xf numFmtId="0" fontId="14" fillId="0" borderId="35" xfId="0" applyFont="1" applyBorder="1" applyAlignment="1">
      <alignment vertical="center"/>
    </xf>
    <xf numFmtId="0" fontId="14" fillId="0" borderId="35" xfId="0" applyFont="1" applyBorder="1" applyAlignment="1">
      <alignment horizontal="left" vertical="center"/>
    </xf>
    <xf numFmtId="0" fontId="14" fillId="0" borderId="35" xfId="0" applyFont="1" applyBorder="1"/>
    <xf numFmtId="14" fontId="14" fillId="0" borderId="10" xfId="0" applyNumberFormat="1" applyFont="1" applyBorder="1"/>
    <xf numFmtId="14" fontId="14" fillId="0" borderId="35" xfId="0" applyNumberFormat="1" applyFont="1" applyBorder="1"/>
    <xf numFmtId="9" fontId="2" fillId="0" borderId="0" xfId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8" borderId="0" xfId="0" applyFill="1"/>
    <xf numFmtId="0" fontId="3" fillId="0" borderId="12" xfId="0" applyFont="1" applyBorder="1" applyAlignment="1">
      <alignment horizontal="left" vertical="center" wrapText="1"/>
    </xf>
    <xf numFmtId="0" fontId="14" fillId="5" borderId="26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32" fillId="27" borderId="33" xfId="0" applyFont="1" applyFill="1" applyBorder="1" applyAlignment="1">
      <alignment vertical="center"/>
    </xf>
    <xf numFmtId="0" fontId="26" fillId="10" borderId="0" xfId="0" applyFont="1" applyFill="1"/>
    <xf numFmtId="0" fontId="32" fillId="0" borderId="0" xfId="0" applyFont="1" applyAlignment="1">
      <alignment vertical="center"/>
    </xf>
    <xf numFmtId="0" fontId="49" fillId="0" borderId="26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49" fillId="0" borderId="26" xfId="0" applyFont="1" applyBorder="1" applyAlignment="1">
      <alignment horizontal="left" vertical="center"/>
    </xf>
    <xf numFmtId="0" fontId="56" fillId="0" borderId="0" xfId="0" quotePrefix="1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0" borderId="0" xfId="0" quotePrefix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46" fillId="3" borderId="40" xfId="0" applyFont="1" applyFill="1" applyBorder="1" applyAlignment="1">
      <alignment horizontal="center" vertical="center"/>
    </xf>
    <xf numFmtId="0" fontId="47" fillId="3" borderId="40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60" fillId="14" borderId="36" xfId="0" applyFont="1" applyFill="1" applyBorder="1" applyAlignment="1">
      <alignment horizontal="left" vertical="center"/>
    </xf>
    <xf numFmtId="0" fontId="60" fillId="14" borderId="39" xfId="0" applyFont="1" applyFill="1" applyBorder="1" applyAlignment="1">
      <alignment vertical="center"/>
    </xf>
    <xf numFmtId="0" fontId="61" fillId="0" borderId="41" xfId="0" applyFont="1" applyBorder="1" applyAlignment="1">
      <alignment horizontal="left" vertical="center"/>
    </xf>
    <xf numFmtId="0" fontId="60" fillId="14" borderId="39" xfId="0" applyFont="1" applyFill="1" applyBorder="1" applyAlignment="1">
      <alignment horizontal="center" vertical="center"/>
    </xf>
    <xf numFmtId="0" fontId="62" fillId="0" borderId="0" xfId="0" applyFont="1" applyAlignment="1">
      <alignment vertical="center"/>
    </xf>
    <xf numFmtId="0" fontId="26" fillId="0" borderId="0" xfId="0" applyFont="1" applyAlignment="1">
      <alignment horizontal="left" vertical="center" indent="1"/>
    </xf>
    <xf numFmtId="0" fontId="63" fillId="0" borderId="0" xfId="0" applyFont="1" applyAlignment="1">
      <alignment horizontal="right" vertical="center"/>
    </xf>
    <xf numFmtId="0" fontId="61" fillId="28" borderId="40" xfId="0" applyFont="1" applyFill="1" applyBorder="1" applyAlignment="1">
      <alignment horizontal="center" vertical="center"/>
    </xf>
    <xf numFmtId="0" fontId="26" fillId="14" borderId="39" xfId="0" applyFont="1" applyFill="1" applyBorder="1" applyAlignment="1">
      <alignment vertical="center"/>
    </xf>
    <xf numFmtId="0" fontId="49" fillId="0" borderId="41" xfId="0" applyFont="1" applyBorder="1" applyAlignment="1">
      <alignment horizontal="left" vertical="center"/>
    </xf>
    <xf numFmtId="0" fontId="49" fillId="0" borderId="41" xfId="0" applyFont="1" applyBorder="1" applyAlignment="1">
      <alignment horizontal="center" vertical="center"/>
    </xf>
    <xf numFmtId="9" fontId="49" fillId="0" borderId="0" xfId="0" applyNumberFormat="1" applyFont="1" applyAlignment="1">
      <alignment vertical="center"/>
    </xf>
    <xf numFmtId="0" fontId="26" fillId="0" borderId="42" xfId="0" applyFont="1" applyBorder="1" applyAlignment="1">
      <alignment vertical="center"/>
    </xf>
    <xf numFmtId="0" fontId="26" fillId="0" borderId="24" xfId="0" applyFont="1" applyBorder="1" applyAlignment="1">
      <alignment vertical="center"/>
    </xf>
    <xf numFmtId="0" fontId="26" fillId="0" borderId="31" xfId="0" applyFont="1" applyBorder="1" applyAlignment="1">
      <alignment vertical="center"/>
    </xf>
    <xf numFmtId="0" fontId="26" fillId="0" borderId="29" xfId="0" applyFont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0" borderId="44" xfId="0" applyFont="1" applyBorder="1" applyAlignment="1">
      <alignment vertic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 indent="1"/>
    </xf>
    <xf numFmtId="0" fontId="49" fillId="0" borderId="0" xfId="0" applyFont="1" applyAlignment="1">
      <alignment horizontal="center" vertical="center"/>
    </xf>
    <xf numFmtId="0" fontId="64" fillId="0" borderId="0" xfId="0" quotePrefix="1" applyFont="1" applyAlignment="1">
      <alignment horizontal="center" vertical="center"/>
    </xf>
    <xf numFmtId="16" fontId="49" fillId="0" borderId="0" xfId="0" applyNumberFormat="1" applyFont="1" applyAlignment="1">
      <alignment horizontal="center" vertical="center"/>
    </xf>
    <xf numFmtId="0" fontId="26" fillId="0" borderId="45" xfId="0" applyFont="1" applyBorder="1" applyAlignment="1">
      <alignment vertical="center"/>
    </xf>
    <xf numFmtId="0" fontId="26" fillId="14" borderId="24" xfId="0" applyFont="1" applyFill="1" applyBorder="1" applyAlignment="1">
      <alignment vertical="center"/>
    </xf>
    <xf numFmtId="0" fontId="26" fillId="14" borderId="31" xfId="0" applyFont="1" applyFill="1" applyBorder="1" applyAlignment="1">
      <alignment vertical="center"/>
    </xf>
    <xf numFmtId="0" fontId="26" fillId="14" borderId="45" xfId="0" applyFont="1" applyFill="1" applyBorder="1" applyAlignment="1">
      <alignment vertical="center"/>
    </xf>
    <xf numFmtId="0" fontId="26" fillId="6" borderId="46" xfId="0" applyFont="1" applyFill="1" applyBorder="1" applyAlignment="1">
      <alignment vertical="center"/>
    </xf>
    <xf numFmtId="0" fontId="66" fillId="0" borderId="0" xfId="0" applyFont="1" applyAlignment="1">
      <alignment horizontal="right" vertical="center"/>
    </xf>
    <xf numFmtId="0" fontId="49" fillId="0" borderId="26" xfId="0" applyFont="1" applyBorder="1" applyAlignment="1">
      <alignment horizontal="left" vertical="center" indent="1"/>
    </xf>
    <xf numFmtId="0" fontId="64" fillId="0" borderId="26" xfId="0" applyFont="1" applyBorder="1" applyAlignment="1">
      <alignment horizontal="center" vertical="center"/>
    </xf>
    <xf numFmtId="16" fontId="49" fillId="0" borderId="26" xfId="0" applyNumberFormat="1" applyFont="1" applyBorder="1" applyAlignment="1">
      <alignment horizontal="center" vertical="center"/>
    </xf>
    <xf numFmtId="0" fontId="26" fillId="14" borderId="29" xfId="0" applyFont="1" applyFill="1" applyBorder="1" applyAlignment="1">
      <alignment vertical="center"/>
    </xf>
    <xf numFmtId="0" fontId="49" fillId="0" borderId="47" xfId="0" applyFont="1" applyBorder="1" applyAlignment="1">
      <alignment horizontal="left" vertical="center"/>
    </xf>
    <xf numFmtId="0" fontId="49" fillId="0" borderId="47" xfId="0" applyFont="1" applyBorder="1" applyAlignment="1">
      <alignment horizontal="left" vertical="center" indent="1"/>
    </xf>
    <xf numFmtId="16" fontId="49" fillId="0" borderId="47" xfId="0" applyNumberFormat="1" applyFont="1" applyBorder="1" applyAlignment="1">
      <alignment horizontal="center" vertical="center"/>
    </xf>
    <xf numFmtId="0" fontId="67" fillId="0" borderId="45" xfId="0" applyFont="1" applyBorder="1" applyAlignment="1">
      <alignment vertical="center"/>
    </xf>
    <xf numFmtId="0" fontId="67" fillId="0" borderId="24" xfId="0" applyFont="1" applyBorder="1" applyAlignment="1">
      <alignment vertical="center"/>
    </xf>
    <xf numFmtId="0" fontId="67" fillId="0" borderId="31" xfId="0" applyFont="1" applyBorder="1" applyAlignment="1">
      <alignment vertical="center"/>
    </xf>
    <xf numFmtId="0" fontId="49" fillId="0" borderId="48" xfId="0" applyFont="1" applyBorder="1" applyAlignment="1">
      <alignment horizontal="left" vertical="center"/>
    </xf>
    <xf numFmtId="16" fontId="49" fillId="0" borderId="25" xfId="0" applyNumberFormat="1" applyFont="1" applyBorder="1" applyAlignment="1">
      <alignment horizontal="center" vertical="center"/>
    </xf>
    <xf numFmtId="0" fontId="26" fillId="14" borderId="44" xfId="0" applyFont="1" applyFill="1" applyBorder="1" applyAlignment="1">
      <alignment vertical="center"/>
    </xf>
    <xf numFmtId="0" fontId="67" fillId="14" borderId="45" xfId="0" applyFont="1" applyFill="1" applyBorder="1" applyAlignment="1">
      <alignment vertical="center"/>
    </xf>
    <xf numFmtId="0" fontId="67" fillId="14" borderId="24" xfId="0" applyFont="1" applyFill="1" applyBorder="1" applyAlignment="1">
      <alignment vertical="center"/>
    </xf>
    <xf numFmtId="0" fontId="26" fillId="6" borderId="0" xfId="0" applyFont="1" applyFill="1" applyAlignment="1">
      <alignment vertical="center"/>
    </xf>
    <xf numFmtId="0" fontId="49" fillId="0" borderId="25" xfId="0" applyFont="1" applyBorder="1" applyAlignment="1">
      <alignment horizontal="left" vertical="center"/>
    </xf>
    <xf numFmtId="0" fontId="49" fillId="0" borderId="25" xfId="0" applyFont="1" applyBorder="1" applyAlignment="1">
      <alignment horizontal="left" vertical="center" indent="1"/>
    </xf>
    <xf numFmtId="0" fontId="26" fillId="6" borderId="49" xfId="0" applyFont="1" applyFill="1" applyBorder="1" applyAlignment="1">
      <alignment vertical="center"/>
    </xf>
    <xf numFmtId="0" fontId="68" fillId="0" borderId="26" xfId="0" applyFont="1" applyBorder="1" applyAlignment="1">
      <alignment horizontal="center" vertical="center"/>
    </xf>
    <xf numFmtId="0" fontId="26" fillId="0" borderId="50" xfId="0" applyFont="1" applyBorder="1" applyAlignment="1">
      <alignment vertical="center"/>
    </xf>
    <xf numFmtId="0" fontId="69" fillId="0" borderId="41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14" borderId="45" xfId="0" applyFont="1" applyFill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69" fillId="0" borderId="26" xfId="0" applyFont="1" applyBorder="1" applyAlignment="1">
      <alignment horizontal="center" vertical="center"/>
    </xf>
    <xf numFmtId="0" fontId="26" fillId="9" borderId="24" xfId="0" applyFont="1" applyFill="1" applyBorder="1" applyAlignment="1">
      <alignment vertical="center"/>
    </xf>
    <xf numFmtId="0" fontId="69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14" borderId="0" xfId="0" applyFont="1" applyFill="1" applyAlignment="1">
      <alignment horizontal="center" vertical="center"/>
    </xf>
    <xf numFmtId="0" fontId="26" fillId="14" borderId="0" xfId="0" applyFont="1" applyFill="1" applyAlignment="1">
      <alignment vertical="center"/>
    </xf>
    <xf numFmtId="16" fontId="0" fillId="0" borderId="0" xfId="0" applyNumberFormat="1"/>
    <xf numFmtId="16" fontId="0" fillId="0" borderId="0" xfId="0" quotePrefix="1" applyNumberFormat="1"/>
    <xf numFmtId="0" fontId="32" fillId="28" borderId="40" xfId="0" applyFont="1" applyFill="1" applyBorder="1" applyAlignment="1">
      <alignment vertical="center"/>
    </xf>
    <xf numFmtId="0" fontId="32" fillId="28" borderId="36" xfId="0" applyFont="1" applyFill="1" applyBorder="1" applyAlignment="1">
      <alignment vertical="center"/>
    </xf>
    <xf numFmtId="0" fontId="32" fillId="28" borderId="39" xfId="0" applyFont="1" applyFill="1" applyBorder="1" applyAlignment="1">
      <alignment vertical="center"/>
    </xf>
    <xf numFmtId="0" fontId="32" fillId="28" borderId="37" xfId="0" applyFont="1" applyFill="1" applyBorder="1" applyAlignment="1">
      <alignment vertical="center"/>
    </xf>
    <xf numFmtId="0" fontId="26" fillId="29" borderId="0" xfId="0" applyFont="1" applyFill="1" applyAlignment="1">
      <alignment horizontal="left" vertical="center"/>
    </xf>
    <xf numFmtId="0" fontId="26" fillId="29" borderId="0" xfId="0" applyFont="1" applyFill="1" applyAlignment="1">
      <alignment vertical="center"/>
    </xf>
    <xf numFmtId="0" fontId="23" fillId="0" borderId="8" xfId="0" quotePrefix="1" applyFont="1" applyBorder="1" applyAlignment="1">
      <alignment horizontal="left" vertical="center" wrapText="1" indent="1"/>
    </xf>
    <xf numFmtId="0" fontId="23" fillId="0" borderId="9" xfId="0" applyFont="1" applyBorder="1" applyAlignment="1">
      <alignment horizontal="left" vertical="center" wrapText="1" indent="1"/>
    </xf>
    <xf numFmtId="0" fontId="23" fillId="0" borderId="10" xfId="0" applyFont="1" applyBorder="1" applyAlignment="1">
      <alignment horizontal="left" vertical="center" wrapText="1" indent="1"/>
    </xf>
    <xf numFmtId="0" fontId="23" fillId="0" borderId="11" xfId="0" applyFont="1" applyBorder="1" applyAlignment="1">
      <alignment horizontal="left" vertical="center" wrapText="1" indent="1"/>
    </xf>
    <xf numFmtId="0" fontId="23" fillId="0" borderId="0" xfId="0" applyFont="1" applyAlignment="1">
      <alignment horizontal="left" vertical="center" wrapText="1" indent="1"/>
    </xf>
    <xf numFmtId="0" fontId="23" fillId="0" borderId="12" xfId="0" applyFont="1" applyBorder="1" applyAlignment="1">
      <alignment horizontal="left" vertical="center" wrapText="1" indent="1"/>
    </xf>
    <xf numFmtId="0" fontId="23" fillId="0" borderId="13" xfId="0" applyFont="1" applyBorder="1" applyAlignment="1">
      <alignment horizontal="left" vertical="center" wrapText="1" indent="1"/>
    </xf>
    <xf numFmtId="0" fontId="23" fillId="0" borderId="14" xfId="0" applyFont="1" applyBorder="1" applyAlignment="1">
      <alignment horizontal="left" vertical="center" wrapText="1" indent="1"/>
    </xf>
    <xf numFmtId="0" fontId="23" fillId="0" borderId="15" xfId="0" applyFont="1" applyBorder="1" applyAlignment="1">
      <alignment horizontal="left" vertical="center" wrapText="1" indent="1"/>
    </xf>
    <xf numFmtId="0" fontId="3" fillId="9" borderId="8" xfId="0" applyFont="1" applyFill="1" applyBorder="1" applyAlignment="1">
      <alignment horizontal="left" vertical="center" wrapText="1"/>
    </xf>
    <xf numFmtId="0" fontId="3" fillId="9" borderId="9" xfId="0" applyFont="1" applyFill="1" applyBorder="1" applyAlignment="1">
      <alignment horizontal="left" vertical="center" wrapText="1"/>
    </xf>
    <xf numFmtId="0" fontId="3" fillId="9" borderId="10" xfId="0" applyFont="1" applyFill="1" applyBorder="1" applyAlignment="1">
      <alignment horizontal="left" vertical="center" wrapText="1"/>
    </xf>
    <xf numFmtId="0" fontId="3" fillId="9" borderId="11" xfId="0" applyFont="1" applyFill="1" applyBorder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0" fontId="3" fillId="9" borderId="12" xfId="0" applyFont="1" applyFill="1" applyBorder="1" applyAlignment="1">
      <alignment horizontal="left" vertical="center" wrapText="1"/>
    </xf>
    <xf numFmtId="0" fontId="3" fillId="9" borderId="18" xfId="0" applyFont="1" applyFill="1" applyBorder="1" applyAlignment="1">
      <alignment horizontal="left" vertical="center" wrapText="1"/>
    </xf>
    <xf numFmtId="0" fontId="3" fillId="9" borderId="17" xfId="0" applyFont="1" applyFill="1" applyBorder="1" applyAlignment="1">
      <alignment horizontal="left" vertical="center" wrapText="1"/>
    </xf>
    <xf numFmtId="0" fontId="3" fillId="9" borderId="19" xfId="0" applyFont="1" applyFill="1" applyBorder="1" applyAlignment="1">
      <alignment horizontal="left" vertical="center" wrapText="1"/>
    </xf>
    <xf numFmtId="0" fontId="46" fillId="3" borderId="38" xfId="0" applyFont="1" applyFill="1" applyBorder="1" applyAlignment="1">
      <alignment horizontal="center" vertical="center"/>
    </xf>
    <xf numFmtId="0" fontId="46" fillId="3" borderId="36" xfId="0" applyFont="1" applyFill="1" applyBorder="1" applyAlignment="1">
      <alignment horizontal="center" vertical="center"/>
    </xf>
    <xf numFmtId="0" fontId="46" fillId="3" borderId="39" xfId="0" applyFont="1" applyFill="1" applyBorder="1" applyAlignment="1">
      <alignment horizontal="center" vertical="center"/>
    </xf>
    <xf numFmtId="0" fontId="46" fillId="3" borderId="37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1" fillId="0" borderId="0" xfId="0" pivotButton="1" applyFont="1"/>
    <xf numFmtId="0" fontId="71" fillId="0" borderId="0" xfId="0" applyFont="1"/>
    <xf numFmtId="0" fontId="71" fillId="0" borderId="0" xfId="0" applyFont="1" applyAlignment="1">
      <alignment horizontal="left"/>
    </xf>
    <xf numFmtId="0" fontId="71" fillId="0" borderId="0" xfId="0" applyNumberFormat="1" applyFont="1"/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40"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ill>
        <patternFill>
          <bgColor theme="7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trabalho_v0.3.xlsx]Pivots_GD!PivotTable1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Pivots_GD!$B$5:$B$9</c:f>
              <c:strCache>
                <c:ptCount val="4"/>
                <c:pt idx="0">
                  <c:v>0. Cancelado</c:v>
                </c:pt>
                <c:pt idx="1">
                  <c:v>2. Concluído</c:v>
                </c:pt>
                <c:pt idx="2">
                  <c:v>4. Validação da especificação</c:v>
                </c:pt>
                <c:pt idx="3">
                  <c:v>3. Em Análise</c:v>
                </c:pt>
              </c:strCache>
            </c:strRef>
          </c:cat>
          <c:val>
            <c:numRef>
              <c:f>Pivots_GD!$C$5:$C$9</c:f>
              <c:numCache>
                <c:formatCode>General</c:formatCode>
                <c:ptCount val="4"/>
                <c:pt idx="0">
                  <c:v>3</c:v>
                </c:pt>
                <c:pt idx="1">
                  <c:v>31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trabalho_v0.3.xlsx]Pivots_GD!PivotTable2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Pivots_GD!$C$12:$C$13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Pivots_GD!$B$14:$B$16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Pivots_GD!$C$14:$C$16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Pivots_GD!$D$12:$D$13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Pivots_GD!$B$14:$B$16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Pivots_GD!$D$14:$D$16</c:f>
              <c:numCache>
                <c:formatCode>General</c:formatCode>
                <c:ptCount val="2"/>
                <c:pt idx="0">
                  <c:v>25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ser>
          <c:idx val="2"/>
          <c:order val="2"/>
          <c:tx>
            <c:strRef>
              <c:f>Pivots_GD!$E$12:$E$13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BD34-4910-A4EC-EE8B43B1D6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Pivots_GD!$B$14:$B$16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Pivots_GD!$E$14:$E$16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4-4910-A4EC-EE8B43B1D6A5}"/>
            </c:ext>
          </c:extLst>
        </c:ser>
        <c:ser>
          <c:idx val="3"/>
          <c:order val="3"/>
          <c:tx>
            <c:strRef>
              <c:f>Pivots_GD!$F$12:$F$13</c:f>
              <c:strCache>
                <c:ptCount val="1"/>
                <c:pt idx="0">
                  <c:v>3. Em Análise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Pivots_GD!$B$14:$B$16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Pivots_GD!$F$14:$F$16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15</xdr:row>
      <xdr:rowOff>0</xdr:rowOff>
    </xdr:from>
    <xdr:to>
      <xdr:col>5</xdr:col>
      <xdr:colOff>1049722</xdr:colOff>
      <xdr:row>26</xdr:row>
      <xdr:rowOff>95251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16</xdr:row>
      <xdr:rowOff>56603</xdr:rowOff>
    </xdr:from>
    <xdr:to>
      <xdr:col>6</xdr:col>
      <xdr:colOff>631909</xdr:colOff>
      <xdr:row>16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17</xdr:row>
      <xdr:rowOff>58238</xdr:rowOff>
    </xdr:from>
    <xdr:to>
      <xdr:col>6</xdr:col>
      <xdr:colOff>628099</xdr:colOff>
      <xdr:row>17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18</xdr:row>
      <xdr:rowOff>56063</xdr:rowOff>
    </xdr:from>
    <xdr:to>
      <xdr:col>6</xdr:col>
      <xdr:colOff>628099</xdr:colOff>
      <xdr:row>18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59331</xdr:rowOff>
    </xdr:from>
    <xdr:to>
      <xdr:col>6</xdr:col>
      <xdr:colOff>629912</xdr:colOff>
      <xdr:row>20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21</xdr:row>
      <xdr:rowOff>60155</xdr:rowOff>
    </xdr:from>
    <xdr:to>
      <xdr:col>6</xdr:col>
      <xdr:colOff>631909</xdr:colOff>
      <xdr:row>21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186477</xdr:rowOff>
    </xdr:from>
    <xdr:to>
      <xdr:col>3</xdr:col>
      <xdr:colOff>309094</xdr:colOff>
      <xdr:row>2</xdr:row>
      <xdr:rowOff>76200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19</xdr:row>
      <xdr:rowOff>53887</xdr:rowOff>
    </xdr:from>
    <xdr:to>
      <xdr:col>6</xdr:col>
      <xdr:colOff>628099</xdr:colOff>
      <xdr:row>19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28</xdr:row>
      <xdr:rowOff>114299</xdr:rowOff>
    </xdr:from>
    <xdr:to>
      <xdr:col>6</xdr:col>
      <xdr:colOff>312923</xdr:colOff>
      <xdr:row>35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909954</xdr:colOff>
      <xdr:row>2</xdr:row>
      <xdr:rowOff>33657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34533</xdr:rowOff>
    </xdr:from>
    <xdr:to>
      <xdr:col>2</xdr:col>
      <xdr:colOff>186984</xdr:colOff>
      <xdr:row>1</xdr:row>
      <xdr:rowOff>186371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0" y="236463"/>
          <a:ext cx="836589" cy="151838"/>
        </a:xfrm>
        <a:prstGeom prst="rect">
          <a:avLst/>
        </a:prstGeom>
      </xdr:spPr>
    </xdr:pic>
    <xdr:clientData/>
  </xdr:twoCellAnchor>
  <xdr:twoCellAnchor>
    <xdr:from>
      <xdr:col>2</xdr:col>
      <xdr:colOff>327225</xdr:colOff>
      <xdr:row>0</xdr:row>
      <xdr:rowOff>112058</xdr:rowOff>
    </xdr:from>
    <xdr:to>
      <xdr:col>2</xdr:col>
      <xdr:colOff>1273099</xdr:colOff>
      <xdr:row>2</xdr:row>
      <xdr:rowOff>114618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5915" y="112058"/>
          <a:ext cx="953494" cy="440710"/>
        </a:xfrm>
        <a:prstGeom prst="rect">
          <a:avLst/>
        </a:prstGeom>
      </xdr:spPr>
    </xdr:pic>
    <xdr:clientData/>
  </xdr:twoCellAnchor>
  <xdr:twoCellAnchor>
    <xdr:from>
      <xdr:col>2</xdr:col>
      <xdr:colOff>393700</xdr:colOff>
      <xdr:row>50</xdr:row>
      <xdr:rowOff>0</xdr:rowOff>
    </xdr:from>
    <xdr:to>
      <xdr:col>3</xdr:col>
      <xdr:colOff>431800</xdr:colOff>
      <xdr:row>51</xdr:row>
      <xdr:rowOff>774700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5EBC8F1-99D9-AD97-AF7E-0F3B80E549C2}"/>
            </a:ext>
          </a:extLst>
        </xdr:cNvPr>
        <xdr:cNvSpPr/>
      </xdr:nvSpPr>
      <xdr:spPr>
        <a:xfrm>
          <a:off x="1358900" y="8191500"/>
          <a:ext cx="2171700" cy="10033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100" kern="1200">
              <a:solidFill>
                <a:sysClr val="windowText" lastClr="000000"/>
              </a:solidFill>
            </a:rPr>
            <a:t>Falta alterar </a:t>
          </a:r>
        </a:p>
      </xdr:txBody>
    </xdr:sp>
    <xdr:clientData/>
  </xdr:twoCellAnchor>
  <xdr:twoCellAnchor>
    <xdr:from>
      <xdr:col>1</xdr:col>
      <xdr:colOff>622300</xdr:colOff>
      <xdr:row>69</xdr:row>
      <xdr:rowOff>584200</xdr:rowOff>
    </xdr:from>
    <xdr:to>
      <xdr:col>2</xdr:col>
      <xdr:colOff>2120900</xdr:colOff>
      <xdr:row>233</xdr:row>
      <xdr:rowOff>749300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C0A9F1B-C32D-42A9-A9AC-449D44531F0C}"/>
            </a:ext>
          </a:extLst>
        </xdr:cNvPr>
        <xdr:cNvSpPr/>
      </xdr:nvSpPr>
      <xdr:spPr>
        <a:xfrm>
          <a:off x="914400" y="10642600"/>
          <a:ext cx="2171700" cy="10033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100" kern="1200">
              <a:solidFill>
                <a:sysClr val="windowText" lastClr="000000"/>
              </a:solidFill>
            </a:rPr>
            <a:t>Falta alterar </a:t>
          </a:r>
        </a:p>
      </xdr:txBody>
    </xdr:sp>
    <xdr:clientData/>
  </xdr:twoCellAnchor>
  <xdr:twoCellAnchor>
    <xdr:from>
      <xdr:col>1</xdr:col>
      <xdr:colOff>546100</xdr:colOff>
      <xdr:row>400</xdr:row>
      <xdr:rowOff>228600</xdr:rowOff>
    </xdr:from>
    <xdr:to>
      <xdr:col>2</xdr:col>
      <xdr:colOff>2044700</xdr:colOff>
      <xdr:row>625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EF97FAF-0CC3-4EB0-B00D-DFE178624D7A}"/>
            </a:ext>
          </a:extLst>
        </xdr:cNvPr>
        <xdr:cNvSpPr/>
      </xdr:nvSpPr>
      <xdr:spPr>
        <a:xfrm>
          <a:off x="838200" y="13436600"/>
          <a:ext cx="2171700" cy="10033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100" kern="1200">
              <a:solidFill>
                <a:sysClr val="windowText" lastClr="000000"/>
              </a:solidFill>
            </a:rPr>
            <a:t>Falta alterar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73.426424652775" createdVersion="6" refreshedVersion="8" minRefreshableVersion="3" recordCount="38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1">
        <s v="Assessment"/>
      </sharedItems>
    </cacheField>
    <cacheField name="Tipo de teste" numFmtId="0">
      <sharedItems/>
    </cacheField>
    <cacheField name="Tabela" numFmtId="0">
      <sharedItems count="2">
        <s v="lt002_instrument"/>
        <s v="lt824_assoc_kpi_gd"/>
      </sharedItems>
    </cacheField>
    <cacheField name="Campo" numFmtId="0">
      <sharedItems/>
    </cacheField>
    <cacheField name="Status Atual" numFmtId="0">
      <sharedItems count="13">
        <s v="2. Concluído"/>
        <s v="4. Validação da especificação"/>
        <s v="3. Em Análise"/>
        <s v="0. Cancelado"/>
        <s v="8. Por Iniciar" u="1"/>
        <s v="1. Fora de âmbito" u="1"/>
        <s v="1. Concluíd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 containsNonDate="0" containsString="0" containsBlank="1"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s v="Green Dashboard"/>
    <x v="0"/>
    <s v="2. Campo"/>
    <x v="0"/>
    <s v="AVRG_BLNC"/>
    <x v="0"/>
    <s v="2. Concluído"/>
    <m/>
    <m/>
    <m/>
    <m/>
    <m/>
    <m/>
  </r>
  <r>
    <s v="Green Dashboard"/>
    <x v="0"/>
    <s v="2. Campo"/>
    <x v="0"/>
    <s v="NW_BSNSS"/>
    <x v="1"/>
    <s v="8. Por Iniciar"/>
    <m/>
    <m/>
    <m/>
    <m/>
    <m/>
    <m/>
  </r>
  <r>
    <s v="Green Dashboard"/>
    <x v="0"/>
    <s v="2. Campo"/>
    <x v="0"/>
    <s v="GRSS_INTRST_INCM"/>
    <x v="0"/>
    <s v="4. Validação da especificação"/>
    <m/>
    <m/>
    <m/>
    <m/>
    <m/>
    <m/>
  </r>
  <r>
    <s v="Green Dashboard"/>
    <x v="0"/>
    <s v="2. Campo"/>
    <x v="0"/>
    <s v="GRSS_CMMSSN_INCM"/>
    <x v="0"/>
    <s v="4. Validação da especificação"/>
    <m/>
    <m/>
    <m/>
    <m/>
    <m/>
    <m/>
  </r>
  <r>
    <s v="Green Dashboard"/>
    <x v="0"/>
    <s v="2. Campo"/>
    <x v="0"/>
    <s v="INTRNL_TRNSFR_RT"/>
    <x v="0"/>
    <s v="2. Concluído"/>
    <m/>
    <m/>
    <m/>
    <m/>
    <m/>
    <m/>
  </r>
  <r>
    <s v="Green Dashboard"/>
    <x v="0"/>
    <s v="2. Campo"/>
    <x v="0"/>
    <s v="NT_LN_LSS_PRVSN"/>
    <x v="0"/>
    <s v="2. Concluído"/>
    <m/>
    <m/>
    <m/>
    <m/>
    <m/>
    <m/>
  </r>
  <r>
    <s v="Green Dashboard"/>
    <x v="0"/>
    <s v="2. Campo"/>
    <x v="0"/>
    <s v="BSNSS_AREA"/>
    <x v="0"/>
    <s v="8. Por Iniciar"/>
    <m/>
    <m/>
    <m/>
    <m/>
    <m/>
    <m/>
  </r>
  <r>
    <s v="Green Dashboard"/>
    <x v="0"/>
    <s v="2. Campo"/>
    <x v="0"/>
    <s v="MNGMNT_PRDCT"/>
    <x v="0"/>
    <s v="2. Concluído"/>
    <m/>
    <m/>
    <m/>
    <m/>
    <m/>
    <m/>
  </r>
  <r>
    <s v="Green Dashboard"/>
    <x v="0"/>
    <s v="2. Campo"/>
    <x v="0"/>
    <s v="GRSS_CMMSSN_EXPNS"/>
    <x v="0"/>
    <s v="2. Concluído"/>
    <m/>
    <m/>
    <m/>
    <m/>
    <m/>
    <m/>
  </r>
  <r>
    <s v="Green Dashboard"/>
    <x v="0"/>
    <s v="2. Campo"/>
    <x v="0"/>
    <s v="GNS_FNNCL_TRNSCTN_EXCHNG_DFFRNCS"/>
    <x v="0"/>
    <s v="2. Concluído"/>
    <m/>
    <m/>
    <m/>
    <m/>
    <m/>
    <m/>
  </r>
  <r>
    <s v="Green Dashboard"/>
    <x v="0"/>
    <s v="2. Campo"/>
    <x v="0"/>
    <s v="FLG_INTRBSNSS"/>
    <x v="2"/>
    <s v="8. Por Iniciar"/>
    <m/>
    <m/>
    <m/>
    <m/>
    <m/>
    <m/>
  </r>
  <r>
    <s v="Green Dashboard"/>
    <x v="0"/>
    <s v="2. Campo"/>
    <x v="0"/>
    <s v="INTRBSNSS_ADJ_COD"/>
    <x v="2"/>
    <s v="8. Por Iniciar"/>
    <m/>
    <m/>
    <m/>
    <m/>
    <m/>
    <m/>
  </r>
  <r>
    <s v="Green Dashboard"/>
    <x v="0"/>
    <s v="2. Campo"/>
    <x v="0"/>
    <s v="COD_SOC_DSTNTN"/>
    <x v="2"/>
    <s v="8. Por Iniciar"/>
    <m/>
    <m/>
    <m/>
    <m/>
    <m/>
    <m/>
  </r>
  <r>
    <s v="Green Dashboard"/>
    <x v="0"/>
    <s v="2. Campo"/>
    <x v="0"/>
    <s v="BSNSS_AREA_DSTNTN"/>
    <x v="0"/>
    <s v="8. Por Iniciar"/>
    <m/>
    <m/>
    <m/>
    <m/>
    <m/>
    <m/>
  </r>
  <r>
    <s v="Green Dashboard"/>
    <x v="0"/>
    <s v="2. Campo"/>
    <x v="0"/>
    <s v="AVRG_BLNC_OFF_BLNC"/>
    <x v="0"/>
    <s v="2. Concluído"/>
    <m/>
    <m/>
    <m/>
    <m/>
    <m/>
    <m/>
  </r>
  <r>
    <s v="Green Dashboard"/>
    <x v="0"/>
    <s v="2. Campo"/>
    <x v="0"/>
    <s v="INTRNL_TRNSFR_RT_OFF_BLNC"/>
    <x v="0"/>
    <s v="4. Validação da especificação"/>
    <m/>
    <m/>
    <m/>
    <m/>
    <m/>
    <m/>
  </r>
  <r>
    <s v="Green Dashboard"/>
    <x v="0"/>
    <s v="2. Campo"/>
    <x v="0"/>
    <s v="GRSS_CMMSSN_INCM_OFF_BLNC"/>
    <x v="0"/>
    <s v="4. Validação da especificação"/>
    <m/>
    <m/>
    <m/>
    <m/>
    <m/>
    <m/>
  </r>
  <r>
    <s v="Green Dashboard"/>
    <x v="0"/>
    <s v="2. Campo"/>
    <x v="0"/>
    <s v="GRSS_CMMSSN_EXPNS_OFF_BLNC"/>
    <x v="0"/>
    <s v="2. Concluído"/>
    <m/>
    <m/>
    <m/>
    <m/>
    <m/>
    <m/>
  </r>
  <r>
    <s v="Green Dashboard"/>
    <x v="0"/>
    <s v="2. Campo"/>
    <x v="0"/>
    <s v="RWA_OFF_BLNC"/>
    <x v="0"/>
    <s v="4. Validação da especificação"/>
    <m/>
    <m/>
    <m/>
    <m/>
    <m/>
    <m/>
  </r>
  <r>
    <s v="Green Dashboard"/>
    <x v="0"/>
    <s v="2. Campo"/>
    <x v="0"/>
    <s v="GRSS_INTRST_EXPNS"/>
    <x v="0"/>
    <s v="2. Concluído"/>
    <m/>
    <m/>
    <m/>
    <m/>
    <m/>
    <m/>
  </r>
  <r>
    <s v="Green Dashboard"/>
    <x v="0"/>
    <s v="2. Campo"/>
    <x v="0"/>
    <s v="NT_LN_LSS_PRVSN_OFF_BLNC"/>
    <x v="0"/>
    <s v="2. Concluído"/>
    <m/>
    <m/>
    <m/>
    <m/>
    <m/>
    <m/>
  </r>
  <r>
    <s v="Green Dashboard"/>
    <x v="0"/>
    <s v="2. Campo"/>
    <x v="0"/>
    <s v="GRSS_INTRST_INCM_CCRR"/>
    <x v="0"/>
    <s v="8. Por Iniciar"/>
    <m/>
    <m/>
    <m/>
    <m/>
    <m/>
    <m/>
  </r>
  <r>
    <s v="Green Dashboard"/>
    <x v="0"/>
    <s v="2. Campo"/>
    <x v="0"/>
    <s v="GRSS_INTRST_EXPNS_CCRR"/>
    <x v="0"/>
    <s v="8. Por Iniciar"/>
    <m/>
    <m/>
    <m/>
    <m/>
    <m/>
    <m/>
  </r>
  <r>
    <s v="Green Dashboard"/>
    <x v="0"/>
    <s v="2. Campo"/>
    <x v="0"/>
    <s v="GRSS_CMMSSN_INCM_CCRR"/>
    <x v="0"/>
    <s v="8. Por Iniciar"/>
    <m/>
    <m/>
    <m/>
    <m/>
    <m/>
    <m/>
  </r>
  <r>
    <s v="Green Dashboard"/>
    <x v="0"/>
    <s v="2. Campo"/>
    <x v="0"/>
    <s v="GRSS_CMMSSN_EXPNS_CCRR"/>
    <x v="0"/>
    <s v="8. Por Iniciar"/>
    <m/>
    <m/>
    <m/>
    <m/>
    <m/>
    <m/>
  </r>
  <r>
    <s v="Green Dashboard"/>
    <x v="0"/>
    <s v="2. Campo"/>
    <x v="0"/>
    <s v="GNS_FNNCL_TRNSCTN_EXCHNG_CCRR"/>
    <x v="0"/>
    <s v="8. Por Iniciar"/>
    <m/>
    <m/>
    <m/>
    <m/>
    <m/>
    <m/>
  </r>
  <r>
    <s v="Green Dashboard"/>
    <x v="0"/>
    <s v="2. Campo"/>
    <x v="0"/>
    <s v="BSNSS_AREA_CCRR"/>
    <x v="0"/>
    <s v="8. Por Iniciar"/>
    <m/>
    <m/>
    <m/>
    <m/>
    <m/>
    <m/>
  </r>
  <r>
    <s v="Green Dashboard"/>
    <x v="0"/>
    <s v="2. Campo"/>
    <x v="0"/>
    <s v="GRSS_CMMSSN_INCM_OFF_BLNC_CCRR"/>
    <x v="0"/>
    <s v="8. Por Iniciar"/>
    <m/>
    <m/>
    <m/>
    <m/>
    <m/>
    <m/>
  </r>
  <r>
    <s v="Green Dashboard"/>
    <x v="0"/>
    <s v="2. Campo"/>
    <x v="0"/>
    <s v="GRSS_CMMSSN_EXPNS_OFF_BLNC_CCRR"/>
    <x v="0"/>
    <s v="8. Por Iniciar"/>
    <m/>
    <m/>
    <m/>
    <m/>
    <m/>
    <m/>
  </r>
  <r>
    <s v="Green Dashboard"/>
    <x v="0"/>
    <s v="2. Campo"/>
    <x v="0"/>
    <s v="FLG_INSTRMNT_CNCLLD"/>
    <x v="3"/>
    <s v="0. Cancelado"/>
    <m/>
    <m/>
    <m/>
    <m/>
    <m/>
    <m/>
  </r>
  <r>
    <s v="Green Dashboard"/>
    <x v="0"/>
    <s v="2. Campo"/>
    <x v="1"/>
    <s v="ambito"/>
    <x v="0"/>
    <s v="3. Em Análise"/>
    <m/>
    <m/>
    <m/>
    <m/>
    <m/>
    <m/>
  </r>
  <r>
    <s v="Green Dashboard"/>
    <x v="0"/>
    <s v="2. Campo"/>
    <x v="1"/>
    <s v="tipo_conta_local"/>
    <x v="0"/>
    <s v="3. Em Análise"/>
    <m/>
    <m/>
    <m/>
    <m/>
    <m/>
    <m/>
  </r>
  <r>
    <s v="Green Dashboard"/>
    <x v="0"/>
    <s v="2. Campo"/>
    <x v="1"/>
    <s v="valor_gd"/>
    <x v="0"/>
    <s v="3. Em Análise"/>
    <m/>
    <m/>
    <m/>
    <m/>
    <m/>
    <m/>
  </r>
  <r>
    <s v="Green Dashboard"/>
    <x v="0"/>
    <s v="2. Campo"/>
    <x v="1"/>
    <s v="kpi"/>
    <x v="0"/>
    <s v="3. Em Análise"/>
    <m/>
    <m/>
    <m/>
    <m/>
    <m/>
    <m/>
  </r>
  <r>
    <s v="Green Dashboard"/>
    <x v="0"/>
    <s v="2. Campo"/>
    <x v="1"/>
    <s v="ordem"/>
    <x v="0"/>
    <s v="3. Em Análise"/>
    <m/>
    <m/>
    <m/>
    <m/>
    <m/>
    <m/>
  </r>
  <r>
    <s v="Green Dashboard"/>
    <x v="0"/>
    <s v="2. Campo"/>
    <x v="1"/>
    <s v="ref_date"/>
    <x v="0"/>
    <s v="3. Em Análise"/>
    <m/>
    <m/>
    <m/>
    <m/>
    <m/>
    <m/>
  </r>
  <r>
    <s v="Green Dashboard"/>
    <x v="0"/>
    <s v="2. Campo"/>
    <x v="0"/>
    <s v="SSTNBL_INDCTR"/>
    <x v="3"/>
    <s v="0. Cancelado"/>
    <m/>
    <m/>
    <m/>
    <m/>
    <m/>
    <m/>
  </r>
  <r>
    <s v="Green Dashboard"/>
    <x v="0"/>
    <s v="2. Campo"/>
    <x v="0"/>
    <s v="SSTNBL_CTGRY"/>
    <x v="3"/>
    <s v="0. Cancelado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5">
  <location ref="B12:G16" firstHeaderRow="1" firstDataRow="2" firstDataCol="1"/>
  <pivotFields count="13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14">
        <item x="3"/>
        <item m="1" x="6"/>
        <item m="1" x="5"/>
        <item x="0"/>
        <item m="1" x="7"/>
        <item m="1" x="10"/>
        <item m="1" x="12"/>
        <item x="1"/>
        <item m="1" x="9"/>
        <item m="1" x="11"/>
        <item m="1" x="8"/>
        <item m="1"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5">
    <i>
      <x/>
    </i>
    <i>
      <x v="3"/>
    </i>
    <i>
      <x v="7"/>
    </i>
    <i>
      <x v="12"/>
    </i>
    <i t="grand">
      <x/>
    </i>
  </colItems>
  <dataFields count="1">
    <dataField name="Count of Status Atual" fld="5" subtotal="count" baseField="0" baseItem="0"/>
  </dataFields>
  <formats count="10"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5" type="button" dataOnly="0" labelOnly="1" outline="0" axis="axisCol" fieldPosition="0"/>
    </format>
    <format dxfId="114">
      <pivotArea type="topRight" dataOnly="0" labelOnly="1" outline="0" fieldPosition="0"/>
    </format>
    <format dxfId="113">
      <pivotArea field="3" type="button" dataOnly="0" labelOnly="1" outline="0" axis="axisRow" fieldPosition="0"/>
    </format>
    <format dxfId="112">
      <pivotArea dataOnly="0" labelOnly="1" fieldPosition="0">
        <references count="1">
          <reference field="3" count="0"/>
        </references>
      </pivotArea>
    </format>
    <format dxfId="111">
      <pivotArea dataOnly="0" labelOnly="1" grandRow="1" outline="0" fieldPosition="0"/>
    </format>
    <format dxfId="110">
      <pivotArea dataOnly="0" labelOnly="1" fieldPosition="0">
        <references count="1">
          <reference field="5" count="0"/>
        </references>
      </pivotArea>
    </format>
    <format dxfId="109">
      <pivotArea dataOnly="0" labelOnly="1" grandCol="1" outline="0" fieldPosition="0"/>
    </format>
  </formats>
  <chartFormats count="10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3">
  <location ref="B4:C9" firstHeaderRow="1" firstDataRow="1" firstDataCol="1" rowPageCount="1" colPageCount="1"/>
  <pivotFields count="13">
    <pivotField showAll="0"/>
    <pivotField axis="axisPage" multipleItemSelectionAllowed="1" showAll="0">
      <items count="2">
        <item x="0"/>
        <item t="default"/>
      </items>
    </pivotField>
    <pivotField showAll="0"/>
    <pivotField showAll="0"/>
    <pivotField showAll="0"/>
    <pivotField axis="axisRow" dataField="1" showAll="0">
      <items count="14">
        <item x="3"/>
        <item m="1" x="6"/>
        <item m="1" x="10"/>
        <item m="1" x="12"/>
        <item m="1" x="9"/>
        <item m="1" x="11"/>
        <item m="1" x="8"/>
        <item m="1" x="4"/>
        <item m="1" x="7"/>
        <item x="0"/>
        <item x="1"/>
        <item m="1"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9"/>
    </i>
    <i>
      <x v="10"/>
    </i>
    <i>
      <x v="12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5" type="button" dataOnly="0" labelOnly="1" outline="0" axis="axisRow" fieldPosition="0"/>
    </format>
    <format dxfId="121">
      <pivotArea dataOnly="0" labelOnly="1" fieldPosition="0">
        <references count="1">
          <reference field="5" count="0"/>
        </references>
      </pivotArea>
    </format>
    <format dxfId="120">
      <pivotArea dataOnly="0" labelOnly="1" grandRow="1" outline="0" fieldPosition="0"/>
    </format>
    <format dxfId="119">
      <pivotArea dataOnly="0" labelOnly="1" outline="0" axis="axisValues" fieldPosition="0"/>
    </format>
  </formats>
  <chartFormats count="1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44" totalsRowShown="0" headerRowDxfId="139" tableBorderDxfId="138">
  <autoFilter ref="B6:N44" xr:uid="{00000000-0009-0000-0100-000004000000}"/>
  <tableColumns count="13">
    <tableColumn id="1" xr3:uid="{00000000-0010-0000-0000-000001000000}" name="Âmbito" dataDxfId="137"/>
    <tableColumn id="2" xr3:uid="{00000000-0010-0000-0000-000002000000}" name="Categoria" dataDxfId="136"/>
    <tableColumn id="3" xr3:uid="{00000000-0010-0000-0000-000003000000}" name="Tipo de teste" dataDxfId="135">
      <calculatedColumnFormula array="1">INDEX(Plano_Detalhado!$B$10:$H$47,MATCH(1,(Plano_Detalhado!$E$10:$E$47=$E7)*($F7=Plano_Detalhado!$F$10:$F$47),0),3)</calculatedColumnFormula>
    </tableColumn>
    <tableColumn id="4" xr3:uid="{00000000-0010-0000-0000-000004000000}" name="Tabela" dataDxfId="134"/>
    <tableColumn id="5" xr3:uid="{00000000-0010-0000-0000-000005000000}" name="Campo" dataDxfId="133"/>
    <tableColumn id="6" xr3:uid="{00000000-0010-0000-0000-000006000000}" name="Status Atual" dataDxfId="132">
      <calculatedColumnFormula array="1">INDEX(Plano_Detalhado!$B$10:$H$47,MATCH(1,(Plano_Detalhado!$E$10:$E$47=$E7)*($F7=Plano_Detalhado!$F$10:$F$47),0),6)</calculatedColumnFormula>
    </tableColumn>
    <tableColumn id="7" xr3:uid="{00000000-0010-0000-0000-000007000000}" name="Status Anterior" dataDxfId="131">
      <calculatedColumnFormula array="1">INDEX(Plano_Detalhado!$B$10:$H$47,MATCH(1,(Plano_Detalhado!$E$10:$E$47=$E7)*($F7=Plano_Detalhado!$F$10:$F$47),0),7)</calculatedColumnFormula>
    </tableColumn>
    <tableColumn id="8" xr3:uid="{00000000-0010-0000-0000-000008000000}" name="Observações" dataDxfId="130"/>
    <tableColumn id="9" xr3:uid="{00000000-0010-0000-0000-000009000000}" name="Data de Pedido correção/esclarecimento" dataDxfId="129"/>
    <tableColumn id="10" xr3:uid="{00000000-0010-0000-0000-00000A000000}" name="Data de correção prevista" dataDxfId="128"/>
    <tableColumn id="11" xr3:uid="{00000000-0010-0000-0000-00000B000000}" name="Data de correção efetiva" dataDxfId="127"/>
    <tableColumn id="12" xr3:uid="{00000000-0010-0000-0000-00000C000000}" name="Data Prevista de Re-especificação" dataDxfId="126"/>
    <tableColumn id="13" xr3:uid="{00000000-0010-0000-0000-00000D000000}" name="Data Prevista de Teste" dataDxfId="12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A39"/>
  <sheetViews>
    <sheetView showGridLines="0" tabSelected="1" topLeftCell="A23" zoomScale="80" zoomScaleNormal="80" workbookViewId="0">
      <selection activeCell="H36" sqref="H36"/>
    </sheetView>
  </sheetViews>
  <sheetFormatPr defaultColWidth="0" defaultRowHeight="13.8" zeroHeight="1" x14ac:dyDescent="0.25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2" customWidth="1"/>
    <col min="11" max="11" width="12.09765625" customWidth="1"/>
    <col min="12" max="13" width="12.5" customWidth="1"/>
    <col min="14" max="14" width="11.59765625" customWidth="1"/>
    <col min="15" max="15" width="12.09765625" customWidth="1"/>
    <col min="16" max="16" width="12.59765625" customWidth="1"/>
    <col min="17" max="17" width="13" customWidth="1"/>
    <col min="18" max="19" width="8.59765625" customWidth="1"/>
    <col min="20" max="21" width="3.59765625" customWidth="1"/>
    <col min="22" max="27" width="3.59765625" hidden="1" customWidth="1"/>
    <col min="28" max="16384" width="8.59765625" hidden="1"/>
  </cols>
  <sheetData>
    <row r="1" spans="1:21" ht="17.399999999999999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7.399999999999999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7.399999999999999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5.0999999999999996" customHeight="1" x14ac:dyDescent="0.4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spans="1:21" ht="17.399999999999999" x14ac:dyDescent="0.4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</row>
    <row r="6" spans="1:21" ht="22.2" x14ac:dyDescent="0.55000000000000004">
      <c r="A6" s="33"/>
      <c r="B6" s="43" t="s">
        <v>701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</row>
    <row r="7" spans="1:21" ht="6.9" customHeight="1" x14ac:dyDescent="0.4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</row>
    <row r="8" spans="1:21" ht="17.399999999999999" x14ac:dyDescent="0.45">
      <c r="A8" s="33"/>
      <c r="B8" s="307" t="s">
        <v>702</v>
      </c>
      <c r="C8" s="308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  <c r="P8" s="308"/>
      <c r="Q8" s="308"/>
      <c r="R8" s="308"/>
      <c r="S8" s="308"/>
      <c r="T8" s="309"/>
      <c r="U8" s="33"/>
    </row>
    <row r="9" spans="1:21" ht="17.399999999999999" x14ac:dyDescent="0.45">
      <c r="A9" s="33"/>
      <c r="B9" s="310"/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311"/>
      <c r="S9" s="311"/>
      <c r="T9" s="312"/>
      <c r="U9" s="33"/>
    </row>
    <row r="10" spans="1:21" ht="17.399999999999999" x14ac:dyDescent="0.45">
      <c r="A10" s="33"/>
      <c r="B10" s="310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11"/>
      <c r="R10" s="311"/>
      <c r="S10" s="311"/>
      <c r="T10" s="312"/>
      <c r="U10" s="33"/>
    </row>
    <row r="11" spans="1:21" ht="17.399999999999999" x14ac:dyDescent="0.45">
      <c r="A11" s="33"/>
      <c r="B11" s="313"/>
      <c r="C11" s="314"/>
      <c r="D11" s="314"/>
      <c r="E11" s="314"/>
      <c r="F11" s="314"/>
      <c r="G11" s="314"/>
      <c r="H11" s="314"/>
      <c r="I11" s="314"/>
      <c r="J11" s="314"/>
      <c r="K11" s="314"/>
      <c r="L11" s="314"/>
      <c r="M11" s="314"/>
      <c r="N11" s="314"/>
      <c r="O11" s="314"/>
      <c r="P11" s="314"/>
      <c r="Q11" s="314"/>
      <c r="R11" s="314"/>
      <c r="S11" s="314"/>
      <c r="T11" s="315"/>
      <c r="U11" s="33"/>
    </row>
    <row r="12" spans="1:21" ht="17.399999999999999" x14ac:dyDescent="0.4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</row>
    <row r="13" spans="1:21" ht="22.2" x14ac:dyDescent="0.55000000000000004">
      <c r="A13" s="33"/>
      <c r="B13" s="43" t="s">
        <v>703</v>
      </c>
      <c r="C13" s="33"/>
      <c r="D13" s="33"/>
      <c r="E13" s="33"/>
      <c r="F13" s="33"/>
      <c r="G13" s="44" t="s">
        <v>24</v>
      </c>
      <c r="H13" s="44" t="s">
        <v>44</v>
      </c>
      <c r="I13" s="44" t="s">
        <v>171</v>
      </c>
      <c r="J13" s="44" t="s">
        <v>301</v>
      </c>
      <c r="K13" s="44" t="s">
        <v>16</v>
      </c>
      <c r="L13" s="33"/>
      <c r="M13" s="33"/>
      <c r="N13" s="33"/>
      <c r="O13" s="33"/>
      <c r="P13" s="33"/>
      <c r="Q13" s="33"/>
      <c r="R13" s="33"/>
      <c r="S13" s="33"/>
      <c r="T13" s="33"/>
      <c r="U13" s="33"/>
    </row>
    <row r="14" spans="1:21" ht="6.9" customHeight="1" x14ac:dyDescent="0.45">
      <c r="A14" s="33"/>
      <c r="B14" s="33"/>
      <c r="C14" s="33"/>
      <c r="D14" s="33"/>
      <c r="E14" s="33"/>
      <c r="F14" s="33"/>
      <c r="G14" s="33"/>
      <c r="H14" s="207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</row>
    <row r="15" spans="1:21" ht="17.399999999999999" x14ac:dyDescent="0.45">
      <c r="A15" s="33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7"/>
      <c r="U15" s="33"/>
    </row>
    <row r="16" spans="1:21" ht="17.399999999999999" x14ac:dyDescent="0.45">
      <c r="A16" s="33"/>
      <c r="B16" s="38"/>
      <c r="C16" s="53" t="s">
        <v>441</v>
      </c>
      <c r="D16" s="2"/>
      <c r="E16" s="2"/>
      <c r="F16" s="2"/>
      <c r="G16" s="2"/>
      <c r="H16" s="45" t="s">
        <v>682</v>
      </c>
      <c r="I16" s="46"/>
      <c r="J16" s="45"/>
      <c r="K16" s="47">
        <v>45665</v>
      </c>
      <c r="L16" s="206" t="s">
        <v>681</v>
      </c>
      <c r="M16" s="2"/>
      <c r="N16" s="54" t="s">
        <v>443</v>
      </c>
      <c r="O16" s="2"/>
      <c r="P16" s="2"/>
      <c r="Q16" s="2"/>
      <c r="R16" s="2"/>
      <c r="S16" s="2"/>
      <c r="T16" s="39"/>
      <c r="U16" s="33"/>
    </row>
    <row r="17" spans="1:21" ht="18.75" customHeight="1" x14ac:dyDescent="0.45">
      <c r="A17" s="33"/>
      <c r="B17" s="38"/>
      <c r="C17" s="2"/>
      <c r="D17" s="2"/>
      <c r="E17" s="2"/>
      <c r="F17" s="2"/>
      <c r="G17" s="2"/>
      <c r="H17" s="75" t="s">
        <v>444</v>
      </c>
      <c r="I17" s="75"/>
      <c r="J17" s="75"/>
      <c r="K17" s="75">
        <v>3</v>
      </c>
      <c r="L17" s="196">
        <f t="shared" ref="L17:L23" si="0">K17/$K$23</f>
        <v>7.8947368421052627E-2</v>
      </c>
      <c r="M17" s="2"/>
      <c r="N17" s="316" t="s">
        <v>705</v>
      </c>
      <c r="O17" s="317"/>
      <c r="P17" s="317"/>
      <c r="Q17" s="317"/>
      <c r="R17" s="317"/>
      <c r="S17" s="318"/>
      <c r="T17" s="39"/>
      <c r="U17" s="33"/>
    </row>
    <row r="18" spans="1:21" ht="17.399999999999999" x14ac:dyDescent="0.45">
      <c r="A18" s="33"/>
      <c r="B18" s="38"/>
      <c r="C18" s="2"/>
      <c r="D18" s="2"/>
      <c r="E18" s="2"/>
      <c r="F18" s="2"/>
      <c r="G18" s="2"/>
      <c r="H18" s="75" t="s">
        <v>686</v>
      </c>
      <c r="I18" s="75"/>
      <c r="J18" s="75"/>
      <c r="K18" s="75">
        <v>0</v>
      </c>
      <c r="L18" s="196">
        <f t="shared" si="0"/>
        <v>0</v>
      </c>
      <c r="M18" s="2"/>
      <c r="N18" s="319"/>
      <c r="O18" s="320"/>
      <c r="P18" s="320"/>
      <c r="Q18" s="320"/>
      <c r="R18" s="320"/>
      <c r="S18" s="321"/>
      <c r="T18" s="39"/>
      <c r="U18" s="33"/>
    </row>
    <row r="19" spans="1:21" ht="17.399999999999999" customHeight="1" x14ac:dyDescent="0.45">
      <c r="A19" s="33"/>
      <c r="B19" s="38"/>
      <c r="C19" s="2"/>
      <c r="D19" s="2"/>
      <c r="E19" s="2"/>
      <c r="F19" s="2"/>
      <c r="G19" s="2"/>
      <c r="H19" s="75" t="s">
        <v>691</v>
      </c>
      <c r="I19" s="75"/>
      <c r="J19" s="75"/>
      <c r="K19" s="75">
        <v>10</v>
      </c>
      <c r="L19" s="196">
        <f t="shared" si="0"/>
        <v>0.26315789473684209</v>
      </c>
      <c r="M19" s="2"/>
      <c r="N19" s="319"/>
      <c r="O19" s="320"/>
      <c r="P19" s="320"/>
      <c r="Q19" s="320"/>
      <c r="R19" s="320"/>
      <c r="S19" s="321"/>
      <c r="T19" s="39"/>
      <c r="U19" s="33"/>
    </row>
    <row r="20" spans="1:21" ht="17.399999999999999" customHeight="1" x14ac:dyDescent="0.45">
      <c r="A20" s="33"/>
      <c r="B20" s="38"/>
      <c r="C20" s="2"/>
      <c r="D20" s="195"/>
      <c r="E20" s="195"/>
      <c r="F20" s="2"/>
      <c r="G20" s="2"/>
      <c r="H20" s="75" t="s">
        <v>692</v>
      </c>
      <c r="I20" s="75"/>
      <c r="J20" s="75"/>
      <c r="K20" s="75">
        <v>6</v>
      </c>
      <c r="L20" s="196">
        <f t="shared" si="0"/>
        <v>0.15789473684210525</v>
      </c>
      <c r="M20" s="2"/>
      <c r="N20" s="319"/>
      <c r="O20" s="320"/>
      <c r="P20" s="320"/>
      <c r="Q20" s="320"/>
      <c r="R20" s="320"/>
      <c r="S20" s="321"/>
      <c r="T20" s="39"/>
      <c r="U20" s="33"/>
    </row>
    <row r="21" spans="1:21" ht="17.399999999999999" customHeight="1" x14ac:dyDescent="0.45">
      <c r="A21" s="33"/>
      <c r="B21" s="38"/>
      <c r="C21" s="2"/>
      <c r="D21" s="195"/>
      <c r="E21" s="195"/>
      <c r="F21" s="2"/>
      <c r="G21" s="2"/>
      <c r="H21" s="75" t="s">
        <v>693</v>
      </c>
      <c r="I21" s="75"/>
      <c r="J21" s="75"/>
      <c r="K21" s="75">
        <v>5</v>
      </c>
      <c r="L21" s="196">
        <f t="shared" si="0"/>
        <v>0.13157894736842105</v>
      </c>
      <c r="M21" s="2"/>
      <c r="N21" s="319"/>
      <c r="O21" s="320"/>
      <c r="P21" s="320"/>
      <c r="Q21" s="320"/>
      <c r="R21" s="320"/>
      <c r="S21" s="321"/>
      <c r="T21" s="39"/>
      <c r="U21" s="33"/>
    </row>
    <row r="22" spans="1:21" ht="17.399999999999999" customHeight="1" x14ac:dyDescent="0.45">
      <c r="A22" s="33"/>
      <c r="B22" s="38"/>
      <c r="C22" s="2"/>
      <c r="D22" s="195"/>
      <c r="E22" s="195"/>
      <c r="F22" s="2"/>
      <c r="G22" s="2"/>
      <c r="H22" s="75" t="s">
        <v>704</v>
      </c>
      <c r="I22" s="75"/>
      <c r="J22" s="75"/>
      <c r="K22" s="75">
        <v>14</v>
      </c>
      <c r="L22" s="196">
        <f t="shared" si="0"/>
        <v>0.36842105263157893</v>
      </c>
      <c r="M22" s="2"/>
      <c r="N22" s="319"/>
      <c r="O22" s="320"/>
      <c r="P22" s="320"/>
      <c r="Q22" s="320"/>
      <c r="R22" s="320"/>
      <c r="S22" s="321"/>
      <c r="T22" s="39"/>
      <c r="U22" s="33"/>
    </row>
    <row r="23" spans="1:21" ht="17.399999999999999" x14ac:dyDescent="0.45">
      <c r="A23" s="33"/>
      <c r="B23" s="38"/>
      <c r="C23" s="2"/>
      <c r="D23" s="2"/>
      <c r="E23" s="2"/>
      <c r="F23" s="2"/>
      <c r="G23" s="2"/>
      <c r="H23" s="197" t="s">
        <v>680</v>
      </c>
      <c r="I23" s="198"/>
      <c r="J23" s="198"/>
      <c r="K23" s="197">
        <f>SUM(K17:K22)</f>
        <v>38</v>
      </c>
      <c r="L23" s="199">
        <f t="shared" si="0"/>
        <v>1</v>
      </c>
      <c r="M23" s="2"/>
      <c r="N23" s="319"/>
      <c r="O23" s="320"/>
      <c r="P23" s="320"/>
      <c r="Q23" s="320"/>
      <c r="R23" s="320"/>
      <c r="S23" s="321"/>
      <c r="T23" s="39"/>
      <c r="U23" s="33"/>
    </row>
    <row r="24" spans="1:21" ht="17.399999999999999" x14ac:dyDescent="0.45">
      <c r="A24" s="33"/>
      <c r="B24" s="38"/>
      <c r="C24" s="2"/>
      <c r="D24" s="2"/>
      <c r="E24" s="2"/>
      <c r="F24" s="2"/>
      <c r="G24" s="2"/>
      <c r="H24" s="75"/>
      <c r="I24" s="75"/>
      <c r="J24" s="75"/>
      <c r="K24" s="75"/>
      <c r="L24" s="222"/>
      <c r="M24" s="2"/>
      <c r="N24" s="319"/>
      <c r="O24" s="320"/>
      <c r="P24" s="320"/>
      <c r="Q24" s="320"/>
      <c r="R24" s="320"/>
      <c r="S24" s="321"/>
      <c r="T24" s="39"/>
      <c r="U24" s="33"/>
    </row>
    <row r="25" spans="1:21" ht="17.399999999999999" x14ac:dyDescent="0.45">
      <c r="A25" s="33"/>
      <c r="B25" s="38"/>
      <c r="C25" s="2"/>
      <c r="D25" s="2"/>
      <c r="E25" s="2"/>
      <c r="F25" s="2"/>
      <c r="M25" s="2"/>
      <c r="N25" s="319"/>
      <c r="O25" s="320"/>
      <c r="P25" s="320"/>
      <c r="Q25" s="320"/>
      <c r="R25" s="320"/>
      <c r="S25" s="321"/>
      <c r="T25" s="39"/>
      <c r="U25" s="33"/>
    </row>
    <row r="26" spans="1:21" ht="17.399999999999999" x14ac:dyDescent="0.45">
      <c r="A26" s="33"/>
      <c r="B26" s="38"/>
      <c r="C26" s="2"/>
      <c r="D26" s="2"/>
      <c r="E26" s="2"/>
      <c r="F26" s="2"/>
      <c r="M26" s="2"/>
      <c r="N26" s="319"/>
      <c r="O26" s="320"/>
      <c r="P26" s="320"/>
      <c r="Q26" s="320"/>
      <c r="R26" s="320"/>
      <c r="S26" s="321"/>
      <c r="T26" s="39"/>
      <c r="U26" s="33"/>
    </row>
    <row r="27" spans="1:21" ht="17.399999999999999" x14ac:dyDescent="0.45">
      <c r="A27" s="33"/>
      <c r="B27" s="3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19"/>
      <c r="O27" s="320"/>
      <c r="P27" s="320"/>
      <c r="Q27" s="320"/>
      <c r="R27" s="320"/>
      <c r="S27" s="321"/>
      <c r="T27" s="39"/>
      <c r="U27" s="33"/>
    </row>
    <row r="28" spans="1:21" ht="17.399999999999999" x14ac:dyDescent="0.45">
      <c r="A28" s="33"/>
      <c r="B28" s="38"/>
      <c r="C28" s="53" t="s">
        <v>442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319"/>
      <c r="O28" s="320"/>
      <c r="P28" s="320"/>
      <c r="Q28" s="320"/>
      <c r="R28" s="320"/>
      <c r="S28" s="321"/>
      <c r="T28" s="220"/>
      <c r="U28" s="33"/>
    </row>
    <row r="29" spans="1:21" ht="17.399999999999999" x14ac:dyDescent="0.45">
      <c r="A29" s="33"/>
      <c r="B29" s="3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19"/>
      <c r="O29" s="320"/>
      <c r="P29" s="320"/>
      <c r="Q29" s="320"/>
      <c r="R29" s="320"/>
      <c r="S29" s="321"/>
      <c r="T29" s="220"/>
      <c r="U29" s="33"/>
    </row>
    <row r="30" spans="1:21" ht="17.399999999999999" x14ac:dyDescent="0.45">
      <c r="A30" s="33"/>
      <c r="B30" s="3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19"/>
      <c r="O30" s="320"/>
      <c r="P30" s="320"/>
      <c r="Q30" s="320"/>
      <c r="R30" s="320"/>
      <c r="S30" s="321"/>
      <c r="T30" s="220"/>
      <c r="U30" s="33"/>
    </row>
    <row r="31" spans="1:21" ht="17.399999999999999" x14ac:dyDescent="0.45">
      <c r="A31" s="33"/>
      <c r="B31" s="3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19"/>
      <c r="O31" s="320"/>
      <c r="P31" s="320"/>
      <c r="Q31" s="320"/>
      <c r="R31" s="320"/>
      <c r="S31" s="321"/>
      <c r="T31" s="220"/>
      <c r="U31" s="33"/>
    </row>
    <row r="32" spans="1:21" ht="17.399999999999999" x14ac:dyDescent="0.45">
      <c r="A32" s="33"/>
      <c r="B32" s="3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319"/>
      <c r="O32" s="320"/>
      <c r="P32" s="320"/>
      <c r="Q32" s="320"/>
      <c r="R32" s="320"/>
      <c r="S32" s="321"/>
      <c r="T32" s="220"/>
      <c r="U32" s="33"/>
    </row>
    <row r="33" spans="1:21" ht="17.399999999999999" x14ac:dyDescent="0.45">
      <c r="A33" s="33"/>
      <c r="B33" s="3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319"/>
      <c r="O33" s="320"/>
      <c r="P33" s="320"/>
      <c r="Q33" s="320"/>
      <c r="R33" s="320"/>
      <c r="S33" s="321"/>
      <c r="T33" s="220"/>
      <c r="U33" s="33"/>
    </row>
    <row r="34" spans="1:21" ht="17.399999999999999" x14ac:dyDescent="0.45">
      <c r="A34" s="33"/>
      <c r="B34" s="3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319"/>
      <c r="O34" s="320"/>
      <c r="P34" s="320"/>
      <c r="Q34" s="320"/>
      <c r="R34" s="320"/>
      <c r="S34" s="321"/>
      <c r="T34" s="220"/>
      <c r="U34" s="33"/>
    </row>
    <row r="35" spans="1:21" ht="17.399999999999999" x14ac:dyDescent="0.45">
      <c r="A35" s="33"/>
      <c r="B35" s="3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319"/>
      <c r="O35" s="320"/>
      <c r="P35" s="320"/>
      <c r="Q35" s="320"/>
      <c r="R35" s="320"/>
      <c r="S35" s="321"/>
      <c r="T35" s="220"/>
      <c r="U35" s="33"/>
    </row>
    <row r="36" spans="1:21" ht="17.399999999999999" x14ac:dyDescent="0.45">
      <c r="A36" s="33"/>
      <c r="B36" s="3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22"/>
      <c r="O36" s="323"/>
      <c r="P36" s="323"/>
      <c r="Q36" s="323"/>
      <c r="R36" s="323"/>
      <c r="S36" s="324"/>
      <c r="T36" s="220"/>
      <c r="U36" s="33"/>
    </row>
    <row r="37" spans="1:21" ht="17.399999999999999" x14ac:dyDescent="0.45">
      <c r="A37" s="33"/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2"/>
      <c r="U37" s="33"/>
    </row>
    <row r="38" spans="1:21" ht="17.399999999999999" x14ac:dyDescent="0.4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</row>
    <row r="39" spans="1:21" ht="17.399999999999999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</sheetData>
  <mergeCells count="2">
    <mergeCell ref="B8:T11"/>
    <mergeCell ref="N17:S3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X53"/>
  <sheetViews>
    <sheetView showGridLines="0" zoomScale="90" zoomScaleNormal="90" workbookViewId="0">
      <pane xSplit="8" ySplit="10" topLeftCell="K11" activePane="bottomRight" state="frozen"/>
      <selection activeCell="Q9" sqref="Q9"/>
      <selection pane="topRight" activeCell="Q9" sqref="Q9"/>
      <selection pane="bottomLeft" activeCell="Q9" sqref="Q9"/>
      <selection pane="bottomRight" activeCell="Q9" sqref="Q9"/>
    </sheetView>
  </sheetViews>
  <sheetFormatPr defaultColWidth="0" defaultRowHeight="14.4" x14ac:dyDescent="0.25"/>
  <cols>
    <col min="1" max="1" width="4.09765625" style="243" customWidth="1"/>
    <col min="2" max="2" width="5.59765625" style="174" customWidth="1"/>
    <col min="3" max="3" width="58.5" style="174" bestFit="1" customWidth="1"/>
    <col min="4" max="4" width="10.19921875" style="174" customWidth="1"/>
    <col min="5" max="5" width="7.19921875" style="174" customWidth="1"/>
    <col min="6" max="6" width="9.09765625" style="174" customWidth="1"/>
    <col min="7" max="7" width="8" style="174" customWidth="1"/>
    <col min="8" max="8" width="11.59765625" style="174" bestFit="1" customWidth="1"/>
    <col min="9" max="9" width="1" style="174" customWidth="1"/>
    <col min="10" max="75" width="2.3984375" style="174" customWidth="1"/>
    <col min="76" max="76" width="3.19921875" style="174" customWidth="1"/>
    <col min="77" max="16384" width="8" style="174" hidden="1"/>
  </cols>
  <sheetData>
    <row r="1" spans="1:75" x14ac:dyDescent="0.25">
      <c r="A1" s="174"/>
    </row>
    <row r="2" spans="1:75" x14ac:dyDescent="0.25">
      <c r="A2" s="174"/>
    </row>
    <row r="3" spans="1:75" x14ac:dyDescent="0.25">
      <c r="A3" s="174"/>
    </row>
    <row r="4" spans="1:75" ht="2.25" customHeight="1" x14ac:dyDescent="0.25">
      <c r="A4" s="233"/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3"/>
      <c r="BV4" s="233"/>
      <c r="BW4" s="233"/>
    </row>
    <row r="6" spans="1:75" x14ac:dyDescent="0.25">
      <c r="B6" s="208" t="s">
        <v>771</v>
      </c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</row>
    <row r="7" spans="1:75" ht="15" thickBot="1" x14ac:dyDescent="0.3"/>
    <row r="8" spans="1:75" ht="15" thickBot="1" x14ac:dyDescent="0.3">
      <c r="F8" s="326" t="s">
        <v>723</v>
      </c>
      <c r="G8" s="328"/>
      <c r="J8" s="325" t="s">
        <v>724</v>
      </c>
      <c r="K8" s="325"/>
      <c r="L8" s="325"/>
      <c r="M8" s="325"/>
      <c r="N8" s="325"/>
      <c r="O8" s="325" t="s">
        <v>725</v>
      </c>
      <c r="P8" s="325"/>
      <c r="Q8" s="325"/>
      <c r="R8" s="325"/>
      <c r="S8" s="325"/>
      <c r="T8" s="325" t="s">
        <v>726</v>
      </c>
      <c r="U8" s="325"/>
      <c r="V8" s="325"/>
      <c r="W8" s="325"/>
      <c r="X8" s="325"/>
      <c r="Y8" s="325" t="s">
        <v>727</v>
      </c>
      <c r="Z8" s="325"/>
      <c r="AA8" s="325"/>
      <c r="AB8" s="325"/>
      <c r="AC8" s="325"/>
      <c r="AD8" s="325" t="s">
        <v>728</v>
      </c>
      <c r="AE8" s="325"/>
      <c r="AF8" s="325"/>
      <c r="AG8" s="325"/>
      <c r="AH8" s="325"/>
      <c r="AI8" s="325" t="s">
        <v>729</v>
      </c>
      <c r="AJ8" s="325"/>
      <c r="AK8" s="325"/>
      <c r="AL8" s="325"/>
      <c r="AM8" s="325"/>
      <c r="AN8" s="325" t="s">
        <v>730</v>
      </c>
      <c r="AO8" s="325"/>
      <c r="AP8" s="325"/>
      <c r="AQ8" s="325"/>
      <c r="AR8" s="325"/>
      <c r="AS8" s="325" t="s">
        <v>731</v>
      </c>
      <c r="AT8" s="325"/>
      <c r="AU8" s="325"/>
      <c r="AV8" s="325"/>
      <c r="AW8" s="325"/>
      <c r="AX8" s="325" t="s">
        <v>732</v>
      </c>
      <c r="AY8" s="325"/>
      <c r="AZ8" s="325"/>
      <c r="BA8" s="325"/>
      <c r="BB8" s="325"/>
      <c r="BC8" s="325" t="s">
        <v>733</v>
      </c>
      <c r="BD8" s="325"/>
      <c r="BE8" s="325"/>
      <c r="BF8" s="325"/>
      <c r="BG8" s="325"/>
      <c r="BH8" s="325" t="s">
        <v>734</v>
      </c>
      <c r="BI8" s="325"/>
      <c r="BJ8" s="325"/>
      <c r="BK8" s="325"/>
      <c r="BL8" s="325"/>
      <c r="BM8" s="325" t="s">
        <v>735</v>
      </c>
      <c r="BN8" s="325"/>
      <c r="BO8" s="325"/>
      <c r="BP8" s="325"/>
      <c r="BQ8" s="326"/>
      <c r="BR8" s="326" t="s">
        <v>736</v>
      </c>
      <c r="BS8" s="327"/>
      <c r="BT8" s="327"/>
      <c r="BU8" s="327"/>
      <c r="BV8" s="327"/>
      <c r="BW8" s="328"/>
    </row>
    <row r="9" spans="1:75" ht="15" thickBot="1" x14ac:dyDescent="0.3">
      <c r="B9" s="234" t="s">
        <v>552</v>
      </c>
      <c r="C9" s="234" t="s">
        <v>737</v>
      </c>
      <c r="D9" s="235" t="s">
        <v>455</v>
      </c>
      <c r="E9" s="235" t="s">
        <v>5</v>
      </c>
      <c r="F9" s="244" t="s">
        <v>738</v>
      </c>
      <c r="G9" s="244" t="s">
        <v>739</v>
      </c>
      <c r="H9" s="234" t="s">
        <v>740</v>
      </c>
      <c r="I9" s="236"/>
      <c r="J9" s="301" t="s">
        <v>793</v>
      </c>
      <c r="K9" s="301"/>
      <c r="L9" s="301"/>
      <c r="M9" s="301"/>
      <c r="N9" s="301"/>
      <c r="O9" s="301" t="s">
        <v>794</v>
      </c>
      <c r="P9" s="301"/>
      <c r="Q9" s="301"/>
      <c r="R9" s="301"/>
      <c r="S9" s="301"/>
      <c r="T9" s="301" t="s">
        <v>783</v>
      </c>
      <c r="U9" s="301"/>
      <c r="V9" s="301"/>
      <c r="W9" s="301"/>
      <c r="X9" s="301"/>
      <c r="Y9" s="301" t="s">
        <v>784</v>
      </c>
      <c r="Z9" s="301"/>
      <c r="AA9" s="301"/>
      <c r="AB9" s="301"/>
      <c r="AC9" s="301"/>
      <c r="AD9" s="301" t="s">
        <v>785</v>
      </c>
      <c r="AE9" s="301"/>
      <c r="AF9" s="301"/>
      <c r="AG9" s="301"/>
      <c r="AH9" s="301"/>
      <c r="AI9" s="301" t="s">
        <v>791</v>
      </c>
      <c r="AJ9" s="301"/>
      <c r="AK9" s="301"/>
      <c r="AL9" s="301"/>
      <c r="AM9" s="301"/>
      <c r="AN9" s="301" t="s">
        <v>786</v>
      </c>
      <c r="AO9" s="301"/>
      <c r="AP9" s="301"/>
      <c r="AQ9" s="301"/>
      <c r="AR9" s="301"/>
      <c r="AS9" s="301" t="s">
        <v>787</v>
      </c>
      <c r="AT9" s="301"/>
      <c r="AU9" s="301"/>
      <c r="AV9" s="301"/>
      <c r="AW9" s="301"/>
      <c r="AX9" s="301" t="s">
        <v>788</v>
      </c>
      <c r="AY9" s="301"/>
      <c r="AZ9" s="301"/>
      <c r="BA9" s="301"/>
      <c r="BB9" s="301"/>
      <c r="BC9" s="301" t="s">
        <v>792</v>
      </c>
      <c r="BD9" s="301"/>
      <c r="BE9" s="301"/>
      <c r="BF9" s="301"/>
      <c r="BG9" s="301"/>
      <c r="BH9" s="301" t="s">
        <v>789</v>
      </c>
      <c r="BI9" s="301"/>
      <c r="BJ9" s="301"/>
      <c r="BK9" s="301"/>
      <c r="BL9" s="301"/>
      <c r="BM9" s="301" t="s">
        <v>790</v>
      </c>
      <c r="BN9" s="301"/>
      <c r="BO9" s="301"/>
      <c r="BP9" s="301"/>
      <c r="BQ9" s="301"/>
      <c r="BR9" s="302"/>
      <c r="BS9" s="303"/>
      <c r="BT9" s="303"/>
      <c r="BU9" s="303"/>
      <c r="BV9" s="303"/>
      <c r="BW9" s="304"/>
    </row>
    <row r="10" spans="1:75" ht="3.75" customHeight="1" thickBot="1" x14ac:dyDescent="0.3">
      <c r="B10" s="237"/>
      <c r="C10" s="238"/>
      <c r="D10" s="238"/>
      <c r="E10" s="238"/>
      <c r="F10" s="238"/>
      <c r="G10" s="238"/>
      <c r="H10" s="238"/>
      <c r="I10" s="238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  <c r="AI10" s="245"/>
      <c r="AJ10" s="245"/>
      <c r="AK10" s="245"/>
      <c r="AL10" s="245"/>
      <c r="AM10" s="245"/>
      <c r="AN10" s="245"/>
      <c r="AO10" s="245"/>
      <c r="AP10" s="245"/>
      <c r="AQ10" s="245"/>
      <c r="AR10" s="245"/>
      <c r="AS10" s="245"/>
      <c r="AT10" s="245"/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45"/>
      <c r="BM10" s="245"/>
      <c r="BN10" s="245"/>
      <c r="BO10" s="245"/>
      <c r="BP10" s="245"/>
      <c r="BQ10" s="245"/>
      <c r="BR10" s="245"/>
      <c r="BS10" s="245"/>
      <c r="BT10" s="245"/>
      <c r="BU10" s="245"/>
      <c r="BV10" s="245"/>
      <c r="BW10" s="245"/>
    </row>
    <row r="11" spans="1:75" x14ac:dyDescent="0.25">
      <c r="B11" s="239" t="s">
        <v>559</v>
      </c>
      <c r="C11" s="239" t="s">
        <v>772</v>
      </c>
      <c r="D11" s="246"/>
      <c r="E11" s="246"/>
      <c r="F11" s="247"/>
      <c r="G11" s="247"/>
      <c r="H11" s="247"/>
      <c r="I11" s="248"/>
      <c r="J11" s="249"/>
      <c r="K11" s="250"/>
      <c r="L11" s="250"/>
      <c r="M11" s="250"/>
      <c r="N11" s="249"/>
      <c r="O11" s="249"/>
      <c r="P11" s="250"/>
      <c r="Q11" s="250"/>
      <c r="R11" s="250"/>
      <c r="S11" s="251"/>
      <c r="T11" s="249"/>
      <c r="U11" s="250"/>
      <c r="V11" s="250"/>
      <c r="W11" s="250"/>
      <c r="X11" s="251"/>
      <c r="Y11" s="249"/>
      <c r="Z11" s="250"/>
      <c r="AA11" s="250"/>
      <c r="AB11" s="250"/>
      <c r="AC11" s="251"/>
      <c r="AD11" s="249"/>
      <c r="AE11" s="252"/>
      <c r="AF11" s="252"/>
      <c r="AG11" s="250"/>
      <c r="AH11" s="251"/>
      <c r="AI11" s="249"/>
      <c r="AJ11" s="250"/>
      <c r="AK11" s="250"/>
      <c r="AL11" s="250"/>
      <c r="AM11" s="253"/>
      <c r="AN11" s="249"/>
      <c r="AO11" s="250"/>
      <c r="AP11" s="250"/>
      <c r="AQ11" s="250"/>
      <c r="AR11" s="251"/>
      <c r="AS11" s="249"/>
      <c r="AT11" s="250"/>
      <c r="AU11" s="250"/>
      <c r="AV11" s="250"/>
      <c r="AW11" s="254"/>
      <c r="AX11" s="249"/>
      <c r="AY11" s="250"/>
      <c r="AZ11" s="250"/>
      <c r="BA11" s="250"/>
      <c r="BB11" s="254"/>
      <c r="BC11" s="249"/>
      <c r="BD11" s="250"/>
      <c r="BE11" s="250"/>
      <c r="BF11" s="250"/>
      <c r="BG11" s="254"/>
      <c r="BH11" s="249"/>
      <c r="BI11" s="250"/>
      <c r="BJ11" s="250"/>
      <c r="BK11" s="250"/>
      <c r="BL11" s="254"/>
      <c r="BM11" s="249"/>
      <c r="BN11" s="250"/>
      <c r="BO11" s="250"/>
      <c r="BP11" s="250"/>
      <c r="BQ11" s="254"/>
      <c r="BR11" s="249"/>
      <c r="BS11" s="250"/>
      <c r="BT11" s="250"/>
      <c r="BU11" s="250"/>
      <c r="BV11" s="250"/>
      <c r="BW11" s="254"/>
    </row>
    <row r="12" spans="1:75" x14ac:dyDescent="0.25">
      <c r="B12" s="255" t="s">
        <v>741</v>
      </c>
      <c r="C12" s="256" t="s">
        <v>773</v>
      </c>
      <c r="D12" s="257"/>
      <c r="E12" s="258" t="s">
        <v>742</v>
      </c>
      <c r="F12" s="259"/>
      <c r="G12" s="259"/>
      <c r="H12" s="259"/>
      <c r="I12" s="248"/>
      <c r="J12" s="260"/>
      <c r="K12" s="261"/>
      <c r="L12" s="261"/>
      <c r="M12" s="261"/>
      <c r="N12" s="262"/>
      <c r="O12" s="263"/>
      <c r="P12" s="261"/>
      <c r="Q12" s="261"/>
      <c r="R12" s="261"/>
      <c r="S12" s="262"/>
      <c r="T12" s="263"/>
      <c r="U12" s="261"/>
      <c r="V12" s="250"/>
      <c r="W12" s="250"/>
      <c r="X12" s="251"/>
      <c r="Y12" s="260"/>
      <c r="Z12" s="250"/>
      <c r="AA12" s="250"/>
      <c r="AB12" s="250"/>
      <c r="AC12" s="251"/>
      <c r="AD12" s="260"/>
      <c r="AE12" s="252"/>
      <c r="AF12" s="252"/>
      <c r="AG12" s="250"/>
      <c r="AH12" s="251"/>
      <c r="AI12" s="260"/>
      <c r="AJ12" s="250"/>
      <c r="AK12" s="250"/>
      <c r="AL12" s="250"/>
      <c r="AM12" s="264"/>
      <c r="AN12" s="260"/>
      <c r="AO12" s="250"/>
      <c r="AP12" s="250"/>
      <c r="AQ12" s="250"/>
      <c r="AR12" s="251"/>
      <c r="AS12" s="260"/>
      <c r="AT12" s="250"/>
      <c r="AU12" s="250"/>
      <c r="AV12" s="250"/>
      <c r="AW12" s="254"/>
      <c r="AX12" s="260"/>
      <c r="AY12" s="250"/>
      <c r="AZ12" s="250"/>
      <c r="BA12" s="250"/>
      <c r="BB12" s="254"/>
      <c r="BC12" s="260"/>
      <c r="BD12" s="250"/>
      <c r="BE12" s="250"/>
      <c r="BF12" s="250"/>
      <c r="BG12" s="254"/>
      <c r="BH12" s="260"/>
      <c r="BI12" s="250"/>
      <c r="BJ12" s="250"/>
      <c r="BK12" s="250"/>
      <c r="BL12" s="254"/>
      <c r="BM12" s="260"/>
      <c r="BN12" s="250"/>
      <c r="BO12" s="250"/>
      <c r="BP12" s="250"/>
      <c r="BQ12" s="254"/>
      <c r="BR12" s="260"/>
      <c r="BS12" s="250"/>
      <c r="BT12" s="250"/>
      <c r="BU12" s="250"/>
      <c r="BV12" s="250"/>
      <c r="BW12" s="254"/>
    </row>
    <row r="13" spans="1:75" x14ac:dyDescent="0.25">
      <c r="B13" s="228" t="s">
        <v>743</v>
      </c>
      <c r="C13" s="266" t="s">
        <v>774</v>
      </c>
      <c r="D13" s="226"/>
      <c r="E13" s="267" t="s">
        <v>742</v>
      </c>
      <c r="F13" s="268"/>
      <c r="G13" s="268"/>
      <c r="H13" s="268"/>
      <c r="I13" s="248"/>
      <c r="J13" s="260"/>
      <c r="K13" s="261"/>
      <c r="L13" s="261"/>
      <c r="M13" s="261"/>
      <c r="N13" s="262"/>
      <c r="O13" s="263"/>
      <c r="P13" s="261"/>
      <c r="Q13" s="261"/>
      <c r="R13" s="261"/>
      <c r="S13" s="262"/>
      <c r="T13" s="263"/>
      <c r="U13" s="261"/>
      <c r="V13" s="261"/>
      <c r="W13" s="250"/>
      <c r="X13" s="251"/>
      <c r="Y13" s="260"/>
      <c r="Z13" s="250"/>
      <c r="AA13" s="250"/>
      <c r="AB13" s="250"/>
      <c r="AC13" s="251"/>
      <c r="AD13" s="260"/>
      <c r="AE13" s="252"/>
      <c r="AF13" s="252"/>
      <c r="AG13" s="250"/>
      <c r="AH13" s="251"/>
      <c r="AI13" s="260"/>
      <c r="AJ13" s="250"/>
      <c r="AK13" s="250"/>
      <c r="AL13" s="250"/>
      <c r="AM13" s="264"/>
      <c r="AN13" s="260"/>
      <c r="AO13" s="250"/>
      <c r="AP13" s="250"/>
      <c r="AQ13" s="250"/>
      <c r="AR13" s="251"/>
      <c r="AS13" s="260"/>
      <c r="AT13" s="250"/>
      <c r="AU13" s="250"/>
      <c r="AV13" s="250"/>
      <c r="AW13" s="254"/>
      <c r="AX13" s="260"/>
      <c r="AY13" s="250"/>
      <c r="AZ13" s="250"/>
      <c r="BA13" s="250"/>
      <c r="BB13" s="254"/>
      <c r="BC13" s="260"/>
      <c r="BD13" s="250"/>
      <c r="BE13" s="250"/>
      <c r="BF13" s="250"/>
      <c r="BG13" s="254"/>
      <c r="BH13" s="260"/>
      <c r="BI13" s="250"/>
      <c r="BJ13" s="250"/>
      <c r="BK13" s="250"/>
      <c r="BL13" s="254"/>
      <c r="BM13" s="260"/>
      <c r="BN13" s="250"/>
      <c r="BO13" s="250"/>
      <c r="BP13" s="250"/>
      <c r="BQ13" s="254"/>
      <c r="BR13" s="260"/>
      <c r="BS13" s="250"/>
      <c r="BT13" s="250"/>
      <c r="BU13" s="250"/>
      <c r="BV13" s="250"/>
      <c r="BW13" s="254"/>
    </row>
    <row r="14" spans="1:75" x14ac:dyDescent="0.25">
      <c r="A14" s="265"/>
      <c r="B14" s="228" t="s">
        <v>744</v>
      </c>
      <c r="C14" s="266"/>
      <c r="D14" s="226"/>
      <c r="E14" s="267" t="s">
        <v>742</v>
      </c>
      <c r="F14" s="268"/>
      <c r="G14" s="268"/>
      <c r="H14" s="268"/>
      <c r="I14" s="248"/>
      <c r="J14" s="260"/>
      <c r="K14" s="250"/>
      <c r="L14" s="250"/>
      <c r="M14" s="250"/>
      <c r="N14" s="251"/>
      <c r="O14" s="260"/>
      <c r="P14" s="250"/>
      <c r="Q14" s="250"/>
      <c r="R14" s="250"/>
      <c r="S14" s="251"/>
      <c r="T14" s="260"/>
      <c r="U14" s="250"/>
      <c r="V14" s="250"/>
      <c r="W14" s="250"/>
      <c r="X14" s="251"/>
      <c r="Y14" s="260"/>
      <c r="Z14" s="250"/>
      <c r="AA14" s="250"/>
      <c r="AB14" s="261"/>
      <c r="AC14" s="262"/>
      <c r="AD14" s="260"/>
      <c r="AE14" s="252"/>
      <c r="AF14" s="252"/>
      <c r="AG14" s="250"/>
      <c r="AH14" s="251"/>
      <c r="AI14" s="260"/>
      <c r="AJ14" s="250"/>
      <c r="AK14" s="250"/>
      <c r="AL14" s="250"/>
      <c r="AM14" s="264"/>
      <c r="AN14" s="260"/>
      <c r="AO14" s="250"/>
      <c r="AP14" s="250"/>
      <c r="AQ14" s="250"/>
      <c r="AR14" s="251"/>
      <c r="AS14" s="260"/>
      <c r="AT14" s="250"/>
      <c r="AU14" s="250"/>
      <c r="AV14" s="250"/>
      <c r="AW14" s="254"/>
      <c r="AX14" s="260"/>
      <c r="AY14" s="250"/>
      <c r="AZ14" s="250"/>
      <c r="BA14" s="250"/>
      <c r="BB14" s="254"/>
      <c r="BC14" s="260"/>
      <c r="BD14" s="250"/>
      <c r="BE14" s="250"/>
      <c r="BF14" s="250"/>
      <c r="BG14" s="254"/>
      <c r="BH14" s="260"/>
      <c r="BI14" s="250"/>
      <c r="BJ14" s="250"/>
      <c r="BK14" s="250"/>
      <c r="BL14" s="254"/>
      <c r="BM14" s="260"/>
      <c r="BN14" s="250"/>
      <c r="BO14" s="250"/>
      <c r="BP14" s="250"/>
      <c r="BQ14" s="254"/>
      <c r="BR14" s="260"/>
      <c r="BS14" s="250"/>
      <c r="BT14" s="250"/>
      <c r="BU14" s="250"/>
      <c r="BV14" s="250"/>
      <c r="BW14" s="254"/>
    </row>
    <row r="15" spans="1:75" x14ac:dyDescent="0.25">
      <c r="B15" s="228" t="s">
        <v>745</v>
      </c>
      <c r="C15" s="266"/>
      <c r="D15" s="226"/>
      <c r="E15" s="267" t="s">
        <v>742</v>
      </c>
      <c r="F15" s="268"/>
      <c r="G15" s="268"/>
      <c r="H15" s="268"/>
      <c r="I15" s="248"/>
      <c r="J15" s="260"/>
      <c r="K15" s="250"/>
      <c r="L15" s="250"/>
      <c r="M15" s="250"/>
      <c r="N15" s="251"/>
      <c r="O15" s="260"/>
      <c r="P15" s="250"/>
      <c r="Q15" s="250"/>
      <c r="R15" s="250"/>
      <c r="S15" s="251"/>
      <c r="T15" s="260"/>
      <c r="U15" s="250"/>
      <c r="V15" s="261"/>
      <c r="W15" s="261"/>
      <c r="X15" s="262"/>
      <c r="Y15" s="263"/>
      <c r="Z15" s="261"/>
      <c r="AA15" s="261"/>
      <c r="AB15" s="261"/>
      <c r="AC15" s="262"/>
      <c r="AD15" s="263"/>
      <c r="AE15" s="269"/>
      <c r="AF15" s="252"/>
      <c r="AG15" s="250"/>
      <c r="AH15" s="251"/>
      <c r="AI15" s="260"/>
      <c r="AJ15" s="250"/>
      <c r="AK15" s="250"/>
      <c r="AL15" s="250"/>
      <c r="AM15" s="264"/>
      <c r="AN15" s="260"/>
      <c r="AO15" s="250"/>
      <c r="AP15" s="250"/>
      <c r="AQ15" s="250"/>
      <c r="AR15" s="251"/>
      <c r="AS15" s="260"/>
      <c r="AT15" s="250"/>
      <c r="AU15" s="250"/>
      <c r="AV15" s="250"/>
      <c r="AW15" s="254"/>
      <c r="AX15" s="260"/>
      <c r="AY15" s="250"/>
      <c r="AZ15" s="250"/>
      <c r="BA15" s="250"/>
      <c r="BB15" s="254"/>
      <c r="BC15" s="260"/>
      <c r="BD15" s="250"/>
      <c r="BE15" s="250"/>
      <c r="BF15" s="250"/>
      <c r="BG15" s="254"/>
      <c r="BH15" s="260"/>
      <c r="BI15" s="250"/>
      <c r="BJ15" s="250"/>
      <c r="BK15" s="250"/>
      <c r="BL15" s="254"/>
      <c r="BM15" s="260"/>
      <c r="BN15" s="250"/>
      <c r="BO15" s="250"/>
      <c r="BP15" s="250"/>
      <c r="BQ15" s="254"/>
      <c r="BR15" s="260"/>
      <c r="BS15" s="250"/>
      <c r="BT15" s="250"/>
      <c r="BU15" s="250"/>
      <c r="BV15" s="250"/>
      <c r="BW15" s="254"/>
    </row>
    <row r="16" spans="1:75" x14ac:dyDescent="0.25">
      <c r="B16" s="270" t="s">
        <v>746</v>
      </c>
      <c r="C16" s="271"/>
      <c r="D16" s="272"/>
      <c r="E16" s="272" t="s">
        <v>15</v>
      </c>
      <c r="F16" s="272"/>
      <c r="G16" s="272"/>
      <c r="H16" s="272"/>
      <c r="I16" s="248"/>
      <c r="J16" s="260"/>
      <c r="K16" s="250"/>
      <c r="L16" s="250"/>
      <c r="M16" s="250"/>
      <c r="N16" s="251"/>
      <c r="O16" s="260"/>
      <c r="P16" s="250"/>
      <c r="Q16" s="250"/>
      <c r="R16" s="250"/>
      <c r="S16" s="251"/>
      <c r="T16" s="260"/>
      <c r="U16" s="250"/>
      <c r="V16" s="250"/>
      <c r="W16" s="250"/>
      <c r="X16" s="251"/>
      <c r="Y16" s="260"/>
      <c r="Z16" s="250"/>
      <c r="AA16" s="250"/>
      <c r="AB16" s="250"/>
      <c r="AC16" s="251"/>
      <c r="AD16" s="260"/>
      <c r="AE16" s="252"/>
      <c r="AF16" s="252"/>
      <c r="AG16" s="250"/>
      <c r="AH16" s="251"/>
      <c r="AI16" s="260"/>
      <c r="AJ16" s="250"/>
      <c r="AK16" s="250"/>
      <c r="AL16" s="250"/>
      <c r="AM16" s="264"/>
      <c r="AN16" s="260"/>
      <c r="AO16" s="250"/>
      <c r="AP16" s="250"/>
      <c r="AQ16" s="250"/>
      <c r="AR16" s="251"/>
      <c r="AS16" s="260"/>
      <c r="AT16" s="250"/>
      <c r="AU16" s="250"/>
      <c r="AV16" s="250"/>
      <c r="AW16" s="254"/>
      <c r="AX16" s="260"/>
      <c r="AY16" s="250"/>
      <c r="AZ16" s="250"/>
      <c r="BA16" s="250"/>
      <c r="BB16" s="254"/>
      <c r="BC16" s="260"/>
      <c r="BD16" s="250"/>
      <c r="BE16" s="250"/>
      <c r="BF16" s="250"/>
      <c r="BG16" s="254"/>
      <c r="BH16" s="260"/>
      <c r="BI16" s="250"/>
      <c r="BJ16" s="250"/>
      <c r="BK16" s="250"/>
      <c r="BL16" s="254"/>
      <c r="BM16" s="260"/>
      <c r="BN16" s="250"/>
      <c r="BO16" s="250"/>
      <c r="BP16" s="250"/>
      <c r="BQ16" s="254"/>
      <c r="BR16" s="260"/>
      <c r="BS16" s="250"/>
      <c r="BT16" s="250"/>
      <c r="BU16" s="250"/>
      <c r="BV16" s="250"/>
      <c r="BW16" s="254"/>
    </row>
    <row r="17" spans="1:75" x14ac:dyDescent="0.25">
      <c r="B17" s="270" t="s">
        <v>747</v>
      </c>
      <c r="C17" s="266"/>
      <c r="D17" s="226"/>
      <c r="E17" s="267" t="s">
        <v>742</v>
      </c>
      <c r="F17" s="268"/>
      <c r="G17" s="268"/>
      <c r="H17" s="268"/>
      <c r="I17" s="248"/>
      <c r="J17" s="250"/>
      <c r="K17" s="250"/>
      <c r="L17" s="250"/>
      <c r="M17" s="250"/>
      <c r="N17" s="251"/>
      <c r="O17" s="260"/>
      <c r="P17" s="250"/>
      <c r="Q17" s="250"/>
      <c r="R17" s="250"/>
      <c r="S17" s="251"/>
      <c r="T17" s="260"/>
      <c r="U17" s="250"/>
      <c r="V17" s="261"/>
      <c r="W17" s="261"/>
      <c r="X17" s="262"/>
      <c r="Y17" s="263"/>
      <c r="Z17" s="261"/>
      <c r="AA17" s="261"/>
      <c r="AB17" s="261"/>
      <c r="AC17" s="262"/>
      <c r="AD17" s="263"/>
      <c r="AE17" s="269"/>
      <c r="AF17" s="252"/>
      <c r="AG17" s="250"/>
      <c r="AH17" s="251"/>
      <c r="AI17" s="260"/>
      <c r="AJ17" s="250"/>
      <c r="AK17" s="250"/>
      <c r="AL17" s="250"/>
      <c r="AM17" s="264"/>
      <c r="AN17" s="273"/>
      <c r="AO17" s="274"/>
      <c r="AP17" s="274"/>
      <c r="AQ17" s="274"/>
      <c r="AR17" s="275"/>
      <c r="AS17" s="273"/>
      <c r="AT17" s="274"/>
      <c r="AU17" s="274"/>
      <c r="AV17" s="274"/>
      <c r="AW17" s="254"/>
      <c r="AX17" s="273"/>
      <c r="AY17" s="274"/>
      <c r="AZ17" s="274"/>
      <c r="BA17" s="274"/>
      <c r="BB17" s="254"/>
      <c r="BC17" s="273"/>
      <c r="BD17" s="274"/>
      <c r="BE17" s="274"/>
      <c r="BF17" s="274"/>
      <c r="BG17" s="254"/>
      <c r="BH17" s="273"/>
      <c r="BI17" s="274"/>
      <c r="BJ17" s="274"/>
      <c r="BK17" s="274"/>
      <c r="BL17" s="254"/>
      <c r="BM17" s="273"/>
      <c r="BN17" s="274"/>
      <c r="BO17" s="274"/>
      <c r="BP17" s="274"/>
      <c r="BQ17" s="254"/>
      <c r="BR17" s="273"/>
      <c r="BS17" s="274"/>
      <c r="BT17" s="274"/>
      <c r="BU17" s="274"/>
      <c r="BV17" s="274"/>
      <c r="BW17" s="254"/>
    </row>
    <row r="18" spans="1:75" x14ac:dyDescent="0.25">
      <c r="A18" s="265"/>
      <c r="B18" s="270" t="s">
        <v>748</v>
      </c>
      <c r="C18" s="266"/>
      <c r="D18" s="226"/>
      <c r="E18" s="267" t="s">
        <v>742</v>
      </c>
      <c r="F18" s="268"/>
      <c r="G18" s="268"/>
      <c r="H18" s="268"/>
      <c r="I18" s="248"/>
      <c r="J18" s="250"/>
      <c r="K18" s="250"/>
      <c r="L18" s="250"/>
      <c r="M18" s="250"/>
      <c r="N18" s="251"/>
      <c r="O18" s="260"/>
      <c r="P18" s="250"/>
      <c r="Q18" s="250"/>
      <c r="R18" s="250"/>
      <c r="S18" s="251"/>
      <c r="T18" s="260"/>
      <c r="U18" s="250"/>
      <c r="V18" s="250"/>
      <c r="W18" s="250"/>
      <c r="X18" s="251"/>
      <c r="Y18" s="260"/>
      <c r="Z18" s="250"/>
      <c r="AA18" s="250"/>
      <c r="AB18" s="250"/>
      <c r="AC18" s="262"/>
      <c r="AD18" s="263"/>
      <c r="AE18" s="269"/>
      <c r="AF18" s="252"/>
      <c r="AG18" s="250"/>
      <c r="AH18" s="251"/>
      <c r="AI18" s="260"/>
      <c r="AJ18" s="250"/>
      <c r="AK18" s="250"/>
      <c r="AL18" s="250"/>
      <c r="AM18" s="264"/>
      <c r="AN18" s="273"/>
      <c r="AO18" s="274"/>
      <c r="AP18" s="274"/>
      <c r="AQ18" s="274"/>
      <c r="AR18" s="275"/>
      <c r="AS18" s="273"/>
      <c r="AT18" s="274"/>
      <c r="AU18" s="274"/>
      <c r="AV18" s="274"/>
      <c r="AW18" s="254"/>
      <c r="AX18" s="273"/>
      <c r="AY18" s="274"/>
      <c r="AZ18" s="274"/>
      <c r="BA18" s="274"/>
      <c r="BB18" s="254"/>
      <c r="BC18" s="273"/>
      <c r="BD18" s="274"/>
      <c r="BE18" s="274"/>
      <c r="BF18" s="274"/>
      <c r="BG18" s="254"/>
      <c r="BH18" s="273"/>
      <c r="BI18" s="274"/>
      <c r="BJ18" s="274"/>
      <c r="BK18" s="274"/>
      <c r="BL18" s="254"/>
      <c r="BM18" s="273"/>
      <c r="BN18" s="274"/>
      <c r="BO18" s="274"/>
      <c r="BP18" s="274"/>
      <c r="BQ18" s="254"/>
      <c r="BR18" s="273"/>
      <c r="BS18" s="274"/>
      <c r="BT18" s="274"/>
      <c r="BU18" s="274"/>
      <c r="BV18" s="274"/>
      <c r="BW18" s="254"/>
    </row>
    <row r="19" spans="1:75" ht="15" thickBot="1" x14ac:dyDescent="0.3">
      <c r="A19" s="265"/>
      <c r="B19" s="276" t="s">
        <v>749</v>
      </c>
      <c r="C19" s="266"/>
      <c r="D19" s="226"/>
      <c r="E19" s="267" t="s">
        <v>742</v>
      </c>
      <c r="F19" s="277"/>
      <c r="G19" s="277"/>
      <c r="H19" s="268"/>
      <c r="I19" s="248"/>
      <c r="J19" s="250"/>
      <c r="K19" s="250"/>
      <c r="L19" s="250"/>
      <c r="M19" s="250"/>
      <c r="N19" s="251"/>
      <c r="O19" s="260"/>
      <c r="P19" s="250"/>
      <c r="Q19" s="250"/>
      <c r="R19" s="250"/>
      <c r="S19" s="251"/>
      <c r="T19" s="260"/>
      <c r="U19" s="250"/>
      <c r="V19" s="250"/>
      <c r="W19" s="250"/>
      <c r="X19" s="251"/>
      <c r="Y19" s="260"/>
      <c r="Z19" s="250"/>
      <c r="AA19" s="250"/>
      <c r="AB19" s="250"/>
      <c r="AC19" s="251"/>
      <c r="AD19" s="260"/>
      <c r="AE19" s="252"/>
      <c r="AF19" s="252"/>
      <c r="AG19" s="250"/>
      <c r="AH19" s="251"/>
      <c r="AI19" s="260"/>
      <c r="AJ19" s="250"/>
      <c r="AK19" s="250"/>
      <c r="AL19" s="250"/>
      <c r="AM19" s="264"/>
      <c r="AN19" s="273"/>
      <c r="AO19" s="274"/>
      <c r="AP19" s="274"/>
      <c r="AQ19" s="274"/>
      <c r="AR19" s="275"/>
      <c r="AS19" s="273"/>
      <c r="AT19" s="274"/>
      <c r="AU19" s="274"/>
      <c r="AV19" s="274"/>
      <c r="AW19" s="278"/>
      <c r="AX19" s="279"/>
      <c r="AY19" s="280"/>
      <c r="AZ19" s="274"/>
      <c r="BA19" s="274"/>
      <c r="BB19" s="254"/>
      <c r="BC19" s="273"/>
      <c r="BD19" s="274"/>
      <c r="BE19" s="274"/>
      <c r="BF19" s="274"/>
      <c r="BG19" s="254"/>
      <c r="BH19" s="273"/>
      <c r="BI19" s="274"/>
      <c r="BJ19" s="274"/>
      <c r="BK19" s="274"/>
      <c r="BL19" s="254"/>
      <c r="BM19" s="273"/>
      <c r="BN19" s="274"/>
      <c r="BO19" s="274"/>
      <c r="BP19" s="274"/>
      <c r="BQ19" s="254"/>
      <c r="BR19" s="273"/>
      <c r="BS19" s="274"/>
      <c r="BT19" s="274"/>
      <c r="BU19" s="274"/>
      <c r="BV19" s="274"/>
      <c r="BW19" s="254"/>
    </row>
    <row r="20" spans="1:75" ht="3.75" customHeight="1" thickBot="1" x14ac:dyDescent="0.3">
      <c r="B20" s="237"/>
      <c r="C20" s="238"/>
      <c r="D20" s="238"/>
      <c r="E20" s="240"/>
      <c r="F20" s="240"/>
      <c r="G20" s="240"/>
      <c r="H20" s="240"/>
      <c r="I20" s="238"/>
      <c r="J20" s="245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  <c r="AB20" s="245"/>
      <c r="AC20" s="245"/>
      <c r="AD20" s="245"/>
      <c r="AE20" s="245"/>
      <c r="AF20" s="245"/>
      <c r="AG20" s="245"/>
      <c r="AH20" s="245"/>
      <c r="AI20" s="245"/>
      <c r="AJ20" s="245"/>
      <c r="AK20" s="245"/>
      <c r="AL20" s="245"/>
      <c r="AM20" s="281"/>
      <c r="AN20" s="245"/>
      <c r="AO20" s="245"/>
      <c r="AP20" s="245"/>
      <c r="AQ20" s="245"/>
      <c r="AR20" s="245"/>
      <c r="AS20" s="245"/>
      <c r="AT20" s="245"/>
      <c r="AU20" s="245"/>
      <c r="AV20" s="245"/>
      <c r="AW20" s="245"/>
      <c r="AX20" s="245"/>
      <c r="AY20" s="245"/>
      <c r="AZ20" s="245"/>
      <c r="BA20" s="245"/>
      <c r="BB20" s="245"/>
      <c r="BC20" s="245"/>
      <c r="BD20" s="245"/>
      <c r="BE20" s="245"/>
      <c r="BF20" s="245"/>
      <c r="BG20" s="245"/>
      <c r="BH20" s="245"/>
      <c r="BI20" s="245"/>
      <c r="BJ20" s="245"/>
      <c r="BK20" s="245"/>
      <c r="BL20" s="245"/>
      <c r="BM20" s="245"/>
      <c r="BN20" s="245"/>
      <c r="BO20" s="245"/>
      <c r="BP20" s="245"/>
      <c r="BQ20" s="245"/>
      <c r="BR20" s="245"/>
      <c r="BS20" s="245"/>
      <c r="BT20" s="245"/>
      <c r="BU20" s="245"/>
      <c r="BV20" s="245"/>
      <c r="BW20" s="245"/>
    </row>
    <row r="21" spans="1:75" x14ac:dyDescent="0.25">
      <c r="B21" s="239" t="s">
        <v>561</v>
      </c>
      <c r="C21" s="239"/>
      <c r="D21" s="246"/>
      <c r="E21" s="247"/>
      <c r="F21" s="247"/>
      <c r="G21" s="247"/>
      <c r="H21" s="247"/>
      <c r="I21" s="248"/>
      <c r="J21" s="249"/>
      <c r="K21" s="250"/>
      <c r="L21" s="250"/>
      <c r="M21" s="250"/>
      <c r="N21" s="251"/>
      <c r="O21" s="260"/>
      <c r="P21" s="250"/>
      <c r="Q21" s="250"/>
      <c r="R21" s="250"/>
      <c r="S21" s="251"/>
      <c r="T21" s="260"/>
      <c r="U21" s="250"/>
      <c r="V21" s="250"/>
      <c r="W21" s="250"/>
      <c r="X21" s="251"/>
      <c r="Y21" s="260"/>
      <c r="Z21" s="250"/>
      <c r="AA21" s="250"/>
      <c r="AB21" s="250"/>
      <c r="AC21" s="251"/>
      <c r="AD21" s="260"/>
      <c r="AE21" s="252"/>
      <c r="AF21" s="252"/>
      <c r="AG21" s="250"/>
      <c r="AH21" s="251"/>
      <c r="AI21" s="260"/>
      <c r="AJ21" s="250"/>
      <c r="AK21" s="250"/>
      <c r="AL21" s="250"/>
      <c r="AM21" s="264"/>
      <c r="AN21" s="260"/>
      <c r="AO21" s="250"/>
      <c r="AP21" s="250"/>
      <c r="AQ21" s="250"/>
      <c r="AR21" s="251"/>
      <c r="AS21" s="260"/>
      <c r="AT21" s="250"/>
      <c r="AU21" s="250"/>
      <c r="AV21" s="250"/>
      <c r="AW21" s="254"/>
      <c r="AX21" s="260"/>
      <c r="AY21" s="250"/>
      <c r="AZ21" s="250"/>
      <c r="BA21" s="250"/>
      <c r="BB21" s="254"/>
      <c r="BC21" s="260"/>
      <c r="BD21" s="250"/>
      <c r="BE21" s="250"/>
      <c r="BF21" s="250"/>
      <c r="BG21" s="254"/>
      <c r="BH21" s="260"/>
      <c r="BI21" s="250"/>
      <c r="BJ21" s="250"/>
      <c r="BK21" s="250"/>
      <c r="BL21" s="254"/>
      <c r="BM21" s="260"/>
      <c r="BN21" s="250"/>
      <c r="BO21" s="250"/>
      <c r="BP21" s="250"/>
      <c r="BQ21" s="254"/>
      <c r="BR21" s="260"/>
      <c r="BS21" s="250"/>
      <c r="BT21" s="250"/>
      <c r="BU21" s="250"/>
      <c r="BV21" s="250"/>
      <c r="BW21" s="254"/>
    </row>
    <row r="22" spans="1:75" x14ac:dyDescent="0.25">
      <c r="B22" s="282" t="s">
        <v>750</v>
      </c>
      <c r="C22" s="283"/>
      <c r="D22" s="226"/>
      <c r="E22" s="267" t="s">
        <v>742</v>
      </c>
      <c r="F22" s="277"/>
      <c r="G22" s="277"/>
      <c r="H22" s="277"/>
      <c r="I22" s="248"/>
      <c r="J22" s="260"/>
      <c r="K22" s="250"/>
      <c r="L22" s="250"/>
      <c r="M22" s="250"/>
      <c r="N22" s="251"/>
      <c r="O22" s="260"/>
      <c r="P22" s="250"/>
      <c r="Q22" s="250"/>
      <c r="R22" s="250"/>
      <c r="S22" s="251"/>
      <c r="T22" s="260"/>
      <c r="U22" s="250"/>
      <c r="V22" s="250"/>
      <c r="W22" s="250"/>
      <c r="X22" s="251"/>
      <c r="Y22" s="260"/>
      <c r="Z22" s="250"/>
      <c r="AA22" s="250"/>
      <c r="AB22" s="250"/>
      <c r="AC22" s="251"/>
      <c r="AD22" s="260"/>
      <c r="AE22" s="252"/>
      <c r="AF22" s="252"/>
      <c r="AG22" s="250"/>
      <c r="AH22" s="251"/>
      <c r="AI22" s="263"/>
      <c r="AJ22" s="261"/>
      <c r="AK22" s="261"/>
      <c r="AL22" s="261"/>
      <c r="AM22" s="264"/>
      <c r="AN22" s="260"/>
      <c r="AO22" s="250"/>
      <c r="AP22" s="250"/>
      <c r="AQ22" s="250"/>
      <c r="AR22" s="251"/>
      <c r="AS22" s="260"/>
      <c r="AT22" s="250"/>
      <c r="AU22" s="250"/>
      <c r="AV22" s="250"/>
      <c r="AW22" s="254"/>
      <c r="AX22" s="260"/>
      <c r="AY22" s="250"/>
      <c r="AZ22" s="250"/>
      <c r="BA22" s="250"/>
      <c r="BB22" s="254"/>
      <c r="BC22" s="260"/>
      <c r="BD22" s="250"/>
      <c r="BE22" s="250"/>
      <c r="BF22" s="250"/>
      <c r="BG22" s="254"/>
      <c r="BH22" s="260"/>
      <c r="BI22" s="250"/>
      <c r="BJ22" s="250"/>
      <c r="BK22" s="250"/>
      <c r="BL22" s="254"/>
      <c r="BM22" s="260"/>
      <c r="BN22" s="250"/>
      <c r="BO22" s="250"/>
      <c r="BP22" s="250"/>
      <c r="BQ22" s="254"/>
      <c r="BR22" s="260"/>
      <c r="BS22" s="250"/>
      <c r="BT22" s="250"/>
      <c r="BU22" s="250"/>
      <c r="BV22" s="250"/>
      <c r="BW22" s="254"/>
    </row>
    <row r="23" spans="1:75" x14ac:dyDescent="0.25">
      <c r="B23" s="282" t="s">
        <v>751</v>
      </c>
      <c r="C23" s="283"/>
      <c r="D23" s="226"/>
      <c r="E23" s="267" t="s">
        <v>742</v>
      </c>
      <c r="F23" s="277"/>
      <c r="G23" s="277"/>
      <c r="H23" s="277"/>
      <c r="I23" s="248"/>
      <c r="J23" s="260"/>
      <c r="K23" s="250"/>
      <c r="L23" s="250"/>
      <c r="M23" s="250"/>
      <c r="N23" s="251"/>
      <c r="O23" s="260"/>
      <c r="P23" s="250"/>
      <c r="Q23" s="250"/>
      <c r="R23" s="250"/>
      <c r="S23" s="251"/>
      <c r="T23" s="260"/>
      <c r="U23" s="250"/>
      <c r="V23" s="250"/>
      <c r="W23" s="250"/>
      <c r="X23" s="251"/>
      <c r="Y23" s="260"/>
      <c r="Z23" s="250"/>
      <c r="AA23" s="250"/>
      <c r="AB23" s="250"/>
      <c r="AC23" s="251"/>
      <c r="AD23" s="260"/>
      <c r="AE23" s="252"/>
      <c r="AF23" s="252"/>
      <c r="AG23" s="250"/>
      <c r="AH23" s="251"/>
      <c r="AI23" s="260"/>
      <c r="AJ23" s="250"/>
      <c r="AK23" s="250"/>
      <c r="AL23" s="250"/>
      <c r="AM23" s="284"/>
      <c r="AN23" s="263"/>
      <c r="AO23" s="261"/>
      <c r="AP23" s="261"/>
      <c r="AQ23" s="261"/>
      <c r="AR23" s="262"/>
      <c r="AS23" s="263"/>
      <c r="AT23" s="261"/>
      <c r="AU23" s="261"/>
      <c r="AV23" s="261"/>
      <c r="AW23" s="278"/>
      <c r="AX23" s="263"/>
      <c r="AY23" s="261"/>
      <c r="AZ23" s="261"/>
      <c r="BA23" s="261"/>
      <c r="BB23" s="278"/>
      <c r="BC23" s="260"/>
      <c r="BD23" s="250"/>
      <c r="BE23" s="250"/>
      <c r="BF23" s="250"/>
      <c r="BG23" s="254"/>
      <c r="BH23" s="260"/>
      <c r="BI23" s="250"/>
      <c r="BJ23" s="250"/>
      <c r="BK23" s="250"/>
      <c r="BL23" s="254"/>
      <c r="BM23" s="260"/>
      <c r="BN23" s="250"/>
      <c r="BO23" s="250"/>
      <c r="BP23" s="250"/>
      <c r="BQ23" s="254"/>
      <c r="BR23" s="260"/>
      <c r="BS23" s="250"/>
      <c r="BT23" s="250"/>
      <c r="BU23" s="250"/>
      <c r="BV23" s="250"/>
      <c r="BW23" s="254"/>
    </row>
    <row r="24" spans="1:75" x14ac:dyDescent="0.25">
      <c r="B24" s="282" t="s">
        <v>752</v>
      </c>
      <c r="C24" s="283"/>
      <c r="D24" s="226"/>
      <c r="E24" s="267" t="s">
        <v>742</v>
      </c>
      <c r="F24" s="277"/>
      <c r="G24" s="277"/>
      <c r="H24" s="277"/>
      <c r="I24" s="248"/>
      <c r="J24" s="260"/>
      <c r="K24" s="250"/>
      <c r="L24" s="250"/>
      <c r="M24" s="250"/>
      <c r="N24" s="251"/>
      <c r="O24" s="260"/>
      <c r="P24" s="250"/>
      <c r="Q24" s="250"/>
      <c r="R24" s="250"/>
      <c r="S24" s="251"/>
      <c r="T24" s="260"/>
      <c r="U24" s="250"/>
      <c r="V24" s="250"/>
      <c r="W24" s="250"/>
      <c r="X24" s="251"/>
      <c r="Y24" s="260"/>
      <c r="Z24" s="250"/>
      <c r="AA24" s="250"/>
      <c r="AB24" s="250"/>
      <c r="AC24" s="251"/>
      <c r="AD24" s="260"/>
      <c r="AE24" s="252"/>
      <c r="AF24" s="252"/>
      <c r="AG24" s="250"/>
      <c r="AH24" s="251"/>
      <c r="AI24" s="260"/>
      <c r="AJ24" s="250"/>
      <c r="AK24" s="250"/>
      <c r="AL24" s="250"/>
      <c r="AM24" s="284"/>
      <c r="AN24" s="260"/>
      <c r="AO24" s="250"/>
      <c r="AP24" s="250"/>
      <c r="AQ24" s="261"/>
      <c r="AR24" s="262"/>
      <c r="AS24" s="263"/>
      <c r="AT24" s="261"/>
      <c r="AU24" s="261"/>
      <c r="AV24" s="261"/>
      <c r="AW24" s="278"/>
      <c r="AX24" s="263"/>
      <c r="AY24" s="261"/>
      <c r="AZ24" s="261"/>
      <c r="BA24" s="261"/>
      <c r="BB24" s="278"/>
      <c r="BC24" s="263"/>
      <c r="BD24" s="261"/>
      <c r="BE24" s="261"/>
      <c r="BF24" s="250"/>
      <c r="BG24" s="254"/>
      <c r="BH24" s="260"/>
      <c r="BI24" s="250"/>
      <c r="BJ24" s="250"/>
      <c r="BK24" s="250"/>
      <c r="BL24" s="254"/>
      <c r="BM24" s="260"/>
      <c r="BN24" s="250"/>
      <c r="BO24" s="250"/>
      <c r="BP24" s="250"/>
      <c r="BQ24" s="254"/>
      <c r="BR24" s="260"/>
      <c r="BS24" s="250"/>
      <c r="BT24" s="250"/>
      <c r="BU24" s="250"/>
      <c r="BV24" s="250"/>
      <c r="BW24" s="254"/>
    </row>
    <row r="25" spans="1:75" x14ac:dyDescent="0.25">
      <c r="B25" s="228" t="s">
        <v>753</v>
      </c>
      <c r="C25" s="266"/>
      <c r="D25" s="226"/>
      <c r="E25" s="285" t="s">
        <v>742</v>
      </c>
      <c r="F25" s="226"/>
      <c r="G25" s="226"/>
      <c r="H25" s="268"/>
      <c r="I25" s="248"/>
      <c r="J25" s="260"/>
      <c r="K25" s="250"/>
      <c r="L25" s="250"/>
      <c r="M25" s="250"/>
      <c r="N25" s="251"/>
      <c r="O25" s="260"/>
      <c r="P25" s="250"/>
      <c r="Q25" s="250"/>
      <c r="R25" s="250"/>
      <c r="S25" s="251"/>
      <c r="T25" s="260"/>
      <c r="U25" s="250"/>
      <c r="V25" s="250"/>
      <c r="W25" s="250"/>
      <c r="X25" s="251"/>
      <c r="Y25" s="260"/>
      <c r="Z25" s="250"/>
      <c r="AA25" s="250"/>
      <c r="AB25" s="250"/>
      <c r="AC25" s="251"/>
      <c r="AD25" s="260"/>
      <c r="AE25" s="252"/>
      <c r="AF25" s="252"/>
      <c r="AG25" s="250"/>
      <c r="AH25" s="251"/>
      <c r="AI25" s="260"/>
      <c r="AJ25" s="250"/>
      <c r="AK25" s="250"/>
      <c r="AL25" s="250"/>
      <c r="AM25" s="284"/>
      <c r="AN25" s="260"/>
      <c r="AO25" s="250"/>
      <c r="AP25" s="250"/>
      <c r="AQ25" s="250"/>
      <c r="AR25" s="251"/>
      <c r="AS25" s="260"/>
      <c r="AT25" s="250"/>
      <c r="AU25" s="250"/>
      <c r="AV25" s="250"/>
      <c r="AW25" s="254"/>
      <c r="AX25" s="260"/>
      <c r="AY25" s="250"/>
      <c r="AZ25" s="250"/>
      <c r="BA25" s="250"/>
      <c r="BB25" s="254"/>
      <c r="BC25" s="260"/>
      <c r="BD25" s="250"/>
      <c r="BE25" s="250"/>
      <c r="BF25" s="250"/>
      <c r="BG25" s="254"/>
      <c r="BH25" s="260"/>
      <c r="BI25" s="250"/>
      <c r="BJ25" s="250"/>
      <c r="BK25" s="250"/>
      <c r="BL25" s="254"/>
      <c r="BM25" s="260"/>
      <c r="BN25" s="250"/>
      <c r="BO25" s="250"/>
      <c r="BP25" s="250"/>
      <c r="BQ25" s="254"/>
      <c r="BR25" s="260"/>
      <c r="BS25" s="250"/>
      <c r="BT25" s="250"/>
      <c r="BU25" s="250"/>
      <c r="BV25" s="250"/>
      <c r="BW25" s="254"/>
    </row>
    <row r="26" spans="1:75" x14ac:dyDescent="0.25">
      <c r="B26" s="228" t="s">
        <v>754</v>
      </c>
      <c r="C26" s="266"/>
      <c r="D26" s="226"/>
      <c r="E26" s="267" t="s">
        <v>742</v>
      </c>
      <c r="F26" s="277"/>
      <c r="G26" s="277"/>
      <c r="H26" s="268"/>
      <c r="I26" s="248"/>
      <c r="J26" s="260"/>
      <c r="K26" s="250"/>
      <c r="L26" s="250"/>
      <c r="M26" s="250"/>
      <c r="N26" s="251"/>
      <c r="O26" s="260"/>
      <c r="P26" s="250"/>
      <c r="Q26" s="250"/>
      <c r="R26" s="250"/>
      <c r="S26" s="251"/>
      <c r="T26" s="260"/>
      <c r="U26" s="250"/>
      <c r="V26" s="250"/>
      <c r="W26" s="250"/>
      <c r="X26" s="251"/>
      <c r="Y26" s="260"/>
      <c r="Z26" s="250"/>
      <c r="AA26" s="250"/>
      <c r="AB26" s="250"/>
      <c r="AC26" s="251"/>
      <c r="AD26" s="260"/>
      <c r="AE26" s="252"/>
      <c r="AF26" s="252"/>
      <c r="AG26" s="250"/>
      <c r="AH26" s="251"/>
      <c r="AI26" s="260"/>
      <c r="AJ26" s="250"/>
      <c r="AK26" s="250"/>
      <c r="AL26" s="250"/>
      <c r="AM26" s="284"/>
      <c r="AN26" s="260"/>
      <c r="AO26" s="250"/>
      <c r="AP26" s="250"/>
      <c r="AQ26" s="250"/>
      <c r="AR26" s="251"/>
      <c r="AS26" s="260"/>
      <c r="AT26" s="250"/>
      <c r="AU26" s="250"/>
      <c r="AV26" s="250"/>
      <c r="AW26" s="254"/>
      <c r="AX26" s="260"/>
      <c r="AY26" s="250"/>
      <c r="AZ26" s="250"/>
      <c r="BA26" s="250"/>
      <c r="BB26" s="254"/>
      <c r="BC26" s="260"/>
      <c r="BD26" s="250"/>
      <c r="BE26" s="250"/>
      <c r="BF26" s="261"/>
      <c r="BG26" s="278"/>
      <c r="BH26" s="263"/>
      <c r="BI26" s="261"/>
      <c r="BJ26" s="261"/>
      <c r="BK26" s="261"/>
      <c r="BL26" s="278"/>
      <c r="BM26" s="263"/>
      <c r="BN26" s="250"/>
      <c r="BO26" s="250"/>
      <c r="BP26" s="250"/>
      <c r="BQ26" s="254"/>
      <c r="BR26" s="260"/>
      <c r="BS26" s="250"/>
      <c r="BT26" s="250"/>
      <c r="BU26" s="250"/>
      <c r="BV26" s="250"/>
      <c r="BW26" s="254"/>
    </row>
    <row r="27" spans="1:75" ht="15" thickBot="1" x14ac:dyDescent="0.3">
      <c r="A27" s="265"/>
      <c r="B27" s="228" t="s">
        <v>755</v>
      </c>
      <c r="C27" s="266"/>
      <c r="D27" s="226"/>
      <c r="E27" s="267" t="s">
        <v>742</v>
      </c>
      <c r="F27" s="277"/>
      <c r="G27" s="277"/>
      <c r="H27" s="268"/>
      <c r="I27" s="248"/>
      <c r="J27" s="260"/>
      <c r="K27" s="250"/>
      <c r="L27" s="250"/>
      <c r="M27" s="250"/>
      <c r="N27" s="251"/>
      <c r="O27" s="260"/>
      <c r="P27" s="250"/>
      <c r="Q27" s="250"/>
      <c r="R27" s="250"/>
      <c r="S27" s="251"/>
      <c r="T27" s="260"/>
      <c r="U27" s="250"/>
      <c r="V27" s="250"/>
      <c r="W27" s="250"/>
      <c r="X27" s="251"/>
      <c r="Y27" s="260"/>
      <c r="Z27" s="250"/>
      <c r="AA27" s="250"/>
      <c r="AB27" s="250"/>
      <c r="AC27" s="251"/>
      <c r="AD27" s="260"/>
      <c r="AE27" s="252"/>
      <c r="AF27" s="252"/>
      <c r="AG27" s="250"/>
      <c r="AH27" s="251"/>
      <c r="AI27" s="260"/>
      <c r="AJ27" s="250"/>
      <c r="AK27" s="250"/>
      <c r="AL27" s="250"/>
      <c r="AM27" s="284"/>
      <c r="AN27" s="260"/>
      <c r="AO27" s="250"/>
      <c r="AP27" s="250"/>
      <c r="AQ27" s="250"/>
      <c r="AR27" s="251"/>
      <c r="AS27" s="260"/>
      <c r="AT27" s="250"/>
      <c r="AU27" s="250"/>
      <c r="AV27" s="250"/>
      <c r="AW27" s="286"/>
      <c r="AX27" s="260"/>
      <c r="AY27" s="250"/>
      <c r="AZ27" s="250"/>
      <c r="BA27" s="250"/>
      <c r="BB27" s="286"/>
      <c r="BC27" s="260"/>
      <c r="BD27" s="250"/>
      <c r="BE27" s="250"/>
      <c r="BF27" s="250"/>
      <c r="BG27" s="286"/>
      <c r="BH27" s="263"/>
      <c r="BI27" s="261"/>
      <c r="BJ27" s="261"/>
      <c r="BK27" s="250"/>
      <c r="BL27" s="286"/>
      <c r="BM27" s="260"/>
      <c r="BN27" s="250"/>
      <c r="BO27" s="250"/>
      <c r="BP27" s="250"/>
      <c r="BQ27" s="286"/>
      <c r="BR27" s="260"/>
      <c r="BS27" s="250"/>
      <c r="BT27" s="250"/>
      <c r="BU27" s="250"/>
      <c r="BV27" s="250"/>
      <c r="BW27" s="286"/>
    </row>
    <row r="28" spans="1:75" ht="3.75" customHeight="1" thickBot="1" x14ac:dyDescent="0.3">
      <c r="B28" s="237"/>
      <c r="C28" s="238"/>
      <c r="D28" s="238"/>
      <c r="E28" s="240"/>
      <c r="F28" s="240"/>
      <c r="G28" s="240"/>
      <c r="H28" s="240"/>
      <c r="I28" s="238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  <c r="AB28" s="245"/>
      <c r="AC28" s="245"/>
      <c r="AD28" s="245"/>
      <c r="AE28" s="245"/>
      <c r="AF28" s="245"/>
      <c r="AG28" s="245"/>
      <c r="AH28" s="245"/>
      <c r="AI28" s="245"/>
      <c r="AJ28" s="245"/>
      <c r="AK28" s="245"/>
      <c r="AL28" s="245"/>
      <c r="AM28" s="245"/>
      <c r="AN28" s="245"/>
      <c r="AO28" s="245"/>
      <c r="AP28" s="245"/>
      <c r="AQ28" s="245"/>
      <c r="AR28" s="245"/>
      <c r="AS28" s="245"/>
      <c r="AT28" s="245"/>
      <c r="AU28" s="245"/>
      <c r="AV28" s="245"/>
      <c r="AW28" s="245"/>
      <c r="AX28" s="245"/>
      <c r="AY28" s="245"/>
      <c r="AZ28" s="245"/>
      <c r="BA28" s="245"/>
      <c r="BB28" s="245"/>
      <c r="BC28" s="245"/>
      <c r="BD28" s="245"/>
      <c r="BE28" s="245"/>
      <c r="BF28" s="245"/>
      <c r="BG28" s="245"/>
      <c r="BH28" s="245"/>
      <c r="BI28" s="245"/>
      <c r="BJ28" s="245"/>
      <c r="BK28" s="245"/>
      <c r="BL28" s="245"/>
      <c r="BM28" s="245"/>
      <c r="BN28" s="245"/>
      <c r="BO28" s="245"/>
      <c r="BP28" s="245"/>
      <c r="BQ28" s="245"/>
      <c r="BR28" s="245"/>
      <c r="BS28" s="245"/>
      <c r="BT28" s="245"/>
      <c r="BU28" s="245"/>
      <c r="BV28" s="245"/>
      <c r="BW28" s="245"/>
    </row>
    <row r="29" spans="1:75" x14ac:dyDescent="0.25">
      <c r="A29" s="265"/>
      <c r="B29" s="239" t="s">
        <v>563</v>
      </c>
      <c r="C29" s="239"/>
      <c r="D29" s="247"/>
      <c r="E29" s="247"/>
      <c r="F29" s="277"/>
      <c r="G29" s="277"/>
      <c r="H29" s="247"/>
      <c r="I29" s="248"/>
      <c r="J29" s="249"/>
      <c r="K29" s="250"/>
      <c r="L29" s="250"/>
      <c r="M29" s="250"/>
      <c r="N29" s="251"/>
      <c r="O29" s="260"/>
      <c r="P29" s="250"/>
      <c r="Q29" s="250"/>
      <c r="R29" s="250"/>
      <c r="S29" s="251"/>
      <c r="T29" s="260"/>
      <c r="U29" s="250"/>
      <c r="V29" s="250"/>
      <c r="W29" s="250"/>
      <c r="X29" s="251"/>
      <c r="Y29" s="260"/>
      <c r="Z29" s="250"/>
      <c r="AA29" s="250"/>
      <c r="AB29" s="250"/>
      <c r="AC29" s="251"/>
      <c r="AD29" s="260"/>
      <c r="AE29" s="252"/>
      <c r="AF29" s="252"/>
      <c r="AG29" s="250"/>
      <c r="AH29" s="251"/>
      <c r="AI29" s="260"/>
      <c r="AJ29" s="250"/>
      <c r="AK29" s="250"/>
      <c r="AL29" s="250"/>
      <c r="AM29" s="264"/>
      <c r="AN29" s="260"/>
      <c r="AO29" s="250"/>
      <c r="AP29" s="250"/>
      <c r="AQ29" s="250"/>
      <c r="AR29" s="251"/>
      <c r="AS29" s="260"/>
      <c r="AT29" s="250"/>
      <c r="AU29" s="250"/>
      <c r="AV29" s="250"/>
      <c r="AW29" s="254"/>
      <c r="AX29" s="260"/>
      <c r="AY29" s="250"/>
      <c r="AZ29" s="250"/>
      <c r="BA29" s="250"/>
      <c r="BB29" s="254"/>
      <c r="BC29" s="260"/>
      <c r="BD29" s="250"/>
      <c r="BE29" s="250"/>
      <c r="BF29" s="250"/>
      <c r="BG29" s="254"/>
      <c r="BH29" s="260"/>
      <c r="BI29" s="250"/>
      <c r="BJ29" s="250"/>
      <c r="BK29" s="250"/>
      <c r="BL29" s="254"/>
      <c r="BM29" s="260"/>
      <c r="BN29" s="250"/>
      <c r="BO29" s="250"/>
      <c r="BP29" s="250"/>
      <c r="BQ29" s="254"/>
      <c r="BR29" s="260"/>
      <c r="BS29" s="250"/>
      <c r="BT29" s="250"/>
      <c r="BU29" s="250"/>
      <c r="BV29" s="250"/>
      <c r="BW29" s="254"/>
    </row>
    <row r="30" spans="1:75" x14ac:dyDescent="0.25">
      <c r="B30" s="270" t="s">
        <v>756</v>
      </c>
      <c r="C30" s="266"/>
      <c r="D30" s="226"/>
      <c r="E30" s="267" t="s">
        <v>742</v>
      </c>
      <c r="F30" s="268"/>
      <c r="G30" s="277"/>
      <c r="H30" s="277"/>
      <c r="I30" s="248"/>
      <c r="J30" s="260"/>
      <c r="K30" s="250"/>
      <c r="L30" s="250"/>
      <c r="M30" s="250"/>
      <c r="N30" s="251"/>
      <c r="O30" s="260"/>
      <c r="P30" s="250"/>
      <c r="Q30" s="250"/>
      <c r="R30" s="250"/>
      <c r="S30" s="251"/>
      <c r="T30" s="260"/>
      <c r="U30" s="250"/>
      <c r="V30" s="250"/>
      <c r="W30" s="250"/>
      <c r="X30" s="251"/>
      <c r="Y30" s="260"/>
      <c r="Z30" s="250"/>
      <c r="AA30" s="250"/>
      <c r="AB30" s="250"/>
      <c r="AC30" s="251"/>
      <c r="AD30" s="260"/>
      <c r="AE30" s="252"/>
      <c r="AF30" s="252"/>
      <c r="AG30" s="261"/>
      <c r="AH30" s="262"/>
      <c r="AI30" s="260"/>
      <c r="AJ30" s="250"/>
      <c r="AK30" s="250"/>
      <c r="AL30" s="250"/>
      <c r="AM30" s="264"/>
      <c r="AN30" s="263"/>
      <c r="AO30" s="261"/>
      <c r="AP30" s="250"/>
      <c r="AQ30" s="250"/>
      <c r="AR30" s="251"/>
      <c r="AS30" s="260"/>
      <c r="AT30" s="250"/>
      <c r="AU30" s="250"/>
      <c r="AV30" s="250"/>
      <c r="AW30" s="254"/>
      <c r="AX30" s="260"/>
      <c r="AY30" s="250"/>
      <c r="AZ30" s="250"/>
      <c r="BA30" s="250"/>
      <c r="BB30" s="254"/>
      <c r="BC30" s="260"/>
      <c r="BD30" s="250"/>
      <c r="BE30" s="250"/>
      <c r="BF30" s="250"/>
      <c r="BG30" s="254"/>
      <c r="BH30" s="260"/>
      <c r="BI30" s="250"/>
      <c r="BJ30" s="250"/>
      <c r="BK30" s="250"/>
      <c r="BL30" s="254"/>
      <c r="BM30" s="260"/>
      <c r="BN30" s="250"/>
      <c r="BO30" s="250"/>
      <c r="BP30" s="250"/>
      <c r="BQ30" s="254"/>
      <c r="BR30" s="260"/>
      <c r="BS30" s="250"/>
      <c r="BT30" s="250"/>
      <c r="BU30" s="250"/>
      <c r="BV30" s="250"/>
      <c r="BW30" s="254"/>
    </row>
    <row r="31" spans="1:75" x14ac:dyDescent="0.25">
      <c r="B31" s="270" t="s">
        <v>757</v>
      </c>
      <c r="C31" s="266"/>
      <c r="D31" s="226"/>
      <c r="E31" s="267" t="s">
        <v>742</v>
      </c>
      <c r="F31" s="268"/>
      <c r="G31" s="277"/>
      <c r="H31" s="277"/>
      <c r="I31" s="248"/>
      <c r="J31" s="260"/>
      <c r="K31" s="250"/>
      <c r="L31" s="250"/>
      <c r="M31" s="250"/>
      <c r="N31" s="251"/>
      <c r="O31" s="260"/>
      <c r="P31" s="250"/>
      <c r="Q31" s="250"/>
      <c r="R31" s="250"/>
      <c r="S31" s="251"/>
      <c r="T31" s="260"/>
      <c r="U31" s="250"/>
      <c r="V31" s="250"/>
      <c r="W31" s="250"/>
      <c r="X31" s="251"/>
      <c r="Y31" s="260"/>
      <c r="Z31" s="250"/>
      <c r="AA31" s="250"/>
      <c r="AB31" s="250"/>
      <c r="AC31" s="251"/>
      <c r="AD31" s="260"/>
      <c r="AE31" s="252"/>
      <c r="AF31" s="252"/>
      <c r="AG31" s="250"/>
      <c r="AH31" s="262"/>
      <c r="AI31" s="263"/>
      <c r="AJ31" s="261"/>
      <c r="AK31" s="261"/>
      <c r="AL31" s="250"/>
      <c r="AM31" s="264"/>
      <c r="AN31" s="260"/>
      <c r="AO31" s="261"/>
      <c r="AP31" s="261"/>
      <c r="AQ31" s="250"/>
      <c r="AR31" s="251"/>
      <c r="AS31" s="260"/>
      <c r="AT31" s="250"/>
      <c r="AU31" s="250"/>
      <c r="AV31" s="250"/>
      <c r="AW31" s="254"/>
      <c r="AX31" s="260"/>
      <c r="AY31" s="250"/>
      <c r="AZ31" s="250"/>
      <c r="BA31" s="250"/>
      <c r="BB31" s="254"/>
      <c r="BC31" s="260"/>
      <c r="BD31" s="250"/>
      <c r="BE31" s="250"/>
      <c r="BF31" s="250"/>
      <c r="BG31" s="254"/>
      <c r="BH31" s="260"/>
      <c r="BI31" s="250"/>
      <c r="BJ31" s="250"/>
      <c r="BK31" s="250"/>
      <c r="BL31" s="254"/>
      <c r="BM31" s="260"/>
      <c r="BN31" s="250"/>
      <c r="BO31" s="250"/>
      <c r="BP31" s="250"/>
      <c r="BQ31" s="254"/>
      <c r="BR31" s="260"/>
      <c r="BS31" s="250"/>
      <c r="BT31" s="250"/>
      <c r="BU31" s="250"/>
      <c r="BV31" s="250"/>
      <c r="BW31" s="254"/>
    </row>
    <row r="32" spans="1:75" x14ac:dyDescent="0.25">
      <c r="B32" s="270" t="s">
        <v>758</v>
      </c>
      <c r="C32" s="266"/>
      <c r="D32" s="226"/>
      <c r="E32" s="267" t="s">
        <v>742</v>
      </c>
      <c r="F32" s="268"/>
      <c r="G32" s="277"/>
      <c r="H32" s="277"/>
      <c r="I32" s="248"/>
      <c r="J32" s="260"/>
      <c r="K32" s="250"/>
      <c r="L32" s="250"/>
      <c r="M32" s="250"/>
      <c r="N32" s="251"/>
      <c r="O32" s="260"/>
      <c r="P32" s="250"/>
      <c r="Q32" s="250"/>
      <c r="R32" s="250"/>
      <c r="S32" s="251"/>
      <c r="T32" s="260"/>
      <c r="U32" s="250"/>
      <c r="V32" s="250"/>
      <c r="W32" s="250"/>
      <c r="X32" s="251"/>
      <c r="Y32" s="260"/>
      <c r="Z32" s="250"/>
      <c r="AA32" s="250"/>
      <c r="AB32" s="250"/>
      <c r="AC32" s="251"/>
      <c r="AD32" s="260"/>
      <c r="AE32" s="252"/>
      <c r="AF32" s="252"/>
      <c r="AG32" s="250"/>
      <c r="AH32" s="251"/>
      <c r="AI32" s="260"/>
      <c r="AJ32" s="250"/>
      <c r="AK32" s="250"/>
      <c r="AL32" s="250"/>
      <c r="AM32" s="264"/>
      <c r="AN32" s="260"/>
      <c r="AO32" s="250"/>
      <c r="AP32" s="261"/>
      <c r="AQ32" s="261"/>
      <c r="AR32" s="262"/>
      <c r="AS32" s="263"/>
      <c r="AT32" s="250"/>
      <c r="AU32" s="250"/>
      <c r="AV32" s="250"/>
      <c r="AW32" s="254"/>
      <c r="AX32" s="260"/>
      <c r="AY32" s="250"/>
      <c r="AZ32" s="250"/>
      <c r="BA32" s="250"/>
      <c r="BB32" s="254"/>
      <c r="BC32" s="260"/>
      <c r="BD32" s="250"/>
      <c r="BE32" s="250"/>
      <c r="BF32" s="250"/>
      <c r="BG32" s="254"/>
      <c r="BH32" s="260"/>
      <c r="BI32" s="250"/>
      <c r="BJ32" s="250"/>
      <c r="BK32" s="250"/>
      <c r="BL32" s="254"/>
      <c r="BM32" s="260"/>
      <c r="BN32" s="250"/>
      <c r="BO32" s="250"/>
      <c r="BP32" s="250"/>
      <c r="BQ32" s="254"/>
      <c r="BR32" s="260"/>
      <c r="BS32" s="250"/>
      <c r="BT32" s="250"/>
      <c r="BU32" s="250"/>
      <c r="BV32" s="250"/>
      <c r="BW32" s="254"/>
    </row>
    <row r="33" spans="1:75" ht="15" thickBot="1" x14ac:dyDescent="0.3">
      <c r="A33" s="265"/>
      <c r="B33" s="270" t="s">
        <v>759</v>
      </c>
      <c r="C33" s="266"/>
      <c r="D33" s="226"/>
      <c r="E33" s="267" t="s">
        <v>742</v>
      </c>
      <c r="F33" s="268"/>
      <c r="G33" s="277"/>
      <c r="H33" s="277"/>
      <c r="I33" s="248"/>
      <c r="J33" s="260"/>
      <c r="K33" s="250"/>
      <c r="L33" s="250"/>
      <c r="M33" s="250"/>
      <c r="N33" s="251"/>
      <c r="O33" s="260"/>
      <c r="P33" s="250"/>
      <c r="Q33" s="250"/>
      <c r="R33" s="250"/>
      <c r="S33" s="251"/>
      <c r="T33" s="260"/>
      <c r="U33" s="250"/>
      <c r="V33" s="250"/>
      <c r="W33" s="250"/>
      <c r="X33" s="251"/>
      <c r="Y33" s="260"/>
      <c r="Z33" s="250"/>
      <c r="AA33" s="250"/>
      <c r="AB33" s="250"/>
      <c r="AC33" s="251"/>
      <c r="AD33" s="260"/>
      <c r="AE33" s="252"/>
      <c r="AF33" s="252"/>
      <c r="AG33" s="250"/>
      <c r="AH33" s="251"/>
      <c r="AI33" s="260"/>
      <c r="AJ33" s="250"/>
      <c r="AK33" s="250"/>
      <c r="AL33" s="250"/>
      <c r="AM33" s="264"/>
      <c r="AN33" s="260"/>
      <c r="AO33" s="250"/>
      <c r="AP33" s="250"/>
      <c r="AQ33" s="250"/>
      <c r="AR33" s="251"/>
      <c r="AS33" s="260"/>
      <c r="AT33" s="250"/>
      <c r="AU33" s="250"/>
      <c r="AV33" s="250"/>
      <c r="AW33" s="254"/>
      <c r="AX33" s="260"/>
      <c r="AY33" s="250"/>
      <c r="AZ33" s="250"/>
      <c r="BA33" s="261"/>
      <c r="BB33" s="278"/>
      <c r="BC33" s="260"/>
      <c r="BD33" s="250"/>
      <c r="BE33" s="250"/>
      <c r="BF33" s="250"/>
      <c r="BG33" s="254"/>
      <c r="BH33" s="260"/>
      <c r="BI33" s="250"/>
      <c r="BJ33" s="250"/>
      <c r="BK33" s="250"/>
      <c r="BL33" s="254"/>
      <c r="BM33" s="260"/>
      <c r="BN33" s="250"/>
      <c r="BO33" s="250"/>
      <c r="BP33" s="250"/>
      <c r="BQ33" s="254"/>
      <c r="BR33" s="260"/>
      <c r="BS33" s="250"/>
      <c r="BT33" s="250"/>
      <c r="BU33" s="250"/>
      <c r="BV33" s="250"/>
      <c r="BW33" s="254"/>
    </row>
    <row r="34" spans="1:75" ht="3.75" customHeight="1" thickBot="1" x14ac:dyDescent="0.3">
      <c r="B34" s="237"/>
      <c r="C34" s="238"/>
      <c r="D34" s="238"/>
      <c r="E34" s="240"/>
      <c r="F34" s="240"/>
      <c r="G34" s="240"/>
      <c r="H34" s="240"/>
      <c r="I34" s="238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  <c r="AD34" s="245"/>
      <c r="AE34" s="245"/>
      <c r="AF34" s="245"/>
      <c r="AG34" s="245"/>
      <c r="AH34" s="245"/>
      <c r="AI34" s="245"/>
      <c r="AJ34" s="245"/>
      <c r="AK34" s="245"/>
      <c r="AL34" s="245"/>
      <c r="AM34" s="245"/>
      <c r="AN34" s="245"/>
      <c r="AO34" s="245"/>
      <c r="AP34" s="245"/>
      <c r="AQ34" s="245"/>
      <c r="AR34" s="245"/>
      <c r="AS34" s="245"/>
      <c r="AT34" s="245"/>
      <c r="AU34" s="245"/>
      <c r="AV34" s="245"/>
      <c r="AW34" s="245"/>
      <c r="AX34" s="245"/>
      <c r="AY34" s="245"/>
      <c r="AZ34" s="245"/>
      <c r="BA34" s="245"/>
      <c r="BB34" s="245"/>
      <c r="BC34" s="245"/>
      <c r="BD34" s="245"/>
      <c r="BE34" s="245"/>
      <c r="BF34" s="245"/>
      <c r="BG34" s="245"/>
      <c r="BH34" s="245"/>
      <c r="BI34" s="245"/>
      <c r="BJ34" s="245"/>
      <c r="BK34" s="245"/>
      <c r="BL34" s="245"/>
      <c r="BM34" s="245"/>
      <c r="BN34" s="245"/>
      <c r="BO34" s="245"/>
      <c r="BP34" s="245"/>
      <c r="BQ34" s="245"/>
      <c r="BR34" s="245"/>
      <c r="BS34" s="245"/>
      <c r="BT34" s="245"/>
      <c r="BU34" s="245"/>
      <c r="BV34" s="245"/>
      <c r="BW34" s="245"/>
    </row>
    <row r="35" spans="1:75" x14ac:dyDescent="0.25">
      <c r="B35" s="239" t="s">
        <v>588</v>
      </c>
      <c r="C35" s="239"/>
      <c r="D35" s="247"/>
      <c r="E35" s="287"/>
      <c r="F35" s="277"/>
      <c r="G35" s="277"/>
      <c r="H35" s="247"/>
      <c r="I35" s="248"/>
      <c r="J35" s="249"/>
      <c r="K35" s="250"/>
      <c r="L35" s="250"/>
      <c r="M35" s="250"/>
      <c r="N35" s="251"/>
      <c r="O35" s="260"/>
      <c r="P35" s="250"/>
      <c r="Q35" s="250"/>
      <c r="R35" s="250"/>
      <c r="S35" s="251"/>
      <c r="T35" s="260"/>
      <c r="U35" s="250"/>
      <c r="V35" s="250"/>
      <c r="W35" s="250"/>
      <c r="X35" s="251"/>
      <c r="Y35" s="260"/>
      <c r="Z35" s="250"/>
      <c r="AA35" s="250"/>
      <c r="AB35" s="250"/>
      <c r="AC35" s="251"/>
      <c r="AD35" s="260"/>
      <c r="AE35" s="252"/>
      <c r="AF35" s="252"/>
      <c r="AG35" s="250"/>
      <c r="AH35" s="251"/>
      <c r="AI35" s="260"/>
      <c r="AJ35" s="250"/>
      <c r="AK35" s="250"/>
      <c r="AL35" s="250"/>
      <c r="AM35" s="264"/>
      <c r="AN35" s="260"/>
      <c r="AO35" s="250"/>
      <c r="AP35" s="250"/>
      <c r="AQ35" s="250"/>
      <c r="AR35" s="251"/>
      <c r="AS35" s="260"/>
      <c r="AT35" s="250"/>
      <c r="AU35" s="250"/>
      <c r="AV35" s="250"/>
      <c r="AW35" s="254"/>
      <c r="AX35" s="260"/>
      <c r="AY35" s="250"/>
      <c r="AZ35" s="250"/>
      <c r="BA35" s="250"/>
      <c r="BB35" s="254"/>
      <c r="BC35" s="260"/>
      <c r="BD35" s="250"/>
      <c r="BE35" s="250"/>
      <c r="BF35" s="250"/>
      <c r="BG35" s="254"/>
      <c r="BH35" s="260"/>
      <c r="BI35" s="250"/>
      <c r="BJ35" s="250"/>
      <c r="BK35" s="250"/>
      <c r="BL35" s="254"/>
      <c r="BM35" s="260"/>
      <c r="BN35" s="250"/>
      <c r="BO35" s="250"/>
      <c r="BP35" s="250"/>
      <c r="BQ35" s="254"/>
      <c r="BR35" s="260"/>
      <c r="BS35" s="250"/>
      <c r="BT35" s="250"/>
      <c r="BU35" s="250"/>
      <c r="BV35" s="250"/>
      <c r="BW35" s="254"/>
    </row>
    <row r="36" spans="1:75" x14ac:dyDescent="0.25">
      <c r="B36" s="255" t="s">
        <v>760</v>
      </c>
      <c r="C36" s="256"/>
      <c r="D36" s="226"/>
      <c r="E36" s="258" t="s">
        <v>742</v>
      </c>
      <c r="F36" s="259"/>
      <c r="G36" s="259"/>
      <c r="H36" s="259"/>
      <c r="I36" s="248"/>
      <c r="J36" s="260"/>
      <c r="K36" s="250"/>
      <c r="L36" s="250"/>
      <c r="M36" s="250"/>
      <c r="N36" s="251"/>
      <c r="O36" s="260"/>
      <c r="P36" s="250"/>
      <c r="Q36" s="250"/>
      <c r="R36" s="250"/>
      <c r="S36" s="251"/>
      <c r="T36" s="263"/>
      <c r="U36" s="261"/>
      <c r="V36" s="261"/>
      <c r="W36" s="261"/>
      <c r="X36" s="262"/>
      <c r="Y36" s="263"/>
      <c r="Z36" s="288" t="s">
        <v>761</v>
      </c>
      <c r="AA36" s="250"/>
      <c r="AB36" s="250"/>
      <c r="AC36" s="251"/>
      <c r="AD36" s="260"/>
      <c r="AE36" s="252"/>
      <c r="AF36" s="252"/>
      <c r="AG36" s="250"/>
      <c r="AH36" s="251"/>
      <c r="AI36" s="260"/>
      <c r="AJ36" s="250"/>
      <c r="AK36" s="250"/>
      <c r="AL36" s="250"/>
      <c r="AM36" s="264"/>
      <c r="AN36" s="260"/>
      <c r="AO36" s="250"/>
      <c r="AP36" s="250"/>
      <c r="AQ36" s="250"/>
      <c r="AR36" s="251"/>
      <c r="AS36" s="260"/>
      <c r="AT36" s="250"/>
      <c r="AU36" s="250"/>
      <c r="AV36" s="250"/>
      <c r="AW36" s="254"/>
      <c r="AX36" s="260"/>
      <c r="AY36" s="250"/>
      <c r="AZ36" s="250"/>
      <c r="BA36" s="250"/>
      <c r="BB36" s="254"/>
      <c r="BC36" s="260"/>
      <c r="BD36" s="250"/>
      <c r="BE36" s="250"/>
      <c r="BF36" s="250"/>
      <c r="BG36" s="254"/>
      <c r="BH36" s="260"/>
      <c r="BI36" s="250"/>
      <c r="BJ36" s="250"/>
      <c r="BK36" s="250"/>
      <c r="BL36" s="254"/>
      <c r="BM36" s="260"/>
      <c r="BN36" s="250"/>
      <c r="BO36" s="250"/>
      <c r="BP36" s="250"/>
      <c r="BQ36" s="254"/>
      <c r="BR36" s="260"/>
      <c r="BS36" s="250"/>
      <c r="BT36" s="250"/>
      <c r="BU36" s="250"/>
      <c r="BV36" s="250"/>
      <c r="BW36" s="254"/>
    </row>
    <row r="37" spans="1:75" x14ac:dyDescent="0.25">
      <c r="B37" s="228" t="s">
        <v>762</v>
      </c>
      <c r="C37" s="266"/>
      <c r="D37" s="226"/>
      <c r="E37" s="267" t="s">
        <v>742</v>
      </c>
      <c r="F37" s="268"/>
      <c r="G37" s="268"/>
      <c r="H37" s="268"/>
      <c r="I37" s="248"/>
      <c r="J37" s="260"/>
      <c r="K37" s="250"/>
      <c r="L37" s="250"/>
      <c r="M37" s="250"/>
      <c r="N37" s="251"/>
      <c r="O37" s="260"/>
      <c r="P37" s="250"/>
      <c r="Q37" s="250"/>
      <c r="R37" s="250"/>
      <c r="S37" s="251"/>
      <c r="T37" s="260"/>
      <c r="U37" s="250"/>
      <c r="V37" s="250"/>
      <c r="W37" s="250"/>
      <c r="X37" s="262"/>
      <c r="Y37" s="289"/>
      <c r="Z37" s="261"/>
      <c r="AA37" s="261"/>
      <c r="AB37" s="261"/>
      <c r="AC37" s="251"/>
      <c r="AD37" s="290"/>
      <c r="AE37" s="252"/>
      <c r="AF37" s="252"/>
      <c r="AG37" s="288" t="s">
        <v>761</v>
      </c>
      <c r="AH37" s="251"/>
      <c r="AI37" s="260"/>
      <c r="AJ37" s="250"/>
      <c r="AK37" s="250"/>
      <c r="AL37" s="250"/>
      <c r="AM37" s="264"/>
      <c r="AN37" s="260"/>
      <c r="AO37" s="250"/>
      <c r="AP37" s="250"/>
      <c r="AQ37" s="250"/>
      <c r="AR37" s="251"/>
      <c r="AS37" s="260"/>
      <c r="AT37" s="250"/>
      <c r="AU37" s="250"/>
      <c r="AV37" s="250"/>
      <c r="AW37" s="254"/>
      <c r="AX37" s="260"/>
      <c r="AY37" s="250"/>
      <c r="AZ37" s="250"/>
      <c r="BA37" s="250"/>
      <c r="BB37" s="254"/>
      <c r="BC37" s="260"/>
      <c r="BD37" s="250"/>
      <c r="BE37" s="250"/>
      <c r="BF37" s="250"/>
      <c r="BG37" s="254"/>
      <c r="BH37" s="260"/>
      <c r="BI37" s="250"/>
      <c r="BJ37" s="250"/>
      <c r="BK37" s="250"/>
      <c r="BL37" s="254"/>
      <c r="BM37" s="260"/>
      <c r="BN37" s="250"/>
      <c r="BO37" s="250"/>
      <c r="BP37" s="250"/>
      <c r="BQ37" s="254"/>
      <c r="BR37" s="260"/>
      <c r="BS37" s="250"/>
      <c r="BT37" s="250"/>
      <c r="BU37" s="250"/>
      <c r="BV37" s="250"/>
      <c r="BW37" s="254"/>
    </row>
    <row r="38" spans="1:75" x14ac:dyDescent="0.25">
      <c r="A38" s="265"/>
      <c r="B38" s="228" t="s">
        <v>763</v>
      </c>
      <c r="C38" s="266"/>
      <c r="D38" s="226"/>
      <c r="E38" s="267" t="s">
        <v>742</v>
      </c>
      <c r="F38" s="268"/>
      <c r="G38" s="268"/>
      <c r="H38" s="268"/>
      <c r="I38" s="248"/>
      <c r="J38" s="260"/>
      <c r="K38" s="250"/>
      <c r="L38" s="250"/>
      <c r="M38" s="250"/>
      <c r="N38" s="251"/>
      <c r="O38" s="260"/>
      <c r="P38" s="250"/>
      <c r="Q38" s="250"/>
      <c r="R38" s="250"/>
      <c r="S38" s="251"/>
      <c r="T38" s="260"/>
      <c r="U38" s="250"/>
      <c r="V38" s="250"/>
      <c r="W38" s="250"/>
      <c r="X38" s="251"/>
      <c r="Y38" s="290"/>
      <c r="Z38" s="250"/>
      <c r="AA38" s="250"/>
      <c r="AB38" s="250"/>
      <c r="AC38" s="251"/>
      <c r="AD38" s="290"/>
      <c r="AE38" s="252"/>
      <c r="AF38" s="252"/>
      <c r="AG38" s="288"/>
      <c r="AH38" s="251"/>
      <c r="AI38" s="260"/>
      <c r="AJ38" s="250"/>
      <c r="AK38" s="250"/>
      <c r="AL38" s="250"/>
      <c r="AM38" s="264"/>
      <c r="AN38" s="260"/>
      <c r="AO38" s="250"/>
      <c r="AP38" s="250"/>
      <c r="AQ38" s="261"/>
      <c r="AR38" s="262"/>
      <c r="AS38" s="263"/>
      <c r="AT38" s="250"/>
      <c r="AU38" s="288"/>
      <c r="AV38" s="288"/>
      <c r="AW38" s="291" t="s">
        <v>761</v>
      </c>
      <c r="AX38" s="260"/>
      <c r="AY38" s="250"/>
      <c r="AZ38" s="250"/>
      <c r="BA38" s="250"/>
      <c r="BB38" s="254"/>
      <c r="BC38" s="260"/>
      <c r="BD38" s="250"/>
      <c r="BE38" s="250"/>
      <c r="BF38" s="250"/>
      <c r="BG38" s="254"/>
      <c r="BH38" s="260"/>
      <c r="BI38" s="250"/>
      <c r="BJ38" s="250"/>
      <c r="BK38" s="250"/>
      <c r="BL38" s="254"/>
      <c r="BM38" s="260"/>
      <c r="BN38" s="250"/>
      <c r="BO38" s="250"/>
      <c r="BP38" s="250"/>
      <c r="BQ38" s="254"/>
      <c r="BR38" s="260"/>
      <c r="BS38" s="250"/>
      <c r="BT38" s="250"/>
      <c r="BU38" s="250"/>
      <c r="BV38" s="250"/>
      <c r="BW38" s="254"/>
    </row>
    <row r="39" spans="1:75" ht="15" thickBot="1" x14ac:dyDescent="0.3">
      <c r="B39" s="228" t="s">
        <v>764</v>
      </c>
      <c r="C39" s="266"/>
      <c r="D39" s="226"/>
      <c r="E39" s="267" t="s">
        <v>742</v>
      </c>
      <c r="F39" s="268"/>
      <c r="G39" s="268"/>
      <c r="H39" s="268"/>
      <c r="I39" s="248"/>
      <c r="J39" s="260"/>
      <c r="K39" s="250"/>
      <c r="L39" s="250"/>
      <c r="M39" s="250"/>
      <c r="N39" s="251"/>
      <c r="O39" s="260"/>
      <c r="P39" s="250"/>
      <c r="Q39" s="250"/>
      <c r="R39" s="250"/>
      <c r="S39" s="251"/>
      <c r="T39" s="260"/>
      <c r="U39" s="250"/>
      <c r="V39" s="250"/>
      <c r="W39" s="250"/>
      <c r="X39" s="251"/>
      <c r="Y39" s="290"/>
      <c r="Z39" s="250"/>
      <c r="AA39" s="250"/>
      <c r="AB39" s="250"/>
      <c r="AC39" s="251"/>
      <c r="AD39" s="290"/>
      <c r="AE39" s="252"/>
      <c r="AF39" s="252"/>
      <c r="AG39" s="250"/>
      <c r="AH39" s="251"/>
      <c r="AI39" s="260"/>
      <c r="AJ39" s="250"/>
      <c r="AK39" s="250"/>
      <c r="AL39" s="250"/>
      <c r="AM39" s="264"/>
      <c r="AN39" s="260"/>
      <c r="AO39" s="250"/>
      <c r="AP39" s="250"/>
      <c r="AQ39" s="250"/>
      <c r="AR39" s="251"/>
      <c r="AS39" s="260"/>
      <c r="AT39" s="250"/>
      <c r="AU39" s="250"/>
      <c r="AV39" s="250"/>
      <c r="AW39" s="254"/>
      <c r="AX39" s="260"/>
      <c r="AY39" s="250"/>
      <c r="AZ39" s="261"/>
      <c r="BA39" s="261"/>
      <c r="BB39" s="278"/>
      <c r="BC39" s="263"/>
      <c r="BD39" s="261"/>
      <c r="BE39" s="261"/>
      <c r="BF39" s="250"/>
      <c r="BG39" s="254"/>
      <c r="BH39" s="260"/>
      <c r="BI39" s="250"/>
      <c r="BJ39" s="250"/>
      <c r="BK39" s="261"/>
      <c r="BL39" s="278"/>
      <c r="BM39" s="263"/>
      <c r="BN39" s="292"/>
      <c r="BO39" s="261"/>
      <c r="BP39" s="261"/>
      <c r="BQ39" s="278"/>
      <c r="BR39" s="288" t="s">
        <v>761</v>
      </c>
      <c r="BS39" s="288"/>
      <c r="BT39" s="250"/>
      <c r="BU39" s="250"/>
      <c r="BV39" s="250"/>
      <c r="BW39" s="254"/>
    </row>
    <row r="40" spans="1:75" ht="3.75" customHeight="1" thickBot="1" x14ac:dyDescent="0.3">
      <c r="B40" s="237"/>
      <c r="C40" s="238"/>
      <c r="D40" s="238"/>
      <c r="E40" s="240"/>
      <c r="F40" s="240"/>
      <c r="G40" s="240"/>
      <c r="H40" s="240"/>
      <c r="I40" s="238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  <c r="AD40" s="245"/>
      <c r="AE40" s="245"/>
      <c r="AF40" s="245"/>
      <c r="AG40" s="245"/>
      <c r="AH40" s="245"/>
      <c r="AI40" s="245"/>
      <c r="AJ40" s="245"/>
      <c r="AK40" s="245"/>
      <c r="AL40" s="245"/>
      <c r="AM40" s="245"/>
      <c r="AN40" s="245"/>
      <c r="AO40" s="245"/>
      <c r="AP40" s="245"/>
      <c r="AQ40" s="245"/>
      <c r="AR40" s="245"/>
      <c r="AS40" s="245"/>
      <c r="AT40" s="245"/>
      <c r="AU40" s="245"/>
      <c r="AV40" s="245"/>
      <c r="AW40" s="245"/>
      <c r="AX40" s="245"/>
      <c r="AY40" s="245"/>
      <c r="AZ40" s="245"/>
      <c r="BA40" s="245"/>
      <c r="BB40" s="245"/>
      <c r="BC40" s="245"/>
      <c r="BD40" s="245"/>
      <c r="BE40" s="245"/>
      <c r="BF40" s="245"/>
      <c r="BG40" s="245"/>
      <c r="BH40" s="245"/>
      <c r="BI40" s="245"/>
      <c r="BJ40" s="245"/>
      <c r="BK40" s="245"/>
      <c r="BL40" s="245"/>
      <c r="BM40" s="245"/>
      <c r="BN40" s="245"/>
      <c r="BO40" s="245"/>
      <c r="BP40" s="245"/>
      <c r="BQ40" s="245"/>
      <c r="BR40" s="245"/>
      <c r="BS40" s="245"/>
      <c r="BT40" s="245"/>
      <c r="BU40" s="245"/>
      <c r="BV40" s="245"/>
      <c r="BW40" s="245"/>
    </row>
    <row r="41" spans="1:75" x14ac:dyDescent="0.25">
      <c r="A41" s="265"/>
      <c r="B41" s="239" t="s">
        <v>605</v>
      </c>
      <c r="C41" s="239" t="s">
        <v>775</v>
      </c>
      <c r="D41" s="247"/>
      <c r="E41" s="287"/>
      <c r="F41" s="277"/>
      <c r="G41" s="277"/>
      <c r="H41" s="247"/>
      <c r="I41" s="248"/>
      <c r="J41" s="249"/>
      <c r="K41" s="250"/>
      <c r="L41" s="250"/>
      <c r="M41" s="250"/>
      <c r="N41" s="251"/>
      <c r="O41" s="260"/>
      <c r="P41" s="250"/>
      <c r="Q41" s="250"/>
      <c r="R41" s="250"/>
      <c r="S41" s="251"/>
      <c r="T41" s="260"/>
      <c r="U41" s="250"/>
      <c r="V41" s="250"/>
      <c r="W41" s="250"/>
      <c r="X41" s="251"/>
      <c r="Y41" s="260"/>
      <c r="Z41" s="250"/>
      <c r="AA41" s="250"/>
      <c r="AB41" s="250"/>
      <c r="AC41" s="251"/>
      <c r="AD41" s="260"/>
      <c r="AE41" s="252"/>
      <c r="AF41" s="252"/>
      <c r="AG41" s="250"/>
      <c r="AH41" s="251"/>
      <c r="AI41" s="260"/>
      <c r="AJ41" s="250"/>
      <c r="AK41" s="250"/>
      <c r="AL41" s="250"/>
      <c r="AM41" s="264"/>
      <c r="AN41" s="260"/>
      <c r="AO41" s="250"/>
      <c r="AP41" s="250"/>
      <c r="AQ41" s="250"/>
      <c r="AR41" s="251"/>
      <c r="AS41" s="260"/>
      <c r="AT41" s="250"/>
      <c r="AU41" s="250"/>
      <c r="AV41" s="250"/>
      <c r="AW41" s="254"/>
      <c r="AX41" s="260"/>
      <c r="AY41" s="250"/>
      <c r="AZ41" s="250"/>
      <c r="BA41" s="250"/>
      <c r="BB41" s="254"/>
      <c r="BC41" s="260"/>
      <c r="BD41" s="250"/>
      <c r="BE41" s="250"/>
      <c r="BF41" s="250"/>
      <c r="BG41" s="254"/>
      <c r="BH41" s="260"/>
      <c r="BI41" s="250"/>
      <c r="BJ41" s="250"/>
      <c r="BK41" s="250"/>
      <c r="BL41" s="254"/>
      <c r="BM41" s="260"/>
      <c r="BN41" s="250"/>
      <c r="BO41" s="250"/>
      <c r="BP41" s="250"/>
      <c r="BQ41" s="254"/>
      <c r="BR41" s="260"/>
      <c r="BS41" s="250"/>
      <c r="BT41" s="250"/>
      <c r="BU41" s="250"/>
      <c r="BV41" s="250"/>
      <c r="BW41" s="254"/>
    </row>
    <row r="42" spans="1:75" x14ac:dyDescent="0.25">
      <c r="B42" s="228" t="s">
        <v>765</v>
      </c>
      <c r="C42" s="266" t="s">
        <v>778</v>
      </c>
      <c r="D42" s="226"/>
      <c r="E42" s="293" t="s">
        <v>742</v>
      </c>
      <c r="F42" s="268"/>
      <c r="G42" s="268"/>
      <c r="H42" s="268"/>
      <c r="I42" s="248"/>
      <c r="J42" s="260"/>
      <c r="K42" s="250"/>
      <c r="L42" s="250"/>
      <c r="M42" s="250"/>
      <c r="N42" s="251"/>
      <c r="O42" s="260"/>
      <c r="P42" s="250"/>
      <c r="Q42" s="250"/>
      <c r="R42" s="250"/>
      <c r="S42" s="251"/>
      <c r="T42" s="260"/>
      <c r="U42" s="250"/>
      <c r="V42" s="250"/>
      <c r="W42" s="250"/>
      <c r="X42" s="251"/>
      <c r="Y42" s="290"/>
      <c r="Z42" s="250"/>
      <c r="AA42" s="250"/>
      <c r="AB42" s="250"/>
      <c r="AC42" s="251"/>
      <c r="AD42" s="290"/>
      <c r="AE42" s="252"/>
      <c r="AF42" s="252"/>
      <c r="AG42" s="250"/>
      <c r="AH42" s="251"/>
      <c r="AI42" s="260"/>
      <c r="AJ42" s="250"/>
      <c r="AK42" s="250"/>
      <c r="AL42" s="250"/>
      <c r="AM42" s="264"/>
      <c r="AN42" s="260"/>
      <c r="AO42" s="250"/>
      <c r="AP42" s="250"/>
      <c r="AQ42" s="250"/>
      <c r="AR42" s="251"/>
      <c r="AS42" s="260"/>
      <c r="AT42" s="250"/>
      <c r="AU42" s="250"/>
      <c r="AV42" s="250"/>
      <c r="AW42" s="254"/>
      <c r="AX42" s="260"/>
      <c r="AY42" s="250"/>
      <c r="AZ42" s="250"/>
      <c r="BA42" s="250"/>
      <c r="BB42" s="254"/>
      <c r="BC42" s="260"/>
      <c r="BD42" s="250"/>
      <c r="BE42" s="250"/>
      <c r="BF42" s="250"/>
      <c r="BG42" s="254"/>
      <c r="BH42" s="260"/>
      <c r="BI42" s="250"/>
      <c r="BJ42" s="250"/>
      <c r="BK42" s="250"/>
      <c r="BL42" s="254"/>
      <c r="BM42" s="260"/>
      <c r="BN42" s="250"/>
      <c r="BO42" s="250"/>
      <c r="BP42" s="250"/>
      <c r="BQ42" s="254"/>
      <c r="BR42" s="292"/>
      <c r="BS42" s="292"/>
      <c r="BT42" s="261"/>
      <c r="BU42" s="261"/>
      <c r="BV42" s="261"/>
      <c r="BW42" s="278"/>
    </row>
    <row r="43" spans="1:75" ht="15" thickBot="1" x14ac:dyDescent="0.3">
      <c r="B43" s="255" t="s">
        <v>777</v>
      </c>
      <c r="C43" s="266" t="s">
        <v>776</v>
      </c>
      <c r="D43" s="257"/>
      <c r="E43" s="295"/>
      <c r="F43" s="259"/>
      <c r="G43" s="259"/>
      <c r="H43" s="259"/>
      <c r="I43" s="248"/>
      <c r="Y43" s="296"/>
      <c r="AD43" s="296"/>
      <c r="AM43" s="281"/>
      <c r="BR43" s="297"/>
      <c r="BS43" s="297"/>
      <c r="BT43" s="298"/>
      <c r="BU43" s="298"/>
      <c r="BV43" s="298"/>
      <c r="BW43" s="298"/>
    </row>
    <row r="44" spans="1:75" ht="3.75" customHeight="1" thickBot="1" x14ac:dyDescent="0.3">
      <c r="B44" s="237"/>
      <c r="C44" s="238"/>
      <c r="D44" s="238"/>
      <c r="E44" s="240"/>
      <c r="F44" s="240"/>
      <c r="G44" s="240"/>
      <c r="H44" s="240"/>
      <c r="I44" s="238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  <c r="AE44" s="245"/>
      <c r="AF44" s="245"/>
      <c r="AG44" s="245"/>
      <c r="AH44" s="245"/>
      <c r="AI44" s="245"/>
      <c r="AJ44" s="245"/>
      <c r="AK44" s="245"/>
      <c r="AL44" s="245"/>
      <c r="AM44" s="245"/>
      <c r="AN44" s="245"/>
      <c r="AO44" s="245"/>
      <c r="AP44" s="245"/>
      <c r="AQ44" s="245"/>
      <c r="AR44" s="245"/>
      <c r="AS44" s="245"/>
      <c r="AT44" s="245"/>
      <c r="AU44" s="245"/>
      <c r="AV44" s="245"/>
      <c r="AW44" s="245"/>
      <c r="AX44" s="245"/>
      <c r="AY44" s="245"/>
      <c r="AZ44" s="245"/>
      <c r="BA44" s="245"/>
      <c r="BB44" s="245"/>
      <c r="BC44" s="245"/>
      <c r="BD44" s="245"/>
      <c r="BE44" s="245"/>
      <c r="BF44" s="245"/>
      <c r="BG44" s="245"/>
      <c r="BH44" s="245"/>
      <c r="BI44" s="245"/>
      <c r="BJ44" s="245"/>
      <c r="BK44" s="245"/>
      <c r="BL44" s="245"/>
      <c r="BM44" s="245"/>
      <c r="BN44" s="245"/>
      <c r="BO44" s="245"/>
      <c r="BP44" s="245"/>
      <c r="BQ44" s="245"/>
      <c r="BR44" s="245"/>
      <c r="BS44" s="245"/>
      <c r="BT44" s="245"/>
      <c r="BU44" s="245"/>
      <c r="BV44" s="245"/>
      <c r="BW44" s="245"/>
    </row>
    <row r="46" spans="1:75" x14ac:dyDescent="0.25">
      <c r="B46" s="241" t="s">
        <v>766</v>
      </c>
    </row>
    <row r="47" spans="1:75" ht="6.9" customHeight="1" x14ac:dyDescent="0.25">
      <c r="B47" s="225"/>
    </row>
    <row r="48" spans="1:75" x14ac:dyDescent="0.25">
      <c r="B48" s="294"/>
      <c r="C48" s="242" t="s">
        <v>767</v>
      </c>
    </row>
    <row r="49" spans="2:3" ht="6.9" customHeight="1" x14ac:dyDescent="0.25"/>
    <row r="50" spans="2:3" ht="15.6" x14ac:dyDescent="0.25">
      <c r="B50" s="229" t="s">
        <v>742</v>
      </c>
      <c r="C50" s="174" t="s">
        <v>523</v>
      </c>
    </row>
    <row r="51" spans="2:3" ht="15.6" x14ac:dyDescent="0.25">
      <c r="B51" s="230" t="s">
        <v>742</v>
      </c>
      <c r="C51" s="174" t="s">
        <v>768</v>
      </c>
    </row>
    <row r="52" spans="2:3" ht="15.6" x14ac:dyDescent="0.25">
      <c r="B52" s="231" t="s">
        <v>742</v>
      </c>
      <c r="C52" s="174" t="s">
        <v>769</v>
      </c>
    </row>
    <row r="53" spans="2:3" x14ac:dyDescent="0.25">
      <c r="B53" s="232" t="s">
        <v>761</v>
      </c>
      <c r="C53" s="174" t="s">
        <v>770</v>
      </c>
    </row>
  </sheetData>
  <mergeCells count="14">
    <mergeCell ref="AD8:AH8"/>
    <mergeCell ref="F8:G8"/>
    <mergeCell ref="J8:N8"/>
    <mergeCell ref="O8:S8"/>
    <mergeCell ref="T8:X8"/>
    <mergeCell ref="Y8:AC8"/>
    <mergeCell ref="BM8:BQ8"/>
    <mergeCell ref="BR8:BW8"/>
    <mergeCell ref="AI8:AM8"/>
    <mergeCell ref="AN8:AR8"/>
    <mergeCell ref="AS8:AW8"/>
    <mergeCell ref="AX8:BB8"/>
    <mergeCell ref="BC8:BG8"/>
    <mergeCell ref="BH8:BL8"/>
  </mergeCells>
  <conditionalFormatting sqref="D10:E10">
    <cfRule type="iconSet" priority="25">
      <iconSet>
        <cfvo type="percent" val="0"/>
        <cfvo type="percent" val="0" gte="0"/>
        <cfvo type="percent" val="100"/>
      </iconSet>
    </cfRule>
  </conditionalFormatting>
  <conditionalFormatting sqref="F10:I10">
    <cfRule type="iconSet" priority="24">
      <iconSet>
        <cfvo type="percent" val="0"/>
        <cfvo type="percent" val="0" gte="0"/>
        <cfvo type="percent" val="100"/>
      </iconSet>
    </cfRule>
  </conditionalFormatting>
  <conditionalFormatting sqref="F20:I20">
    <cfRule type="iconSet" priority="19">
      <iconSet>
        <cfvo type="percent" val="0"/>
        <cfvo type="percent" val="0" gte="0"/>
        <cfvo type="percent" val="100"/>
      </iconSet>
    </cfRule>
  </conditionalFormatting>
  <conditionalFormatting sqref="F28:I28">
    <cfRule type="iconSet" priority="16">
      <iconSet>
        <cfvo type="percent" val="0"/>
        <cfvo type="percent" val="0" gte="0"/>
        <cfvo type="percent" val="100"/>
      </iconSet>
    </cfRule>
  </conditionalFormatting>
  <conditionalFormatting sqref="F34:I34">
    <cfRule type="iconSet" priority="12">
      <iconSet>
        <cfvo type="percent" val="0"/>
        <cfvo type="percent" val="0" gte="0"/>
        <cfvo type="percent" val="100"/>
      </iconSet>
    </cfRule>
  </conditionalFormatting>
  <conditionalFormatting sqref="F40:I40">
    <cfRule type="iconSet" priority="14">
      <iconSet>
        <cfvo type="percent" val="0"/>
        <cfvo type="percent" val="0" gte="0"/>
        <cfvo type="percent" val="100"/>
      </iconSet>
    </cfRule>
  </conditionalFormatting>
  <conditionalFormatting sqref="F44:I44">
    <cfRule type="iconSet" priority="1">
      <iconSet>
        <cfvo type="percent" val="0"/>
        <cfvo type="percent" val="0" gte="0"/>
        <cfvo type="percent" val="100"/>
      </iconSet>
    </cfRule>
  </conditionalFormatting>
  <conditionalFormatting sqref="I4">
    <cfRule type="cellIs" dxfId="108" priority="20" operator="equal">
      <formula>"Em Análise"</formula>
    </cfRule>
    <cfRule type="cellIs" dxfId="107" priority="21" operator="equal">
      <formula>"OK"</formula>
    </cfRule>
    <cfRule type="cellIs" dxfId="106" priority="22" operator="equal">
      <formula>"NOK"</formula>
    </cfRule>
  </conditionalFormatting>
  <conditionalFormatting sqref="I11">
    <cfRule type="iconSet" priority="23">
      <iconSet>
        <cfvo type="percent" val="0"/>
        <cfvo type="percent" val="0" gte="0"/>
        <cfvo type="percent" val="100"/>
      </iconSet>
    </cfRule>
  </conditionalFormatting>
  <conditionalFormatting sqref="I21">
    <cfRule type="iconSet" priority="18">
      <iconSet>
        <cfvo type="percent" val="0"/>
        <cfvo type="percent" val="0" gte="0"/>
        <cfvo type="percent" val="100"/>
      </iconSet>
    </cfRule>
  </conditionalFormatting>
  <conditionalFormatting sqref="I22:I27 I12:I19">
    <cfRule type="iconSet" priority="26">
      <iconSet>
        <cfvo type="percent" val="0"/>
        <cfvo type="percent" val="0" gte="0"/>
        <cfvo type="percent" val="100"/>
      </iconSet>
    </cfRule>
  </conditionalFormatting>
  <conditionalFormatting sqref="I29">
    <cfRule type="iconSet" priority="13">
      <iconSet>
        <cfvo type="percent" val="0"/>
        <cfvo type="percent" val="0" gte="0"/>
        <cfvo type="percent" val="100"/>
      </iconSet>
    </cfRule>
  </conditionalFormatting>
  <conditionalFormatting sqref="I30:I33">
    <cfRule type="iconSet" priority="4">
      <iconSet>
        <cfvo type="percent" val="0"/>
        <cfvo type="percent" val="0" gte="0"/>
        <cfvo type="percent" val="100"/>
      </iconSet>
    </cfRule>
  </conditionalFormatting>
  <conditionalFormatting sqref="I35">
    <cfRule type="iconSet" priority="15">
      <iconSet>
        <cfvo type="percent" val="0"/>
        <cfvo type="percent" val="0" gte="0"/>
        <cfvo type="percent" val="100"/>
      </iconSet>
    </cfRule>
  </conditionalFormatting>
  <conditionalFormatting sqref="I36:I39">
    <cfRule type="iconSet" priority="11">
      <iconSet>
        <cfvo type="percent" val="0"/>
        <cfvo type="percent" val="0" gte="0"/>
        <cfvo type="percent" val="100"/>
      </iconSet>
    </cfRule>
  </conditionalFormatting>
  <conditionalFormatting sqref="I41">
    <cfRule type="iconSet" priority="3">
      <iconSet>
        <cfvo type="percent" val="0"/>
        <cfvo type="percent" val="0" gte="0"/>
        <cfvo type="percent" val="100"/>
      </iconSet>
    </cfRule>
  </conditionalFormatting>
  <conditionalFormatting sqref="I42:I43">
    <cfRule type="iconSet" priority="2">
      <iconSet>
        <cfvo type="percent" val="0"/>
        <cfvo type="percent" val="0" gte="0"/>
        <cfvo type="percent" val="100"/>
      </iconSet>
    </cfRule>
  </conditionalFormatting>
  <conditionalFormatting sqref="J45:BW49">
    <cfRule type="cellIs" dxfId="105" priority="6" operator="equal">
      <formula>1</formula>
    </cfRule>
  </conditionalFormatting>
  <conditionalFormatting sqref="AN17:AV19">
    <cfRule type="containsText" dxfId="104" priority="17" operator="containsText" text="X">
      <formula>NOT(ISERROR(SEARCH("X",AN17)))</formula>
    </cfRule>
  </conditionalFormatting>
  <conditionalFormatting sqref="AX17:BA19">
    <cfRule type="containsText" dxfId="103" priority="10" operator="containsText" text="X">
      <formula>NOT(ISERROR(SEARCH("X",AX17)))</formula>
    </cfRule>
  </conditionalFormatting>
  <conditionalFormatting sqref="BC17:BF19">
    <cfRule type="containsText" dxfId="102" priority="9" operator="containsText" text="X">
      <formula>NOT(ISERROR(SEARCH("X",BC17)))</formula>
    </cfRule>
  </conditionalFormatting>
  <conditionalFormatting sqref="BH17:BK19">
    <cfRule type="containsText" dxfId="101" priority="8" operator="containsText" text="X">
      <formula>NOT(ISERROR(SEARCH("X",BH17)))</formula>
    </cfRule>
  </conditionalFormatting>
  <conditionalFormatting sqref="BM17:BP19">
    <cfRule type="containsText" dxfId="100" priority="7" operator="containsText" text="X">
      <formula>NOT(ISERROR(SEARCH("X",BM17)))</formula>
    </cfRule>
  </conditionalFormatting>
  <conditionalFormatting sqref="BR17:BV19">
    <cfRule type="containsText" dxfId="99" priority="5" operator="containsText" text="X">
      <formula>NOT(ISERROR(SEARCH("X",BR17)))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3A7C-3BC0-4B50-B793-1FF4B73C9EAB}">
  <dimension ref="B3:E27"/>
  <sheetViews>
    <sheetView workbookViewId="0">
      <selection activeCell="Q9" sqref="Q9"/>
    </sheetView>
  </sheetViews>
  <sheetFormatPr defaultRowHeight="13.8" x14ac:dyDescent="0.25"/>
  <cols>
    <col min="4" max="4" width="11.3984375" bestFit="1" customWidth="1"/>
    <col min="5" max="5" width="10.19921875" bestFit="1" customWidth="1"/>
  </cols>
  <sheetData>
    <row r="3" spans="2:5" x14ac:dyDescent="0.25">
      <c r="B3" s="300" t="s">
        <v>779</v>
      </c>
      <c r="C3" s="300" t="s">
        <v>780</v>
      </c>
      <c r="D3" s="299" t="s">
        <v>793</v>
      </c>
      <c r="E3" t="s">
        <v>724</v>
      </c>
    </row>
    <row r="4" spans="2:5" x14ac:dyDescent="0.25">
      <c r="B4" s="300" t="s">
        <v>781</v>
      </c>
      <c r="C4" s="300" t="s">
        <v>782</v>
      </c>
      <c r="D4" s="299" t="s">
        <v>794</v>
      </c>
      <c r="E4" t="s">
        <v>725</v>
      </c>
    </row>
    <row r="5" spans="2:5" x14ac:dyDescent="0.25">
      <c r="B5" s="299">
        <f>C4+3</f>
        <v>45670</v>
      </c>
      <c r="C5" s="299">
        <f>B5+4</f>
        <v>45674</v>
      </c>
      <c r="D5" s="299" t="s">
        <v>783</v>
      </c>
      <c r="E5" t="s">
        <v>726</v>
      </c>
    </row>
    <row r="6" spans="2:5" x14ac:dyDescent="0.25">
      <c r="B6" s="299">
        <f t="shared" ref="B6:B14" si="0">C5+3</f>
        <v>45677</v>
      </c>
      <c r="C6" s="299">
        <f t="shared" ref="C6:C14" si="1">B6+4</f>
        <v>45681</v>
      </c>
      <c r="D6" s="299" t="s">
        <v>784</v>
      </c>
      <c r="E6" t="s">
        <v>727</v>
      </c>
    </row>
    <row r="7" spans="2:5" x14ac:dyDescent="0.25">
      <c r="B7" s="299">
        <f t="shared" si="0"/>
        <v>45684</v>
      </c>
      <c r="C7" s="299">
        <f t="shared" si="1"/>
        <v>45688</v>
      </c>
      <c r="D7" s="299" t="s">
        <v>785</v>
      </c>
      <c r="E7" t="s">
        <v>728</v>
      </c>
    </row>
    <row r="8" spans="2:5" x14ac:dyDescent="0.25">
      <c r="B8" s="299">
        <f t="shared" si="0"/>
        <v>45691</v>
      </c>
      <c r="C8" s="299">
        <f t="shared" si="1"/>
        <v>45695</v>
      </c>
      <c r="D8" s="299" t="s">
        <v>791</v>
      </c>
      <c r="E8" t="s">
        <v>729</v>
      </c>
    </row>
    <row r="9" spans="2:5" x14ac:dyDescent="0.25">
      <c r="B9" s="299">
        <f t="shared" si="0"/>
        <v>45698</v>
      </c>
      <c r="C9" s="299">
        <f t="shared" si="1"/>
        <v>45702</v>
      </c>
      <c r="D9" s="299" t="s">
        <v>786</v>
      </c>
      <c r="E9" t="s">
        <v>730</v>
      </c>
    </row>
    <row r="10" spans="2:5" x14ac:dyDescent="0.25">
      <c r="B10" s="299">
        <f t="shared" si="0"/>
        <v>45705</v>
      </c>
      <c r="C10" s="299">
        <f t="shared" si="1"/>
        <v>45709</v>
      </c>
      <c r="D10" s="299" t="s">
        <v>787</v>
      </c>
      <c r="E10" t="s">
        <v>731</v>
      </c>
    </row>
    <row r="11" spans="2:5" x14ac:dyDescent="0.25">
      <c r="B11" s="299">
        <f t="shared" si="0"/>
        <v>45712</v>
      </c>
      <c r="C11" s="299">
        <f t="shared" si="1"/>
        <v>45716</v>
      </c>
      <c r="D11" s="299" t="s">
        <v>788</v>
      </c>
      <c r="E11" t="s">
        <v>732</v>
      </c>
    </row>
    <row r="12" spans="2:5" x14ac:dyDescent="0.25">
      <c r="B12" s="299">
        <f t="shared" si="0"/>
        <v>45719</v>
      </c>
      <c r="C12" s="299">
        <f t="shared" si="1"/>
        <v>45723</v>
      </c>
      <c r="D12" s="299" t="s">
        <v>792</v>
      </c>
      <c r="E12" t="s">
        <v>733</v>
      </c>
    </row>
    <row r="13" spans="2:5" x14ac:dyDescent="0.25">
      <c r="B13" s="299">
        <f t="shared" si="0"/>
        <v>45726</v>
      </c>
      <c r="C13" s="299">
        <f t="shared" si="1"/>
        <v>45730</v>
      </c>
      <c r="D13" s="299" t="s">
        <v>789</v>
      </c>
      <c r="E13" t="s">
        <v>734</v>
      </c>
    </row>
    <row r="14" spans="2:5" x14ac:dyDescent="0.25">
      <c r="B14" s="299">
        <f t="shared" si="0"/>
        <v>45733</v>
      </c>
      <c r="C14" s="299">
        <f t="shared" si="1"/>
        <v>45737</v>
      </c>
      <c r="D14" s="299" t="s">
        <v>790</v>
      </c>
      <c r="E14" t="s">
        <v>735</v>
      </c>
    </row>
    <row r="15" spans="2:5" x14ac:dyDescent="0.25">
      <c r="B15" s="299"/>
      <c r="C15" s="299"/>
      <c r="D15" s="299"/>
    </row>
    <row r="16" spans="2:5" x14ac:dyDescent="0.25">
      <c r="B16" s="299"/>
      <c r="C16" s="299"/>
      <c r="D16" s="299"/>
    </row>
    <row r="17" spans="2:4" x14ac:dyDescent="0.25">
      <c r="B17" s="299"/>
      <c r="C17" s="299"/>
      <c r="D17" s="299"/>
    </row>
    <row r="18" spans="2:4" x14ac:dyDescent="0.25">
      <c r="B18" s="299"/>
      <c r="C18" s="299"/>
      <c r="D18" s="299"/>
    </row>
    <row r="19" spans="2:4" x14ac:dyDescent="0.25">
      <c r="B19" s="299"/>
      <c r="C19" s="299"/>
      <c r="D19" s="299"/>
    </row>
    <row r="20" spans="2:4" x14ac:dyDescent="0.25">
      <c r="B20" s="299"/>
      <c r="C20" s="299"/>
      <c r="D20" s="299"/>
    </row>
    <row r="21" spans="2:4" x14ac:dyDescent="0.25">
      <c r="B21" s="299"/>
      <c r="C21" s="299"/>
      <c r="D21" s="299"/>
    </row>
    <row r="22" spans="2:4" x14ac:dyDescent="0.25">
      <c r="B22" s="299"/>
      <c r="C22" s="299"/>
      <c r="D22" s="299"/>
    </row>
    <row r="23" spans="2:4" x14ac:dyDescent="0.25">
      <c r="B23" s="299"/>
      <c r="C23" s="299"/>
      <c r="D23" s="299"/>
    </row>
    <row r="24" spans="2:4" x14ac:dyDescent="0.25">
      <c r="B24" s="299"/>
      <c r="C24" s="299"/>
      <c r="D24" s="299"/>
    </row>
    <row r="25" spans="2:4" x14ac:dyDescent="0.25">
      <c r="B25" s="299"/>
      <c r="C25" s="299"/>
      <c r="D25" s="299"/>
    </row>
    <row r="26" spans="2:4" x14ac:dyDescent="0.25">
      <c r="B26" s="299"/>
      <c r="C26" s="299"/>
      <c r="D26" s="299"/>
    </row>
    <row r="27" spans="2:4" x14ac:dyDescent="0.25">
      <c r="B27" s="299"/>
      <c r="C27" s="299"/>
      <c r="D27" s="29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N531"/>
  <sheetViews>
    <sheetView showGridLines="0" zoomScale="80" zoomScaleNormal="80" workbookViewId="0">
      <pane xSplit="3" ySplit="6" topLeftCell="D7" activePane="bottomRight" state="frozen"/>
      <selection pane="topRight" activeCell="D136" sqref="D136"/>
      <selection pane="bottomLeft" activeCell="D136" sqref="D136"/>
      <selection pane="bottomRight" activeCell="G7" sqref="G7"/>
    </sheetView>
  </sheetViews>
  <sheetFormatPr defaultColWidth="8.59765625" defaultRowHeight="13.8" x14ac:dyDescent="0.25"/>
  <cols>
    <col min="1" max="1" width="3.59765625" customWidth="1"/>
    <col min="2" max="2" width="13.59765625" bestFit="1" customWidth="1"/>
    <col min="3" max="3" width="19.59765625" bestFit="1" customWidth="1"/>
    <col min="4" max="4" width="14" bestFit="1" customWidth="1"/>
    <col min="5" max="5" width="23.5" customWidth="1"/>
    <col min="6" max="6" width="30.09765625" bestFit="1" customWidth="1"/>
    <col min="7" max="7" width="30.59765625" bestFit="1" customWidth="1"/>
    <col min="8" max="8" width="30.59765625" customWidth="1"/>
    <col min="9" max="9" width="25.5976562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11.09765625" bestFit="1" customWidth="1"/>
  </cols>
  <sheetData>
    <row r="1" spans="1:14" ht="17.399999999999999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7.399999999999999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7.399999999999999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5.0999999999999996" customHeight="1" x14ac:dyDescent="0.4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6" spans="1:14" ht="17.399999999999999" x14ac:dyDescent="0.25">
      <c r="B6" s="79" t="s">
        <v>0</v>
      </c>
      <c r="C6" s="80" t="s">
        <v>534</v>
      </c>
      <c r="D6" s="80" t="s">
        <v>2</v>
      </c>
      <c r="E6" s="80" t="s">
        <v>3</v>
      </c>
      <c r="F6" s="80" t="s">
        <v>4</v>
      </c>
      <c r="G6" s="90" t="s">
        <v>446</v>
      </c>
      <c r="H6" s="90" t="s">
        <v>447</v>
      </c>
      <c r="I6" s="81" t="s">
        <v>13</v>
      </c>
      <c r="J6" s="82" t="s">
        <v>448</v>
      </c>
      <c r="K6" s="82" t="s">
        <v>449</v>
      </c>
      <c r="L6" s="83" t="s">
        <v>450</v>
      </c>
      <c r="M6" s="84" t="s">
        <v>513</v>
      </c>
      <c r="N6" s="85" t="s">
        <v>514</v>
      </c>
    </row>
    <row r="7" spans="1:14" ht="16.350000000000001" customHeight="1" x14ac:dyDescent="0.4">
      <c r="A7" s="3" t="str">
        <f>E7&amp;F7</f>
        <v>lt002_instrumentAVRG_BLNC</v>
      </c>
      <c r="B7" s="86" t="s">
        <v>440</v>
      </c>
      <c r="C7" s="87" t="s">
        <v>533</v>
      </c>
      <c r="D7" s="48" t="str" cm="1">
        <f t="array" ref="D7">INDEX(Plano_Detalhado!$B$10:$H$47,MATCH(1,(Plano_Detalhado!$E$10:$E$47=$E7)*($F7=Plano_Detalhado!$F$10:$F$47),0),3)</f>
        <v>2. Campo</v>
      </c>
      <c r="E7" s="49" t="s">
        <v>370</v>
      </c>
      <c r="F7" s="48" t="s">
        <v>485</v>
      </c>
      <c r="G7" s="48" t="str" cm="1">
        <f t="array" ref="G7">INDEX(Plano_Detalhado!$B$10:$H$47,MATCH(1,(Plano_Detalhado!$E$10:$E$47=$E7)*($F7=Plano_Detalhado!$F$10:$F$47),0),6)</f>
        <v>2. Concluído</v>
      </c>
      <c r="H7" s="48" t="str" cm="1">
        <f t="array" ref="H7">INDEX(Plano_Detalhado!$B$10:$H$47,MATCH(1,(Plano_Detalhado!$E$10:$E$47=$E7)*($F7=Plano_Detalhado!$F$10:$F$47),0),7)</f>
        <v>2. Concluído</v>
      </c>
      <c r="I7" s="88"/>
      <c r="J7" s="52"/>
      <c r="K7" s="52"/>
      <c r="L7" s="52"/>
      <c r="M7" s="78"/>
      <c r="N7" s="78"/>
    </row>
    <row r="8" spans="1:14" ht="16.350000000000001" customHeight="1" x14ac:dyDescent="0.4">
      <c r="A8" s="3" t="str">
        <f t="shared" ref="A8:A31" si="0">E8&amp;F8</f>
        <v>lt002_instrumentNW_BSNSS</v>
      </c>
      <c r="B8" s="86" t="s">
        <v>440</v>
      </c>
      <c r="C8" s="87" t="s">
        <v>533</v>
      </c>
      <c r="D8" s="48" t="str" cm="1">
        <f t="array" ref="D8">INDEX(Plano_Detalhado!$B$10:$H$47,MATCH(1,(Plano_Detalhado!$E$10:$E$47=$E8)*($F8=Plano_Detalhado!$F$10:$F$47),0),3)</f>
        <v>2. Campo</v>
      </c>
      <c r="E8" s="49" t="s">
        <v>370</v>
      </c>
      <c r="F8" s="48" t="s">
        <v>466</v>
      </c>
      <c r="G8" s="50" t="str" cm="1">
        <f t="array" ref="G8">INDEX(Plano_Detalhado!$B$10:$H$47,MATCH(1,(Plano_Detalhado!$E$10:$E$47=$E8)*($F8=Plano_Detalhado!$F$10:$F$47),0),6)</f>
        <v>4. Validação da especificação</v>
      </c>
      <c r="H8" s="50" t="str" cm="1">
        <f t="array" ref="H8">INDEX(Plano_Detalhado!$B$10:$H$47,MATCH(1,(Plano_Detalhado!$E$10:$E$47=$E8)*($F8=Plano_Detalhado!$F$10:$F$47),0),7)</f>
        <v>8. Por Iniciar</v>
      </c>
      <c r="I8" s="88"/>
      <c r="J8" s="52"/>
      <c r="K8" s="52"/>
      <c r="L8" s="52"/>
      <c r="M8" s="77"/>
      <c r="N8" s="77"/>
    </row>
    <row r="9" spans="1:14" ht="16.350000000000001" customHeight="1" x14ac:dyDescent="0.4">
      <c r="A9" s="3" t="str">
        <f t="shared" si="0"/>
        <v>lt002_instrumentGRSS_INTRST_INCM</v>
      </c>
      <c r="B9" s="86" t="s">
        <v>440</v>
      </c>
      <c r="C9" s="87" t="s">
        <v>533</v>
      </c>
      <c r="D9" s="48" t="str" cm="1">
        <f t="array" ref="D9">INDEX(Plano_Detalhado!$B$10:$H$47,MATCH(1,(Plano_Detalhado!$E$10:$E$47=$E9)*($F9=Plano_Detalhado!$F$10:$F$47),0),3)</f>
        <v>2. Campo</v>
      </c>
      <c r="E9" s="49" t="s">
        <v>370</v>
      </c>
      <c r="F9" s="48" t="s">
        <v>486</v>
      </c>
      <c r="G9" s="50" t="str" cm="1">
        <f t="array" ref="G9">INDEX(Plano_Detalhado!$B$10:$H$47,MATCH(1,(Plano_Detalhado!$E$10:$E$47=$E9)*($F9=Plano_Detalhado!$F$10:$F$47),0),6)</f>
        <v>2. Concluído</v>
      </c>
      <c r="H9" s="50" t="str" cm="1">
        <f t="array" ref="H9">INDEX(Plano_Detalhado!$B$10:$H$47,MATCH(1,(Plano_Detalhado!$E$10:$E$47=$E9)*($F9=Plano_Detalhado!$F$10:$F$47),0),7)</f>
        <v>4. Validação da especificação</v>
      </c>
      <c r="I9" s="88"/>
      <c r="J9" s="52"/>
      <c r="K9" s="52"/>
      <c r="L9" s="52"/>
      <c r="M9" s="77"/>
      <c r="N9" s="77"/>
    </row>
    <row r="10" spans="1:14" ht="16.350000000000001" customHeight="1" x14ac:dyDescent="0.4">
      <c r="A10" s="3" t="str">
        <f t="shared" si="0"/>
        <v>lt002_instrumentGRSS_CMMSSN_INCM</v>
      </c>
      <c r="B10" s="86" t="s">
        <v>440</v>
      </c>
      <c r="C10" s="87" t="s">
        <v>533</v>
      </c>
      <c r="D10" s="48" t="str" cm="1">
        <f t="array" ref="D10">INDEX(Plano_Detalhado!$B$10:$H$47,MATCH(1,(Plano_Detalhado!$E$10:$E$47=$E10)*($F10=Plano_Detalhado!$F$10:$F$47),0),3)</f>
        <v>2. Campo</v>
      </c>
      <c r="E10" s="49" t="s">
        <v>370</v>
      </c>
      <c r="F10" s="48" t="s">
        <v>487</v>
      </c>
      <c r="G10" s="50" t="str" cm="1">
        <f t="array" ref="G10">INDEX(Plano_Detalhado!$B$10:$H$47,MATCH(1,(Plano_Detalhado!$E$10:$E$47=$E10)*($F10=Plano_Detalhado!$F$10:$F$47),0),6)</f>
        <v>2. Concluído</v>
      </c>
      <c r="H10" s="50" t="str" cm="1">
        <f t="array" ref="H10">INDEX(Plano_Detalhado!$B$10:$H$47,MATCH(1,(Plano_Detalhado!$E$10:$E$47=$E10)*($F10=Plano_Detalhado!$F$10:$F$47),0),7)</f>
        <v>4. Validação da especificação</v>
      </c>
      <c r="I10" s="88"/>
      <c r="J10" s="52"/>
      <c r="K10" s="52"/>
      <c r="L10" s="52"/>
      <c r="M10" s="77"/>
      <c r="N10" s="77"/>
    </row>
    <row r="11" spans="1:14" ht="16.350000000000001" customHeight="1" x14ac:dyDescent="0.4">
      <c r="A11" s="3" t="str">
        <f t="shared" si="0"/>
        <v>lt002_instrumentINTRNL_TRNSFR_RT</v>
      </c>
      <c r="B11" s="86" t="s">
        <v>440</v>
      </c>
      <c r="C11" s="87" t="s">
        <v>533</v>
      </c>
      <c r="D11" s="48" t="str" cm="1">
        <f t="array" ref="D11">INDEX(Plano_Detalhado!$B$10:$H$47,MATCH(1,(Plano_Detalhado!$E$10:$E$47=$E11)*($F11=Plano_Detalhado!$F$10:$F$47),0),3)</f>
        <v>2. Campo</v>
      </c>
      <c r="E11" s="49" t="s">
        <v>370</v>
      </c>
      <c r="F11" s="48" t="s">
        <v>488</v>
      </c>
      <c r="G11" s="50" t="str" cm="1">
        <f t="array" ref="G11">INDEX(Plano_Detalhado!$B$10:$H$47,MATCH(1,(Plano_Detalhado!$E$10:$E$47=$E11)*($F11=Plano_Detalhado!$F$10:$F$47),0),6)</f>
        <v>2. Concluído</v>
      </c>
      <c r="H11" s="50" t="str" cm="1">
        <f t="array" ref="H11">INDEX(Plano_Detalhado!$B$10:$H$47,MATCH(1,(Plano_Detalhado!$E$10:$E$47=$E11)*($F11=Plano_Detalhado!$F$10:$F$47),0),7)</f>
        <v>2. Concluído</v>
      </c>
      <c r="I11" s="88"/>
      <c r="J11" s="52"/>
      <c r="K11" s="52"/>
      <c r="L11" s="52"/>
      <c r="M11" s="77"/>
      <c r="N11" s="77"/>
    </row>
    <row r="12" spans="1:14" ht="16.350000000000001" customHeight="1" x14ac:dyDescent="0.4">
      <c r="A12" s="3" t="str">
        <f t="shared" si="0"/>
        <v>lt002_instrumentNT_LN_LSS_PRVSN</v>
      </c>
      <c r="B12" s="86" t="s">
        <v>440</v>
      </c>
      <c r="C12" s="87" t="s">
        <v>533</v>
      </c>
      <c r="D12" s="48" t="str" cm="1">
        <f t="array" ref="D12">INDEX(Plano_Detalhado!$B$10:$H$47,MATCH(1,(Plano_Detalhado!$E$10:$E$47=$E12)*($F12=Plano_Detalhado!$F$10:$F$47),0),3)</f>
        <v>2. Campo</v>
      </c>
      <c r="E12" s="49" t="s">
        <v>370</v>
      </c>
      <c r="F12" s="48" t="s">
        <v>489</v>
      </c>
      <c r="G12" s="50" t="str" cm="1">
        <f t="array" ref="G12">INDEX(Plano_Detalhado!$B$10:$H$47,MATCH(1,(Plano_Detalhado!$E$10:$E$47=$E12)*($F12=Plano_Detalhado!$F$10:$F$47),0),6)</f>
        <v>2. Concluído</v>
      </c>
      <c r="H12" s="50" t="str" cm="1">
        <f t="array" ref="H12">INDEX(Plano_Detalhado!$B$10:$H$47,MATCH(1,(Plano_Detalhado!$E$10:$E$47=$E12)*($F12=Plano_Detalhado!$F$10:$F$47),0),7)</f>
        <v>2. Concluído</v>
      </c>
      <c r="I12" s="88"/>
      <c r="J12" s="52"/>
      <c r="K12" s="52"/>
      <c r="L12" s="52"/>
      <c r="M12" s="77"/>
      <c r="N12" s="77"/>
    </row>
    <row r="13" spans="1:14" ht="16.350000000000001" customHeight="1" x14ac:dyDescent="0.4">
      <c r="A13" s="3" t="str">
        <f t="shared" si="0"/>
        <v>lt002_instrumentBSNSS_AREA</v>
      </c>
      <c r="B13" s="86" t="s">
        <v>440</v>
      </c>
      <c r="C13" s="87" t="s">
        <v>533</v>
      </c>
      <c r="D13" s="48" t="str" cm="1">
        <f t="array" ref="D13">INDEX(Plano_Detalhado!$B$10:$H$47,MATCH(1,(Plano_Detalhado!$E$10:$E$47=$E13)*($F13=Plano_Detalhado!$F$10:$F$47),0),3)</f>
        <v>2. Campo</v>
      </c>
      <c r="E13" s="49" t="s">
        <v>370</v>
      </c>
      <c r="F13" s="48" t="s">
        <v>467</v>
      </c>
      <c r="G13" s="50" t="str" cm="1">
        <f t="array" ref="G13">INDEX(Plano_Detalhado!$B$10:$H$47,MATCH(1,(Plano_Detalhado!$E$10:$E$47=$E13)*($F13=Plano_Detalhado!$F$10:$F$47),0),6)</f>
        <v>2. Concluído</v>
      </c>
      <c r="H13" s="50" t="str" cm="1">
        <f t="array" ref="H13">INDEX(Plano_Detalhado!$B$10:$H$47,MATCH(1,(Plano_Detalhado!$E$10:$E$47=$E13)*($F13=Plano_Detalhado!$F$10:$F$47),0),7)</f>
        <v>8. Por Iniciar</v>
      </c>
      <c r="I13" s="88"/>
      <c r="J13" s="52"/>
      <c r="K13" s="52"/>
      <c r="L13" s="52"/>
      <c r="M13" s="77"/>
      <c r="N13" s="77"/>
    </row>
    <row r="14" spans="1:14" ht="16.350000000000001" customHeight="1" x14ac:dyDescent="0.4">
      <c r="A14" s="3" t="str">
        <f t="shared" si="0"/>
        <v>lt002_instrumentMNGMNT_PRDCT</v>
      </c>
      <c r="B14" s="86" t="s">
        <v>440</v>
      </c>
      <c r="C14" s="87" t="s">
        <v>533</v>
      </c>
      <c r="D14" s="48" t="str" cm="1">
        <f t="array" ref="D14">INDEX(Plano_Detalhado!$B$10:$H$47,MATCH(1,(Plano_Detalhado!$E$10:$E$47=$E14)*($F14=Plano_Detalhado!$F$10:$F$47),0),3)</f>
        <v>2. Campo</v>
      </c>
      <c r="E14" s="49" t="s">
        <v>370</v>
      </c>
      <c r="F14" s="48" t="s">
        <v>490</v>
      </c>
      <c r="G14" s="50" t="str" cm="1">
        <f t="array" ref="G14">INDEX(Plano_Detalhado!$B$10:$H$47,MATCH(1,(Plano_Detalhado!$E$10:$E$47=$E14)*($F14=Plano_Detalhado!$F$10:$F$47),0),6)</f>
        <v>2. Concluído</v>
      </c>
      <c r="H14" s="50" t="str" cm="1">
        <f t="array" ref="H14">INDEX(Plano_Detalhado!$B$10:$H$47,MATCH(1,(Plano_Detalhado!$E$10:$E$47=$E14)*($F14=Plano_Detalhado!$F$10:$F$47),0),7)</f>
        <v>2. Concluído</v>
      </c>
      <c r="I14" s="88"/>
      <c r="J14" s="52"/>
      <c r="K14" s="52"/>
      <c r="L14" s="52"/>
      <c r="M14" s="77"/>
      <c r="N14" s="77"/>
    </row>
    <row r="15" spans="1:14" ht="16.350000000000001" customHeight="1" x14ac:dyDescent="0.4">
      <c r="A15" s="3" t="str">
        <f t="shared" si="0"/>
        <v>lt002_instrumentGRSS_CMMSSN_EXPNS</v>
      </c>
      <c r="B15" s="86" t="s">
        <v>440</v>
      </c>
      <c r="C15" s="87" t="s">
        <v>533</v>
      </c>
      <c r="D15" s="48" t="str" cm="1">
        <f t="array" ref="D15">INDEX(Plano_Detalhado!$B$10:$H$47,MATCH(1,(Plano_Detalhado!$E$10:$E$47=$E15)*($F15=Plano_Detalhado!$F$10:$F$47),0),3)</f>
        <v>2. Campo</v>
      </c>
      <c r="E15" s="49" t="s">
        <v>370</v>
      </c>
      <c r="F15" s="48" t="s">
        <v>491</v>
      </c>
      <c r="G15" s="50" t="str" cm="1">
        <f t="array" ref="G15">INDEX(Plano_Detalhado!$B$10:$H$47,MATCH(1,(Plano_Detalhado!$E$10:$E$47=$E15)*($F15=Plano_Detalhado!$F$10:$F$47),0),6)</f>
        <v>2. Concluído</v>
      </c>
      <c r="H15" s="50" t="str" cm="1">
        <f t="array" ref="H15">INDEX(Plano_Detalhado!$B$10:$H$47,MATCH(1,(Plano_Detalhado!$E$10:$E$47=$E15)*($F15=Plano_Detalhado!$F$10:$F$47),0),7)</f>
        <v>2. Concluído</v>
      </c>
      <c r="I15" s="88"/>
      <c r="J15" s="52"/>
      <c r="K15" s="52"/>
      <c r="L15" s="52"/>
      <c r="M15" s="77"/>
      <c r="N15" s="77"/>
    </row>
    <row r="16" spans="1:14" ht="16.350000000000001" customHeight="1" x14ac:dyDescent="0.4">
      <c r="A16" s="3" t="str">
        <f t="shared" si="0"/>
        <v>lt002_instrumentGNS_FNNCL_TRNSCTN_EXCHNG_DFFRNCS</v>
      </c>
      <c r="B16" s="86" t="s">
        <v>440</v>
      </c>
      <c r="C16" s="87" t="s">
        <v>533</v>
      </c>
      <c r="D16" s="48" t="str" cm="1">
        <f t="array" ref="D16">INDEX(Plano_Detalhado!$B$10:$H$47,MATCH(1,(Plano_Detalhado!$E$10:$E$47=$E16)*($F16=Plano_Detalhado!$F$10:$F$47),0),3)</f>
        <v>2. Campo</v>
      </c>
      <c r="E16" s="49" t="s">
        <v>370</v>
      </c>
      <c r="F16" s="48" t="s">
        <v>492</v>
      </c>
      <c r="G16" s="50" t="str" cm="1">
        <f t="array" ref="G16">INDEX(Plano_Detalhado!$B$10:$H$47,MATCH(1,(Plano_Detalhado!$E$10:$E$47=$E16)*($F16=Plano_Detalhado!$F$10:$F$47),0),6)</f>
        <v>2. Concluído</v>
      </c>
      <c r="H16" s="50" t="str" cm="1">
        <f t="array" ref="H16">INDEX(Plano_Detalhado!$B$10:$H$47,MATCH(1,(Plano_Detalhado!$E$10:$E$47=$E16)*($F16=Plano_Detalhado!$F$10:$F$47),0),7)</f>
        <v>2. Concluído</v>
      </c>
      <c r="I16" s="88"/>
      <c r="J16" s="52"/>
      <c r="K16" s="52"/>
      <c r="L16" s="52"/>
      <c r="M16" s="77"/>
      <c r="N16" s="77"/>
    </row>
    <row r="17" spans="1:14" ht="16.350000000000001" customHeight="1" x14ac:dyDescent="0.4">
      <c r="A17" s="3" t="str">
        <f t="shared" si="0"/>
        <v>lt002_instrumentFLG_INTRBSNSS</v>
      </c>
      <c r="B17" s="86" t="s">
        <v>440</v>
      </c>
      <c r="C17" s="87" t="s">
        <v>533</v>
      </c>
      <c r="D17" s="48" t="str" cm="1">
        <f t="array" ref="D17">INDEX(Plano_Detalhado!$B$10:$H$47,MATCH(1,(Plano_Detalhado!$E$10:$E$47=$E17)*($F17=Plano_Detalhado!$F$10:$F$47),0),3)</f>
        <v>2. Campo</v>
      </c>
      <c r="E17" s="49" t="s">
        <v>370</v>
      </c>
      <c r="F17" s="48" t="s">
        <v>468</v>
      </c>
      <c r="G17" s="50" t="str" cm="1">
        <f t="array" ref="G17">INDEX(Plano_Detalhado!$B$10:$H$47,MATCH(1,(Plano_Detalhado!$E$10:$E$47=$E17)*($F17=Plano_Detalhado!$F$10:$F$47),0),6)</f>
        <v>3. Em Análise</v>
      </c>
      <c r="H17" s="50" t="str" cm="1">
        <f t="array" ref="H17">INDEX(Plano_Detalhado!$B$10:$H$47,MATCH(1,(Plano_Detalhado!$E$10:$E$47=$E17)*($F17=Plano_Detalhado!$F$10:$F$47),0),7)</f>
        <v>8. Por Iniciar</v>
      </c>
      <c r="I17" s="88"/>
      <c r="J17" s="52"/>
      <c r="K17" s="52"/>
      <c r="L17" s="52"/>
      <c r="M17" s="77"/>
      <c r="N17" s="77"/>
    </row>
    <row r="18" spans="1:14" ht="16.350000000000001" customHeight="1" x14ac:dyDescent="0.4">
      <c r="A18" s="3" t="str">
        <f t="shared" si="0"/>
        <v>lt002_instrumentINTRBSNSS_ADJ_COD</v>
      </c>
      <c r="B18" s="86" t="s">
        <v>440</v>
      </c>
      <c r="C18" s="87" t="s">
        <v>533</v>
      </c>
      <c r="D18" s="48" t="str" cm="1">
        <f t="array" ref="D18">INDEX(Plano_Detalhado!$B$10:$H$47,MATCH(1,(Plano_Detalhado!$E$10:$E$47=$E18)*($F18=Plano_Detalhado!$F$10:$F$47),0),3)</f>
        <v>2. Campo</v>
      </c>
      <c r="E18" s="49" t="s">
        <v>370</v>
      </c>
      <c r="F18" s="48" t="s">
        <v>493</v>
      </c>
      <c r="G18" s="50" t="str" cm="1">
        <f t="array" ref="G18">INDEX(Plano_Detalhado!$B$10:$H$47,MATCH(1,(Plano_Detalhado!$E$10:$E$47=$E18)*($F18=Plano_Detalhado!$F$10:$F$47),0),6)</f>
        <v>3. Em Análise</v>
      </c>
      <c r="H18" s="50" t="str" cm="1">
        <f t="array" ref="H18">INDEX(Plano_Detalhado!$B$10:$H$47,MATCH(1,(Plano_Detalhado!$E$10:$E$47=$E18)*($F18=Plano_Detalhado!$F$10:$F$47),0),7)</f>
        <v>8. Por Iniciar</v>
      </c>
      <c r="I18" s="89"/>
      <c r="J18" s="52"/>
      <c r="K18" s="52"/>
      <c r="L18" s="52"/>
      <c r="M18" s="77"/>
      <c r="N18" s="77"/>
    </row>
    <row r="19" spans="1:14" ht="16.350000000000001" customHeight="1" x14ac:dyDescent="0.4">
      <c r="A19" s="3" t="str">
        <f t="shared" si="0"/>
        <v>lt002_instrumentCOD_SOC_DSTNTN</v>
      </c>
      <c r="B19" s="86" t="s">
        <v>440</v>
      </c>
      <c r="C19" s="87" t="s">
        <v>533</v>
      </c>
      <c r="D19" s="48" t="str" cm="1">
        <f t="array" ref="D19">INDEX(Plano_Detalhado!$B$10:$H$47,MATCH(1,(Plano_Detalhado!$E$10:$E$47=$E19)*($F19=Plano_Detalhado!$F$10:$F$47),0),3)</f>
        <v>2. Campo</v>
      </c>
      <c r="E19" s="49" t="s">
        <v>370</v>
      </c>
      <c r="F19" s="48" t="s">
        <v>494</v>
      </c>
      <c r="G19" s="50" t="str" cm="1">
        <f t="array" ref="G19">INDEX(Plano_Detalhado!$B$10:$H$47,MATCH(1,(Plano_Detalhado!$E$10:$E$47=$E19)*($F19=Plano_Detalhado!$F$10:$F$47),0),6)</f>
        <v>3. Em Análise</v>
      </c>
      <c r="H19" s="50" t="str" cm="1">
        <f t="array" ref="H19">INDEX(Plano_Detalhado!$B$10:$H$47,MATCH(1,(Plano_Detalhado!$E$10:$E$47=$E19)*($F19=Plano_Detalhado!$F$10:$F$47),0),7)</f>
        <v>8. Por Iniciar</v>
      </c>
      <c r="I19" s="89"/>
      <c r="J19" s="52"/>
      <c r="K19" s="52"/>
      <c r="L19" s="52"/>
      <c r="M19" s="77"/>
      <c r="N19" s="77"/>
    </row>
    <row r="20" spans="1:14" ht="16.350000000000001" customHeight="1" x14ac:dyDescent="0.4">
      <c r="A20" s="3" t="str">
        <f t="shared" si="0"/>
        <v>lt002_instrumentBSNSS_AREA_DSTNTN</v>
      </c>
      <c r="B20" s="86" t="s">
        <v>440</v>
      </c>
      <c r="C20" s="87" t="s">
        <v>533</v>
      </c>
      <c r="D20" s="48" t="str" cm="1">
        <f t="array" ref="D20">INDEX(Plano_Detalhado!$B$10:$H$47,MATCH(1,(Plano_Detalhado!$E$10:$E$47=$E20)*($F20=Plano_Detalhado!$F$10:$F$47),0),3)</f>
        <v>2. Campo</v>
      </c>
      <c r="E20" s="49" t="s">
        <v>370</v>
      </c>
      <c r="F20" s="48" t="s">
        <v>495</v>
      </c>
      <c r="G20" s="50" t="str" cm="1">
        <f t="array" ref="G20">INDEX(Plano_Detalhado!$B$10:$H$47,MATCH(1,(Plano_Detalhado!$E$10:$E$47=$E20)*($F20=Plano_Detalhado!$F$10:$F$47),0),6)</f>
        <v>2. Concluído</v>
      </c>
      <c r="H20" s="50" t="str" cm="1">
        <f t="array" ref="H20">INDEX(Plano_Detalhado!$B$10:$H$47,MATCH(1,(Plano_Detalhado!$E$10:$E$47=$E20)*($F20=Plano_Detalhado!$F$10:$F$47),0),7)</f>
        <v>8. Por Iniciar</v>
      </c>
      <c r="I20" s="88"/>
      <c r="J20" s="52"/>
      <c r="K20" s="52"/>
      <c r="L20" s="52"/>
      <c r="M20" s="77"/>
      <c r="N20" s="77"/>
    </row>
    <row r="21" spans="1:14" ht="16.350000000000001" customHeight="1" x14ac:dyDescent="0.4">
      <c r="A21" s="3" t="str">
        <f t="shared" si="0"/>
        <v>lt002_instrumentAVRG_BLNC_OFF_BLNC</v>
      </c>
      <c r="B21" s="86" t="s">
        <v>440</v>
      </c>
      <c r="C21" s="87" t="s">
        <v>533</v>
      </c>
      <c r="D21" s="48" t="str" cm="1">
        <f t="array" ref="D21">INDEX(Plano_Detalhado!$B$10:$H$47,MATCH(1,(Plano_Detalhado!$E$10:$E$47=$E21)*($F21=Plano_Detalhado!$F$10:$F$47),0),3)</f>
        <v>2. Campo</v>
      </c>
      <c r="E21" s="49" t="s">
        <v>370</v>
      </c>
      <c r="F21" s="48" t="s">
        <v>496</v>
      </c>
      <c r="G21" s="50" t="str" cm="1">
        <f t="array" ref="G21">INDEX(Plano_Detalhado!$B$10:$H$47,MATCH(1,(Plano_Detalhado!$E$10:$E$47=$E21)*($F21=Plano_Detalhado!$F$10:$F$47),0),6)</f>
        <v>2. Concluído</v>
      </c>
      <c r="H21" s="50" t="str" cm="1">
        <f t="array" ref="H21">INDEX(Plano_Detalhado!$B$10:$H$47,MATCH(1,(Plano_Detalhado!$E$10:$E$47=$E21)*($F21=Plano_Detalhado!$F$10:$F$47),0),7)</f>
        <v>2. Concluído</v>
      </c>
      <c r="I21" s="88"/>
      <c r="J21" s="52"/>
      <c r="K21" s="52"/>
      <c r="L21" s="52"/>
      <c r="M21" s="77"/>
      <c r="N21" s="77"/>
    </row>
    <row r="22" spans="1:14" ht="16.350000000000001" customHeight="1" x14ac:dyDescent="0.4">
      <c r="A22" s="3" t="str">
        <f t="shared" si="0"/>
        <v>lt002_instrumentINTRNL_TRNSFR_RT_OFF_BLNC</v>
      </c>
      <c r="B22" s="86" t="s">
        <v>440</v>
      </c>
      <c r="C22" s="87" t="s">
        <v>533</v>
      </c>
      <c r="D22" s="48" t="str" cm="1">
        <f t="array" ref="D22">INDEX(Plano_Detalhado!$B$10:$H$47,MATCH(1,(Plano_Detalhado!$E$10:$E$47=$E22)*($F22=Plano_Detalhado!$F$10:$F$47),0),3)</f>
        <v>2. Campo</v>
      </c>
      <c r="E22" s="49" t="s">
        <v>370</v>
      </c>
      <c r="F22" s="48" t="s">
        <v>497</v>
      </c>
      <c r="G22" s="50" t="str" cm="1">
        <f t="array" ref="G22">INDEX(Plano_Detalhado!$B$10:$H$47,MATCH(1,(Plano_Detalhado!$E$10:$E$47=$E22)*($F22=Plano_Detalhado!$F$10:$F$47),0),6)</f>
        <v>2. Concluído</v>
      </c>
      <c r="H22" s="50" t="str" cm="1">
        <f t="array" ref="H22">INDEX(Plano_Detalhado!$B$10:$H$47,MATCH(1,(Plano_Detalhado!$E$10:$E$47=$E22)*($F22=Plano_Detalhado!$F$10:$F$47),0),7)</f>
        <v>4. Validação da especificação</v>
      </c>
      <c r="I22" s="88"/>
      <c r="J22" s="52"/>
      <c r="K22" s="52"/>
      <c r="L22" s="52"/>
      <c r="M22" s="77"/>
      <c r="N22" s="77"/>
    </row>
    <row r="23" spans="1:14" ht="16.350000000000001" customHeight="1" x14ac:dyDescent="0.4">
      <c r="A23" s="3" t="str">
        <f t="shared" si="0"/>
        <v>lt002_instrumentGRSS_CMMSSN_INCM_OFF_BLNC</v>
      </c>
      <c r="B23" s="86" t="s">
        <v>440</v>
      </c>
      <c r="C23" s="87" t="s">
        <v>533</v>
      </c>
      <c r="D23" s="48" t="str" cm="1">
        <f t="array" ref="D23">INDEX(Plano_Detalhado!$B$10:$H$47,MATCH(1,(Plano_Detalhado!$E$10:$E$47=$E23)*($F23=Plano_Detalhado!$F$10:$F$47),0),3)</f>
        <v>2. Campo</v>
      </c>
      <c r="E23" s="49" t="s">
        <v>370</v>
      </c>
      <c r="F23" s="48" t="s">
        <v>498</v>
      </c>
      <c r="G23" s="50" t="str" cm="1">
        <f t="array" ref="G23">INDEX(Plano_Detalhado!$B$10:$H$47,MATCH(1,(Plano_Detalhado!$E$10:$E$47=$E23)*($F23=Plano_Detalhado!$F$10:$F$47),0),6)</f>
        <v>2. Concluído</v>
      </c>
      <c r="H23" s="50" t="str" cm="1">
        <f t="array" ref="H23">INDEX(Plano_Detalhado!$B$10:$H$47,MATCH(1,(Plano_Detalhado!$E$10:$E$47=$E23)*($F23=Plano_Detalhado!$F$10:$F$47),0),7)</f>
        <v>4. Validação da especificação</v>
      </c>
      <c r="I23" s="88"/>
      <c r="J23" s="52"/>
      <c r="K23" s="52"/>
      <c r="L23" s="52"/>
      <c r="M23" s="77"/>
      <c r="N23" s="77"/>
    </row>
    <row r="24" spans="1:14" ht="16.350000000000001" customHeight="1" x14ac:dyDescent="0.4">
      <c r="A24" s="3" t="str">
        <f t="shared" si="0"/>
        <v>lt002_instrumentGRSS_CMMSSN_EXPNS_OFF_BLNC</v>
      </c>
      <c r="B24" s="86" t="s">
        <v>440</v>
      </c>
      <c r="C24" s="87" t="s">
        <v>533</v>
      </c>
      <c r="D24" s="48" t="str" cm="1">
        <f t="array" ref="D24">INDEX(Plano_Detalhado!$B$10:$H$47,MATCH(1,(Plano_Detalhado!$E$10:$E$47=$E24)*($F24=Plano_Detalhado!$F$10:$F$47),0),3)</f>
        <v>2. Campo</v>
      </c>
      <c r="E24" s="49" t="s">
        <v>370</v>
      </c>
      <c r="F24" s="48" t="s">
        <v>499</v>
      </c>
      <c r="G24" s="50" t="str" cm="1">
        <f t="array" ref="G24">INDEX(Plano_Detalhado!$B$10:$H$47,MATCH(1,(Plano_Detalhado!$E$10:$E$47=$E24)*($F24=Plano_Detalhado!$F$10:$F$47),0),6)</f>
        <v>2. Concluído</v>
      </c>
      <c r="H24" s="50" t="str" cm="1">
        <f t="array" ref="H24">INDEX(Plano_Detalhado!$B$10:$H$47,MATCH(1,(Plano_Detalhado!$E$10:$E$47=$E24)*($F24=Plano_Detalhado!$F$10:$F$47),0),7)</f>
        <v>2. Concluído</v>
      </c>
      <c r="I24" s="88"/>
      <c r="J24" s="52"/>
      <c r="K24" s="52"/>
      <c r="L24" s="52"/>
      <c r="M24" s="77"/>
      <c r="N24" s="77"/>
    </row>
    <row r="25" spans="1:14" ht="16.350000000000001" customHeight="1" x14ac:dyDescent="0.4">
      <c r="A25" s="3" t="str">
        <f t="shared" si="0"/>
        <v>lt002_instrumentRWA_OFF_BLNC</v>
      </c>
      <c r="B25" s="86" t="s">
        <v>440</v>
      </c>
      <c r="C25" s="87" t="s">
        <v>533</v>
      </c>
      <c r="D25" s="48" t="str" cm="1">
        <f t="array" ref="D25">INDEX(Plano_Detalhado!$B$10:$H$47,MATCH(1,(Plano_Detalhado!$E$10:$E$47=$E25)*($F25=Plano_Detalhado!$F$10:$F$47),0),3)</f>
        <v>2. Campo</v>
      </c>
      <c r="E25" s="49" t="s">
        <v>370</v>
      </c>
      <c r="F25" s="48" t="s">
        <v>500</v>
      </c>
      <c r="G25" s="50" t="str" cm="1">
        <f t="array" ref="G25">INDEX(Plano_Detalhado!$B$10:$H$47,MATCH(1,(Plano_Detalhado!$E$10:$E$47=$E25)*($F25=Plano_Detalhado!$F$10:$F$47),0),6)</f>
        <v>2. Concluído</v>
      </c>
      <c r="H25" s="50" t="str" cm="1">
        <f t="array" ref="H25">INDEX(Plano_Detalhado!$B$10:$H$47,MATCH(1,(Plano_Detalhado!$E$10:$E$47=$E25)*($F25=Plano_Detalhado!$F$10:$F$47),0),7)</f>
        <v>4. Validação da especificação</v>
      </c>
      <c r="I25" s="88"/>
      <c r="J25" s="52"/>
      <c r="K25" s="52"/>
      <c r="L25" s="52"/>
      <c r="M25" s="77"/>
      <c r="N25" s="77"/>
    </row>
    <row r="26" spans="1:14" ht="16.350000000000001" customHeight="1" x14ac:dyDescent="0.4">
      <c r="A26" s="3" t="str">
        <f t="shared" si="0"/>
        <v>lt002_instrumentGRSS_INTRST_EXPNS</v>
      </c>
      <c r="B26" s="86" t="s">
        <v>440</v>
      </c>
      <c r="C26" s="87" t="s">
        <v>533</v>
      </c>
      <c r="D26" s="48" t="str" cm="1">
        <f t="array" ref="D26">INDEX(Plano_Detalhado!$B$10:$H$47,MATCH(1,(Plano_Detalhado!$E$10:$E$47=$E26)*($F26=Plano_Detalhado!$F$10:$F$47),0),3)</f>
        <v>2. Campo</v>
      </c>
      <c r="E26" s="49" t="s">
        <v>370</v>
      </c>
      <c r="F26" s="48" t="s">
        <v>501</v>
      </c>
      <c r="G26" s="50" t="str" cm="1">
        <f t="array" ref="G26">INDEX(Plano_Detalhado!$B$10:$H$47,MATCH(1,(Plano_Detalhado!$E$10:$E$47=$E26)*($F26=Plano_Detalhado!$F$10:$F$47),0),6)</f>
        <v>2. Concluído</v>
      </c>
      <c r="H26" s="50" t="str" cm="1">
        <f t="array" ref="H26">INDEX(Plano_Detalhado!$B$10:$H$47,MATCH(1,(Plano_Detalhado!$E$10:$E$47=$E26)*($F26=Plano_Detalhado!$F$10:$F$47),0),7)</f>
        <v>2. Concluído</v>
      </c>
      <c r="I26" s="88"/>
      <c r="J26" s="52"/>
      <c r="K26" s="52"/>
      <c r="L26" s="52"/>
      <c r="M26" s="77"/>
      <c r="N26" s="77"/>
    </row>
    <row r="27" spans="1:14" ht="16.350000000000001" customHeight="1" x14ac:dyDescent="0.4">
      <c r="A27" s="3" t="str">
        <f t="shared" si="0"/>
        <v>lt002_instrumentNT_LN_LSS_PRVSN_OFF_BLNC</v>
      </c>
      <c r="B27" s="86" t="s">
        <v>440</v>
      </c>
      <c r="C27" s="87" t="s">
        <v>533</v>
      </c>
      <c r="D27" s="48" t="str" cm="1">
        <f t="array" ref="D27">INDEX(Plano_Detalhado!$B$10:$H$47,MATCH(1,(Plano_Detalhado!$E$10:$E$47=$E27)*($F27=Plano_Detalhado!$F$10:$F$47),0),3)</f>
        <v>2. Campo</v>
      </c>
      <c r="E27" s="49" t="s">
        <v>370</v>
      </c>
      <c r="F27" s="48" t="s">
        <v>502</v>
      </c>
      <c r="G27" s="50" t="str" cm="1">
        <f t="array" ref="G27">INDEX(Plano_Detalhado!$B$10:$H$47,MATCH(1,(Plano_Detalhado!$E$10:$E$47=$E27)*($F27=Plano_Detalhado!$F$10:$F$47),0),6)</f>
        <v>2. Concluído</v>
      </c>
      <c r="H27" s="50" t="str" cm="1">
        <f t="array" ref="H27">INDEX(Plano_Detalhado!$B$10:$H$47,MATCH(1,(Plano_Detalhado!$E$10:$E$47=$E27)*($F27=Plano_Detalhado!$F$10:$F$47),0),7)</f>
        <v>2. Concluído</v>
      </c>
      <c r="I27" s="88"/>
      <c r="J27" s="52"/>
      <c r="K27" s="52"/>
      <c r="L27" s="52"/>
      <c r="M27" s="77"/>
      <c r="N27" s="77"/>
    </row>
    <row r="28" spans="1:14" ht="16.350000000000001" customHeight="1" x14ac:dyDescent="0.4">
      <c r="A28" s="3" t="str">
        <f t="shared" si="0"/>
        <v>lt002_instrumentGRSS_INTRST_INCM_CCRR</v>
      </c>
      <c r="B28" s="86" t="s">
        <v>440</v>
      </c>
      <c r="C28" s="87" t="s">
        <v>533</v>
      </c>
      <c r="D28" s="48" t="str" cm="1">
        <f t="array" ref="D28">INDEX(Plano_Detalhado!$B$10:$H$47,MATCH(1,(Plano_Detalhado!$E$10:$E$47=$E28)*($F28=Plano_Detalhado!$F$10:$F$47),0),3)</f>
        <v>2. Campo</v>
      </c>
      <c r="E28" s="49" t="s">
        <v>370</v>
      </c>
      <c r="F28" s="48" t="s">
        <v>503</v>
      </c>
      <c r="G28" s="50" t="str" cm="1">
        <f t="array" ref="G28">INDEX(Plano_Detalhado!$B$10:$H$47,MATCH(1,(Plano_Detalhado!$E$10:$E$47=$E28)*($F28=Plano_Detalhado!$F$10:$F$47),0),6)</f>
        <v>2. Concluído</v>
      </c>
      <c r="H28" s="50" t="str" cm="1">
        <f t="array" ref="H28">INDEX(Plano_Detalhado!$B$10:$H$47,MATCH(1,(Plano_Detalhado!$E$10:$E$47=$E28)*($F28=Plano_Detalhado!$F$10:$F$47),0),7)</f>
        <v>8. Por Iniciar</v>
      </c>
      <c r="I28" s="88"/>
      <c r="J28" s="52"/>
      <c r="K28" s="52"/>
      <c r="L28" s="52"/>
      <c r="M28" s="77"/>
      <c r="N28" s="77"/>
    </row>
    <row r="29" spans="1:14" ht="16.350000000000001" customHeight="1" x14ac:dyDescent="0.4">
      <c r="A29" s="3" t="str">
        <f t="shared" si="0"/>
        <v>lt002_instrumentGRSS_INTRST_EXPNS_CCRR</v>
      </c>
      <c r="B29" s="86" t="s">
        <v>440</v>
      </c>
      <c r="C29" s="87" t="s">
        <v>533</v>
      </c>
      <c r="D29" s="48" t="str" cm="1">
        <f t="array" ref="D29">INDEX(Plano_Detalhado!$B$10:$H$47,MATCH(1,(Plano_Detalhado!$E$10:$E$47=$E29)*($F29=Plano_Detalhado!$F$10:$F$47),0),3)</f>
        <v>2. Campo</v>
      </c>
      <c r="E29" s="49" t="s">
        <v>370</v>
      </c>
      <c r="F29" s="48" t="s">
        <v>504</v>
      </c>
      <c r="G29" s="50" t="str" cm="1">
        <f t="array" ref="G29">INDEX(Plano_Detalhado!$B$10:$H$47,MATCH(1,(Plano_Detalhado!$E$10:$E$47=$E29)*($F29=Plano_Detalhado!$F$10:$F$47),0),6)</f>
        <v>2. Concluído</v>
      </c>
      <c r="H29" s="50" t="str" cm="1">
        <f t="array" ref="H29">INDEX(Plano_Detalhado!$B$10:$H$47,MATCH(1,(Plano_Detalhado!$E$10:$E$47=$E29)*($F29=Plano_Detalhado!$F$10:$F$47),0),7)</f>
        <v>8. Por Iniciar</v>
      </c>
      <c r="I29" s="88"/>
      <c r="J29" s="52"/>
      <c r="K29" s="52"/>
      <c r="L29" s="52"/>
      <c r="M29" s="77"/>
      <c r="N29" s="77"/>
    </row>
    <row r="30" spans="1:14" ht="16.350000000000001" customHeight="1" x14ac:dyDescent="0.4">
      <c r="A30" s="3" t="str">
        <f t="shared" si="0"/>
        <v>lt002_instrumentGRSS_CMMSSN_INCM_CCRR</v>
      </c>
      <c r="B30" s="86" t="s">
        <v>440</v>
      </c>
      <c r="C30" s="87" t="s">
        <v>533</v>
      </c>
      <c r="D30" s="48" t="str" cm="1">
        <f t="array" ref="D30">INDEX(Plano_Detalhado!$B$10:$H$47,MATCH(1,(Plano_Detalhado!$E$10:$E$47=$E30)*($F30=Plano_Detalhado!$F$10:$F$47),0),3)</f>
        <v>2. Campo</v>
      </c>
      <c r="E30" s="49" t="s">
        <v>370</v>
      </c>
      <c r="F30" s="48" t="s">
        <v>505</v>
      </c>
      <c r="G30" s="50" t="str" cm="1">
        <f t="array" ref="G30">INDEX(Plano_Detalhado!$B$10:$H$47,MATCH(1,(Plano_Detalhado!$E$10:$E$47=$E30)*($F30=Plano_Detalhado!$F$10:$F$47),0),6)</f>
        <v>2. Concluído</v>
      </c>
      <c r="H30" s="50" t="str" cm="1">
        <f t="array" ref="H30">INDEX(Plano_Detalhado!$B$10:$H$47,MATCH(1,(Plano_Detalhado!$E$10:$E$47=$E30)*($F30=Plano_Detalhado!$F$10:$F$47),0),7)</f>
        <v>8. Por Iniciar</v>
      </c>
      <c r="I30" s="88"/>
      <c r="J30" s="52"/>
      <c r="K30" s="52"/>
      <c r="L30" s="52"/>
      <c r="M30" s="77"/>
      <c r="N30" s="77"/>
    </row>
    <row r="31" spans="1:14" ht="16.350000000000001" customHeight="1" x14ac:dyDescent="0.4">
      <c r="A31" s="3" t="str">
        <f t="shared" si="0"/>
        <v>lt002_instrumentGRSS_CMMSSN_EXPNS_CCRR</v>
      </c>
      <c r="B31" s="86" t="s">
        <v>440</v>
      </c>
      <c r="C31" s="87" t="s">
        <v>533</v>
      </c>
      <c r="D31" s="48" t="str" cm="1">
        <f t="array" ref="D31">INDEX(Plano_Detalhado!$B$10:$H$47,MATCH(1,(Plano_Detalhado!$E$10:$E$47=$E31)*($F31=Plano_Detalhado!$F$10:$F$47),0),3)</f>
        <v>2. Campo</v>
      </c>
      <c r="E31" s="49" t="s">
        <v>370</v>
      </c>
      <c r="F31" s="48" t="s">
        <v>506</v>
      </c>
      <c r="G31" s="50" t="str" cm="1">
        <f t="array" ref="G31">INDEX(Plano_Detalhado!$B$10:$H$47,MATCH(1,(Plano_Detalhado!$E$10:$E$47=$E31)*($F31=Plano_Detalhado!$F$10:$F$47),0),6)</f>
        <v>2. Concluído</v>
      </c>
      <c r="H31" s="50" t="str" cm="1">
        <f t="array" ref="H31">INDEX(Plano_Detalhado!$B$10:$H$47,MATCH(1,(Plano_Detalhado!$E$10:$E$47=$E31)*($F31=Plano_Detalhado!$F$10:$F$47),0),7)</f>
        <v>8. Por Iniciar</v>
      </c>
      <c r="I31" s="88"/>
      <c r="J31" s="52"/>
      <c r="K31" s="52"/>
      <c r="L31" s="52"/>
      <c r="M31" s="77"/>
      <c r="N31" s="77"/>
    </row>
    <row r="32" spans="1:14" ht="16.350000000000001" customHeight="1" x14ac:dyDescent="0.4">
      <c r="A32" s="3"/>
      <c r="B32" s="86" t="s">
        <v>440</v>
      </c>
      <c r="C32" s="87" t="s">
        <v>533</v>
      </c>
      <c r="D32" s="48" t="str" cm="1">
        <f t="array" ref="D32">INDEX(Plano_Detalhado!$B$10:$H$47,MATCH(1,(Plano_Detalhado!$E$10:$E$47=$E32)*($F32=Plano_Detalhado!$F$10:$F$47),0),3)</f>
        <v>2. Campo</v>
      </c>
      <c r="E32" s="49" t="s">
        <v>370</v>
      </c>
      <c r="F32" s="48" t="s">
        <v>507</v>
      </c>
      <c r="G32" s="50" t="str" cm="1">
        <f t="array" ref="G32">INDEX(Plano_Detalhado!$B$10:$H$47,MATCH(1,(Plano_Detalhado!$E$10:$E$47=$E32)*($F32=Plano_Detalhado!$F$10:$F$47),0),6)</f>
        <v>2. Concluído</v>
      </c>
      <c r="H32" s="50" t="str" cm="1">
        <f t="array" ref="H32">INDEX(Plano_Detalhado!$B$10:$H$47,MATCH(1,(Plano_Detalhado!$E$10:$E$47=$E32)*($F32=Plano_Detalhado!$F$10:$F$47),0),7)</f>
        <v>8. Por Iniciar</v>
      </c>
      <c r="I32" s="50"/>
      <c r="J32" s="211"/>
      <c r="K32" s="52"/>
      <c r="L32" s="52"/>
      <c r="M32" s="52"/>
      <c r="N32" s="52"/>
    </row>
    <row r="33" spans="1:14" ht="16.350000000000001" customHeight="1" x14ac:dyDescent="0.4">
      <c r="A33" s="3"/>
      <c r="B33" s="86" t="s">
        <v>440</v>
      </c>
      <c r="C33" s="87" t="s">
        <v>533</v>
      </c>
      <c r="D33" s="48" t="str" cm="1">
        <f t="array" ref="D33">INDEX(Plano_Detalhado!$B$10:$H$47,MATCH(1,(Plano_Detalhado!$E$10:$E$47=$E33)*($F33=Plano_Detalhado!$F$10:$F$47),0),3)</f>
        <v>2. Campo</v>
      </c>
      <c r="E33" s="49" t="s">
        <v>370</v>
      </c>
      <c r="F33" s="48" t="s">
        <v>469</v>
      </c>
      <c r="G33" s="50" t="str" cm="1">
        <f t="array" ref="G33">INDEX(Plano_Detalhado!$B$10:$H$47,MATCH(1,(Plano_Detalhado!$E$10:$E$47=$E33)*($F33=Plano_Detalhado!$F$10:$F$47),0),6)</f>
        <v>2. Concluído</v>
      </c>
      <c r="H33" s="50" t="str" cm="1">
        <f t="array" ref="H33">INDEX(Plano_Detalhado!$B$10:$H$47,MATCH(1,(Plano_Detalhado!$E$10:$E$47=$E33)*($F33=Plano_Detalhado!$F$10:$F$47),0),7)</f>
        <v>8. Por Iniciar</v>
      </c>
      <c r="I33" s="50"/>
      <c r="J33" s="211"/>
      <c r="K33" s="52"/>
      <c r="L33" s="52"/>
      <c r="M33" s="52"/>
      <c r="N33" s="52"/>
    </row>
    <row r="34" spans="1:14" ht="16.350000000000001" customHeight="1" x14ac:dyDescent="0.4">
      <c r="A34" s="3"/>
      <c r="B34" s="86" t="s">
        <v>440</v>
      </c>
      <c r="C34" s="87" t="s">
        <v>533</v>
      </c>
      <c r="D34" s="48" t="str" cm="1">
        <f t="array" ref="D34">INDEX(Plano_Detalhado!$B$10:$H$47,MATCH(1,(Plano_Detalhado!$E$10:$E$47=$E34)*($F34=Plano_Detalhado!$F$10:$F$47),0),3)</f>
        <v>2. Campo</v>
      </c>
      <c r="E34" s="49" t="s">
        <v>370</v>
      </c>
      <c r="F34" s="48" t="s">
        <v>508</v>
      </c>
      <c r="G34" s="50" t="str" cm="1">
        <f t="array" ref="G34">INDEX(Plano_Detalhado!$B$10:$H$47,MATCH(1,(Plano_Detalhado!$E$10:$E$47=$E34)*($F34=Plano_Detalhado!$F$10:$F$47),0),6)</f>
        <v>2. Concluído</v>
      </c>
      <c r="H34" s="50" t="str" cm="1">
        <f t="array" ref="H34">INDEX(Plano_Detalhado!$B$10:$H$47,MATCH(1,(Plano_Detalhado!$E$10:$E$47=$E34)*($F34=Plano_Detalhado!$F$10:$F$47),0),7)</f>
        <v>8. Por Iniciar</v>
      </c>
      <c r="I34" s="50"/>
      <c r="J34" s="211"/>
      <c r="K34" s="52"/>
      <c r="L34" s="52"/>
      <c r="M34" s="52"/>
      <c r="N34" s="52"/>
    </row>
    <row r="35" spans="1:14" ht="16.350000000000001" customHeight="1" x14ac:dyDescent="0.4">
      <c r="A35" s="3"/>
      <c r="B35" s="86" t="s">
        <v>440</v>
      </c>
      <c r="C35" s="87" t="s">
        <v>533</v>
      </c>
      <c r="D35" s="48" t="str" cm="1">
        <f t="array" ref="D35">INDEX(Plano_Detalhado!$B$10:$H$47,MATCH(1,(Plano_Detalhado!$E$10:$E$47=$E35)*($F35=Plano_Detalhado!$F$10:$F$47),0),3)</f>
        <v>2. Campo</v>
      </c>
      <c r="E35" s="49" t="s">
        <v>370</v>
      </c>
      <c r="F35" s="48" t="s">
        <v>509</v>
      </c>
      <c r="G35" s="50" t="str" cm="1">
        <f t="array" ref="G35">INDEX(Plano_Detalhado!$B$10:$H$47,MATCH(1,(Plano_Detalhado!$E$10:$E$47=$E35)*($F35=Plano_Detalhado!$F$10:$F$47),0),6)</f>
        <v>2. Concluído</v>
      </c>
      <c r="H35" s="50" t="str" cm="1">
        <f t="array" ref="H35">INDEX(Plano_Detalhado!$B$10:$H$47,MATCH(1,(Plano_Detalhado!$E$10:$E$47=$E35)*($F35=Plano_Detalhado!$F$10:$F$47),0),7)</f>
        <v>8. Por Iniciar</v>
      </c>
      <c r="I35" s="50"/>
      <c r="J35" s="211"/>
      <c r="K35" s="52"/>
      <c r="L35" s="52"/>
      <c r="M35" s="52"/>
      <c r="N35" s="52"/>
    </row>
    <row r="36" spans="1:14" ht="16.350000000000001" customHeight="1" x14ac:dyDescent="0.4">
      <c r="A36" s="3"/>
      <c r="B36" s="86" t="s">
        <v>440</v>
      </c>
      <c r="C36" s="87" t="s">
        <v>533</v>
      </c>
      <c r="D36" s="48" t="str" cm="1">
        <f t="array" ref="D36">INDEX(Plano_Detalhado!$B$10:$H$47,MATCH(1,(Plano_Detalhado!$E$10:$E$47=$E36)*($F36=Plano_Detalhado!$F$10:$F$47),0),3)</f>
        <v>2. Campo</v>
      </c>
      <c r="E36" s="49" t="s">
        <v>370</v>
      </c>
      <c r="F36" s="48" t="s">
        <v>471</v>
      </c>
      <c r="G36" s="50" t="str" cm="1">
        <f t="array" ref="G36">INDEX(Plano_Detalhado!$B$10:$H$47,MATCH(1,(Plano_Detalhado!$E$10:$E$47=$E36)*($F36=Plano_Detalhado!$F$10:$F$47),0),6)</f>
        <v>0. Cancelado</v>
      </c>
      <c r="H36" s="50" t="str" cm="1">
        <f t="array" ref="H36">INDEX(Plano_Detalhado!$B$10:$H$47,MATCH(1,(Plano_Detalhado!$E$10:$E$47=$E36)*($F36=Plano_Detalhado!$F$10:$F$47),0),7)</f>
        <v>0. Cancelado</v>
      </c>
      <c r="I36" s="50"/>
      <c r="J36" s="211"/>
      <c r="K36" s="52"/>
      <c r="L36" s="52"/>
      <c r="M36" s="52"/>
      <c r="N36" s="52"/>
    </row>
    <row r="37" spans="1:14" ht="16.350000000000001" customHeight="1" x14ac:dyDescent="0.4">
      <c r="A37" s="3"/>
      <c r="B37" s="86" t="s">
        <v>440</v>
      </c>
      <c r="C37" s="87" t="s">
        <v>533</v>
      </c>
      <c r="D37" s="48" t="str" cm="1">
        <f t="array" ref="D37">INDEX(Plano_Detalhado!$B$10:$H$47,MATCH(1,(Plano_Detalhado!$E$10:$E$47=$E37)*($F37=Plano_Detalhado!$F$10:$F$47),0),3)</f>
        <v>2. Campo</v>
      </c>
      <c r="E37" s="49" t="s">
        <v>697</v>
      </c>
      <c r="F37" s="48" t="s">
        <v>380</v>
      </c>
      <c r="G37" s="50" t="str" cm="1">
        <f t="array" ref="G37">INDEX(Plano_Detalhado!$B$10:$H$47,MATCH(1,(Plano_Detalhado!$E$10:$E$47=$E37)*($F37=Plano_Detalhado!$F$10:$F$47),0),6)</f>
        <v>2. Concluído</v>
      </c>
      <c r="H37" s="50" t="str" cm="1">
        <f t="array" ref="H37">INDEX(Plano_Detalhado!$B$10:$H$47,MATCH(1,(Plano_Detalhado!$E$10:$E$47=$E37)*($F37=Plano_Detalhado!$F$10:$F$47),0),7)</f>
        <v>3. Em Análise</v>
      </c>
      <c r="I37" s="50"/>
      <c r="J37" s="211"/>
      <c r="K37" s="52"/>
      <c r="L37" s="52"/>
      <c r="M37" s="52"/>
      <c r="N37" s="52"/>
    </row>
    <row r="38" spans="1:14" ht="16.350000000000001" customHeight="1" x14ac:dyDescent="0.4">
      <c r="A38" s="3"/>
      <c r="B38" s="86" t="s">
        <v>440</v>
      </c>
      <c r="C38" s="87" t="s">
        <v>533</v>
      </c>
      <c r="D38" s="48" t="str" cm="1">
        <f t="array" ref="D38">INDEX(Plano_Detalhado!$B$10:$H$47,MATCH(1,(Plano_Detalhado!$E$10:$E$47=$E38)*($F38=Plano_Detalhado!$F$10:$F$47),0),3)</f>
        <v>2. Campo</v>
      </c>
      <c r="E38" s="49" t="s">
        <v>697</v>
      </c>
      <c r="F38" s="48" t="s">
        <v>698</v>
      </c>
      <c r="G38" s="50" t="str" cm="1">
        <f t="array" ref="G38">INDEX(Plano_Detalhado!$B$10:$H$47,MATCH(1,(Plano_Detalhado!$E$10:$E$47=$E38)*($F38=Plano_Detalhado!$F$10:$F$47),0),6)</f>
        <v>2. Concluído</v>
      </c>
      <c r="H38" s="50" t="str" cm="1">
        <f t="array" ref="H38">INDEX(Plano_Detalhado!$B$10:$H$47,MATCH(1,(Plano_Detalhado!$E$10:$E$47=$E38)*($F38=Plano_Detalhado!$F$10:$F$47),0),7)</f>
        <v>3. Em Análise</v>
      </c>
      <c r="I38" s="50"/>
      <c r="J38" s="211"/>
      <c r="K38" s="52"/>
      <c r="L38" s="52"/>
      <c r="M38" s="52"/>
      <c r="N38" s="52"/>
    </row>
    <row r="39" spans="1:14" ht="16.350000000000001" customHeight="1" x14ac:dyDescent="0.4">
      <c r="A39" s="3"/>
      <c r="B39" s="86" t="s">
        <v>440</v>
      </c>
      <c r="C39" s="87" t="s">
        <v>533</v>
      </c>
      <c r="D39" s="48" t="str" cm="1">
        <f t="array" ref="D39">INDEX(Plano_Detalhado!$B$10:$H$47,MATCH(1,(Plano_Detalhado!$E$10:$E$47=$E39)*($F39=Plano_Detalhado!$F$10:$F$47),0),3)</f>
        <v>2. Campo</v>
      </c>
      <c r="E39" s="49" t="s">
        <v>697</v>
      </c>
      <c r="F39" s="48" t="s">
        <v>699</v>
      </c>
      <c r="G39" s="50" t="str" cm="1">
        <f t="array" ref="G39">INDEX(Plano_Detalhado!$B$10:$H$47,MATCH(1,(Plano_Detalhado!$E$10:$E$47=$E39)*($F39=Plano_Detalhado!$F$10:$F$47),0),6)</f>
        <v>2. Concluído</v>
      </c>
      <c r="H39" s="50" t="str" cm="1">
        <f t="array" ref="H39">INDEX(Plano_Detalhado!$B$10:$H$47,MATCH(1,(Plano_Detalhado!$E$10:$E$47=$E39)*($F39=Plano_Detalhado!$F$10:$F$47),0),7)</f>
        <v>3. Em Análise</v>
      </c>
      <c r="I39" s="50"/>
      <c r="J39" s="211"/>
      <c r="K39" s="52"/>
      <c r="L39" s="52"/>
      <c r="M39" s="52"/>
      <c r="N39" s="52"/>
    </row>
    <row r="40" spans="1:14" ht="16.350000000000001" customHeight="1" x14ac:dyDescent="0.4">
      <c r="A40" s="3"/>
      <c r="B40" s="86" t="s">
        <v>440</v>
      </c>
      <c r="C40" s="87" t="s">
        <v>533</v>
      </c>
      <c r="D40" s="48" t="str" cm="1">
        <f t="array" ref="D40">INDEX(Plano_Detalhado!$B$10:$H$47,MATCH(1,(Plano_Detalhado!$E$10:$E$47=$E40)*($F40=Plano_Detalhado!$F$10:$F$47),0),3)</f>
        <v>2. Campo</v>
      </c>
      <c r="E40" s="49" t="s">
        <v>697</v>
      </c>
      <c r="F40" s="48" t="s">
        <v>700</v>
      </c>
      <c r="G40" s="50" t="str" cm="1">
        <f t="array" ref="G40">INDEX(Plano_Detalhado!$B$10:$H$47,MATCH(1,(Plano_Detalhado!$E$10:$E$47=$E40)*($F40=Plano_Detalhado!$F$10:$F$47),0),6)</f>
        <v>2. Concluído</v>
      </c>
      <c r="H40" s="50" t="str" cm="1">
        <f t="array" ref="H40">INDEX(Plano_Detalhado!$B$10:$H$47,MATCH(1,(Plano_Detalhado!$E$10:$E$47=$E40)*($F40=Plano_Detalhado!$F$10:$F$47),0),7)</f>
        <v>3. Em Análise</v>
      </c>
      <c r="I40" s="50"/>
      <c r="J40" s="211"/>
      <c r="K40" s="52"/>
      <c r="L40" s="52"/>
      <c r="M40" s="52"/>
      <c r="N40" s="52"/>
    </row>
    <row r="41" spans="1:14" ht="16.350000000000001" customHeight="1" x14ac:dyDescent="0.4">
      <c r="A41" s="3"/>
      <c r="B41" s="86" t="s">
        <v>440</v>
      </c>
      <c r="C41" s="87" t="s">
        <v>533</v>
      </c>
      <c r="D41" s="48" t="str" cm="1">
        <f t="array" ref="D41">INDEX(Plano_Detalhado!$B$10:$H$47,MATCH(1,(Plano_Detalhado!$E$10:$E$47=$E41)*($F41=Plano_Detalhado!$F$10:$F$47),0),3)</f>
        <v>2. Campo</v>
      </c>
      <c r="E41" s="49" t="s">
        <v>697</v>
      </c>
      <c r="F41" s="48" t="s">
        <v>201</v>
      </c>
      <c r="G41" s="50" t="str" cm="1">
        <f t="array" ref="G41">INDEX(Plano_Detalhado!$B$10:$H$47,MATCH(1,(Plano_Detalhado!$E$10:$E$47=$E41)*($F41=Plano_Detalhado!$F$10:$F$47),0),6)</f>
        <v>2. Concluído</v>
      </c>
      <c r="H41" s="50" t="str" cm="1">
        <f t="array" ref="H41">INDEX(Plano_Detalhado!$B$10:$H$47,MATCH(1,(Plano_Detalhado!$E$10:$E$47=$E41)*($F41=Plano_Detalhado!$F$10:$F$47),0),7)</f>
        <v>3. Em Análise</v>
      </c>
      <c r="I41" s="50"/>
      <c r="J41" s="211"/>
      <c r="K41" s="52"/>
      <c r="L41" s="52"/>
      <c r="M41" s="52"/>
      <c r="N41" s="52"/>
    </row>
    <row r="42" spans="1:14" ht="16.350000000000001" customHeight="1" x14ac:dyDescent="0.4">
      <c r="A42" s="3"/>
      <c r="B42" s="86" t="s">
        <v>440</v>
      </c>
      <c r="C42" s="87" t="s">
        <v>533</v>
      </c>
      <c r="D42" s="48" t="str" cm="1">
        <f t="array" ref="D42">INDEX(Plano_Detalhado!$B$10:$H$47,MATCH(1,(Plano_Detalhado!$E$10:$E$47=$E42)*($F42=Plano_Detalhado!$F$10:$F$47),0),3)</f>
        <v>2. Campo</v>
      </c>
      <c r="E42" s="49" t="s">
        <v>697</v>
      </c>
      <c r="F42" s="48" t="s">
        <v>198</v>
      </c>
      <c r="G42" s="50" t="str" cm="1">
        <f t="array" ref="G42">INDEX(Plano_Detalhado!$B$10:$H$47,MATCH(1,(Plano_Detalhado!$E$10:$E$47=$E42)*($F42=Plano_Detalhado!$F$10:$F$47),0),6)</f>
        <v>2. Concluído</v>
      </c>
      <c r="H42" s="50" t="str" cm="1">
        <f t="array" ref="H42">INDEX(Plano_Detalhado!$B$10:$H$47,MATCH(1,(Plano_Detalhado!$E$10:$E$47=$E42)*($F42=Plano_Detalhado!$F$10:$F$47),0),7)</f>
        <v>3. Em Análise</v>
      </c>
      <c r="I42" s="50"/>
      <c r="J42" s="211"/>
      <c r="K42" s="52"/>
      <c r="L42" s="52"/>
      <c r="M42" s="52"/>
      <c r="N42" s="52"/>
    </row>
    <row r="43" spans="1:14" ht="16.350000000000001" customHeight="1" x14ac:dyDescent="0.4">
      <c r="A43" s="3"/>
      <c r="B43" s="86" t="s">
        <v>440</v>
      </c>
      <c r="C43" s="87" t="s">
        <v>533</v>
      </c>
      <c r="D43" s="48" t="str" cm="1">
        <f t="array" ref="D43">INDEX(Plano_Detalhado!$B$10:$H$47,MATCH(1,(Plano_Detalhado!$E$10:$E$47=$E43)*($F43=Plano_Detalhado!$F$10:$F$47),0),3)</f>
        <v>2. Campo</v>
      </c>
      <c r="E43" s="49" t="s">
        <v>370</v>
      </c>
      <c r="F43" s="48" t="s">
        <v>464</v>
      </c>
      <c r="G43" s="50" t="str" cm="1">
        <f t="array" ref="G43">INDEX(Plano_Detalhado!$B$10:$H$47,MATCH(1,(Plano_Detalhado!$E$10:$E$47=$E43)*($F43=Plano_Detalhado!$F$10:$F$47),0),6)</f>
        <v>0. Cancelado</v>
      </c>
      <c r="H43" s="50" t="str" cm="1">
        <f t="array" ref="H43">INDEX(Plano_Detalhado!$B$10:$H$47,MATCH(1,(Plano_Detalhado!$E$10:$E$47=$E43)*($F43=Plano_Detalhado!$F$10:$F$47),0),7)</f>
        <v>0. Cancelado</v>
      </c>
      <c r="I43" s="50"/>
      <c r="J43" s="211"/>
      <c r="K43" s="52"/>
      <c r="L43" s="52"/>
      <c r="M43" s="52"/>
      <c r="N43" s="52"/>
    </row>
    <row r="44" spans="1:14" ht="16.350000000000001" customHeight="1" x14ac:dyDescent="0.4">
      <c r="A44" s="3"/>
      <c r="B44" s="86" t="s">
        <v>440</v>
      </c>
      <c r="C44" s="87" t="s">
        <v>533</v>
      </c>
      <c r="D44" s="212" t="str" cm="1">
        <f t="array" ref="D44">INDEX(Plano_Detalhado!$B$10:$H$47,MATCH(1,(Plano_Detalhado!$E$10:$E$47=$E44)*($F44=Plano_Detalhado!$F$10:$F$47),0),3)</f>
        <v>2. Campo</v>
      </c>
      <c r="E44" s="213" t="s">
        <v>370</v>
      </c>
      <c r="F44" s="212" t="s">
        <v>465</v>
      </c>
      <c r="G44" s="214" t="str" cm="1">
        <f t="array" ref="G44">INDEX(Plano_Detalhado!$B$10:$H$47,MATCH(1,(Plano_Detalhado!$E$10:$E$47=$E44)*($F44=Plano_Detalhado!$F$10:$F$47),0),6)</f>
        <v>0. Cancelado</v>
      </c>
      <c r="H44" s="214" t="str" cm="1">
        <f t="array" ref="H44">INDEX(Plano_Detalhado!$B$10:$H$47,MATCH(1,(Plano_Detalhado!$E$10:$E$47=$E44)*($F44=Plano_Detalhado!$F$10:$F$47),0),7)</f>
        <v>0. Cancelado</v>
      </c>
      <c r="I44" s="214"/>
      <c r="J44" s="215"/>
      <c r="K44" s="216"/>
      <c r="L44" s="216"/>
      <c r="M44" s="216"/>
      <c r="N44" s="216"/>
    </row>
    <row r="45" spans="1:14" ht="16.350000000000001" customHeight="1" x14ac:dyDescent="0.25">
      <c r="A45" s="3"/>
    </row>
    <row r="46" spans="1:14" ht="16.350000000000001" customHeight="1" x14ac:dyDescent="0.25">
      <c r="A46" s="3"/>
    </row>
    <row r="47" spans="1:14" ht="16.350000000000001" customHeight="1" x14ac:dyDescent="0.25">
      <c r="A47" s="3"/>
    </row>
    <row r="48" spans="1:14" ht="16.350000000000001" customHeight="1" x14ac:dyDescent="0.25">
      <c r="A48" s="3"/>
    </row>
    <row r="49" spans="1:1" ht="16.350000000000001" customHeight="1" x14ac:dyDescent="0.25">
      <c r="A49" s="3"/>
    </row>
    <row r="50" spans="1:1" ht="16.350000000000001" customHeight="1" x14ac:dyDescent="0.25">
      <c r="A50" s="3"/>
    </row>
    <row r="51" spans="1:1" ht="16.350000000000001" customHeight="1" x14ac:dyDescent="0.25">
      <c r="A51" s="3"/>
    </row>
    <row r="52" spans="1:1" ht="16.350000000000001" customHeight="1" x14ac:dyDescent="0.25">
      <c r="A52" s="3"/>
    </row>
    <row r="53" spans="1:1" ht="16.350000000000001" customHeight="1" x14ac:dyDescent="0.25">
      <c r="A53" s="3"/>
    </row>
    <row r="54" spans="1:1" ht="16.350000000000001" customHeight="1" x14ac:dyDescent="0.25">
      <c r="A54" s="3"/>
    </row>
    <row r="55" spans="1:1" ht="16.350000000000001" customHeight="1" x14ac:dyDescent="0.25">
      <c r="A55" s="3"/>
    </row>
    <row r="56" spans="1:1" ht="16.350000000000001" customHeight="1" x14ac:dyDescent="0.25">
      <c r="A56" s="3"/>
    </row>
    <row r="57" spans="1:1" ht="16.350000000000001" customHeight="1" x14ac:dyDescent="0.25">
      <c r="A57" s="3"/>
    </row>
    <row r="58" spans="1:1" ht="16.350000000000001" customHeight="1" x14ac:dyDescent="0.25">
      <c r="A58" s="3"/>
    </row>
    <row r="59" spans="1:1" ht="16.350000000000001" customHeight="1" x14ac:dyDescent="0.25">
      <c r="A59" s="3"/>
    </row>
    <row r="60" spans="1:1" ht="16.350000000000001" customHeight="1" x14ac:dyDescent="0.25">
      <c r="A60" s="3"/>
    </row>
    <row r="61" spans="1:1" ht="16.350000000000001" customHeight="1" x14ac:dyDescent="0.25">
      <c r="A61" s="3"/>
    </row>
    <row r="62" spans="1:1" ht="16.350000000000001" customHeight="1" x14ac:dyDescent="0.25">
      <c r="A62" s="3"/>
    </row>
    <row r="63" spans="1:1" ht="16.350000000000001" customHeight="1" x14ac:dyDescent="0.25">
      <c r="A63" s="3"/>
    </row>
    <row r="64" spans="1:1" ht="16.350000000000001" customHeight="1" x14ac:dyDescent="0.25">
      <c r="A64" s="3"/>
    </row>
    <row r="65" spans="1:1" ht="16.350000000000001" customHeight="1" x14ac:dyDescent="0.25">
      <c r="A65" s="3"/>
    </row>
    <row r="66" spans="1:1" ht="16.350000000000001" customHeight="1" x14ac:dyDescent="0.25">
      <c r="A66" s="3"/>
    </row>
    <row r="67" spans="1:1" ht="16.350000000000001" customHeight="1" x14ac:dyDescent="0.25">
      <c r="A67" s="3"/>
    </row>
    <row r="68" spans="1:1" ht="16.350000000000001" customHeight="1" x14ac:dyDescent="0.25">
      <c r="A68" s="3"/>
    </row>
    <row r="69" spans="1:1" ht="16.350000000000001" customHeight="1" x14ac:dyDescent="0.25">
      <c r="A69" s="3"/>
    </row>
    <row r="70" spans="1:1" ht="16.350000000000001" customHeight="1" x14ac:dyDescent="0.25">
      <c r="A70" s="3"/>
    </row>
    <row r="71" spans="1:1" ht="16.350000000000001" customHeight="1" x14ac:dyDescent="0.25">
      <c r="A71" s="3"/>
    </row>
    <row r="72" spans="1:1" ht="16.350000000000001" customHeight="1" x14ac:dyDescent="0.25">
      <c r="A72" s="3"/>
    </row>
    <row r="73" spans="1:1" ht="16.350000000000001" customHeight="1" x14ac:dyDescent="0.25">
      <c r="A73" s="3"/>
    </row>
    <row r="74" spans="1:1" ht="16.350000000000001" customHeight="1" x14ac:dyDescent="0.25">
      <c r="A74" s="3"/>
    </row>
    <row r="75" spans="1:1" ht="16.350000000000001" customHeight="1" x14ac:dyDescent="0.25">
      <c r="A75" s="3"/>
    </row>
    <row r="76" spans="1:1" ht="16.350000000000001" customHeight="1" x14ac:dyDescent="0.25">
      <c r="A76" s="3"/>
    </row>
    <row r="77" spans="1:1" ht="16.350000000000001" customHeight="1" x14ac:dyDescent="0.25">
      <c r="A77" s="3"/>
    </row>
    <row r="78" spans="1:1" ht="16.350000000000001" customHeight="1" x14ac:dyDescent="0.25">
      <c r="A78" s="3"/>
    </row>
    <row r="79" spans="1:1" ht="16.350000000000001" customHeight="1" x14ac:dyDescent="0.25">
      <c r="A79" s="3"/>
    </row>
    <row r="80" spans="1:1" ht="16.350000000000001" customHeight="1" x14ac:dyDescent="0.25">
      <c r="A80" s="3"/>
    </row>
    <row r="81" spans="1:1" ht="16.350000000000001" customHeight="1" x14ac:dyDescent="0.25">
      <c r="A81" s="3"/>
    </row>
    <row r="82" spans="1:1" ht="16.350000000000001" customHeight="1" x14ac:dyDescent="0.25">
      <c r="A82" s="3"/>
    </row>
    <row r="83" spans="1:1" ht="16.350000000000001" customHeight="1" x14ac:dyDescent="0.25">
      <c r="A83" s="3"/>
    </row>
    <row r="84" spans="1:1" ht="16.350000000000001" customHeight="1" x14ac:dyDescent="0.25">
      <c r="A84" s="3"/>
    </row>
    <row r="85" spans="1:1" ht="16.350000000000001" customHeight="1" x14ac:dyDescent="0.25">
      <c r="A85" s="3"/>
    </row>
    <row r="86" spans="1:1" ht="16.350000000000001" customHeight="1" x14ac:dyDescent="0.25">
      <c r="A86" s="3"/>
    </row>
    <row r="87" spans="1:1" ht="16.350000000000001" customHeight="1" x14ac:dyDescent="0.25">
      <c r="A87" s="3"/>
    </row>
    <row r="88" spans="1:1" ht="16.350000000000001" customHeight="1" x14ac:dyDescent="0.25">
      <c r="A88" s="3"/>
    </row>
    <row r="89" spans="1:1" ht="16.350000000000001" customHeight="1" x14ac:dyDescent="0.25">
      <c r="A89" s="3"/>
    </row>
    <row r="90" spans="1:1" ht="16.350000000000001" customHeight="1" x14ac:dyDescent="0.25">
      <c r="A90" s="3"/>
    </row>
    <row r="91" spans="1:1" ht="16.350000000000001" customHeight="1" x14ac:dyDescent="0.25">
      <c r="A91" s="3"/>
    </row>
    <row r="92" spans="1:1" ht="16.350000000000001" customHeight="1" x14ac:dyDescent="0.25">
      <c r="A92" s="3"/>
    </row>
    <row r="93" spans="1:1" ht="16.350000000000001" customHeight="1" x14ac:dyDescent="0.25">
      <c r="A93" s="3"/>
    </row>
    <row r="94" spans="1:1" ht="16.350000000000001" customHeight="1" x14ac:dyDescent="0.25">
      <c r="A94" s="3"/>
    </row>
    <row r="95" spans="1:1" ht="16.350000000000001" customHeight="1" x14ac:dyDescent="0.25">
      <c r="A95" s="3"/>
    </row>
    <row r="96" spans="1:1" ht="16.350000000000001" customHeight="1" x14ac:dyDescent="0.25">
      <c r="A96" s="3"/>
    </row>
    <row r="97" spans="1:1" ht="16.350000000000001" customHeight="1" x14ac:dyDescent="0.25">
      <c r="A97" s="3"/>
    </row>
    <row r="98" spans="1:1" ht="16.350000000000001" customHeight="1" x14ac:dyDescent="0.25">
      <c r="A98" s="3"/>
    </row>
    <row r="99" spans="1:1" ht="16.350000000000001" customHeight="1" x14ac:dyDescent="0.25">
      <c r="A99" s="3"/>
    </row>
    <row r="100" spans="1:1" ht="16.350000000000001" customHeight="1" x14ac:dyDescent="0.25">
      <c r="A100" s="3"/>
    </row>
    <row r="101" spans="1:1" ht="16.350000000000001" customHeight="1" x14ac:dyDescent="0.25">
      <c r="A101" s="3"/>
    </row>
    <row r="102" spans="1:1" ht="16.350000000000001" customHeight="1" x14ac:dyDescent="0.25">
      <c r="A102" s="3"/>
    </row>
    <row r="103" spans="1:1" ht="16.350000000000001" customHeight="1" x14ac:dyDescent="0.25">
      <c r="A103" s="3"/>
    </row>
    <row r="104" spans="1:1" ht="16.350000000000001" customHeight="1" x14ac:dyDescent="0.25">
      <c r="A104" s="3"/>
    </row>
    <row r="105" spans="1:1" ht="16.350000000000001" customHeight="1" x14ac:dyDescent="0.25">
      <c r="A105" s="3"/>
    </row>
    <row r="106" spans="1:1" ht="16.350000000000001" customHeight="1" x14ac:dyDescent="0.25">
      <c r="A106" s="3"/>
    </row>
    <row r="107" spans="1:1" ht="16.350000000000001" customHeight="1" x14ac:dyDescent="0.25">
      <c r="A107" s="3"/>
    </row>
    <row r="108" spans="1:1" ht="16.350000000000001" customHeight="1" x14ac:dyDescent="0.25">
      <c r="A108" s="3"/>
    </row>
    <row r="109" spans="1:1" ht="16.350000000000001" customHeight="1" x14ac:dyDescent="0.25">
      <c r="A109" s="3"/>
    </row>
    <row r="110" spans="1:1" ht="16.350000000000001" customHeight="1" x14ac:dyDescent="0.25">
      <c r="A110" s="3"/>
    </row>
    <row r="111" spans="1:1" ht="16.350000000000001" customHeight="1" x14ac:dyDescent="0.25">
      <c r="A111" s="3"/>
    </row>
    <row r="112" spans="1:1" ht="16.350000000000001" customHeight="1" x14ac:dyDescent="0.25">
      <c r="A112" s="3"/>
    </row>
    <row r="113" spans="1:1" ht="16.350000000000001" customHeight="1" x14ac:dyDescent="0.25">
      <c r="A113" s="3"/>
    </row>
    <row r="114" spans="1:1" ht="16.350000000000001" customHeight="1" x14ac:dyDescent="0.25">
      <c r="A114" s="3"/>
    </row>
    <row r="115" spans="1:1" ht="16.350000000000001" customHeight="1" x14ac:dyDescent="0.25">
      <c r="A115" s="3"/>
    </row>
    <row r="116" spans="1:1" ht="16.350000000000001" customHeight="1" x14ac:dyDescent="0.25">
      <c r="A116" s="3"/>
    </row>
    <row r="117" spans="1:1" ht="16.350000000000001" customHeight="1" x14ac:dyDescent="0.25">
      <c r="A117" s="3"/>
    </row>
    <row r="118" spans="1:1" ht="16.350000000000001" customHeight="1" x14ac:dyDescent="0.25">
      <c r="A118" s="3"/>
    </row>
    <row r="119" spans="1:1" ht="16.350000000000001" customHeight="1" x14ac:dyDescent="0.25">
      <c r="A119" s="3"/>
    </row>
    <row r="120" spans="1:1" ht="16.350000000000001" customHeight="1" x14ac:dyDescent="0.25">
      <c r="A120" s="3"/>
    </row>
    <row r="121" spans="1:1" ht="16.350000000000001" customHeight="1" x14ac:dyDescent="0.25">
      <c r="A121" s="3"/>
    </row>
    <row r="122" spans="1:1" ht="16.350000000000001" customHeight="1" x14ac:dyDescent="0.25">
      <c r="A122" s="3"/>
    </row>
    <row r="123" spans="1:1" ht="16.350000000000001" customHeight="1" x14ac:dyDescent="0.25">
      <c r="A123" s="3"/>
    </row>
    <row r="124" spans="1:1" ht="16.350000000000001" customHeight="1" x14ac:dyDescent="0.25">
      <c r="A124" s="3"/>
    </row>
    <row r="125" spans="1:1" ht="16.350000000000001" customHeight="1" x14ac:dyDescent="0.25">
      <c r="A125" s="3"/>
    </row>
    <row r="126" spans="1:1" ht="16.350000000000001" customHeight="1" x14ac:dyDescent="0.25">
      <c r="A126" s="3"/>
    </row>
    <row r="127" spans="1:1" ht="16.350000000000001" customHeight="1" x14ac:dyDescent="0.25">
      <c r="A127" s="3"/>
    </row>
    <row r="128" spans="1:1" ht="16.350000000000001" customHeight="1" x14ac:dyDescent="0.25">
      <c r="A128" s="3"/>
    </row>
    <row r="129" spans="1:1" ht="16.350000000000001" customHeight="1" x14ac:dyDescent="0.25">
      <c r="A129" s="3"/>
    </row>
    <row r="130" spans="1:1" ht="16.350000000000001" customHeight="1" x14ac:dyDescent="0.25">
      <c r="A130" s="3"/>
    </row>
    <row r="131" spans="1:1" ht="16.350000000000001" customHeight="1" x14ac:dyDescent="0.25">
      <c r="A131" s="3"/>
    </row>
    <row r="132" spans="1:1" ht="16.350000000000001" customHeight="1" x14ac:dyDescent="0.25">
      <c r="A132" s="3"/>
    </row>
    <row r="133" spans="1:1" ht="16.350000000000001" customHeight="1" x14ac:dyDescent="0.25">
      <c r="A133" s="3"/>
    </row>
    <row r="134" spans="1:1" ht="16.350000000000001" customHeight="1" x14ac:dyDescent="0.25">
      <c r="A134" s="3"/>
    </row>
    <row r="135" spans="1:1" ht="16.350000000000001" customHeight="1" x14ac:dyDescent="0.25">
      <c r="A135" s="3"/>
    </row>
    <row r="136" spans="1:1" ht="16.350000000000001" customHeight="1" x14ac:dyDescent="0.25">
      <c r="A136" s="3"/>
    </row>
    <row r="137" spans="1:1" ht="16.350000000000001" customHeight="1" x14ac:dyDescent="0.25">
      <c r="A137" s="3"/>
    </row>
    <row r="138" spans="1:1" ht="16.350000000000001" customHeight="1" x14ac:dyDescent="0.25">
      <c r="A138" s="3"/>
    </row>
    <row r="139" spans="1:1" ht="16.350000000000001" customHeight="1" x14ac:dyDescent="0.25">
      <c r="A139" s="3"/>
    </row>
    <row r="140" spans="1:1" ht="16.350000000000001" customHeight="1" x14ac:dyDescent="0.25">
      <c r="A140" s="3"/>
    </row>
    <row r="141" spans="1:1" ht="16.350000000000001" customHeight="1" x14ac:dyDescent="0.25">
      <c r="A141" s="3"/>
    </row>
    <row r="142" spans="1:1" ht="16.350000000000001" customHeight="1" x14ac:dyDescent="0.25">
      <c r="A142" s="3"/>
    </row>
    <row r="143" spans="1:1" ht="16.350000000000001" customHeight="1" x14ac:dyDescent="0.25">
      <c r="A143" s="3"/>
    </row>
    <row r="144" spans="1:1" ht="16.350000000000001" customHeight="1" x14ac:dyDescent="0.25">
      <c r="A144" s="3"/>
    </row>
    <row r="145" spans="1:1" ht="16.350000000000001" customHeight="1" x14ac:dyDescent="0.25">
      <c r="A145" s="3"/>
    </row>
    <row r="146" spans="1:1" ht="16.350000000000001" customHeight="1" x14ac:dyDescent="0.25">
      <c r="A146" s="3"/>
    </row>
    <row r="147" spans="1:1" ht="16.350000000000001" customHeight="1" x14ac:dyDescent="0.25">
      <c r="A147" s="3"/>
    </row>
    <row r="148" spans="1:1" ht="16.350000000000001" customHeight="1" x14ac:dyDescent="0.25">
      <c r="A148" s="3"/>
    </row>
    <row r="149" spans="1:1" ht="16.350000000000001" customHeight="1" x14ac:dyDescent="0.25">
      <c r="A149" s="3"/>
    </row>
    <row r="150" spans="1:1" ht="16.350000000000001" customHeight="1" x14ac:dyDescent="0.25">
      <c r="A150" s="3"/>
    </row>
    <row r="151" spans="1:1" ht="16.350000000000001" customHeight="1" x14ac:dyDescent="0.25">
      <c r="A151" s="3"/>
    </row>
    <row r="152" spans="1:1" ht="16.350000000000001" customHeight="1" x14ac:dyDescent="0.25">
      <c r="A152" s="3"/>
    </row>
    <row r="153" spans="1:1" ht="16.350000000000001" customHeight="1" x14ac:dyDescent="0.25">
      <c r="A153" s="3"/>
    </row>
    <row r="154" spans="1:1" ht="16.350000000000001" customHeight="1" x14ac:dyDescent="0.25">
      <c r="A154" s="3"/>
    </row>
    <row r="155" spans="1:1" ht="16.350000000000001" customHeight="1" x14ac:dyDescent="0.25">
      <c r="A155" s="3"/>
    </row>
    <row r="156" spans="1:1" ht="16.350000000000001" customHeight="1" x14ac:dyDescent="0.25">
      <c r="A156" s="3"/>
    </row>
    <row r="157" spans="1:1" ht="16.350000000000001" customHeight="1" x14ac:dyDescent="0.25">
      <c r="A157" s="3"/>
    </row>
    <row r="158" spans="1:1" ht="16.350000000000001" customHeight="1" x14ac:dyDescent="0.25">
      <c r="A158" s="3"/>
    </row>
    <row r="159" spans="1:1" ht="16.350000000000001" customHeight="1" x14ac:dyDescent="0.25">
      <c r="A159" s="3"/>
    </row>
    <row r="160" spans="1:1" ht="16.350000000000001" customHeight="1" x14ac:dyDescent="0.25">
      <c r="A160" s="3"/>
    </row>
    <row r="161" spans="1:1" ht="16.350000000000001" customHeight="1" x14ac:dyDescent="0.25">
      <c r="A161" s="3"/>
    </row>
    <row r="162" spans="1:1" ht="16.350000000000001" customHeight="1" x14ac:dyDescent="0.25">
      <c r="A162" s="3"/>
    </row>
    <row r="163" spans="1:1" ht="16.350000000000001" customHeight="1" x14ac:dyDescent="0.25">
      <c r="A163" s="3"/>
    </row>
    <row r="164" spans="1:1" ht="16.350000000000001" customHeight="1" x14ac:dyDescent="0.25">
      <c r="A164" s="3"/>
    </row>
    <row r="165" spans="1:1" ht="16.350000000000001" customHeight="1" x14ac:dyDescent="0.25">
      <c r="A165" s="3"/>
    </row>
    <row r="166" spans="1:1" ht="16.350000000000001" customHeight="1" x14ac:dyDescent="0.25">
      <c r="A166" s="3"/>
    </row>
    <row r="167" spans="1:1" ht="16.350000000000001" customHeight="1" x14ac:dyDescent="0.25">
      <c r="A167" s="3"/>
    </row>
    <row r="168" spans="1:1" ht="16.350000000000001" customHeight="1" x14ac:dyDescent="0.25">
      <c r="A168" s="3"/>
    </row>
    <row r="169" spans="1:1" ht="16.350000000000001" customHeight="1" x14ac:dyDescent="0.25">
      <c r="A169" s="3"/>
    </row>
    <row r="170" spans="1:1" ht="16.350000000000001" customHeight="1" x14ac:dyDescent="0.25">
      <c r="A170" s="3"/>
    </row>
    <row r="171" spans="1:1" ht="16.350000000000001" customHeight="1" x14ac:dyDescent="0.25">
      <c r="A171" s="3"/>
    </row>
    <row r="172" spans="1:1" ht="16.350000000000001" customHeight="1" x14ac:dyDescent="0.25">
      <c r="A172" s="3"/>
    </row>
    <row r="173" spans="1:1" ht="16.350000000000001" customHeight="1" x14ac:dyDescent="0.25">
      <c r="A173" s="3"/>
    </row>
    <row r="174" spans="1:1" ht="16.350000000000001" customHeight="1" x14ac:dyDescent="0.25">
      <c r="A174" s="3"/>
    </row>
    <row r="175" spans="1:1" ht="16.350000000000001" customHeight="1" x14ac:dyDescent="0.25">
      <c r="A175" s="3"/>
    </row>
    <row r="176" spans="1:1" ht="16.350000000000001" customHeight="1" x14ac:dyDescent="0.25">
      <c r="A176" s="3"/>
    </row>
    <row r="177" spans="1:1" ht="16.350000000000001" customHeight="1" x14ac:dyDescent="0.25">
      <c r="A177" s="3"/>
    </row>
    <row r="178" spans="1:1" ht="16.350000000000001" customHeight="1" x14ac:dyDescent="0.25">
      <c r="A178" s="3"/>
    </row>
    <row r="179" spans="1:1" ht="16.350000000000001" customHeight="1" x14ac:dyDescent="0.25">
      <c r="A179" s="3"/>
    </row>
    <row r="180" spans="1:1" ht="16.350000000000001" customHeight="1" x14ac:dyDescent="0.25">
      <c r="A180" s="3"/>
    </row>
    <row r="181" spans="1:1" ht="16.350000000000001" customHeight="1" x14ac:dyDescent="0.25">
      <c r="A181" s="3"/>
    </row>
    <row r="182" spans="1:1" ht="16.350000000000001" customHeight="1" x14ac:dyDescent="0.25">
      <c r="A182" s="3"/>
    </row>
    <row r="183" spans="1:1" ht="16.350000000000001" customHeight="1" x14ac:dyDescent="0.25">
      <c r="A183" s="3"/>
    </row>
    <row r="184" spans="1:1" ht="16.350000000000001" customHeight="1" x14ac:dyDescent="0.25">
      <c r="A184" s="3"/>
    </row>
    <row r="185" spans="1:1" ht="16.350000000000001" customHeight="1" x14ac:dyDescent="0.25">
      <c r="A185" s="3"/>
    </row>
    <row r="186" spans="1:1" ht="16.350000000000001" customHeight="1" x14ac:dyDescent="0.25">
      <c r="A186" s="3"/>
    </row>
    <row r="187" spans="1:1" ht="16.350000000000001" customHeight="1" x14ac:dyDescent="0.25">
      <c r="A187" s="3"/>
    </row>
    <row r="188" spans="1:1" ht="16.350000000000001" customHeight="1" x14ac:dyDescent="0.25">
      <c r="A188" s="3"/>
    </row>
    <row r="189" spans="1:1" ht="16.350000000000001" customHeight="1" x14ac:dyDescent="0.25">
      <c r="A189" s="3"/>
    </row>
    <row r="190" spans="1:1" ht="16.350000000000001" customHeight="1" x14ac:dyDescent="0.25">
      <c r="A190" s="3"/>
    </row>
    <row r="191" spans="1:1" ht="16.350000000000001" customHeight="1" x14ac:dyDescent="0.25">
      <c r="A191" s="3"/>
    </row>
    <row r="192" spans="1:1" ht="16.350000000000001" customHeight="1" x14ac:dyDescent="0.25">
      <c r="A192" s="3"/>
    </row>
    <row r="193" spans="1:1" ht="16.350000000000001" customHeight="1" x14ac:dyDescent="0.25">
      <c r="A193" s="3"/>
    </row>
    <row r="194" spans="1:1" ht="16.350000000000001" customHeight="1" x14ac:dyDescent="0.25">
      <c r="A194" s="3"/>
    </row>
    <row r="195" spans="1:1" ht="16.350000000000001" customHeight="1" x14ac:dyDescent="0.25">
      <c r="A195" s="3"/>
    </row>
    <row r="196" spans="1:1" ht="16.350000000000001" customHeight="1" x14ac:dyDescent="0.25">
      <c r="A196" s="3"/>
    </row>
    <row r="197" spans="1:1" ht="16.350000000000001" customHeight="1" x14ac:dyDescent="0.25">
      <c r="A197" s="3"/>
    </row>
    <row r="198" spans="1:1" ht="16.350000000000001" customHeight="1" x14ac:dyDescent="0.25">
      <c r="A198" s="3"/>
    </row>
    <row r="199" spans="1:1" ht="16.350000000000001" customHeight="1" x14ac:dyDescent="0.25">
      <c r="A199" s="3"/>
    </row>
    <row r="200" spans="1:1" ht="16.350000000000001" customHeight="1" x14ac:dyDescent="0.25">
      <c r="A200" s="3"/>
    </row>
    <row r="201" spans="1:1" ht="16.350000000000001" customHeight="1" x14ac:dyDescent="0.25">
      <c r="A201" s="3"/>
    </row>
    <row r="202" spans="1:1" ht="16.350000000000001" customHeight="1" x14ac:dyDescent="0.25">
      <c r="A202" s="3"/>
    </row>
    <row r="203" spans="1:1" ht="16.350000000000001" customHeight="1" x14ac:dyDescent="0.25">
      <c r="A203" s="3"/>
    </row>
    <row r="204" spans="1:1" ht="16.350000000000001" customHeight="1" x14ac:dyDescent="0.25">
      <c r="A204" s="3"/>
    </row>
    <row r="205" spans="1:1" ht="16.350000000000001" customHeight="1" x14ac:dyDescent="0.25">
      <c r="A205" s="3"/>
    </row>
    <row r="206" spans="1:1" ht="16.350000000000001" customHeight="1" x14ac:dyDescent="0.25">
      <c r="A206" s="3"/>
    </row>
    <row r="207" spans="1:1" ht="16.350000000000001" customHeight="1" x14ac:dyDescent="0.25">
      <c r="A207" s="3"/>
    </row>
    <row r="208" spans="1:1" ht="16.350000000000001" customHeight="1" x14ac:dyDescent="0.25">
      <c r="A208" s="3"/>
    </row>
    <row r="209" spans="1:1" ht="16.350000000000001" customHeight="1" x14ac:dyDescent="0.25">
      <c r="A209" s="3"/>
    </row>
    <row r="210" spans="1:1" ht="16.350000000000001" customHeight="1" x14ac:dyDescent="0.25">
      <c r="A210" s="3"/>
    </row>
    <row r="211" spans="1:1" ht="16.350000000000001" customHeight="1" x14ac:dyDescent="0.25">
      <c r="A211" s="3"/>
    </row>
    <row r="212" spans="1:1" ht="16.350000000000001" customHeight="1" x14ac:dyDescent="0.25">
      <c r="A212" s="3"/>
    </row>
    <row r="213" spans="1:1" ht="16.350000000000001" customHeight="1" x14ac:dyDescent="0.25">
      <c r="A213" s="3"/>
    </row>
    <row r="214" spans="1:1" ht="16.350000000000001" customHeight="1" x14ac:dyDescent="0.25">
      <c r="A214" s="3"/>
    </row>
    <row r="215" spans="1:1" ht="16.350000000000001" customHeight="1" x14ac:dyDescent="0.25">
      <c r="A215" s="3"/>
    </row>
    <row r="216" spans="1:1" ht="16.350000000000001" customHeight="1" x14ac:dyDescent="0.25">
      <c r="A216" s="3"/>
    </row>
    <row r="217" spans="1:1" ht="16.350000000000001" customHeight="1" x14ac:dyDescent="0.25">
      <c r="A217" s="3"/>
    </row>
    <row r="218" spans="1:1" ht="16.350000000000001" customHeight="1" x14ac:dyDescent="0.25">
      <c r="A218" s="3"/>
    </row>
    <row r="219" spans="1:1" ht="16.350000000000001" customHeight="1" x14ac:dyDescent="0.25">
      <c r="A219" s="3"/>
    </row>
    <row r="220" spans="1:1" ht="16.350000000000001" customHeight="1" x14ac:dyDescent="0.25">
      <c r="A220" s="3"/>
    </row>
    <row r="221" spans="1:1" ht="16.350000000000001" customHeight="1" x14ac:dyDescent="0.25">
      <c r="A221" s="3"/>
    </row>
    <row r="222" spans="1:1" ht="16.350000000000001" customHeight="1" x14ac:dyDescent="0.25">
      <c r="A222" s="3"/>
    </row>
    <row r="223" spans="1:1" ht="16.350000000000001" customHeight="1" x14ac:dyDescent="0.25">
      <c r="A223" s="3"/>
    </row>
    <row r="224" spans="1:1" ht="16.350000000000001" customHeight="1" x14ac:dyDescent="0.25">
      <c r="A224" s="3"/>
    </row>
    <row r="225" spans="1:1" ht="16.350000000000001" customHeight="1" x14ac:dyDescent="0.25">
      <c r="A225" s="3"/>
    </row>
    <row r="226" spans="1:1" ht="16.350000000000001" customHeight="1" x14ac:dyDescent="0.25">
      <c r="A226" s="3"/>
    </row>
    <row r="227" spans="1:1" ht="16.350000000000001" customHeight="1" x14ac:dyDescent="0.25">
      <c r="A227" s="3"/>
    </row>
    <row r="228" spans="1:1" ht="16.350000000000001" customHeight="1" x14ac:dyDescent="0.25">
      <c r="A228" s="3"/>
    </row>
    <row r="229" spans="1:1" ht="16.350000000000001" customHeight="1" x14ac:dyDescent="0.25">
      <c r="A229" s="3"/>
    </row>
    <row r="230" spans="1:1" ht="16.350000000000001" customHeight="1" x14ac:dyDescent="0.25">
      <c r="A230" s="3"/>
    </row>
    <row r="231" spans="1:1" ht="16.350000000000001" customHeight="1" x14ac:dyDescent="0.25">
      <c r="A231" s="3"/>
    </row>
    <row r="232" spans="1:1" ht="16.350000000000001" customHeight="1" x14ac:dyDescent="0.25">
      <c r="A232" s="3"/>
    </row>
    <row r="233" spans="1:1" ht="16.350000000000001" customHeight="1" x14ac:dyDescent="0.25">
      <c r="A233" s="3"/>
    </row>
    <row r="234" spans="1:1" ht="16.350000000000001" customHeight="1" x14ac:dyDescent="0.25">
      <c r="A234" s="3"/>
    </row>
    <row r="235" spans="1:1" ht="16.350000000000001" customHeight="1" x14ac:dyDescent="0.25">
      <c r="A235" s="3"/>
    </row>
    <row r="236" spans="1:1" ht="16.350000000000001" customHeight="1" x14ac:dyDescent="0.25">
      <c r="A236" s="3"/>
    </row>
    <row r="237" spans="1:1" ht="16.350000000000001" customHeight="1" x14ac:dyDescent="0.25">
      <c r="A237" s="3"/>
    </row>
    <row r="238" spans="1:1" ht="16.350000000000001" customHeight="1" x14ac:dyDescent="0.25">
      <c r="A238" s="3"/>
    </row>
    <row r="239" spans="1:1" ht="16.350000000000001" customHeight="1" x14ac:dyDescent="0.25">
      <c r="A239" s="3"/>
    </row>
    <row r="240" spans="1:1" ht="16.350000000000001" customHeight="1" x14ac:dyDescent="0.25">
      <c r="A240" s="3"/>
    </row>
    <row r="241" spans="1:1" ht="16.350000000000001" customHeight="1" x14ac:dyDescent="0.25">
      <c r="A241" s="3"/>
    </row>
    <row r="242" spans="1:1" ht="16.350000000000001" customHeight="1" x14ac:dyDescent="0.25">
      <c r="A242" s="3"/>
    </row>
    <row r="243" spans="1:1" ht="16.350000000000001" customHeight="1" x14ac:dyDescent="0.25">
      <c r="A243" s="3"/>
    </row>
    <row r="244" spans="1:1" ht="16.350000000000001" customHeight="1" x14ac:dyDescent="0.25">
      <c r="A244" s="3"/>
    </row>
    <row r="245" spans="1:1" ht="16.350000000000001" customHeight="1" x14ac:dyDescent="0.25">
      <c r="A245" s="3"/>
    </row>
    <row r="246" spans="1:1" ht="16.350000000000001" customHeight="1" x14ac:dyDescent="0.25">
      <c r="A246" s="3"/>
    </row>
    <row r="247" spans="1:1" ht="16.350000000000001" customHeight="1" x14ac:dyDescent="0.25">
      <c r="A247" s="3"/>
    </row>
    <row r="248" spans="1:1" ht="16.350000000000001" customHeight="1" x14ac:dyDescent="0.25">
      <c r="A248" s="3"/>
    </row>
    <row r="249" spans="1:1" ht="16.350000000000001" customHeight="1" x14ac:dyDescent="0.25">
      <c r="A249" s="3"/>
    </row>
    <row r="250" spans="1:1" ht="16.350000000000001" customHeight="1" x14ac:dyDescent="0.25">
      <c r="A250" s="3"/>
    </row>
    <row r="251" spans="1:1" ht="16.350000000000001" customHeight="1" x14ac:dyDescent="0.25">
      <c r="A251" s="3"/>
    </row>
    <row r="252" spans="1:1" ht="16.350000000000001" customHeight="1" x14ac:dyDescent="0.25">
      <c r="A252" s="3"/>
    </row>
    <row r="253" spans="1:1" ht="16.350000000000001" customHeight="1" x14ac:dyDescent="0.25">
      <c r="A253" s="3"/>
    </row>
    <row r="254" spans="1:1" ht="16.350000000000001" customHeight="1" x14ac:dyDescent="0.25">
      <c r="A254" s="3"/>
    </row>
    <row r="255" spans="1:1" ht="16.350000000000001" customHeight="1" x14ac:dyDescent="0.25">
      <c r="A255" s="3"/>
    </row>
    <row r="256" spans="1:1" ht="16.350000000000001" customHeight="1" x14ac:dyDescent="0.25">
      <c r="A256" s="3"/>
    </row>
    <row r="257" spans="1:1" ht="16.350000000000001" customHeight="1" x14ac:dyDescent="0.25">
      <c r="A257" s="3"/>
    </row>
    <row r="258" spans="1:1" ht="16.350000000000001" customHeight="1" x14ac:dyDescent="0.25">
      <c r="A258" s="3"/>
    </row>
    <row r="259" spans="1:1" ht="16.350000000000001" customHeight="1" x14ac:dyDescent="0.25">
      <c r="A259" s="3"/>
    </row>
    <row r="260" spans="1:1" ht="16.350000000000001" customHeight="1" x14ac:dyDescent="0.25">
      <c r="A260" s="3"/>
    </row>
    <row r="261" spans="1:1" ht="16.350000000000001" customHeight="1" x14ac:dyDescent="0.25">
      <c r="A261" s="3"/>
    </row>
    <row r="262" spans="1:1" ht="16.350000000000001" customHeight="1" x14ac:dyDescent="0.25">
      <c r="A262" s="3"/>
    </row>
    <row r="263" spans="1:1" ht="16.350000000000001" customHeight="1" x14ac:dyDescent="0.25">
      <c r="A263" s="3"/>
    </row>
    <row r="264" spans="1:1" ht="16.350000000000001" customHeight="1" x14ac:dyDescent="0.25">
      <c r="A264" s="3"/>
    </row>
    <row r="265" spans="1:1" ht="16.350000000000001" customHeight="1" x14ac:dyDescent="0.25">
      <c r="A265" s="3"/>
    </row>
    <row r="266" spans="1:1" ht="16.350000000000001" customHeight="1" x14ac:dyDescent="0.25">
      <c r="A266" s="3"/>
    </row>
    <row r="267" spans="1:1" ht="16.350000000000001" customHeight="1" x14ac:dyDescent="0.25">
      <c r="A267" s="3"/>
    </row>
    <row r="268" spans="1:1" ht="16.350000000000001" customHeight="1" x14ac:dyDescent="0.25">
      <c r="A268" s="3"/>
    </row>
    <row r="269" spans="1:1" ht="16.350000000000001" customHeight="1" x14ac:dyDescent="0.25">
      <c r="A269" s="3"/>
    </row>
    <row r="270" spans="1:1" ht="16.350000000000001" customHeight="1" x14ac:dyDescent="0.25">
      <c r="A270" s="3"/>
    </row>
    <row r="271" spans="1:1" ht="16.350000000000001" customHeight="1" x14ac:dyDescent="0.25">
      <c r="A271" s="3"/>
    </row>
    <row r="272" spans="1:1" ht="16.350000000000001" customHeight="1" x14ac:dyDescent="0.25">
      <c r="A272" s="3"/>
    </row>
    <row r="273" spans="1:1" ht="16.350000000000001" customHeight="1" x14ac:dyDescent="0.25">
      <c r="A273" s="3"/>
    </row>
    <row r="274" spans="1:1" ht="16.350000000000001" customHeight="1" x14ac:dyDescent="0.25">
      <c r="A274" s="3"/>
    </row>
    <row r="275" spans="1:1" ht="16.350000000000001" customHeight="1" x14ac:dyDescent="0.25">
      <c r="A275" s="3"/>
    </row>
    <row r="276" spans="1:1" ht="16.350000000000001" customHeight="1" x14ac:dyDescent="0.25">
      <c r="A276" s="3"/>
    </row>
    <row r="277" spans="1:1" ht="16.350000000000001" customHeight="1" x14ac:dyDescent="0.25">
      <c r="A277" s="3"/>
    </row>
    <row r="278" spans="1:1" ht="16.350000000000001" customHeight="1" x14ac:dyDescent="0.25">
      <c r="A278" s="3"/>
    </row>
    <row r="279" spans="1:1" ht="16.350000000000001" customHeight="1" x14ac:dyDescent="0.25">
      <c r="A279" s="3"/>
    </row>
    <row r="280" spans="1:1" ht="16.350000000000001" customHeight="1" x14ac:dyDescent="0.25">
      <c r="A280" s="3"/>
    </row>
    <row r="281" spans="1:1" ht="16.350000000000001" customHeight="1" x14ac:dyDescent="0.25">
      <c r="A281" s="3"/>
    </row>
    <row r="282" spans="1:1" ht="16.350000000000001" customHeight="1" x14ac:dyDescent="0.25">
      <c r="A282" s="3"/>
    </row>
    <row r="283" spans="1:1" ht="16.350000000000001" customHeight="1" x14ac:dyDescent="0.25">
      <c r="A283" s="3"/>
    </row>
    <row r="284" spans="1:1" ht="16.350000000000001" customHeight="1" x14ac:dyDescent="0.25">
      <c r="A284" s="3"/>
    </row>
    <row r="285" spans="1:1" ht="16.350000000000001" customHeight="1" x14ac:dyDescent="0.25">
      <c r="A285" s="3"/>
    </row>
    <row r="286" spans="1:1" ht="16.350000000000001" customHeight="1" x14ac:dyDescent="0.25">
      <c r="A286" s="3"/>
    </row>
    <row r="287" spans="1:1" ht="16.350000000000001" customHeight="1" x14ac:dyDescent="0.25">
      <c r="A287" s="3"/>
    </row>
    <row r="288" spans="1:1" ht="16.350000000000001" customHeight="1" x14ac:dyDescent="0.25">
      <c r="A288" s="3"/>
    </row>
    <row r="289" spans="1:1" ht="16.350000000000001" customHeight="1" x14ac:dyDescent="0.25">
      <c r="A289" s="3"/>
    </row>
    <row r="290" spans="1:1" ht="16.350000000000001" customHeight="1" x14ac:dyDescent="0.25">
      <c r="A290" s="3"/>
    </row>
    <row r="291" spans="1:1" ht="16.350000000000001" customHeight="1" x14ac:dyDescent="0.25">
      <c r="A291" s="3"/>
    </row>
    <row r="292" spans="1:1" ht="16.350000000000001" customHeight="1" x14ac:dyDescent="0.25">
      <c r="A292" s="3"/>
    </row>
    <row r="293" spans="1:1" ht="16.350000000000001" customHeight="1" x14ac:dyDescent="0.25">
      <c r="A293" s="3"/>
    </row>
    <row r="294" spans="1:1" ht="16.350000000000001" customHeight="1" x14ac:dyDescent="0.25">
      <c r="A294" s="3"/>
    </row>
    <row r="295" spans="1:1" ht="16.350000000000001" customHeight="1" x14ac:dyDescent="0.25">
      <c r="A295" s="3"/>
    </row>
    <row r="296" spans="1:1" ht="16.350000000000001" customHeight="1" x14ac:dyDescent="0.25">
      <c r="A296" s="3"/>
    </row>
    <row r="297" spans="1:1" ht="16.350000000000001" customHeight="1" x14ac:dyDescent="0.25">
      <c r="A297" s="3"/>
    </row>
    <row r="298" spans="1:1" ht="16.350000000000001" customHeight="1" x14ac:dyDescent="0.25">
      <c r="A298" s="3"/>
    </row>
    <row r="299" spans="1:1" ht="16.350000000000001" customHeight="1" x14ac:dyDescent="0.25">
      <c r="A299" s="3"/>
    </row>
    <row r="300" spans="1:1" ht="16.350000000000001" customHeight="1" x14ac:dyDescent="0.25">
      <c r="A300" s="3"/>
    </row>
    <row r="301" spans="1:1" ht="16.350000000000001" customHeight="1" x14ac:dyDescent="0.25">
      <c r="A301" s="3"/>
    </row>
    <row r="302" spans="1:1" ht="16.350000000000001" customHeight="1" x14ac:dyDescent="0.25">
      <c r="A302" s="3"/>
    </row>
    <row r="303" spans="1:1" ht="16.350000000000001" customHeight="1" x14ac:dyDescent="0.25">
      <c r="A303" s="3"/>
    </row>
    <row r="304" spans="1:1" ht="16.350000000000001" customHeight="1" x14ac:dyDescent="0.25">
      <c r="A304" s="3"/>
    </row>
    <row r="305" spans="1:1" ht="16.350000000000001" customHeight="1" x14ac:dyDescent="0.25">
      <c r="A305" s="3"/>
    </row>
    <row r="306" spans="1:1" ht="16.350000000000001" customHeight="1" x14ac:dyDescent="0.25">
      <c r="A306" s="3"/>
    </row>
    <row r="307" spans="1:1" ht="16.350000000000001" customHeight="1" x14ac:dyDescent="0.25">
      <c r="A307" s="3"/>
    </row>
    <row r="308" spans="1:1" ht="16.350000000000001" customHeight="1" x14ac:dyDescent="0.25">
      <c r="A308" s="3"/>
    </row>
    <row r="309" spans="1:1" ht="16.350000000000001" customHeight="1" x14ac:dyDescent="0.25">
      <c r="A309" s="3"/>
    </row>
    <row r="310" spans="1:1" ht="16.350000000000001" customHeight="1" x14ac:dyDescent="0.25">
      <c r="A310" s="3"/>
    </row>
    <row r="311" spans="1:1" ht="16.350000000000001" customHeight="1" x14ac:dyDescent="0.25">
      <c r="A311" s="3"/>
    </row>
    <row r="312" spans="1:1" ht="16.350000000000001" customHeight="1" x14ac:dyDescent="0.25">
      <c r="A312" s="3"/>
    </row>
    <row r="313" spans="1:1" ht="16.350000000000001" customHeight="1" x14ac:dyDescent="0.25">
      <c r="A313" s="3"/>
    </row>
    <row r="314" spans="1:1" ht="16.350000000000001" customHeight="1" x14ac:dyDescent="0.25">
      <c r="A314" s="3"/>
    </row>
    <row r="315" spans="1:1" ht="16.350000000000001" customHeight="1" x14ac:dyDescent="0.25">
      <c r="A315" s="3"/>
    </row>
    <row r="316" spans="1:1" ht="16.350000000000001" customHeight="1" x14ac:dyDescent="0.25">
      <c r="A316" s="3"/>
    </row>
    <row r="317" spans="1:1" ht="16.350000000000001" customHeight="1" x14ac:dyDescent="0.25">
      <c r="A317" s="3"/>
    </row>
    <row r="318" spans="1:1" ht="16.350000000000001" customHeight="1" x14ac:dyDescent="0.25">
      <c r="A318" s="3"/>
    </row>
    <row r="319" spans="1:1" ht="16.350000000000001" customHeight="1" x14ac:dyDescent="0.25">
      <c r="A319" s="3"/>
    </row>
    <row r="320" spans="1:1" ht="16.350000000000001" customHeight="1" x14ac:dyDescent="0.25">
      <c r="A320" s="3"/>
    </row>
    <row r="321" spans="1:1" ht="16.350000000000001" customHeight="1" x14ac:dyDescent="0.25">
      <c r="A321" s="3"/>
    </row>
    <row r="322" spans="1:1" ht="16.350000000000001" customHeight="1" x14ac:dyDescent="0.25">
      <c r="A322" s="3"/>
    </row>
    <row r="323" spans="1:1" ht="16.350000000000001" customHeight="1" x14ac:dyDescent="0.25">
      <c r="A323" s="3"/>
    </row>
    <row r="324" spans="1:1" ht="16.350000000000001" customHeight="1" x14ac:dyDescent="0.25">
      <c r="A324" s="3"/>
    </row>
    <row r="325" spans="1:1" ht="16.350000000000001" customHeight="1" x14ac:dyDescent="0.25">
      <c r="A325" s="3"/>
    </row>
    <row r="326" spans="1:1" ht="16.350000000000001" customHeight="1" x14ac:dyDescent="0.25">
      <c r="A326" s="3"/>
    </row>
    <row r="327" spans="1:1" ht="16.350000000000001" customHeight="1" x14ac:dyDescent="0.25">
      <c r="A327" s="3"/>
    </row>
    <row r="328" spans="1:1" ht="16.350000000000001" customHeight="1" x14ac:dyDescent="0.25">
      <c r="A328" s="3"/>
    </row>
    <row r="329" spans="1:1" ht="16.350000000000001" customHeight="1" x14ac:dyDescent="0.25">
      <c r="A329" s="3"/>
    </row>
    <row r="330" spans="1:1" ht="16.350000000000001" customHeight="1" x14ac:dyDescent="0.25">
      <c r="A330" s="3"/>
    </row>
    <row r="331" spans="1:1" ht="16.350000000000001" customHeight="1" x14ac:dyDescent="0.25">
      <c r="A331" s="3"/>
    </row>
    <row r="332" spans="1:1" ht="16.350000000000001" customHeight="1" x14ac:dyDescent="0.25">
      <c r="A332" s="3"/>
    </row>
    <row r="333" spans="1:1" ht="16.350000000000001" customHeight="1" x14ac:dyDescent="0.25">
      <c r="A333" s="3"/>
    </row>
    <row r="334" spans="1:1" ht="16.350000000000001" customHeight="1" x14ac:dyDescent="0.25">
      <c r="A334" s="3"/>
    </row>
    <row r="335" spans="1:1" ht="16.350000000000001" customHeight="1" x14ac:dyDescent="0.25">
      <c r="A335" s="3"/>
    </row>
    <row r="336" spans="1:1" ht="16.350000000000001" customHeight="1" x14ac:dyDescent="0.25">
      <c r="A336" s="3"/>
    </row>
    <row r="337" spans="1:1" ht="16.350000000000001" customHeight="1" x14ac:dyDescent="0.25">
      <c r="A337" s="3"/>
    </row>
    <row r="338" spans="1:1" ht="16.350000000000001" customHeight="1" x14ac:dyDescent="0.25">
      <c r="A338" s="3"/>
    </row>
    <row r="339" spans="1:1" ht="16.350000000000001" customHeight="1" x14ac:dyDescent="0.25">
      <c r="A339" s="3"/>
    </row>
    <row r="340" spans="1:1" ht="16.350000000000001" customHeight="1" x14ac:dyDescent="0.25">
      <c r="A340" s="3"/>
    </row>
    <row r="341" spans="1:1" ht="16.350000000000001" customHeight="1" x14ac:dyDescent="0.25">
      <c r="A341" s="3"/>
    </row>
    <row r="342" spans="1:1" ht="16.350000000000001" customHeight="1" x14ac:dyDescent="0.25">
      <c r="A342" s="3"/>
    </row>
    <row r="343" spans="1:1" ht="16.350000000000001" customHeight="1" x14ac:dyDescent="0.25">
      <c r="A343" s="3"/>
    </row>
    <row r="344" spans="1:1" ht="16.350000000000001" customHeight="1" x14ac:dyDescent="0.25">
      <c r="A344" s="3"/>
    </row>
    <row r="345" spans="1:1" ht="16.350000000000001" customHeight="1" x14ac:dyDescent="0.25">
      <c r="A345" s="3"/>
    </row>
    <row r="346" spans="1:1" ht="16.350000000000001" customHeight="1" x14ac:dyDescent="0.25">
      <c r="A346" s="3"/>
    </row>
    <row r="347" spans="1:1" ht="16.350000000000001" customHeight="1" x14ac:dyDescent="0.25">
      <c r="A347" s="3"/>
    </row>
    <row r="348" spans="1:1" ht="16.350000000000001" customHeight="1" x14ac:dyDescent="0.25">
      <c r="A348" s="3"/>
    </row>
    <row r="349" spans="1:1" ht="16.350000000000001" customHeight="1" x14ac:dyDescent="0.25">
      <c r="A349" s="3"/>
    </row>
    <row r="350" spans="1:1" ht="16.350000000000001" customHeight="1" x14ac:dyDescent="0.25">
      <c r="A350" s="3"/>
    </row>
    <row r="351" spans="1:1" ht="16.350000000000001" customHeight="1" x14ac:dyDescent="0.25">
      <c r="A351" s="3"/>
    </row>
    <row r="352" spans="1:1" ht="16.350000000000001" customHeight="1" x14ac:dyDescent="0.25">
      <c r="A352" s="3"/>
    </row>
    <row r="353" spans="1:1" ht="16.350000000000001" customHeight="1" x14ac:dyDescent="0.25">
      <c r="A353" s="3"/>
    </row>
    <row r="354" spans="1:1" ht="16.350000000000001" customHeight="1" x14ac:dyDescent="0.25">
      <c r="A354" s="3"/>
    </row>
    <row r="355" spans="1:1" ht="16.350000000000001" customHeight="1" x14ac:dyDescent="0.25">
      <c r="A355" s="3"/>
    </row>
    <row r="356" spans="1:1" ht="16.350000000000001" customHeight="1" x14ac:dyDescent="0.25">
      <c r="A356" s="3"/>
    </row>
    <row r="357" spans="1:1" ht="16.350000000000001" customHeight="1" x14ac:dyDescent="0.25">
      <c r="A357" s="3"/>
    </row>
    <row r="358" spans="1:1" ht="16.350000000000001" customHeight="1" x14ac:dyDescent="0.25">
      <c r="A358" s="3"/>
    </row>
    <row r="359" spans="1:1" ht="16.350000000000001" customHeight="1" x14ac:dyDescent="0.25">
      <c r="A359" s="3"/>
    </row>
    <row r="360" spans="1:1" ht="16.350000000000001" customHeight="1" x14ac:dyDescent="0.25">
      <c r="A360" s="3"/>
    </row>
    <row r="361" spans="1:1" ht="16.350000000000001" customHeight="1" x14ac:dyDescent="0.25">
      <c r="A361" s="3"/>
    </row>
    <row r="362" spans="1:1" ht="16.350000000000001" customHeight="1" x14ac:dyDescent="0.25">
      <c r="A362" s="3"/>
    </row>
    <row r="363" spans="1:1" ht="16.350000000000001" customHeight="1" x14ac:dyDescent="0.25">
      <c r="A363" s="3"/>
    </row>
    <row r="364" spans="1:1" ht="16.350000000000001" customHeight="1" x14ac:dyDescent="0.25">
      <c r="A364" s="3"/>
    </row>
    <row r="365" spans="1:1" ht="16.350000000000001" customHeight="1" x14ac:dyDescent="0.25">
      <c r="A365" s="3"/>
    </row>
    <row r="366" spans="1:1" ht="16.350000000000001" customHeight="1" x14ac:dyDescent="0.25">
      <c r="A366" s="3"/>
    </row>
    <row r="367" spans="1:1" ht="16.350000000000001" customHeight="1" x14ac:dyDescent="0.25">
      <c r="A367" s="3"/>
    </row>
    <row r="368" spans="1:1" ht="16.350000000000001" customHeight="1" x14ac:dyDescent="0.25">
      <c r="A368" s="3"/>
    </row>
    <row r="369" spans="1:1" ht="16.350000000000001" customHeight="1" x14ac:dyDescent="0.25">
      <c r="A369" s="3"/>
    </row>
    <row r="370" spans="1:1" ht="16.350000000000001" customHeight="1" x14ac:dyDescent="0.25">
      <c r="A370" s="3"/>
    </row>
    <row r="371" spans="1:1" ht="16.350000000000001" customHeight="1" x14ac:dyDescent="0.25">
      <c r="A371" s="3"/>
    </row>
    <row r="372" spans="1:1" ht="16.350000000000001" customHeight="1" x14ac:dyDescent="0.25">
      <c r="A372" s="3"/>
    </row>
    <row r="373" spans="1:1" ht="16.350000000000001" customHeight="1" x14ac:dyDescent="0.25">
      <c r="A373" s="3"/>
    </row>
    <row r="374" spans="1:1" ht="16.350000000000001" customHeight="1" x14ac:dyDescent="0.25">
      <c r="A374" s="3"/>
    </row>
    <row r="375" spans="1:1" ht="16.350000000000001" customHeight="1" x14ac:dyDescent="0.25">
      <c r="A375" s="3"/>
    </row>
    <row r="376" spans="1:1" ht="16.350000000000001" customHeight="1" x14ac:dyDescent="0.25">
      <c r="A376" s="3"/>
    </row>
    <row r="377" spans="1:1" ht="16.350000000000001" customHeight="1" x14ac:dyDescent="0.25">
      <c r="A377" s="3"/>
    </row>
    <row r="378" spans="1:1" ht="16.350000000000001" customHeight="1" x14ac:dyDescent="0.25">
      <c r="A378" s="3"/>
    </row>
    <row r="379" spans="1:1" ht="16.350000000000001" customHeight="1" x14ac:dyDescent="0.25">
      <c r="A379" s="3"/>
    </row>
    <row r="380" spans="1:1" ht="16.350000000000001" customHeight="1" x14ac:dyDescent="0.25">
      <c r="A380" s="3"/>
    </row>
    <row r="381" spans="1:1" ht="16.350000000000001" customHeight="1" x14ac:dyDescent="0.25">
      <c r="A381" s="3"/>
    </row>
    <row r="382" spans="1:1" ht="16.350000000000001" customHeight="1" x14ac:dyDescent="0.25">
      <c r="A382" s="3"/>
    </row>
    <row r="383" spans="1:1" ht="16.350000000000001" customHeight="1" x14ac:dyDescent="0.25">
      <c r="A383" s="3"/>
    </row>
    <row r="384" spans="1:1" ht="16.350000000000001" customHeight="1" x14ac:dyDescent="0.25">
      <c r="A384" s="3"/>
    </row>
    <row r="385" spans="1:1" ht="16.350000000000001" customHeight="1" x14ac:dyDescent="0.25">
      <c r="A385" s="3"/>
    </row>
    <row r="386" spans="1:1" ht="16.350000000000001" customHeight="1" x14ac:dyDescent="0.25">
      <c r="A386" s="3"/>
    </row>
    <row r="387" spans="1:1" ht="16.350000000000001" customHeight="1" x14ac:dyDescent="0.25">
      <c r="A387" s="3"/>
    </row>
    <row r="388" spans="1:1" ht="16.350000000000001" customHeight="1" x14ac:dyDescent="0.25">
      <c r="A388" s="3"/>
    </row>
    <row r="389" spans="1:1" ht="16.350000000000001" customHeight="1" x14ac:dyDescent="0.25">
      <c r="A389" s="3"/>
    </row>
    <row r="390" spans="1:1" ht="16.350000000000001" customHeight="1" x14ac:dyDescent="0.25">
      <c r="A390" s="3"/>
    </row>
    <row r="391" spans="1:1" ht="16.350000000000001" customHeight="1" x14ac:dyDescent="0.25">
      <c r="A391" s="3"/>
    </row>
    <row r="392" spans="1:1" ht="16.350000000000001" customHeight="1" x14ac:dyDescent="0.25">
      <c r="A392" s="3"/>
    </row>
    <row r="393" spans="1:1" ht="16.350000000000001" customHeight="1" x14ac:dyDescent="0.25">
      <c r="A393" s="3"/>
    </row>
    <row r="394" spans="1:1" ht="16.350000000000001" customHeight="1" x14ac:dyDescent="0.25">
      <c r="A394" s="3"/>
    </row>
    <row r="395" spans="1:1" ht="16.350000000000001" customHeight="1" x14ac:dyDescent="0.25">
      <c r="A395" s="3"/>
    </row>
    <row r="396" spans="1:1" ht="16.350000000000001" customHeight="1" x14ac:dyDescent="0.25">
      <c r="A396" s="3"/>
    </row>
    <row r="397" spans="1:1" ht="16.350000000000001" customHeight="1" x14ac:dyDescent="0.25">
      <c r="A397" s="3"/>
    </row>
    <row r="398" spans="1:1" ht="16.350000000000001" customHeight="1" x14ac:dyDescent="0.25">
      <c r="A398" s="3"/>
    </row>
    <row r="399" spans="1:1" ht="16.350000000000001" customHeight="1" x14ac:dyDescent="0.25">
      <c r="A399" s="3"/>
    </row>
    <row r="400" spans="1:1" ht="16.350000000000001" customHeight="1" x14ac:dyDescent="0.25">
      <c r="A400" s="3"/>
    </row>
    <row r="401" spans="1:1" ht="16.350000000000001" customHeight="1" x14ac:dyDescent="0.25">
      <c r="A401" s="3"/>
    </row>
    <row r="402" spans="1:1" ht="16.350000000000001" customHeight="1" x14ac:dyDescent="0.25">
      <c r="A402" s="3"/>
    </row>
    <row r="403" spans="1:1" ht="16.350000000000001" customHeight="1" x14ac:dyDescent="0.25">
      <c r="A403" s="3"/>
    </row>
    <row r="404" spans="1:1" ht="16.350000000000001" customHeight="1" x14ac:dyDescent="0.25">
      <c r="A404" s="3"/>
    </row>
    <row r="405" spans="1:1" ht="16.350000000000001" customHeight="1" x14ac:dyDescent="0.25">
      <c r="A405" s="3"/>
    </row>
    <row r="406" spans="1:1" ht="16.350000000000001" customHeight="1" x14ac:dyDescent="0.25">
      <c r="A406" s="3"/>
    </row>
    <row r="407" spans="1:1" ht="16.350000000000001" customHeight="1" x14ac:dyDescent="0.25">
      <c r="A407" s="3"/>
    </row>
    <row r="408" spans="1:1" ht="16.350000000000001" customHeight="1" x14ac:dyDescent="0.25">
      <c r="A408" s="3"/>
    </row>
    <row r="409" spans="1:1" ht="16.350000000000001" customHeight="1" x14ac:dyDescent="0.25">
      <c r="A409" s="3"/>
    </row>
    <row r="410" spans="1:1" ht="16.350000000000001" customHeight="1" x14ac:dyDescent="0.25">
      <c r="A410" s="3"/>
    </row>
    <row r="411" spans="1:1" ht="16.350000000000001" customHeight="1" x14ac:dyDescent="0.25">
      <c r="A411" s="3"/>
    </row>
    <row r="412" spans="1:1" ht="16.350000000000001" customHeight="1" x14ac:dyDescent="0.25">
      <c r="A412" s="3"/>
    </row>
    <row r="413" spans="1:1" ht="16.350000000000001" customHeight="1" x14ac:dyDescent="0.25">
      <c r="A413" s="3"/>
    </row>
    <row r="414" spans="1:1" ht="16.350000000000001" customHeight="1" x14ac:dyDescent="0.25">
      <c r="A414" s="3"/>
    </row>
    <row r="415" spans="1:1" ht="16.350000000000001" customHeight="1" x14ac:dyDescent="0.25">
      <c r="A415" s="3"/>
    </row>
    <row r="416" spans="1:1" ht="16.350000000000001" customHeight="1" x14ac:dyDescent="0.25">
      <c r="A416" s="3"/>
    </row>
    <row r="417" spans="1:1" ht="16.350000000000001" customHeight="1" x14ac:dyDescent="0.25">
      <c r="A417" s="3"/>
    </row>
    <row r="418" spans="1:1" ht="16.350000000000001" customHeight="1" x14ac:dyDescent="0.25">
      <c r="A418" s="3"/>
    </row>
    <row r="419" spans="1:1" ht="16.350000000000001" customHeight="1" x14ac:dyDescent="0.25">
      <c r="A419" s="3"/>
    </row>
    <row r="420" spans="1:1" ht="16.350000000000001" customHeight="1" x14ac:dyDescent="0.25">
      <c r="A420" s="3"/>
    </row>
    <row r="421" spans="1:1" ht="16.350000000000001" customHeight="1" x14ac:dyDescent="0.25">
      <c r="A421" s="3"/>
    </row>
    <row r="422" spans="1:1" ht="16.350000000000001" customHeight="1" x14ac:dyDescent="0.25">
      <c r="A422" s="3"/>
    </row>
    <row r="423" spans="1:1" ht="16.350000000000001" customHeight="1" x14ac:dyDescent="0.25">
      <c r="A423" s="3"/>
    </row>
    <row r="424" spans="1:1" ht="16.350000000000001" customHeight="1" x14ac:dyDescent="0.25">
      <c r="A424" s="3"/>
    </row>
    <row r="425" spans="1:1" ht="16.350000000000001" customHeight="1" x14ac:dyDescent="0.25">
      <c r="A425" s="3"/>
    </row>
    <row r="426" spans="1:1" ht="16.350000000000001" customHeight="1" x14ac:dyDescent="0.25">
      <c r="A426" s="3"/>
    </row>
    <row r="427" spans="1:1" ht="16.350000000000001" customHeight="1" x14ac:dyDescent="0.25">
      <c r="A427" s="3"/>
    </row>
    <row r="428" spans="1:1" ht="16.350000000000001" customHeight="1" x14ac:dyDescent="0.25">
      <c r="A428" s="3"/>
    </row>
    <row r="429" spans="1:1" ht="16.350000000000001" customHeight="1" x14ac:dyDescent="0.25">
      <c r="A429" s="3"/>
    </row>
    <row r="430" spans="1:1" ht="16.350000000000001" customHeight="1" x14ac:dyDescent="0.25">
      <c r="A430" s="3"/>
    </row>
    <row r="431" spans="1:1" ht="16.350000000000001" customHeight="1" x14ac:dyDescent="0.25">
      <c r="A431" s="3"/>
    </row>
    <row r="432" spans="1:1" ht="16.350000000000001" customHeight="1" x14ac:dyDescent="0.25">
      <c r="A432" s="3"/>
    </row>
    <row r="433" spans="1:1" ht="16.350000000000001" customHeight="1" x14ac:dyDescent="0.25">
      <c r="A433" s="3"/>
    </row>
    <row r="434" spans="1:1" ht="16.350000000000001" customHeight="1" x14ac:dyDescent="0.25">
      <c r="A434" s="3"/>
    </row>
    <row r="435" spans="1:1" ht="16.350000000000001" customHeight="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ht="16.350000000000001" customHeight="1" x14ac:dyDescent="0.25">
      <c r="A439" s="3"/>
    </row>
    <row r="440" spans="1:1" ht="16.350000000000001" customHeight="1" x14ac:dyDescent="0.25">
      <c r="A440" s="3"/>
    </row>
    <row r="441" spans="1:1" ht="16.350000000000001" customHeight="1" x14ac:dyDescent="0.25">
      <c r="A441" s="3"/>
    </row>
    <row r="442" spans="1:1" ht="16.350000000000001" customHeight="1" x14ac:dyDescent="0.25">
      <c r="A442" s="3"/>
    </row>
    <row r="443" spans="1:1" ht="16.350000000000001" customHeight="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ht="16.350000000000001" customHeight="1" x14ac:dyDescent="0.25">
      <c r="A455" s="3"/>
    </row>
    <row r="456" spans="1:1" ht="16.350000000000001" customHeight="1" x14ac:dyDescent="0.25">
      <c r="A456" s="3"/>
    </row>
    <row r="457" spans="1:1" ht="16.350000000000001" customHeight="1" x14ac:dyDescent="0.25">
      <c r="A457" s="3"/>
    </row>
    <row r="458" spans="1:1" ht="16.350000000000001" customHeight="1" x14ac:dyDescent="0.25">
      <c r="A458" s="3"/>
    </row>
    <row r="459" spans="1:1" ht="16.350000000000001" customHeight="1" x14ac:dyDescent="0.25">
      <c r="A459" s="3"/>
    </row>
    <row r="460" spans="1:1" ht="16.350000000000001" customHeight="1" x14ac:dyDescent="0.25">
      <c r="A460" s="3"/>
    </row>
    <row r="461" spans="1:1" ht="16.350000000000001" customHeight="1" x14ac:dyDescent="0.25">
      <c r="A461" s="3"/>
    </row>
    <row r="462" spans="1:1" ht="16.350000000000001" customHeight="1" x14ac:dyDescent="0.25">
      <c r="A462" s="3"/>
    </row>
    <row r="463" spans="1:1" ht="16.350000000000001" customHeight="1" x14ac:dyDescent="0.25">
      <c r="A463" s="3"/>
    </row>
    <row r="464" spans="1:1" ht="16.350000000000001" customHeight="1" x14ac:dyDescent="0.25">
      <c r="A464" s="3"/>
    </row>
    <row r="465" spans="1:1" ht="16.350000000000001" customHeight="1" x14ac:dyDescent="0.25">
      <c r="A465" s="3"/>
    </row>
    <row r="466" spans="1:1" ht="16.350000000000001" customHeight="1" x14ac:dyDescent="0.25">
      <c r="A466" s="3"/>
    </row>
    <row r="467" spans="1:1" ht="16.350000000000001" customHeight="1" x14ac:dyDescent="0.25">
      <c r="A467" s="3"/>
    </row>
    <row r="468" spans="1:1" ht="16.350000000000001" customHeight="1" x14ac:dyDescent="0.25">
      <c r="A468" s="3"/>
    </row>
    <row r="469" spans="1:1" ht="16.350000000000001" customHeight="1" x14ac:dyDescent="0.25">
      <c r="A469" s="3"/>
    </row>
    <row r="470" spans="1:1" ht="16.350000000000001" customHeight="1" x14ac:dyDescent="0.25">
      <c r="A470" s="3"/>
    </row>
    <row r="471" spans="1:1" ht="16.350000000000001" customHeight="1" x14ac:dyDescent="0.25">
      <c r="A471" s="3"/>
    </row>
    <row r="472" spans="1:1" ht="16.350000000000001" customHeight="1" x14ac:dyDescent="0.25">
      <c r="A472" s="3"/>
    </row>
    <row r="473" spans="1:1" ht="16.350000000000001" customHeight="1" x14ac:dyDescent="0.25">
      <c r="A473" s="3"/>
    </row>
    <row r="474" spans="1:1" ht="16.350000000000001" customHeight="1" x14ac:dyDescent="0.25">
      <c r="A474" s="3"/>
    </row>
    <row r="475" spans="1:1" ht="16.350000000000001" customHeight="1" x14ac:dyDescent="0.25">
      <c r="A475" s="3"/>
    </row>
    <row r="476" spans="1:1" ht="16.350000000000001" customHeight="1" x14ac:dyDescent="0.25">
      <c r="A476" s="3"/>
    </row>
    <row r="477" spans="1:1" ht="16.350000000000001" customHeight="1" x14ac:dyDescent="0.25">
      <c r="A477" s="3"/>
    </row>
    <row r="478" spans="1:1" ht="16.350000000000001" customHeight="1" x14ac:dyDescent="0.25">
      <c r="A478" s="3"/>
    </row>
    <row r="479" spans="1:1" ht="16.350000000000001" customHeight="1" x14ac:dyDescent="0.25">
      <c r="A479" s="3"/>
    </row>
    <row r="480" spans="1:1" ht="16.350000000000001" customHeight="1" x14ac:dyDescent="0.25">
      <c r="A480" s="3"/>
    </row>
    <row r="481" spans="1:1" ht="16.350000000000001" customHeight="1" x14ac:dyDescent="0.25">
      <c r="A481" s="3"/>
    </row>
    <row r="482" spans="1:1" ht="16.350000000000001" customHeight="1" x14ac:dyDescent="0.25">
      <c r="A482" s="3"/>
    </row>
    <row r="483" spans="1:1" ht="16.350000000000001" customHeight="1" x14ac:dyDescent="0.25">
      <c r="A483" s="3"/>
    </row>
    <row r="484" spans="1:1" ht="16.350000000000001" customHeight="1" x14ac:dyDescent="0.25">
      <c r="A484" s="3"/>
    </row>
    <row r="485" spans="1:1" ht="16.350000000000001" customHeight="1" x14ac:dyDescent="0.25">
      <c r="A485" s="3"/>
    </row>
    <row r="486" spans="1:1" ht="16.350000000000001" customHeight="1" x14ac:dyDescent="0.25">
      <c r="A486" s="3"/>
    </row>
    <row r="487" spans="1:1" ht="16.350000000000001" customHeight="1" x14ac:dyDescent="0.25">
      <c r="A487" s="3"/>
    </row>
    <row r="488" spans="1:1" ht="16.350000000000001" customHeight="1" x14ac:dyDescent="0.25">
      <c r="A488" s="3"/>
    </row>
    <row r="489" spans="1:1" ht="16.350000000000001" customHeight="1" x14ac:dyDescent="0.25">
      <c r="A489" s="3"/>
    </row>
    <row r="490" spans="1:1" ht="16.350000000000001" customHeight="1" x14ac:dyDescent="0.25">
      <c r="A490" s="3"/>
    </row>
    <row r="491" spans="1:1" ht="16.350000000000001" customHeight="1" x14ac:dyDescent="0.25">
      <c r="A491" s="3"/>
    </row>
    <row r="492" spans="1:1" ht="16.350000000000001" customHeight="1" x14ac:dyDescent="0.25">
      <c r="A492" s="3"/>
    </row>
    <row r="493" spans="1:1" ht="16.350000000000001" customHeight="1" x14ac:dyDescent="0.25">
      <c r="A493" s="3"/>
    </row>
    <row r="494" spans="1:1" ht="16.350000000000001" customHeight="1" x14ac:dyDescent="0.25">
      <c r="A494" s="3"/>
    </row>
    <row r="495" spans="1:1" ht="16.350000000000001" customHeight="1" x14ac:dyDescent="0.25">
      <c r="A495" s="3"/>
    </row>
    <row r="496" spans="1:1" ht="16.350000000000001" customHeight="1" x14ac:dyDescent="0.25">
      <c r="A496" s="3"/>
    </row>
    <row r="497" spans="1:1" ht="16.350000000000001" customHeight="1" x14ac:dyDescent="0.25">
      <c r="A497" s="3"/>
    </row>
    <row r="498" spans="1:1" ht="16.350000000000001" customHeight="1" x14ac:dyDescent="0.25">
      <c r="A498" s="3"/>
    </row>
    <row r="499" spans="1:1" ht="16.350000000000001" customHeight="1" x14ac:dyDescent="0.25">
      <c r="A499" s="3"/>
    </row>
    <row r="500" spans="1:1" ht="16.350000000000001" customHeight="1" x14ac:dyDescent="0.25">
      <c r="A500" s="3"/>
    </row>
    <row r="501" spans="1:1" ht="16.350000000000001" customHeight="1" x14ac:dyDescent="0.25">
      <c r="A501" s="3"/>
    </row>
    <row r="502" spans="1:1" ht="16.350000000000001" customHeight="1" x14ac:dyDescent="0.25">
      <c r="A502" s="3"/>
    </row>
    <row r="503" spans="1:1" ht="16.350000000000001" customHeight="1" x14ac:dyDescent="0.25">
      <c r="A503" s="3"/>
    </row>
    <row r="504" spans="1:1" x14ac:dyDescent="0.25">
      <c r="A504" s="3"/>
    </row>
    <row r="505" spans="1:1" x14ac:dyDescent="0.25">
      <c r="A505" s="3"/>
    </row>
    <row r="506" spans="1:1" ht="16.350000000000001" customHeight="1" x14ac:dyDescent="0.25">
      <c r="A506" s="3"/>
    </row>
    <row r="507" spans="1:1" ht="16.350000000000001" customHeight="1" x14ac:dyDescent="0.25">
      <c r="A507" s="3"/>
    </row>
    <row r="508" spans="1:1" ht="16.350000000000001" customHeight="1" x14ac:dyDescent="0.25">
      <c r="A508" s="3"/>
    </row>
    <row r="509" spans="1:1" ht="16.350000000000001" customHeight="1" x14ac:dyDescent="0.25">
      <c r="A509" s="3"/>
    </row>
    <row r="510" spans="1:1" ht="16.350000000000001" customHeight="1" x14ac:dyDescent="0.25">
      <c r="A510" s="3"/>
    </row>
    <row r="511" spans="1:1" ht="16.350000000000001" customHeight="1" x14ac:dyDescent="0.25">
      <c r="A511" s="3"/>
    </row>
    <row r="512" spans="1:1" ht="16.350000000000001" customHeight="1" x14ac:dyDescent="0.25">
      <c r="A512" s="3"/>
    </row>
    <row r="513" spans="1:1" ht="16.350000000000001" customHeight="1" x14ac:dyDescent="0.25">
      <c r="A513" s="3"/>
    </row>
    <row r="514" spans="1:1" ht="16.350000000000001" customHeight="1" x14ac:dyDescent="0.25">
      <c r="A514" s="3"/>
    </row>
    <row r="515" spans="1:1" ht="16.350000000000001" customHeight="1" x14ac:dyDescent="0.25">
      <c r="A515" s="3"/>
    </row>
    <row r="516" spans="1:1" ht="16.350000000000001" customHeight="1" x14ac:dyDescent="0.25">
      <c r="A516" s="3"/>
    </row>
    <row r="517" spans="1:1" ht="16.350000000000001" customHeight="1" x14ac:dyDescent="0.25">
      <c r="A517" s="3"/>
    </row>
    <row r="518" spans="1:1" ht="16.350000000000001" customHeight="1" x14ac:dyDescent="0.25">
      <c r="A518" s="3"/>
    </row>
    <row r="519" spans="1:1" ht="16.350000000000001" customHeight="1" x14ac:dyDescent="0.25">
      <c r="A519" s="3"/>
    </row>
    <row r="520" spans="1:1" ht="16.350000000000001" customHeight="1" x14ac:dyDescent="0.25">
      <c r="A520" s="3"/>
    </row>
    <row r="521" spans="1:1" ht="16.350000000000001" customHeight="1" x14ac:dyDescent="0.25">
      <c r="A521" s="3"/>
    </row>
    <row r="522" spans="1:1" ht="16.350000000000001" customHeight="1" x14ac:dyDescent="0.25">
      <c r="A522" s="3"/>
    </row>
    <row r="523" spans="1:1" ht="16.350000000000001" customHeight="1" x14ac:dyDescent="0.25">
      <c r="A523" s="3"/>
    </row>
    <row r="524" spans="1:1" ht="16.350000000000001" customHeight="1" x14ac:dyDescent="0.25">
      <c r="A524" s="3"/>
    </row>
    <row r="525" spans="1:1" ht="16.350000000000001" customHeight="1" x14ac:dyDescent="0.25">
      <c r="A525" s="3"/>
    </row>
    <row r="526" spans="1:1" ht="16.350000000000001" customHeight="1" x14ac:dyDescent="0.25">
      <c r="A526" s="3"/>
    </row>
    <row r="527" spans="1:1" ht="16.350000000000001" customHeight="1" x14ac:dyDescent="0.25">
      <c r="A527" s="3"/>
    </row>
    <row r="528" spans="1:1" ht="16.350000000000001" customHeight="1" x14ac:dyDescent="0.25">
      <c r="A528" s="3"/>
    </row>
    <row r="529" spans="1:1" ht="16.350000000000001" customHeight="1" x14ac:dyDescent="0.25">
      <c r="A529" s="3"/>
    </row>
    <row r="530" spans="1:1" ht="16.350000000000001" customHeight="1" x14ac:dyDescent="0.25">
      <c r="A530" s="3"/>
    </row>
    <row r="531" spans="1:1" ht="16.350000000000001" customHeight="1" x14ac:dyDescent="0.25">
      <c r="A531" s="3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S634"/>
  <sheetViews>
    <sheetView showGridLines="0" zoomScale="80" zoomScaleNormal="80" workbookViewId="0">
      <pane xSplit="7" ySplit="9" topLeftCell="H10" activePane="bottomRight" state="frozen"/>
      <selection activeCell="G39" sqref="G39"/>
      <selection pane="topRight" activeCell="G39" sqref="G39"/>
      <selection pane="bottomLeft" activeCell="G39" sqref="G39"/>
      <selection pane="bottomRight" activeCell="G11" sqref="G11"/>
    </sheetView>
  </sheetViews>
  <sheetFormatPr defaultColWidth="0" defaultRowHeight="17.399999999999999" zeroHeight="1" outlineLevelRow="1" x14ac:dyDescent="0.45"/>
  <cols>
    <col min="1" max="1" width="3.59765625" customWidth="1"/>
    <col min="2" max="2" width="8.59765625" bestFit="1" customWidth="1"/>
    <col min="3" max="3" width="28" customWidth="1"/>
    <col min="4" max="4" width="14.59765625" customWidth="1"/>
    <col min="5" max="5" width="17" customWidth="1"/>
    <col min="6" max="6" width="39.59765625" bestFit="1" customWidth="1"/>
    <col min="7" max="7" width="20.8984375" customWidth="1"/>
    <col min="8" max="8" width="14.59765625" customWidth="1"/>
    <col min="9" max="9" width="16.59765625" style="2" customWidth="1"/>
    <col min="10" max="10" width="11" style="2" customWidth="1"/>
    <col min="11" max="11" width="15.59765625" style="2" customWidth="1"/>
    <col min="12" max="12" width="14.09765625" style="2" customWidth="1"/>
    <col min="13" max="13" width="17.09765625" style="34" bestFit="1" customWidth="1"/>
    <col min="14" max="14" width="13.09765625" style="34" bestFit="1" customWidth="1"/>
    <col min="15" max="15" width="13.09765625" style="34" customWidth="1"/>
    <col min="16" max="16" width="20.59765625" customWidth="1"/>
    <col min="17" max="79" width="4.59765625" customWidth="1"/>
    <col min="80" max="80" width="8.59765625" customWidth="1"/>
    <col min="81" max="175" width="0" hidden="1" customWidth="1"/>
    <col min="176" max="16384" width="8.59765625" hidden="1"/>
  </cols>
  <sheetData>
    <row r="1" spans="1:80" s="2" customFormat="1" x14ac:dyDescent="0.45">
      <c r="AJ1" s="34"/>
    </row>
    <row r="2" spans="1:80" s="2" customFormat="1" x14ac:dyDescent="0.45"/>
    <row r="3" spans="1:80" s="2" customFormat="1" x14ac:dyDescent="0.45"/>
    <row r="4" spans="1:80" s="2" customFormat="1" ht="5.0999999999999996" customHeight="1" x14ac:dyDescent="0.4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</row>
    <row r="5" spans="1:80" x14ac:dyDescent="0.45">
      <c r="M5" s="2"/>
      <c r="N5" s="2"/>
      <c r="O5" s="2"/>
      <c r="Q5" s="23"/>
    </row>
    <row r="6" spans="1:80" x14ac:dyDescent="0.45">
      <c r="M6" s="2"/>
      <c r="N6" s="2"/>
      <c r="O6" s="2"/>
      <c r="Q6" s="329" t="s">
        <v>435</v>
      </c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 t="s">
        <v>550</v>
      </c>
      <c r="AN6" s="329"/>
      <c r="AO6" s="329"/>
      <c r="AP6" s="329"/>
      <c r="AQ6" s="329"/>
      <c r="AR6" s="329"/>
      <c r="AS6" s="329"/>
      <c r="AT6" s="329"/>
      <c r="AU6" s="329"/>
      <c r="AV6" s="329"/>
      <c r="AW6" s="329"/>
      <c r="AX6" s="329"/>
      <c r="AY6" s="329"/>
      <c r="AZ6" s="329"/>
      <c r="BA6" s="329"/>
      <c r="BB6" s="329"/>
      <c r="BC6" s="329"/>
      <c r="BD6" s="329"/>
      <c r="BE6" s="329"/>
      <c r="BF6" s="329"/>
      <c r="BG6" s="329" t="s">
        <v>673</v>
      </c>
      <c r="BH6" s="329"/>
      <c r="BI6" s="329"/>
      <c r="BJ6" s="329"/>
      <c r="BK6" s="329"/>
      <c r="BL6" s="329"/>
      <c r="BM6" s="329"/>
      <c r="BN6" s="329"/>
      <c r="BO6" s="329"/>
      <c r="BP6" s="329"/>
      <c r="BQ6" s="329"/>
      <c r="BR6" s="329"/>
      <c r="BS6" s="329"/>
      <c r="BT6" s="329"/>
      <c r="BU6" s="329"/>
      <c r="BV6" s="329"/>
      <c r="BW6" s="329"/>
      <c r="BX6" s="329"/>
      <c r="BY6" s="329"/>
      <c r="BZ6" s="329"/>
      <c r="CA6" s="329"/>
    </row>
    <row r="7" spans="1:80" x14ac:dyDescent="0.45">
      <c r="M7" s="2"/>
      <c r="N7" s="2"/>
      <c r="O7" s="2"/>
      <c r="Q7" s="184">
        <f t="shared" ref="Q7:CA7" si="0">Q8</f>
        <v>45659</v>
      </c>
      <c r="R7" s="184">
        <f t="shared" si="0"/>
        <v>45660</v>
      </c>
      <c r="S7" s="184">
        <f t="shared" si="0"/>
        <v>45663</v>
      </c>
      <c r="T7" s="184">
        <f t="shared" si="0"/>
        <v>45664</v>
      </c>
      <c r="U7" s="184">
        <f t="shared" si="0"/>
        <v>45665</v>
      </c>
      <c r="V7" s="184">
        <f t="shared" si="0"/>
        <v>45666</v>
      </c>
      <c r="W7" s="184">
        <f t="shared" si="0"/>
        <v>45667</v>
      </c>
      <c r="X7" s="184">
        <f t="shared" si="0"/>
        <v>45670</v>
      </c>
      <c r="Y7" s="184">
        <f t="shared" si="0"/>
        <v>45671</v>
      </c>
      <c r="Z7" s="184">
        <f t="shared" si="0"/>
        <v>45672</v>
      </c>
      <c r="AA7" s="184">
        <f t="shared" si="0"/>
        <v>45673</v>
      </c>
      <c r="AB7" s="184">
        <f t="shared" si="0"/>
        <v>45674</v>
      </c>
      <c r="AC7" s="184">
        <f t="shared" si="0"/>
        <v>45677</v>
      </c>
      <c r="AD7" s="184">
        <f t="shared" si="0"/>
        <v>45678</v>
      </c>
      <c r="AE7" s="184">
        <f t="shared" si="0"/>
        <v>45679</v>
      </c>
      <c r="AF7" s="184">
        <f t="shared" si="0"/>
        <v>45680</v>
      </c>
      <c r="AG7" s="184">
        <f t="shared" si="0"/>
        <v>45681</v>
      </c>
      <c r="AH7" s="184">
        <f t="shared" si="0"/>
        <v>45684</v>
      </c>
      <c r="AI7" s="184">
        <f t="shared" si="0"/>
        <v>45685</v>
      </c>
      <c r="AJ7" s="184">
        <f t="shared" si="0"/>
        <v>45686</v>
      </c>
      <c r="AK7" s="184">
        <f t="shared" si="0"/>
        <v>45687</v>
      </c>
      <c r="AL7" s="184">
        <f t="shared" si="0"/>
        <v>45688</v>
      </c>
      <c r="AM7" s="184">
        <f t="shared" si="0"/>
        <v>45691</v>
      </c>
      <c r="AN7" s="184">
        <f t="shared" si="0"/>
        <v>45692</v>
      </c>
      <c r="AO7" s="184">
        <f t="shared" si="0"/>
        <v>45693</v>
      </c>
      <c r="AP7" s="184">
        <f t="shared" si="0"/>
        <v>45694</v>
      </c>
      <c r="AQ7" s="184">
        <f t="shared" si="0"/>
        <v>45695</v>
      </c>
      <c r="AR7" s="184">
        <f t="shared" si="0"/>
        <v>45698</v>
      </c>
      <c r="AS7" s="184">
        <f t="shared" si="0"/>
        <v>45699</v>
      </c>
      <c r="AT7" s="184">
        <f t="shared" si="0"/>
        <v>45700</v>
      </c>
      <c r="AU7" s="184">
        <f t="shared" si="0"/>
        <v>45701</v>
      </c>
      <c r="AV7" s="184">
        <f t="shared" si="0"/>
        <v>45702</v>
      </c>
      <c r="AW7" s="184">
        <f t="shared" si="0"/>
        <v>45705</v>
      </c>
      <c r="AX7" s="184">
        <f t="shared" si="0"/>
        <v>45706</v>
      </c>
      <c r="AY7" s="184">
        <f t="shared" si="0"/>
        <v>45707</v>
      </c>
      <c r="AZ7" s="184">
        <f t="shared" si="0"/>
        <v>45708</v>
      </c>
      <c r="BA7" s="184">
        <f t="shared" si="0"/>
        <v>45709</v>
      </c>
      <c r="BB7" s="184">
        <f t="shared" si="0"/>
        <v>45712</v>
      </c>
      <c r="BC7" s="184">
        <f t="shared" si="0"/>
        <v>45713</v>
      </c>
      <c r="BD7" s="184">
        <f t="shared" si="0"/>
        <v>45714</v>
      </c>
      <c r="BE7" s="184">
        <f t="shared" si="0"/>
        <v>45715</v>
      </c>
      <c r="BF7" s="184">
        <f t="shared" si="0"/>
        <v>45716</v>
      </c>
      <c r="BG7" s="184">
        <f t="shared" si="0"/>
        <v>45719</v>
      </c>
      <c r="BH7" s="184">
        <f t="shared" si="0"/>
        <v>45720</v>
      </c>
      <c r="BI7" s="184">
        <f t="shared" si="0"/>
        <v>45721</v>
      </c>
      <c r="BJ7" s="184">
        <f t="shared" si="0"/>
        <v>45722</v>
      </c>
      <c r="BK7" s="184">
        <f t="shared" si="0"/>
        <v>45723</v>
      </c>
      <c r="BL7" s="184">
        <f t="shared" si="0"/>
        <v>45726</v>
      </c>
      <c r="BM7" s="184">
        <f t="shared" si="0"/>
        <v>45727</v>
      </c>
      <c r="BN7" s="184">
        <f t="shared" si="0"/>
        <v>45728</v>
      </c>
      <c r="BO7" s="184">
        <f t="shared" si="0"/>
        <v>45729</v>
      </c>
      <c r="BP7" s="184">
        <f t="shared" si="0"/>
        <v>45730</v>
      </c>
      <c r="BQ7" s="184">
        <f t="shared" si="0"/>
        <v>45733</v>
      </c>
      <c r="BR7" s="184">
        <f t="shared" si="0"/>
        <v>45734</v>
      </c>
      <c r="BS7" s="184">
        <f t="shared" si="0"/>
        <v>45735</v>
      </c>
      <c r="BT7" s="184">
        <f t="shared" si="0"/>
        <v>45736</v>
      </c>
      <c r="BU7" s="184">
        <f t="shared" si="0"/>
        <v>45737</v>
      </c>
      <c r="BV7" s="184">
        <f t="shared" si="0"/>
        <v>45740</v>
      </c>
      <c r="BW7" s="184">
        <f t="shared" si="0"/>
        <v>45741</v>
      </c>
      <c r="BX7" s="184">
        <f t="shared" si="0"/>
        <v>45742</v>
      </c>
      <c r="BY7" s="184">
        <f t="shared" si="0"/>
        <v>45743</v>
      </c>
      <c r="BZ7" s="184">
        <f t="shared" si="0"/>
        <v>45744</v>
      </c>
      <c r="CA7" s="184">
        <f t="shared" si="0"/>
        <v>45747</v>
      </c>
    </row>
    <row r="8" spans="1:80" x14ac:dyDescent="0.25">
      <c r="B8" s="74" t="s">
        <v>0</v>
      </c>
      <c r="C8" s="62" t="s">
        <v>1</v>
      </c>
      <c r="D8" s="62" t="s">
        <v>2</v>
      </c>
      <c r="E8" s="62" t="s">
        <v>3</v>
      </c>
      <c r="F8" s="62" t="s">
        <v>4</v>
      </c>
      <c r="G8" s="178" t="s">
        <v>674</v>
      </c>
      <c r="H8" s="62" t="s">
        <v>675</v>
      </c>
      <c r="I8" s="62" t="s">
        <v>6</v>
      </c>
      <c r="J8" s="62" t="s">
        <v>7</v>
      </c>
      <c r="K8" s="62" t="s">
        <v>8</v>
      </c>
      <c r="L8" s="62" t="s">
        <v>9</v>
      </c>
      <c r="M8" s="62" t="s">
        <v>10</v>
      </c>
      <c r="N8" s="62" t="s">
        <v>11</v>
      </c>
      <c r="O8" s="62" t="s">
        <v>12</v>
      </c>
      <c r="P8" s="62" t="s">
        <v>13</v>
      </c>
      <c r="Q8" s="192">
        <v>45659</v>
      </c>
      <c r="R8" s="192">
        <f t="shared" ref="R8:CA8" si="1">WORKDAY(Q8,1)</f>
        <v>45660</v>
      </c>
      <c r="S8" s="192">
        <f t="shared" si="1"/>
        <v>45663</v>
      </c>
      <c r="T8" s="192">
        <f t="shared" si="1"/>
        <v>45664</v>
      </c>
      <c r="U8" s="192">
        <f t="shared" si="1"/>
        <v>45665</v>
      </c>
      <c r="V8" s="192">
        <f t="shared" si="1"/>
        <v>45666</v>
      </c>
      <c r="W8" s="192">
        <f t="shared" si="1"/>
        <v>45667</v>
      </c>
      <c r="X8" s="192">
        <f t="shared" si="1"/>
        <v>45670</v>
      </c>
      <c r="Y8" s="192">
        <f t="shared" si="1"/>
        <v>45671</v>
      </c>
      <c r="Z8" s="192">
        <f t="shared" si="1"/>
        <v>45672</v>
      </c>
      <c r="AA8" s="192">
        <f t="shared" si="1"/>
        <v>45673</v>
      </c>
      <c r="AB8" s="192">
        <f t="shared" si="1"/>
        <v>45674</v>
      </c>
      <c r="AC8" s="192">
        <f t="shared" si="1"/>
        <v>45677</v>
      </c>
      <c r="AD8" s="192">
        <f t="shared" si="1"/>
        <v>45678</v>
      </c>
      <c r="AE8" s="192">
        <f t="shared" si="1"/>
        <v>45679</v>
      </c>
      <c r="AF8" s="192">
        <f t="shared" si="1"/>
        <v>45680</v>
      </c>
      <c r="AG8" s="192">
        <f t="shared" si="1"/>
        <v>45681</v>
      </c>
      <c r="AH8" s="192">
        <f t="shared" si="1"/>
        <v>45684</v>
      </c>
      <c r="AI8" s="192">
        <f t="shared" si="1"/>
        <v>45685</v>
      </c>
      <c r="AJ8" s="192">
        <f t="shared" si="1"/>
        <v>45686</v>
      </c>
      <c r="AK8" s="192">
        <f t="shared" si="1"/>
        <v>45687</v>
      </c>
      <c r="AL8" s="192">
        <f t="shared" si="1"/>
        <v>45688</v>
      </c>
      <c r="AM8" s="192">
        <f t="shared" si="1"/>
        <v>45691</v>
      </c>
      <c r="AN8" s="192">
        <f t="shared" si="1"/>
        <v>45692</v>
      </c>
      <c r="AO8" s="192">
        <f t="shared" si="1"/>
        <v>45693</v>
      </c>
      <c r="AP8" s="192">
        <f t="shared" si="1"/>
        <v>45694</v>
      </c>
      <c r="AQ8" s="192">
        <f t="shared" si="1"/>
        <v>45695</v>
      </c>
      <c r="AR8" s="192">
        <f t="shared" si="1"/>
        <v>45698</v>
      </c>
      <c r="AS8" s="192">
        <f t="shared" si="1"/>
        <v>45699</v>
      </c>
      <c r="AT8" s="192">
        <f t="shared" si="1"/>
        <v>45700</v>
      </c>
      <c r="AU8" s="192">
        <f t="shared" si="1"/>
        <v>45701</v>
      </c>
      <c r="AV8" s="192">
        <f t="shared" si="1"/>
        <v>45702</v>
      </c>
      <c r="AW8" s="192">
        <f t="shared" si="1"/>
        <v>45705</v>
      </c>
      <c r="AX8" s="192">
        <f t="shared" si="1"/>
        <v>45706</v>
      </c>
      <c r="AY8" s="192">
        <f t="shared" si="1"/>
        <v>45707</v>
      </c>
      <c r="AZ8" s="192">
        <f t="shared" si="1"/>
        <v>45708</v>
      </c>
      <c r="BA8" s="192">
        <f t="shared" si="1"/>
        <v>45709</v>
      </c>
      <c r="BB8" s="192">
        <f t="shared" si="1"/>
        <v>45712</v>
      </c>
      <c r="BC8" s="192">
        <f t="shared" si="1"/>
        <v>45713</v>
      </c>
      <c r="BD8" s="192">
        <f t="shared" si="1"/>
        <v>45714</v>
      </c>
      <c r="BE8" s="192">
        <f t="shared" si="1"/>
        <v>45715</v>
      </c>
      <c r="BF8" s="192">
        <f t="shared" si="1"/>
        <v>45716</v>
      </c>
      <c r="BG8" s="192">
        <f t="shared" si="1"/>
        <v>45719</v>
      </c>
      <c r="BH8" s="192">
        <f t="shared" si="1"/>
        <v>45720</v>
      </c>
      <c r="BI8" s="192">
        <f t="shared" si="1"/>
        <v>45721</v>
      </c>
      <c r="BJ8" s="192">
        <f t="shared" si="1"/>
        <v>45722</v>
      </c>
      <c r="BK8" s="192">
        <f t="shared" si="1"/>
        <v>45723</v>
      </c>
      <c r="BL8" s="192">
        <f t="shared" si="1"/>
        <v>45726</v>
      </c>
      <c r="BM8" s="192">
        <f t="shared" si="1"/>
        <v>45727</v>
      </c>
      <c r="BN8" s="192">
        <f t="shared" si="1"/>
        <v>45728</v>
      </c>
      <c r="BO8" s="192">
        <f t="shared" si="1"/>
        <v>45729</v>
      </c>
      <c r="BP8" s="192">
        <f t="shared" si="1"/>
        <v>45730</v>
      </c>
      <c r="BQ8" s="192">
        <f t="shared" si="1"/>
        <v>45733</v>
      </c>
      <c r="BR8" s="192">
        <f t="shared" si="1"/>
        <v>45734</v>
      </c>
      <c r="BS8" s="192">
        <f t="shared" si="1"/>
        <v>45735</v>
      </c>
      <c r="BT8" s="192">
        <f t="shared" si="1"/>
        <v>45736</v>
      </c>
      <c r="BU8" s="192">
        <f t="shared" si="1"/>
        <v>45737</v>
      </c>
      <c r="BV8" s="192">
        <f t="shared" si="1"/>
        <v>45740</v>
      </c>
      <c r="BW8" s="192">
        <f t="shared" si="1"/>
        <v>45741</v>
      </c>
      <c r="BX8" s="192">
        <f t="shared" si="1"/>
        <v>45742</v>
      </c>
      <c r="BY8" s="192">
        <f t="shared" si="1"/>
        <v>45743</v>
      </c>
      <c r="BZ8" s="192">
        <f t="shared" si="1"/>
        <v>45744</v>
      </c>
      <c r="CA8" s="192">
        <f t="shared" si="1"/>
        <v>45747</v>
      </c>
    </row>
    <row r="9" spans="1:80" ht="17.850000000000001" customHeight="1" x14ac:dyDescent="0.25">
      <c r="B9" s="187" t="s">
        <v>14</v>
      </c>
      <c r="C9" s="188"/>
      <c r="D9" s="188"/>
      <c r="E9" s="188"/>
      <c r="F9" s="188"/>
      <c r="G9" s="188"/>
      <c r="H9" s="188"/>
      <c r="I9" s="189">
        <f>+Macro_Plano_2025_v1!J15</f>
        <v>64</v>
      </c>
      <c r="J9" s="189">
        <f>I9/8</f>
        <v>8</v>
      </c>
      <c r="K9" s="189">
        <f>SUM(K10:K34)</f>
        <v>6.5</v>
      </c>
      <c r="L9" s="194">
        <f>SUM(L10:L34)</f>
        <v>1.5625</v>
      </c>
      <c r="M9" s="190">
        <f>SUMPRODUCT(M10:M34,I10:I34)/I9</f>
        <v>0.04</v>
      </c>
      <c r="N9" s="190">
        <f>SUMPRODUCT(N10:N34,J10:J34)/J9</f>
        <v>0.04</v>
      </c>
      <c r="O9" s="190">
        <f>N9-M9</f>
        <v>0</v>
      </c>
      <c r="P9" s="191" t="s">
        <v>15</v>
      </c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5"/>
      <c r="BF9" s="185"/>
      <c r="BG9" s="185"/>
      <c r="BH9" s="186"/>
      <c r="BI9" s="185"/>
      <c r="BJ9" s="185"/>
      <c r="BK9" s="185"/>
      <c r="BL9" s="185"/>
      <c r="BM9" s="185"/>
      <c r="BN9" s="186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5"/>
      <c r="CA9" s="185"/>
    </row>
    <row r="10" spans="1:80" outlineLevel="1" x14ac:dyDescent="0.25">
      <c r="B10" s="5" t="s">
        <v>21</v>
      </c>
      <c r="C10" s="27" t="s">
        <v>672</v>
      </c>
      <c r="D10" s="27" t="s">
        <v>30</v>
      </c>
      <c r="E10" s="27" t="s">
        <v>370</v>
      </c>
      <c r="F10" s="27" t="s">
        <v>485</v>
      </c>
      <c r="G10" s="6" t="s">
        <v>691</v>
      </c>
      <c r="H10" s="6" t="s">
        <v>691</v>
      </c>
      <c r="I10" s="59">
        <f>+$I$9/25</f>
        <v>2.56</v>
      </c>
      <c r="J10" s="59">
        <f>+$J$9/25</f>
        <v>0.32</v>
      </c>
      <c r="K10" s="59">
        <f>SUM(Q10:CA10)</f>
        <v>0.5</v>
      </c>
      <c r="L10" s="193">
        <f>K10/8</f>
        <v>6.25E-2</v>
      </c>
      <c r="M10" s="182">
        <f>100%</f>
        <v>1</v>
      </c>
      <c r="N10" s="182">
        <f>100%</f>
        <v>1</v>
      </c>
      <c r="O10" s="182">
        <f t="shared" ref="O10" si="2">N10-M10</f>
        <v>0</v>
      </c>
      <c r="P10" s="183" t="s">
        <v>15</v>
      </c>
      <c r="Q10" s="16">
        <v>0.5</v>
      </c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26"/>
      <c r="BI10" s="16"/>
      <c r="BJ10" s="16"/>
      <c r="BK10" s="16"/>
      <c r="BL10" s="16"/>
      <c r="BM10" s="16"/>
      <c r="BN10" s="2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</row>
    <row r="11" spans="1:80" outlineLevel="1" x14ac:dyDescent="0.25">
      <c r="B11" s="5" t="s">
        <v>21</v>
      </c>
      <c r="C11" s="27" t="s">
        <v>672</v>
      </c>
      <c r="D11" s="27" t="s">
        <v>30</v>
      </c>
      <c r="E11" s="27" t="s">
        <v>370</v>
      </c>
      <c r="F11" s="27" t="s">
        <v>466</v>
      </c>
      <c r="G11" s="6" t="s">
        <v>693</v>
      </c>
      <c r="H11" s="6" t="s">
        <v>678</v>
      </c>
      <c r="I11" s="59">
        <f t="shared" ref="I11:I34" si="3">+$I$9/25</f>
        <v>2.56</v>
      </c>
      <c r="J11" s="59">
        <f t="shared" ref="J11:J33" si="4">+$J$9/25</f>
        <v>0.32</v>
      </c>
      <c r="K11" s="59">
        <f t="shared" ref="K11:K34" si="5">SUM(Q11:CA11)</f>
        <v>0.5</v>
      </c>
      <c r="L11" s="193">
        <v>6.25E-2</v>
      </c>
      <c r="M11" s="182"/>
      <c r="N11" s="182"/>
      <c r="O11" s="182"/>
      <c r="P11" s="183"/>
      <c r="Q11" s="14"/>
      <c r="R11" s="14">
        <v>0.5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24"/>
      <c r="BI11" s="14"/>
      <c r="BJ11" s="14"/>
      <c r="BK11" s="14"/>
      <c r="BL11" s="14"/>
      <c r="BM11" s="14"/>
      <c r="BN11" s="2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</row>
    <row r="12" spans="1:80" outlineLevel="1" x14ac:dyDescent="0.25">
      <c r="B12" s="5" t="s">
        <v>21</v>
      </c>
      <c r="C12" s="27" t="s">
        <v>672</v>
      </c>
      <c r="D12" s="27" t="s">
        <v>30</v>
      </c>
      <c r="E12" s="27" t="s">
        <v>370</v>
      </c>
      <c r="F12" s="27" t="s">
        <v>486</v>
      </c>
      <c r="G12" s="6" t="s">
        <v>691</v>
      </c>
      <c r="H12" s="6" t="s">
        <v>693</v>
      </c>
      <c r="I12" s="59">
        <f t="shared" si="3"/>
        <v>2.56</v>
      </c>
      <c r="J12" s="59">
        <f t="shared" si="4"/>
        <v>0.32</v>
      </c>
      <c r="K12" s="59">
        <f t="shared" si="5"/>
        <v>0.5</v>
      </c>
      <c r="L12" s="193">
        <v>6.25E-2</v>
      </c>
      <c r="M12" s="182"/>
      <c r="N12" s="182"/>
      <c r="O12" s="182"/>
      <c r="P12" s="183"/>
      <c r="Q12" s="14"/>
      <c r="R12" s="14"/>
      <c r="S12" s="14">
        <v>0.5</v>
      </c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24"/>
      <c r="BI12" s="14"/>
      <c r="BJ12" s="14"/>
      <c r="BK12" s="14"/>
      <c r="BL12" s="14"/>
      <c r="BM12" s="14"/>
      <c r="BN12" s="2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</row>
    <row r="13" spans="1:80" outlineLevel="1" x14ac:dyDescent="0.25">
      <c r="B13" s="5" t="s">
        <v>21</v>
      </c>
      <c r="C13" s="27" t="s">
        <v>672</v>
      </c>
      <c r="D13" s="27" t="s">
        <v>30</v>
      </c>
      <c r="E13" s="27" t="s">
        <v>370</v>
      </c>
      <c r="F13" s="27" t="s">
        <v>487</v>
      </c>
      <c r="G13" s="6" t="s">
        <v>691</v>
      </c>
      <c r="H13" s="6" t="s">
        <v>693</v>
      </c>
      <c r="I13" s="59">
        <f t="shared" si="3"/>
        <v>2.56</v>
      </c>
      <c r="J13" s="59">
        <f t="shared" si="4"/>
        <v>0.32</v>
      </c>
      <c r="K13" s="59">
        <f t="shared" si="5"/>
        <v>0</v>
      </c>
      <c r="L13" s="193">
        <v>6.25E-2</v>
      </c>
      <c r="M13" s="182"/>
      <c r="N13" s="182"/>
      <c r="O13" s="182"/>
      <c r="P13" s="18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24"/>
      <c r="BI13" s="14"/>
      <c r="BJ13" s="14"/>
      <c r="BK13" s="14"/>
      <c r="BL13" s="14"/>
      <c r="BM13" s="14"/>
      <c r="BN13" s="2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</row>
    <row r="14" spans="1:80" outlineLevel="1" x14ac:dyDescent="0.25">
      <c r="B14" s="5" t="s">
        <v>21</v>
      </c>
      <c r="C14" s="27" t="s">
        <v>672</v>
      </c>
      <c r="D14" s="27" t="s">
        <v>30</v>
      </c>
      <c r="E14" s="27" t="s">
        <v>370</v>
      </c>
      <c r="F14" s="27" t="s">
        <v>488</v>
      </c>
      <c r="G14" s="6" t="s">
        <v>691</v>
      </c>
      <c r="H14" s="6" t="s">
        <v>691</v>
      </c>
      <c r="I14" s="59">
        <f t="shared" si="3"/>
        <v>2.56</v>
      </c>
      <c r="J14" s="59">
        <f t="shared" si="4"/>
        <v>0.32</v>
      </c>
      <c r="K14" s="59">
        <f t="shared" si="5"/>
        <v>1.5</v>
      </c>
      <c r="L14" s="193">
        <v>6.25E-2</v>
      </c>
      <c r="M14" s="182"/>
      <c r="N14" s="182"/>
      <c r="O14" s="182"/>
      <c r="P14" s="183"/>
      <c r="Q14" s="14"/>
      <c r="R14" s="14">
        <v>1.5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24"/>
      <c r="BI14" s="14"/>
      <c r="BJ14" s="14"/>
      <c r="BK14" s="14"/>
      <c r="BL14" s="14"/>
      <c r="BM14" s="14"/>
      <c r="BN14" s="2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</row>
    <row r="15" spans="1:80" outlineLevel="1" x14ac:dyDescent="0.25">
      <c r="B15" s="5" t="s">
        <v>21</v>
      </c>
      <c r="C15" s="27" t="s">
        <v>672</v>
      </c>
      <c r="D15" s="27" t="s">
        <v>30</v>
      </c>
      <c r="E15" s="27" t="s">
        <v>370</v>
      </c>
      <c r="F15" s="27" t="s">
        <v>489</v>
      </c>
      <c r="G15" s="6" t="s">
        <v>691</v>
      </c>
      <c r="H15" s="6" t="s">
        <v>691</v>
      </c>
      <c r="I15" s="59">
        <f t="shared" si="3"/>
        <v>2.56</v>
      </c>
      <c r="J15" s="59">
        <f t="shared" si="4"/>
        <v>0.32</v>
      </c>
      <c r="K15" s="59">
        <f t="shared" si="5"/>
        <v>0.5</v>
      </c>
      <c r="L15" s="193">
        <v>6.25E-2</v>
      </c>
      <c r="M15" s="182"/>
      <c r="N15" s="182"/>
      <c r="O15" s="182"/>
      <c r="P15" s="183"/>
      <c r="Q15" s="14"/>
      <c r="R15" s="14">
        <v>0.5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24"/>
      <c r="BI15" s="14"/>
      <c r="BJ15" s="14"/>
      <c r="BK15" s="14"/>
      <c r="BL15" s="14"/>
      <c r="BM15" s="14"/>
      <c r="BN15" s="2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</row>
    <row r="16" spans="1:80" outlineLevel="1" x14ac:dyDescent="0.25">
      <c r="B16" s="5" t="s">
        <v>21</v>
      </c>
      <c r="C16" s="27" t="s">
        <v>672</v>
      </c>
      <c r="D16" s="27" t="s">
        <v>30</v>
      </c>
      <c r="E16" s="27" t="s">
        <v>370</v>
      </c>
      <c r="F16" s="27" t="s">
        <v>467</v>
      </c>
      <c r="G16" s="6" t="s">
        <v>691</v>
      </c>
      <c r="H16" s="6" t="s">
        <v>678</v>
      </c>
      <c r="I16" s="59">
        <f t="shared" si="3"/>
        <v>2.56</v>
      </c>
      <c r="J16" s="59">
        <f t="shared" si="4"/>
        <v>0.32</v>
      </c>
      <c r="K16" s="59">
        <f t="shared" si="5"/>
        <v>0</v>
      </c>
      <c r="L16" s="193">
        <v>6.25E-2</v>
      </c>
      <c r="M16" s="182"/>
      <c r="N16" s="182"/>
      <c r="O16" s="182"/>
      <c r="P16" s="183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24"/>
      <c r="BI16" s="14"/>
      <c r="BJ16" s="14"/>
      <c r="BK16" s="14"/>
      <c r="BL16" s="14"/>
      <c r="BM16" s="14"/>
      <c r="BN16" s="2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</row>
    <row r="17" spans="2:79" outlineLevel="1" x14ac:dyDescent="0.25">
      <c r="B17" s="5" t="s">
        <v>21</v>
      </c>
      <c r="C17" s="27" t="s">
        <v>672</v>
      </c>
      <c r="D17" s="27" t="s">
        <v>30</v>
      </c>
      <c r="E17" s="27" t="s">
        <v>370</v>
      </c>
      <c r="F17" s="27" t="s">
        <v>490</v>
      </c>
      <c r="G17" s="6" t="s">
        <v>691</v>
      </c>
      <c r="H17" s="6" t="s">
        <v>691</v>
      </c>
      <c r="I17" s="59">
        <f t="shared" si="3"/>
        <v>2.56</v>
      </c>
      <c r="J17" s="59">
        <f t="shared" si="4"/>
        <v>0.32</v>
      </c>
      <c r="K17" s="59">
        <f t="shared" si="5"/>
        <v>0</v>
      </c>
      <c r="L17" s="193">
        <v>6.25E-2</v>
      </c>
      <c r="M17" s="182"/>
      <c r="N17" s="182"/>
      <c r="O17" s="182"/>
      <c r="P17" s="183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24"/>
      <c r="BI17" s="14"/>
      <c r="BJ17" s="14"/>
      <c r="BK17" s="14"/>
      <c r="BL17" s="14"/>
      <c r="BM17" s="14"/>
      <c r="BN17" s="2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</row>
    <row r="18" spans="2:79" outlineLevel="1" x14ac:dyDescent="0.25">
      <c r="B18" s="5" t="s">
        <v>21</v>
      </c>
      <c r="C18" s="27" t="s">
        <v>672</v>
      </c>
      <c r="D18" s="27" t="s">
        <v>30</v>
      </c>
      <c r="E18" s="27" t="s">
        <v>370</v>
      </c>
      <c r="F18" s="27" t="s">
        <v>491</v>
      </c>
      <c r="G18" s="6" t="s">
        <v>691</v>
      </c>
      <c r="H18" s="6" t="s">
        <v>691</v>
      </c>
      <c r="I18" s="59">
        <f t="shared" si="3"/>
        <v>2.56</v>
      </c>
      <c r="J18" s="59">
        <f t="shared" si="4"/>
        <v>0.32</v>
      </c>
      <c r="K18" s="59">
        <f t="shared" si="5"/>
        <v>0</v>
      </c>
      <c r="L18" s="193">
        <v>6.25E-2</v>
      </c>
      <c r="M18" s="182"/>
      <c r="N18" s="182"/>
      <c r="O18" s="182"/>
      <c r="P18" s="18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24"/>
      <c r="BI18" s="14"/>
      <c r="BJ18" s="14"/>
      <c r="BK18" s="14"/>
      <c r="BL18" s="14"/>
      <c r="BM18" s="14"/>
      <c r="BN18" s="2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</row>
    <row r="19" spans="2:79" outlineLevel="1" x14ac:dyDescent="0.25">
      <c r="B19" s="5" t="s">
        <v>21</v>
      </c>
      <c r="C19" s="27" t="s">
        <v>672</v>
      </c>
      <c r="D19" s="27" t="s">
        <v>30</v>
      </c>
      <c r="E19" s="27" t="s">
        <v>370</v>
      </c>
      <c r="F19" s="27" t="s">
        <v>492</v>
      </c>
      <c r="G19" s="6" t="s">
        <v>691</v>
      </c>
      <c r="H19" s="6" t="s">
        <v>691</v>
      </c>
      <c r="I19" s="59">
        <f t="shared" si="3"/>
        <v>2.56</v>
      </c>
      <c r="J19" s="59">
        <f t="shared" si="4"/>
        <v>0.32</v>
      </c>
      <c r="K19" s="59">
        <f t="shared" si="5"/>
        <v>0</v>
      </c>
      <c r="L19" s="193">
        <v>6.25E-2</v>
      </c>
      <c r="M19" s="182"/>
      <c r="N19" s="182"/>
      <c r="O19" s="182"/>
      <c r="P19" s="18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24"/>
      <c r="BI19" s="14"/>
      <c r="BJ19" s="14"/>
      <c r="BK19" s="14"/>
      <c r="BL19" s="14"/>
      <c r="BM19" s="14"/>
      <c r="BN19" s="2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</row>
    <row r="20" spans="2:79" outlineLevel="1" x14ac:dyDescent="0.25">
      <c r="B20" s="5" t="s">
        <v>21</v>
      </c>
      <c r="C20" s="27" t="s">
        <v>672</v>
      </c>
      <c r="D20" s="27" t="s">
        <v>30</v>
      </c>
      <c r="E20" s="27" t="s">
        <v>370</v>
      </c>
      <c r="F20" s="27" t="s">
        <v>468</v>
      </c>
      <c r="G20" s="6" t="s">
        <v>692</v>
      </c>
      <c r="H20" s="6" t="s">
        <v>678</v>
      </c>
      <c r="I20" s="59">
        <f t="shared" si="3"/>
        <v>2.56</v>
      </c>
      <c r="J20" s="59">
        <f t="shared" si="4"/>
        <v>0.32</v>
      </c>
      <c r="K20" s="59">
        <f t="shared" si="5"/>
        <v>0</v>
      </c>
      <c r="L20" s="193">
        <v>6.25E-2</v>
      </c>
      <c r="M20" s="182"/>
      <c r="N20" s="182"/>
      <c r="O20" s="182"/>
      <c r="P20" s="183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24"/>
      <c r="BI20" s="14"/>
      <c r="BJ20" s="14"/>
      <c r="BK20" s="14"/>
      <c r="BL20" s="14"/>
      <c r="BM20" s="14"/>
      <c r="BN20" s="2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</row>
    <row r="21" spans="2:79" outlineLevel="1" x14ac:dyDescent="0.25">
      <c r="B21" s="5" t="s">
        <v>21</v>
      </c>
      <c r="C21" s="27" t="s">
        <v>672</v>
      </c>
      <c r="D21" s="27" t="s">
        <v>30</v>
      </c>
      <c r="E21" s="27" t="s">
        <v>370</v>
      </c>
      <c r="F21" s="27" t="s">
        <v>493</v>
      </c>
      <c r="G21" s="6" t="s">
        <v>692</v>
      </c>
      <c r="H21" s="6" t="s">
        <v>678</v>
      </c>
      <c r="I21" s="59">
        <f t="shared" si="3"/>
        <v>2.56</v>
      </c>
      <c r="J21" s="59">
        <f t="shared" si="4"/>
        <v>0.32</v>
      </c>
      <c r="K21" s="59">
        <f t="shared" si="5"/>
        <v>0.5</v>
      </c>
      <c r="L21" s="193">
        <v>6.25E-2</v>
      </c>
      <c r="M21" s="182"/>
      <c r="N21" s="182"/>
      <c r="O21" s="182"/>
      <c r="P21" s="183"/>
      <c r="Q21" s="14"/>
      <c r="R21" s="14">
        <v>0.5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24"/>
      <c r="BI21" s="14"/>
      <c r="BJ21" s="14"/>
      <c r="BK21" s="14"/>
      <c r="BL21" s="14"/>
      <c r="BM21" s="14"/>
      <c r="BN21" s="2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</row>
    <row r="22" spans="2:79" outlineLevel="1" x14ac:dyDescent="0.25">
      <c r="B22" s="5" t="s">
        <v>21</v>
      </c>
      <c r="C22" s="27" t="s">
        <v>672</v>
      </c>
      <c r="D22" s="27" t="s">
        <v>30</v>
      </c>
      <c r="E22" s="27" t="s">
        <v>370</v>
      </c>
      <c r="F22" s="27" t="s">
        <v>494</v>
      </c>
      <c r="G22" s="6" t="s">
        <v>692</v>
      </c>
      <c r="H22" s="6" t="s">
        <v>678</v>
      </c>
      <c r="I22" s="59">
        <f t="shared" si="3"/>
        <v>2.56</v>
      </c>
      <c r="J22" s="59">
        <f t="shared" si="4"/>
        <v>0.32</v>
      </c>
      <c r="K22" s="59">
        <f t="shared" si="5"/>
        <v>0.5</v>
      </c>
      <c r="L22" s="193">
        <v>6.25E-2</v>
      </c>
      <c r="M22" s="182"/>
      <c r="N22" s="182"/>
      <c r="O22" s="182"/>
      <c r="P22" s="183"/>
      <c r="Q22" s="14"/>
      <c r="R22" s="14">
        <v>0.5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24"/>
      <c r="BI22" s="14"/>
      <c r="BJ22" s="14"/>
      <c r="BK22" s="14"/>
      <c r="BL22" s="14"/>
      <c r="BM22" s="14"/>
      <c r="BN22" s="2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</row>
    <row r="23" spans="2:79" outlineLevel="1" x14ac:dyDescent="0.25">
      <c r="B23" s="5" t="s">
        <v>21</v>
      </c>
      <c r="C23" s="27" t="s">
        <v>672</v>
      </c>
      <c r="D23" s="27" t="s">
        <v>30</v>
      </c>
      <c r="E23" s="27" t="s">
        <v>370</v>
      </c>
      <c r="F23" s="27" t="s">
        <v>495</v>
      </c>
      <c r="G23" s="6" t="s">
        <v>691</v>
      </c>
      <c r="H23" s="6" t="s">
        <v>678</v>
      </c>
      <c r="I23" s="59">
        <f t="shared" si="3"/>
        <v>2.56</v>
      </c>
      <c r="J23" s="59">
        <f t="shared" si="4"/>
        <v>0.32</v>
      </c>
      <c r="K23" s="59">
        <f t="shared" si="5"/>
        <v>0.5</v>
      </c>
      <c r="L23" s="193">
        <v>6.25E-2</v>
      </c>
      <c r="M23" s="182"/>
      <c r="N23" s="182"/>
      <c r="O23" s="182"/>
      <c r="P23" s="183"/>
      <c r="Q23" s="14"/>
      <c r="R23" s="14">
        <v>0.5</v>
      </c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24"/>
      <c r="BI23" s="14"/>
      <c r="BJ23" s="14"/>
      <c r="BK23" s="14"/>
      <c r="BL23" s="14"/>
      <c r="BM23" s="14"/>
      <c r="BN23" s="2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</row>
    <row r="24" spans="2:79" outlineLevel="1" x14ac:dyDescent="0.25">
      <c r="B24" s="5" t="s">
        <v>21</v>
      </c>
      <c r="C24" s="27" t="s">
        <v>672</v>
      </c>
      <c r="D24" s="27" t="s">
        <v>30</v>
      </c>
      <c r="E24" s="27" t="s">
        <v>370</v>
      </c>
      <c r="F24" s="27" t="s">
        <v>496</v>
      </c>
      <c r="G24" s="6" t="s">
        <v>691</v>
      </c>
      <c r="H24" s="6" t="s">
        <v>691</v>
      </c>
      <c r="I24" s="59">
        <f t="shared" si="3"/>
        <v>2.56</v>
      </c>
      <c r="J24" s="59">
        <f t="shared" si="4"/>
        <v>0.32</v>
      </c>
      <c r="K24" s="59">
        <f t="shared" si="5"/>
        <v>0.5</v>
      </c>
      <c r="L24" s="193">
        <v>6.25E-2</v>
      </c>
      <c r="M24" s="182"/>
      <c r="N24" s="182"/>
      <c r="O24" s="182"/>
      <c r="P24" s="183"/>
      <c r="Q24" s="14"/>
      <c r="R24" s="14">
        <v>0.5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24"/>
      <c r="BI24" s="14"/>
      <c r="BJ24" s="14"/>
      <c r="BK24" s="14"/>
      <c r="BL24" s="14"/>
      <c r="BM24" s="14"/>
      <c r="BN24" s="2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</row>
    <row r="25" spans="2:79" outlineLevel="1" x14ac:dyDescent="0.25">
      <c r="B25" s="5" t="s">
        <v>21</v>
      </c>
      <c r="C25" s="27" t="s">
        <v>672</v>
      </c>
      <c r="D25" s="27" t="s">
        <v>30</v>
      </c>
      <c r="E25" s="27" t="s">
        <v>370</v>
      </c>
      <c r="F25" s="27" t="s">
        <v>497</v>
      </c>
      <c r="G25" s="6" t="s">
        <v>691</v>
      </c>
      <c r="H25" s="6" t="s">
        <v>693</v>
      </c>
      <c r="I25" s="59">
        <f t="shared" si="3"/>
        <v>2.56</v>
      </c>
      <c r="J25" s="59">
        <f t="shared" si="4"/>
        <v>0.32</v>
      </c>
      <c r="K25" s="59">
        <f t="shared" si="5"/>
        <v>0.5</v>
      </c>
      <c r="L25" s="193">
        <v>6.25E-2</v>
      </c>
      <c r="M25" s="182"/>
      <c r="N25" s="182"/>
      <c r="O25" s="182"/>
      <c r="P25" s="183"/>
      <c r="Q25" s="14"/>
      <c r="R25" s="14">
        <v>0.5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24"/>
      <c r="BI25" s="14"/>
      <c r="BJ25" s="14"/>
      <c r="BK25" s="14"/>
      <c r="BL25" s="14"/>
      <c r="BM25" s="14"/>
      <c r="BN25" s="2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</row>
    <row r="26" spans="2:79" outlineLevel="1" x14ac:dyDescent="0.25">
      <c r="B26" s="5" t="s">
        <v>21</v>
      </c>
      <c r="C26" s="27" t="s">
        <v>672</v>
      </c>
      <c r="D26" s="27" t="s">
        <v>30</v>
      </c>
      <c r="E26" s="27" t="s">
        <v>370</v>
      </c>
      <c r="F26" s="27" t="s">
        <v>498</v>
      </c>
      <c r="G26" s="6" t="s">
        <v>691</v>
      </c>
      <c r="H26" s="6" t="s">
        <v>693</v>
      </c>
      <c r="I26" s="59">
        <f t="shared" si="3"/>
        <v>2.56</v>
      </c>
      <c r="J26" s="59">
        <f t="shared" si="4"/>
        <v>0.32</v>
      </c>
      <c r="K26" s="59">
        <f t="shared" si="5"/>
        <v>0.5</v>
      </c>
      <c r="L26" s="193">
        <v>6.25E-2</v>
      </c>
      <c r="M26" s="182"/>
      <c r="N26" s="182"/>
      <c r="O26" s="182"/>
      <c r="P26" s="183"/>
      <c r="Q26" s="14"/>
      <c r="R26" s="14">
        <v>0.5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24"/>
      <c r="BI26" s="14"/>
      <c r="BJ26" s="14"/>
      <c r="BK26" s="14"/>
      <c r="BL26" s="14"/>
      <c r="BM26" s="14"/>
      <c r="BN26" s="2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</row>
    <row r="27" spans="2:79" outlineLevel="1" x14ac:dyDescent="0.25">
      <c r="B27" s="5" t="s">
        <v>21</v>
      </c>
      <c r="C27" s="27" t="s">
        <v>672</v>
      </c>
      <c r="D27" s="27" t="s">
        <v>30</v>
      </c>
      <c r="E27" s="27" t="s">
        <v>370</v>
      </c>
      <c r="F27" s="27" t="s">
        <v>499</v>
      </c>
      <c r="G27" s="6" t="s">
        <v>691</v>
      </c>
      <c r="H27" s="6" t="s">
        <v>691</v>
      </c>
      <c r="I27" s="59">
        <f t="shared" si="3"/>
        <v>2.56</v>
      </c>
      <c r="J27" s="59">
        <f t="shared" si="4"/>
        <v>0.32</v>
      </c>
      <c r="K27" s="59">
        <f t="shared" si="5"/>
        <v>0</v>
      </c>
      <c r="L27" s="193">
        <v>6.25E-2</v>
      </c>
      <c r="M27" s="182"/>
      <c r="N27" s="182"/>
      <c r="O27" s="182"/>
      <c r="P27" s="183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24"/>
      <c r="BI27" s="14"/>
      <c r="BJ27" s="14"/>
      <c r="BK27" s="14"/>
      <c r="BL27" s="14"/>
      <c r="BM27" s="14"/>
      <c r="BN27" s="2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</row>
    <row r="28" spans="2:79" outlineLevel="1" x14ac:dyDescent="0.25">
      <c r="B28" s="5" t="s">
        <v>21</v>
      </c>
      <c r="C28" s="27" t="s">
        <v>672</v>
      </c>
      <c r="D28" s="27" t="s">
        <v>30</v>
      </c>
      <c r="E28" s="27" t="s">
        <v>370</v>
      </c>
      <c r="F28" s="27" t="s">
        <v>500</v>
      </c>
      <c r="G28" s="6" t="s">
        <v>691</v>
      </c>
      <c r="H28" s="6" t="s">
        <v>693</v>
      </c>
      <c r="I28" s="59">
        <f t="shared" si="3"/>
        <v>2.56</v>
      </c>
      <c r="J28" s="59">
        <f t="shared" si="4"/>
        <v>0.32</v>
      </c>
      <c r="K28" s="59">
        <f t="shared" si="5"/>
        <v>0</v>
      </c>
      <c r="L28" s="193">
        <v>6.25E-2</v>
      </c>
      <c r="M28" s="182"/>
      <c r="N28" s="182"/>
      <c r="O28" s="182"/>
      <c r="P28" s="183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24"/>
      <c r="BI28" s="14"/>
      <c r="BJ28" s="14"/>
      <c r="BK28" s="14"/>
      <c r="BL28" s="14"/>
      <c r="BM28" s="14"/>
      <c r="BN28" s="2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</row>
    <row r="29" spans="2:79" outlineLevel="1" x14ac:dyDescent="0.25">
      <c r="B29" s="5" t="s">
        <v>21</v>
      </c>
      <c r="C29" s="27" t="s">
        <v>672</v>
      </c>
      <c r="D29" s="27" t="s">
        <v>30</v>
      </c>
      <c r="E29" s="27" t="s">
        <v>370</v>
      </c>
      <c r="F29" s="27" t="s">
        <v>501</v>
      </c>
      <c r="G29" s="6" t="s">
        <v>691</v>
      </c>
      <c r="H29" s="6" t="s">
        <v>691</v>
      </c>
      <c r="I29" s="59">
        <f t="shared" si="3"/>
        <v>2.56</v>
      </c>
      <c r="J29" s="59">
        <f t="shared" si="4"/>
        <v>0.32</v>
      </c>
      <c r="K29" s="59">
        <f t="shared" si="5"/>
        <v>0</v>
      </c>
      <c r="L29" s="193">
        <v>6.25E-2</v>
      </c>
      <c r="M29" s="182"/>
      <c r="N29" s="182"/>
      <c r="O29" s="182"/>
      <c r="P29" s="183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24"/>
      <c r="BI29" s="14"/>
      <c r="BJ29" s="14"/>
      <c r="BK29" s="14"/>
      <c r="BL29" s="14"/>
      <c r="BM29" s="14"/>
      <c r="BN29" s="2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</row>
    <row r="30" spans="2:79" outlineLevel="1" x14ac:dyDescent="0.25">
      <c r="B30" s="5" t="s">
        <v>21</v>
      </c>
      <c r="C30" s="27" t="s">
        <v>672</v>
      </c>
      <c r="D30" s="27" t="s">
        <v>30</v>
      </c>
      <c r="E30" s="27" t="s">
        <v>370</v>
      </c>
      <c r="F30" s="27" t="s">
        <v>502</v>
      </c>
      <c r="G30" s="6" t="s">
        <v>691</v>
      </c>
      <c r="H30" s="6" t="s">
        <v>691</v>
      </c>
      <c r="I30" s="59">
        <f t="shared" si="3"/>
        <v>2.56</v>
      </c>
      <c r="J30" s="59">
        <f t="shared" si="4"/>
        <v>0.32</v>
      </c>
      <c r="K30" s="59">
        <f t="shared" si="5"/>
        <v>0</v>
      </c>
      <c r="L30" s="193">
        <v>6.25E-2</v>
      </c>
      <c r="M30" s="182"/>
      <c r="N30" s="182"/>
      <c r="O30" s="182"/>
      <c r="P30" s="183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24"/>
      <c r="BI30" s="14"/>
      <c r="BJ30" s="14"/>
      <c r="BK30" s="14"/>
      <c r="BL30" s="14"/>
      <c r="BM30" s="14"/>
      <c r="BN30" s="2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</row>
    <row r="31" spans="2:79" outlineLevel="1" x14ac:dyDescent="0.25">
      <c r="B31" s="5" t="s">
        <v>21</v>
      </c>
      <c r="C31" s="27" t="s">
        <v>672</v>
      </c>
      <c r="D31" s="27" t="s">
        <v>30</v>
      </c>
      <c r="E31" s="27" t="s">
        <v>370</v>
      </c>
      <c r="F31" s="27" t="s">
        <v>503</v>
      </c>
      <c r="G31" s="6" t="s">
        <v>691</v>
      </c>
      <c r="H31" s="6" t="s">
        <v>678</v>
      </c>
      <c r="I31" s="59">
        <f t="shared" si="3"/>
        <v>2.56</v>
      </c>
      <c r="J31" s="59">
        <f t="shared" si="4"/>
        <v>0.32</v>
      </c>
      <c r="K31" s="59">
        <f t="shared" si="5"/>
        <v>0</v>
      </c>
      <c r="L31" s="193">
        <v>6.25E-2</v>
      </c>
      <c r="M31" s="182"/>
      <c r="N31" s="182"/>
      <c r="O31" s="182"/>
      <c r="P31" s="183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24"/>
      <c r="BI31" s="14"/>
      <c r="BJ31" s="14"/>
      <c r="BK31" s="14"/>
      <c r="BL31" s="14"/>
      <c r="BM31" s="14"/>
      <c r="BN31" s="2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</row>
    <row r="32" spans="2:79" outlineLevel="1" x14ac:dyDescent="0.25">
      <c r="B32" s="5" t="s">
        <v>21</v>
      </c>
      <c r="C32" s="27" t="s">
        <v>672</v>
      </c>
      <c r="D32" s="27" t="s">
        <v>30</v>
      </c>
      <c r="E32" s="27" t="s">
        <v>370</v>
      </c>
      <c r="F32" s="27" t="s">
        <v>504</v>
      </c>
      <c r="G32" s="6" t="s">
        <v>691</v>
      </c>
      <c r="H32" s="6" t="s">
        <v>678</v>
      </c>
      <c r="I32" s="59">
        <f t="shared" si="3"/>
        <v>2.56</v>
      </c>
      <c r="J32" s="59">
        <f t="shared" si="4"/>
        <v>0.32</v>
      </c>
      <c r="K32" s="59">
        <f t="shared" si="5"/>
        <v>0</v>
      </c>
      <c r="L32" s="193">
        <v>6.25E-2</v>
      </c>
      <c r="M32" s="182"/>
      <c r="N32" s="182"/>
      <c r="O32" s="182"/>
      <c r="P32" s="183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24"/>
      <c r="BI32" s="14"/>
      <c r="BJ32" s="14"/>
      <c r="BK32" s="14"/>
      <c r="BL32" s="14"/>
      <c r="BM32" s="14"/>
      <c r="BN32" s="2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</row>
    <row r="33" spans="2:79" outlineLevel="1" x14ac:dyDescent="0.25">
      <c r="B33" s="5" t="s">
        <v>21</v>
      </c>
      <c r="C33" s="27" t="s">
        <v>672</v>
      </c>
      <c r="D33" s="27" t="s">
        <v>30</v>
      </c>
      <c r="E33" s="27" t="s">
        <v>370</v>
      </c>
      <c r="F33" s="27" t="s">
        <v>505</v>
      </c>
      <c r="G33" s="6" t="s">
        <v>691</v>
      </c>
      <c r="H33" s="6" t="s">
        <v>678</v>
      </c>
      <c r="I33" s="59">
        <f t="shared" si="3"/>
        <v>2.56</v>
      </c>
      <c r="J33" s="59">
        <f t="shared" si="4"/>
        <v>0.32</v>
      </c>
      <c r="K33" s="59">
        <f t="shared" si="5"/>
        <v>0</v>
      </c>
      <c r="L33" s="193">
        <v>6.25E-2</v>
      </c>
      <c r="M33" s="182"/>
      <c r="N33" s="182"/>
      <c r="O33" s="182"/>
      <c r="P33" s="183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24"/>
      <c r="BI33" s="14"/>
      <c r="BJ33" s="14"/>
      <c r="BK33" s="14"/>
      <c r="BL33" s="14"/>
      <c r="BM33" s="14"/>
      <c r="BN33" s="2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</row>
    <row r="34" spans="2:79" outlineLevel="1" x14ac:dyDescent="0.25">
      <c r="B34" s="5" t="s">
        <v>21</v>
      </c>
      <c r="C34" s="27" t="s">
        <v>672</v>
      </c>
      <c r="D34" s="27" t="s">
        <v>30</v>
      </c>
      <c r="E34" s="27" t="s">
        <v>370</v>
      </c>
      <c r="F34" s="27" t="s">
        <v>506</v>
      </c>
      <c r="G34" s="6" t="s">
        <v>691</v>
      </c>
      <c r="H34" s="6" t="s">
        <v>678</v>
      </c>
      <c r="I34" s="59">
        <f t="shared" si="3"/>
        <v>2.56</v>
      </c>
      <c r="J34" s="59">
        <f>+$J$9/25</f>
        <v>0.32</v>
      </c>
      <c r="K34" s="59">
        <f t="shared" si="5"/>
        <v>0</v>
      </c>
      <c r="L34" s="193">
        <v>6.25E-2</v>
      </c>
      <c r="M34" s="182"/>
      <c r="N34" s="182"/>
      <c r="O34" s="182"/>
      <c r="P34" s="183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24"/>
      <c r="BI34" s="14"/>
      <c r="BJ34" s="14"/>
      <c r="BK34" s="14"/>
      <c r="BL34" s="14"/>
      <c r="BM34" s="14"/>
      <c r="BN34" s="2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</row>
    <row r="35" spans="2:79" outlineLevel="1" x14ac:dyDescent="0.25">
      <c r="B35" s="5" t="s">
        <v>21</v>
      </c>
      <c r="C35" s="27" t="s">
        <v>672</v>
      </c>
      <c r="D35" s="27" t="s">
        <v>30</v>
      </c>
      <c r="E35" s="27" t="s">
        <v>370</v>
      </c>
      <c r="F35" s="27" t="s">
        <v>507</v>
      </c>
      <c r="G35" s="6" t="s">
        <v>691</v>
      </c>
      <c r="H35" s="6" t="s">
        <v>678</v>
      </c>
      <c r="I35" s="59"/>
      <c r="J35" s="59"/>
      <c r="K35" s="59"/>
      <c r="L35" s="193"/>
      <c r="M35" s="182"/>
      <c r="N35" s="182"/>
      <c r="O35" s="217"/>
      <c r="P35" s="218"/>
      <c r="BH35" s="219"/>
      <c r="BN35" s="219"/>
    </row>
    <row r="36" spans="2:79" outlineLevel="1" x14ac:dyDescent="0.25">
      <c r="B36" s="5" t="s">
        <v>21</v>
      </c>
      <c r="C36" s="27" t="s">
        <v>672</v>
      </c>
      <c r="D36" s="27" t="s">
        <v>30</v>
      </c>
      <c r="E36" s="27" t="s">
        <v>370</v>
      </c>
      <c r="F36" s="27" t="s">
        <v>469</v>
      </c>
      <c r="G36" s="6" t="s">
        <v>691</v>
      </c>
      <c r="H36" s="6" t="s">
        <v>678</v>
      </c>
      <c r="I36" s="59"/>
      <c r="J36" s="59"/>
      <c r="K36" s="59"/>
      <c r="L36" s="193"/>
      <c r="M36" s="182"/>
      <c r="N36" s="182"/>
      <c r="O36" s="217"/>
      <c r="P36" s="218"/>
      <c r="BH36" s="219"/>
      <c r="BN36" s="219"/>
    </row>
    <row r="37" spans="2:79" outlineLevel="1" x14ac:dyDescent="0.25">
      <c r="B37" s="5" t="s">
        <v>21</v>
      </c>
      <c r="C37" s="27" t="s">
        <v>672</v>
      </c>
      <c r="D37" s="27" t="s">
        <v>30</v>
      </c>
      <c r="E37" s="27" t="s">
        <v>370</v>
      </c>
      <c r="F37" s="27" t="s">
        <v>508</v>
      </c>
      <c r="G37" s="6" t="s">
        <v>691</v>
      </c>
      <c r="H37" s="6" t="s">
        <v>678</v>
      </c>
      <c r="I37" s="59"/>
      <c r="J37" s="59"/>
      <c r="K37" s="59"/>
      <c r="L37" s="193"/>
      <c r="M37" s="182"/>
      <c r="N37" s="182"/>
      <c r="O37" s="217"/>
      <c r="P37" s="218"/>
      <c r="BH37" s="219"/>
      <c r="BN37" s="219"/>
    </row>
    <row r="38" spans="2:79" outlineLevel="1" x14ac:dyDescent="0.25">
      <c r="B38" s="5" t="s">
        <v>21</v>
      </c>
      <c r="C38" s="27" t="s">
        <v>672</v>
      </c>
      <c r="D38" s="27" t="s">
        <v>30</v>
      </c>
      <c r="E38" s="27" t="s">
        <v>370</v>
      </c>
      <c r="F38" s="27" t="s">
        <v>509</v>
      </c>
      <c r="G38" s="6" t="s">
        <v>691</v>
      </c>
      <c r="H38" s="6" t="s">
        <v>678</v>
      </c>
      <c r="I38" s="59"/>
      <c r="J38" s="59"/>
      <c r="K38" s="59"/>
      <c r="L38" s="193"/>
      <c r="M38" s="182"/>
      <c r="N38" s="182"/>
      <c r="O38" s="217"/>
      <c r="P38" s="218"/>
      <c r="BH38" s="219"/>
      <c r="BN38" s="219"/>
    </row>
    <row r="39" spans="2:79" outlineLevel="1" x14ac:dyDescent="0.25">
      <c r="B39" s="5" t="s">
        <v>21</v>
      </c>
      <c r="C39" s="27" t="s">
        <v>672</v>
      </c>
      <c r="D39" s="27" t="s">
        <v>30</v>
      </c>
      <c r="E39" s="27" t="s">
        <v>370</v>
      </c>
      <c r="F39" s="27" t="s">
        <v>471</v>
      </c>
      <c r="G39" s="6" t="s">
        <v>444</v>
      </c>
      <c r="H39" s="6" t="s">
        <v>444</v>
      </c>
      <c r="I39" s="59"/>
      <c r="J39" s="59"/>
      <c r="K39" s="59"/>
      <c r="L39" s="193"/>
      <c r="M39" s="182"/>
      <c r="N39" s="182"/>
      <c r="O39" s="217"/>
      <c r="P39" s="218"/>
      <c r="BH39" s="219"/>
      <c r="BN39" s="219"/>
    </row>
    <row r="40" spans="2:79" outlineLevel="1" x14ac:dyDescent="0.25">
      <c r="B40" s="5" t="s">
        <v>21</v>
      </c>
      <c r="C40" s="27" t="s">
        <v>672</v>
      </c>
      <c r="D40" s="27" t="s">
        <v>30</v>
      </c>
      <c r="E40" s="27" t="s">
        <v>697</v>
      </c>
      <c r="F40" s="27" t="s">
        <v>380</v>
      </c>
      <c r="G40" s="6" t="s">
        <v>691</v>
      </c>
      <c r="H40" s="6" t="s">
        <v>692</v>
      </c>
      <c r="I40" s="59"/>
      <c r="J40" s="59"/>
      <c r="K40" s="59"/>
      <c r="L40" s="193"/>
      <c r="M40" s="182"/>
      <c r="N40" s="182"/>
      <c r="O40" s="217"/>
      <c r="P40" s="218"/>
      <c r="BH40" s="219"/>
      <c r="BN40" s="219"/>
    </row>
    <row r="41" spans="2:79" outlineLevel="1" x14ac:dyDescent="0.25">
      <c r="B41" s="5" t="s">
        <v>21</v>
      </c>
      <c r="C41" s="27" t="s">
        <v>672</v>
      </c>
      <c r="D41" s="27" t="s">
        <v>30</v>
      </c>
      <c r="E41" s="27" t="s">
        <v>697</v>
      </c>
      <c r="F41" s="27" t="s">
        <v>698</v>
      </c>
      <c r="G41" s="6" t="s">
        <v>691</v>
      </c>
      <c r="H41" s="6" t="s">
        <v>692</v>
      </c>
      <c r="I41" s="59"/>
      <c r="J41" s="59"/>
      <c r="K41" s="59"/>
      <c r="L41" s="193"/>
      <c r="M41" s="182"/>
      <c r="N41" s="182"/>
      <c r="O41" s="217"/>
      <c r="P41" s="218"/>
      <c r="BH41" s="219"/>
      <c r="BN41" s="219"/>
    </row>
    <row r="42" spans="2:79" outlineLevel="1" x14ac:dyDescent="0.25">
      <c r="B42" s="5" t="s">
        <v>21</v>
      </c>
      <c r="C42" s="27" t="s">
        <v>672</v>
      </c>
      <c r="D42" s="27" t="s">
        <v>30</v>
      </c>
      <c r="E42" s="27" t="s">
        <v>697</v>
      </c>
      <c r="F42" s="27" t="s">
        <v>699</v>
      </c>
      <c r="G42" s="6" t="s">
        <v>691</v>
      </c>
      <c r="H42" s="6" t="s">
        <v>692</v>
      </c>
      <c r="I42" s="59"/>
      <c r="J42" s="59"/>
      <c r="K42" s="59"/>
      <c r="L42" s="193"/>
      <c r="M42" s="182"/>
      <c r="N42" s="182"/>
      <c r="O42" s="217"/>
      <c r="P42" s="218"/>
      <c r="BH42" s="219"/>
      <c r="BN42" s="219"/>
    </row>
    <row r="43" spans="2:79" outlineLevel="1" x14ac:dyDescent="0.25">
      <c r="B43" s="5" t="s">
        <v>21</v>
      </c>
      <c r="C43" s="27" t="s">
        <v>672</v>
      </c>
      <c r="D43" s="27" t="s">
        <v>30</v>
      </c>
      <c r="E43" s="27" t="s">
        <v>697</v>
      </c>
      <c r="F43" s="27" t="s">
        <v>700</v>
      </c>
      <c r="G43" s="6" t="s">
        <v>691</v>
      </c>
      <c r="H43" s="6" t="s">
        <v>692</v>
      </c>
      <c r="I43" s="59"/>
      <c r="J43" s="59"/>
      <c r="K43" s="59"/>
      <c r="L43" s="193"/>
      <c r="M43" s="182"/>
      <c r="N43" s="182"/>
      <c r="O43" s="217"/>
      <c r="P43" s="218"/>
      <c r="BH43" s="219"/>
      <c r="BN43" s="219"/>
    </row>
    <row r="44" spans="2:79" outlineLevel="1" x14ac:dyDescent="0.25">
      <c r="B44" s="5" t="s">
        <v>21</v>
      </c>
      <c r="C44" s="27" t="s">
        <v>672</v>
      </c>
      <c r="D44" s="27" t="s">
        <v>30</v>
      </c>
      <c r="E44" s="27" t="s">
        <v>697</v>
      </c>
      <c r="F44" s="27" t="s">
        <v>201</v>
      </c>
      <c r="G44" s="6" t="s">
        <v>691</v>
      </c>
      <c r="H44" s="6" t="s">
        <v>692</v>
      </c>
      <c r="I44" s="59"/>
      <c r="J44" s="59"/>
      <c r="K44" s="59"/>
      <c r="L44" s="193"/>
      <c r="M44" s="182"/>
      <c r="N44" s="182"/>
      <c r="O44" s="217"/>
      <c r="P44" s="218"/>
      <c r="BH44" s="219"/>
      <c r="BN44" s="219"/>
    </row>
    <row r="45" spans="2:79" outlineLevel="1" x14ac:dyDescent="0.25">
      <c r="B45" s="5" t="s">
        <v>21</v>
      </c>
      <c r="C45" s="27" t="s">
        <v>672</v>
      </c>
      <c r="D45" s="27" t="s">
        <v>30</v>
      </c>
      <c r="E45" s="27" t="s">
        <v>697</v>
      </c>
      <c r="F45" s="27" t="s">
        <v>198</v>
      </c>
      <c r="G45" s="6" t="s">
        <v>691</v>
      </c>
      <c r="H45" s="6" t="s">
        <v>692</v>
      </c>
      <c r="I45" s="59"/>
      <c r="J45" s="59"/>
      <c r="K45" s="59"/>
      <c r="L45" s="193"/>
      <c r="M45" s="182"/>
      <c r="N45" s="182"/>
      <c r="O45" s="217"/>
      <c r="P45" s="218"/>
      <c r="BH45" s="219"/>
      <c r="BN45" s="219"/>
    </row>
    <row r="46" spans="2:79" outlineLevel="1" x14ac:dyDescent="0.25">
      <c r="B46" s="5" t="s">
        <v>21</v>
      </c>
      <c r="C46" s="27" t="s">
        <v>672</v>
      </c>
      <c r="D46" s="27" t="s">
        <v>30</v>
      </c>
      <c r="E46" s="27" t="s">
        <v>370</v>
      </c>
      <c r="F46" s="27" t="s">
        <v>464</v>
      </c>
      <c r="G46" s="6" t="s">
        <v>444</v>
      </c>
      <c r="H46" s="6" t="s">
        <v>444</v>
      </c>
      <c r="I46" s="59"/>
      <c r="J46" s="59"/>
      <c r="K46" s="59"/>
      <c r="L46" s="193"/>
      <c r="M46" s="182"/>
      <c r="N46" s="182"/>
      <c r="O46" s="217"/>
      <c r="P46" s="218"/>
      <c r="BH46" s="219"/>
      <c r="BN46" s="219"/>
    </row>
    <row r="47" spans="2:79" outlineLevel="1" x14ac:dyDescent="0.25">
      <c r="B47" s="5" t="s">
        <v>21</v>
      </c>
      <c r="C47" s="27" t="s">
        <v>672</v>
      </c>
      <c r="D47" s="27" t="s">
        <v>30</v>
      </c>
      <c r="E47" s="27" t="s">
        <v>370</v>
      </c>
      <c r="F47" s="27" t="s">
        <v>465</v>
      </c>
      <c r="G47" s="6" t="s">
        <v>444</v>
      </c>
      <c r="H47" s="6" t="s">
        <v>444</v>
      </c>
      <c r="I47" s="59"/>
      <c r="J47" s="59"/>
      <c r="K47" s="59"/>
      <c r="L47" s="193"/>
      <c r="M47" s="182"/>
      <c r="N47" s="182"/>
      <c r="O47" s="217"/>
      <c r="P47" s="218"/>
      <c r="BH47" s="219"/>
      <c r="BN47" s="219"/>
    </row>
    <row r="48" spans="2:79" ht="10.35" customHeight="1" x14ac:dyDescent="0.45">
      <c r="B48" s="6"/>
      <c r="C48" s="6"/>
      <c r="D48" s="6"/>
      <c r="E48" s="6"/>
      <c r="F48" s="6"/>
      <c r="G48" s="6"/>
      <c r="H48" s="6"/>
      <c r="I48" s="19"/>
      <c r="J48" s="19"/>
      <c r="K48" s="19"/>
      <c r="L48" s="19"/>
      <c r="M48" s="19"/>
      <c r="N48" s="19"/>
      <c r="O48"/>
      <c r="P48" s="21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25"/>
      <c r="BI48" s="15"/>
      <c r="BJ48" s="15"/>
      <c r="BK48" s="15"/>
      <c r="BL48" s="15"/>
      <c r="BM48" s="15"/>
      <c r="BN48" s="2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</row>
    <row r="49" spans="1:79" x14ac:dyDescent="0.25">
      <c r="B49" s="17" t="s">
        <v>22</v>
      </c>
      <c r="C49" s="18"/>
      <c r="D49" s="18"/>
      <c r="E49" s="18"/>
      <c r="F49" s="18"/>
      <c r="G49" s="18"/>
      <c r="H49" s="18"/>
      <c r="I49" s="57">
        <f>SUM(I50:I52)</f>
        <v>120</v>
      </c>
      <c r="J49" s="57">
        <f>SUM(J50:J52)</f>
        <v>15</v>
      </c>
      <c r="K49" s="63">
        <f>N49*I49</f>
        <v>118.8</v>
      </c>
      <c r="L49" s="63">
        <f>N49*J49</f>
        <v>14.85</v>
      </c>
      <c r="M49" s="58" t="e">
        <f>SUMPRODUCT(M50:M53,I50:I53)/I49</f>
        <v>#REF!</v>
      </c>
      <c r="N49" s="58">
        <f>SUMPRODUCT(N50:N52,J50:J52)/J49</f>
        <v>0.99</v>
      </c>
      <c r="O49" s="58" t="e">
        <f t="shared" ref="O49:O52" si="6">N49-M49</f>
        <v>#REF!</v>
      </c>
      <c r="P49" s="60" t="s">
        <v>15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51"/>
      <c r="BF49" s="16"/>
      <c r="BG49" s="16"/>
      <c r="BH49" s="26"/>
      <c r="BI49" s="16"/>
      <c r="BJ49" s="51"/>
      <c r="BK49" s="16"/>
      <c r="BL49" s="16"/>
      <c r="BM49" s="16"/>
      <c r="BN49" s="26"/>
      <c r="BO49" s="51"/>
      <c r="BP49" s="16"/>
      <c r="BQ49" s="16"/>
      <c r="BR49" s="16"/>
      <c r="BS49" s="16"/>
      <c r="BT49" s="51"/>
      <c r="BU49" s="16"/>
      <c r="BV49" s="16"/>
      <c r="BW49" s="16"/>
      <c r="BX49" s="16"/>
      <c r="BY49" s="51"/>
      <c r="BZ49" s="16"/>
      <c r="CA49" s="16"/>
    </row>
    <row r="50" spans="1:79" x14ac:dyDescent="0.25">
      <c r="B50" s="5" t="s">
        <v>16</v>
      </c>
      <c r="C50" s="27" t="s">
        <v>17</v>
      </c>
      <c r="D50" s="27"/>
      <c r="E50" s="27"/>
      <c r="F50" s="27"/>
      <c r="G50" s="27" t="s">
        <v>18</v>
      </c>
      <c r="H50" s="27"/>
      <c r="I50" s="64">
        <f>J50*8</f>
        <v>40</v>
      </c>
      <c r="J50" s="64">
        <v>5</v>
      </c>
      <c r="K50" s="64"/>
      <c r="L50" s="64"/>
      <c r="M50" s="69" t="e">
        <f>SUMIFS(Q50:CA50,#REF!,"S")/J50</f>
        <v>#REF!</v>
      </c>
      <c r="N50" s="69">
        <f>100%</f>
        <v>1</v>
      </c>
      <c r="O50" s="69" t="e">
        <f t="shared" si="6"/>
        <v>#REF!</v>
      </c>
      <c r="P50" s="70" t="s">
        <v>15</v>
      </c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24"/>
      <c r="BI50" s="14"/>
      <c r="BJ50" s="14">
        <v>0.5</v>
      </c>
      <c r="BK50" s="14"/>
      <c r="BL50" s="14"/>
      <c r="BM50" s="14"/>
      <c r="BN50" s="24"/>
      <c r="BO50" s="14">
        <v>0.5</v>
      </c>
      <c r="BP50" s="14"/>
      <c r="BQ50" s="14"/>
      <c r="BR50" s="14"/>
      <c r="BS50" s="14"/>
      <c r="BT50" s="14">
        <v>0.5</v>
      </c>
      <c r="BU50" s="14"/>
      <c r="BV50" s="14"/>
      <c r="BW50" s="14"/>
      <c r="BX50" s="14"/>
      <c r="BY50" s="14"/>
      <c r="BZ50" s="14"/>
      <c r="CA50" s="14"/>
    </row>
    <row r="51" spans="1:79" x14ac:dyDescent="0.25">
      <c r="B51" s="5" t="s">
        <v>16</v>
      </c>
      <c r="C51" s="27" t="s">
        <v>19</v>
      </c>
      <c r="D51" s="27"/>
      <c r="E51" s="27"/>
      <c r="F51" s="27"/>
      <c r="G51" s="27" t="s">
        <v>18</v>
      </c>
      <c r="H51" s="27"/>
      <c r="I51" s="64">
        <f>J51*8</f>
        <v>40</v>
      </c>
      <c r="J51" s="64">
        <v>5</v>
      </c>
      <c r="K51" s="64"/>
      <c r="L51" s="64"/>
      <c r="M51" s="69" t="e">
        <f>SUMIFS(Q51:CA51,#REF!,"S")/J51</f>
        <v>#REF!</v>
      </c>
      <c r="N51" s="69">
        <v>1</v>
      </c>
      <c r="O51" s="69" t="e">
        <f t="shared" si="6"/>
        <v>#REF!</v>
      </c>
      <c r="P51" s="70" t="s">
        <v>15</v>
      </c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24"/>
      <c r="BI51" s="14"/>
      <c r="BJ51" s="14">
        <v>0.5</v>
      </c>
      <c r="BK51" s="14"/>
      <c r="BL51" s="14"/>
      <c r="BM51" s="14"/>
      <c r="BN51" s="24"/>
      <c r="BO51" s="14">
        <v>0.5</v>
      </c>
      <c r="BP51" s="14"/>
      <c r="BQ51" s="14"/>
      <c r="BR51" s="14"/>
      <c r="BS51" s="14"/>
      <c r="BT51" s="14">
        <v>0.5</v>
      </c>
      <c r="BU51" s="14"/>
      <c r="BV51" s="14"/>
      <c r="BW51" s="14"/>
      <c r="BX51" s="14"/>
      <c r="BY51" s="14"/>
      <c r="BZ51" s="14"/>
      <c r="CA51" s="14"/>
    </row>
    <row r="52" spans="1:79" ht="81" x14ac:dyDescent="0.25">
      <c r="B52" s="5" t="s">
        <v>16</v>
      </c>
      <c r="C52" s="29" t="s">
        <v>20</v>
      </c>
      <c r="D52" s="27"/>
      <c r="E52" s="27"/>
      <c r="F52" s="27"/>
      <c r="G52" s="27" t="s">
        <v>18</v>
      </c>
      <c r="H52" s="27"/>
      <c r="I52" s="64">
        <f>J52*8</f>
        <v>40</v>
      </c>
      <c r="J52" s="64">
        <v>5</v>
      </c>
      <c r="K52" s="64"/>
      <c r="L52" s="64"/>
      <c r="M52" s="69" t="e">
        <f>SUMIFS(Q52:CA52,#REF!,"S")/J52</f>
        <v>#REF!</v>
      </c>
      <c r="N52" s="69">
        <v>0.97</v>
      </c>
      <c r="O52" s="69" t="e">
        <f t="shared" si="6"/>
        <v>#REF!</v>
      </c>
      <c r="P52" s="71" t="s">
        <v>519</v>
      </c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24"/>
      <c r="BI52" s="14"/>
      <c r="BJ52" s="14"/>
      <c r="BK52" s="14"/>
      <c r="BL52" s="14"/>
      <c r="BM52" s="14"/>
      <c r="BN52" s="24"/>
      <c r="BO52" s="14">
        <v>0.5</v>
      </c>
      <c r="BP52" s="14"/>
      <c r="BQ52" s="14"/>
      <c r="BR52" s="14"/>
      <c r="BS52" s="14"/>
      <c r="BT52" s="14">
        <v>0.5</v>
      </c>
      <c r="BU52" s="14"/>
      <c r="BV52" s="14"/>
      <c r="BW52" s="14"/>
      <c r="BX52" s="14"/>
      <c r="BY52" s="14">
        <v>0.5</v>
      </c>
      <c r="BZ52" s="14"/>
      <c r="CA52" s="14"/>
    </row>
    <row r="53" spans="1:79" ht="10.35" customHeight="1" x14ac:dyDescent="0.45">
      <c r="B53" s="6"/>
      <c r="C53" s="6"/>
      <c r="D53" s="6"/>
      <c r="E53" s="6"/>
      <c r="F53" s="6"/>
      <c r="G53" s="6"/>
      <c r="H53" s="6"/>
      <c r="I53" s="19"/>
      <c r="J53" s="19"/>
      <c r="K53" s="19"/>
      <c r="L53" s="19"/>
      <c r="M53" s="19"/>
      <c r="N53" s="19"/>
      <c r="O53"/>
      <c r="P53" s="21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25"/>
      <c r="BI53" s="15"/>
      <c r="BJ53" s="15"/>
      <c r="BK53" s="15"/>
      <c r="BL53" s="15"/>
      <c r="BM53" s="15"/>
      <c r="BN53" s="2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</row>
    <row r="54" spans="1:79" x14ac:dyDescent="0.25">
      <c r="B54" s="17" t="s">
        <v>23</v>
      </c>
      <c r="C54" s="18"/>
      <c r="D54" s="18"/>
      <c r="E54" s="18"/>
      <c r="F54" s="18"/>
      <c r="G54" s="18"/>
      <c r="H54" s="18"/>
      <c r="I54" s="63" t="e">
        <f>I55+I70+I234+I401+I486</f>
        <v>#REF!</v>
      </c>
      <c r="J54" s="63" t="e">
        <f>J55+J70+J234+J401+J486</f>
        <v>#REF!</v>
      </c>
      <c r="K54" s="63" t="e">
        <f>K55+K70+K234+K401+K486</f>
        <v>#REF!</v>
      </c>
      <c r="L54" s="63" t="e">
        <f>L55+L70+L234+L401+L486</f>
        <v>#REF!</v>
      </c>
      <c r="M54" s="58" t="e">
        <f>((M55*J55)+(M70*J70)+(M234*J234)+(M401*J401)+(M486*J486))/J54</f>
        <v>#REF!</v>
      </c>
      <c r="N54" s="58" t="e">
        <f>((N55*L55)+(N70*L70)+(N234*L234)+(N401*L401)+(N486*L486))/L54</f>
        <v>#REF!</v>
      </c>
      <c r="O54" s="58" t="e">
        <f t="shared" ref="O54:O117" si="7">N54-M54</f>
        <v>#REF!</v>
      </c>
      <c r="P54" s="60" t="s">
        <v>15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51"/>
      <c r="BD54" s="51"/>
      <c r="BE54" s="51"/>
      <c r="BF54" s="51"/>
      <c r="BG54" s="51"/>
      <c r="BH54" s="26"/>
      <c r="BI54" s="51"/>
      <c r="BJ54" s="51"/>
      <c r="BK54" s="51"/>
      <c r="BL54" s="51"/>
      <c r="BM54" s="51"/>
      <c r="BN54" s="26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</row>
    <row r="55" spans="1:79" x14ac:dyDescent="0.4">
      <c r="B55" s="5" t="s">
        <v>16</v>
      </c>
      <c r="C55" s="27" t="s">
        <v>24</v>
      </c>
      <c r="D55" s="6"/>
      <c r="E55" s="6"/>
      <c r="F55" s="6"/>
      <c r="G55" s="6"/>
      <c r="H55" s="6"/>
      <c r="I55" s="66" t="e">
        <f>SUM(I56:I69)</f>
        <v>#REF!</v>
      </c>
      <c r="J55" s="66" t="e">
        <f>ROUNDUP(I55/8,0)</f>
        <v>#REF!</v>
      </c>
      <c r="K55" s="66" t="e">
        <f>SUM(K56:K69)</f>
        <v>#REF!</v>
      </c>
      <c r="L55" s="66" t="e">
        <f>ROUNDUP(K55/8,0)</f>
        <v>#REF!</v>
      </c>
      <c r="M55" s="65" t="e">
        <f>SUMIFS(Q55:CA55,#REF!,"S")/J55</f>
        <v>#REF!</v>
      </c>
      <c r="N55" s="65">
        <f>IFERROR(L55/J55,0)</f>
        <v>0</v>
      </c>
      <c r="O55" s="65" t="e">
        <f t="shared" si="7"/>
        <v>#REF!</v>
      </c>
      <c r="P55" s="73" t="s">
        <v>25</v>
      </c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24"/>
      <c r="BI55" s="14"/>
      <c r="BJ55" s="14"/>
      <c r="BK55" s="14"/>
      <c r="BL55" s="14"/>
      <c r="BM55" s="14"/>
      <c r="BN55" s="2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</row>
    <row r="56" spans="1:79" hidden="1" outlineLevel="1" x14ac:dyDescent="0.25">
      <c r="A56" s="3" t="str">
        <f>E56&amp;F56</f>
        <v>ENERGY_CERTIFICATE_EST_INPUTn.a.</v>
      </c>
      <c r="B56" s="8" t="s">
        <v>16</v>
      </c>
      <c r="C56" s="9" t="s">
        <v>24</v>
      </c>
      <c r="D56" s="6" t="s">
        <v>26</v>
      </c>
      <c r="E56" s="7" t="s">
        <v>27</v>
      </c>
      <c r="F56" s="6" t="s">
        <v>28</v>
      </c>
      <c r="G56" s="6" t="e">
        <f>INDEX(#REF!,MATCH(Plano_Detalhado!H56,#REF!,0),1)</f>
        <v>#REF!</v>
      </c>
      <c r="H56" s="6" t="e">
        <f>VLOOKUP(A56,#REF!,2,0)</f>
        <v>#REF!</v>
      </c>
      <c r="I56" s="67" t="e">
        <f>SUMIFS(#REF!,#REF!,Plano_Detalhado!E56,#REF!,Plano_Detalhado!F56)</f>
        <v>#REF!</v>
      </c>
      <c r="J56" s="67" t="e">
        <f t="shared" ref="J56:L68" si="8">I56/8</f>
        <v>#REF!</v>
      </c>
      <c r="K56" s="67" t="e">
        <f>SUMIFS(#REF!,#REF!,Plano_Detalhado!E56,#REF!,Plano_Detalhado!F56)</f>
        <v>#REF!</v>
      </c>
      <c r="L56" s="67" t="e">
        <f t="shared" si="8"/>
        <v>#REF!</v>
      </c>
      <c r="M56" s="61"/>
      <c r="N56" s="61" t="e">
        <f>L56/J56</f>
        <v>#REF!</v>
      </c>
      <c r="O56" s="61" t="e">
        <f t="shared" si="7"/>
        <v>#REF!</v>
      </c>
      <c r="P56" s="22" t="s">
        <v>29</v>
      </c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24"/>
      <c r="BI56" s="14"/>
      <c r="BJ56" s="14"/>
      <c r="BK56" s="14"/>
      <c r="BL56" s="14"/>
      <c r="BM56" s="14"/>
      <c r="BN56" s="2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</row>
    <row r="57" spans="1:79" hidden="1" outlineLevel="1" x14ac:dyDescent="0.25">
      <c r="A57" s="3" t="str">
        <f t="shared" ref="A57:A120" si="9">E57&amp;F57</f>
        <v>ENERGY_CERTIFICATE_EST_INPUTPROPERTY_BANK_ID</v>
      </c>
      <c r="B57" s="8" t="s">
        <v>16</v>
      </c>
      <c r="C57" s="9" t="s">
        <v>24</v>
      </c>
      <c r="D57" s="6" t="s">
        <v>30</v>
      </c>
      <c r="E57" s="7" t="s">
        <v>27</v>
      </c>
      <c r="F57" s="7" t="s">
        <v>31</v>
      </c>
      <c r="G57" s="6" t="e">
        <f>INDEX(#REF!,MATCH(Plano_Detalhado!H57,#REF!,0),1)</f>
        <v>#REF!</v>
      </c>
      <c r="H57" s="6" t="e">
        <f>VLOOKUP(A57,#REF!,2,0)</f>
        <v>#REF!</v>
      </c>
      <c r="I57" s="67" t="e">
        <f>SUMIFS(#REF!,#REF!,Plano_Detalhado!E57,#REF!,Plano_Detalhado!F57)</f>
        <v>#REF!</v>
      </c>
      <c r="J57" s="67" t="e">
        <f t="shared" si="8"/>
        <v>#REF!</v>
      </c>
      <c r="K57" s="67" t="e">
        <f>SUMIFS(#REF!,#REF!,Plano_Detalhado!E57,#REF!,Plano_Detalhado!F57)</f>
        <v>#REF!</v>
      </c>
      <c r="L57" s="67" t="e">
        <f t="shared" si="8"/>
        <v>#REF!</v>
      </c>
      <c r="M57" s="61"/>
      <c r="N57" s="61" t="e">
        <f t="shared" ref="N57:N69" si="10">L57/J57</f>
        <v>#REF!</v>
      </c>
      <c r="O57" s="61" t="e">
        <f t="shared" si="7"/>
        <v>#REF!</v>
      </c>
      <c r="P57" s="22" t="s">
        <v>29</v>
      </c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24"/>
      <c r="BI57" s="14"/>
      <c r="BJ57" s="14"/>
      <c r="BK57" s="14"/>
      <c r="BL57" s="14"/>
      <c r="BM57" s="14"/>
      <c r="BN57" s="2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</row>
    <row r="58" spans="1:79" hidden="1" outlineLevel="1" x14ac:dyDescent="0.25">
      <c r="A58" s="3" t="str">
        <f>E58&amp;F58</f>
        <v>ENERGY_CERTIFICATE_EST_INPUTENCRYPTED_KEY</v>
      </c>
      <c r="B58" s="8" t="s">
        <v>16</v>
      </c>
      <c r="C58" s="9" t="s">
        <v>24</v>
      </c>
      <c r="D58" s="6" t="s">
        <v>30</v>
      </c>
      <c r="E58" s="7" t="s">
        <v>27</v>
      </c>
      <c r="F58" s="7" t="s">
        <v>32</v>
      </c>
      <c r="G58" s="6" t="e">
        <f>INDEX(#REF!,MATCH(Plano_Detalhado!H58,#REF!,0),1)</f>
        <v>#REF!</v>
      </c>
      <c r="H58" s="6" t="e">
        <f>VLOOKUP(A58,#REF!,2,0)</f>
        <v>#REF!</v>
      </c>
      <c r="I58" s="67" t="e">
        <f>SUMIFS(#REF!,#REF!,Plano_Detalhado!E58,#REF!,Plano_Detalhado!F58)</f>
        <v>#REF!</v>
      </c>
      <c r="J58" s="67" t="e">
        <f t="shared" si="8"/>
        <v>#REF!</v>
      </c>
      <c r="K58" s="67" t="e">
        <f>SUMIFS(#REF!,#REF!,Plano_Detalhado!E58,#REF!,Plano_Detalhado!F58)</f>
        <v>#REF!</v>
      </c>
      <c r="L58" s="67" t="e">
        <f t="shared" si="8"/>
        <v>#REF!</v>
      </c>
      <c r="M58" s="61"/>
      <c r="N58" s="61" t="e">
        <f t="shared" si="10"/>
        <v>#REF!</v>
      </c>
      <c r="O58" s="61" t="e">
        <f t="shared" si="7"/>
        <v>#REF!</v>
      </c>
      <c r="P58" s="22" t="s">
        <v>29</v>
      </c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24"/>
      <c r="BI58" s="14"/>
      <c r="BJ58" s="14"/>
      <c r="BK58" s="14"/>
      <c r="BL58" s="14"/>
      <c r="BM58" s="14"/>
      <c r="BN58" s="2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</row>
    <row r="59" spans="1:79" hidden="1" outlineLevel="1" x14ac:dyDescent="0.25">
      <c r="A59" s="3" t="str">
        <f t="shared" si="9"/>
        <v>ENERGY_CERTIFICATE_EST_INPUTPROPERTY_BRANCH_CODE</v>
      </c>
      <c r="B59" s="8" t="s">
        <v>16</v>
      </c>
      <c r="C59" s="9" t="s">
        <v>24</v>
      </c>
      <c r="D59" s="6" t="s">
        <v>30</v>
      </c>
      <c r="E59" s="7" t="s">
        <v>27</v>
      </c>
      <c r="F59" s="7" t="s">
        <v>33</v>
      </c>
      <c r="G59" s="6" t="e">
        <f>INDEX(#REF!,MATCH(Plano_Detalhado!H59,#REF!,0),1)</f>
        <v>#REF!</v>
      </c>
      <c r="H59" s="6" t="e">
        <f>VLOOKUP(A59,#REF!,2,0)</f>
        <v>#REF!</v>
      </c>
      <c r="I59" s="67" t="e">
        <f>SUMIFS(#REF!,#REF!,Plano_Detalhado!E59,#REF!,Plano_Detalhado!F59)</f>
        <v>#REF!</v>
      </c>
      <c r="J59" s="67" t="e">
        <f t="shared" si="8"/>
        <v>#REF!</v>
      </c>
      <c r="K59" s="67" t="e">
        <f>SUMIFS(#REF!,#REF!,Plano_Detalhado!E59,#REF!,Plano_Detalhado!F59)</f>
        <v>#REF!</v>
      </c>
      <c r="L59" s="67" t="e">
        <f t="shared" si="8"/>
        <v>#REF!</v>
      </c>
      <c r="M59" s="61"/>
      <c r="N59" s="61" t="e">
        <f t="shared" si="10"/>
        <v>#REF!</v>
      </c>
      <c r="O59" s="61" t="e">
        <f t="shared" si="7"/>
        <v>#REF!</v>
      </c>
      <c r="P59" s="22" t="s">
        <v>29</v>
      </c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24"/>
      <c r="BI59" s="14"/>
      <c r="BJ59" s="14"/>
      <c r="BK59" s="14"/>
      <c r="BL59" s="14"/>
      <c r="BM59" s="14"/>
      <c r="BN59" s="2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</row>
    <row r="60" spans="1:79" hidden="1" outlineLevel="1" x14ac:dyDescent="0.25">
      <c r="A60" s="3" t="str">
        <f t="shared" si="9"/>
        <v>ENERGY_CERTIFICATE_EST_INPUTPROPERTY_CONTRACT_ID</v>
      </c>
      <c r="B60" s="8" t="s">
        <v>16</v>
      </c>
      <c r="C60" s="9" t="s">
        <v>24</v>
      </c>
      <c r="D60" s="6" t="s">
        <v>30</v>
      </c>
      <c r="E60" s="7" t="s">
        <v>27</v>
      </c>
      <c r="F60" s="7" t="s">
        <v>34</v>
      </c>
      <c r="G60" s="6" t="e">
        <f>INDEX(#REF!,MATCH(Plano_Detalhado!H60,#REF!,0),1)</f>
        <v>#REF!</v>
      </c>
      <c r="H60" s="6" t="e">
        <f>VLOOKUP(A60,#REF!,2,0)</f>
        <v>#REF!</v>
      </c>
      <c r="I60" s="67" t="e">
        <f>SUMIFS(#REF!,#REF!,Plano_Detalhado!E60,#REF!,Plano_Detalhado!F60)</f>
        <v>#REF!</v>
      </c>
      <c r="J60" s="67" t="e">
        <f t="shared" si="8"/>
        <v>#REF!</v>
      </c>
      <c r="K60" s="67" t="e">
        <f>SUMIFS(#REF!,#REF!,Plano_Detalhado!E60,#REF!,Plano_Detalhado!F60)</f>
        <v>#REF!</v>
      </c>
      <c r="L60" s="67" t="e">
        <f t="shared" si="8"/>
        <v>#REF!</v>
      </c>
      <c r="M60" s="61"/>
      <c r="N60" s="61" t="e">
        <f t="shared" si="10"/>
        <v>#REF!</v>
      </c>
      <c r="O60" s="61" t="e">
        <f t="shared" si="7"/>
        <v>#REF!</v>
      </c>
      <c r="P60" s="22" t="s">
        <v>29</v>
      </c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24"/>
      <c r="BI60" s="14"/>
      <c r="BJ60" s="14"/>
      <c r="BK60" s="14"/>
      <c r="BL60" s="14"/>
      <c r="BM60" s="14"/>
      <c r="BN60" s="2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</row>
    <row r="61" spans="1:79" hidden="1" outlineLevel="1" x14ac:dyDescent="0.25">
      <c r="A61" s="3" t="str">
        <f t="shared" si="9"/>
        <v>ENERGY_CERTIFICATE_EST_INPUTPROPERTY_REFERENCE_CODE</v>
      </c>
      <c r="B61" s="8" t="s">
        <v>16</v>
      </c>
      <c r="C61" s="9" t="s">
        <v>24</v>
      </c>
      <c r="D61" s="6" t="s">
        <v>30</v>
      </c>
      <c r="E61" s="7" t="s">
        <v>27</v>
      </c>
      <c r="F61" s="7" t="s">
        <v>35</v>
      </c>
      <c r="G61" s="6" t="e">
        <f>INDEX(#REF!,MATCH(Plano_Detalhado!H61,#REF!,0),1)</f>
        <v>#REF!</v>
      </c>
      <c r="H61" s="6" t="e">
        <f>VLOOKUP(A61,#REF!,2,0)</f>
        <v>#REF!</v>
      </c>
      <c r="I61" s="67" t="e">
        <f>SUMIFS(#REF!,#REF!,Plano_Detalhado!E61,#REF!,Plano_Detalhado!F61)</f>
        <v>#REF!</v>
      </c>
      <c r="J61" s="67" t="e">
        <f t="shared" si="8"/>
        <v>#REF!</v>
      </c>
      <c r="K61" s="67" t="e">
        <f>SUMIFS(#REF!,#REF!,Plano_Detalhado!E61,#REF!,Plano_Detalhado!F61)</f>
        <v>#REF!</v>
      </c>
      <c r="L61" s="67" t="e">
        <f t="shared" si="8"/>
        <v>#REF!</v>
      </c>
      <c r="M61" s="61"/>
      <c r="N61" s="61" t="e">
        <f t="shared" si="10"/>
        <v>#REF!</v>
      </c>
      <c r="O61" s="61" t="e">
        <f t="shared" si="7"/>
        <v>#REF!</v>
      </c>
      <c r="P61" s="22" t="s">
        <v>29</v>
      </c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24"/>
      <c r="BI61" s="14"/>
      <c r="BJ61" s="14"/>
      <c r="BK61" s="14"/>
      <c r="BL61" s="14"/>
      <c r="BM61" s="14"/>
      <c r="BN61" s="2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</row>
    <row r="62" spans="1:79" hidden="1" outlineLevel="1" x14ac:dyDescent="0.25">
      <c r="A62" s="3" t="str">
        <f t="shared" si="9"/>
        <v>ENERGY_CERTIFICATE_EST_INPUTDATA_EXTRACTION_DATE</v>
      </c>
      <c r="B62" s="8" t="s">
        <v>16</v>
      </c>
      <c r="C62" s="9" t="s">
        <v>24</v>
      </c>
      <c r="D62" s="6" t="s">
        <v>30</v>
      </c>
      <c r="E62" s="7" t="s">
        <v>27</v>
      </c>
      <c r="F62" s="7" t="s">
        <v>36</v>
      </c>
      <c r="G62" s="6" t="e">
        <f>INDEX(#REF!,MATCH(Plano_Detalhado!H62,#REF!,0),1)</f>
        <v>#REF!</v>
      </c>
      <c r="H62" s="6" t="e">
        <f>VLOOKUP(A62,#REF!,2,0)</f>
        <v>#REF!</v>
      </c>
      <c r="I62" s="67" t="e">
        <f>SUMIFS(#REF!,#REF!,Plano_Detalhado!E62,#REF!,Plano_Detalhado!F62)</f>
        <v>#REF!</v>
      </c>
      <c r="J62" s="67" t="e">
        <f t="shared" si="8"/>
        <v>#REF!</v>
      </c>
      <c r="K62" s="67" t="e">
        <f>SUMIFS(#REF!,#REF!,Plano_Detalhado!E62,#REF!,Plano_Detalhado!F62)</f>
        <v>#REF!</v>
      </c>
      <c r="L62" s="67" t="e">
        <f t="shared" si="8"/>
        <v>#REF!</v>
      </c>
      <c r="M62" s="61"/>
      <c r="N62" s="61" t="e">
        <f t="shared" si="10"/>
        <v>#REF!</v>
      </c>
      <c r="O62" s="61" t="e">
        <f t="shared" si="7"/>
        <v>#REF!</v>
      </c>
      <c r="P62" s="22" t="s">
        <v>29</v>
      </c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24"/>
      <c r="BI62" s="14"/>
      <c r="BJ62" s="14"/>
      <c r="BK62" s="14"/>
      <c r="BL62" s="14"/>
      <c r="BM62" s="14"/>
      <c r="BN62" s="2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</row>
    <row r="63" spans="1:79" hidden="1" outlineLevel="1" x14ac:dyDescent="0.25">
      <c r="A63" s="3" t="str">
        <f t="shared" si="9"/>
        <v>ENERGY_CERTIFICATE_EST_INPUTEPC</v>
      </c>
      <c r="B63" s="8" t="s">
        <v>16</v>
      </c>
      <c r="C63" s="9" t="s">
        <v>24</v>
      </c>
      <c r="D63" s="6" t="s">
        <v>30</v>
      </c>
      <c r="E63" s="7" t="s">
        <v>27</v>
      </c>
      <c r="F63" s="7" t="s">
        <v>37</v>
      </c>
      <c r="G63" s="6" t="e">
        <f>INDEX(#REF!,MATCH(Plano_Detalhado!H63,#REF!,0),1)</f>
        <v>#REF!</v>
      </c>
      <c r="H63" s="6" t="e">
        <f>VLOOKUP(A63,#REF!,2,0)</f>
        <v>#REF!</v>
      </c>
      <c r="I63" s="67" t="e">
        <f>SUMIFS(#REF!,#REF!,Plano_Detalhado!E63,#REF!,Plano_Detalhado!F63)</f>
        <v>#REF!</v>
      </c>
      <c r="J63" s="67" t="e">
        <f t="shared" si="8"/>
        <v>#REF!</v>
      </c>
      <c r="K63" s="67" t="e">
        <f>SUMIFS(#REF!,#REF!,Plano_Detalhado!E63,#REF!,Plano_Detalhado!F63)</f>
        <v>#REF!</v>
      </c>
      <c r="L63" s="67" t="e">
        <f t="shared" si="8"/>
        <v>#REF!</v>
      </c>
      <c r="M63" s="61"/>
      <c r="N63" s="61" t="e">
        <f t="shared" si="10"/>
        <v>#REF!</v>
      </c>
      <c r="O63" s="61" t="e">
        <f t="shared" si="7"/>
        <v>#REF!</v>
      </c>
      <c r="P63" s="22" t="s">
        <v>29</v>
      </c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24"/>
      <c r="BI63" s="14"/>
      <c r="BJ63" s="14"/>
      <c r="BK63" s="14"/>
      <c r="BL63" s="14"/>
      <c r="BM63" s="14"/>
      <c r="BN63" s="2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</row>
    <row r="64" spans="1:79" hidden="1" outlineLevel="1" x14ac:dyDescent="0.25">
      <c r="A64" s="3" t="str">
        <f t="shared" si="9"/>
        <v>ENERGY_CERTIFICATE_EST_INPUTDATA_PROVIDER</v>
      </c>
      <c r="B64" s="8" t="s">
        <v>16</v>
      </c>
      <c r="C64" s="9" t="s">
        <v>24</v>
      </c>
      <c r="D64" s="6" t="s">
        <v>30</v>
      </c>
      <c r="E64" s="7" t="s">
        <v>27</v>
      </c>
      <c r="F64" s="7" t="s">
        <v>38</v>
      </c>
      <c r="G64" s="6" t="e">
        <f>INDEX(#REF!,MATCH(Plano_Detalhado!H64,#REF!,0),1)</f>
        <v>#REF!</v>
      </c>
      <c r="H64" s="6" t="e">
        <f>VLOOKUP(A64,#REF!,2,0)</f>
        <v>#REF!</v>
      </c>
      <c r="I64" s="67" t="e">
        <f>SUMIFS(#REF!,#REF!,Plano_Detalhado!E64,#REF!,Plano_Detalhado!F64)</f>
        <v>#REF!</v>
      </c>
      <c r="J64" s="67" t="e">
        <f t="shared" si="8"/>
        <v>#REF!</v>
      </c>
      <c r="K64" s="67" t="e">
        <f>SUMIFS(#REF!,#REF!,Plano_Detalhado!E64,#REF!,Plano_Detalhado!F64)</f>
        <v>#REF!</v>
      </c>
      <c r="L64" s="67" t="e">
        <f t="shared" si="8"/>
        <v>#REF!</v>
      </c>
      <c r="M64" s="61"/>
      <c r="N64" s="61" t="e">
        <f t="shared" si="10"/>
        <v>#REF!</v>
      </c>
      <c r="O64" s="61" t="e">
        <f t="shared" si="7"/>
        <v>#REF!</v>
      </c>
      <c r="P64" s="22" t="s">
        <v>29</v>
      </c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24"/>
      <c r="BI64" s="14"/>
      <c r="BJ64" s="14"/>
      <c r="BK64" s="14"/>
      <c r="BL64" s="14"/>
      <c r="BM64" s="14"/>
      <c r="BN64" s="2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</row>
    <row r="65" spans="1:79" hidden="1" outlineLevel="1" x14ac:dyDescent="0.25">
      <c r="A65" s="3" t="str">
        <f t="shared" si="9"/>
        <v>ENERGY_CERTIFICATE_EST_INPUTACTUAL_VALUE_IND</v>
      </c>
      <c r="B65" s="8" t="s">
        <v>16</v>
      </c>
      <c r="C65" s="9" t="s">
        <v>24</v>
      </c>
      <c r="D65" s="6" t="s">
        <v>30</v>
      </c>
      <c r="E65" s="7" t="s">
        <v>27</v>
      </c>
      <c r="F65" s="7" t="s">
        <v>39</v>
      </c>
      <c r="G65" s="6" t="e">
        <f>INDEX(#REF!,MATCH(Plano_Detalhado!H65,#REF!,0),1)</f>
        <v>#REF!</v>
      </c>
      <c r="H65" s="6" t="e">
        <f>VLOOKUP(A65,#REF!,2,0)</f>
        <v>#REF!</v>
      </c>
      <c r="I65" s="67" t="e">
        <f>SUMIFS(#REF!,#REF!,Plano_Detalhado!E65,#REF!,Plano_Detalhado!F65)</f>
        <v>#REF!</v>
      </c>
      <c r="J65" s="67" t="e">
        <f t="shared" si="8"/>
        <v>#REF!</v>
      </c>
      <c r="K65" s="67" t="e">
        <f>SUMIFS(#REF!,#REF!,Plano_Detalhado!E65,#REF!,Plano_Detalhado!F65)</f>
        <v>#REF!</v>
      </c>
      <c r="L65" s="67" t="e">
        <f t="shared" si="8"/>
        <v>#REF!</v>
      </c>
      <c r="M65" s="61"/>
      <c r="N65" s="61" t="e">
        <f t="shared" si="10"/>
        <v>#REF!</v>
      </c>
      <c r="O65" s="61" t="e">
        <f t="shared" si="7"/>
        <v>#REF!</v>
      </c>
      <c r="P65" s="22" t="s">
        <v>29</v>
      </c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24"/>
      <c r="BI65" s="14"/>
      <c r="BJ65" s="14"/>
      <c r="BK65" s="14"/>
      <c r="BL65" s="14"/>
      <c r="BM65" s="14"/>
      <c r="BN65" s="2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</row>
    <row r="66" spans="1:79" hidden="1" outlineLevel="1" x14ac:dyDescent="0.25">
      <c r="A66" s="3" t="str">
        <f t="shared" si="9"/>
        <v>ENERGY_CERTIFICATE_EST_INPUTQUALITY_SCORE</v>
      </c>
      <c r="B66" s="8" t="s">
        <v>16</v>
      </c>
      <c r="C66" s="9" t="s">
        <v>24</v>
      </c>
      <c r="D66" s="6" t="s">
        <v>30</v>
      </c>
      <c r="E66" s="7" t="s">
        <v>27</v>
      </c>
      <c r="F66" s="7" t="s">
        <v>40</v>
      </c>
      <c r="G66" s="6" t="e">
        <f>INDEX(#REF!,MATCH(Plano_Detalhado!H66,#REF!,0),1)</f>
        <v>#REF!</v>
      </c>
      <c r="H66" s="6" t="e">
        <f>VLOOKUP(A66,#REF!,2,0)</f>
        <v>#REF!</v>
      </c>
      <c r="I66" s="67" t="e">
        <f>SUMIFS(#REF!,#REF!,Plano_Detalhado!E66,#REF!,Plano_Detalhado!F66)</f>
        <v>#REF!</v>
      </c>
      <c r="J66" s="67" t="e">
        <f t="shared" si="8"/>
        <v>#REF!</v>
      </c>
      <c r="K66" s="67" t="e">
        <f>SUMIFS(#REF!,#REF!,Plano_Detalhado!E66,#REF!,Plano_Detalhado!F66)</f>
        <v>#REF!</v>
      </c>
      <c r="L66" s="67" t="e">
        <f t="shared" si="8"/>
        <v>#REF!</v>
      </c>
      <c r="M66" s="61"/>
      <c r="N66" s="61" t="e">
        <f t="shared" si="10"/>
        <v>#REF!</v>
      </c>
      <c r="O66" s="61" t="e">
        <f t="shared" si="7"/>
        <v>#REF!</v>
      </c>
      <c r="P66" s="22" t="s">
        <v>29</v>
      </c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24"/>
      <c r="BI66" s="14"/>
      <c r="BJ66" s="14"/>
      <c r="BK66" s="14"/>
      <c r="BL66" s="14"/>
      <c r="BM66" s="14"/>
      <c r="BN66" s="2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</row>
    <row r="67" spans="1:79" hidden="1" outlineLevel="1" x14ac:dyDescent="0.25">
      <c r="A67" s="3" t="str">
        <f>E67&amp;F67</f>
        <v>ENERGY_CERTIFICATE_EST_INPUTENERGY_CONSUMPTION_VALUE_YEAR</v>
      </c>
      <c r="B67" s="8" t="s">
        <v>16</v>
      </c>
      <c r="C67" s="9" t="s">
        <v>24</v>
      </c>
      <c r="D67" s="6" t="s">
        <v>30</v>
      </c>
      <c r="E67" s="7" t="s">
        <v>27</v>
      </c>
      <c r="F67" s="7" t="s">
        <v>41</v>
      </c>
      <c r="G67" s="6" t="e">
        <f>INDEX(#REF!,MATCH(Plano_Detalhado!H67,#REF!,0),1)</f>
        <v>#REF!</v>
      </c>
      <c r="H67" s="6" t="e">
        <f>VLOOKUP(A67,#REF!,2,0)</f>
        <v>#REF!</v>
      </c>
      <c r="I67" s="67" t="e">
        <f>SUMIFS(#REF!,#REF!,Plano_Detalhado!E67,#REF!,Plano_Detalhado!F67)</f>
        <v>#REF!</v>
      </c>
      <c r="J67" s="67" t="e">
        <f t="shared" si="8"/>
        <v>#REF!</v>
      </c>
      <c r="K67" s="67" t="e">
        <f>SUMIFS(#REF!,#REF!,Plano_Detalhado!E67,#REF!,Plano_Detalhado!F67)</f>
        <v>#REF!</v>
      </c>
      <c r="L67" s="67" t="e">
        <f t="shared" si="8"/>
        <v>#REF!</v>
      </c>
      <c r="M67" s="61"/>
      <c r="N67" s="61" t="e">
        <f t="shared" si="10"/>
        <v>#REF!</v>
      </c>
      <c r="O67" s="61" t="e">
        <f t="shared" si="7"/>
        <v>#REF!</v>
      </c>
      <c r="P67" s="22" t="s">
        <v>29</v>
      </c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24"/>
      <c r="BI67" s="14"/>
      <c r="BJ67" s="14"/>
      <c r="BK67" s="14"/>
      <c r="BL67" s="14"/>
      <c r="BM67" s="14"/>
      <c r="BN67" s="2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</row>
    <row r="68" spans="1:79" hidden="1" outlineLevel="1" x14ac:dyDescent="0.25">
      <c r="A68" s="3" t="str">
        <f t="shared" si="9"/>
        <v>ENERGY_CERTIFICATE_EST_INPUTCARBON_EMISSION_VALUE_YEAR</v>
      </c>
      <c r="B68" s="8" t="s">
        <v>16</v>
      </c>
      <c r="C68" s="9" t="s">
        <v>24</v>
      </c>
      <c r="D68" s="6" t="s">
        <v>30</v>
      </c>
      <c r="E68" s="7" t="s">
        <v>27</v>
      </c>
      <c r="F68" s="7" t="s">
        <v>42</v>
      </c>
      <c r="G68" s="6" t="e">
        <f>INDEX(#REF!,MATCH(Plano_Detalhado!H68,#REF!,0),1)</f>
        <v>#REF!</v>
      </c>
      <c r="H68" s="6" t="e">
        <f>VLOOKUP(A68,#REF!,2,0)</f>
        <v>#REF!</v>
      </c>
      <c r="I68" s="67" t="e">
        <f>SUMIFS(#REF!,#REF!,Plano_Detalhado!E68,#REF!,Plano_Detalhado!F68)</f>
        <v>#REF!</v>
      </c>
      <c r="J68" s="67" t="e">
        <f t="shared" si="8"/>
        <v>#REF!</v>
      </c>
      <c r="K68" s="67" t="e">
        <f>SUMIFS(#REF!,#REF!,Plano_Detalhado!E68,#REF!,Plano_Detalhado!F68)</f>
        <v>#REF!</v>
      </c>
      <c r="L68" s="67" t="e">
        <f t="shared" si="8"/>
        <v>#REF!</v>
      </c>
      <c r="M68" s="61"/>
      <c r="N68" s="61" t="e">
        <f t="shared" si="10"/>
        <v>#REF!</v>
      </c>
      <c r="O68" s="61" t="e">
        <f t="shared" si="7"/>
        <v>#REF!</v>
      </c>
      <c r="P68" s="22" t="s">
        <v>29</v>
      </c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24"/>
      <c r="BI68" s="14"/>
      <c r="BJ68" s="14"/>
      <c r="BK68" s="14"/>
      <c r="BL68" s="14"/>
      <c r="BM68" s="14"/>
      <c r="BN68" s="2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</row>
    <row r="69" spans="1:79" hidden="1" outlineLevel="1" x14ac:dyDescent="0.25">
      <c r="A69" s="3" t="str">
        <f t="shared" si="9"/>
        <v>Re-testesn.a.</v>
      </c>
      <c r="B69" s="8" t="s">
        <v>16</v>
      </c>
      <c r="C69" s="9" t="s">
        <v>24</v>
      </c>
      <c r="D69" s="6" t="s">
        <v>30</v>
      </c>
      <c r="E69" s="7" t="s">
        <v>43</v>
      </c>
      <c r="F69" s="6" t="s">
        <v>28</v>
      </c>
      <c r="G69" s="6" t="s">
        <v>18</v>
      </c>
      <c r="H69" s="6"/>
      <c r="I69" s="67" t="e">
        <f>SUM(I56:I68)*#REF!</f>
        <v>#REF!</v>
      </c>
      <c r="J69" s="67" t="e">
        <f>I69/8</f>
        <v>#REF!</v>
      </c>
      <c r="K69" s="67" t="e">
        <f>SUM(K56:K68)*#REF!</f>
        <v>#REF!</v>
      </c>
      <c r="L69" s="67" t="e">
        <f>K69/8</f>
        <v>#REF!</v>
      </c>
      <c r="M69" s="61"/>
      <c r="N69" s="61" t="e">
        <f t="shared" si="10"/>
        <v>#REF!</v>
      </c>
      <c r="O69" s="61" t="e">
        <f t="shared" si="7"/>
        <v>#REF!</v>
      </c>
      <c r="P69" s="22" t="s">
        <v>29</v>
      </c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24"/>
      <c r="BI69" s="14"/>
      <c r="BJ69" s="14"/>
      <c r="BK69" s="14"/>
      <c r="BL69" s="14"/>
      <c r="BM69" s="14"/>
      <c r="BN69" s="2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</row>
    <row r="70" spans="1:79" ht="64.8" collapsed="1" x14ac:dyDescent="0.25">
      <c r="A70" s="3" t="str">
        <f t="shared" si="9"/>
        <v/>
      </c>
      <c r="B70" s="5" t="s">
        <v>16</v>
      </c>
      <c r="C70" s="27" t="s">
        <v>44</v>
      </c>
      <c r="D70" s="27"/>
      <c r="E70" s="30"/>
      <c r="F70" s="27"/>
      <c r="G70" s="27"/>
      <c r="H70" s="27"/>
      <c r="I70" s="66" t="e">
        <f>SUM(I71:I233)</f>
        <v>#REF!</v>
      </c>
      <c r="J70" s="66" t="e">
        <f>ROUNDUP(I70/8,0)</f>
        <v>#REF!</v>
      </c>
      <c r="K70" s="66" t="e">
        <f>SUM(K71:K233)</f>
        <v>#REF!</v>
      </c>
      <c r="L70" s="66" t="e">
        <f>ROUNDUP(K70/8,0)</f>
        <v>#REF!</v>
      </c>
      <c r="M70" s="65" t="e">
        <f>SUMIFS(Q70:CA70,#REF!,"S")/J70</f>
        <v>#REF!</v>
      </c>
      <c r="N70" s="65">
        <f>IFERROR(L70/J70,0)</f>
        <v>0</v>
      </c>
      <c r="O70" s="65" t="e">
        <f t="shared" si="7"/>
        <v>#REF!</v>
      </c>
      <c r="P70" s="76" t="s">
        <v>518</v>
      </c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24"/>
      <c r="BI70" s="14">
        <v>2</v>
      </c>
      <c r="BJ70" s="14">
        <v>0.5</v>
      </c>
      <c r="BK70" s="14">
        <v>2</v>
      </c>
      <c r="BL70" s="14">
        <v>2</v>
      </c>
      <c r="BM70" s="14">
        <v>2</v>
      </c>
      <c r="BN70" s="24"/>
      <c r="BO70" s="14">
        <v>0.5</v>
      </c>
      <c r="BP70" s="14">
        <v>2</v>
      </c>
      <c r="BQ70" s="14">
        <v>2</v>
      </c>
      <c r="BR70" s="14">
        <v>2</v>
      </c>
      <c r="BS70" s="14">
        <v>2</v>
      </c>
      <c r="BT70" s="14">
        <v>1.5</v>
      </c>
      <c r="BU70" s="14">
        <v>2</v>
      </c>
      <c r="BV70" s="14">
        <v>2</v>
      </c>
      <c r="BW70" s="14">
        <v>2</v>
      </c>
      <c r="BX70" s="14">
        <v>2</v>
      </c>
      <c r="BY70" s="14">
        <v>2</v>
      </c>
      <c r="BZ70" s="14">
        <v>2</v>
      </c>
      <c r="CA70" s="14">
        <v>2</v>
      </c>
    </row>
    <row r="71" spans="1:79" hidden="1" outlineLevel="1" x14ac:dyDescent="0.25">
      <c r="A71" s="3" t="str">
        <f t="shared" si="9"/>
        <v>PROCESSn.a.</v>
      </c>
      <c r="B71" s="8" t="s">
        <v>16</v>
      </c>
      <c r="C71" s="9" t="s">
        <v>44</v>
      </c>
      <c r="D71" s="6" t="s">
        <v>26</v>
      </c>
      <c r="E71" s="7" t="s">
        <v>45</v>
      </c>
      <c r="F71" s="6" t="s">
        <v>28</v>
      </c>
      <c r="G71" s="6" t="e">
        <f>INDEX(#REF!,MATCH(Plano_Detalhado!H71,#REF!,0),1)</f>
        <v>#REF!</v>
      </c>
      <c r="H71" s="6" t="e">
        <f>VLOOKUP(A71,#REF!,2,0)</f>
        <v>#REF!</v>
      </c>
      <c r="I71" s="67" t="e">
        <f>SUMIFS(#REF!,#REF!,Plano_Detalhado!E71,#REF!,Plano_Detalhado!F71)</f>
        <v>#REF!</v>
      </c>
      <c r="J71" s="67" t="e">
        <f t="shared" ref="J71:J134" si="11">I71/8</f>
        <v>#REF!</v>
      </c>
      <c r="K71" s="67" t="e">
        <f>SUMIFS(#REF!,#REF!,Plano_Detalhado!E71,#REF!,Plano_Detalhado!F71)</f>
        <v>#REF!</v>
      </c>
      <c r="L71" s="67" t="e">
        <f t="shared" ref="L71:L134" si="12">K71/8</f>
        <v>#REF!</v>
      </c>
      <c r="M71" s="61"/>
      <c r="N71" s="61" t="e">
        <f t="shared" ref="N71:N134" si="13">L71/J71</f>
        <v>#REF!</v>
      </c>
      <c r="O71" s="61" t="e">
        <f t="shared" si="7"/>
        <v>#REF!</v>
      </c>
      <c r="P71" s="22" t="s">
        <v>46</v>
      </c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Y71" s="14"/>
      <c r="AZ71" s="14"/>
      <c r="BA71" s="14"/>
      <c r="BB71" s="14"/>
      <c r="BC71" s="14"/>
      <c r="BD71" s="14"/>
      <c r="BE71" s="14"/>
      <c r="BF71" s="14"/>
      <c r="BG71" s="14"/>
      <c r="BH71" s="24"/>
      <c r="BI71" s="14"/>
      <c r="BJ71" s="14"/>
      <c r="BK71" s="14"/>
      <c r="BL71" s="14"/>
      <c r="BN71" s="2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</row>
    <row r="72" spans="1:79" hidden="1" outlineLevel="1" x14ac:dyDescent="0.25">
      <c r="A72" s="3" t="str">
        <f t="shared" si="9"/>
        <v>PROCESSPROCESS_BANK_ID</v>
      </c>
      <c r="B72" s="8" t="s">
        <v>16</v>
      </c>
      <c r="C72" s="9" t="s">
        <v>44</v>
      </c>
      <c r="D72" s="6" t="s">
        <v>30</v>
      </c>
      <c r="E72" s="7" t="s">
        <v>45</v>
      </c>
      <c r="F72" s="7" t="s">
        <v>47</v>
      </c>
      <c r="G72" s="6" t="e">
        <f>INDEX(#REF!,MATCH(Plano_Detalhado!H72,#REF!,0),1)</f>
        <v>#REF!</v>
      </c>
      <c r="H72" s="6" t="e">
        <f>VLOOKUP(A72,#REF!,2,0)</f>
        <v>#REF!</v>
      </c>
      <c r="I72" s="67" t="e">
        <f>SUMIFS(#REF!,#REF!,Plano_Detalhado!E72,#REF!,Plano_Detalhado!F72)</f>
        <v>#REF!</v>
      </c>
      <c r="J72" s="67" t="e">
        <f t="shared" si="11"/>
        <v>#REF!</v>
      </c>
      <c r="K72" s="67" t="e">
        <f>SUMIFS(#REF!,#REF!,Plano_Detalhado!E72,#REF!,Plano_Detalhado!F72)</f>
        <v>#REF!</v>
      </c>
      <c r="L72" s="67" t="e">
        <f t="shared" si="12"/>
        <v>#REF!</v>
      </c>
      <c r="M72" s="61"/>
      <c r="N72" s="61" t="e">
        <f t="shared" si="13"/>
        <v>#REF!</v>
      </c>
      <c r="O72" s="61" t="e">
        <f t="shared" si="7"/>
        <v>#REF!</v>
      </c>
      <c r="P72" s="22" t="s">
        <v>46</v>
      </c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Y72" s="14"/>
      <c r="AZ72" s="14"/>
      <c r="BA72" s="14"/>
      <c r="BB72" s="14"/>
      <c r="BC72" s="14"/>
      <c r="BD72" s="14"/>
      <c r="BE72" s="14"/>
      <c r="BF72" s="14"/>
      <c r="BG72" s="14"/>
      <c r="BH72" s="24"/>
      <c r="BI72" s="14"/>
      <c r="BJ72" s="14"/>
      <c r="BK72" s="14"/>
      <c r="BL72" s="14"/>
      <c r="BN72" s="2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</row>
    <row r="73" spans="1:79" hidden="1" outlineLevel="1" x14ac:dyDescent="0.25">
      <c r="A73" s="3" t="str">
        <f t="shared" si="9"/>
        <v>PROCESSPROCESS_BRANCH_CODE</v>
      </c>
      <c r="B73" s="8" t="s">
        <v>16</v>
      </c>
      <c r="C73" s="9" t="s">
        <v>44</v>
      </c>
      <c r="D73" s="6" t="s">
        <v>30</v>
      </c>
      <c r="E73" s="7" t="s">
        <v>45</v>
      </c>
      <c r="F73" s="7" t="s">
        <v>48</v>
      </c>
      <c r="G73" s="6" t="e">
        <f>INDEX(#REF!,MATCH(Plano_Detalhado!H73,#REF!,0),1)</f>
        <v>#REF!</v>
      </c>
      <c r="H73" s="6" t="e">
        <f>VLOOKUP(A73,#REF!,2,0)</f>
        <v>#REF!</v>
      </c>
      <c r="I73" s="67" t="e">
        <f>SUMIFS(#REF!,#REF!,Plano_Detalhado!E73,#REF!,Plano_Detalhado!F73)</f>
        <v>#REF!</v>
      </c>
      <c r="J73" s="67" t="e">
        <f t="shared" si="11"/>
        <v>#REF!</v>
      </c>
      <c r="K73" s="67" t="e">
        <f>SUMIFS(#REF!,#REF!,Plano_Detalhado!E73,#REF!,Plano_Detalhado!F73)</f>
        <v>#REF!</v>
      </c>
      <c r="L73" s="67" t="e">
        <f t="shared" si="12"/>
        <v>#REF!</v>
      </c>
      <c r="M73" s="61"/>
      <c r="N73" s="61" t="e">
        <f t="shared" si="13"/>
        <v>#REF!</v>
      </c>
      <c r="O73" s="61" t="e">
        <f t="shared" si="7"/>
        <v>#REF!</v>
      </c>
      <c r="P73" s="22" t="s">
        <v>46</v>
      </c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Y73" s="14"/>
      <c r="AZ73" s="14"/>
      <c r="BA73" s="14"/>
      <c r="BB73" s="14"/>
      <c r="BC73" s="14"/>
      <c r="BD73" s="14"/>
      <c r="BE73" s="14"/>
      <c r="BF73" s="14"/>
      <c r="BG73" s="14"/>
      <c r="BH73" s="24"/>
      <c r="BI73" s="14"/>
      <c r="BJ73" s="14"/>
      <c r="BK73" s="14"/>
      <c r="BL73" s="14"/>
      <c r="BN73" s="2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</row>
    <row r="74" spans="1:79" hidden="1" outlineLevel="1" x14ac:dyDescent="0.25">
      <c r="A74" s="3" t="str">
        <f t="shared" si="9"/>
        <v>PROCESSPROCESS_ACCOUNT_ID</v>
      </c>
      <c r="B74" s="8" t="s">
        <v>16</v>
      </c>
      <c r="C74" s="9" t="s">
        <v>44</v>
      </c>
      <c r="D74" s="6" t="s">
        <v>30</v>
      </c>
      <c r="E74" s="7" t="s">
        <v>45</v>
      </c>
      <c r="F74" s="7" t="s">
        <v>49</v>
      </c>
      <c r="G74" s="6" t="e">
        <f>INDEX(#REF!,MATCH(Plano_Detalhado!H74,#REF!,0),1)</f>
        <v>#REF!</v>
      </c>
      <c r="H74" s="6" t="e">
        <f>VLOOKUP(A74,#REF!,2,0)</f>
        <v>#REF!</v>
      </c>
      <c r="I74" s="67" t="e">
        <f>SUMIFS(#REF!,#REF!,Plano_Detalhado!E74,#REF!,Plano_Detalhado!F74)</f>
        <v>#REF!</v>
      </c>
      <c r="J74" s="67" t="e">
        <f t="shared" si="11"/>
        <v>#REF!</v>
      </c>
      <c r="K74" s="67" t="e">
        <f>SUMIFS(#REF!,#REF!,Plano_Detalhado!E74,#REF!,Plano_Detalhado!F74)</f>
        <v>#REF!</v>
      </c>
      <c r="L74" s="67" t="e">
        <f t="shared" si="12"/>
        <v>#REF!</v>
      </c>
      <c r="M74" s="61"/>
      <c r="N74" s="61" t="e">
        <f t="shared" si="13"/>
        <v>#REF!</v>
      </c>
      <c r="O74" s="61" t="e">
        <f t="shared" si="7"/>
        <v>#REF!</v>
      </c>
      <c r="P74" s="22" t="s">
        <v>46</v>
      </c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Y74" s="14"/>
      <c r="AZ74" s="14"/>
      <c r="BA74" s="14"/>
      <c r="BB74" s="14"/>
      <c r="BC74" s="14"/>
      <c r="BD74" s="14"/>
      <c r="BE74" s="14"/>
      <c r="BF74" s="14"/>
      <c r="BG74" s="14"/>
      <c r="BH74" s="24"/>
      <c r="BI74" s="14"/>
      <c r="BJ74" s="14"/>
      <c r="BK74" s="14"/>
      <c r="BL74" s="14"/>
      <c r="BN74" s="2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</row>
    <row r="75" spans="1:79" hidden="1" outlineLevel="1" x14ac:dyDescent="0.25">
      <c r="A75" s="3" t="str">
        <f t="shared" si="9"/>
        <v>PROCESScod_estd_prcs</v>
      </c>
      <c r="B75" s="8" t="s">
        <v>16</v>
      </c>
      <c r="C75" s="9" t="s">
        <v>44</v>
      </c>
      <c r="D75" s="6" t="s">
        <v>30</v>
      </c>
      <c r="E75" s="7" t="s">
        <v>45</v>
      </c>
      <c r="F75" s="56" t="s">
        <v>50</v>
      </c>
      <c r="G75" s="6" t="e">
        <f>INDEX(#REF!,MATCH(Plano_Detalhado!H75,#REF!,0),1)</f>
        <v>#REF!</v>
      </c>
      <c r="H75" s="6" t="e">
        <f>VLOOKUP(A75,#REF!,2,0)</f>
        <v>#REF!</v>
      </c>
      <c r="I75" s="68">
        <v>0</v>
      </c>
      <c r="J75" s="67">
        <f t="shared" si="11"/>
        <v>0</v>
      </c>
      <c r="K75" s="67" t="e">
        <f>SUMIFS(#REF!,#REF!,Plano_Detalhado!E75,#REF!,Plano_Detalhado!F75)</f>
        <v>#REF!</v>
      </c>
      <c r="L75" s="67" t="e">
        <f t="shared" si="12"/>
        <v>#REF!</v>
      </c>
      <c r="M75" s="61"/>
      <c r="N75" s="61" t="e">
        <f t="shared" si="13"/>
        <v>#REF!</v>
      </c>
      <c r="O75" s="61" t="e">
        <f t="shared" si="7"/>
        <v>#REF!</v>
      </c>
      <c r="P75" s="22" t="s">
        <v>46</v>
      </c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Y75" s="14"/>
      <c r="AZ75" s="14"/>
      <c r="BA75" s="14"/>
      <c r="BB75" s="14"/>
      <c r="BC75" s="14"/>
      <c r="BD75" s="14"/>
      <c r="BE75" s="14"/>
      <c r="BF75" s="14"/>
      <c r="BG75" s="14"/>
      <c r="BH75" s="24"/>
      <c r="BI75" s="14"/>
      <c r="BJ75" s="14"/>
      <c r="BK75" s="14"/>
      <c r="BL75" s="14"/>
      <c r="BN75" s="2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</row>
    <row r="76" spans="1:79" hidden="1" outlineLevel="1" x14ac:dyDescent="0.25">
      <c r="A76" s="3" t="str">
        <f t="shared" si="9"/>
        <v>PROCESSGUARANTEE_CODE</v>
      </c>
      <c r="B76" s="8" t="s">
        <v>16</v>
      </c>
      <c r="C76" s="9" t="s">
        <v>44</v>
      </c>
      <c r="D76" s="6" t="s">
        <v>30</v>
      </c>
      <c r="E76" s="7" t="s">
        <v>45</v>
      </c>
      <c r="F76" s="7" t="s">
        <v>51</v>
      </c>
      <c r="G76" s="6" t="e">
        <f>INDEX(#REF!,MATCH(Plano_Detalhado!H76,#REF!,0),1)</f>
        <v>#REF!</v>
      </c>
      <c r="H76" s="6" t="e">
        <f>VLOOKUP(A76,#REF!,2,0)</f>
        <v>#REF!</v>
      </c>
      <c r="I76" s="67" t="e">
        <f>SUMIFS(#REF!,#REF!,Plano_Detalhado!E76,#REF!,Plano_Detalhado!F76)</f>
        <v>#REF!</v>
      </c>
      <c r="J76" s="67" t="e">
        <f t="shared" si="11"/>
        <v>#REF!</v>
      </c>
      <c r="K76" s="67" t="e">
        <f>SUMIFS(#REF!,#REF!,Plano_Detalhado!E76,#REF!,Plano_Detalhado!F76)</f>
        <v>#REF!</v>
      </c>
      <c r="L76" s="67" t="e">
        <f t="shared" si="12"/>
        <v>#REF!</v>
      </c>
      <c r="M76" s="61"/>
      <c r="N76" s="61" t="e">
        <f t="shared" si="13"/>
        <v>#REF!</v>
      </c>
      <c r="O76" s="61" t="e">
        <f t="shared" si="7"/>
        <v>#REF!</v>
      </c>
      <c r="P76" s="22" t="s">
        <v>46</v>
      </c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Y76" s="14"/>
      <c r="AZ76" s="14"/>
      <c r="BA76" s="14"/>
      <c r="BB76" s="14"/>
      <c r="BC76" s="14"/>
      <c r="BD76" s="14"/>
      <c r="BE76" s="14"/>
      <c r="BF76" s="14"/>
      <c r="BG76" s="14"/>
      <c r="BH76" s="24"/>
      <c r="BI76" s="14"/>
      <c r="BJ76" s="14"/>
      <c r="BK76" s="14"/>
      <c r="BL76" s="14"/>
      <c r="BN76" s="2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</row>
    <row r="77" spans="1:79" hidden="1" outlineLevel="1" x14ac:dyDescent="0.25">
      <c r="A77" s="3" t="str">
        <f t="shared" si="9"/>
        <v>PROCESSCURRENCY_CODE</v>
      </c>
      <c r="B77" s="8" t="s">
        <v>16</v>
      </c>
      <c r="C77" s="9" t="s">
        <v>44</v>
      </c>
      <c r="D77" s="6" t="s">
        <v>30</v>
      </c>
      <c r="E77" s="7" t="s">
        <v>45</v>
      </c>
      <c r="F77" s="7" t="s">
        <v>52</v>
      </c>
      <c r="G77" s="6" t="e">
        <f>INDEX(#REF!,MATCH(Plano_Detalhado!H77,#REF!,0),1)</f>
        <v>#REF!</v>
      </c>
      <c r="H77" s="6" t="e">
        <f>VLOOKUP(A77,#REF!,2,0)</f>
        <v>#REF!</v>
      </c>
      <c r="I77" s="67" t="e">
        <f>SUMIFS(#REF!,#REF!,Plano_Detalhado!E77,#REF!,Plano_Detalhado!F77)</f>
        <v>#REF!</v>
      </c>
      <c r="J77" s="67" t="e">
        <f t="shared" si="11"/>
        <v>#REF!</v>
      </c>
      <c r="K77" s="67" t="e">
        <f>SUMIFS(#REF!,#REF!,Plano_Detalhado!E77,#REF!,Plano_Detalhado!F77)</f>
        <v>#REF!</v>
      </c>
      <c r="L77" s="67" t="e">
        <f t="shared" si="12"/>
        <v>#REF!</v>
      </c>
      <c r="M77" s="61"/>
      <c r="N77" s="61" t="e">
        <f t="shared" si="13"/>
        <v>#REF!</v>
      </c>
      <c r="O77" s="61" t="e">
        <f t="shared" si="7"/>
        <v>#REF!</v>
      </c>
      <c r="P77" s="22" t="s">
        <v>46</v>
      </c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Y77" s="14"/>
      <c r="AZ77" s="14"/>
      <c r="BA77" s="14"/>
      <c r="BB77" s="14"/>
      <c r="BC77" s="14"/>
      <c r="BD77" s="14"/>
      <c r="BE77" s="14"/>
      <c r="BF77" s="14"/>
      <c r="BG77" s="14"/>
      <c r="BH77" s="24"/>
      <c r="BI77" s="14"/>
      <c r="BJ77" s="14"/>
      <c r="BK77" s="14"/>
      <c r="BL77" s="14"/>
      <c r="BN77" s="2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</row>
    <row r="78" spans="1:79" hidden="1" outlineLevel="1" x14ac:dyDescent="0.25">
      <c r="A78" s="3" t="str">
        <f t="shared" si="9"/>
        <v>PROCESSPROCESS_CAMPAIGN_CODE</v>
      </c>
      <c r="B78" s="8" t="s">
        <v>16</v>
      </c>
      <c r="C78" s="9" t="s">
        <v>44</v>
      </c>
      <c r="D78" s="6" t="s">
        <v>30</v>
      </c>
      <c r="E78" s="7" t="s">
        <v>45</v>
      </c>
      <c r="F78" s="7" t="s">
        <v>53</v>
      </c>
      <c r="G78" s="6" t="e">
        <f>INDEX(#REF!,MATCH(Plano_Detalhado!H78,#REF!,0),1)</f>
        <v>#REF!</v>
      </c>
      <c r="H78" s="6" t="e">
        <f>VLOOKUP(A78,#REF!,2,0)</f>
        <v>#REF!</v>
      </c>
      <c r="I78" s="67" t="e">
        <f>SUMIFS(#REF!,#REF!,Plano_Detalhado!E78,#REF!,Plano_Detalhado!F78)</f>
        <v>#REF!</v>
      </c>
      <c r="J78" s="67" t="e">
        <f t="shared" si="11"/>
        <v>#REF!</v>
      </c>
      <c r="K78" s="67" t="e">
        <f>SUMIFS(#REF!,#REF!,Plano_Detalhado!E78,#REF!,Plano_Detalhado!F78)</f>
        <v>#REF!</v>
      </c>
      <c r="L78" s="67" t="e">
        <f t="shared" si="12"/>
        <v>#REF!</v>
      </c>
      <c r="M78" s="61"/>
      <c r="N78" s="61" t="e">
        <f t="shared" si="13"/>
        <v>#REF!</v>
      </c>
      <c r="O78" s="61" t="e">
        <f t="shared" si="7"/>
        <v>#REF!</v>
      </c>
      <c r="P78" s="22" t="s">
        <v>46</v>
      </c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Y78" s="14"/>
      <c r="AZ78" s="14"/>
      <c r="BA78" s="14"/>
      <c r="BB78" s="14"/>
      <c r="BC78" s="14"/>
      <c r="BD78" s="14"/>
      <c r="BE78" s="14"/>
      <c r="BF78" s="14"/>
      <c r="BG78" s="14"/>
      <c r="BH78" s="24"/>
      <c r="BI78" s="14"/>
      <c r="BJ78" s="14"/>
      <c r="BK78" s="14"/>
      <c r="BL78" s="14"/>
      <c r="BN78" s="2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</row>
    <row r="79" spans="1:79" hidden="1" outlineLevel="1" x14ac:dyDescent="0.25">
      <c r="A79" s="3" t="str">
        <f t="shared" si="9"/>
        <v>PROCESSPROCESS_PRODUCT_ID</v>
      </c>
      <c r="B79" s="8" t="s">
        <v>16</v>
      </c>
      <c r="C79" s="9" t="s">
        <v>44</v>
      </c>
      <c r="D79" s="6" t="s">
        <v>30</v>
      </c>
      <c r="E79" s="7" t="s">
        <v>45</v>
      </c>
      <c r="F79" s="7" t="s">
        <v>54</v>
      </c>
      <c r="G79" s="6" t="e">
        <f>INDEX(#REF!,MATCH(Plano_Detalhado!H79,#REF!,0),1)</f>
        <v>#REF!</v>
      </c>
      <c r="H79" s="6" t="e">
        <f>VLOOKUP(A79,#REF!,2,0)</f>
        <v>#REF!</v>
      </c>
      <c r="I79" s="67" t="e">
        <f>SUMIFS(#REF!,#REF!,Plano_Detalhado!E79,#REF!,Plano_Detalhado!F79)</f>
        <v>#REF!</v>
      </c>
      <c r="J79" s="67" t="e">
        <f t="shared" si="11"/>
        <v>#REF!</v>
      </c>
      <c r="K79" s="67" t="e">
        <f>SUMIFS(#REF!,#REF!,Plano_Detalhado!E79,#REF!,Plano_Detalhado!F79)</f>
        <v>#REF!</v>
      </c>
      <c r="L79" s="67" t="e">
        <f t="shared" si="12"/>
        <v>#REF!</v>
      </c>
      <c r="M79" s="61"/>
      <c r="N79" s="61" t="e">
        <f t="shared" si="13"/>
        <v>#REF!</v>
      </c>
      <c r="O79" s="61" t="e">
        <f t="shared" si="7"/>
        <v>#REF!</v>
      </c>
      <c r="P79" s="22" t="s">
        <v>46</v>
      </c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Y79" s="14"/>
      <c r="AZ79" s="14"/>
      <c r="BA79" s="14"/>
      <c r="BB79" s="14"/>
      <c r="BC79" s="14"/>
      <c r="BD79" s="14"/>
      <c r="BE79" s="14"/>
      <c r="BF79" s="14"/>
      <c r="BG79" s="14"/>
      <c r="BH79" s="24"/>
      <c r="BI79" s="14"/>
      <c r="BJ79" s="14"/>
      <c r="BK79" s="14"/>
      <c r="BL79" s="14"/>
      <c r="BN79" s="2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</row>
    <row r="80" spans="1:79" hidden="1" outlineLevel="1" x14ac:dyDescent="0.25">
      <c r="A80" s="3" t="str">
        <f t="shared" si="9"/>
        <v>PROCESSPROCESS_SUBPRODUCT_ID</v>
      </c>
      <c r="B80" s="8" t="s">
        <v>16</v>
      </c>
      <c r="C80" s="9" t="s">
        <v>44</v>
      </c>
      <c r="D80" s="6" t="s">
        <v>30</v>
      </c>
      <c r="E80" s="7" t="s">
        <v>45</v>
      </c>
      <c r="F80" s="7" t="s">
        <v>55</v>
      </c>
      <c r="G80" s="6" t="e">
        <f>INDEX(#REF!,MATCH(Plano_Detalhado!H80,#REF!,0),1)</f>
        <v>#REF!</v>
      </c>
      <c r="H80" s="6" t="e">
        <f>VLOOKUP(A80,#REF!,2,0)</f>
        <v>#REF!</v>
      </c>
      <c r="I80" s="67" t="e">
        <f>SUMIFS(#REF!,#REF!,Plano_Detalhado!E80,#REF!,Plano_Detalhado!F80)</f>
        <v>#REF!</v>
      </c>
      <c r="J80" s="67" t="e">
        <f t="shared" si="11"/>
        <v>#REF!</v>
      </c>
      <c r="K80" s="67" t="e">
        <f>SUMIFS(#REF!,#REF!,Plano_Detalhado!E80,#REF!,Plano_Detalhado!F80)</f>
        <v>#REF!</v>
      </c>
      <c r="L80" s="67" t="e">
        <f t="shared" si="12"/>
        <v>#REF!</v>
      </c>
      <c r="M80" s="61"/>
      <c r="N80" s="61" t="e">
        <f t="shared" si="13"/>
        <v>#REF!</v>
      </c>
      <c r="O80" s="61" t="e">
        <f t="shared" si="7"/>
        <v>#REF!</v>
      </c>
      <c r="P80" s="22" t="s">
        <v>46</v>
      </c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Y80" s="14"/>
      <c r="AZ80" s="14"/>
      <c r="BA80" s="14"/>
      <c r="BB80" s="14"/>
      <c r="BC80" s="14"/>
      <c r="BD80" s="14"/>
      <c r="BE80" s="14"/>
      <c r="BF80" s="14"/>
      <c r="BG80" s="14"/>
      <c r="BH80" s="24"/>
      <c r="BI80" s="14"/>
      <c r="BJ80" s="14"/>
      <c r="BK80" s="14"/>
      <c r="BL80" s="14"/>
      <c r="BN80" s="2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</row>
    <row r="81" spans="1:79" hidden="1" outlineLevel="1" x14ac:dyDescent="0.25">
      <c r="A81" s="3" t="str">
        <f t="shared" si="9"/>
        <v>PROCESSGUARANTEE_TYPE_CODE</v>
      </c>
      <c r="B81" s="8" t="s">
        <v>16</v>
      </c>
      <c r="C81" s="9" t="s">
        <v>44</v>
      </c>
      <c r="D81" s="6" t="s">
        <v>30</v>
      </c>
      <c r="E81" s="7" t="s">
        <v>45</v>
      </c>
      <c r="F81" s="7" t="s">
        <v>56</v>
      </c>
      <c r="G81" s="6" t="e">
        <f>INDEX(#REF!,MATCH(Plano_Detalhado!H81,#REF!,0),1)</f>
        <v>#REF!</v>
      </c>
      <c r="H81" s="6" t="e">
        <f>VLOOKUP(A81,#REF!,2,0)</f>
        <v>#REF!</v>
      </c>
      <c r="I81" s="67" t="e">
        <f>SUMIFS(#REF!,#REF!,Plano_Detalhado!E81,#REF!,Plano_Detalhado!F81)</f>
        <v>#REF!</v>
      </c>
      <c r="J81" s="67" t="e">
        <f t="shared" si="11"/>
        <v>#REF!</v>
      </c>
      <c r="K81" s="67" t="e">
        <f>SUMIFS(#REF!,#REF!,Plano_Detalhado!E81,#REF!,Plano_Detalhado!F81)</f>
        <v>#REF!</v>
      </c>
      <c r="L81" s="67" t="e">
        <f t="shared" si="12"/>
        <v>#REF!</v>
      </c>
      <c r="M81" s="61"/>
      <c r="N81" s="61" t="e">
        <f t="shared" si="13"/>
        <v>#REF!</v>
      </c>
      <c r="O81" s="61" t="e">
        <f t="shared" si="7"/>
        <v>#REF!</v>
      </c>
      <c r="P81" s="22" t="s">
        <v>46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Y81" s="14"/>
      <c r="AZ81" s="14"/>
      <c r="BA81" s="14"/>
      <c r="BB81" s="14"/>
      <c r="BC81" s="14"/>
      <c r="BD81" s="14"/>
      <c r="BE81" s="14"/>
      <c r="BF81" s="14"/>
      <c r="BG81" s="14"/>
      <c r="BH81" s="24"/>
      <c r="BI81" s="14"/>
      <c r="BJ81" s="14"/>
      <c r="BK81" s="14"/>
      <c r="BL81" s="14"/>
      <c r="BN81" s="2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</row>
    <row r="82" spans="1:79" hidden="1" outlineLevel="1" x14ac:dyDescent="0.25">
      <c r="A82" s="3" t="str">
        <f t="shared" si="9"/>
        <v>PROCESSPROCESS_REFERENCE_CODE</v>
      </c>
      <c r="B82" s="8" t="s">
        <v>16</v>
      </c>
      <c r="C82" s="9" t="s">
        <v>44</v>
      </c>
      <c r="D82" s="6" t="s">
        <v>30</v>
      </c>
      <c r="E82" s="7" t="s">
        <v>45</v>
      </c>
      <c r="F82" s="7" t="s">
        <v>57</v>
      </c>
      <c r="G82" s="6" t="e">
        <f>INDEX(#REF!,MATCH(Plano_Detalhado!H82,#REF!,0),1)</f>
        <v>#REF!</v>
      </c>
      <c r="H82" s="6" t="e">
        <f>VLOOKUP(A82,#REF!,2,0)</f>
        <v>#REF!</v>
      </c>
      <c r="I82" s="67" t="e">
        <f>SUMIFS(#REF!,#REF!,Plano_Detalhado!E82,#REF!,Plano_Detalhado!F82)</f>
        <v>#REF!</v>
      </c>
      <c r="J82" s="67" t="e">
        <f t="shared" si="11"/>
        <v>#REF!</v>
      </c>
      <c r="K82" s="67" t="e">
        <f>SUMIFS(#REF!,#REF!,Plano_Detalhado!E82,#REF!,Plano_Detalhado!F82)</f>
        <v>#REF!</v>
      </c>
      <c r="L82" s="67" t="e">
        <f t="shared" si="12"/>
        <v>#REF!</v>
      </c>
      <c r="M82" s="61"/>
      <c r="N82" s="61" t="e">
        <f t="shared" si="13"/>
        <v>#REF!</v>
      </c>
      <c r="O82" s="61" t="e">
        <f t="shared" si="7"/>
        <v>#REF!</v>
      </c>
      <c r="P82" s="22" t="s">
        <v>46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Y82" s="14"/>
      <c r="AZ82" s="14"/>
      <c r="BA82" s="14"/>
      <c r="BB82" s="14"/>
      <c r="BC82" s="14"/>
      <c r="BD82" s="14"/>
      <c r="BE82" s="14"/>
      <c r="BF82" s="14"/>
      <c r="BG82" s="14"/>
      <c r="BH82" s="24"/>
      <c r="BI82" s="14"/>
      <c r="BJ82" s="14"/>
      <c r="BK82" s="14"/>
      <c r="BL82" s="14"/>
      <c r="BN82" s="2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</row>
    <row r="83" spans="1:79" hidden="1" outlineLevel="1" x14ac:dyDescent="0.25">
      <c r="A83" s="3" t="str">
        <f t="shared" si="9"/>
        <v>PROCESSPROCESS_START_DATE</v>
      </c>
      <c r="B83" s="8" t="s">
        <v>16</v>
      </c>
      <c r="C83" s="9" t="s">
        <v>44</v>
      </c>
      <c r="D83" s="6" t="s">
        <v>30</v>
      </c>
      <c r="E83" s="7" t="s">
        <v>45</v>
      </c>
      <c r="F83" s="7" t="s">
        <v>58</v>
      </c>
      <c r="G83" s="6" t="e">
        <f>INDEX(#REF!,MATCH(Plano_Detalhado!H83,#REF!,0),1)</f>
        <v>#REF!</v>
      </c>
      <c r="H83" s="6" t="e">
        <f>VLOOKUP(A83,#REF!,2,0)</f>
        <v>#REF!</v>
      </c>
      <c r="I83" s="67" t="e">
        <f>SUMIFS(#REF!,#REF!,Plano_Detalhado!E83,#REF!,Plano_Detalhado!F83)</f>
        <v>#REF!</v>
      </c>
      <c r="J83" s="67" t="e">
        <f t="shared" si="11"/>
        <v>#REF!</v>
      </c>
      <c r="K83" s="67" t="e">
        <f>SUMIFS(#REF!,#REF!,Plano_Detalhado!E83,#REF!,Plano_Detalhado!F83)</f>
        <v>#REF!</v>
      </c>
      <c r="L83" s="67" t="e">
        <f t="shared" si="12"/>
        <v>#REF!</v>
      </c>
      <c r="M83" s="61"/>
      <c r="N83" s="61" t="e">
        <f t="shared" si="13"/>
        <v>#REF!</v>
      </c>
      <c r="O83" s="61" t="e">
        <f t="shared" si="7"/>
        <v>#REF!</v>
      </c>
      <c r="P83" s="22" t="s">
        <v>46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Y83" s="14"/>
      <c r="AZ83" s="14"/>
      <c r="BA83" s="14"/>
      <c r="BB83" s="14"/>
      <c r="BC83" s="14"/>
      <c r="BD83" s="14"/>
      <c r="BE83" s="14"/>
      <c r="BF83" s="14"/>
      <c r="BG83" s="14"/>
      <c r="BH83" s="24"/>
      <c r="BI83" s="14"/>
      <c r="BJ83" s="14"/>
      <c r="BK83" s="14"/>
      <c r="BL83" s="14"/>
      <c r="BN83" s="2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</row>
    <row r="84" spans="1:79" hidden="1" outlineLevel="1" x14ac:dyDescent="0.25">
      <c r="A84" s="3" t="str">
        <f t="shared" si="9"/>
        <v>PROCESSPROCESS_DUE_DATE</v>
      </c>
      <c r="B84" s="8" t="s">
        <v>16</v>
      </c>
      <c r="C84" s="9" t="s">
        <v>44</v>
      </c>
      <c r="D84" s="6" t="s">
        <v>30</v>
      </c>
      <c r="E84" s="7" t="s">
        <v>45</v>
      </c>
      <c r="F84" s="7" t="s">
        <v>59</v>
      </c>
      <c r="G84" s="6" t="e">
        <f>INDEX(#REF!,MATCH(Plano_Detalhado!H84,#REF!,0),1)</f>
        <v>#REF!</v>
      </c>
      <c r="H84" s="6" t="e">
        <f>VLOOKUP(A84,#REF!,2,0)</f>
        <v>#REF!</v>
      </c>
      <c r="I84" s="67" t="e">
        <f>SUMIFS(#REF!,#REF!,Plano_Detalhado!E84,#REF!,Plano_Detalhado!F84)</f>
        <v>#REF!</v>
      </c>
      <c r="J84" s="67" t="e">
        <f t="shared" si="11"/>
        <v>#REF!</v>
      </c>
      <c r="K84" s="67" t="e">
        <f>SUMIFS(#REF!,#REF!,Plano_Detalhado!E84,#REF!,Plano_Detalhado!F84)</f>
        <v>#REF!</v>
      </c>
      <c r="L84" s="67" t="e">
        <f t="shared" si="12"/>
        <v>#REF!</v>
      </c>
      <c r="M84" s="61"/>
      <c r="N84" s="61" t="e">
        <f t="shared" si="13"/>
        <v>#REF!</v>
      </c>
      <c r="O84" s="61" t="e">
        <f t="shared" si="7"/>
        <v>#REF!</v>
      </c>
      <c r="P84" s="22" t="s">
        <v>46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Y84" s="14"/>
      <c r="AZ84" s="14"/>
      <c r="BA84" s="14"/>
      <c r="BB84" s="14"/>
      <c r="BC84" s="14"/>
      <c r="BD84" s="14"/>
      <c r="BE84" s="14"/>
      <c r="BF84" s="14"/>
      <c r="BG84" s="14"/>
      <c r="BH84" s="24"/>
      <c r="BI84" s="14"/>
      <c r="BJ84" s="14"/>
      <c r="BK84" s="14"/>
      <c r="BL84" s="14"/>
      <c r="BN84" s="2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</row>
    <row r="85" spans="1:79" hidden="1" outlineLevel="1" x14ac:dyDescent="0.25">
      <c r="A85" s="3" t="str">
        <f t="shared" si="9"/>
        <v>PROCESSmontante_eur</v>
      </c>
      <c r="B85" s="8" t="s">
        <v>16</v>
      </c>
      <c r="C85" s="9" t="s">
        <v>44</v>
      </c>
      <c r="D85" s="6" t="s">
        <v>30</v>
      </c>
      <c r="E85" s="7" t="s">
        <v>45</v>
      </c>
      <c r="F85" s="56" t="s">
        <v>60</v>
      </c>
      <c r="G85" s="6" t="e">
        <f>INDEX(#REF!,MATCH(Plano_Detalhado!H85,#REF!,0),1)</f>
        <v>#REF!</v>
      </c>
      <c r="H85" s="6" t="e">
        <f>VLOOKUP(A85,#REF!,2,0)</f>
        <v>#REF!</v>
      </c>
      <c r="I85" s="68">
        <v>0</v>
      </c>
      <c r="J85" s="67">
        <f t="shared" si="11"/>
        <v>0</v>
      </c>
      <c r="K85" s="67" t="e">
        <f>SUMIFS(#REF!,#REF!,Plano_Detalhado!E85,#REF!,Plano_Detalhado!F85)</f>
        <v>#REF!</v>
      </c>
      <c r="L85" s="67" t="e">
        <f t="shared" si="12"/>
        <v>#REF!</v>
      </c>
      <c r="M85" s="61"/>
      <c r="N85" s="61" t="e">
        <f t="shared" si="13"/>
        <v>#REF!</v>
      </c>
      <c r="O85" s="61" t="e">
        <f t="shared" si="7"/>
        <v>#REF!</v>
      </c>
      <c r="P85" s="22" t="s">
        <v>46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Y85" s="14"/>
      <c r="AZ85" s="14"/>
      <c r="BA85" s="14"/>
      <c r="BB85" s="14"/>
      <c r="BC85" s="14"/>
      <c r="BD85" s="14"/>
      <c r="BE85" s="14"/>
      <c r="BF85" s="14"/>
      <c r="BG85" s="14"/>
      <c r="BH85" s="24"/>
      <c r="BI85" s="14"/>
      <c r="BJ85" s="14"/>
      <c r="BK85" s="14"/>
      <c r="BL85" s="14"/>
      <c r="BN85" s="2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</row>
    <row r="86" spans="1:79" hidden="1" outlineLevel="1" x14ac:dyDescent="0.25">
      <c r="A86" s="3" t="str">
        <f t="shared" si="9"/>
        <v>PROCESSmontante_org</v>
      </c>
      <c r="B86" s="8" t="s">
        <v>16</v>
      </c>
      <c r="C86" s="9" t="s">
        <v>44</v>
      </c>
      <c r="D86" s="6" t="s">
        <v>30</v>
      </c>
      <c r="E86" s="7" t="s">
        <v>45</v>
      </c>
      <c r="F86" s="7" t="s">
        <v>61</v>
      </c>
      <c r="G86" s="6" t="e">
        <f>INDEX(#REF!,MATCH(Plano_Detalhado!H86,#REF!,0),1)</f>
        <v>#REF!</v>
      </c>
      <c r="H86" s="6" t="e">
        <f>VLOOKUP(A86,#REF!,2,0)</f>
        <v>#REF!</v>
      </c>
      <c r="I86" s="68">
        <v>0</v>
      </c>
      <c r="J86" s="67">
        <f t="shared" si="11"/>
        <v>0</v>
      </c>
      <c r="K86" s="67" t="e">
        <f>SUMIFS(#REF!,#REF!,Plano_Detalhado!E86,#REF!,Plano_Detalhado!F86)</f>
        <v>#REF!</v>
      </c>
      <c r="L86" s="67" t="e">
        <f t="shared" si="12"/>
        <v>#REF!</v>
      </c>
      <c r="M86" s="61"/>
      <c r="N86" s="61" t="e">
        <f t="shared" si="13"/>
        <v>#REF!</v>
      </c>
      <c r="O86" s="61" t="e">
        <f t="shared" si="7"/>
        <v>#REF!</v>
      </c>
      <c r="P86" s="22" t="s">
        <v>46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Y86" s="14"/>
      <c r="AZ86" s="14"/>
      <c r="BA86" s="14"/>
      <c r="BB86" s="14"/>
      <c r="BC86" s="14"/>
      <c r="BD86" s="14"/>
      <c r="BE86" s="14"/>
      <c r="BF86" s="14"/>
      <c r="BG86" s="14"/>
      <c r="BH86" s="24"/>
      <c r="BI86" s="14"/>
      <c r="BJ86" s="14"/>
      <c r="BK86" s="14"/>
      <c r="BL86" s="14"/>
      <c r="BN86" s="2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</row>
    <row r="87" spans="1:79" hidden="1" outlineLevel="1" x14ac:dyDescent="0.25">
      <c r="A87" s="3" t="str">
        <f t="shared" si="9"/>
        <v>PROCESSorigem</v>
      </c>
      <c r="B87" s="8" t="s">
        <v>16</v>
      </c>
      <c r="C87" s="9" t="s">
        <v>44</v>
      </c>
      <c r="D87" s="6" t="s">
        <v>30</v>
      </c>
      <c r="E87" s="7" t="s">
        <v>45</v>
      </c>
      <c r="F87" s="7" t="s">
        <v>62</v>
      </c>
      <c r="G87" s="6" t="e">
        <f>INDEX(#REF!,MATCH(Plano_Detalhado!H87,#REF!,0),1)</f>
        <v>#REF!</v>
      </c>
      <c r="H87" s="6" t="e">
        <f>VLOOKUP(A87,#REF!,2,0)</f>
        <v>#REF!</v>
      </c>
      <c r="I87" s="67" t="e">
        <f>SUMIFS(#REF!,#REF!,Plano_Detalhado!E87,#REF!,Plano_Detalhado!F87)</f>
        <v>#REF!</v>
      </c>
      <c r="J87" s="67" t="e">
        <f t="shared" si="11"/>
        <v>#REF!</v>
      </c>
      <c r="K87" s="67" t="e">
        <f>SUMIFS(#REF!,#REF!,Plano_Detalhado!E87,#REF!,Plano_Detalhado!F87)</f>
        <v>#REF!</v>
      </c>
      <c r="L87" s="67" t="e">
        <f t="shared" si="12"/>
        <v>#REF!</v>
      </c>
      <c r="M87" s="61"/>
      <c r="N87" s="61" t="e">
        <f t="shared" si="13"/>
        <v>#REF!</v>
      </c>
      <c r="O87" s="61" t="e">
        <f t="shared" si="7"/>
        <v>#REF!</v>
      </c>
      <c r="P87" s="22" t="s">
        <v>46</v>
      </c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Y87" s="14"/>
      <c r="AZ87" s="14"/>
      <c r="BA87" s="14"/>
      <c r="BB87" s="14"/>
      <c r="BC87" s="14"/>
      <c r="BD87" s="14"/>
      <c r="BE87" s="14"/>
      <c r="BF87" s="14"/>
      <c r="BG87" s="14"/>
      <c r="BH87" s="24"/>
      <c r="BI87" s="14"/>
      <c r="BJ87" s="14"/>
      <c r="BK87" s="14"/>
      <c r="BL87" s="14"/>
      <c r="BN87" s="2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</row>
    <row r="88" spans="1:79" hidden="1" outlineLevel="1" x14ac:dyDescent="0.25">
      <c r="A88" s="3" t="str">
        <f t="shared" si="9"/>
        <v>PROCESSDATA_DATE_PART</v>
      </c>
      <c r="B88" s="8" t="s">
        <v>16</v>
      </c>
      <c r="C88" s="9" t="s">
        <v>44</v>
      </c>
      <c r="D88" s="6" t="s">
        <v>30</v>
      </c>
      <c r="E88" s="7" t="s">
        <v>45</v>
      </c>
      <c r="F88" s="7" t="s">
        <v>63</v>
      </c>
      <c r="G88" s="6" t="e">
        <f>INDEX(#REF!,MATCH(Plano_Detalhado!H88,#REF!,0),1)</f>
        <v>#REF!</v>
      </c>
      <c r="H88" s="6" t="e">
        <f>VLOOKUP(A88,#REF!,2,0)</f>
        <v>#REF!</v>
      </c>
      <c r="I88" s="67" t="e">
        <f>SUMIFS(#REF!,#REF!,Plano_Detalhado!E88,#REF!,Plano_Detalhado!F88)</f>
        <v>#REF!</v>
      </c>
      <c r="J88" s="67" t="e">
        <f t="shared" si="11"/>
        <v>#REF!</v>
      </c>
      <c r="K88" s="67" t="e">
        <f>SUMIFS(#REF!,#REF!,Plano_Detalhado!E88,#REF!,Plano_Detalhado!F88)</f>
        <v>#REF!</v>
      </c>
      <c r="L88" s="67" t="e">
        <f t="shared" si="12"/>
        <v>#REF!</v>
      </c>
      <c r="M88" s="61"/>
      <c r="N88" s="61" t="e">
        <f t="shared" si="13"/>
        <v>#REF!</v>
      </c>
      <c r="O88" s="61" t="e">
        <f t="shared" si="7"/>
        <v>#REF!</v>
      </c>
      <c r="P88" s="22" t="s">
        <v>46</v>
      </c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Y88" s="14"/>
      <c r="AZ88" s="14"/>
      <c r="BA88" s="14"/>
      <c r="BB88" s="14"/>
      <c r="BC88" s="14"/>
      <c r="BD88" s="14"/>
      <c r="BE88" s="14"/>
      <c r="BF88" s="14"/>
      <c r="BG88" s="14"/>
      <c r="BH88" s="24"/>
      <c r="BI88" s="14"/>
      <c r="BJ88" s="14"/>
      <c r="BK88" s="14"/>
      <c r="BL88" s="14"/>
      <c r="BN88" s="2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</row>
    <row r="89" spans="1:79" hidden="1" outlineLevel="1" x14ac:dyDescent="0.25">
      <c r="A89" s="3" t="str">
        <f t="shared" si="9"/>
        <v>RESPONSIBILITY_PROCESS_RELn.a.</v>
      </c>
      <c r="B89" s="8" t="s">
        <v>16</v>
      </c>
      <c r="C89" s="9" t="s">
        <v>44</v>
      </c>
      <c r="D89" s="6" t="s">
        <v>26</v>
      </c>
      <c r="E89" s="7" t="s">
        <v>64</v>
      </c>
      <c r="F89" s="6" t="s">
        <v>28</v>
      </c>
      <c r="G89" s="6" t="e">
        <f>INDEX(#REF!,MATCH(Plano_Detalhado!H89,#REF!,0),1)</f>
        <v>#REF!</v>
      </c>
      <c r="H89" s="6" t="e">
        <f>VLOOKUP(A89,#REF!,2,0)</f>
        <v>#REF!</v>
      </c>
      <c r="I89" s="67" t="e">
        <f>SUMIFS(#REF!,#REF!,Plano_Detalhado!E89,#REF!,Plano_Detalhado!F89)</f>
        <v>#REF!</v>
      </c>
      <c r="J89" s="67" t="e">
        <f t="shared" si="11"/>
        <v>#REF!</v>
      </c>
      <c r="K89" s="67" t="e">
        <f>SUMIFS(#REF!,#REF!,Plano_Detalhado!E89,#REF!,Plano_Detalhado!F89)</f>
        <v>#REF!</v>
      </c>
      <c r="L89" s="67" t="e">
        <f t="shared" si="12"/>
        <v>#REF!</v>
      </c>
      <c r="M89" s="61"/>
      <c r="N89" s="61" t="e">
        <f t="shared" si="13"/>
        <v>#REF!</v>
      </c>
      <c r="O89" s="61" t="e">
        <f t="shared" si="7"/>
        <v>#REF!</v>
      </c>
      <c r="P89" s="22" t="s">
        <v>29</v>
      </c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Y89" s="14"/>
      <c r="AZ89" s="14"/>
      <c r="BA89" s="14"/>
      <c r="BB89" s="14"/>
      <c r="BC89" s="14"/>
      <c r="BD89" s="14"/>
      <c r="BE89" s="14"/>
      <c r="BF89" s="14"/>
      <c r="BG89" s="14"/>
      <c r="BH89" s="24"/>
      <c r="BI89" s="14"/>
      <c r="BJ89" s="14"/>
      <c r="BK89" s="14"/>
      <c r="BL89" s="14"/>
      <c r="BN89" s="2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</row>
    <row r="90" spans="1:79" hidden="1" outlineLevel="1" x14ac:dyDescent="0.25">
      <c r="A90" s="3" t="str">
        <f t="shared" si="9"/>
        <v>RESPONSIBILITY_PROCESS_RELPROCESS_BANK_ID</v>
      </c>
      <c r="B90" s="8" t="s">
        <v>16</v>
      </c>
      <c r="C90" s="9" t="s">
        <v>44</v>
      </c>
      <c r="D90" s="6" t="s">
        <v>30</v>
      </c>
      <c r="E90" s="7" t="s">
        <v>64</v>
      </c>
      <c r="F90" s="7" t="s">
        <v>47</v>
      </c>
      <c r="G90" s="6" t="e">
        <f>INDEX(#REF!,MATCH(Plano_Detalhado!H90,#REF!,0),1)</f>
        <v>#REF!</v>
      </c>
      <c r="H90" s="6" t="e">
        <f>VLOOKUP(A90,#REF!,2,0)</f>
        <v>#REF!</v>
      </c>
      <c r="I90" s="67" t="e">
        <f>SUMIFS(#REF!,#REF!,Plano_Detalhado!E90,#REF!,Plano_Detalhado!F90)</f>
        <v>#REF!</v>
      </c>
      <c r="J90" s="67" t="e">
        <f t="shared" si="11"/>
        <v>#REF!</v>
      </c>
      <c r="K90" s="67" t="e">
        <f>SUMIFS(#REF!,#REF!,Plano_Detalhado!E90,#REF!,Plano_Detalhado!F90)</f>
        <v>#REF!</v>
      </c>
      <c r="L90" s="67" t="e">
        <f t="shared" si="12"/>
        <v>#REF!</v>
      </c>
      <c r="M90" s="61"/>
      <c r="N90" s="61" t="e">
        <f t="shared" si="13"/>
        <v>#REF!</v>
      </c>
      <c r="O90" s="61" t="e">
        <f t="shared" si="7"/>
        <v>#REF!</v>
      </c>
      <c r="P90" s="22" t="s">
        <v>29</v>
      </c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Y90" s="14"/>
      <c r="AZ90" s="14"/>
      <c r="BA90" s="14"/>
      <c r="BB90" s="14"/>
      <c r="BC90" s="14"/>
      <c r="BD90" s="14"/>
      <c r="BE90" s="14"/>
      <c r="BF90" s="14"/>
      <c r="BG90" s="14"/>
      <c r="BH90" s="24"/>
      <c r="BI90" s="14"/>
      <c r="BJ90" s="14"/>
      <c r="BK90" s="14"/>
      <c r="BL90" s="14"/>
      <c r="BN90" s="2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</row>
    <row r="91" spans="1:79" hidden="1" outlineLevel="1" x14ac:dyDescent="0.25">
      <c r="A91" s="3" t="str">
        <f t="shared" si="9"/>
        <v>RESPONSIBILITY_PROCESS_RELBANK_ID</v>
      </c>
      <c r="B91" s="8" t="s">
        <v>16</v>
      </c>
      <c r="C91" s="9" t="s">
        <v>44</v>
      </c>
      <c r="D91" s="6" t="s">
        <v>30</v>
      </c>
      <c r="E91" s="7" t="s">
        <v>64</v>
      </c>
      <c r="F91" s="7" t="s">
        <v>65</v>
      </c>
      <c r="G91" s="6" t="e">
        <f>INDEX(#REF!,MATCH(Plano_Detalhado!H91,#REF!,0),1)</f>
        <v>#REF!</v>
      </c>
      <c r="H91" s="6" t="e">
        <f>VLOOKUP(A91,#REF!,2,0)</f>
        <v>#REF!</v>
      </c>
      <c r="I91" s="67" t="e">
        <f>SUMIFS(#REF!,#REF!,Plano_Detalhado!E91,#REF!,Plano_Detalhado!F91)</f>
        <v>#REF!</v>
      </c>
      <c r="J91" s="67" t="e">
        <f t="shared" si="11"/>
        <v>#REF!</v>
      </c>
      <c r="K91" s="67" t="e">
        <f>SUMIFS(#REF!,#REF!,Plano_Detalhado!E91,#REF!,Plano_Detalhado!F91)</f>
        <v>#REF!</v>
      </c>
      <c r="L91" s="67" t="e">
        <f t="shared" si="12"/>
        <v>#REF!</v>
      </c>
      <c r="M91" s="61"/>
      <c r="N91" s="61" t="e">
        <f t="shared" si="13"/>
        <v>#REF!</v>
      </c>
      <c r="O91" s="61" t="e">
        <f t="shared" si="7"/>
        <v>#REF!</v>
      </c>
      <c r="P91" s="22" t="s">
        <v>29</v>
      </c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Y91" s="14"/>
      <c r="AZ91" s="14"/>
      <c r="BA91" s="14"/>
      <c r="BB91" s="14"/>
      <c r="BC91" s="14"/>
      <c r="BD91" s="14"/>
      <c r="BE91" s="14"/>
      <c r="BF91" s="14"/>
      <c r="BG91" s="14"/>
      <c r="BH91" s="24"/>
      <c r="BI91" s="14"/>
      <c r="BJ91" s="14"/>
      <c r="BK91" s="14"/>
      <c r="BL91" s="14"/>
      <c r="BN91" s="2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</row>
    <row r="92" spans="1:79" hidden="1" outlineLevel="1" x14ac:dyDescent="0.25">
      <c r="A92" s="3" t="str">
        <f t="shared" si="9"/>
        <v>RESPONSIBILITY_PROCESS_RELPROCESS_BRANCH_CODE</v>
      </c>
      <c r="B92" s="8" t="s">
        <v>16</v>
      </c>
      <c r="C92" s="9" t="s">
        <v>44</v>
      </c>
      <c r="D92" s="6" t="s">
        <v>30</v>
      </c>
      <c r="E92" s="7" t="s">
        <v>64</v>
      </c>
      <c r="F92" s="7" t="s">
        <v>48</v>
      </c>
      <c r="G92" s="6" t="e">
        <f>INDEX(#REF!,MATCH(Plano_Detalhado!H92,#REF!,0),1)</f>
        <v>#REF!</v>
      </c>
      <c r="H92" s="6" t="e">
        <f>VLOOKUP(A92,#REF!,2,0)</f>
        <v>#REF!</v>
      </c>
      <c r="I92" s="67" t="e">
        <f>SUMIFS(#REF!,#REF!,Plano_Detalhado!E92,#REF!,Plano_Detalhado!F92)</f>
        <v>#REF!</v>
      </c>
      <c r="J92" s="67" t="e">
        <f t="shared" si="11"/>
        <v>#REF!</v>
      </c>
      <c r="K92" s="67" t="e">
        <f>SUMIFS(#REF!,#REF!,Plano_Detalhado!E92,#REF!,Plano_Detalhado!F92)</f>
        <v>#REF!</v>
      </c>
      <c r="L92" s="67" t="e">
        <f t="shared" si="12"/>
        <v>#REF!</v>
      </c>
      <c r="M92" s="61"/>
      <c r="N92" s="61" t="e">
        <f t="shared" si="13"/>
        <v>#REF!</v>
      </c>
      <c r="O92" s="61" t="e">
        <f t="shared" si="7"/>
        <v>#REF!</v>
      </c>
      <c r="P92" s="22" t="s">
        <v>29</v>
      </c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Y92" s="14"/>
      <c r="AZ92" s="14"/>
      <c r="BA92" s="14"/>
      <c r="BB92" s="14"/>
      <c r="BC92" s="14"/>
      <c r="BD92" s="14"/>
      <c r="BE92" s="14"/>
      <c r="BF92" s="14"/>
      <c r="BG92" s="14"/>
      <c r="BH92" s="24"/>
      <c r="BI92" s="14"/>
      <c r="BJ92" s="14"/>
      <c r="BK92" s="14"/>
      <c r="BL92" s="14"/>
      <c r="BN92" s="2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</row>
    <row r="93" spans="1:79" hidden="1" outlineLevel="1" x14ac:dyDescent="0.25">
      <c r="A93" s="3" t="str">
        <f t="shared" si="9"/>
        <v>RESPONSIBILITY_PROCESS_RELBRANCH_CODE</v>
      </c>
      <c r="B93" s="8" t="s">
        <v>16</v>
      </c>
      <c r="C93" s="9" t="s">
        <v>44</v>
      </c>
      <c r="D93" s="6" t="s">
        <v>30</v>
      </c>
      <c r="E93" s="7" t="s">
        <v>64</v>
      </c>
      <c r="F93" s="7" t="s">
        <v>66</v>
      </c>
      <c r="G93" s="6" t="e">
        <f>INDEX(#REF!,MATCH(Plano_Detalhado!H93,#REF!,0),1)</f>
        <v>#REF!</v>
      </c>
      <c r="H93" s="6" t="e">
        <f>VLOOKUP(A93,#REF!,2,0)</f>
        <v>#REF!</v>
      </c>
      <c r="I93" s="67" t="e">
        <f>SUMIFS(#REF!,#REF!,Plano_Detalhado!E93,#REF!,Plano_Detalhado!F93)</f>
        <v>#REF!</v>
      </c>
      <c r="J93" s="67" t="e">
        <f t="shared" si="11"/>
        <v>#REF!</v>
      </c>
      <c r="K93" s="67" t="e">
        <f>SUMIFS(#REF!,#REF!,Plano_Detalhado!E93,#REF!,Plano_Detalhado!F93)</f>
        <v>#REF!</v>
      </c>
      <c r="L93" s="67" t="e">
        <f t="shared" si="12"/>
        <v>#REF!</v>
      </c>
      <c r="M93" s="61"/>
      <c r="N93" s="61" t="e">
        <f t="shared" si="13"/>
        <v>#REF!</v>
      </c>
      <c r="O93" s="61" t="e">
        <f t="shared" si="7"/>
        <v>#REF!</v>
      </c>
      <c r="P93" s="22" t="s">
        <v>29</v>
      </c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Y93" s="14"/>
      <c r="AZ93" s="14"/>
      <c r="BA93" s="14"/>
      <c r="BB93" s="14"/>
      <c r="BC93" s="14"/>
      <c r="BD93" s="14"/>
      <c r="BE93" s="14"/>
      <c r="BF93" s="14"/>
      <c r="BG93" s="14"/>
      <c r="BH93" s="24"/>
      <c r="BI93" s="14"/>
      <c r="BJ93" s="14"/>
      <c r="BK93" s="14"/>
      <c r="BL93" s="14"/>
      <c r="BN93" s="2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</row>
    <row r="94" spans="1:79" hidden="1" outlineLevel="1" x14ac:dyDescent="0.25">
      <c r="A94" s="3" t="str">
        <f t="shared" si="9"/>
        <v>RESPONSIBILITY_PROCESS_RELCONTRACT_ID</v>
      </c>
      <c r="B94" s="8" t="s">
        <v>16</v>
      </c>
      <c r="C94" s="9" t="s">
        <v>44</v>
      </c>
      <c r="D94" s="6" t="s">
        <v>30</v>
      </c>
      <c r="E94" s="7" t="s">
        <v>64</v>
      </c>
      <c r="F94" s="7" t="s">
        <v>67</v>
      </c>
      <c r="G94" s="6" t="e">
        <f>INDEX(#REF!,MATCH(Plano_Detalhado!H94,#REF!,0),1)</f>
        <v>#REF!</v>
      </c>
      <c r="H94" s="6" t="e">
        <f>VLOOKUP(A94,#REF!,2,0)</f>
        <v>#REF!</v>
      </c>
      <c r="I94" s="67" t="e">
        <f>SUMIFS(#REF!,#REF!,Plano_Detalhado!E94,#REF!,Plano_Detalhado!F94)</f>
        <v>#REF!</v>
      </c>
      <c r="J94" s="67" t="e">
        <f t="shared" si="11"/>
        <v>#REF!</v>
      </c>
      <c r="K94" s="67" t="e">
        <f>SUMIFS(#REF!,#REF!,Plano_Detalhado!E94,#REF!,Plano_Detalhado!F94)</f>
        <v>#REF!</v>
      </c>
      <c r="L94" s="67" t="e">
        <f t="shared" si="12"/>
        <v>#REF!</v>
      </c>
      <c r="M94" s="61"/>
      <c r="N94" s="61" t="e">
        <f t="shared" si="13"/>
        <v>#REF!</v>
      </c>
      <c r="O94" s="61" t="e">
        <f t="shared" si="7"/>
        <v>#REF!</v>
      </c>
      <c r="P94" s="22" t="s">
        <v>29</v>
      </c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Y94" s="14"/>
      <c r="AZ94" s="14"/>
      <c r="BA94" s="14"/>
      <c r="BB94" s="14"/>
      <c r="BC94" s="14"/>
      <c r="BD94" s="14"/>
      <c r="BE94" s="14"/>
      <c r="BF94" s="14"/>
      <c r="BG94" s="14"/>
      <c r="BH94" s="24"/>
      <c r="BI94" s="14"/>
      <c r="BJ94" s="14"/>
      <c r="BK94" s="14"/>
      <c r="BL94" s="14"/>
      <c r="BN94" s="2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</row>
    <row r="95" spans="1:79" hidden="1" outlineLevel="1" x14ac:dyDescent="0.25">
      <c r="A95" s="3" t="str">
        <f t="shared" si="9"/>
        <v>RESPONSIBILITY_PROCESS_RELPROCESS_ACCOUNT_ID</v>
      </c>
      <c r="B95" s="8" t="s">
        <v>16</v>
      </c>
      <c r="C95" s="9" t="s">
        <v>44</v>
      </c>
      <c r="D95" s="6" t="s">
        <v>30</v>
      </c>
      <c r="E95" s="7" t="s">
        <v>64</v>
      </c>
      <c r="F95" s="7" t="s">
        <v>49</v>
      </c>
      <c r="G95" s="6" t="e">
        <f>INDEX(#REF!,MATCH(Plano_Detalhado!H95,#REF!,0),1)</f>
        <v>#REF!</v>
      </c>
      <c r="H95" s="6" t="e">
        <f>VLOOKUP(A95,#REF!,2,0)</f>
        <v>#REF!</v>
      </c>
      <c r="I95" s="67" t="e">
        <f>SUMIFS(#REF!,#REF!,Plano_Detalhado!E95,#REF!,Plano_Detalhado!F95)</f>
        <v>#REF!</v>
      </c>
      <c r="J95" s="67" t="e">
        <f t="shared" si="11"/>
        <v>#REF!</v>
      </c>
      <c r="K95" s="67" t="e">
        <f>SUMIFS(#REF!,#REF!,Plano_Detalhado!E95,#REF!,Plano_Detalhado!F95)</f>
        <v>#REF!</v>
      </c>
      <c r="L95" s="67" t="e">
        <f t="shared" si="12"/>
        <v>#REF!</v>
      </c>
      <c r="M95" s="61"/>
      <c r="N95" s="61" t="e">
        <f t="shared" si="13"/>
        <v>#REF!</v>
      </c>
      <c r="O95" s="61" t="e">
        <f t="shared" si="7"/>
        <v>#REF!</v>
      </c>
      <c r="P95" s="22" t="s">
        <v>29</v>
      </c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Y95" s="14"/>
      <c r="AZ95" s="14"/>
      <c r="BA95" s="14"/>
      <c r="BB95" s="14"/>
      <c r="BC95" s="14"/>
      <c r="BD95" s="14"/>
      <c r="BE95" s="14"/>
      <c r="BF95" s="14"/>
      <c r="BG95" s="14"/>
      <c r="BH95" s="24"/>
      <c r="BI95" s="14"/>
      <c r="BJ95" s="14"/>
      <c r="BK95" s="14"/>
      <c r="BL95" s="14"/>
      <c r="BN95" s="2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</row>
    <row r="96" spans="1:79" hidden="1" outlineLevel="1" x14ac:dyDescent="0.25">
      <c r="A96" s="3" t="str">
        <f t="shared" si="9"/>
        <v>RESPONSIBILITY_PROCESS_RELREFERENCE_CODE</v>
      </c>
      <c r="B96" s="8" t="s">
        <v>16</v>
      </c>
      <c r="C96" s="9" t="s">
        <v>44</v>
      </c>
      <c r="D96" s="6" t="s">
        <v>30</v>
      </c>
      <c r="E96" s="7" t="s">
        <v>64</v>
      </c>
      <c r="F96" s="7" t="s">
        <v>68</v>
      </c>
      <c r="G96" s="6" t="e">
        <f>INDEX(#REF!,MATCH(Plano_Detalhado!H96,#REF!,0),1)</f>
        <v>#REF!</v>
      </c>
      <c r="H96" s="6" t="e">
        <f>VLOOKUP(A96,#REF!,2,0)</f>
        <v>#REF!</v>
      </c>
      <c r="I96" s="67" t="e">
        <f>SUMIFS(#REF!,#REF!,Plano_Detalhado!E96,#REF!,Plano_Detalhado!F96)</f>
        <v>#REF!</v>
      </c>
      <c r="J96" s="67" t="e">
        <f t="shared" si="11"/>
        <v>#REF!</v>
      </c>
      <c r="K96" s="67" t="e">
        <f>SUMIFS(#REF!,#REF!,Plano_Detalhado!E96,#REF!,Plano_Detalhado!F96)</f>
        <v>#REF!</v>
      </c>
      <c r="L96" s="67" t="e">
        <f t="shared" si="12"/>
        <v>#REF!</v>
      </c>
      <c r="M96" s="61"/>
      <c r="N96" s="61" t="e">
        <f t="shared" si="13"/>
        <v>#REF!</v>
      </c>
      <c r="O96" s="61" t="e">
        <f t="shared" si="7"/>
        <v>#REF!</v>
      </c>
      <c r="P96" s="22" t="s">
        <v>29</v>
      </c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Y96" s="14"/>
      <c r="AZ96" s="14"/>
      <c r="BA96" s="14"/>
      <c r="BB96" s="14"/>
      <c r="BC96" s="14"/>
      <c r="BD96" s="14"/>
      <c r="BE96" s="14"/>
      <c r="BF96" s="14"/>
      <c r="BG96" s="14"/>
      <c r="BH96" s="24"/>
      <c r="BI96" s="14"/>
      <c r="BJ96" s="14"/>
      <c r="BK96" s="14"/>
      <c r="BL96" s="14"/>
      <c r="BN96" s="2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</row>
    <row r="97" spans="1:79" hidden="1" outlineLevel="1" x14ac:dyDescent="0.25">
      <c r="A97" s="3" t="str">
        <f t="shared" si="9"/>
        <v>RESPONSIBILITY_PROCESS_RELPURPOSE_CODE</v>
      </c>
      <c r="B97" s="8" t="s">
        <v>16</v>
      </c>
      <c r="C97" s="9" t="s">
        <v>44</v>
      </c>
      <c r="D97" s="6" t="s">
        <v>30</v>
      </c>
      <c r="E97" s="7" t="s">
        <v>64</v>
      </c>
      <c r="F97" s="7" t="s">
        <v>69</v>
      </c>
      <c r="G97" s="6" t="e">
        <f>INDEX(#REF!,MATCH(Plano_Detalhado!H97,#REF!,0),1)</f>
        <v>#REF!</v>
      </c>
      <c r="H97" s="6" t="e">
        <f>VLOOKUP(A97,#REF!,2,0)</f>
        <v>#REF!</v>
      </c>
      <c r="I97" s="67" t="e">
        <f>SUMIFS(#REF!,#REF!,Plano_Detalhado!E97,#REF!,Plano_Detalhado!F97)</f>
        <v>#REF!</v>
      </c>
      <c r="J97" s="67" t="e">
        <f t="shared" si="11"/>
        <v>#REF!</v>
      </c>
      <c r="K97" s="67" t="e">
        <f>SUMIFS(#REF!,#REF!,Plano_Detalhado!E97,#REF!,Plano_Detalhado!F97)</f>
        <v>#REF!</v>
      </c>
      <c r="L97" s="67" t="e">
        <f t="shared" si="12"/>
        <v>#REF!</v>
      </c>
      <c r="M97" s="61"/>
      <c r="N97" s="61" t="e">
        <f t="shared" si="13"/>
        <v>#REF!</v>
      </c>
      <c r="O97" s="61" t="e">
        <f t="shared" si="7"/>
        <v>#REF!</v>
      </c>
      <c r="P97" s="22" t="s">
        <v>29</v>
      </c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Y97" s="14"/>
      <c r="AZ97" s="14"/>
      <c r="BA97" s="14"/>
      <c r="BB97" s="14"/>
      <c r="BC97" s="14"/>
      <c r="BD97" s="14"/>
      <c r="BE97" s="14"/>
      <c r="BF97" s="14"/>
      <c r="BG97" s="14"/>
      <c r="BH97" s="24"/>
      <c r="BI97" s="14"/>
      <c r="BJ97" s="14"/>
      <c r="BK97" s="14"/>
      <c r="BL97" s="14"/>
      <c r="BN97" s="2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</row>
    <row r="98" spans="1:79" hidden="1" outlineLevel="1" x14ac:dyDescent="0.25">
      <c r="A98" s="3" t="str">
        <f t="shared" si="9"/>
        <v>RESPONSIBILITY_PROCESS_RELINDIVIDUAL_OCCUPATION_CODE</v>
      </c>
      <c r="B98" s="8" t="s">
        <v>16</v>
      </c>
      <c r="C98" s="9" t="s">
        <v>44</v>
      </c>
      <c r="D98" s="6" t="s">
        <v>30</v>
      </c>
      <c r="E98" s="7" t="s">
        <v>64</v>
      </c>
      <c r="F98" s="7" t="s">
        <v>70</v>
      </c>
      <c r="G98" s="6" t="e">
        <f>INDEX(#REF!,MATCH(Plano_Detalhado!H98,#REF!,0),1)</f>
        <v>#REF!</v>
      </c>
      <c r="H98" s="6" t="e">
        <f>VLOOKUP(A98,#REF!,2,0)</f>
        <v>#REF!</v>
      </c>
      <c r="I98" s="67" t="e">
        <f>SUMIFS(#REF!,#REF!,Plano_Detalhado!E98,#REF!,Plano_Detalhado!F98)</f>
        <v>#REF!</v>
      </c>
      <c r="J98" s="67" t="e">
        <f t="shared" si="11"/>
        <v>#REF!</v>
      </c>
      <c r="K98" s="67" t="e">
        <f>SUMIFS(#REF!,#REF!,Plano_Detalhado!E98,#REF!,Plano_Detalhado!F98)</f>
        <v>#REF!</v>
      </c>
      <c r="L98" s="67" t="e">
        <f t="shared" si="12"/>
        <v>#REF!</v>
      </c>
      <c r="M98" s="61"/>
      <c r="N98" s="61" t="e">
        <f t="shared" si="13"/>
        <v>#REF!</v>
      </c>
      <c r="O98" s="61" t="e">
        <f t="shared" si="7"/>
        <v>#REF!</v>
      </c>
      <c r="P98" s="22" t="s">
        <v>29</v>
      </c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Y98" s="14"/>
      <c r="AZ98" s="14"/>
      <c r="BA98" s="14"/>
      <c r="BB98" s="14"/>
      <c r="BC98" s="14"/>
      <c r="BD98" s="14"/>
      <c r="BE98" s="14"/>
      <c r="BF98" s="14"/>
      <c r="BG98" s="14"/>
      <c r="BH98" s="24"/>
      <c r="BI98" s="14"/>
      <c r="BJ98" s="14"/>
      <c r="BK98" s="14"/>
      <c r="BL98" s="14"/>
      <c r="BN98" s="2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</row>
    <row r="99" spans="1:79" hidden="1" outlineLevel="1" x14ac:dyDescent="0.25">
      <c r="A99" s="3" t="str">
        <f t="shared" si="9"/>
        <v>RESPONSIBILITY_PROCESS_RELPRODUCT_ID</v>
      </c>
      <c r="B99" s="8" t="s">
        <v>16</v>
      </c>
      <c r="C99" s="9" t="s">
        <v>44</v>
      </c>
      <c r="D99" s="6" t="s">
        <v>30</v>
      </c>
      <c r="E99" s="7" t="s">
        <v>64</v>
      </c>
      <c r="F99" s="7" t="s">
        <v>71</v>
      </c>
      <c r="G99" s="6" t="e">
        <f>INDEX(#REF!,MATCH(Plano_Detalhado!H99,#REF!,0),1)</f>
        <v>#REF!</v>
      </c>
      <c r="H99" s="6" t="e">
        <f>VLOOKUP(A99,#REF!,2,0)</f>
        <v>#REF!</v>
      </c>
      <c r="I99" s="67" t="e">
        <f>SUMIFS(#REF!,#REF!,Plano_Detalhado!E99,#REF!,Plano_Detalhado!F99)</f>
        <v>#REF!</v>
      </c>
      <c r="J99" s="67" t="e">
        <f t="shared" si="11"/>
        <v>#REF!</v>
      </c>
      <c r="K99" s="67" t="e">
        <f>SUMIFS(#REF!,#REF!,Plano_Detalhado!E99,#REF!,Plano_Detalhado!F99)</f>
        <v>#REF!</v>
      </c>
      <c r="L99" s="67" t="e">
        <f t="shared" si="12"/>
        <v>#REF!</v>
      </c>
      <c r="M99" s="61"/>
      <c r="N99" s="61" t="e">
        <f t="shared" si="13"/>
        <v>#REF!</v>
      </c>
      <c r="O99" s="61" t="e">
        <f t="shared" si="7"/>
        <v>#REF!</v>
      </c>
      <c r="P99" s="22" t="s">
        <v>29</v>
      </c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Y99" s="14"/>
      <c r="AZ99" s="14"/>
      <c r="BA99" s="14"/>
      <c r="BB99" s="14"/>
      <c r="BC99" s="14"/>
      <c r="BD99" s="14"/>
      <c r="BE99" s="14"/>
      <c r="BF99" s="14"/>
      <c r="BG99" s="14"/>
      <c r="BH99" s="24"/>
      <c r="BI99" s="14"/>
      <c r="BJ99" s="14"/>
      <c r="BK99" s="14"/>
      <c r="BL99" s="14"/>
      <c r="BN99" s="2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</row>
    <row r="100" spans="1:79" hidden="1" outlineLevel="1" x14ac:dyDescent="0.25">
      <c r="A100" s="3" t="str">
        <f t="shared" si="9"/>
        <v>RESPONSIBILITY_PROCESS_RELcod_sit</v>
      </c>
      <c r="B100" s="8" t="s">
        <v>16</v>
      </c>
      <c r="C100" s="9" t="s">
        <v>44</v>
      </c>
      <c r="D100" s="6" t="s">
        <v>30</v>
      </c>
      <c r="E100" s="7" t="s">
        <v>64</v>
      </c>
      <c r="F100" s="7" t="s">
        <v>72</v>
      </c>
      <c r="G100" s="6" t="e">
        <f>INDEX(#REF!,MATCH(Plano_Detalhado!H100,#REF!,0),1)</f>
        <v>#REF!</v>
      </c>
      <c r="H100" s="6" t="e">
        <f>VLOOKUP(A100,#REF!,2,0)</f>
        <v>#REF!</v>
      </c>
      <c r="I100" s="68">
        <v>0</v>
      </c>
      <c r="J100" s="67">
        <f t="shared" si="11"/>
        <v>0</v>
      </c>
      <c r="K100" s="67" t="e">
        <f>SUMIFS(#REF!,#REF!,Plano_Detalhado!E100,#REF!,Plano_Detalhado!F100)</f>
        <v>#REF!</v>
      </c>
      <c r="L100" s="67" t="e">
        <f t="shared" si="12"/>
        <v>#REF!</v>
      </c>
      <c r="M100" s="61"/>
      <c r="N100" s="61" t="e">
        <f t="shared" si="13"/>
        <v>#REF!</v>
      </c>
      <c r="O100" s="61" t="e">
        <f t="shared" si="7"/>
        <v>#REF!</v>
      </c>
      <c r="P100" s="22" t="s">
        <v>29</v>
      </c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24"/>
      <c r="BI100" s="14"/>
      <c r="BJ100" s="14"/>
      <c r="BK100" s="14"/>
      <c r="BL100" s="14"/>
      <c r="BN100" s="2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</row>
    <row r="101" spans="1:79" hidden="1" outlineLevel="1" x14ac:dyDescent="0.25">
      <c r="A101" s="3" t="str">
        <f t="shared" si="9"/>
        <v>RESPONSIBILITY_PROCESS_RELSUBPRODUCT_ID</v>
      </c>
      <c r="B101" s="8" t="s">
        <v>16</v>
      </c>
      <c r="C101" s="9" t="s">
        <v>44</v>
      </c>
      <c r="D101" s="6" t="s">
        <v>30</v>
      </c>
      <c r="E101" s="7" t="s">
        <v>64</v>
      </c>
      <c r="F101" s="7" t="s">
        <v>73</v>
      </c>
      <c r="G101" s="6" t="e">
        <f>INDEX(#REF!,MATCH(Plano_Detalhado!H101,#REF!,0),1)</f>
        <v>#REF!</v>
      </c>
      <c r="H101" s="6" t="e">
        <f>VLOOKUP(A101,#REF!,2,0)</f>
        <v>#REF!</v>
      </c>
      <c r="I101" s="67" t="e">
        <f>SUMIFS(#REF!,#REF!,Plano_Detalhado!E101,#REF!,Plano_Detalhado!F101)</f>
        <v>#REF!</v>
      </c>
      <c r="J101" s="67" t="e">
        <f t="shared" si="11"/>
        <v>#REF!</v>
      </c>
      <c r="K101" s="67" t="e">
        <f>SUMIFS(#REF!,#REF!,Plano_Detalhado!E101,#REF!,Plano_Detalhado!F101)</f>
        <v>#REF!</v>
      </c>
      <c r="L101" s="67" t="e">
        <f t="shared" si="12"/>
        <v>#REF!</v>
      </c>
      <c r="M101" s="61"/>
      <c r="N101" s="61" t="e">
        <f t="shared" si="13"/>
        <v>#REF!</v>
      </c>
      <c r="O101" s="61" t="e">
        <f t="shared" si="7"/>
        <v>#REF!</v>
      </c>
      <c r="P101" s="22" t="s">
        <v>29</v>
      </c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24"/>
      <c r="BI101" s="14"/>
      <c r="BJ101" s="14"/>
      <c r="BK101" s="14"/>
      <c r="BL101" s="14"/>
      <c r="BN101" s="2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</row>
    <row r="102" spans="1:79" hidden="1" outlineLevel="1" x14ac:dyDescent="0.25">
      <c r="A102" s="3" t="str">
        <f t="shared" si="9"/>
        <v>RESPONSIBILITY_PROCESS_RELPROCESS_REFERENCE_CODE</v>
      </c>
      <c r="B102" s="8" t="s">
        <v>16</v>
      </c>
      <c r="C102" s="9" t="s">
        <v>44</v>
      </c>
      <c r="D102" s="6" t="s">
        <v>30</v>
      </c>
      <c r="E102" s="7" t="s">
        <v>64</v>
      </c>
      <c r="F102" s="7" t="s">
        <v>57</v>
      </c>
      <c r="G102" s="6" t="e">
        <f>INDEX(#REF!,MATCH(Plano_Detalhado!H102,#REF!,0),1)</f>
        <v>#REF!</v>
      </c>
      <c r="H102" s="6" t="e">
        <f>VLOOKUP(A102,#REF!,2,0)</f>
        <v>#REF!</v>
      </c>
      <c r="I102" s="67" t="e">
        <f>SUMIFS(#REF!,#REF!,Plano_Detalhado!E102,#REF!,Plano_Detalhado!F102)</f>
        <v>#REF!</v>
      </c>
      <c r="J102" s="67" t="e">
        <f t="shared" si="11"/>
        <v>#REF!</v>
      </c>
      <c r="K102" s="67" t="e">
        <f>SUMIFS(#REF!,#REF!,Plano_Detalhado!E102,#REF!,Plano_Detalhado!F102)</f>
        <v>#REF!</v>
      </c>
      <c r="L102" s="67" t="e">
        <f t="shared" si="12"/>
        <v>#REF!</v>
      </c>
      <c r="M102" s="61"/>
      <c r="N102" s="61" t="e">
        <f t="shared" si="13"/>
        <v>#REF!</v>
      </c>
      <c r="O102" s="61" t="e">
        <f t="shared" si="7"/>
        <v>#REF!</v>
      </c>
      <c r="P102" s="22" t="s">
        <v>29</v>
      </c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24"/>
      <c r="BI102" s="14"/>
      <c r="BJ102" s="14"/>
      <c r="BK102" s="14"/>
      <c r="BL102" s="14"/>
      <c r="BN102" s="2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</row>
    <row r="103" spans="1:79" hidden="1" outlineLevel="1" x14ac:dyDescent="0.25">
      <c r="A103" s="3" t="str">
        <f t="shared" si="9"/>
        <v>RESPONSIBILITY_PROCESS_RELEFFECTIVE_RELATION_END_DATE</v>
      </c>
      <c r="B103" s="8" t="s">
        <v>16</v>
      </c>
      <c r="C103" s="9" t="s">
        <v>44</v>
      </c>
      <c r="D103" s="6" t="s">
        <v>30</v>
      </c>
      <c r="E103" s="7" t="s">
        <v>64</v>
      </c>
      <c r="F103" s="7" t="s">
        <v>74</v>
      </c>
      <c r="G103" s="6" t="e">
        <f>INDEX(#REF!,MATCH(Plano_Detalhado!H103,#REF!,0),1)</f>
        <v>#REF!</v>
      </c>
      <c r="H103" s="6" t="e">
        <f>VLOOKUP(A103,#REF!,2,0)</f>
        <v>#REF!</v>
      </c>
      <c r="I103" s="67" t="e">
        <f>SUMIFS(#REF!,#REF!,Plano_Detalhado!E103,#REF!,Plano_Detalhado!F103)</f>
        <v>#REF!</v>
      </c>
      <c r="J103" s="67" t="e">
        <f t="shared" si="11"/>
        <v>#REF!</v>
      </c>
      <c r="K103" s="67" t="e">
        <f>SUMIFS(#REF!,#REF!,Plano_Detalhado!E103,#REF!,Plano_Detalhado!F103)</f>
        <v>#REF!</v>
      </c>
      <c r="L103" s="67" t="e">
        <f t="shared" si="12"/>
        <v>#REF!</v>
      </c>
      <c r="M103" s="61"/>
      <c r="N103" s="61" t="e">
        <f t="shared" si="13"/>
        <v>#REF!</v>
      </c>
      <c r="O103" s="61" t="e">
        <f t="shared" si="7"/>
        <v>#REF!</v>
      </c>
      <c r="P103" s="22" t="s">
        <v>29</v>
      </c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24"/>
      <c r="BI103" s="14"/>
      <c r="BJ103" s="14"/>
      <c r="BK103" s="14"/>
      <c r="BL103" s="14"/>
      <c r="BN103" s="2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</row>
    <row r="104" spans="1:79" hidden="1" outlineLevel="1" x14ac:dyDescent="0.25">
      <c r="A104" s="3" t="str">
        <f t="shared" si="9"/>
        <v>RESPONSIBILITY_PROCESS_RELPROCESS_START_DATE</v>
      </c>
      <c r="B104" s="8" t="s">
        <v>16</v>
      </c>
      <c r="C104" s="9" t="s">
        <v>44</v>
      </c>
      <c r="D104" s="6" t="s">
        <v>30</v>
      </c>
      <c r="E104" s="7" t="s">
        <v>64</v>
      </c>
      <c r="F104" s="7" t="s">
        <v>58</v>
      </c>
      <c r="G104" s="6" t="e">
        <f>INDEX(#REF!,MATCH(Plano_Detalhado!H104,#REF!,0),1)</f>
        <v>#REF!</v>
      </c>
      <c r="H104" s="6" t="e">
        <f>VLOOKUP(A104,#REF!,2,0)</f>
        <v>#REF!</v>
      </c>
      <c r="I104" s="67" t="e">
        <f>SUMIFS(#REF!,#REF!,Plano_Detalhado!E104,#REF!,Plano_Detalhado!F104)</f>
        <v>#REF!</v>
      </c>
      <c r="J104" s="67" t="e">
        <f t="shared" si="11"/>
        <v>#REF!</v>
      </c>
      <c r="K104" s="67" t="e">
        <f>SUMIFS(#REF!,#REF!,Plano_Detalhado!E104,#REF!,Plano_Detalhado!F104)</f>
        <v>#REF!</v>
      </c>
      <c r="L104" s="67" t="e">
        <f t="shared" si="12"/>
        <v>#REF!</v>
      </c>
      <c r="M104" s="61"/>
      <c r="N104" s="61" t="e">
        <f t="shared" si="13"/>
        <v>#REF!</v>
      </c>
      <c r="O104" s="61" t="e">
        <f t="shared" si="7"/>
        <v>#REF!</v>
      </c>
      <c r="P104" s="22" t="s">
        <v>29</v>
      </c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24"/>
      <c r="BI104" s="14"/>
      <c r="BJ104" s="14"/>
      <c r="BK104" s="14"/>
      <c r="BL104" s="14"/>
      <c r="BN104" s="2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</row>
    <row r="105" spans="1:79" hidden="1" outlineLevel="1" x14ac:dyDescent="0.25">
      <c r="A105" s="3" t="str">
        <f t="shared" si="9"/>
        <v>RESPONSIBILITY_PROCESS_RELPROCESS_DUE_DATE</v>
      </c>
      <c r="B105" s="8" t="s">
        <v>16</v>
      </c>
      <c r="C105" s="9" t="s">
        <v>44</v>
      </c>
      <c r="D105" s="6" t="s">
        <v>30</v>
      </c>
      <c r="E105" s="7" t="s">
        <v>64</v>
      </c>
      <c r="F105" s="7" t="s">
        <v>59</v>
      </c>
      <c r="G105" s="6" t="e">
        <f>INDEX(#REF!,MATCH(Plano_Detalhado!H105,#REF!,0),1)</f>
        <v>#REF!</v>
      </c>
      <c r="H105" s="6" t="e">
        <f>VLOOKUP(A105,#REF!,2,0)</f>
        <v>#REF!</v>
      </c>
      <c r="I105" s="67" t="e">
        <f>SUMIFS(#REF!,#REF!,Plano_Detalhado!E105,#REF!,Plano_Detalhado!F105)</f>
        <v>#REF!</v>
      </c>
      <c r="J105" s="67" t="e">
        <f t="shared" si="11"/>
        <v>#REF!</v>
      </c>
      <c r="K105" s="67" t="e">
        <f>SUMIFS(#REF!,#REF!,Plano_Detalhado!E105,#REF!,Plano_Detalhado!F105)</f>
        <v>#REF!</v>
      </c>
      <c r="L105" s="67" t="e">
        <f t="shared" si="12"/>
        <v>#REF!</v>
      </c>
      <c r="M105" s="61"/>
      <c r="N105" s="61" t="e">
        <f t="shared" si="13"/>
        <v>#REF!</v>
      </c>
      <c r="O105" s="61" t="e">
        <f t="shared" si="7"/>
        <v>#REF!</v>
      </c>
      <c r="P105" s="22" t="s">
        <v>29</v>
      </c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24"/>
      <c r="BI105" s="14"/>
      <c r="BJ105" s="14"/>
      <c r="BK105" s="14"/>
      <c r="BL105" s="14"/>
      <c r="BN105" s="2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</row>
    <row r="106" spans="1:79" hidden="1" outlineLevel="1" x14ac:dyDescent="0.25">
      <c r="A106" s="3" t="str">
        <f t="shared" si="9"/>
        <v>RESPONSIBILITY_PROCESS_RELidetgar</v>
      </c>
      <c r="B106" s="8" t="s">
        <v>16</v>
      </c>
      <c r="C106" s="9" t="s">
        <v>44</v>
      </c>
      <c r="D106" s="6" t="s">
        <v>30</v>
      </c>
      <c r="E106" s="7" t="s">
        <v>64</v>
      </c>
      <c r="F106" s="7" t="s">
        <v>75</v>
      </c>
      <c r="G106" s="6" t="e">
        <f>INDEX(#REF!,MATCH(Plano_Detalhado!H106,#REF!,0),1)</f>
        <v>#REF!</v>
      </c>
      <c r="H106" s="6" t="e">
        <f>VLOOKUP(A106,#REF!,2,0)</f>
        <v>#REF!</v>
      </c>
      <c r="I106" s="68">
        <v>0</v>
      </c>
      <c r="J106" s="67">
        <f t="shared" si="11"/>
        <v>0</v>
      </c>
      <c r="K106" s="67" t="e">
        <f>SUMIFS(#REF!,#REF!,Plano_Detalhado!E106,#REF!,Plano_Detalhado!F106)</f>
        <v>#REF!</v>
      </c>
      <c r="L106" s="67" t="e">
        <f t="shared" si="12"/>
        <v>#REF!</v>
      </c>
      <c r="M106" s="61"/>
      <c r="N106" s="61" t="e">
        <f t="shared" si="13"/>
        <v>#REF!</v>
      </c>
      <c r="O106" s="61" t="e">
        <f t="shared" si="7"/>
        <v>#REF!</v>
      </c>
      <c r="P106" s="22" t="s">
        <v>29</v>
      </c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24"/>
      <c r="BI106" s="14"/>
      <c r="BJ106" s="14"/>
      <c r="BK106" s="14"/>
      <c r="BL106" s="14"/>
      <c r="BN106" s="2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</row>
    <row r="107" spans="1:79" hidden="1" outlineLevel="1" x14ac:dyDescent="0.25">
      <c r="A107" s="3" t="str">
        <f t="shared" si="9"/>
        <v>RESPONSIBILITY_PROCESS_RELnum_prop</v>
      </c>
      <c r="B107" s="8" t="s">
        <v>16</v>
      </c>
      <c r="C107" s="9" t="s">
        <v>44</v>
      </c>
      <c r="D107" s="6" t="s">
        <v>30</v>
      </c>
      <c r="E107" s="7" t="s">
        <v>64</v>
      </c>
      <c r="F107" s="7" t="s">
        <v>76</v>
      </c>
      <c r="G107" s="6" t="e">
        <f>INDEX(#REF!,MATCH(Plano_Detalhado!H107,#REF!,0),1)</f>
        <v>#REF!</v>
      </c>
      <c r="H107" s="6" t="e">
        <f>VLOOKUP(A107,#REF!,2,0)</f>
        <v>#REF!</v>
      </c>
      <c r="I107" s="68">
        <v>0</v>
      </c>
      <c r="J107" s="67">
        <f t="shared" si="11"/>
        <v>0</v>
      </c>
      <c r="K107" s="67" t="e">
        <f>SUMIFS(#REF!,#REF!,Plano_Detalhado!E107,#REF!,Plano_Detalhado!F107)</f>
        <v>#REF!</v>
      </c>
      <c r="L107" s="67" t="e">
        <f t="shared" si="12"/>
        <v>#REF!</v>
      </c>
      <c r="M107" s="61"/>
      <c r="N107" s="61" t="e">
        <f t="shared" si="13"/>
        <v>#REF!</v>
      </c>
      <c r="O107" s="61" t="e">
        <f t="shared" si="7"/>
        <v>#REF!</v>
      </c>
      <c r="P107" s="22" t="s">
        <v>29</v>
      </c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24"/>
      <c r="BI107" s="14"/>
      <c r="BJ107" s="14"/>
      <c r="BK107" s="14"/>
      <c r="BL107" s="14"/>
      <c r="BN107" s="2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</row>
    <row r="108" spans="1:79" hidden="1" outlineLevel="1" x14ac:dyDescent="0.25">
      <c r="A108" s="3" t="str">
        <f t="shared" si="9"/>
        <v>RESPONSIBILITY_PROCESS_RELSOURCE_CODE</v>
      </c>
      <c r="B108" s="8" t="s">
        <v>16</v>
      </c>
      <c r="C108" s="9" t="s">
        <v>44</v>
      </c>
      <c r="D108" s="6" t="s">
        <v>30</v>
      </c>
      <c r="E108" s="7" t="s">
        <v>64</v>
      </c>
      <c r="F108" s="7" t="s">
        <v>77</v>
      </c>
      <c r="G108" s="6" t="e">
        <f>INDEX(#REF!,MATCH(Plano_Detalhado!H108,#REF!,0),1)</f>
        <v>#REF!</v>
      </c>
      <c r="H108" s="6" t="e">
        <f>VLOOKUP(A108,#REF!,2,0)</f>
        <v>#REF!</v>
      </c>
      <c r="I108" s="67" t="e">
        <f>SUMIFS(#REF!,#REF!,Plano_Detalhado!E108,#REF!,Plano_Detalhado!F108)</f>
        <v>#REF!</v>
      </c>
      <c r="J108" s="67" t="e">
        <f t="shared" si="11"/>
        <v>#REF!</v>
      </c>
      <c r="K108" s="67" t="e">
        <f>SUMIFS(#REF!,#REF!,Plano_Detalhado!E108,#REF!,Plano_Detalhado!F108)</f>
        <v>#REF!</v>
      </c>
      <c r="L108" s="67" t="e">
        <f t="shared" si="12"/>
        <v>#REF!</v>
      </c>
      <c r="M108" s="61"/>
      <c r="N108" s="61" t="e">
        <f t="shared" si="13"/>
        <v>#REF!</v>
      </c>
      <c r="O108" s="61" t="e">
        <f t="shared" si="7"/>
        <v>#REF!</v>
      </c>
      <c r="P108" s="22" t="s">
        <v>29</v>
      </c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24"/>
      <c r="BI108" s="14"/>
      <c r="BJ108" s="14"/>
      <c r="BK108" s="14"/>
      <c r="BL108" s="14"/>
      <c r="BN108" s="2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</row>
    <row r="109" spans="1:79" hidden="1" outlineLevel="1" x14ac:dyDescent="0.25">
      <c r="A109" s="3" t="str">
        <f t="shared" si="9"/>
        <v>RESPONSIBILITY_PROCESS_RELDATA_DATE_PART</v>
      </c>
      <c r="B109" s="8" t="s">
        <v>16</v>
      </c>
      <c r="C109" s="9" t="s">
        <v>44</v>
      </c>
      <c r="D109" s="6" t="s">
        <v>30</v>
      </c>
      <c r="E109" s="7" t="s">
        <v>64</v>
      </c>
      <c r="F109" s="7" t="s">
        <v>63</v>
      </c>
      <c r="G109" s="6" t="e">
        <f>INDEX(#REF!,MATCH(Plano_Detalhado!H109,#REF!,0),1)</f>
        <v>#REF!</v>
      </c>
      <c r="H109" s="6" t="e">
        <f>VLOOKUP(A109,#REF!,2,0)</f>
        <v>#REF!</v>
      </c>
      <c r="I109" s="67" t="e">
        <f>SUMIFS(#REF!,#REF!,Plano_Detalhado!E109,#REF!,Plano_Detalhado!F109)</f>
        <v>#REF!</v>
      </c>
      <c r="J109" s="67" t="e">
        <f t="shared" si="11"/>
        <v>#REF!</v>
      </c>
      <c r="K109" s="67" t="e">
        <f>SUMIFS(#REF!,#REF!,Plano_Detalhado!E109,#REF!,Plano_Detalhado!F109)</f>
        <v>#REF!</v>
      </c>
      <c r="L109" s="67" t="e">
        <f t="shared" si="12"/>
        <v>#REF!</v>
      </c>
      <c r="M109" s="61"/>
      <c r="N109" s="61" t="e">
        <f t="shared" si="13"/>
        <v>#REF!</v>
      </c>
      <c r="O109" s="61" t="e">
        <f t="shared" si="7"/>
        <v>#REF!</v>
      </c>
      <c r="P109" s="22" t="s">
        <v>29</v>
      </c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24"/>
      <c r="BI109" s="14"/>
      <c r="BJ109" s="14"/>
      <c r="BK109" s="14"/>
      <c r="BL109" s="14"/>
      <c r="BN109" s="2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</row>
    <row r="110" spans="1:79" hidden="1" outlineLevel="1" x14ac:dyDescent="0.25">
      <c r="A110" s="3" t="str">
        <f t="shared" si="9"/>
        <v>PROCESS_PROPERTY_RELn.a.</v>
      </c>
      <c r="B110" s="8" t="s">
        <v>16</v>
      </c>
      <c r="C110" s="9" t="s">
        <v>44</v>
      </c>
      <c r="D110" s="6" t="s">
        <v>26</v>
      </c>
      <c r="E110" s="7" t="s">
        <v>78</v>
      </c>
      <c r="F110" s="6" t="s">
        <v>28</v>
      </c>
      <c r="G110" s="6" t="e">
        <f>INDEX(#REF!,MATCH(Plano_Detalhado!H110,#REF!,0),1)</f>
        <v>#REF!</v>
      </c>
      <c r="H110" s="6" t="e">
        <f>VLOOKUP(A110,#REF!,2,0)</f>
        <v>#REF!</v>
      </c>
      <c r="I110" s="67" t="e">
        <f>SUMIFS(#REF!,#REF!,Plano_Detalhado!E110,#REF!,Plano_Detalhado!F110)</f>
        <v>#REF!</v>
      </c>
      <c r="J110" s="67" t="e">
        <f t="shared" si="11"/>
        <v>#REF!</v>
      </c>
      <c r="K110" s="67" t="e">
        <f>SUMIFS(#REF!,#REF!,Plano_Detalhado!E110,#REF!,Plano_Detalhado!F110)</f>
        <v>#REF!</v>
      </c>
      <c r="L110" s="67" t="e">
        <f t="shared" si="12"/>
        <v>#REF!</v>
      </c>
      <c r="M110" s="61"/>
      <c r="N110" s="61" t="e">
        <f t="shared" si="13"/>
        <v>#REF!</v>
      </c>
      <c r="O110" s="61" t="e">
        <f t="shared" si="7"/>
        <v>#REF!</v>
      </c>
      <c r="P110" s="22" t="s">
        <v>46</v>
      </c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24"/>
      <c r="BI110" s="14"/>
      <c r="BJ110" s="14"/>
      <c r="BK110" s="14"/>
      <c r="BL110" s="14"/>
      <c r="BN110" s="2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</row>
    <row r="111" spans="1:79" hidden="1" outlineLevel="1" x14ac:dyDescent="0.25">
      <c r="A111" s="3" t="str">
        <f t="shared" si="9"/>
        <v>PROCESS_PROPERTY_RELPROPERTY_BANK_ID</v>
      </c>
      <c r="B111" s="8" t="s">
        <v>16</v>
      </c>
      <c r="C111" s="9" t="s">
        <v>44</v>
      </c>
      <c r="D111" s="6" t="s">
        <v>30</v>
      </c>
      <c r="E111" s="7" t="s">
        <v>78</v>
      </c>
      <c r="F111" s="7" t="s">
        <v>31</v>
      </c>
      <c r="G111" s="6" t="e">
        <f>INDEX(#REF!,MATCH(Plano_Detalhado!H111,#REF!,0),1)</f>
        <v>#REF!</v>
      </c>
      <c r="H111" s="6" t="e">
        <f>VLOOKUP(A111,#REF!,2,0)</f>
        <v>#REF!</v>
      </c>
      <c r="I111" s="67" t="e">
        <f>SUMIFS(#REF!,#REF!,Plano_Detalhado!E111,#REF!,Plano_Detalhado!F111)</f>
        <v>#REF!</v>
      </c>
      <c r="J111" s="67" t="e">
        <f t="shared" si="11"/>
        <v>#REF!</v>
      </c>
      <c r="K111" s="67" t="e">
        <f>SUMIFS(#REF!,#REF!,Plano_Detalhado!E111,#REF!,Plano_Detalhado!F111)</f>
        <v>#REF!</v>
      </c>
      <c r="L111" s="67" t="e">
        <f t="shared" si="12"/>
        <v>#REF!</v>
      </c>
      <c r="M111" s="61"/>
      <c r="N111" s="61" t="e">
        <f t="shared" si="13"/>
        <v>#REF!</v>
      </c>
      <c r="O111" s="61" t="e">
        <f t="shared" si="7"/>
        <v>#REF!</v>
      </c>
      <c r="P111" s="22" t="s">
        <v>46</v>
      </c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24"/>
      <c r="BI111" s="14"/>
      <c r="BJ111" s="14"/>
      <c r="BK111" s="14"/>
      <c r="BL111" s="14"/>
      <c r="BN111" s="2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</row>
    <row r="112" spans="1:79" hidden="1" outlineLevel="1" x14ac:dyDescent="0.25">
      <c r="A112" s="3" t="str">
        <f t="shared" si="9"/>
        <v>PROCESS_PROPERTY_RELPROCESS_BANK_ID</v>
      </c>
      <c r="B112" s="8" t="s">
        <v>16</v>
      </c>
      <c r="C112" s="9" t="s">
        <v>44</v>
      </c>
      <c r="D112" s="6" t="s">
        <v>30</v>
      </c>
      <c r="E112" s="7" t="s">
        <v>78</v>
      </c>
      <c r="F112" s="7" t="s">
        <v>47</v>
      </c>
      <c r="G112" s="6" t="e">
        <f>INDEX(#REF!,MATCH(Plano_Detalhado!H112,#REF!,0),1)</f>
        <v>#REF!</v>
      </c>
      <c r="H112" s="6" t="e">
        <f>VLOOKUP(A112,#REF!,2,0)</f>
        <v>#REF!</v>
      </c>
      <c r="I112" s="67" t="e">
        <f>SUMIFS(#REF!,#REF!,Plano_Detalhado!E112,#REF!,Plano_Detalhado!F112)</f>
        <v>#REF!</v>
      </c>
      <c r="J112" s="67" t="e">
        <f t="shared" si="11"/>
        <v>#REF!</v>
      </c>
      <c r="K112" s="67" t="e">
        <f>SUMIFS(#REF!,#REF!,Plano_Detalhado!E112,#REF!,Plano_Detalhado!F112)</f>
        <v>#REF!</v>
      </c>
      <c r="L112" s="67" t="e">
        <f t="shared" si="12"/>
        <v>#REF!</v>
      </c>
      <c r="M112" s="61"/>
      <c r="N112" s="61" t="e">
        <f t="shared" si="13"/>
        <v>#REF!</v>
      </c>
      <c r="O112" s="61" t="e">
        <f t="shared" si="7"/>
        <v>#REF!</v>
      </c>
      <c r="P112" s="22" t="s">
        <v>46</v>
      </c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24"/>
      <c r="BI112" s="14"/>
      <c r="BJ112" s="14"/>
      <c r="BK112" s="14"/>
      <c r="BL112" s="14"/>
      <c r="BN112" s="2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</row>
    <row r="113" spans="1:79" hidden="1" outlineLevel="1" x14ac:dyDescent="0.25">
      <c r="A113" s="3" t="str">
        <f t="shared" si="9"/>
        <v>PROCESS_PROPERTY_RELPROPERTY_BRANCH_CODE</v>
      </c>
      <c r="B113" s="8" t="s">
        <v>16</v>
      </c>
      <c r="C113" s="9" t="s">
        <v>44</v>
      </c>
      <c r="D113" s="6" t="s">
        <v>30</v>
      </c>
      <c r="E113" s="7" t="s">
        <v>78</v>
      </c>
      <c r="F113" s="7" t="s">
        <v>33</v>
      </c>
      <c r="G113" s="6" t="e">
        <f>INDEX(#REF!,MATCH(Plano_Detalhado!H113,#REF!,0),1)</f>
        <v>#REF!</v>
      </c>
      <c r="H113" s="6" t="e">
        <f>VLOOKUP(A113,#REF!,2,0)</f>
        <v>#REF!</v>
      </c>
      <c r="I113" s="67" t="e">
        <f>SUMIFS(#REF!,#REF!,Plano_Detalhado!E113,#REF!,Plano_Detalhado!F113)</f>
        <v>#REF!</v>
      </c>
      <c r="J113" s="67" t="e">
        <f t="shared" si="11"/>
        <v>#REF!</v>
      </c>
      <c r="K113" s="67" t="e">
        <f>SUMIFS(#REF!,#REF!,Plano_Detalhado!E113,#REF!,Plano_Detalhado!F113)</f>
        <v>#REF!</v>
      </c>
      <c r="L113" s="67" t="e">
        <f t="shared" si="12"/>
        <v>#REF!</v>
      </c>
      <c r="M113" s="61"/>
      <c r="N113" s="61" t="e">
        <f t="shared" si="13"/>
        <v>#REF!</v>
      </c>
      <c r="O113" s="61" t="e">
        <f t="shared" si="7"/>
        <v>#REF!</v>
      </c>
      <c r="P113" s="22" t="s">
        <v>46</v>
      </c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24"/>
      <c r="BI113" s="14"/>
      <c r="BJ113" s="14"/>
      <c r="BK113" s="14"/>
      <c r="BL113" s="14"/>
      <c r="BN113" s="2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</row>
    <row r="114" spans="1:79" hidden="1" outlineLevel="1" x14ac:dyDescent="0.25">
      <c r="A114" s="3" t="str">
        <f t="shared" si="9"/>
        <v>PROCESS_PROPERTY_RELPROCESS_BRANCH_CODE</v>
      </c>
      <c r="B114" s="8" t="s">
        <v>16</v>
      </c>
      <c r="C114" s="9" t="s">
        <v>44</v>
      </c>
      <c r="D114" s="6" t="s">
        <v>30</v>
      </c>
      <c r="E114" s="7" t="s">
        <v>78</v>
      </c>
      <c r="F114" s="7" t="s">
        <v>48</v>
      </c>
      <c r="G114" s="6" t="e">
        <f>INDEX(#REF!,MATCH(Plano_Detalhado!H114,#REF!,0),1)</f>
        <v>#REF!</v>
      </c>
      <c r="H114" s="6" t="e">
        <f>VLOOKUP(A114,#REF!,2,0)</f>
        <v>#REF!</v>
      </c>
      <c r="I114" s="67" t="e">
        <f>SUMIFS(#REF!,#REF!,Plano_Detalhado!E114,#REF!,Plano_Detalhado!F114)</f>
        <v>#REF!</v>
      </c>
      <c r="J114" s="67" t="e">
        <f t="shared" si="11"/>
        <v>#REF!</v>
      </c>
      <c r="K114" s="67" t="e">
        <f>SUMIFS(#REF!,#REF!,Plano_Detalhado!E114,#REF!,Plano_Detalhado!F114)</f>
        <v>#REF!</v>
      </c>
      <c r="L114" s="67" t="e">
        <f t="shared" si="12"/>
        <v>#REF!</v>
      </c>
      <c r="M114" s="61"/>
      <c r="N114" s="61" t="e">
        <f t="shared" si="13"/>
        <v>#REF!</v>
      </c>
      <c r="O114" s="61" t="e">
        <f t="shared" si="7"/>
        <v>#REF!</v>
      </c>
      <c r="P114" s="22" t="s">
        <v>46</v>
      </c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24"/>
      <c r="BI114" s="14"/>
      <c r="BJ114" s="14"/>
      <c r="BK114" s="14"/>
      <c r="BL114" s="14"/>
      <c r="BN114" s="2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</row>
    <row r="115" spans="1:79" hidden="1" outlineLevel="1" x14ac:dyDescent="0.25">
      <c r="A115" s="3" t="str">
        <f t="shared" si="9"/>
        <v>PROCESS_PROPERTY_RELPROPERTY_CONTRACT_ID</v>
      </c>
      <c r="B115" s="8" t="s">
        <v>16</v>
      </c>
      <c r="C115" s="9" t="s">
        <v>44</v>
      </c>
      <c r="D115" s="6" t="s">
        <v>30</v>
      </c>
      <c r="E115" s="7" t="s">
        <v>78</v>
      </c>
      <c r="F115" s="7" t="s">
        <v>34</v>
      </c>
      <c r="G115" s="6" t="e">
        <f>INDEX(#REF!,MATCH(Plano_Detalhado!H115,#REF!,0),1)</f>
        <v>#REF!</v>
      </c>
      <c r="H115" s="6" t="e">
        <f>VLOOKUP(A115,#REF!,2,0)</f>
        <v>#REF!</v>
      </c>
      <c r="I115" s="67" t="e">
        <f>SUMIFS(#REF!,#REF!,Plano_Detalhado!E115,#REF!,Plano_Detalhado!F115)</f>
        <v>#REF!</v>
      </c>
      <c r="J115" s="67" t="e">
        <f t="shared" si="11"/>
        <v>#REF!</v>
      </c>
      <c r="K115" s="67" t="e">
        <f>SUMIFS(#REF!,#REF!,Plano_Detalhado!E115,#REF!,Plano_Detalhado!F115)</f>
        <v>#REF!</v>
      </c>
      <c r="L115" s="67" t="e">
        <f t="shared" si="12"/>
        <v>#REF!</v>
      </c>
      <c r="M115" s="61"/>
      <c r="N115" s="61" t="e">
        <f t="shared" si="13"/>
        <v>#REF!</v>
      </c>
      <c r="O115" s="61" t="e">
        <f t="shared" si="7"/>
        <v>#REF!</v>
      </c>
      <c r="P115" s="22" t="s">
        <v>46</v>
      </c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24"/>
      <c r="BI115" s="14"/>
      <c r="BJ115" s="14"/>
      <c r="BK115" s="14"/>
      <c r="BL115" s="14"/>
      <c r="BN115" s="2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</row>
    <row r="116" spans="1:79" hidden="1" outlineLevel="1" x14ac:dyDescent="0.25">
      <c r="A116" s="3" t="str">
        <f t="shared" si="9"/>
        <v>PROCESS_PROPERTY_RELPROCESS_ACCOUNT_ID</v>
      </c>
      <c r="B116" s="8" t="s">
        <v>16</v>
      </c>
      <c r="C116" s="9" t="s">
        <v>44</v>
      </c>
      <c r="D116" s="6" t="s">
        <v>30</v>
      </c>
      <c r="E116" s="7" t="s">
        <v>78</v>
      </c>
      <c r="F116" s="7" t="s">
        <v>49</v>
      </c>
      <c r="G116" s="6" t="e">
        <f>INDEX(#REF!,MATCH(Plano_Detalhado!H116,#REF!,0),1)</f>
        <v>#REF!</v>
      </c>
      <c r="H116" s="6" t="e">
        <f>VLOOKUP(A116,#REF!,2,0)</f>
        <v>#REF!</v>
      </c>
      <c r="I116" s="67" t="e">
        <f>SUMIFS(#REF!,#REF!,Plano_Detalhado!E116,#REF!,Plano_Detalhado!F116)</f>
        <v>#REF!</v>
      </c>
      <c r="J116" s="67" t="e">
        <f t="shared" si="11"/>
        <v>#REF!</v>
      </c>
      <c r="K116" s="67" t="e">
        <f>SUMIFS(#REF!,#REF!,Plano_Detalhado!E116,#REF!,Plano_Detalhado!F116)</f>
        <v>#REF!</v>
      </c>
      <c r="L116" s="67" t="e">
        <f t="shared" si="12"/>
        <v>#REF!</v>
      </c>
      <c r="M116" s="61"/>
      <c r="N116" s="61" t="e">
        <f t="shared" si="13"/>
        <v>#REF!</v>
      </c>
      <c r="O116" s="61" t="e">
        <f t="shared" si="7"/>
        <v>#REF!</v>
      </c>
      <c r="P116" s="22" t="s">
        <v>46</v>
      </c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24"/>
      <c r="BI116" s="14"/>
      <c r="BJ116" s="14"/>
      <c r="BK116" s="14"/>
      <c r="BL116" s="14"/>
      <c r="BN116" s="2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</row>
    <row r="117" spans="1:79" hidden="1" outlineLevel="1" x14ac:dyDescent="0.25">
      <c r="A117" s="3" t="str">
        <f t="shared" si="9"/>
        <v>PROCESS_PROPERTY_RELPROPERTY_REFERENCE_CODE</v>
      </c>
      <c r="B117" s="8" t="s">
        <v>16</v>
      </c>
      <c r="C117" s="9" t="s">
        <v>44</v>
      </c>
      <c r="D117" s="6" t="s">
        <v>30</v>
      </c>
      <c r="E117" s="7" t="s">
        <v>78</v>
      </c>
      <c r="F117" s="7" t="s">
        <v>35</v>
      </c>
      <c r="G117" s="6" t="e">
        <f>INDEX(#REF!,MATCH(Plano_Detalhado!H117,#REF!,0),1)</f>
        <v>#REF!</v>
      </c>
      <c r="H117" s="6" t="e">
        <f>VLOOKUP(A117,#REF!,2,0)</f>
        <v>#REF!</v>
      </c>
      <c r="I117" s="67" t="e">
        <f>SUMIFS(#REF!,#REF!,Plano_Detalhado!E117,#REF!,Plano_Detalhado!F117)</f>
        <v>#REF!</v>
      </c>
      <c r="J117" s="67" t="e">
        <f t="shared" si="11"/>
        <v>#REF!</v>
      </c>
      <c r="K117" s="67" t="e">
        <f>SUMIFS(#REF!,#REF!,Plano_Detalhado!E117,#REF!,Plano_Detalhado!F117)</f>
        <v>#REF!</v>
      </c>
      <c r="L117" s="67" t="e">
        <f t="shared" si="12"/>
        <v>#REF!</v>
      </c>
      <c r="M117" s="61"/>
      <c r="N117" s="61" t="e">
        <f t="shared" si="13"/>
        <v>#REF!</v>
      </c>
      <c r="O117" s="61" t="e">
        <f t="shared" si="7"/>
        <v>#REF!</v>
      </c>
      <c r="P117" s="22" t="s">
        <v>46</v>
      </c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24"/>
      <c r="BI117" s="14"/>
      <c r="BJ117" s="14"/>
      <c r="BK117" s="14"/>
      <c r="BL117" s="14"/>
      <c r="BN117" s="2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</row>
    <row r="118" spans="1:79" hidden="1" outlineLevel="1" x14ac:dyDescent="0.25">
      <c r="A118" s="3" t="str">
        <f t="shared" si="9"/>
        <v>PROCESS_PROPERTY_RELPROCESS_REFERENCE_CODE</v>
      </c>
      <c r="B118" s="8" t="s">
        <v>16</v>
      </c>
      <c r="C118" s="9" t="s">
        <v>44</v>
      </c>
      <c r="D118" s="6" t="s">
        <v>30</v>
      </c>
      <c r="E118" s="7" t="s">
        <v>78</v>
      </c>
      <c r="F118" s="7" t="s">
        <v>57</v>
      </c>
      <c r="G118" s="6" t="e">
        <f>INDEX(#REF!,MATCH(Plano_Detalhado!H118,#REF!,0),1)</f>
        <v>#REF!</v>
      </c>
      <c r="H118" s="6" t="e">
        <f>VLOOKUP(A118,#REF!,2,0)</f>
        <v>#REF!</v>
      </c>
      <c r="I118" s="67" t="e">
        <f>SUMIFS(#REF!,#REF!,Plano_Detalhado!E118,#REF!,Plano_Detalhado!F118)</f>
        <v>#REF!</v>
      </c>
      <c r="J118" s="67" t="e">
        <f t="shared" si="11"/>
        <v>#REF!</v>
      </c>
      <c r="K118" s="67" t="e">
        <f>SUMIFS(#REF!,#REF!,Plano_Detalhado!E118,#REF!,Plano_Detalhado!F118)</f>
        <v>#REF!</v>
      </c>
      <c r="L118" s="67" t="e">
        <f t="shared" si="12"/>
        <v>#REF!</v>
      </c>
      <c r="M118" s="61"/>
      <c r="N118" s="61" t="e">
        <f t="shared" si="13"/>
        <v>#REF!</v>
      </c>
      <c r="O118" s="61" t="e">
        <f t="shared" ref="O118:O182" si="14">N118-M118</f>
        <v>#REF!</v>
      </c>
      <c r="P118" s="22" t="s">
        <v>46</v>
      </c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24"/>
      <c r="BI118" s="14"/>
      <c r="BJ118" s="14"/>
      <c r="BK118" s="14"/>
      <c r="BL118" s="14"/>
      <c r="BN118" s="2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</row>
    <row r="119" spans="1:79" hidden="1" outlineLevel="1" x14ac:dyDescent="0.25">
      <c r="A119" s="3" t="str">
        <f t="shared" si="9"/>
        <v>PROCESS_PROPERTY_RELdata_assc</v>
      </c>
      <c r="B119" s="8" t="s">
        <v>16</v>
      </c>
      <c r="C119" s="9" t="s">
        <v>44</v>
      </c>
      <c r="D119" s="6" t="s">
        <v>30</v>
      </c>
      <c r="E119" s="7" t="s">
        <v>78</v>
      </c>
      <c r="F119" s="7" t="s">
        <v>79</v>
      </c>
      <c r="G119" s="6" t="e">
        <f>INDEX(#REF!,MATCH(Plano_Detalhado!H119,#REF!,0),1)</f>
        <v>#REF!</v>
      </c>
      <c r="H119" s="6" t="e">
        <f>VLOOKUP(A119,#REF!,2,0)</f>
        <v>#REF!</v>
      </c>
      <c r="I119" s="68">
        <v>0</v>
      </c>
      <c r="J119" s="67">
        <f t="shared" si="11"/>
        <v>0</v>
      </c>
      <c r="K119" s="67" t="e">
        <f>SUMIFS(#REF!,#REF!,Plano_Detalhado!E119,#REF!,Plano_Detalhado!F119)</f>
        <v>#REF!</v>
      </c>
      <c r="L119" s="67" t="e">
        <f t="shared" si="12"/>
        <v>#REF!</v>
      </c>
      <c r="M119" s="61"/>
      <c r="N119" s="61" t="e">
        <f t="shared" si="13"/>
        <v>#REF!</v>
      </c>
      <c r="O119" s="61" t="e">
        <f t="shared" si="14"/>
        <v>#REF!</v>
      </c>
      <c r="P119" s="22" t="s">
        <v>46</v>
      </c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24"/>
      <c r="BI119" s="14"/>
      <c r="BJ119" s="14"/>
      <c r="BK119" s="14"/>
      <c r="BL119" s="14"/>
      <c r="BN119" s="2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</row>
    <row r="120" spans="1:79" hidden="1" outlineLevel="1" x14ac:dyDescent="0.25">
      <c r="A120" s="3" t="str">
        <f t="shared" si="9"/>
        <v>PROCESS_PROPERTY_RELSEIZED_PROPERTY_IND</v>
      </c>
      <c r="B120" s="8" t="s">
        <v>16</v>
      </c>
      <c r="C120" s="9" t="s">
        <v>44</v>
      </c>
      <c r="D120" s="6" t="s">
        <v>30</v>
      </c>
      <c r="E120" s="7" t="s">
        <v>78</v>
      </c>
      <c r="F120" s="7" t="s">
        <v>80</v>
      </c>
      <c r="G120" s="6" t="e">
        <f>INDEX(#REF!,MATCH(Plano_Detalhado!H120,#REF!,0),1)</f>
        <v>#REF!</v>
      </c>
      <c r="H120" s="6" t="e">
        <f>VLOOKUP(A120,#REF!,2,0)</f>
        <v>#REF!</v>
      </c>
      <c r="I120" s="67" t="e">
        <f>SUMIFS(#REF!,#REF!,Plano_Detalhado!E120,#REF!,Plano_Detalhado!F120)</f>
        <v>#REF!</v>
      </c>
      <c r="J120" s="67" t="e">
        <f t="shared" si="11"/>
        <v>#REF!</v>
      </c>
      <c r="K120" s="67" t="e">
        <f>SUMIFS(#REF!,#REF!,Plano_Detalhado!E120,#REF!,Plano_Detalhado!F120)</f>
        <v>#REF!</v>
      </c>
      <c r="L120" s="67" t="e">
        <f t="shared" si="12"/>
        <v>#REF!</v>
      </c>
      <c r="M120" s="61"/>
      <c r="N120" s="61" t="e">
        <f t="shared" si="13"/>
        <v>#REF!</v>
      </c>
      <c r="O120" s="61" t="e">
        <f t="shared" si="14"/>
        <v>#REF!</v>
      </c>
      <c r="P120" s="22" t="s">
        <v>46</v>
      </c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24"/>
      <c r="BI120" s="14"/>
      <c r="BJ120" s="14"/>
      <c r="BK120" s="14"/>
      <c r="BL120" s="14"/>
      <c r="BN120" s="2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</row>
    <row r="121" spans="1:79" hidden="1" outlineLevel="1" x14ac:dyDescent="0.25">
      <c r="A121" s="3" t="str">
        <f t="shared" ref="A121:A185" si="15">E121&amp;F121</f>
        <v>PROCESS_PROPERTY_RELCOLLATERAL_PROPERTY_IND</v>
      </c>
      <c r="B121" s="8" t="s">
        <v>16</v>
      </c>
      <c r="C121" s="9" t="s">
        <v>44</v>
      </c>
      <c r="D121" s="6" t="s">
        <v>30</v>
      </c>
      <c r="E121" s="7" t="s">
        <v>78</v>
      </c>
      <c r="F121" s="7" t="s">
        <v>81</v>
      </c>
      <c r="G121" s="6" t="e">
        <f>INDEX(#REF!,MATCH(Plano_Detalhado!H121,#REF!,0),1)</f>
        <v>#REF!</v>
      </c>
      <c r="H121" s="6" t="e">
        <f>VLOOKUP(A121,#REF!,2,0)</f>
        <v>#REF!</v>
      </c>
      <c r="I121" s="67" t="e">
        <f>SUMIFS(#REF!,#REF!,Plano_Detalhado!E121,#REF!,Plano_Detalhado!F121)</f>
        <v>#REF!</v>
      </c>
      <c r="J121" s="67" t="e">
        <f t="shared" si="11"/>
        <v>#REF!</v>
      </c>
      <c r="K121" s="67" t="e">
        <f>SUMIFS(#REF!,#REF!,Plano_Detalhado!E121,#REF!,Plano_Detalhado!F121)</f>
        <v>#REF!</v>
      </c>
      <c r="L121" s="67" t="e">
        <f t="shared" si="12"/>
        <v>#REF!</v>
      </c>
      <c r="M121" s="61"/>
      <c r="N121" s="61" t="e">
        <f t="shared" si="13"/>
        <v>#REF!</v>
      </c>
      <c r="O121" s="61" t="e">
        <f t="shared" si="14"/>
        <v>#REF!</v>
      </c>
      <c r="P121" s="22" t="s">
        <v>46</v>
      </c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24"/>
      <c r="BI121" s="14"/>
      <c r="BJ121" s="14"/>
      <c r="BK121" s="14"/>
      <c r="BL121" s="14"/>
      <c r="BN121" s="2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</row>
    <row r="122" spans="1:79" hidden="1" outlineLevel="1" x14ac:dyDescent="0.25">
      <c r="A122" s="3" t="str">
        <f t="shared" si="15"/>
        <v>PROCESS_PROPERTY_RELFINANCED_PROPERTY_IND</v>
      </c>
      <c r="B122" s="8" t="s">
        <v>16</v>
      </c>
      <c r="C122" s="9" t="s">
        <v>44</v>
      </c>
      <c r="D122" s="6" t="s">
        <v>30</v>
      </c>
      <c r="E122" s="7" t="s">
        <v>78</v>
      </c>
      <c r="F122" s="7" t="s">
        <v>82</v>
      </c>
      <c r="G122" s="6" t="e">
        <f>INDEX(#REF!,MATCH(Plano_Detalhado!H122,#REF!,0),1)</f>
        <v>#REF!</v>
      </c>
      <c r="H122" s="6" t="e">
        <f>VLOOKUP(A122,#REF!,2,0)</f>
        <v>#REF!</v>
      </c>
      <c r="I122" s="67" t="e">
        <f>SUMIFS(#REF!,#REF!,Plano_Detalhado!E122,#REF!,Plano_Detalhado!F122)</f>
        <v>#REF!</v>
      </c>
      <c r="J122" s="67" t="e">
        <f t="shared" si="11"/>
        <v>#REF!</v>
      </c>
      <c r="K122" s="67" t="e">
        <f>SUMIFS(#REF!,#REF!,Plano_Detalhado!E122,#REF!,Plano_Detalhado!F122)</f>
        <v>#REF!</v>
      </c>
      <c r="L122" s="67" t="e">
        <f t="shared" si="12"/>
        <v>#REF!</v>
      </c>
      <c r="M122" s="61"/>
      <c r="N122" s="61" t="e">
        <f t="shared" si="13"/>
        <v>#REF!</v>
      </c>
      <c r="O122" s="61" t="e">
        <f t="shared" si="14"/>
        <v>#REF!</v>
      </c>
      <c r="P122" s="22" t="s">
        <v>46</v>
      </c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24"/>
      <c r="BI122" s="14"/>
      <c r="BJ122" s="14"/>
      <c r="BK122" s="14"/>
      <c r="BL122" s="14"/>
      <c r="BN122" s="2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</row>
    <row r="123" spans="1:79" hidden="1" outlineLevel="1" x14ac:dyDescent="0.25">
      <c r="A123" s="3" t="str">
        <f t="shared" si="15"/>
        <v>PROCESS_PROPERTY_RELOWNED_PROPERTY_IND</v>
      </c>
      <c r="B123" s="8" t="s">
        <v>16</v>
      </c>
      <c r="C123" s="9" t="s">
        <v>44</v>
      </c>
      <c r="D123" s="6" t="s">
        <v>30</v>
      </c>
      <c r="E123" s="7" t="s">
        <v>78</v>
      </c>
      <c r="F123" s="7" t="s">
        <v>83</v>
      </c>
      <c r="G123" s="6" t="e">
        <f>INDEX(#REF!,MATCH(Plano_Detalhado!H123,#REF!,0),1)</f>
        <v>#REF!</v>
      </c>
      <c r="H123" s="6" t="e">
        <f>VLOOKUP(A123,#REF!,2,0)</f>
        <v>#REF!</v>
      </c>
      <c r="I123" s="67" t="e">
        <f>SUMIFS(#REF!,#REF!,Plano_Detalhado!E123,#REF!,Plano_Detalhado!F123)</f>
        <v>#REF!</v>
      </c>
      <c r="J123" s="67" t="e">
        <f t="shared" si="11"/>
        <v>#REF!</v>
      </c>
      <c r="K123" s="67" t="e">
        <f>SUMIFS(#REF!,#REF!,Plano_Detalhado!E123,#REF!,Plano_Detalhado!F123)</f>
        <v>#REF!</v>
      </c>
      <c r="L123" s="67" t="e">
        <f t="shared" si="12"/>
        <v>#REF!</v>
      </c>
      <c r="M123" s="61"/>
      <c r="N123" s="61" t="e">
        <f t="shared" si="13"/>
        <v>#REF!</v>
      </c>
      <c r="O123" s="61" t="e">
        <f t="shared" si="14"/>
        <v>#REF!</v>
      </c>
      <c r="P123" s="22" t="s">
        <v>46</v>
      </c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24"/>
      <c r="BI123" s="14"/>
      <c r="BJ123" s="14"/>
      <c r="BK123" s="14"/>
      <c r="BL123" s="14"/>
      <c r="BN123" s="2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</row>
    <row r="124" spans="1:79" hidden="1" outlineLevel="1" x14ac:dyDescent="0.25">
      <c r="A124" s="3" t="str">
        <f t="shared" si="15"/>
        <v>PROCESS_PROPERTY_RELSOURCE_CODE</v>
      </c>
      <c r="B124" s="8" t="s">
        <v>16</v>
      </c>
      <c r="C124" s="9" t="s">
        <v>44</v>
      </c>
      <c r="D124" s="6" t="s">
        <v>30</v>
      </c>
      <c r="E124" s="7" t="s">
        <v>78</v>
      </c>
      <c r="F124" s="7" t="s">
        <v>77</v>
      </c>
      <c r="G124" s="6" t="e">
        <f>INDEX(#REF!,MATCH(Plano_Detalhado!H124,#REF!,0),1)</f>
        <v>#REF!</v>
      </c>
      <c r="H124" s="6" t="e">
        <f>VLOOKUP(A124,#REF!,2,0)</f>
        <v>#REF!</v>
      </c>
      <c r="I124" s="67" t="e">
        <f>SUMIFS(#REF!,#REF!,Plano_Detalhado!E124,#REF!,Plano_Detalhado!F124)</f>
        <v>#REF!</v>
      </c>
      <c r="J124" s="67" t="e">
        <f t="shared" si="11"/>
        <v>#REF!</v>
      </c>
      <c r="K124" s="67" t="e">
        <f>SUMIFS(#REF!,#REF!,Plano_Detalhado!E124,#REF!,Plano_Detalhado!F124)</f>
        <v>#REF!</v>
      </c>
      <c r="L124" s="67" t="e">
        <f t="shared" si="12"/>
        <v>#REF!</v>
      </c>
      <c r="M124" s="61"/>
      <c r="N124" s="61" t="e">
        <f t="shared" si="13"/>
        <v>#REF!</v>
      </c>
      <c r="O124" s="61" t="e">
        <f t="shared" si="14"/>
        <v>#REF!</v>
      </c>
      <c r="P124" s="22" t="s">
        <v>46</v>
      </c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24"/>
      <c r="BI124" s="14"/>
      <c r="BJ124" s="14"/>
      <c r="BK124" s="14"/>
      <c r="BL124" s="14"/>
      <c r="BN124" s="2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</row>
    <row r="125" spans="1:79" hidden="1" outlineLevel="1" x14ac:dyDescent="0.25">
      <c r="A125" s="3" t="str">
        <f t="shared" si="15"/>
        <v>PROCESS_PROPERTY_RELDATA_DATE_PART</v>
      </c>
      <c r="B125" s="8" t="s">
        <v>16</v>
      </c>
      <c r="C125" s="9" t="s">
        <v>44</v>
      </c>
      <c r="D125" s="6" t="s">
        <v>30</v>
      </c>
      <c r="E125" s="7" t="s">
        <v>78</v>
      </c>
      <c r="F125" s="7" t="s">
        <v>63</v>
      </c>
      <c r="G125" s="6" t="e">
        <f>INDEX(#REF!,MATCH(Plano_Detalhado!H125,#REF!,0),1)</f>
        <v>#REF!</v>
      </c>
      <c r="H125" s="6" t="e">
        <f>VLOOKUP(A125,#REF!,2,0)</f>
        <v>#REF!</v>
      </c>
      <c r="I125" s="67" t="e">
        <f>SUMIFS(#REF!,#REF!,Plano_Detalhado!E125,#REF!,Plano_Detalhado!F125)</f>
        <v>#REF!</v>
      </c>
      <c r="J125" s="67" t="e">
        <f t="shared" si="11"/>
        <v>#REF!</v>
      </c>
      <c r="K125" s="67" t="e">
        <f>SUMIFS(#REF!,#REF!,Plano_Detalhado!E125,#REF!,Plano_Detalhado!F125)</f>
        <v>#REF!</v>
      </c>
      <c r="L125" s="67" t="e">
        <f t="shared" si="12"/>
        <v>#REF!</v>
      </c>
      <c r="M125" s="61"/>
      <c r="N125" s="61" t="e">
        <f t="shared" si="13"/>
        <v>#REF!</v>
      </c>
      <c r="O125" s="61" t="e">
        <f t="shared" si="14"/>
        <v>#REF!</v>
      </c>
      <c r="P125" s="22" t="s">
        <v>46</v>
      </c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24"/>
      <c r="BI125" s="14"/>
      <c r="BJ125" s="14"/>
      <c r="BK125" s="14"/>
      <c r="BL125" s="14"/>
      <c r="BN125" s="2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</row>
    <row r="126" spans="1:79" hidden="1" outlineLevel="1" x14ac:dyDescent="0.4">
      <c r="A126" s="3" t="str">
        <f t="shared" si="15"/>
        <v>PROPERTYn.a.</v>
      </c>
      <c r="B126" s="8" t="s">
        <v>16</v>
      </c>
      <c r="C126" s="9" t="s">
        <v>44</v>
      </c>
      <c r="D126" s="6" t="s">
        <v>26</v>
      </c>
      <c r="E126" s="7" t="s">
        <v>84</v>
      </c>
      <c r="F126" s="6" t="s">
        <v>28</v>
      </c>
      <c r="G126" s="6" t="e">
        <f>INDEX(#REF!,MATCH(Plano_Detalhado!H126,#REF!,0),1)</f>
        <v>#REF!</v>
      </c>
      <c r="H126" s="6" t="e">
        <f>VLOOKUP(A126,#REF!,2,0)</f>
        <v>#REF!</v>
      </c>
      <c r="I126" s="67" t="e">
        <f>SUMIFS(#REF!,#REF!,Plano_Detalhado!E126,#REF!,Plano_Detalhado!F126)</f>
        <v>#REF!</v>
      </c>
      <c r="J126" s="67" t="e">
        <f t="shared" si="11"/>
        <v>#REF!</v>
      </c>
      <c r="K126" s="67" t="e">
        <f>SUMIFS(#REF!,#REF!,Plano_Detalhado!E126,#REF!,Plano_Detalhado!F126)</f>
        <v>#REF!</v>
      </c>
      <c r="L126" s="67" t="e">
        <f t="shared" si="12"/>
        <v>#REF!</v>
      </c>
      <c r="M126" s="61"/>
      <c r="N126" s="61" t="e">
        <f t="shared" si="13"/>
        <v>#REF!</v>
      </c>
      <c r="O126" s="61" t="e">
        <f t="shared" si="14"/>
        <v>#REF!</v>
      </c>
      <c r="P126" s="20" t="s">
        <v>85</v>
      </c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24"/>
      <c r="BI126" s="14"/>
      <c r="BJ126" s="14"/>
      <c r="BK126" s="14"/>
      <c r="BL126" s="14"/>
      <c r="BN126" s="2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</row>
    <row r="127" spans="1:79" hidden="1" outlineLevel="1" x14ac:dyDescent="0.4">
      <c r="A127" s="3" t="str">
        <f t="shared" si="15"/>
        <v>PROPERTYCONSTRUCTION_YEAR</v>
      </c>
      <c r="B127" s="8" t="s">
        <v>16</v>
      </c>
      <c r="C127" s="9" t="s">
        <v>44</v>
      </c>
      <c r="D127" s="6" t="s">
        <v>30</v>
      </c>
      <c r="E127" s="7" t="s">
        <v>84</v>
      </c>
      <c r="F127" s="7" t="s">
        <v>86</v>
      </c>
      <c r="G127" s="6" t="e">
        <f>INDEX(#REF!,MATCH(Plano_Detalhado!H127,#REF!,0),1)</f>
        <v>#REF!</v>
      </c>
      <c r="H127" s="6" t="e">
        <f>VLOOKUP(A127,#REF!,2,0)</f>
        <v>#REF!</v>
      </c>
      <c r="I127" s="68">
        <v>0</v>
      </c>
      <c r="J127" s="67">
        <f t="shared" si="11"/>
        <v>0</v>
      </c>
      <c r="K127" s="67" t="e">
        <f>SUMIFS(#REF!,#REF!,Plano_Detalhado!E127,#REF!,Plano_Detalhado!F127)</f>
        <v>#REF!</v>
      </c>
      <c r="L127" s="67" t="e">
        <f t="shared" si="12"/>
        <v>#REF!</v>
      </c>
      <c r="M127" s="61"/>
      <c r="N127" s="61" t="e">
        <f t="shared" si="13"/>
        <v>#REF!</v>
      </c>
      <c r="O127" s="61" t="e">
        <f t="shared" si="14"/>
        <v>#REF!</v>
      </c>
      <c r="P127" s="20" t="s">
        <v>85</v>
      </c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24"/>
      <c r="BI127" s="14"/>
      <c r="BJ127" s="14"/>
      <c r="BK127" s="14"/>
      <c r="BL127" s="14"/>
      <c r="BN127" s="2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</row>
    <row r="128" spans="1:79" hidden="1" outlineLevel="1" x14ac:dyDescent="0.4">
      <c r="A128" s="3" t="str">
        <f t="shared" si="15"/>
        <v>PROPERTYNET_FLOOR_AREA</v>
      </c>
      <c r="B128" s="8" t="s">
        <v>16</v>
      </c>
      <c r="C128" s="9" t="s">
        <v>44</v>
      </c>
      <c r="D128" s="6" t="s">
        <v>30</v>
      </c>
      <c r="E128" s="7" t="s">
        <v>84</v>
      </c>
      <c r="F128" s="7" t="s">
        <v>87</v>
      </c>
      <c r="G128" s="6" t="e">
        <f>INDEX(#REF!,MATCH(Plano_Detalhado!H128,#REF!,0),1)</f>
        <v>#REF!</v>
      </c>
      <c r="H128" s="6" t="e">
        <f>VLOOKUP(A128,#REF!,2,0)</f>
        <v>#REF!</v>
      </c>
      <c r="I128" s="67" t="e">
        <f>SUMIFS(#REF!,#REF!,Plano_Detalhado!E128,#REF!,Plano_Detalhado!F128)</f>
        <v>#REF!</v>
      </c>
      <c r="J128" s="67" t="e">
        <f t="shared" si="11"/>
        <v>#REF!</v>
      </c>
      <c r="K128" s="67" t="e">
        <f>SUMIFS(#REF!,#REF!,Plano_Detalhado!E128,#REF!,Plano_Detalhado!F128)</f>
        <v>#REF!</v>
      </c>
      <c r="L128" s="67" t="e">
        <f t="shared" si="12"/>
        <v>#REF!</v>
      </c>
      <c r="M128" s="61"/>
      <c r="N128" s="61" t="e">
        <f t="shared" si="13"/>
        <v>#REF!</v>
      </c>
      <c r="O128" s="61" t="e">
        <f t="shared" si="14"/>
        <v>#REF!</v>
      </c>
      <c r="P128" s="20" t="s">
        <v>85</v>
      </c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24"/>
      <c r="BI128" s="14"/>
      <c r="BJ128" s="14"/>
      <c r="BK128" s="14"/>
      <c r="BL128" s="14"/>
      <c r="BN128" s="2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</row>
    <row r="129" spans="1:79" hidden="1" outlineLevel="1" x14ac:dyDescent="0.4">
      <c r="A129" s="3" t="str">
        <f t="shared" si="15"/>
        <v>PROPERTYPROPERTY_BANK_ID</v>
      </c>
      <c r="B129" s="8" t="s">
        <v>16</v>
      </c>
      <c r="C129" s="9" t="s">
        <v>44</v>
      </c>
      <c r="D129" s="6" t="s">
        <v>30</v>
      </c>
      <c r="E129" s="7" t="s">
        <v>84</v>
      </c>
      <c r="F129" s="7" t="s">
        <v>31</v>
      </c>
      <c r="G129" s="6" t="e">
        <f>INDEX(#REF!,MATCH(Plano_Detalhado!H129,#REF!,0),1)</f>
        <v>#REF!</v>
      </c>
      <c r="H129" s="6" t="e">
        <f>VLOOKUP(A129,#REF!,2,0)</f>
        <v>#REF!</v>
      </c>
      <c r="I129" s="67" t="e">
        <f>SUMIFS(#REF!,#REF!,Plano_Detalhado!E129,#REF!,Plano_Detalhado!F129)</f>
        <v>#REF!</v>
      </c>
      <c r="J129" s="67" t="e">
        <f t="shared" si="11"/>
        <v>#REF!</v>
      </c>
      <c r="K129" s="67" t="e">
        <f>SUMIFS(#REF!,#REF!,Plano_Detalhado!E129,#REF!,Plano_Detalhado!F129)</f>
        <v>#REF!</v>
      </c>
      <c r="L129" s="67" t="e">
        <f t="shared" si="12"/>
        <v>#REF!</v>
      </c>
      <c r="M129" s="61"/>
      <c r="N129" s="61" t="e">
        <f t="shared" si="13"/>
        <v>#REF!</v>
      </c>
      <c r="O129" s="61" t="e">
        <f t="shared" si="14"/>
        <v>#REF!</v>
      </c>
      <c r="P129" s="20" t="s">
        <v>85</v>
      </c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24"/>
      <c r="BI129" s="14"/>
      <c r="BJ129" s="14"/>
      <c r="BK129" s="14"/>
      <c r="BL129" s="14"/>
      <c r="BN129" s="2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</row>
    <row r="130" spans="1:79" hidden="1" outlineLevel="1" x14ac:dyDescent="0.4">
      <c r="A130" s="3" t="str">
        <f t="shared" si="15"/>
        <v>PROPERTYPROPERTY_BRANCH_CODE</v>
      </c>
      <c r="B130" s="8" t="s">
        <v>16</v>
      </c>
      <c r="C130" s="9" t="s">
        <v>44</v>
      </c>
      <c r="D130" s="6" t="s">
        <v>30</v>
      </c>
      <c r="E130" s="7" t="s">
        <v>84</v>
      </c>
      <c r="F130" s="7" t="s">
        <v>33</v>
      </c>
      <c r="G130" s="6" t="e">
        <f>INDEX(#REF!,MATCH(Plano_Detalhado!H130,#REF!,0),1)</f>
        <v>#REF!</v>
      </c>
      <c r="H130" s="6" t="e">
        <f>VLOOKUP(A130,#REF!,2,0)</f>
        <v>#REF!</v>
      </c>
      <c r="I130" s="67" t="e">
        <f>SUMIFS(#REF!,#REF!,Plano_Detalhado!E130,#REF!,Plano_Detalhado!F130)</f>
        <v>#REF!</v>
      </c>
      <c r="J130" s="67" t="e">
        <f t="shared" si="11"/>
        <v>#REF!</v>
      </c>
      <c r="K130" s="67" t="e">
        <f>SUMIFS(#REF!,#REF!,Plano_Detalhado!E130,#REF!,Plano_Detalhado!F130)</f>
        <v>#REF!</v>
      </c>
      <c r="L130" s="67" t="e">
        <f t="shared" si="12"/>
        <v>#REF!</v>
      </c>
      <c r="M130" s="61"/>
      <c r="N130" s="61" t="e">
        <f t="shared" si="13"/>
        <v>#REF!</v>
      </c>
      <c r="O130" s="61" t="e">
        <f t="shared" si="14"/>
        <v>#REF!</v>
      </c>
      <c r="P130" s="20" t="s">
        <v>85</v>
      </c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24"/>
      <c r="BI130" s="14"/>
      <c r="BJ130" s="14"/>
      <c r="BK130" s="14"/>
      <c r="BL130" s="14"/>
      <c r="BN130" s="2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</row>
    <row r="131" spans="1:79" hidden="1" outlineLevel="1" x14ac:dyDescent="0.4">
      <c r="A131" s="3" t="str">
        <f t="shared" si="15"/>
        <v>PROPERTYPROPERTY_CONTRACT_ID</v>
      </c>
      <c r="B131" s="8" t="s">
        <v>16</v>
      </c>
      <c r="C131" s="9" t="s">
        <v>44</v>
      </c>
      <c r="D131" s="6" t="s">
        <v>30</v>
      </c>
      <c r="E131" s="7" t="s">
        <v>84</v>
      </c>
      <c r="F131" s="7" t="s">
        <v>34</v>
      </c>
      <c r="G131" s="6" t="e">
        <f>INDEX(#REF!,MATCH(Plano_Detalhado!H131,#REF!,0),1)</f>
        <v>#REF!</v>
      </c>
      <c r="H131" s="6" t="e">
        <f>VLOOKUP(A131,#REF!,2,0)</f>
        <v>#REF!</v>
      </c>
      <c r="I131" s="67" t="e">
        <f>SUMIFS(#REF!,#REF!,Plano_Detalhado!E131,#REF!,Plano_Detalhado!F131)</f>
        <v>#REF!</v>
      </c>
      <c r="J131" s="67" t="e">
        <f t="shared" si="11"/>
        <v>#REF!</v>
      </c>
      <c r="K131" s="67" t="e">
        <f>SUMIFS(#REF!,#REF!,Plano_Detalhado!E131,#REF!,Plano_Detalhado!F131)</f>
        <v>#REF!</v>
      </c>
      <c r="L131" s="67" t="e">
        <f t="shared" si="12"/>
        <v>#REF!</v>
      </c>
      <c r="M131" s="61"/>
      <c r="N131" s="61" t="e">
        <f t="shared" si="13"/>
        <v>#REF!</v>
      </c>
      <c r="O131" s="61" t="e">
        <f t="shared" si="14"/>
        <v>#REF!</v>
      </c>
      <c r="P131" s="20" t="s">
        <v>85</v>
      </c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24"/>
      <c r="BI131" s="14"/>
      <c r="BJ131" s="14"/>
      <c r="BK131" s="14"/>
      <c r="BL131" s="14"/>
      <c r="BN131" s="2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</row>
    <row r="132" spans="1:79" hidden="1" outlineLevel="1" x14ac:dyDescent="0.4">
      <c r="A132" s="3" t="str">
        <f t="shared" si="15"/>
        <v>PROPERTYPROPERTY_REFERENCE_CODE</v>
      </c>
      <c r="B132" s="8" t="s">
        <v>16</v>
      </c>
      <c r="C132" s="9" t="s">
        <v>44</v>
      </c>
      <c r="D132" s="6" t="s">
        <v>30</v>
      </c>
      <c r="E132" s="7" t="s">
        <v>84</v>
      </c>
      <c r="F132" s="7" t="s">
        <v>35</v>
      </c>
      <c r="G132" s="6" t="e">
        <f>INDEX(#REF!,MATCH(Plano_Detalhado!H132,#REF!,0),1)</f>
        <v>#REF!</v>
      </c>
      <c r="H132" s="6" t="e">
        <f>VLOOKUP(A132,#REF!,2,0)</f>
        <v>#REF!</v>
      </c>
      <c r="I132" s="67" t="e">
        <f>SUMIFS(#REF!,#REF!,Plano_Detalhado!E132,#REF!,Plano_Detalhado!F132)</f>
        <v>#REF!</v>
      </c>
      <c r="J132" s="67" t="e">
        <f t="shared" si="11"/>
        <v>#REF!</v>
      </c>
      <c r="K132" s="67" t="e">
        <f>SUMIFS(#REF!,#REF!,Plano_Detalhado!E132,#REF!,Plano_Detalhado!F132)</f>
        <v>#REF!</v>
      </c>
      <c r="L132" s="67" t="e">
        <f t="shared" si="12"/>
        <v>#REF!</v>
      </c>
      <c r="M132" s="61"/>
      <c r="N132" s="61" t="e">
        <f t="shared" si="13"/>
        <v>#REF!</v>
      </c>
      <c r="O132" s="61" t="e">
        <f t="shared" si="14"/>
        <v>#REF!</v>
      </c>
      <c r="P132" s="20" t="s">
        <v>85</v>
      </c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24"/>
      <c r="BI132" s="14"/>
      <c r="BJ132" s="14"/>
      <c r="BK132" s="14"/>
      <c r="BL132" s="14"/>
      <c r="BN132" s="2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</row>
    <row r="133" spans="1:79" hidden="1" outlineLevel="1" x14ac:dyDescent="0.4">
      <c r="A133" s="3" t="str">
        <f t="shared" si="15"/>
        <v>PROPERTYCADASTRAL_REGISTER_CODE</v>
      </c>
      <c r="B133" s="8" t="s">
        <v>16</v>
      </c>
      <c r="C133" s="9" t="s">
        <v>44</v>
      </c>
      <c r="D133" s="6" t="s">
        <v>30</v>
      </c>
      <c r="E133" s="7" t="s">
        <v>84</v>
      </c>
      <c r="F133" s="7" t="s">
        <v>88</v>
      </c>
      <c r="G133" s="6" t="e">
        <f>INDEX(#REF!,MATCH(Plano_Detalhado!H133,#REF!,0),1)</f>
        <v>#REF!</v>
      </c>
      <c r="H133" s="6" t="e">
        <f>VLOOKUP(A133,#REF!,2,0)</f>
        <v>#REF!</v>
      </c>
      <c r="I133" s="67" t="e">
        <f>SUMIFS(#REF!,#REF!,Plano_Detalhado!E133,#REF!,Plano_Detalhado!F133)</f>
        <v>#REF!</v>
      </c>
      <c r="J133" s="67" t="e">
        <f t="shared" si="11"/>
        <v>#REF!</v>
      </c>
      <c r="K133" s="67" t="e">
        <f>SUMIFS(#REF!,#REF!,Plano_Detalhado!E133,#REF!,Plano_Detalhado!F133)</f>
        <v>#REF!</v>
      </c>
      <c r="L133" s="67" t="e">
        <f t="shared" si="12"/>
        <v>#REF!</v>
      </c>
      <c r="M133" s="61"/>
      <c r="N133" s="61" t="e">
        <f t="shared" si="13"/>
        <v>#REF!</v>
      </c>
      <c r="O133" s="61" t="e">
        <f t="shared" si="14"/>
        <v>#REF!</v>
      </c>
      <c r="P133" s="20" t="s">
        <v>85</v>
      </c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24"/>
      <c r="BI133" s="14"/>
      <c r="BJ133" s="14"/>
      <c r="BK133" s="14"/>
      <c r="BL133" s="14"/>
      <c r="BN133" s="2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</row>
    <row r="134" spans="1:79" hidden="1" outlineLevel="1" x14ac:dyDescent="0.4">
      <c r="A134" s="3" t="str">
        <f t="shared" si="15"/>
        <v>PROPERTYAPPRAISAL_CODE</v>
      </c>
      <c r="B134" s="8" t="s">
        <v>16</v>
      </c>
      <c r="C134" s="9" t="s">
        <v>44</v>
      </c>
      <c r="D134" s="6" t="s">
        <v>30</v>
      </c>
      <c r="E134" s="7" t="s">
        <v>84</v>
      </c>
      <c r="F134" s="7" t="s">
        <v>89</v>
      </c>
      <c r="G134" s="6" t="e">
        <f>INDEX(#REF!,MATCH(Plano_Detalhado!H134,#REF!,0),1)</f>
        <v>#REF!</v>
      </c>
      <c r="H134" s="6" t="e">
        <f>VLOOKUP(A134,#REF!,2,0)</f>
        <v>#REF!</v>
      </c>
      <c r="I134" s="67" t="e">
        <f>SUMIFS(#REF!,#REF!,Plano_Detalhado!E134,#REF!,Plano_Detalhado!F134)</f>
        <v>#REF!</v>
      </c>
      <c r="J134" s="67" t="e">
        <f t="shared" si="11"/>
        <v>#REF!</v>
      </c>
      <c r="K134" s="67" t="e">
        <f>SUMIFS(#REF!,#REF!,Plano_Detalhado!E134,#REF!,Plano_Detalhado!F134)</f>
        <v>#REF!</v>
      </c>
      <c r="L134" s="67" t="e">
        <f t="shared" si="12"/>
        <v>#REF!</v>
      </c>
      <c r="M134" s="61"/>
      <c r="N134" s="61" t="e">
        <f t="shared" si="13"/>
        <v>#REF!</v>
      </c>
      <c r="O134" s="61" t="e">
        <f t="shared" si="14"/>
        <v>#REF!</v>
      </c>
      <c r="P134" s="20" t="s">
        <v>85</v>
      </c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24"/>
      <c r="BI134" s="14"/>
      <c r="BJ134" s="14"/>
      <c r="BK134" s="14"/>
      <c r="BL134" s="14"/>
      <c r="BN134" s="2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</row>
    <row r="135" spans="1:79" hidden="1" outlineLevel="1" x14ac:dyDescent="0.4">
      <c r="A135" s="3" t="str">
        <f t="shared" si="15"/>
        <v>PROPERTYcod_bem</v>
      </c>
      <c r="B135" s="8" t="s">
        <v>16</v>
      </c>
      <c r="C135" s="9" t="s">
        <v>44</v>
      </c>
      <c r="D135" s="6" t="s">
        <v>30</v>
      </c>
      <c r="E135" s="7" t="s">
        <v>84</v>
      </c>
      <c r="F135" s="7" t="s">
        <v>90</v>
      </c>
      <c r="G135" s="6" t="e">
        <f>INDEX(#REF!,MATCH(Plano_Detalhado!H135,#REF!,0),1)</f>
        <v>#REF!</v>
      </c>
      <c r="H135" s="6" t="e">
        <f>VLOOKUP(A135,#REF!,2,0)</f>
        <v>#REF!</v>
      </c>
      <c r="I135" s="68">
        <v>0</v>
      </c>
      <c r="J135" s="67">
        <f t="shared" ref="J135:J199" si="16">I135/8</f>
        <v>0</v>
      </c>
      <c r="K135" s="67" t="e">
        <f>SUMIFS(#REF!,#REF!,Plano_Detalhado!E135,#REF!,Plano_Detalhado!F135)</f>
        <v>#REF!</v>
      </c>
      <c r="L135" s="67" t="e">
        <f t="shared" ref="L135:L199" si="17">K135/8</f>
        <v>#REF!</v>
      </c>
      <c r="M135" s="61"/>
      <c r="N135" s="61" t="e">
        <f t="shared" ref="N135:N199" si="18">L135/J135</f>
        <v>#REF!</v>
      </c>
      <c r="O135" s="61" t="e">
        <f t="shared" si="14"/>
        <v>#REF!</v>
      </c>
      <c r="P135" s="20" t="s">
        <v>85</v>
      </c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24"/>
      <c r="BI135" s="14"/>
      <c r="BJ135" s="14"/>
      <c r="BK135" s="14"/>
      <c r="BL135" s="14"/>
      <c r="BN135" s="2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</row>
    <row r="136" spans="1:79" hidden="1" outlineLevel="1" x14ac:dyDescent="0.4">
      <c r="A136" s="3" t="str">
        <f t="shared" si="15"/>
        <v>PROPERTYDISTRICT_MUNICIP_PARISH_CODE</v>
      </c>
      <c r="B136" s="8" t="s">
        <v>16</v>
      </c>
      <c r="C136" s="9" t="s">
        <v>44</v>
      </c>
      <c r="D136" s="6" t="s">
        <v>30</v>
      </c>
      <c r="E136" s="7" t="s">
        <v>84</v>
      </c>
      <c r="F136" s="7" t="s">
        <v>91</v>
      </c>
      <c r="G136" s="6" t="e">
        <f>INDEX(#REF!,MATCH(Plano_Detalhado!H136,#REF!,0),1)</f>
        <v>#REF!</v>
      </c>
      <c r="H136" s="6" t="e">
        <f>VLOOKUP(A136,#REF!,2,0)</f>
        <v>#REF!</v>
      </c>
      <c r="I136" s="67" t="e">
        <f>SUMIFS(#REF!,#REF!,Plano_Detalhado!E136,#REF!,Plano_Detalhado!F136)</f>
        <v>#REF!</v>
      </c>
      <c r="J136" s="67" t="e">
        <f t="shared" si="16"/>
        <v>#REF!</v>
      </c>
      <c r="K136" s="67" t="e">
        <f>SUMIFS(#REF!,#REF!,Plano_Detalhado!E136,#REF!,Plano_Detalhado!F136)</f>
        <v>#REF!</v>
      </c>
      <c r="L136" s="67" t="e">
        <f t="shared" si="17"/>
        <v>#REF!</v>
      </c>
      <c r="M136" s="61"/>
      <c r="N136" s="61" t="e">
        <f t="shared" si="18"/>
        <v>#REF!</v>
      </c>
      <c r="O136" s="61" t="e">
        <f t="shared" si="14"/>
        <v>#REF!</v>
      </c>
      <c r="P136" s="20" t="s">
        <v>85</v>
      </c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24"/>
      <c r="BI136" s="14"/>
      <c r="BJ136" s="14"/>
      <c r="BK136" s="14"/>
      <c r="BL136" s="14"/>
      <c r="BN136" s="2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</row>
    <row r="137" spans="1:79" hidden="1" outlineLevel="1" x14ac:dyDescent="0.4">
      <c r="A137" s="3" t="str">
        <f t="shared" si="15"/>
        <v>PROPERTYPROPERTY_PURPOSE_CODE</v>
      </c>
      <c r="B137" s="8" t="s">
        <v>16</v>
      </c>
      <c r="C137" s="9" t="s">
        <v>44</v>
      </c>
      <c r="D137" s="6" t="s">
        <v>30</v>
      </c>
      <c r="E137" s="7" t="s">
        <v>84</v>
      </c>
      <c r="F137" s="7" t="s">
        <v>92</v>
      </c>
      <c r="G137" s="6" t="e">
        <f>INDEX(#REF!,MATCH(Plano_Detalhado!H137,#REF!,0),1)</f>
        <v>#REF!</v>
      </c>
      <c r="H137" s="6" t="e">
        <f>VLOOKUP(A137,#REF!,2,0)</f>
        <v>#REF!</v>
      </c>
      <c r="I137" s="67" t="e">
        <f>SUMIFS(#REF!,#REF!,Plano_Detalhado!E137,#REF!,Plano_Detalhado!F137)</f>
        <v>#REF!</v>
      </c>
      <c r="J137" s="67" t="e">
        <f t="shared" si="16"/>
        <v>#REF!</v>
      </c>
      <c r="K137" s="67" t="e">
        <f>SUMIFS(#REF!,#REF!,Plano_Detalhado!E137,#REF!,Plano_Detalhado!F137)</f>
        <v>#REF!</v>
      </c>
      <c r="L137" s="67" t="e">
        <f t="shared" si="17"/>
        <v>#REF!</v>
      </c>
      <c r="M137" s="61"/>
      <c r="N137" s="61" t="e">
        <f t="shared" si="18"/>
        <v>#REF!</v>
      </c>
      <c r="O137" s="61" t="e">
        <f t="shared" si="14"/>
        <v>#REF!</v>
      </c>
      <c r="P137" s="20" t="s">
        <v>85</v>
      </c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24"/>
      <c r="BI137" s="14"/>
      <c r="BJ137" s="14"/>
      <c r="BK137" s="14"/>
      <c r="BL137" s="14"/>
      <c r="BN137" s="2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</row>
    <row r="138" spans="1:79" hidden="1" outlineLevel="1" x14ac:dyDescent="0.4">
      <c r="A138" s="3" t="str">
        <f t="shared" si="15"/>
        <v>PROPERTYPROPERTY_LIFETIME_CODE</v>
      </c>
      <c r="B138" s="8" t="s">
        <v>16</v>
      </c>
      <c r="C138" s="9" t="s">
        <v>44</v>
      </c>
      <c r="D138" s="6" t="s">
        <v>30</v>
      </c>
      <c r="E138" s="7" t="s">
        <v>84</v>
      </c>
      <c r="F138" s="7" t="s">
        <v>93</v>
      </c>
      <c r="G138" s="6" t="e">
        <f>INDEX(#REF!,MATCH(Plano_Detalhado!H138,#REF!,0),1)</f>
        <v>#REF!</v>
      </c>
      <c r="H138" s="6" t="e">
        <f>VLOOKUP(A138,#REF!,2,0)</f>
        <v>#REF!</v>
      </c>
      <c r="I138" s="67" t="e">
        <f>SUMIFS(#REF!,#REF!,Plano_Detalhado!E138,#REF!,Plano_Detalhado!F138)</f>
        <v>#REF!</v>
      </c>
      <c r="J138" s="67" t="e">
        <f t="shared" si="16"/>
        <v>#REF!</v>
      </c>
      <c r="K138" s="67" t="e">
        <f>SUMIFS(#REF!,#REF!,Plano_Detalhado!E138,#REF!,Plano_Detalhado!F138)</f>
        <v>#REF!</v>
      </c>
      <c r="L138" s="67" t="e">
        <f t="shared" si="17"/>
        <v>#REF!</v>
      </c>
      <c r="M138" s="61"/>
      <c r="N138" s="61" t="e">
        <f t="shared" si="18"/>
        <v>#REF!</v>
      </c>
      <c r="O138" s="61" t="e">
        <f t="shared" si="14"/>
        <v>#REF!</v>
      </c>
      <c r="P138" s="20" t="s">
        <v>85</v>
      </c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24"/>
      <c r="BI138" s="14"/>
      <c r="BJ138" s="14"/>
      <c r="BK138" s="14"/>
      <c r="BL138" s="14"/>
      <c r="BN138" s="2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</row>
    <row r="139" spans="1:79" hidden="1" outlineLevel="1" x14ac:dyDescent="0.4">
      <c r="A139" s="3" t="str">
        <f t="shared" si="15"/>
        <v>PROPERTYADDRESS_CODE</v>
      </c>
      <c r="B139" s="8" t="s">
        <v>16</v>
      </c>
      <c r="C139" s="9" t="s">
        <v>44</v>
      </c>
      <c r="D139" s="6" t="s">
        <v>30</v>
      </c>
      <c r="E139" s="7" t="s">
        <v>84</v>
      </c>
      <c r="F139" s="7" t="s">
        <v>94</v>
      </c>
      <c r="G139" s="6" t="e">
        <f>INDEX(#REF!,MATCH(Plano_Detalhado!H139,#REF!,0),1)</f>
        <v>#REF!</v>
      </c>
      <c r="H139" s="6" t="e">
        <f>VLOOKUP(A139,#REF!,2,0)</f>
        <v>#REF!</v>
      </c>
      <c r="I139" s="67" t="e">
        <f>SUMIFS(#REF!,#REF!,Plano_Detalhado!E139,#REF!,Plano_Detalhado!F139)</f>
        <v>#REF!</v>
      </c>
      <c r="J139" s="67" t="e">
        <f t="shared" si="16"/>
        <v>#REF!</v>
      </c>
      <c r="K139" s="67" t="e">
        <f>SUMIFS(#REF!,#REF!,Plano_Detalhado!E139,#REF!,Plano_Detalhado!F139)</f>
        <v>#REF!</v>
      </c>
      <c r="L139" s="67" t="e">
        <f t="shared" si="17"/>
        <v>#REF!</v>
      </c>
      <c r="M139" s="61"/>
      <c r="N139" s="61" t="e">
        <f t="shared" si="18"/>
        <v>#REF!</v>
      </c>
      <c r="O139" s="61" t="e">
        <f t="shared" si="14"/>
        <v>#REF!</v>
      </c>
      <c r="P139" s="20" t="s">
        <v>85</v>
      </c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24"/>
      <c r="BI139" s="14"/>
      <c r="BJ139" s="14"/>
      <c r="BK139" s="14"/>
      <c r="BL139" s="14"/>
      <c r="BN139" s="2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</row>
    <row r="140" spans="1:79" hidden="1" outlineLevel="1" x14ac:dyDescent="0.4">
      <c r="A140" s="3" t="str">
        <f t="shared" si="15"/>
        <v>PROPERTYCOUNTRY_CODE</v>
      </c>
      <c r="B140" s="8" t="s">
        <v>16</v>
      </c>
      <c r="C140" s="9" t="s">
        <v>44</v>
      </c>
      <c r="D140" s="6" t="s">
        <v>30</v>
      </c>
      <c r="E140" s="7" t="s">
        <v>84</v>
      </c>
      <c r="F140" s="7" t="s">
        <v>95</v>
      </c>
      <c r="G140" s="6" t="e">
        <f>INDEX(#REF!,MATCH(Plano_Detalhado!H140,#REF!,0),1)</f>
        <v>#REF!</v>
      </c>
      <c r="H140" s="6" t="e">
        <f>VLOOKUP(A140,#REF!,2,0)</f>
        <v>#REF!</v>
      </c>
      <c r="I140" s="67" t="e">
        <f>SUMIFS(#REF!,#REF!,Plano_Detalhado!E140,#REF!,Plano_Detalhado!F140)</f>
        <v>#REF!</v>
      </c>
      <c r="J140" s="67" t="e">
        <f t="shared" si="16"/>
        <v>#REF!</v>
      </c>
      <c r="K140" s="67" t="e">
        <f>SUMIFS(#REF!,#REF!,Plano_Detalhado!E140,#REF!,Plano_Detalhado!F140)</f>
        <v>#REF!</v>
      </c>
      <c r="L140" s="67" t="e">
        <f t="shared" si="17"/>
        <v>#REF!</v>
      </c>
      <c r="M140" s="61"/>
      <c r="N140" s="61" t="e">
        <f t="shared" si="18"/>
        <v>#REF!</v>
      </c>
      <c r="O140" s="61" t="e">
        <f t="shared" si="14"/>
        <v>#REF!</v>
      </c>
      <c r="P140" s="20" t="s">
        <v>85</v>
      </c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24"/>
      <c r="BI140" s="14"/>
      <c r="BJ140" s="14"/>
      <c r="BK140" s="14"/>
      <c r="BL140" s="14"/>
      <c r="BN140" s="2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</row>
    <row r="141" spans="1:79" hidden="1" outlineLevel="1" x14ac:dyDescent="0.4">
      <c r="A141" s="3" t="str">
        <f t="shared" si="15"/>
        <v>PROPERTYPOSTAL_CODE</v>
      </c>
      <c r="B141" s="8" t="s">
        <v>16</v>
      </c>
      <c r="C141" s="9" t="s">
        <v>44</v>
      </c>
      <c r="D141" s="6" t="s">
        <v>30</v>
      </c>
      <c r="E141" s="7" t="s">
        <v>84</v>
      </c>
      <c r="F141" s="7" t="s">
        <v>96</v>
      </c>
      <c r="G141" s="6" t="e">
        <f>INDEX(#REF!,MATCH(Plano_Detalhado!H141,#REF!,0),1)</f>
        <v>#REF!</v>
      </c>
      <c r="H141" s="6" t="e">
        <f>VLOOKUP(A141,#REF!,2,0)</f>
        <v>#REF!</v>
      </c>
      <c r="I141" s="67" t="e">
        <f>SUMIFS(#REF!,#REF!,Plano_Detalhado!E141,#REF!,Plano_Detalhado!F141)</f>
        <v>#REF!</v>
      </c>
      <c r="J141" s="67" t="e">
        <f t="shared" si="16"/>
        <v>#REF!</v>
      </c>
      <c r="K141" s="67" t="e">
        <f>SUMIFS(#REF!,#REF!,Plano_Detalhado!E141,#REF!,Plano_Detalhado!F141)</f>
        <v>#REF!</v>
      </c>
      <c r="L141" s="67" t="e">
        <f t="shared" si="17"/>
        <v>#REF!</v>
      </c>
      <c r="M141" s="61"/>
      <c r="N141" s="61" t="e">
        <f t="shared" si="18"/>
        <v>#REF!</v>
      </c>
      <c r="O141" s="61" t="e">
        <f t="shared" si="14"/>
        <v>#REF!</v>
      </c>
      <c r="P141" s="20" t="s">
        <v>85</v>
      </c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24"/>
      <c r="BI141" s="14"/>
      <c r="BJ141" s="14"/>
      <c r="BK141" s="14"/>
      <c r="BL141" s="14"/>
      <c r="BN141" s="2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</row>
    <row r="142" spans="1:79" hidden="1" outlineLevel="1" x14ac:dyDescent="0.4">
      <c r="A142" s="3" t="str">
        <f t="shared" si="15"/>
        <v>PROPERTYPROPERTY_TYPE_CODE</v>
      </c>
      <c r="B142" s="8" t="s">
        <v>16</v>
      </c>
      <c r="C142" s="9" t="s">
        <v>44</v>
      </c>
      <c r="D142" s="6" t="s">
        <v>30</v>
      </c>
      <c r="E142" s="7" t="s">
        <v>84</v>
      </c>
      <c r="F142" s="7" t="s">
        <v>97</v>
      </c>
      <c r="G142" s="6" t="e">
        <f>INDEX(#REF!,MATCH(Plano_Detalhado!H142,#REF!,0),1)</f>
        <v>#REF!</v>
      </c>
      <c r="H142" s="6" t="e">
        <f>VLOOKUP(A142,#REF!,2,0)</f>
        <v>#REF!</v>
      </c>
      <c r="I142" s="67" t="e">
        <f>SUMIFS(#REF!,#REF!,Plano_Detalhado!E142,#REF!,Plano_Detalhado!F142)</f>
        <v>#REF!</v>
      </c>
      <c r="J142" s="67" t="e">
        <f t="shared" si="16"/>
        <v>#REF!</v>
      </c>
      <c r="K142" s="67" t="e">
        <f>SUMIFS(#REF!,#REF!,Plano_Detalhado!E142,#REF!,Plano_Detalhado!F142)</f>
        <v>#REF!</v>
      </c>
      <c r="L142" s="67" t="e">
        <f t="shared" si="17"/>
        <v>#REF!</v>
      </c>
      <c r="M142" s="61"/>
      <c r="N142" s="61" t="e">
        <f t="shared" si="18"/>
        <v>#REF!</v>
      </c>
      <c r="O142" s="61" t="e">
        <f t="shared" si="14"/>
        <v>#REF!</v>
      </c>
      <c r="P142" s="20" t="s">
        <v>85</v>
      </c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24"/>
      <c r="BI142" s="14"/>
      <c r="BJ142" s="14"/>
      <c r="BK142" s="14"/>
      <c r="BL142" s="14"/>
      <c r="BN142" s="2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</row>
    <row r="143" spans="1:79" hidden="1" outlineLevel="1" x14ac:dyDescent="0.4">
      <c r="A143" s="3" t="str">
        <f t="shared" si="15"/>
        <v>PROPERTYLAST_APPRAISAL_DATE</v>
      </c>
      <c r="B143" s="8" t="s">
        <v>16</v>
      </c>
      <c r="C143" s="9" t="s">
        <v>44</v>
      </c>
      <c r="D143" s="6" t="s">
        <v>30</v>
      </c>
      <c r="E143" s="7" t="s">
        <v>84</v>
      </c>
      <c r="F143" s="7" t="s">
        <v>98</v>
      </c>
      <c r="G143" s="6" t="e">
        <f>INDEX(#REF!,MATCH(Plano_Detalhado!H143,#REF!,0),1)</f>
        <v>#REF!</v>
      </c>
      <c r="H143" s="6" t="e">
        <f>VLOOKUP(A143,#REF!,2,0)</f>
        <v>#REF!</v>
      </c>
      <c r="I143" s="67" t="e">
        <f>SUMIFS(#REF!,#REF!,Plano_Detalhado!E143,#REF!,Plano_Detalhado!F143)</f>
        <v>#REF!</v>
      </c>
      <c r="J143" s="67" t="e">
        <f t="shared" si="16"/>
        <v>#REF!</v>
      </c>
      <c r="K143" s="67" t="e">
        <f>SUMIFS(#REF!,#REF!,Plano_Detalhado!E143,#REF!,Plano_Detalhado!F143)</f>
        <v>#REF!</v>
      </c>
      <c r="L143" s="67" t="e">
        <f t="shared" si="17"/>
        <v>#REF!</v>
      </c>
      <c r="M143" s="61"/>
      <c r="N143" s="61" t="e">
        <f t="shared" si="18"/>
        <v>#REF!</v>
      </c>
      <c r="O143" s="61" t="e">
        <f t="shared" si="14"/>
        <v>#REF!</v>
      </c>
      <c r="P143" s="20" t="s">
        <v>85</v>
      </c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24"/>
      <c r="BI143" s="14"/>
      <c r="BJ143" s="14"/>
      <c r="BK143" s="14"/>
      <c r="BL143" s="14"/>
      <c r="BN143" s="2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</row>
    <row r="144" spans="1:79" hidden="1" outlineLevel="1" x14ac:dyDescent="0.4">
      <c r="A144" s="3" t="str">
        <f t="shared" si="15"/>
        <v>PROPERTYUSAGE_PERMIT_START_DATE</v>
      </c>
      <c r="B144" s="8" t="s">
        <v>16</v>
      </c>
      <c r="C144" s="9" t="s">
        <v>44</v>
      </c>
      <c r="D144" s="6" t="s">
        <v>30</v>
      </c>
      <c r="E144" s="7" t="s">
        <v>84</v>
      </c>
      <c r="F144" s="7" t="s">
        <v>99</v>
      </c>
      <c r="G144" s="6" t="e">
        <f>INDEX(#REF!,MATCH(Plano_Detalhado!H144,#REF!,0),1)</f>
        <v>#REF!</v>
      </c>
      <c r="H144" s="6" t="e">
        <f>VLOOKUP(A144,#REF!,2,0)</f>
        <v>#REF!</v>
      </c>
      <c r="I144" s="67" t="e">
        <f>SUMIFS(#REF!,#REF!,Plano_Detalhado!E144,#REF!,Plano_Detalhado!F144)</f>
        <v>#REF!</v>
      </c>
      <c r="J144" s="67" t="e">
        <f t="shared" si="16"/>
        <v>#REF!</v>
      </c>
      <c r="K144" s="67" t="e">
        <f>SUMIFS(#REF!,#REF!,Plano_Detalhado!E144,#REF!,Plano_Detalhado!F144)</f>
        <v>#REF!</v>
      </c>
      <c r="L144" s="67" t="e">
        <f t="shared" si="17"/>
        <v>#REF!</v>
      </c>
      <c r="M144" s="61"/>
      <c r="N144" s="61" t="e">
        <f t="shared" si="18"/>
        <v>#REF!</v>
      </c>
      <c r="O144" s="61" t="e">
        <f t="shared" si="14"/>
        <v>#REF!</v>
      </c>
      <c r="P144" s="20" t="s">
        <v>85</v>
      </c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24"/>
      <c r="BI144" s="14"/>
      <c r="BJ144" s="14"/>
      <c r="BK144" s="14"/>
      <c r="BL144" s="14"/>
      <c r="BN144" s="2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</row>
    <row r="145" spans="1:79" hidden="1" outlineLevel="1" x14ac:dyDescent="0.4">
      <c r="A145" s="3" t="str">
        <f t="shared" si="15"/>
        <v>PROPERTYCONSERVATORY_REG_FILE_ID</v>
      </c>
      <c r="B145" s="8" t="s">
        <v>16</v>
      </c>
      <c r="C145" s="9" t="s">
        <v>44</v>
      </c>
      <c r="D145" s="6" t="s">
        <v>30</v>
      </c>
      <c r="E145" s="7" t="s">
        <v>84</v>
      </c>
      <c r="F145" s="7" t="s">
        <v>100</v>
      </c>
      <c r="G145" s="6" t="e">
        <f>INDEX(#REF!,MATCH(Plano_Detalhado!H145,#REF!,0),1)</f>
        <v>#REF!</v>
      </c>
      <c r="H145" s="6" t="e">
        <f>VLOOKUP(A145,#REF!,2,0)</f>
        <v>#REF!</v>
      </c>
      <c r="I145" s="67" t="e">
        <f>SUMIFS(#REF!,#REF!,Plano_Detalhado!E145,#REF!,Plano_Detalhado!F145)</f>
        <v>#REF!</v>
      </c>
      <c r="J145" s="67" t="e">
        <f t="shared" si="16"/>
        <v>#REF!</v>
      </c>
      <c r="K145" s="67" t="e">
        <f>SUMIFS(#REF!,#REF!,Plano_Detalhado!E145,#REF!,Plano_Detalhado!F145)</f>
        <v>#REF!</v>
      </c>
      <c r="L145" s="67" t="e">
        <f t="shared" si="17"/>
        <v>#REF!</v>
      </c>
      <c r="M145" s="61"/>
      <c r="N145" s="61" t="e">
        <f t="shared" si="18"/>
        <v>#REF!</v>
      </c>
      <c r="O145" s="61" t="e">
        <f t="shared" si="14"/>
        <v>#REF!</v>
      </c>
      <c r="P145" s="20" t="s">
        <v>85</v>
      </c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24"/>
      <c r="BI145" s="14"/>
      <c r="BJ145" s="14"/>
      <c r="BK145" s="14"/>
      <c r="BL145" s="14"/>
      <c r="BN145" s="2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</row>
    <row r="146" spans="1:79" hidden="1" outlineLevel="1" x14ac:dyDescent="0.4">
      <c r="A146" s="3" t="str">
        <f t="shared" si="15"/>
        <v>PROPERTYFLOOR_NUMBER</v>
      </c>
      <c r="B146" s="8" t="s">
        <v>16</v>
      </c>
      <c r="C146" s="9" t="s">
        <v>44</v>
      </c>
      <c r="D146" s="6" t="s">
        <v>30</v>
      </c>
      <c r="E146" s="7" t="s">
        <v>84</v>
      </c>
      <c r="F146" s="7" t="s">
        <v>101</v>
      </c>
      <c r="G146" s="6" t="e">
        <f>INDEX(#REF!,MATCH(Plano_Detalhado!H146,#REF!,0),1)</f>
        <v>#REF!</v>
      </c>
      <c r="H146" s="6" t="e">
        <f>VLOOKUP(A146,#REF!,2,0)</f>
        <v>#REF!</v>
      </c>
      <c r="I146" s="67" t="e">
        <f>SUMIFS(#REF!,#REF!,Plano_Detalhado!E146,#REF!,Plano_Detalhado!F146)</f>
        <v>#REF!</v>
      </c>
      <c r="J146" s="67" t="e">
        <f t="shared" si="16"/>
        <v>#REF!</v>
      </c>
      <c r="K146" s="67" t="e">
        <f>SUMIFS(#REF!,#REF!,Plano_Detalhado!E146,#REF!,Plano_Detalhado!F146)</f>
        <v>#REF!</v>
      </c>
      <c r="L146" s="67" t="e">
        <f t="shared" si="17"/>
        <v>#REF!</v>
      </c>
      <c r="M146" s="61"/>
      <c r="N146" s="61" t="e">
        <f t="shared" si="18"/>
        <v>#REF!</v>
      </c>
      <c r="O146" s="61" t="e">
        <f t="shared" si="14"/>
        <v>#REF!</v>
      </c>
      <c r="P146" s="20" t="s">
        <v>85</v>
      </c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24"/>
      <c r="BI146" s="14"/>
      <c r="BJ146" s="14"/>
      <c r="BK146" s="14"/>
      <c r="BL146" s="14"/>
      <c r="BN146" s="2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</row>
    <row r="147" spans="1:79" hidden="1" outlineLevel="1" x14ac:dyDescent="0.4">
      <c r="A147" s="3" t="str">
        <f t="shared" si="15"/>
        <v>PROPERTYLOCALITY</v>
      </c>
      <c r="B147" s="8" t="s">
        <v>16</v>
      </c>
      <c r="C147" s="9" t="s">
        <v>44</v>
      </c>
      <c r="D147" s="6" t="s">
        <v>30</v>
      </c>
      <c r="E147" s="7" t="s">
        <v>84</v>
      </c>
      <c r="F147" s="7" t="s">
        <v>102</v>
      </c>
      <c r="G147" s="6" t="e">
        <f>INDEX(#REF!,MATCH(Plano_Detalhado!H147,#REF!,0),1)</f>
        <v>#REF!</v>
      </c>
      <c r="H147" s="6" t="e">
        <f>VLOOKUP(A147,#REF!,2,0)</f>
        <v>#REF!</v>
      </c>
      <c r="I147" s="67" t="e">
        <f>SUMIFS(#REF!,#REF!,Plano_Detalhado!E147,#REF!,Plano_Detalhado!F147)</f>
        <v>#REF!</v>
      </c>
      <c r="J147" s="67" t="e">
        <f t="shared" si="16"/>
        <v>#REF!</v>
      </c>
      <c r="K147" s="67" t="e">
        <f>SUMIFS(#REF!,#REF!,Plano_Detalhado!E147,#REF!,Plano_Detalhado!F147)</f>
        <v>#REF!</v>
      </c>
      <c r="L147" s="67" t="e">
        <f t="shared" si="17"/>
        <v>#REF!</v>
      </c>
      <c r="M147" s="61"/>
      <c r="N147" s="61" t="e">
        <f t="shared" si="18"/>
        <v>#REF!</v>
      </c>
      <c r="O147" s="61" t="e">
        <f t="shared" si="14"/>
        <v>#REF!</v>
      </c>
      <c r="P147" s="20" t="s">
        <v>85</v>
      </c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24"/>
      <c r="BI147" s="14"/>
      <c r="BJ147" s="14"/>
      <c r="BK147" s="14"/>
      <c r="BL147" s="14"/>
      <c r="BN147" s="2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</row>
    <row r="148" spans="1:79" hidden="1" outlineLevel="1" x14ac:dyDescent="0.4">
      <c r="A148" s="3" t="str">
        <f t="shared" si="15"/>
        <v>PROPERTYPROPERTY_LOT</v>
      </c>
      <c r="B148" s="8" t="s">
        <v>16</v>
      </c>
      <c r="C148" s="9" t="s">
        <v>44</v>
      </c>
      <c r="D148" s="6" t="s">
        <v>30</v>
      </c>
      <c r="E148" s="7" t="s">
        <v>84</v>
      </c>
      <c r="F148" s="7" t="s">
        <v>103</v>
      </c>
      <c r="G148" s="6" t="e">
        <f>INDEX(#REF!,MATCH(Plano_Detalhado!H148,#REF!,0),1)</f>
        <v>#REF!</v>
      </c>
      <c r="H148" s="6" t="e">
        <f>VLOOKUP(A148,#REF!,2,0)</f>
        <v>#REF!</v>
      </c>
      <c r="I148" s="67" t="e">
        <f>SUMIFS(#REF!,#REF!,Plano_Detalhado!E148,#REF!,Plano_Detalhado!F148)</f>
        <v>#REF!</v>
      </c>
      <c r="J148" s="67" t="e">
        <f t="shared" si="16"/>
        <v>#REF!</v>
      </c>
      <c r="K148" s="67" t="e">
        <f>SUMIFS(#REF!,#REF!,Plano_Detalhado!E148,#REF!,Plano_Detalhado!F148)</f>
        <v>#REF!</v>
      </c>
      <c r="L148" s="67" t="e">
        <f t="shared" si="17"/>
        <v>#REF!</v>
      </c>
      <c r="M148" s="61"/>
      <c r="N148" s="61" t="e">
        <f t="shared" si="18"/>
        <v>#REF!</v>
      </c>
      <c r="O148" s="61" t="e">
        <f t="shared" si="14"/>
        <v>#REF!</v>
      </c>
      <c r="P148" s="20" t="s">
        <v>85</v>
      </c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24"/>
      <c r="BI148" s="14"/>
      <c r="BJ148" s="14"/>
      <c r="BK148" s="14"/>
      <c r="BL148" s="14"/>
      <c r="BN148" s="2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</row>
    <row r="149" spans="1:79" hidden="1" outlineLevel="1" x14ac:dyDescent="0.4">
      <c r="A149" s="3" t="str">
        <f t="shared" si="15"/>
        <v>PROPERTYLAST_APPRAISAL_AMOUNT</v>
      </c>
      <c r="B149" s="8" t="s">
        <v>16</v>
      </c>
      <c r="C149" s="9" t="s">
        <v>44</v>
      </c>
      <c r="D149" s="6" t="s">
        <v>30</v>
      </c>
      <c r="E149" s="7" t="s">
        <v>84</v>
      </c>
      <c r="F149" s="7" t="s">
        <v>104</v>
      </c>
      <c r="G149" s="6" t="e">
        <f>INDEX(#REF!,MATCH(Plano_Detalhado!H149,#REF!,0),1)</f>
        <v>#REF!</v>
      </c>
      <c r="H149" s="6" t="e">
        <f>VLOOKUP(A149,#REF!,2,0)</f>
        <v>#REF!</v>
      </c>
      <c r="I149" s="67" t="e">
        <f>SUMIFS(#REF!,#REF!,Plano_Detalhado!E149,#REF!,Plano_Detalhado!F149)</f>
        <v>#REF!</v>
      </c>
      <c r="J149" s="67" t="e">
        <f t="shared" si="16"/>
        <v>#REF!</v>
      </c>
      <c r="K149" s="67" t="e">
        <f>SUMIFS(#REF!,#REF!,Plano_Detalhado!E149,#REF!,Plano_Detalhado!F149)</f>
        <v>#REF!</v>
      </c>
      <c r="L149" s="67" t="e">
        <f t="shared" si="17"/>
        <v>#REF!</v>
      </c>
      <c r="M149" s="61"/>
      <c r="N149" s="61" t="e">
        <f t="shared" si="18"/>
        <v>#REF!</v>
      </c>
      <c r="O149" s="61" t="e">
        <f t="shared" si="14"/>
        <v>#REF!</v>
      </c>
      <c r="P149" s="20" t="s">
        <v>85</v>
      </c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24"/>
      <c r="BI149" s="14"/>
      <c r="BJ149" s="14"/>
      <c r="BK149" s="14"/>
      <c r="BL149" s="14"/>
      <c r="BN149" s="2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</row>
    <row r="150" spans="1:79" hidden="1" outlineLevel="1" x14ac:dyDescent="0.4">
      <c r="A150" s="3" t="str">
        <f t="shared" si="15"/>
        <v>PROPERTYNET_APPRAISAL_AMOUNT</v>
      </c>
      <c r="B150" s="8" t="s">
        <v>16</v>
      </c>
      <c r="C150" s="9" t="s">
        <v>44</v>
      </c>
      <c r="D150" s="6" t="s">
        <v>30</v>
      </c>
      <c r="E150" s="7" t="s">
        <v>84</v>
      </c>
      <c r="F150" s="7" t="s">
        <v>105</v>
      </c>
      <c r="G150" s="6" t="e">
        <f>INDEX(#REF!,MATCH(Plano_Detalhado!H150,#REF!,0),1)</f>
        <v>#REF!</v>
      </c>
      <c r="H150" s="6" t="e">
        <f>VLOOKUP(A150,#REF!,2,0)</f>
        <v>#REF!</v>
      </c>
      <c r="I150" s="67" t="e">
        <f>SUMIFS(#REF!,#REF!,Plano_Detalhado!E150,#REF!,Plano_Detalhado!F150)</f>
        <v>#REF!</v>
      </c>
      <c r="J150" s="67" t="e">
        <f t="shared" si="16"/>
        <v>#REF!</v>
      </c>
      <c r="K150" s="67" t="e">
        <f>SUMIFS(#REF!,#REF!,Plano_Detalhado!E150,#REF!,Plano_Detalhado!F150)</f>
        <v>#REF!</v>
      </c>
      <c r="L150" s="67" t="e">
        <f t="shared" si="17"/>
        <v>#REF!</v>
      </c>
      <c r="M150" s="61"/>
      <c r="N150" s="61" t="e">
        <f t="shared" si="18"/>
        <v>#REF!</v>
      </c>
      <c r="O150" s="61" t="e">
        <f t="shared" si="14"/>
        <v>#REF!</v>
      </c>
      <c r="P150" s="20" t="s">
        <v>85</v>
      </c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24"/>
      <c r="BI150" s="14"/>
      <c r="BJ150" s="14"/>
      <c r="BK150" s="14"/>
      <c r="BL150" s="14"/>
      <c r="BN150" s="2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</row>
    <row r="151" spans="1:79" hidden="1" outlineLevel="1" x14ac:dyDescent="0.4">
      <c r="A151" s="3" t="str">
        <f t="shared" si="15"/>
        <v>PROPERTYCOLLATERAL_FAST_SALE_AMOUNT</v>
      </c>
      <c r="B151" s="8" t="s">
        <v>16</v>
      </c>
      <c r="C151" s="9" t="s">
        <v>44</v>
      </c>
      <c r="D151" s="6" t="s">
        <v>30</v>
      </c>
      <c r="E151" s="7" t="s">
        <v>84</v>
      </c>
      <c r="F151" s="7" t="s">
        <v>106</v>
      </c>
      <c r="G151" s="6" t="e">
        <f>INDEX(#REF!,MATCH(Plano_Detalhado!H151,#REF!,0),1)</f>
        <v>#REF!</v>
      </c>
      <c r="H151" s="6" t="e">
        <f>VLOOKUP(A151,#REF!,2,0)</f>
        <v>#REF!</v>
      </c>
      <c r="I151" s="67" t="e">
        <f>SUMIFS(#REF!,#REF!,Plano_Detalhado!E151,#REF!,Plano_Detalhado!F151)</f>
        <v>#REF!</v>
      </c>
      <c r="J151" s="67" t="e">
        <f t="shared" si="16"/>
        <v>#REF!</v>
      </c>
      <c r="K151" s="67" t="e">
        <f>SUMIFS(#REF!,#REF!,Plano_Detalhado!E151,#REF!,Plano_Detalhado!F151)</f>
        <v>#REF!</v>
      </c>
      <c r="L151" s="67" t="e">
        <f t="shared" si="17"/>
        <v>#REF!</v>
      </c>
      <c r="M151" s="61"/>
      <c r="N151" s="61" t="e">
        <f t="shared" si="18"/>
        <v>#REF!</v>
      </c>
      <c r="O151" s="61" t="e">
        <f t="shared" si="14"/>
        <v>#REF!</v>
      </c>
      <c r="P151" s="20" t="s">
        <v>85</v>
      </c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24"/>
      <c r="BI151" s="14"/>
      <c r="BJ151" s="14"/>
      <c r="BK151" s="14"/>
      <c r="BL151" s="14"/>
      <c r="BN151" s="2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</row>
    <row r="152" spans="1:79" hidden="1" outlineLevel="1" x14ac:dyDescent="0.4">
      <c r="A152" s="3" t="str">
        <f t="shared" si="15"/>
        <v>PROPERTYADDRESS</v>
      </c>
      <c r="B152" s="8" t="s">
        <v>16</v>
      </c>
      <c r="C152" s="9" t="s">
        <v>44</v>
      </c>
      <c r="D152" s="6" t="s">
        <v>30</v>
      </c>
      <c r="E152" s="7" t="s">
        <v>84</v>
      </c>
      <c r="F152" s="7" t="s">
        <v>107</v>
      </c>
      <c r="G152" s="6" t="e">
        <f>INDEX(#REF!,MATCH(Plano_Detalhado!H152,#REF!,0),1)</f>
        <v>#REF!</v>
      </c>
      <c r="H152" s="6" t="e">
        <f>VLOOKUP(A152,#REF!,2,0)</f>
        <v>#REF!</v>
      </c>
      <c r="I152" s="67" t="e">
        <f>SUMIFS(#REF!,#REF!,Plano_Detalhado!E152,#REF!,Plano_Detalhado!F152)</f>
        <v>#REF!</v>
      </c>
      <c r="J152" s="67" t="e">
        <f t="shared" si="16"/>
        <v>#REF!</v>
      </c>
      <c r="K152" s="67" t="e">
        <f>SUMIFS(#REF!,#REF!,Plano_Detalhado!E152,#REF!,Plano_Detalhado!F152)</f>
        <v>#REF!</v>
      </c>
      <c r="L152" s="67" t="e">
        <f t="shared" si="17"/>
        <v>#REF!</v>
      </c>
      <c r="M152" s="61"/>
      <c r="N152" s="61" t="e">
        <f t="shared" si="18"/>
        <v>#REF!</v>
      </c>
      <c r="O152" s="61" t="e">
        <f t="shared" si="14"/>
        <v>#REF!</v>
      </c>
      <c r="P152" s="20" t="s">
        <v>85</v>
      </c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24"/>
      <c r="BI152" s="14"/>
      <c r="BJ152" s="14"/>
      <c r="BK152" s="14"/>
      <c r="BL152" s="14"/>
      <c r="BN152" s="2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</row>
    <row r="153" spans="1:79" hidden="1" outlineLevel="1" x14ac:dyDescent="0.4">
      <c r="A153" s="3" t="str">
        <f t="shared" si="15"/>
        <v>PROPERTYPROPERTY_NUMBER</v>
      </c>
      <c r="B153" s="8" t="s">
        <v>16</v>
      </c>
      <c r="C153" s="9" t="s">
        <v>44</v>
      </c>
      <c r="D153" s="6" t="s">
        <v>30</v>
      </c>
      <c r="E153" s="7" t="s">
        <v>84</v>
      </c>
      <c r="F153" s="7" t="s">
        <v>108</v>
      </c>
      <c r="G153" s="6" t="e">
        <f>INDEX(#REF!,MATCH(Plano_Detalhado!H153,#REF!,0),1)</f>
        <v>#REF!</v>
      </c>
      <c r="H153" s="6" t="e">
        <f>VLOOKUP(A153,#REF!,2,0)</f>
        <v>#REF!</v>
      </c>
      <c r="I153" s="67" t="e">
        <f>SUMIFS(#REF!,#REF!,Plano_Detalhado!E153,#REF!,Plano_Detalhado!F153)</f>
        <v>#REF!</v>
      </c>
      <c r="J153" s="67" t="e">
        <f t="shared" si="16"/>
        <v>#REF!</v>
      </c>
      <c r="K153" s="67" t="e">
        <f>SUMIFS(#REF!,#REF!,Plano_Detalhado!E153,#REF!,Plano_Detalhado!F153)</f>
        <v>#REF!</v>
      </c>
      <c r="L153" s="67" t="e">
        <f t="shared" si="17"/>
        <v>#REF!</v>
      </c>
      <c r="M153" s="61"/>
      <c r="N153" s="61" t="e">
        <f t="shared" si="18"/>
        <v>#REF!</v>
      </c>
      <c r="O153" s="61" t="e">
        <f t="shared" si="14"/>
        <v>#REF!</v>
      </c>
      <c r="P153" s="20" t="s">
        <v>85</v>
      </c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24"/>
      <c r="BI153" s="14"/>
      <c r="BJ153" s="14"/>
      <c r="BK153" s="14"/>
      <c r="BL153" s="14"/>
      <c r="BN153" s="2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</row>
    <row r="154" spans="1:79" hidden="1" outlineLevel="1" x14ac:dyDescent="0.4">
      <c r="A154" s="3" t="str">
        <f t="shared" si="15"/>
        <v>PROPERTYOrigem</v>
      </c>
      <c r="B154" s="8" t="s">
        <v>16</v>
      </c>
      <c r="C154" s="9" t="s">
        <v>44</v>
      </c>
      <c r="D154" s="6" t="s">
        <v>30</v>
      </c>
      <c r="E154" s="7" t="s">
        <v>84</v>
      </c>
      <c r="F154" s="7" t="s">
        <v>109</v>
      </c>
      <c r="G154" s="6" t="e">
        <f>INDEX(#REF!,MATCH(Plano_Detalhado!H154,#REF!,0),1)</f>
        <v>#REF!</v>
      </c>
      <c r="H154" s="6" t="e">
        <f>VLOOKUP(A154,#REF!,2,0)</f>
        <v>#REF!</v>
      </c>
      <c r="I154" s="67" t="e">
        <f>SUMIFS(#REF!,#REF!,Plano_Detalhado!E154,#REF!,Plano_Detalhado!F154)</f>
        <v>#REF!</v>
      </c>
      <c r="J154" s="67" t="e">
        <f t="shared" si="16"/>
        <v>#REF!</v>
      </c>
      <c r="K154" s="67" t="e">
        <f>SUMIFS(#REF!,#REF!,Plano_Detalhado!E154,#REF!,Plano_Detalhado!F154)</f>
        <v>#REF!</v>
      </c>
      <c r="L154" s="67" t="e">
        <f t="shared" si="17"/>
        <v>#REF!</v>
      </c>
      <c r="M154" s="61"/>
      <c r="N154" s="61" t="e">
        <f t="shared" si="18"/>
        <v>#REF!</v>
      </c>
      <c r="O154" s="61" t="e">
        <f t="shared" si="14"/>
        <v>#REF!</v>
      </c>
      <c r="P154" s="20" t="s">
        <v>85</v>
      </c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24"/>
      <c r="BI154" s="14"/>
      <c r="BJ154" s="14"/>
      <c r="BK154" s="14"/>
      <c r="BL154" s="14"/>
      <c r="BN154" s="2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</row>
    <row r="155" spans="1:79" hidden="1" outlineLevel="1" x14ac:dyDescent="0.4">
      <c r="A155" s="3" t="str">
        <f t="shared" si="15"/>
        <v>PROPERTYCURRENT_CONSTRUCTION_PCT</v>
      </c>
      <c r="B155" s="8" t="s">
        <v>16</v>
      </c>
      <c r="C155" s="9" t="s">
        <v>44</v>
      </c>
      <c r="D155" s="6" t="s">
        <v>30</v>
      </c>
      <c r="E155" s="7" t="s">
        <v>84</v>
      </c>
      <c r="F155" s="7" t="s">
        <v>110</v>
      </c>
      <c r="G155" s="6" t="e">
        <f>INDEX(#REF!,MATCH(Plano_Detalhado!H155,#REF!,0),1)</f>
        <v>#REF!</v>
      </c>
      <c r="H155" s="6" t="e">
        <f>VLOOKUP(A155,#REF!,2,0)</f>
        <v>#REF!</v>
      </c>
      <c r="I155" s="67" t="e">
        <f>SUMIFS(#REF!,#REF!,Plano_Detalhado!E155,#REF!,Plano_Detalhado!F155)</f>
        <v>#REF!</v>
      </c>
      <c r="J155" s="67" t="e">
        <f t="shared" si="16"/>
        <v>#REF!</v>
      </c>
      <c r="K155" s="67" t="e">
        <f>SUMIFS(#REF!,#REF!,Plano_Detalhado!E155,#REF!,Plano_Detalhado!F155)</f>
        <v>#REF!</v>
      </c>
      <c r="L155" s="67" t="e">
        <f t="shared" si="17"/>
        <v>#REF!</v>
      </c>
      <c r="M155" s="61"/>
      <c r="N155" s="61" t="e">
        <f t="shared" si="18"/>
        <v>#REF!</v>
      </c>
      <c r="O155" s="61" t="e">
        <f t="shared" si="14"/>
        <v>#REF!</v>
      </c>
      <c r="P155" s="20" t="s">
        <v>85</v>
      </c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24"/>
      <c r="BI155" s="14"/>
      <c r="BJ155" s="14"/>
      <c r="BK155" s="14"/>
      <c r="BL155" s="14"/>
      <c r="BN155" s="2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</row>
    <row r="156" spans="1:79" hidden="1" outlineLevel="1" x14ac:dyDescent="0.4">
      <c r="A156" s="3" t="str">
        <f t="shared" si="15"/>
        <v>PROPERTYCONSTRUCTION_COMPLETED_PCT</v>
      </c>
      <c r="B156" s="8" t="s">
        <v>16</v>
      </c>
      <c r="C156" s="9" t="s">
        <v>44</v>
      </c>
      <c r="D156" s="6" t="s">
        <v>30</v>
      </c>
      <c r="E156" s="7" t="s">
        <v>84</v>
      </c>
      <c r="F156" s="7" t="s">
        <v>111</v>
      </c>
      <c r="G156" s="6" t="e">
        <f>INDEX(#REF!,MATCH(Plano_Detalhado!H156,#REF!,0),1)</f>
        <v>#REF!</v>
      </c>
      <c r="H156" s="6" t="e">
        <f>VLOOKUP(A156,#REF!,2,0)</f>
        <v>#REF!</v>
      </c>
      <c r="I156" s="67" t="e">
        <f>SUMIFS(#REF!,#REF!,Plano_Detalhado!E156,#REF!,Plano_Detalhado!F156)</f>
        <v>#REF!</v>
      </c>
      <c r="J156" s="67" t="e">
        <f t="shared" si="16"/>
        <v>#REF!</v>
      </c>
      <c r="K156" s="67" t="e">
        <f>SUMIFS(#REF!,#REF!,Plano_Detalhado!E156,#REF!,Plano_Detalhado!F156)</f>
        <v>#REF!</v>
      </c>
      <c r="L156" s="67" t="e">
        <f t="shared" si="17"/>
        <v>#REF!</v>
      </c>
      <c r="M156" s="61"/>
      <c r="N156" s="61" t="e">
        <f t="shared" si="18"/>
        <v>#REF!</v>
      </c>
      <c r="O156" s="61" t="e">
        <f t="shared" si="14"/>
        <v>#REF!</v>
      </c>
      <c r="P156" s="20" t="s">
        <v>85</v>
      </c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24"/>
      <c r="BI156" s="14"/>
      <c r="BJ156" s="14"/>
      <c r="BK156" s="14"/>
      <c r="BL156" s="14"/>
      <c r="BN156" s="2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</row>
    <row r="157" spans="1:79" hidden="1" outlineLevel="1" x14ac:dyDescent="0.4">
      <c r="A157" s="3" t="str">
        <f t="shared" si="15"/>
        <v>PROPERTYDATA_DATE_PART</v>
      </c>
      <c r="B157" s="8" t="s">
        <v>16</v>
      </c>
      <c r="C157" s="9" t="s">
        <v>44</v>
      </c>
      <c r="D157" s="6" t="s">
        <v>30</v>
      </c>
      <c r="E157" s="7" t="s">
        <v>84</v>
      </c>
      <c r="F157" s="7" t="s">
        <v>63</v>
      </c>
      <c r="G157" s="6" t="e">
        <f>INDEX(#REF!,MATCH(Plano_Detalhado!H157,#REF!,0),1)</f>
        <v>#REF!</v>
      </c>
      <c r="H157" s="6" t="e">
        <f>VLOOKUP(A157,#REF!,2,0)</f>
        <v>#REF!</v>
      </c>
      <c r="I157" s="67" t="e">
        <f>SUMIFS(#REF!,#REF!,Plano_Detalhado!E157,#REF!,Plano_Detalhado!F157)</f>
        <v>#REF!</v>
      </c>
      <c r="J157" s="67" t="e">
        <f t="shared" si="16"/>
        <v>#REF!</v>
      </c>
      <c r="K157" s="67" t="e">
        <f>SUMIFS(#REF!,#REF!,Plano_Detalhado!E157,#REF!,Plano_Detalhado!F157)</f>
        <v>#REF!</v>
      </c>
      <c r="L157" s="67" t="e">
        <f t="shared" si="17"/>
        <v>#REF!</v>
      </c>
      <c r="M157" s="61"/>
      <c r="N157" s="61" t="e">
        <f t="shared" si="18"/>
        <v>#REF!</v>
      </c>
      <c r="O157" s="61" t="e">
        <f t="shared" si="14"/>
        <v>#REF!</v>
      </c>
      <c r="P157" s="20" t="s">
        <v>85</v>
      </c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24"/>
      <c r="BI157" s="14"/>
      <c r="BJ157" s="14"/>
      <c r="BK157" s="14"/>
      <c r="BL157" s="14"/>
      <c r="BN157" s="2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</row>
    <row r="158" spans="1:79" hidden="1" outlineLevel="1" x14ac:dyDescent="0.4">
      <c r="A158" s="3" t="str">
        <f t="shared" si="15"/>
        <v>PROPERTYURBANIZATION</v>
      </c>
      <c r="B158" s="8" t="s">
        <v>16</v>
      </c>
      <c r="C158" s="9" t="s">
        <v>44</v>
      </c>
      <c r="D158" s="6" t="s">
        <v>30</v>
      </c>
      <c r="E158" s="7" t="s">
        <v>84</v>
      </c>
      <c r="F158" s="7" t="s">
        <v>112</v>
      </c>
      <c r="G158" s="6" t="e">
        <f>INDEX(#REF!,MATCH(Plano_Detalhado!H158,#REF!,0),1)</f>
        <v>#REF!</v>
      </c>
      <c r="H158" s="6" t="e">
        <f>VLOOKUP(A158,#REF!,2,0)</f>
        <v>#REF!</v>
      </c>
      <c r="I158" s="67" t="e">
        <f>SUMIFS(#REF!,#REF!,Plano_Detalhado!E158,#REF!,Plano_Detalhado!F158)</f>
        <v>#REF!</v>
      </c>
      <c r="J158" s="67" t="e">
        <f t="shared" si="16"/>
        <v>#REF!</v>
      </c>
      <c r="K158" s="67" t="e">
        <f>SUMIFS(#REF!,#REF!,Plano_Detalhado!E158,#REF!,Plano_Detalhado!F158)</f>
        <v>#REF!</v>
      </c>
      <c r="L158" s="67" t="e">
        <f t="shared" si="17"/>
        <v>#REF!</v>
      </c>
      <c r="M158" s="61"/>
      <c r="N158" s="61" t="e">
        <f t="shared" si="18"/>
        <v>#REF!</v>
      </c>
      <c r="O158" s="61" t="e">
        <f t="shared" si="14"/>
        <v>#REF!</v>
      </c>
      <c r="P158" s="20" t="s">
        <v>85</v>
      </c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24"/>
      <c r="BI158" s="14"/>
      <c r="BJ158" s="14"/>
      <c r="BK158" s="14"/>
      <c r="BL158" s="14"/>
      <c r="BN158" s="2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</row>
    <row r="159" spans="1:79" hidden="1" outlineLevel="1" x14ac:dyDescent="0.4">
      <c r="A159" s="3" t="str">
        <f t="shared" si="15"/>
        <v>PROPERTYCGARANT_BEM</v>
      </c>
      <c r="B159" s="8"/>
      <c r="C159" s="9"/>
      <c r="D159" s="6" t="s">
        <v>30</v>
      </c>
      <c r="E159" s="7" t="s">
        <v>84</v>
      </c>
      <c r="F159" s="7" t="s">
        <v>520</v>
      </c>
      <c r="G159" s="6" t="e">
        <f>INDEX(#REF!,MATCH(Plano_Detalhado!H159,#REF!,0),1)</f>
        <v>#REF!</v>
      </c>
      <c r="H159" s="6" t="e">
        <f>VLOOKUP(A159,#REF!,2,0)</f>
        <v>#REF!</v>
      </c>
      <c r="I159" s="67" t="e">
        <f>SUMIFS(#REF!,#REF!,Plano_Detalhado!E159,#REF!,Plano_Detalhado!F159)</f>
        <v>#REF!</v>
      </c>
      <c r="J159" s="67" t="e">
        <f t="shared" ref="J159" si="19">I159/8</f>
        <v>#REF!</v>
      </c>
      <c r="K159" s="67" t="e">
        <f>SUMIFS(#REF!,#REF!,Plano_Detalhado!E159,#REF!,Plano_Detalhado!F159)</f>
        <v>#REF!</v>
      </c>
      <c r="L159" s="67" t="e">
        <f t="shared" ref="L159" si="20">K159/8</f>
        <v>#REF!</v>
      </c>
      <c r="M159" s="61"/>
      <c r="N159" s="61" t="e">
        <f t="shared" si="18"/>
        <v>#REF!</v>
      </c>
      <c r="O159" s="61" t="e">
        <f t="shared" si="14"/>
        <v>#REF!</v>
      </c>
      <c r="P159" s="20" t="s">
        <v>85</v>
      </c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24"/>
      <c r="BI159" s="14"/>
      <c r="BJ159" s="14"/>
      <c r="BK159" s="14"/>
      <c r="BL159" s="14"/>
      <c r="BN159" s="2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</row>
    <row r="160" spans="1:79" hidden="1" outlineLevel="1" x14ac:dyDescent="0.4">
      <c r="A160" s="3" t="str">
        <f t="shared" si="15"/>
        <v>PROPERTY_ENERGY_CERTIFICATEn.a.</v>
      </c>
      <c r="B160" s="8" t="s">
        <v>16</v>
      </c>
      <c r="C160" s="9" t="s">
        <v>44</v>
      </c>
      <c r="D160" s="6" t="s">
        <v>26</v>
      </c>
      <c r="E160" s="7" t="s">
        <v>113</v>
      </c>
      <c r="F160" s="6" t="s">
        <v>28</v>
      </c>
      <c r="G160" s="6" t="e">
        <f>INDEX(#REF!,MATCH(Plano_Detalhado!H160,#REF!,0),1)</f>
        <v>#REF!</v>
      </c>
      <c r="H160" s="6" t="e">
        <f>VLOOKUP(A160,#REF!,2,0)</f>
        <v>#REF!</v>
      </c>
      <c r="I160" s="67" t="e">
        <f>SUMIFS(#REF!,#REF!,Plano_Detalhado!E160,#REF!,Plano_Detalhado!F160)</f>
        <v>#REF!</v>
      </c>
      <c r="J160" s="67" t="e">
        <f t="shared" si="16"/>
        <v>#REF!</v>
      </c>
      <c r="K160" s="67" t="e">
        <f>SUMIFS(#REF!,#REF!,Plano_Detalhado!E160,#REF!,Plano_Detalhado!F160)</f>
        <v>#REF!</v>
      </c>
      <c r="L160" s="67" t="e">
        <f t="shared" si="17"/>
        <v>#REF!</v>
      </c>
      <c r="M160" s="61"/>
      <c r="N160" s="61" t="e">
        <f t="shared" si="18"/>
        <v>#REF!</v>
      </c>
      <c r="O160" s="61" t="e">
        <f t="shared" si="14"/>
        <v>#REF!</v>
      </c>
      <c r="P160" s="20" t="s">
        <v>114</v>
      </c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24"/>
      <c r="BI160" s="14"/>
      <c r="BJ160" s="14"/>
      <c r="BK160" s="14"/>
      <c r="BL160" s="14"/>
      <c r="BN160" s="2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</row>
    <row r="161" spans="1:79" hidden="1" outlineLevel="1" x14ac:dyDescent="0.4">
      <c r="A161" s="3" t="str">
        <f t="shared" si="15"/>
        <v>PROPERTY_ENERGY_CERTIFICATEPROPERTY_BANK_ID</v>
      </c>
      <c r="B161" s="8" t="s">
        <v>16</v>
      </c>
      <c r="C161" s="9" t="s">
        <v>44</v>
      </c>
      <c r="D161" s="6" t="s">
        <v>30</v>
      </c>
      <c r="E161" s="7" t="s">
        <v>113</v>
      </c>
      <c r="F161" s="7" t="s">
        <v>31</v>
      </c>
      <c r="G161" s="6" t="e">
        <f>INDEX(#REF!,MATCH(Plano_Detalhado!H161,#REF!,0),1)</f>
        <v>#REF!</v>
      </c>
      <c r="H161" s="6" t="e">
        <f>VLOOKUP(A161,#REF!,2,0)</f>
        <v>#REF!</v>
      </c>
      <c r="I161" s="67" t="e">
        <f>SUMIFS(#REF!,#REF!,Plano_Detalhado!E161,#REF!,Plano_Detalhado!F161)</f>
        <v>#REF!</v>
      </c>
      <c r="J161" s="67" t="e">
        <f t="shared" si="16"/>
        <v>#REF!</v>
      </c>
      <c r="K161" s="67" t="e">
        <f>SUMIFS(#REF!,#REF!,Plano_Detalhado!E161,#REF!,Plano_Detalhado!F161)</f>
        <v>#REF!</v>
      </c>
      <c r="L161" s="67" t="e">
        <f t="shared" si="17"/>
        <v>#REF!</v>
      </c>
      <c r="M161" s="61"/>
      <c r="N161" s="61" t="e">
        <f t="shared" si="18"/>
        <v>#REF!</v>
      </c>
      <c r="O161" s="61" t="e">
        <f t="shared" si="14"/>
        <v>#REF!</v>
      </c>
      <c r="P161" s="20" t="s">
        <v>114</v>
      </c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24"/>
      <c r="BI161" s="14"/>
      <c r="BJ161" s="14"/>
      <c r="BK161" s="14"/>
      <c r="BL161" s="14"/>
      <c r="BN161" s="2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</row>
    <row r="162" spans="1:79" hidden="1" outlineLevel="1" x14ac:dyDescent="0.4">
      <c r="A162" s="3" t="str">
        <f t="shared" si="15"/>
        <v>PROPERTY_ENERGY_CERTIFICATEPROPERTY_BRANCH_CODE</v>
      </c>
      <c r="B162" s="8" t="s">
        <v>16</v>
      </c>
      <c r="C162" s="9" t="s">
        <v>44</v>
      </c>
      <c r="D162" s="6" t="s">
        <v>30</v>
      </c>
      <c r="E162" s="7" t="s">
        <v>113</v>
      </c>
      <c r="F162" s="7" t="s">
        <v>33</v>
      </c>
      <c r="G162" s="6" t="e">
        <f>INDEX(#REF!,MATCH(Plano_Detalhado!H162,#REF!,0),1)</f>
        <v>#REF!</v>
      </c>
      <c r="H162" s="6" t="e">
        <f>VLOOKUP(A162,#REF!,2,0)</f>
        <v>#REF!</v>
      </c>
      <c r="I162" s="67" t="e">
        <f>SUMIFS(#REF!,#REF!,Plano_Detalhado!E162,#REF!,Plano_Detalhado!F162)</f>
        <v>#REF!</v>
      </c>
      <c r="J162" s="67" t="e">
        <f t="shared" si="16"/>
        <v>#REF!</v>
      </c>
      <c r="K162" s="67" t="e">
        <f>SUMIFS(#REF!,#REF!,Plano_Detalhado!E162,#REF!,Plano_Detalhado!F162)</f>
        <v>#REF!</v>
      </c>
      <c r="L162" s="67" t="e">
        <f t="shared" si="17"/>
        <v>#REF!</v>
      </c>
      <c r="M162" s="61"/>
      <c r="N162" s="61" t="e">
        <f t="shared" si="18"/>
        <v>#REF!</v>
      </c>
      <c r="O162" s="61" t="e">
        <f t="shared" si="14"/>
        <v>#REF!</v>
      </c>
      <c r="P162" s="20" t="s">
        <v>114</v>
      </c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24"/>
      <c r="BI162" s="14"/>
      <c r="BJ162" s="14"/>
      <c r="BK162" s="14"/>
      <c r="BL162" s="14"/>
      <c r="BN162" s="2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</row>
    <row r="163" spans="1:79" hidden="1" outlineLevel="1" x14ac:dyDescent="0.4">
      <c r="A163" s="3" t="str">
        <f t="shared" si="15"/>
        <v>PROPERTY_ENERGY_CERTIFICATEPROPERTY_CONTRACT_ID</v>
      </c>
      <c r="B163" s="8" t="s">
        <v>16</v>
      </c>
      <c r="C163" s="9" t="s">
        <v>44</v>
      </c>
      <c r="D163" s="6" t="s">
        <v>30</v>
      </c>
      <c r="E163" s="7" t="s">
        <v>113</v>
      </c>
      <c r="F163" s="7" t="s">
        <v>34</v>
      </c>
      <c r="G163" s="6" t="e">
        <f>INDEX(#REF!,MATCH(Plano_Detalhado!H163,#REF!,0),1)</f>
        <v>#REF!</v>
      </c>
      <c r="H163" s="6" t="e">
        <f>VLOOKUP(A163,#REF!,2,0)</f>
        <v>#REF!</v>
      </c>
      <c r="I163" s="67" t="e">
        <f>SUMIFS(#REF!,#REF!,Plano_Detalhado!E163,#REF!,Plano_Detalhado!F163)</f>
        <v>#REF!</v>
      </c>
      <c r="J163" s="67" t="e">
        <f t="shared" si="16"/>
        <v>#REF!</v>
      </c>
      <c r="K163" s="67" t="e">
        <f>SUMIFS(#REF!,#REF!,Plano_Detalhado!E163,#REF!,Plano_Detalhado!F163)</f>
        <v>#REF!</v>
      </c>
      <c r="L163" s="67" t="e">
        <f t="shared" si="17"/>
        <v>#REF!</v>
      </c>
      <c r="M163" s="61"/>
      <c r="N163" s="61" t="e">
        <f t="shared" si="18"/>
        <v>#REF!</v>
      </c>
      <c r="O163" s="61" t="e">
        <f t="shared" si="14"/>
        <v>#REF!</v>
      </c>
      <c r="P163" s="20" t="s">
        <v>114</v>
      </c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24"/>
      <c r="BI163" s="14"/>
      <c r="BJ163" s="14"/>
      <c r="BK163" s="14"/>
      <c r="BL163" s="14"/>
      <c r="BN163" s="2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</row>
    <row r="164" spans="1:79" hidden="1" outlineLevel="1" x14ac:dyDescent="0.4">
      <c r="A164" s="3" t="str">
        <f t="shared" si="15"/>
        <v>PROPERTY_ENERGY_CERTIFICATEPROPERTY_REFERENCE_CODE</v>
      </c>
      <c r="B164" s="8" t="s">
        <v>16</v>
      </c>
      <c r="C164" s="9" t="s">
        <v>44</v>
      </c>
      <c r="D164" s="6" t="s">
        <v>30</v>
      </c>
      <c r="E164" s="7" t="s">
        <v>113</v>
      </c>
      <c r="F164" s="7" t="s">
        <v>35</v>
      </c>
      <c r="G164" s="6" t="e">
        <f>INDEX(#REF!,MATCH(Plano_Detalhado!H164,#REF!,0),1)</f>
        <v>#REF!</v>
      </c>
      <c r="H164" s="6" t="e">
        <f>VLOOKUP(A164,#REF!,2,0)</f>
        <v>#REF!</v>
      </c>
      <c r="I164" s="67" t="e">
        <f>SUMIFS(#REF!,#REF!,Plano_Detalhado!E164,#REF!,Plano_Detalhado!F164)</f>
        <v>#REF!</v>
      </c>
      <c r="J164" s="67" t="e">
        <f t="shared" si="16"/>
        <v>#REF!</v>
      </c>
      <c r="K164" s="67" t="e">
        <f>SUMIFS(#REF!,#REF!,Plano_Detalhado!E164,#REF!,Plano_Detalhado!F164)</f>
        <v>#REF!</v>
      </c>
      <c r="L164" s="67" t="e">
        <f t="shared" si="17"/>
        <v>#REF!</v>
      </c>
      <c r="M164" s="61"/>
      <c r="N164" s="61" t="e">
        <f t="shared" si="18"/>
        <v>#REF!</v>
      </c>
      <c r="O164" s="61" t="e">
        <f t="shared" si="14"/>
        <v>#REF!</v>
      </c>
      <c r="P164" s="20" t="s">
        <v>114</v>
      </c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24"/>
      <c r="BI164" s="14"/>
      <c r="BJ164" s="14"/>
      <c r="BK164" s="14"/>
      <c r="BL164" s="14"/>
      <c r="BN164" s="2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</row>
    <row r="165" spans="1:79" hidden="1" outlineLevel="1" x14ac:dyDescent="0.4">
      <c r="A165" s="3" t="str">
        <f t="shared" si="15"/>
        <v>PROPERTY_ENERGY_CERTIFICATELAND_REGISTRY_OFFICE_CODE</v>
      </c>
      <c r="B165" s="8" t="s">
        <v>16</v>
      </c>
      <c r="C165" s="9" t="s">
        <v>44</v>
      </c>
      <c r="D165" s="6" t="s">
        <v>30</v>
      </c>
      <c r="E165" s="7" t="s">
        <v>113</v>
      </c>
      <c r="F165" s="7" t="s">
        <v>115</v>
      </c>
      <c r="G165" s="6" t="e">
        <f>INDEX(#REF!,MATCH(Plano_Detalhado!H165,#REF!,0),1)</f>
        <v>#REF!</v>
      </c>
      <c r="H165" s="6" t="e">
        <f>VLOOKUP(A165,#REF!,2,0)</f>
        <v>#REF!</v>
      </c>
      <c r="I165" s="67" t="e">
        <f>SUMIFS(#REF!,#REF!,Plano_Detalhado!E165,#REF!,Plano_Detalhado!F165)</f>
        <v>#REF!</v>
      </c>
      <c r="J165" s="67" t="e">
        <f t="shared" si="16"/>
        <v>#REF!</v>
      </c>
      <c r="K165" s="67" t="e">
        <f>SUMIFS(#REF!,#REF!,Plano_Detalhado!E165,#REF!,Plano_Detalhado!F165)</f>
        <v>#REF!</v>
      </c>
      <c r="L165" s="67" t="e">
        <f t="shared" si="17"/>
        <v>#REF!</v>
      </c>
      <c r="M165" s="61"/>
      <c r="N165" s="61" t="e">
        <f t="shared" si="18"/>
        <v>#REF!</v>
      </c>
      <c r="O165" s="61" t="e">
        <f t="shared" si="14"/>
        <v>#REF!</v>
      </c>
      <c r="P165" s="20" t="s">
        <v>114</v>
      </c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24"/>
      <c r="BI165" s="14"/>
      <c r="BJ165" s="14"/>
      <c r="BK165" s="14"/>
      <c r="BL165" s="14"/>
      <c r="BN165" s="2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</row>
    <row r="166" spans="1:79" hidden="1" outlineLevel="1" x14ac:dyDescent="0.4">
      <c r="A166" s="3" t="str">
        <f t="shared" si="15"/>
        <v>PROPERTY_ENERGY_CERTIFICATEPROPERTY_IDENTIFICATION_CODE</v>
      </c>
      <c r="B166" s="8" t="s">
        <v>16</v>
      </c>
      <c r="C166" s="9" t="s">
        <v>44</v>
      </c>
      <c r="D166" s="6" t="s">
        <v>30</v>
      </c>
      <c r="E166" s="7" t="s">
        <v>113</v>
      </c>
      <c r="F166" s="7" t="s">
        <v>116</v>
      </c>
      <c r="G166" s="6" t="e">
        <f>INDEX(#REF!,MATCH(Plano_Detalhado!H166,#REF!,0),1)</f>
        <v>#REF!</v>
      </c>
      <c r="H166" s="6" t="e">
        <f>VLOOKUP(A166,#REF!,2,0)</f>
        <v>#REF!</v>
      </c>
      <c r="I166" s="67" t="e">
        <f>SUMIFS(#REF!,#REF!,Plano_Detalhado!E166,#REF!,Plano_Detalhado!F166)</f>
        <v>#REF!</v>
      </c>
      <c r="J166" s="67" t="e">
        <f t="shared" si="16"/>
        <v>#REF!</v>
      </c>
      <c r="K166" s="67" t="e">
        <f>SUMIFS(#REF!,#REF!,Plano_Detalhado!E166,#REF!,Plano_Detalhado!F166)</f>
        <v>#REF!</v>
      </c>
      <c r="L166" s="67" t="e">
        <f t="shared" si="17"/>
        <v>#REF!</v>
      </c>
      <c r="M166" s="61"/>
      <c r="N166" s="61" t="e">
        <f t="shared" si="18"/>
        <v>#REF!</v>
      </c>
      <c r="O166" s="61" t="e">
        <f t="shared" si="14"/>
        <v>#REF!</v>
      </c>
      <c r="P166" s="20" t="s">
        <v>114</v>
      </c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24"/>
      <c r="BI166" s="14"/>
      <c r="BJ166" s="14"/>
      <c r="BK166" s="14"/>
      <c r="BL166" s="14"/>
      <c r="BN166" s="2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</row>
    <row r="167" spans="1:79" hidden="1" outlineLevel="1" x14ac:dyDescent="0.4">
      <c r="A167" s="3" t="str">
        <f t="shared" si="15"/>
        <v>PROPERTY_ENERGY_CERTIFICATEENERGY_CERTIFICATION_SYSTEM_CODE</v>
      </c>
      <c r="B167" s="8" t="s">
        <v>16</v>
      </c>
      <c r="C167" s="9" t="s">
        <v>44</v>
      </c>
      <c r="D167" s="6" t="s">
        <v>30</v>
      </c>
      <c r="E167" s="7" t="s">
        <v>113</v>
      </c>
      <c r="F167" s="7" t="s">
        <v>117</v>
      </c>
      <c r="G167" s="6" t="e">
        <f>INDEX(#REF!,MATCH(Plano_Detalhado!H167,#REF!,0),1)</f>
        <v>#REF!</v>
      </c>
      <c r="H167" s="6" t="e">
        <f>VLOOKUP(A167,#REF!,2,0)</f>
        <v>#REF!</v>
      </c>
      <c r="I167" s="67" t="e">
        <f>SUMIFS(#REF!,#REF!,Plano_Detalhado!E167,#REF!,Plano_Detalhado!F167)</f>
        <v>#REF!</v>
      </c>
      <c r="J167" s="67" t="e">
        <f t="shared" si="16"/>
        <v>#REF!</v>
      </c>
      <c r="K167" s="67" t="e">
        <f>SUMIFS(#REF!,#REF!,Plano_Detalhado!E167,#REF!,Plano_Detalhado!F167)</f>
        <v>#REF!</v>
      </c>
      <c r="L167" s="67" t="e">
        <f t="shared" si="17"/>
        <v>#REF!</v>
      </c>
      <c r="M167" s="61"/>
      <c r="N167" s="61" t="e">
        <f t="shared" si="18"/>
        <v>#REF!</v>
      </c>
      <c r="O167" s="61" t="e">
        <f t="shared" si="14"/>
        <v>#REF!</v>
      </c>
      <c r="P167" s="20" t="s">
        <v>114</v>
      </c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24"/>
      <c r="BI167" s="14"/>
      <c r="BJ167" s="14"/>
      <c r="BK167" s="14"/>
      <c r="BL167" s="14"/>
      <c r="BN167" s="2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</row>
    <row r="168" spans="1:79" hidden="1" outlineLevel="1" x14ac:dyDescent="0.4">
      <c r="A168" s="3" t="str">
        <f t="shared" si="15"/>
        <v>PROPERTY_ENERGY_CERTIFICATEEPC_ISSUING_DATE</v>
      </c>
      <c r="B168" s="8" t="s">
        <v>16</v>
      </c>
      <c r="C168" s="9" t="s">
        <v>44</v>
      </c>
      <c r="D168" s="6" t="s">
        <v>30</v>
      </c>
      <c r="E168" s="7" t="s">
        <v>113</v>
      </c>
      <c r="F168" s="7" t="s">
        <v>118</v>
      </c>
      <c r="G168" s="6" t="e">
        <f>INDEX(#REF!,MATCH(Plano_Detalhado!H168,#REF!,0),1)</f>
        <v>#REF!</v>
      </c>
      <c r="H168" s="6" t="e">
        <f>VLOOKUP(A168,#REF!,2,0)</f>
        <v>#REF!</v>
      </c>
      <c r="I168" s="67" t="e">
        <f>SUMIFS(#REF!,#REF!,Plano_Detalhado!E168,#REF!,Plano_Detalhado!F168)</f>
        <v>#REF!</v>
      </c>
      <c r="J168" s="67" t="e">
        <f t="shared" si="16"/>
        <v>#REF!</v>
      </c>
      <c r="K168" s="67" t="e">
        <f>SUMIFS(#REF!,#REF!,Plano_Detalhado!E168,#REF!,Plano_Detalhado!F168)</f>
        <v>#REF!</v>
      </c>
      <c r="L168" s="67" t="e">
        <f t="shared" si="17"/>
        <v>#REF!</v>
      </c>
      <c r="M168" s="61"/>
      <c r="N168" s="61" t="e">
        <f t="shared" si="18"/>
        <v>#REF!</v>
      </c>
      <c r="O168" s="61" t="e">
        <f t="shared" si="14"/>
        <v>#REF!</v>
      </c>
      <c r="P168" s="20" t="s">
        <v>114</v>
      </c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24"/>
      <c r="BI168" s="14"/>
      <c r="BJ168" s="14"/>
      <c r="BK168" s="14"/>
      <c r="BL168" s="14"/>
      <c r="BN168" s="2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</row>
    <row r="169" spans="1:79" hidden="1" outlineLevel="1" x14ac:dyDescent="0.4">
      <c r="A169" s="3" t="str">
        <f t="shared" si="15"/>
        <v>PROPERTY_ENERGY_CERTIFICATEEPC_EXPIRATION_DATE</v>
      </c>
      <c r="B169" s="8" t="s">
        <v>16</v>
      </c>
      <c r="C169" s="9" t="s">
        <v>44</v>
      </c>
      <c r="D169" s="6" t="s">
        <v>30</v>
      </c>
      <c r="E169" s="7" t="s">
        <v>113</v>
      </c>
      <c r="F169" s="7" t="s">
        <v>119</v>
      </c>
      <c r="G169" s="6" t="e">
        <f>INDEX(#REF!,MATCH(Plano_Detalhado!H169,#REF!,0),1)</f>
        <v>#REF!</v>
      </c>
      <c r="H169" s="6" t="e">
        <f>VLOOKUP(A169,#REF!,2,0)</f>
        <v>#REF!</v>
      </c>
      <c r="I169" s="67" t="e">
        <f>SUMIFS(#REF!,#REF!,Plano_Detalhado!E169,#REF!,Plano_Detalhado!F169)</f>
        <v>#REF!</v>
      </c>
      <c r="J169" s="67" t="e">
        <f t="shared" si="16"/>
        <v>#REF!</v>
      </c>
      <c r="K169" s="67" t="e">
        <f>SUMIFS(#REF!,#REF!,Plano_Detalhado!E169,#REF!,Plano_Detalhado!F169)</f>
        <v>#REF!</v>
      </c>
      <c r="L169" s="67" t="e">
        <f t="shared" si="17"/>
        <v>#REF!</v>
      </c>
      <c r="M169" s="61"/>
      <c r="N169" s="61" t="e">
        <f t="shared" si="18"/>
        <v>#REF!</v>
      </c>
      <c r="O169" s="61" t="e">
        <f t="shared" si="14"/>
        <v>#REF!</v>
      </c>
      <c r="P169" s="20" t="s">
        <v>114</v>
      </c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24"/>
      <c r="BI169" s="14"/>
      <c r="BJ169" s="14"/>
      <c r="BK169" s="14"/>
      <c r="BL169" s="14"/>
      <c r="BN169" s="2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</row>
    <row r="170" spans="1:79" hidden="1" outlineLevel="1" x14ac:dyDescent="0.4">
      <c r="A170" s="3" t="str">
        <f t="shared" si="15"/>
        <v>PROPERTY_ENERGY_CERTIFICATEEPC</v>
      </c>
      <c r="B170" s="8" t="s">
        <v>16</v>
      </c>
      <c r="C170" s="9" t="s">
        <v>44</v>
      </c>
      <c r="D170" s="6" t="s">
        <v>30</v>
      </c>
      <c r="E170" s="7" t="s">
        <v>113</v>
      </c>
      <c r="F170" s="7" t="s">
        <v>37</v>
      </c>
      <c r="G170" s="6" t="e">
        <f>INDEX(#REF!,MATCH(Plano_Detalhado!H170,#REF!,0),1)</f>
        <v>#REF!</v>
      </c>
      <c r="H170" s="6" t="e">
        <f>VLOOKUP(A170,#REF!,2,0)</f>
        <v>#REF!</v>
      </c>
      <c r="I170" s="67" t="e">
        <f>SUMIFS(#REF!,#REF!,Plano_Detalhado!E170,#REF!,Plano_Detalhado!F170)</f>
        <v>#REF!</v>
      </c>
      <c r="J170" s="67" t="e">
        <f t="shared" si="16"/>
        <v>#REF!</v>
      </c>
      <c r="K170" s="67" t="e">
        <f>SUMIFS(#REF!,#REF!,Plano_Detalhado!E170,#REF!,Plano_Detalhado!F170)</f>
        <v>#REF!</v>
      </c>
      <c r="L170" s="67" t="e">
        <f t="shared" si="17"/>
        <v>#REF!</v>
      </c>
      <c r="M170" s="61"/>
      <c r="N170" s="61" t="e">
        <f t="shared" si="18"/>
        <v>#REF!</v>
      </c>
      <c r="O170" s="61" t="e">
        <f t="shared" si="14"/>
        <v>#REF!</v>
      </c>
      <c r="P170" s="20" t="s">
        <v>114</v>
      </c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24"/>
      <c r="BI170" s="14"/>
      <c r="BJ170" s="14"/>
      <c r="BK170" s="14"/>
      <c r="BL170" s="14"/>
      <c r="BN170" s="2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</row>
    <row r="171" spans="1:79" hidden="1" outlineLevel="1" x14ac:dyDescent="0.4">
      <c r="A171" s="3" t="str">
        <f t="shared" si="15"/>
        <v>PROPERTY_ENERGY_CERTIFICATEENERGY_CONSUMPTION_TYPE_S_IND</v>
      </c>
      <c r="B171" s="8" t="s">
        <v>16</v>
      </c>
      <c r="C171" s="9" t="s">
        <v>44</v>
      </c>
      <c r="D171" s="6" t="s">
        <v>30</v>
      </c>
      <c r="E171" s="7" t="s">
        <v>113</v>
      </c>
      <c r="F171" s="7" t="s">
        <v>120</v>
      </c>
      <c r="G171" s="6" t="e">
        <f>INDEX(#REF!,MATCH(Plano_Detalhado!H171,#REF!,0),1)</f>
        <v>#REF!</v>
      </c>
      <c r="H171" s="6" t="e">
        <f>VLOOKUP(A171,#REF!,2,0)</f>
        <v>#REF!</v>
      </c>
      <c r="I171" s="67" t="e">
        <f>SUMIFS(#REF!,#REF!,Plano_Detalhado!E171,#REF!,Plano_Detalhado!F171)</f>
        <v>#REF!</v>
      </c>
      <c r="J171" s="67" t="e">
        <f t="shared" si="16"/>
        <v>#REF!</v>
      </c>
      <c r="K171" s="67" t="e">
        <f>SUMIFS(#REF!,#REF!,Plano_Detalhado!E171,#REF!,Plano_Detalhado!F171)</f>
        <v>#REF!</v>
      </c>
      <c r="L171" s="67" t="e">
        <f t="shared" si="17"/>
        <v>#REF!</v>
      </c>
      <c r="M171" s="61"/>
      <c r="N171" s="61" t="e">
        <f t="shared" si="18"/>
        <v>#REF!</v>
      </c>
      <c r="O171" s="61" t="e">
        <f t="shared" si="14"/>
        <v>#REF!</v>
      </c>
      <c r="P171" s="20" t="s">
        <v>114</v>
      </c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24"/>
      <c r="BI171" s="14"/>
      <c r="BJ171" s="14"/>
      <c r="BK171" s="14"/>
      <c r="BL171" s="14"/>
      <c r="BN171" s="2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</row>
    <row r="172" spans="1:79" hidden="1" outlineLevel="1" x14ac:dyDescent="0.4">
      <c r="A172" s="3" t="str">
        <f t="shared" si="15"/>
        <v>PROPERTY_ENERGY_CERTIFICATEENERGY_CONSUMPTION_TYPE_T_IND</v>
      </c>
      <c r="B172" s="8" t="s">
        <v>16</v>
      </c>
      <c r="C172" s="9" t="s">
        <v>44</v>
      </c>
      <c r="D172" s="6" t="s">
        <v>30</v>
      </c>
      <c r="E172" s="7" t="s">
        <v>113</v>
      </c>
      <c r="F172" s="7" t="s">
        <v>121</v>
      </c>
      <c r="G172" s="6" t="e">
        <f>INDEX(#REF!,MATCH(Plano_Detalhado!H172,#REF!,0),1)</f>
        <v>#REF!</v>
      </c>
      <c r="H172" s="6" t="e">
        <f>VLOOKUP(A172,#REF!,2,0)</f>
        <v>#REF!</v>
      </c>
      <c r="I172" s="67" t="e">
        <f>SUMIFS(#REF!,#REF!,Plano_Detalhado!E172,#REF!,Plano_Detalhado!F172)</f>
        <v>#REF!</v>
      </c>
      <c r="J172" s="67" t="e">
        <f t="shared" si="16"/>
        <v>#REF!</v>
      </c>
      <c r="K172" s="67" t="e">
        <f>SUMIFS(#REF!,#REF!,Plano_Detalhado!E172,#REF!,Plano_Detalhado!F172)</f>
        <v>#REF!</v>
      </c>
      <c r="L172" s="67" t="e">
        <f t="shared" si="17"/>
        <v>#REF!</v>
      </c>
      <c r="M172" s="61"/>
      <c r="N172" s="61" t="e">
        <f t="shared" si="18"/>
        <v>#REF!</v>
      </c>
      <c r="O172" s="61" t="e">
        <f t="shared" si="14"/>
        <v>#REF!</v>
      </c>
      <c r="P172" s="20" t="s">
        <v>114</v>
      </c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24"/>
      <c r="BI172" s="14"/>
      <c r="BJ172" s="14"/>
      <c r="BK172" s="14"/>
      <c r="BL172" s="14"/>
      <c r="BN172" s="2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</row>
    <row r="173" spans="1:79" hidden="1" outlineLevel="1" x14ac:dyDescent="0.4">
      <c r="A173" s="3" t="str">
        <f t="shared" si="15"/>
        <v>PROPERTY_ENERGY_CERTIFICATEENERGY_EFFICIENCY_IND</v>
      </c>
      <c r="B173" s="8" t="s">
        <v>16</v>
      </c>
      <c r="C173" s="9" t="s">
        <v>44</v>
      </c>
      <c r="D173" s="6" t="s">
        <v>30</v>
      </c>
      <c r="E173" s="7" t="s">
        <v>113</v>
      </c>
      <c r="F173" s="7" t="s">
        <v>122</v>
      </c>
      <c r="G173" s="6" t="e">
        <f>INDEX(#REF!,MATCH(Plano_Detalhado!H173,#REF!,0),1)</f>
        <v>#REF!</v>
      </c>
      <c r="H173" s="6" t="e">
        <f>VLOOKUP(A173,#REF!,2,0)</f>
        <v>#REF!</v>
      </c>
      <c r="I173" s="67" t="e">
        <f>SUMIFS(#REF!,#REF!,Plano_Detalhado!E173,#REF!,Plano_Detalhado!F173)</f>
        <v>#REF!</v>
      </c>
      <c r="J173" s="67" t="e">
        <f t="shared" si="16"/>
        <v>#REF!</v>
      </c>
      <c r="K173" s="67" t="e">
        <f>SUMIFS(#REF!,#REF!,Plano_Detalhado!E173,#REF!,Plano_Detalhado!F173)</f>
        <v>#REF!</v>
      </c>
      <c r="L173" s="67" t="e">
        <f t="shared" si="17"/>
        <v>#REF!</v>
      </c>
      <c r="M173" s="61"/>
      <c r="N173" s="61" t="e">
        <f t="shared" si="18"/>
        <v>#REF!</v>
      </c>
      <c r="O173" s="61" t="e">
        <f t="shared" si="14"/>
        <v>#REF!</v>
      </c>
      <c r="P173" s="20" t="s">
        <v>114</v>
      </c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24"/>
      <c r="BI173" s="14"/>
      <c r="BJ173" s="14"/>
      <c r="BK173" s="14"/>
      <c r="BL173" s="14"/>
      <c r="BN173" s="2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</row>
    <row r="174" spans="1:79" hidden="1" outlineLevel="1" x14ac:dyDescent="0.4">
      <c r="A174" s="3" t="str">
        <f t="shared" si="15"/>
        <v>PROPERTY_ENERGY_CERTIFICATEREN_ENERGY_EFFICIENCY_IND</v>
      </c>
      <c r="B174" s="8" t="s">
        <v>16</v>
      </c>
      <c r="C174" s="9" t="s">
        <v>44</v>
      </c>
      <c r="D174" s="6" t="s">
        <v>30</v>
      </c>
      <c r="E174" s="7" t="s">
        <v>113</v>
      </c>
      <c r="F174" s="7" t="s">
        <v>123</v>
      </c>
      <c r="G174" s="6" t="e">
        <f>INDEX(#REF!,MATCH(Plano_Detalhado!H174,#REF!,0),1)</f>
        <v>#REF!</v>
      </c>
      <c r="H174" s="6" t="e">
        <f>VLOOKUP(A174,#REF!,2,0)</f>
        <v>#REF!</v>
      </c>
      <c r="I174" s="67" t="e">
        <f>SUMIFS(#REF!,#REF!,Plano_Detalhado!E174,#REF!,Plano_Detalhado!F174)</f>
        <v>#REF!</v>
      </c>
      <c r="J174" s="67" t="e">
        <f t="shared" si="16"/>
        <v>#REF!</v>
      </c>
      <c r="K174" s="67" t="e">
        <f>SUMIFS(#REF!,#REF!,Plano_Detalhado!E174,#REF!,Plano_Detalhado!F174)</f>
        <v>#REF!</v>
      </c>
      <c r="L174" s="67" t="e">
        <f t="shared" si="17"/>
        <v>#REF!</v>
      </c>
      <c r="M174" s="61"/>
      <c r="N174" s="61" t="e">
        <f t="shared" si="18"/>
        <v>#REF!</v>
      </c>
      <c r="O174" s="61" t="e">
        <f t="shared" si="14"/>
        <v>#REF!</v>
      </c>
      <c r="P174" s="20" t="s">
        <v>114</v>
      </c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24"/>
      <c r="BI174" s="14"/>
      <c r="BJ174" s="14"/>
      <c r="BK174" s="14"/>
      <c r="BL174" s="14"/>
      <c r="BN174" s="2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</row>
    <row r="175" spans="1:79" hidden="1" outlineLevel="1" x14ac:dyDescent="0.4">
      <c r="A175" s="3" t="str">
        <f t="shared" si="15"/>
        <v>PROPERTY_ENERGY_CERTIFICATENZEB_IND</v>
      </c>
      <c r="B175" s="8" t="s">
        <v>16</v>
      </c>
      <c r="C175" s="9" t="s">
        <v>44</v>
      </c>
      <c r="D175" s="6" t="s">
        <v>30</v>
      </c>
      <c r="E175" s="7" t="s">
        <v>113</v>
      </c>
      <c r="F175" s="7" t="s">
        <v>124</v>
      </c>
      <c r="G175" s="6" t="e">
        <f>INDEX(#REF!,MATCH(Plano_Detalhado!H175,#REF!,0),1)</f>
        <v>#REF!</v>
      </c>
      <c r="H175" s="6" t="e">
        <f>VLOOKUP(A175,#REF!,2,0)</f>
        <v>#REF!</v>
      </c>
      <c r="I175" s="67" t="e">
        <f>SUMIFS(#REF!,#REF!,Plano_Detalhado!E175,#REF!,Plano_Detalhado!F175)</f>
        <v>#REF!</v>
      </c>
      <c r="J175" s="67" t="e">
        <f t="shared" si="16"/>
        <v>#REF!</v>
      </c>
      <c r="K175" s="67" t="e">
        <f>SUMIFS(#REF!,#REF!,Plano_Detalhado!E175,#REF!,Plano_Detalhado!F175)</f>
        <v>#REF!</v>
      </c>
      <c r="L175" s="67" t="e">
        <f t="shared" si="17"/>
        <v>#REF!</v>
      </c>
      <c r="M175" s="61"/>
      <c r="N175" s="61" t="e">
        <f t="shared" si="18"/>
        <v>#REF!</v>
      </c>
      <c r="O175" s="61" t="e">
        <f t="shared" si="14"/>
        <v>#REF!</v>
      </c>
      <c r="P175" s="20" t="s">
        <v>114</v>
      </c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24"/>
      <c r="BI175" s="14"/>
      <c r="BJ175" s="14"/>
      <c r="BK175" s="14"/>
      <c r="BL175" s="14"/>
      <c r="BN175" s="2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</row>
    <row r="176" spans="1:79" hidden="1" outlineLevel="1" x14ac:dyDescent="0.4">
      <c r="A176" s="3" t="str">
        <f t="shared" si="15"/>
        <v>PROPERTY_ENERGY_CERTIFICATEACTUAL_VALUE_IND</v>
      </c>
      <c r="B176" s="8" t="s">
        <v>16</v>
      </c>
      <c r="C176" s="9" t="s">
        <v>44</v>
      </c>
      <c r="D176" s="6" t="s">
        <v>30</v>
      </c>
      <c r="E176" s="7" t="s">
        <v>113</v>
      </c>
      <c r="F176" s="7" t="s">
        <v>39</v>
      </c>
      <c r="G176" s="6" t="e">
        <f>INDEX(#REF!,MATCH(Plano_Detalhado!H176,#REF!,0),1)</f>
        <v>#REF!</v>
      </c>
      <c r="H176" s="6" t="e">
        <f>VLOOKUP(A176,#REF!,2,0)</f>
        <v>#REF!</v>
      </c>
      <c r="I176" s="67" t="e">
        <f>SUMIFS(#REF!,#REF!,Plano_Detalhado!E176,#REF!,Plano_Detalhado!F176)</f>
        <v>#REF!</v>
      </c>
      <c r="J176" s="67" t="e">
        <f t="shared" si="16"/>
        <v>#REF!</v>
      </c>
      <c r="K176" s="67" t="e">
        <f>SUMIFS(#REF!,#REF!,Plano_Detalhado!E176,#REF!,Plano_Detalhado!F176)</f>
        <v>#REF!</v>
      </c>
      <c r="L176" s="67" t="e">
        <f t="shared" si="17"/>
        <v>#REF!</v>
      </c>
      <c r="M176" s="61"/>
      <c r="N176" s="61" t="e">
        <f t="shared" si="18"/>
        <v>#REF!</v>
      </c>
      <c r="O176" s="61" t="e">
        <f t="shared" si="14"/>
        <v>#REF!</v>
      </c>
      <c r="P176" s="20" t="s">
        <v>114</v>
      </c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24"/>
      <c r="BI176" s="14"/>
      <c r="BJ176" s="14"/>
      <c r="BK176" s="14"/>
      <c r="BL176" s="14"/>
      <c r="BN176" s="2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</row>
    <row r="177" spans="1:79" hidden="1" outlineLevel="1" x14ac:dyDescent="0.4">
      <c r="A177" s="3" t="str">
        <f t="shared" si="15"/>
        <v>PROPERTY_ENERGY_CERTIFICATEEP_SCORE</v>
      </c>
      <c r="B177" s="8" t="s">
        <v>16</v>
      </c>
      <c r="C177" s="9" t="s">
        <v>44</v>
      </c>
      <c r="D177" s="6" t="s">
        <v>30</v>
      </c>
      <c r="E177" s="7" t="s">
        <v>113</v>
      </c>
      <c r="F177" s="7" t="s">
        <v>125</v>
      </c>
      <c r="G177" s="6" t="e">
        <f>INDEX(#REF!,MATCH(Plano_Detalhado!H177,#REF!,0),1)</f>
        <v>#REF!</v>
      </c>
      <c r="H177" s="6" t="e">
        <f>VLOOKUP(A177,#REF!,2,0)</f>
        <v>#REF!</v>
      </c>
      <c r="I177" s="67" t="e">
        <f>SUMIFS(#REF!,#REF!,Plano_Detalhado!E177,#REF!,Plano_Detalhado!F177)</f>
        <v>#REF!</v>
      </c>
      <c r="J177" s="67" t="e">
        <f t="shared" si="16"/>
        <v>#REF!</v>
      </c>
      <c r="K177" s="67" t="e">
        <f>SUMIFS(#REF!,#REF!,Plano_Detalhado!E177,#REF!,Plano_Detalhado!F177)</f>
        <v>#REF!</v>
      </c>
      <c r="L177" s="67" t="e">
        <f t="shared" si="17"/>
        <v>#REF!</v>
      </c>
      <c r="M177" s="61"/>
      <c r="N177" s="61" t="e">
        <f t="shared" si="18"/>
        <v>#REF!</v>
      </c>
      <c r="O177" s="61" t="e">
        <f t="shared" si="14"/>
        <v>#REF!</v>
      </c>
      <c r="P177" s="20" t="s">
        <v>114</v>
      </c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24"/>
      <c r="BI177" s="14"/>
      <c r="BJ177" s="14"/>
      <c r="BK177" s="14"/>
      <c r="BL177" s="14"/>
      <c r="BN177" s="2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</row>
    <row r="178" spans="1:79" hidden="1" outlineLevel="1" x14ac:dyDescent="0.4">
      <c r="A178" s="3" t="str">
        <f t="shared" si="15"/>
        <v>PROPERTY_ENERGY_CERTIFICATESOURCE_CODE</v>
      </c>
      <c r="B178" s="8" t="s">
        <v>16</v>
      </c>
      <c r="C178" s="9" t="s">
        <v>44</v>
      </c>
      <c r="D178" s="6" t="s">
        <v>30</v>
      </c>
      <c r="E178" s="7" t="s">
        <v>113</v>
      </c>
      <c r="F178" s="7" t="s">
        <v>77</v>
      </c>
      <c r="G178" s="6" t="e">
        <f>INDEX(#REF!,MATCH(Plano_Detalhado!H178,#REF!,0),1)</f>
        <v>#REF!</v>
      </c>
      <c r="H178" s="6" t="e">
        <f>VLOOKUP(A178,#REF!,2,0)</f>
        <v>#REF!</v>
      </c>
      <c r="I178" s="67" t="e">
        <f>SUMIFS(#REF!,#REF!,Plano_Detalhado!E178,#REF!,Plano_Detalhado!F178)</f>
        <v>#REF!</v>
      </c>
      <c r="J178" s="67" t="e">
        <f t="shared" si="16"/>
        <v>#REF!</v>
      </c>
      <c r="K178" s="67" t="e">
        <f>SUMIFS(#REF!,#REF!,Plano_Detalhado!E178,#REF!,Plano_Detalhado!F178)</f>
        <v>#REF!</v>
      </c>
      <c r="L178" s="67" t="e">
        <f t="shared" si="17"/>
        <v>#REF!</v>
      </c>
      <c r="M178" s="61"/>
      <c r="N178" s="61" t="e">
        <f t="shared" si="18"/>
        <v>#REF!</v>
      </c>
      <c r="O178" s="61" t="e">
        <f t="shared" si="14"/>
        <v>#REF!</v>
      </c>
      <c r="P178" s="20" t="s">
        <v>114</v>
      </c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24"/>
      <c r="BI178" s="14"/>
      <c r="BJ178" s="14"/>
      <c r="BK178" s="14"/>
      <c r="BL178" s="14"/>
      <c r="BN178" s="2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</row>
    <row r="179" spans="1:79" hidden="1" outlineLevel="1" x14ac:dyDescent="0.4">
      <c r="A179" s="3" t="str">
        <f t="shared" si="15"/>
        <v>PROPERTY_ENERGY_CERTIFICATEDATA_DATE_PART</v>
      </c>
      <c r="B179" s="8" t="s">
        <v>16</v>
      </c>
      <c r="C179" s="9" t="s">
        <v>44</v>
      </c>
      <c r="D179" s="6" t="s">
        <v>30</v>
      </c>
      <c r="E179" s="7" t="s">
        <v>113</v>
      </c>
      <c r="F179" s="7" t="s">
        <v>63</v>
      </c>
      <c r="G179" s="6" t="e">
        <f>INDEX(#REF!,MATCH(Plano_Detalhado!H179,#REF!,0),1)</f>
        <v>#REF!</v>
      </c>
      <c r="H179" s="6" t="e">
        <f>VLOOKUP(A179,#REF!,2,0)</f>
        <v>#REF!</v>
      </c>
      <c r="I179" s="67" t="e">
        <f>SUMIFS(#REF!,#REF!,Plano_Detalhado!E179,#REF!,Plano_Detalhado!F179)</f>
        <v>#REF!</v>
      </c>
      <c r="J179" s="67" t="e">
        <f t="shared" si="16"/>
        <v>#REF!</v>
      </c>
      <c r="K179" s="67" t="e">
        <f>SUMIFS(#REF!,#REF!,Plano_Detalhado!E179,#REF!,Plano_Detalhado!F179)</f>
        <v>#REF!</v>
      </c>
      <c r="L179" s="67" t="e">
        <f t="shared" si="17"/>
        <v>#REF!</v>
      </c>
      <c r="M179" s="61"/>
      <c r="N179" s="61" t="e">
        <f t="shared" si="18"/>
        <v>#REF!</v>
      </c>
      <c r="O179" s="61" t="e">
        <f t="shared" si="14"/>
        <v>#REF!</v>
      </c>
      <c r="P179" s="20" t="s">
        <v>114</v>
      </c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24"/>
      <c r="BI179" s="14"/>
      <c r="BJ179" s="14"/>
      <c r="BK179" s="14"/>
      <c r="BL179" s="14"/>
      <c r="BN179" s="2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</row>
    <row r="180" spans="1:79" hidden="1" outlineLevel="1" x14ac:dyDescent="0.4">
      <c r="A180" s="3" t="str">
        <f t="shared" si="15"/>
        <v>PROPERTY_ENERGY_CERTIFICATECERTIFICATE_TYPE</v>
      </c>
      <c r="B180" s="8" t="s">
        <v>16</v>
      </c>
      <c r="C180" s="9" t="s">
        <v>44</v>
      </c>
      <c r="D180" s="6" t="s">
        <v>30</v>
      </c>
      <c r="E180" s="7" t="s">
        <v>113</v>
      </c>
      <c r="F180" s="7" t="s">
        <v>126</v>
      </c>
      <c r="G180" s="6" t="e">
        <f>INDEX(#REF!,MATCH(Plano_Detalhado!H180,#REF!,0),1)</f>
        <v>#REF!</v>
      </c>
      <c r="H180" s="6" t="e">
        <f>VLOOKUP(A180,#REF!,2,0)</f>
        <v>#REF!</v>
      </c>
      <c r="I180" s="67" t="e">
        <f>SUMIFS(#REF!,#REF!,Plano_Detalhado!E180,#REF!,Plano_Detalhado!F180)</f>
        <v>#REF!</v>
      </c>
      <c r="J180" s="67" t="e">
        <f t="shared" si="16"/>
        <v>#REF!</v>
      </c>
      <c r="K180" s="67" t="e">
        <f>SUMIFS(#REF!,#REF!,Plano_Detalhado!E180,#REF!,Plano_Detalhado!F180)</f>
        <v>#REF!</v>
      </c>
      <c r="L180" s="67" t="e">
        <f t="shared" si="17"/>
        <v>#REF!</v>
      </c>
      <c r="M180" s="61"/>
      <c r="N180" s="61" t="e">
        <f t="shared" si="18"/>
        <v>#REF!</v>
      </c>
      <c r="O180" s="61" t="e">
        <f t="shared" si="14"/>
        <v>#REF!</v>
      </c>
      <c r="P180" s="20" t="s">
        <v>114</v>
      </c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24"/>
      <c r="BI180" s="14"/>
      <c r="BJ180" s="14"/>
      <c r="BK180" s="14"/>
      <c r="BL180" s="14"/>
      <c r="BN180" s="2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</row>
    <row r="181" spans="1:79" hidden="1" outlineLevel="1" x14ac:dyDescent="0.4">
      <c r="A181" s="3" t="str">
        <f t="shared" si="15"/>
        <v>PROPERTY_ENERGY_CERTIFICATEBUILDING_DOMEST_HOTWATER_VALUE</v>
      </c>
      <c r="B181" s="8" t="s">
        <v>16</v>
      </c>
      <c r="C181" s="9" t="s">
        <v>44</v>
      </c>
      <c r="D181" s="6" t="s">
        <v>30</v>
      </c>
      <c r="E181" s="7" t="s">
        <v>113</v>
      </c>
      <c r="F181" s="7" t="s">
        <v>127</v>
      </c>
      <c r="G181" s="6" t="e">
        <f>INDEX(#REF!,MATCH(Plano_Detalhado!H181,#REF!,0),1)</f>
        <v>#REF!</v>
      </c>
      <c r="H181" s="6" t="e">
        <f>VLOOKUP(A181,#REF!,2,0)</f>
        <v>#REF!</v>
      </c>
      <c r="I181" s="67" t="e">
        <f>SUMIFS(#REF!,#REF!,Plano_Detalhado!E181,#REF!,Plano_Detalhado!F181)</f>
        <v>#REF!</v>
      </c>
      <c r="J181" s="67" t="e">
        <f t="shared" si="16"/>
        <v>#REF!</v>
      </c>
      <c r="K181" s="67" t="e">
        <f>SUMIFS(#REF!,#REF!,Plano_Detalhado!E181,#REF!,Plano_Detalhado!F181)</f>
        <v>#REF!</v>
      </c>
      <c r="L181" s="67" t="e">
        <f t="shared" si="17"/>
        <v>#REF!</v>
      </c>
      <c r="M181" s="61"/>
      <c r="N181" s="61" t="e">
        <f t="shared" si="18"/>
        <v>#REF!</v>
      </c>
      <c r="O181" s="61" t="e">
        <f t="shared" si="14"/>
        <v>#REF!</v>
      </c>
      <c r="P181" s="20" t="s">
        <v>114</v>
      </c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24"/>
      <c r="BI181" s="14"/>
      <c r="BJ181" s="14"/>
      <c r="BK181" s="14"/>
      <c r="BL181" s="14"/>
      <c r="BN181" s="2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</row>
    <row r="182" spans="1:79" hidden="1" outlineLevel="1" x14ac:dyDescent="0.4">
      <c r="A182" s="3" t="str">
        <f t="shared" si="15"/>
        <v>PROPERTY_ENERGY_CERTIFICATERENEWABLE_DOMEST_HOTWATER_VALUE</v>
      </c>
      <c r="B182" s="8" t="s">
        <v>16</v>
      </c>
      <c r="C182" s="9" t="s">
        <v>44</v>
      </c>
      <c r="D182" s="6" t="s">
        <v>30</v>
      </c>
      <c r="E182" s="7" t="s">
        <v>113</v>
      </c>
      <c r="F182" s="7" t="s">
        <v>128</v>
      </c>
      <c r="G182" s="6" t="e">
        <f>INDEX(#REF!,MATCH(Plano_Detalhado!H182,#REF!,0),1)</f>
        <v>#REF!</v>
      </c>
      <c r="H182" s="6" t="e">
        <f>VLOOKUP(A182,#REF!,2,0)</f>
        <v>#REF!</v>
      </c>
      <c r="I182" s="67" t="e">
        <f>SUMIFS(#REF!,#REF!,Plano_Detalhado!E182,#REF!,Plano_Detalhado!F182)</f>
        <v>#REF!</v>
      </c>
      <c r="J182" s="67" t="e">
        <f t="shared" si="16"/>
        <v>#REF!</v>
      </c>
      <c r="K182" s="67" t="e">
        <f>SUMIFS(#REF!,#REF!,Plano_Detalhado!E182,#REF!,Plano_Detalhado!F182)</f>
        <v>#REF!</v>
      </c>
      <c r="L182" s="67" t="e">
        <f t="shared" si="17"/>
        <v>#REF!</v>
      </c>
      <c r="M182" s="61"/>
      <c r="N182" s="61" t="e">
        <f t="shared" si="18"/>
        <v>#REF!</v>
      </c>
      <c r="O182" s="61" t="e">
        <f t="shared" si="14"/>
        <v>#REF!</v>
      </c>
      <c r="P182" s="20" t="s">
        <v>114</v>
      </c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24"/>
      <c r="BI182" s="14"/>
      <c r="BJ182" s="14"/>
      <c r="BK182" s="14"/>
      <c r="BL182" s="14"/>
      <c r="BN182" s="2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</row>
    <row r="183" spans="1:79" hidden="1" outlineLevel="1" x14ac:dyDescent="0.4">
      <c r="A183" s="3" t="str">
        <f t="shared" si="15"/>
        <v>PROPERTY_ENERGY_CERTIFICATEDOMEST_HOTWATER_REF_VALUE</v>
      </c>
      <c r="B183" s="8" t="s">
        <v>16</v>
      </c>
      <c r="C183" s="9" t="s">
        <v>44</v>
      </c>
      <c r="D183" s="6" t="s">
        <v>30</v>
      </c>
      <c r="E183" s="7" t="s">
        <v>113</v>
      </c>
      <c r="F183" s="7" t="s">
        <v>129</v>
      </c>
      <c r="G183" s="6" t="e">
        <f>INDEX(#REF!,MATCH(Plano_Detalhado!H183,#REF!,0),1)</f>
        <v>#REF!</v>
      </c>
      <c r="H183" s="6" t="e">
        <f>VLOOKUP(A183,#REF!,2,0)</f>
        <v>#REF!</v>
      </c>
      <c r="I183" s="67" t="e">
        <f>SUMIFS(#REF!,#REF!,Plano_Detalhado!E183,#REF!,Plano_Detalhado!F183)</f>
        <v>#REF!</v>
      </c>
      <c r="J183" s="67" t="e">
        <f t="shared" si="16"/>
        <v>#REF!</v>
      </c>
      <c r="K183" s="67" t="e">
        <f>SUMIFS(#REF!,#REF!,Plano_Detalhado!E183,#REF!,Plano_Detalhado!F183)</f>
        <v>#REF!</v>
      </c>
      <c r="L183" s="67" t="e">
        <f t="shared" si="17"/>
        <v>#REF!</v>
      </c>
      <c r="M183" s="61"/>
      <c r="N183" s="61" t="e">
        <f t="shared" si="18"/>
        <v>#REF!</v>
      </c>
      <c r="O183" s="61" t="e">
        <f t="shared" ref="O183:O246" si="21">N183-M183</f>
        <v>#REF!</v>
      </c>
      <c r="P183" s="20" t="s">
        <v>114</v>
      </c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24"/>
      <c r="BI183" s="14"/>
      <c r="BJ183" s="14"/>
      <c r="BK183" s="14"/>
      <c r="BL183" s="14"/>
      <c r="BN183" s="2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</row>
    <row r="184" spans="1:79" hidden="1" outlineLevel="1" x14ac:dyDescent="0.4">
      <c r="A184" s="3" t="str">
        <f t="shared" si="15"/>
        <v>PROPERTY_ENERGY_CERTIFICATEHEIGHT</v>
      </c>
      <c r="B184" s="8" t="s">
        <v>16</v>
      </c>
      <c r="C184" s="9" t="s">
        <v>44</v>
      </c>
      <c r="D184" s="6" t="s">
        <v>30</v>
      </c>
      <c r="E184" s="7" t="s">
        <v>113</v>
      </c>
      <c r="F184" s="7" t="s">
        <v>130</v>
      </c>
      <c r="G184" s="6" t="e">
        <f>INDEX(#REF!,MATCH(Plano_Detalhado!H184,#REF!,0),1)</f>
        <v>#REF!</v>
      </c>
      <c r="H184" s="6" t="e">
        <f>VLOOKUP(A184,#REF!,2,0)</f>
        <v>#REF!</v>
      </c>
      <c r="I184" s="67" t="e">
        <f>SUMIFS(#REF!,#REF!,Plano_Detalhado!E184,#REF!,Plano_Detalhado!F184)</f>
        <v>#REF!</v>
      </c>
      <c r="J184" s="67" t="e">
        <f t="shared" si="16"/>
        <v>#REF!</v>
      </c>
      <c r="K184" s="67" t="e">
        <f>SUMIFS(#REF!,#REF!,Plano_Detalhado!E184,#REF!,Plano_Detalhado!F184)</f>
        <v>#REF!</v>
      </c>
      <c r="L184" s="67" t="e">
        <f t="shared" si="17"/>
        <v>#REF!</v>
      </c>
      <c r="M184" s="61"/>
      <c r="N184" s="61" t="e">
        <f t="shared" si="18"/>
        <v>#REF!</v>
      </c>
      <c r="O184" s="61" t="e">
        <f t="shared" si="21"/>
        <v>#REF!</v>
      </c>
      <c r="P184" s="20" t="s">
        <v>114</v>
      </c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24"/>
      <c r="BI184" s="14"/>
      <c r="BJ184" s="14"/>
      <c r="BK184" s="14"/>
      <c r="BL184" s="14"/>
      <c r="BN184" s="2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</row>
    <row r="185" spans="1:79" hidden="1" outlineLevel="1" x14ac:dyDescent="0.4">
      <c r="A185" s="3" t="str">
        <f t="shared" si="15"/>
        <v>PROPERTY_ENERGY_CERTIFICATEBUILDING_SPACE_HEATING_VALUE</v>
      </c>
      <c r="B185" s="8" t="s">
        <v>16</v>
      </c>
      <c r="C185" s="9" t="s">
        <v>44</v>
      </c>
      <c r="D185" s="6" t="s">
        <v>30</v>
      </c>
      <c r="E185" s="7" t="s">
        <v>113</v>
      </c>
      <c r="F185" s="7" t="s">
        <v>131</v>
      </c>
      <c r="G185" s="6" t="e">
        <f>INDEX(#REF!,MATCH(Plano_Detalhado!H185,#REF!,0),1)</f>
        <v>#REF!</v>
      </c>
      <c r="H185" s="6" t="e">
        <f>VLOOKUP(A185,#REF!,2,0)</f>
        <v>#REF!</v>
      </c>
      <c r="I185" s="67" t="e">
        <f>SUMIFS(#REF!,#REF!,Plano_Detalhado!E185,#REF!,Plano_Detalhado!F185)</f>
        <v>#REF!</v>
      </c>
      <c r="J185" s="67" t="e">
        <f t="shared" si="16"/>
        <v>#REF!</v>
      </c>
      <c r="K185" s="67" t="e">
        <f>SUMIFS(#REF!,#REF!,Plano_Detalhado!E185,#REF!,Plano_Detalhado!F185)</f>
        <v>#REF!</v>
      </c>
      <c r="L185" s="67" t="e">
        <f t="shared" si="17"/>
        <v>#REF!</v>
      </c>
      <c r="M185" s="61"/>
      <c r="N185" s="61" t="e">
        <f t="shared" si="18"/>
        <v>#REF!</v>
      </c>
      <c r="O185" s="61" t="e">
        <f t="shared" si="21"/>
        <v>#REF!</v>
      </c>
      <c r="P185" s="20" t="s">
        <v>114</v>
      </c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24"/>
      <c r="BI185" s="14"/>
      <c r="BJ185" s="14"/>
      <c r="BK185" s="14"/>
      <c r="BL185" s="14"/>
      <c r="BN185" s="2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</row>
    <row r="186" spans="1:79" hidden="1" outlineLevel="1" x14ac:dyDescent="0.4">
      <c r="A186" s="3" t="str">
        <f t="shared" ref="A186:A256" si="22">E186&amp;F186</f>
        <v>PROPERTY_ENERGY_CERTIFICATESPACE_HEATING_REF_VALUE</v>
      </c>
      <c r="B186" s="8" t="s">
        <v>16</v>
      </c>
      <c r="C186" s="9" t="s">
        <v>44</v>
      </c>
      <c r="D186" s="6" t="s">
        <v>30</v>
      </c>
      <c r="E186" s="7" t="s">
        <v>113</v>
      </c>
      <c r="F186" s="7" t="s">
        <v>132</v>
      </c>
      <c r="G186" s="6" t="e">
        <f>INDEX(#REF!,MATCH(Plano_Detalhado!H186,#REF!,0),1)</f>
        <v>#REF!</v>
      </c>
      <c r="H186" s="6" t="e">
        <f>VLOOKUP(A186,#REF!,2,0)</f>
        <v>#REF!</v>
      </c>
      <c r="I186" s="67" t="e">
        <f>SUMIFS(#REF!,#REF!,Plano_Detalhado!E186,#REF!,Plano_Detalhado!F186)</f>
        <v>#REF!</v>
      </c>
      <c r="J186" s="67" t="e">
        <f t="shared" si="16"/>
        <v>#REF!</v>
      </c>
      <c r="K186" s="67" t="e">
        <f>SUMIFS(#REF!,#REF!,Plano_Detalhado!E186,#REF!,Plano_Detalhado!F186)</f>
        <v>#REF!</v>
      </c>
      <c r="L186" s="67" t="e">
        <f t="shared" si="17"/>
        <v>#REF!</v>
      </c>
      <c r="M186" s="61"/>
      <c r="N186" s="61" t="e">
        <f t="shared" si="18"/>
        <v>#REF!</v>
      </c>
      <c r="O186" s="61" t="e">
        <f t="shared" si="21"/>
        <v>#REF!</v>
      </c>
      <c r="P186" s="20" t="s">
        <v>114</v>
      </c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24"/>
      <c r="BI186" s="14"/>
      <c r="BJ186" s="14"/>
      <c r="BK186" s="14"/>
      <c r="BL186" s="14"/>
      <c r="BN186" s="2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</row>
    <row r="187" spans="1:79" hidden="1" outlineLevel="1" x14ac:dyDescent="0.4">
      <c r="A187" s="3" t="str">
        <f t="shared" si="22"/>
        <v>PROPERTY_ENERGY_CERTIFICATERENEWABLE_SPACE_HEATING_VALUE</v>
      </c>
      <c r="B187" s="8" t="s">
        <v>16</v>
      </c>
      <c r="C187" s="9" t="s">
        <v>44</v>
      </c>
      <c r="D187" s="6" t="s">
        <v>30</v>
      </c>
      <c r="E187" s="7" t="s">
        <v>113</v>
      </c>
      <c r="F187" s="7" t="s">
        <v>133</v>
      </c>
      <c r="G187" s="6" t="e">
        <f>INDEX(#REF!,MATCH(Plano_Detalhado!H187,#REF!,0),1)</f>
        <v>#REF!</v>
      </c>
      <c r="H187" s="6" t="e">
        <f>VLOOKUP(A187,#REF!,2,0)</f>
        <v>#REF!</v>
      </c>
      <c r="I187" s="67" t="e">
        <f>SUMIFS(#REF!,#REF!,Plano_Detalhado!E187,#REF!,Plano_Detalhado!F187)</f>
        <v>#REF!</v>
      </c>
      <c r="J187" s="67" t="e">
        <f t="shared" si="16"/>
        <v>#REF!</v>
      </c>
      <c r="K187" s="67" t="e">
        <f>SUMIFS(#REF!,#REF!,Plano_Detalhado!E187,#REF!,Plano_Detalhado!F187)</f>
        <v>#REF!</v>
      </c>
      <c r="L187" s="67" t="e">
        <f t="shared" si="17"/>
        <v>#REF!</v>
      </c>
      <c r="M187" s="61"/>
      <c r="N187" s="61" t="e">
        <f t="shared" si="18"/>
        <v>#REF!</v>
      </c>
      <c r="O187" s="61" t="e">
        <f t="shared" si="21"/>
        <v>#REF!</v>
      </c>
      <c r="P187" s="20" t="s">
        <v>114</v>
      </c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24"/>
      <c r="BI187" s="14"/>
      <c r="BJ187" s="14"/>
      <c r="BK187" s="14"/>
      <c r="BL187" s="14"/>
      <c r="BN187" s="2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</row>
    <row r="188" spans="1:79" hidden="1" outlineLevel="1" x14ac:dyDescent="0.4">
      <c r="A188" s="3" t="str">
        <f t="shared" si="22"/>
        <v>PROPERTY_ENERGY_CERTIFICATEBUILDING_SPACE_COOLING_VALUE</v>
      </c>
      <c r="B188" s="8" t="s">
        <v>16</v>
      </c>
      <c r="C188" s="9" t="s">
        <v>44</v>
      </c>
      <c r="D188" s="6" t="s">
        <v>30</v>
      </c>
      <c r="E188" s="7" t="s">
        <v>113</v>
      </c>
      <c r="F188" s="7" t="s">
        <v>134</v>
      </c>
      <c r="G188" s="6" t="e">
        <f>INDEX(#REF!,MATCH(Plano_Detalhado!H188,#REF!,0),1)</f>
        <v>#REF!</v>
      </c>
      <c r="H188" s="6" t="e">
        <f>VLOOKUP(A188,#REF!,2,0)</f>
        <v>#REF!</v>
      </c>
      <c r="I188" s="67" t="e">
        <f>SUMIFS(#REF!,#REF!,Plano_Detalhado!E188,#REF!,Plano_Detalhado!F188)</f>
        <v>#REF!</v>
      </c>
      <c r="J188" s="67" t="e">
        <f t="shared" si="16"/>
        <v>#REF!</v>
      </c>
      <c r="K188" s="67" t="e">
        <f>SUMIFS(#REF!,#REF!,Plano_Detalhado!E188,#REF!,Plano_Detalhado!F188)</f>
        <v>#REF!</v>
      </c>
      <c r="L188" s="67" t="e">
        <f t="shared" si="17"/>
        <v>#REF!</v>
      </c>
      <c r="M188" s="61"/>
      <c r="N188" s="61" t="e">
        <f t="shared" si="18"/>
        <v>#REF!</v>
      </c>
      <c r="O188" s="61" t="e">
        <f t="shared" si="21"/>
        <v>#REF!</v>
      </c>
      <c r="P188" s="20" t="s">
        <v>114</v>
      </c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24"/>
      <c r="BI188" s="14"/>
      <c r="BJ188" s="14"/>
      <c r="BK188" s="14"/>
      <c r="BL188" s="14"/>
      <c r="BN188" s="2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</row>
    <row r="189" spans="1:79" hidden="1" outlineLevel="1" x14ac:dyDescent="0.4">
      <c r="A189" s="3" t="str">
        <f t="shared" si="22"/>
        <v>PROPERTY_ENERGY_CERTIFICATERENEWABLE_SPACE_COOLING_VALUE</v>
      </c>
      <c r="B189" s="8" t="s">
        <v>16</v>
      </c>
      <c r="C189" s="9" t="s">
        <v>44</v>
      </c>
      <c r="D189" s="6" t="s">
        <v>30</v>
      </c>
      <c r="E189" s="7" t="s">
        <v>113</v>
      </c>
      <c r="F189" s="7" t="s">
        <v>135</v>
      </c>
      <c r="G189" s="6" t="e">
        <f>INDEX(#REF!,MATCH(Plano_Detalhado!H189,#REF!,0),1)</f>
        <v>#REF!</v>
      </c>
      <c r="H189" s="6" t="e">
        <f>VLOOKUP(A189,#REF!,2,0)</f>
        <v>#REF!</v>
      </c>
      <c r="I189" s="67" t="e">
        <f>SUMIFS(#REF!,#REF!,Plano_Detalhado!E189,#REF!,Plano_Detalhado!F189)</f>
        <v>#REF!</v>
      </c>
      <c r="J189" s="67" t="e">
        <f t="shared" si="16"/>
        <v>#REF!</v>
      </c>
      <c r="K189" s="67" t="e">
        <f>SUMIFS(#REF!,#REF!,Plano_Detalhado!E189,#REF!,Plano_Detalhado!F189)</f>
        <v>#REF!</v>
      </c>
      <c r="L189" s="67" t="e">
        <f t="shared" si="17"/>
        <v>#REF!</v>
      </c>
      <c r="M189" s="61"/>
      <c r="N189" s="61" t="e">
        <f t="shared" si="18"/>
        <v>#REF!</v>
      </c>
      <c r="O189" s="61" t="e">
        <f t="shared" si="21"/>
        <v>#REF!</v>
      </c>
      <c r="P189" s="20" t="s">
        <v>114</v>
      </c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24"/>
      <c r="BI189" s="14"/>
      <c r="BJ189" s="14"/>
      <c r="BK189" s="14"/>
      <c r="BL189" s="14"/>
      <c r="BN189" s="2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</row>
    <row r="190" spans="1:79" hidden="1" outlineLevel="1" x14ac:dyDescent="0.4">
      <c r="A190" s="3" t="str">
        <f t="shared" si="22"/>
        <v>PROPERTY_ENERGY_CERTIFICATESPACE_COOLING_REF_VALUE</v>
      </c>
      <c r="B190" s="8" t="s">
        <v>16</v>
      </c>
      <c r="C190" s="9" t="s">
        <v>44</v>
      </c>
      <c r="D190" s="6" t="s">
        <v>30</v>
      </c>
      <c r="E190" s="7" t="s">
        <v>113</v>
      </c>
      <c r="F190" s="7" t="s">
        <v>136</v>
      </c>
      <c r="G190" s="6" t="e">
        <f>INDEX(#REF!,MATCH(Plano_Detalhado!H190,#REF!,0),1)</f>
        <v>#REF!</v>
      </c>
      <c r="H190" s="6" t="e">
        <f>VLOOKUP(A190,#REF!,2,0)</f>
        <v>#REF!</v>
      </c>
      <c r="I190" s="67" t="e">
        <f>SUMIFS(#REF!,#REF!,Plano_Detalhado!E190,#REF!,Plano_Detalhado!F190)</f>
        <v>#REF!</v>
      </c>
      <c r="J190" s="67" t="e">
        <f t="shared" si="16"/>
        <v>#REF!</v>
      </c>
      <c r="K190" s="67" t="e">
        <f>SUMIFS(#REF!,#REF!,Plano_Detalhado!E190,#REF!,Plano_Detalhado!F190)</f>
        <v>#REF!</v>
      </c>
      <c r="L190" s="67" t="e">
        <f t="shared" si="17"/>
        <v>#REF!</v>
      </c>
      <c r="M190" s="61"/>
      <c r="N190" s="61" t="e">
        <f t="shared" si="18"/>
        <v>#REF!</v>
      </c>
      <c r="O190" s="61" t="e">
        <f t="shared" si="21"/>
        <v>#REF!</v>
      </c>
      <c r="P190" s="20" t="s">
        <v>114</v>
      </c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24"/>
      <c r="BI190" s="14"/>
      <c r="BJ190" s="14"/>
      <c r="BK190" s="14"/>
      <c r="BL190" s="14"/>
      <c r="BN190" s="2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</row>
    <row r="191" spans="1:79" hidden="1" outlineLevel="1" x14ac:dyDescent="0.4">
      <c r="A191" s="3" t="str">
        <f t="shared" si="22"/>
        <v>PROPERTY_ENERGY_CERTIFICATEENERGY_CLASS_AFTER_MEASUREMENT</v>
      </c>
      <c r="B191" s="8" t="s">
        <v>16</v>
      </c>
      <c r="C191" s="9" t="s">
        <v>44</v>
      </c>
      <c r="D191" s="6" t="s">
        <v>30</v>
      </c>
      <c r="E191" s="7" t="s">
        <v>113</v>
      </c>
      <c r="F191" s="7" t="s">
        <v>137</v>
      </c>
      <c r="G191" s="6" t="e">
        <f>INDEX(#REF!,MATCH(Plano_Detalhado!H191,#REF!,0),1)</f>
        <v>#REF!</v>
      </c>
      <c r="H191" s="6" t="e">
        <f>VLOOKUP(A191,#REF!,2,0)</f>
        <v>#REF!</v>
      </c>
      <c r="I191" s="67" t="e">
        <f>SUMIFS(#REF!,#REF!,Plano_Detalhado!E191,#REF!,Plano_Detalhado!F191)</f>
        <v>#REF!</v>
      </c>
      <c r="J191" s="67" t="e">
        <f t="shared" si="16"/>
        <v>#REF!</v>
      </c>
      <c r="K191" s="67" t="e">
        <f>SUMIFS(#REF!,#REF!,Plano_Detalhado!E191,#REF!,Plano_Detalhado!F191)</f>
        <v>#REF!</v>
      </c>
      <c r="L191" s="67" t="e">
        <f t="shared" si="17"/>
        <v>#REF!</v>
      </c>
      <c r="M191" s="61"/>
      <c r="N191" s="61" t="e">
        <f t="shared" si="18"/>
        <v>#REF!</v>
      </c>
      <c r="O191" s="61" t="e">
        <f t="shared" si="21"/>
        <v>#REF!</v>
      </c>
      <c r="P191" s="20" t="s">
        <v>114</v>
      </c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24"/>
      <c r="BI191" s="14"/>
      <c r="BJ191" s="14"/>
      <c r="BK191" s="14"/>
      <c r="BL191" s="14"/>
      <c r="BN191" s="2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</row>
    <row r="192" spans="1:79" hidden="1" outlineLevel="1" x14ac:dyDescent="0.4">
      <c r="A192" s="3" t="str">
        <f t="shared" si="22"/>
        <v>PROPERTY_ENERGY_CERTIFICATEENERGY_CONSUMPTION_VALUE_YEAR</v>
      </c>
      <c r="B192" s="8" t="s">
        <v>16</v>
      </c>
      <c r="C192" s="9" t="s">
        <v>44</v>
      </c>
      <c r="D192" s="6" t="s">
        <v>30</v>
      </c>
      <c r="E192" s="7" t="s">
        <v>113</v>
      </c>
      <c r="F192" s="7" t="s">
        <v>41</v>
      </c>
      <c r="G192" s="6" t="e">
        <f>INDEX(#REF!,MATCH(Plano_Detalhado!H192,#REF!,0),1)</f>
        <v>#REF!</v>
      </c>
      <c r="H192" s="6" t="e">
        <f>VLOOKUP(A192,#REF!,2,0)</f>
        <v>#REF!</v>
      </c>
      <c r="I192" s="67" t="e">
        <f>SUMIFS(#REF!,#REF!,Plano_Detalhado!E192,#REF!,Plano_Detalhado!F192)</f>
        <v>#REF!</v>
      </c>
      <c r="J192" s="67" t="e">
        <f t="shared" si="16"/>
        <v>#REF!</v>
      </c>
      <c r="K192" s="67" t="e">
        <f>SUMIFS(#REF!,#REF!,Plano_Detalhado!E192,#REF!,Plano_Detalhado!F192)</f>
        <v>#REF!</v>
      </c>
      <c r="L192" s="67" t="e">
        <f t="shared" si="17"/>
        <v>#REF!</v>
      </c>
      <c r="M192" s="61"/>
      <c r="N192" s="61" t="e">
        <f t="shared" si="18"/>
        <v>#REF!</v>
      </c>
      <c r="O192" s="61" t="e">
        <f t="shared" si="21"/>
        <v>#REF!</v>
      </c>
      <c r="P192" s="20" t="s">
        <v>114</v>
      </c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24"/>
      <c r="BI192" s="14"/>
      <c r="BJ192" s="14"/>
      <c r="BK192" s="14"/>
      <c r="BL192" s="14"/>
      <c r="BN192" s="2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</row>
    <row r="193" spans="1:79" hidden="1" outlineLevel="1" x14ac:dyDescent="0.4">
      <c r="A193" s="3" t="str">
        <f t="shared" si="22"/>
        <v>PROPERTY_ENERGY_CERTIFICATETHERMAL_BEHAVIOUR_ROOF</v>
      </c>
      <c r="B193" s="8" t="s">
        <v>16</v>
      </c>
      <c r="C193" s="9" t="s">
        <v>44</v>
      </c>
      <c r="D193" s="6" t="s">
        <v>30</v>
      </c>
      <c r="E193" s="7" t="s">
        <v>113</v>
      </c>
      <c r="F193" s="7" t="s">
        <v>138</v>
      </c>
      <c r="G193" s="6" t="e">
        <f>INDEX(#REF!,MATCH(Plano_Detalhado!H193,#REF!,0),1)</f>
        <v>#REF!</v>
      </c>
      <c r="H193" s="6" t="e">
        <f>VLOOKUP(A193,#REF!,2,0)</f>
        <v>#REF!</v>
      </c>
      <c r="I193" s="67" t="e">
        <f>SUMIFS(#REF!,#REF!,Plano_Detalhado!E193,#REF!,Plano_Detalhado!F193)</f>
        <v>#REF!</v>
      </c>
      <c r="J193" s="67" t="e">
        <f t="shared" si="16"/>
        <v>#REF!</v>
      </c>
      <c r="K193" s="67" t="e">
        <f>SUMIFS(#REF!,#REF!,Plano_Detalhado!E193,#REF!,Plano_Detalhado!F193)</f>
        <v>#REF!</v>
      </c>
      <c r="L193" s="67" t="e">
        <f t="shared" si="17"/>
        <v>#REF!</v>
      </c>
      <c r="M193" s="61"/>
      <c r="N193" s="61" t="e">
        <f t="shared" si="18"/>
        <v>#REF!</v>
      </c>
      <c r="O193" s="61" t="e">
        <f t="shared" si="21"/>
        <v>#REF!</v>
      </c>
      <c r="P193" s="20" t="s">
        <v>114</v>
      </c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24"/>
      <c r="BI193" s="14"/>
      <c r="BJ193" s="14"/>
      <c r="BK193" s="14"/>
      <c r="BL193" s="14"/>
      <c r="BN193" s="2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</row>
    <row r="194" spans="1:79" hidden="1" outlineLevel="1" x14ac:dyDescent="0.4">
      <c r="A194" s="3" t="str">
        <f t="shared" si="22"/>
        <v>PROPERTY_ENERGY_CERTIFICATETHERMAL_BEHAVIOUR_WINDOWS</v>
      </c>
      <c r="B194" s="8" t="s">
        <v>16</v>
      </c>
      <c r="C194" s="9" t="s">
        <v>44</v>
      </c>
      <c r="D194" s="6" t="s">
        <v>30</v>
      </c>
      <c r="E194" s="7" t="s">
        <v>113</v>
      </c>
      <c r="F194" s="7" t="s">
        <v>139</v>
      </c>
      <c r="G194" s="6" t="e">
        <f>INDEX(#REF!,MATCH(Plano_Detalhado!H194,#REF!,0),1)</f>
        <v>#REF!</v>
      </c>
      <c r="H194" s="6" t="e">
        <f>VLOOKUP(A194,#REF!,2,0)</f>
        <v>#REF!</v>
      </c>
      <c r="I194" s="67" t="e">
        <f>SUMIFS(#REF!,#REF!,Plano_Detalhado!E194,#REF!,Plano_Detalhado!F194)</f>
        <v>#REF!</v>
      </c>
      <c r="J194" s="67" t="e">
        <f t="shared" si="16"/>
        <v>#REF!</v>
      </c>
      <c r="K194" s="67" t="e">
        <f>SUMIFS(#REF!,#REF!,Plano_Detalhado!E194,#REF!,Plano_Detalhado!F194)</f>
        <v>#REF!</v>
      </c>
      <c r="L194" s="67" t="e">
        <f t="shared" si="17"/>
        <v>#REF!</v>
      </c>
      <c r="M194" s="61"/>
      <c r="N194" s="61" t="e">
        <f t="shared" si="18"/>
        <v>#REF!</v>
      </c>
      <c r="O194" s="61" t="e">
        <f t="shared" si="21"/>
        <v>#REF!</v>
      </c>
      <c r="P194" s="20" t="s">
        <v>114</v>
      </c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24"/>
      <c r="BI194" s="14"/>
      <c r="BJ194" s="14"/>
      <c r="BK194" s="14"/>
      <c r="BL194" s="14"/>
      <c r="BN194" s="2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</row>
    <row r="195" spans="1:79" hidden="1" outlineLevel="1" x14ac:dyDescent="0.4">
      <c r="A195" s="3" t="str">
        <f t="shared" si="22"/>
        <v>PROPERTY_ENERGY_CERTIFICATETHERMAL_BEHAVIOUR_WALL</v>
      </c>
      <c r="B195" s="8" t="s">
        <v>16</v>
      </c>
      <c r="C195" s="9" t="s">
        <v>44</v>
      </c>
      <c r="D195" s="6" t="s">
        <v>30</v>
      </c>
      <c r="E195" s="7" t="s">
        <v>113</v>
      </c>
      <c r="F195" s="7" t="s">
        <v>140</v>
      </c>
      <c r="G195" s="6" t="e">
        <f>INDEX(#REF!,MATCH(Plano_Detalhado!H195,#REF!,0),1)</f>
        <v>#REF!</v>
      </c>
      <c r="H195" s="6" t="e">
        <f>VLOOKUP(A195,#REF!,2,0)</f>
        <v>#REF!</v>
      </c>
      <c r="I195" s="67" t="e">
        <f>SUMIFS(#REF!,#REF!,Plano_Detalhado!E195,#REF!,Plano_Detalhado!F195)</f>
        <v>#REF!</v>
      </c>
      <c r="J195" s="67" t="e">
        <f t="shared" si="16"/>
        <v>#REF!</v>
      </c>
      <c r="K195" s="67" t="e">
        <f>SUMIFS(#REF!,#REF!,Plano_Detalhado!E195,#REF!,Plano_Detalhado!F195)</f>
        <v>#REF!</v>
      </c>
      <c r="L195" s="67" t="e">
        <f t="shared" si="17"/>
        <v>#REF!</v>
      </c>
      <c r="M195" s="61"/>
      <c r="N195" s="61" t="e">
        <f t="shared" si="18"/>
        <v>#REF!</v>
      </c>
      <c r="O195" s="61" t="e">
        <f t="shared" si="21"/>
        <v>#REF!</v>
      </c>
      <c r="P195" s="20" t="s">
        <v>114</v>
      </c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24"/>
      <c r="BI195" s="14"/>
      <c r="BJ195" s="14"/>
      <c r="BK195" s="14"/>
      <c r="BL195" s="14"/>
      <c r="BN195" s="2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</row>
    <row r="196" spans="1:79" hidden="1" outlineLevel="1" x14ac:dyDescent="0.4">
      <c r="A196" s="3" t="str">
        <f t="shared" si="22"/>
        <v>PROPERTY_ENERGY_CERTIFICATETHERMAL_BEHAVIOUR_FLOORS</v>
      </c>
      <c r="B196" s="8" t="s">
        <v>16</v>
      </c>
      <c r="C196" s="9" t="s">
        <v>44</v>
      </c>
      <c r="D196" s="6" t="s">
        <v>30</v>
      </c>
      <c r="E196" s="7" t="s">
        <v>113</v>
      </c>
      <c r="F196" s="7" t="s">
        <v>141</v>
      </c>
      <c r="G196" s="6" t="e">
        <f>INDEX(#REF!,MATCH(Plano_Detalhado!H196,#REF!,0),1)</f>
        <v>#REF!</v>
      </c>
      <c r="H196" s="6" t="e">
        <f>VLOOKUP(A196,#REF!,2,0)</f>
        <v>#REF!</v>
      </c>
      <c r="I196" s="67" t="e">
        <f>SUMIFS(#REF!,#REF!,Plano_Detalhado!E196,#REF!,Plano_Detalhado!F196)</f>
        <v>#REF!</v>
      </c>
      <c r="J196" s="67" t="e">
        <f t="shared" si="16"/>
        <v>#REF!</v>
      </c>
      <c r="K196" s="67" t="e">
        <f>SUMIFS(#REF!,#REF!,Plano_Detalhado!E196,#REF!,Plano_Detalhado!F196)</f>
        <v>#REF!</v>
      </c>
      <c r="L196" s="67" t="e">
        <f t="shared" si="17"/>
        <v>#REF!</v>
      </c>
      <c r="M196" s="61"/>
      <c r="N196" s="61" t="e">
        <f t="shared" si="18"/>
        <v>#REF!</v>
      </c>
      <c r="O196" s="61" t="e">
        <f t="shared" si="21"/>
        <v>#REF!</v>
      </c>
      <c r="P196" s="20" t="s">
        <v>114</v>
      </c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24"/>
      <c r="BI196" s="14"/>
      <c r="BJ196" s="14"/>
      <c r="BK196" s="14"/>
      <c r="BL196" s="14"/>
      <c r="BN196" s="2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</row>
    <row r="197" spans="1:79" hidden="1" outlineLevel="1" x14ac:dyDescent="0.4">
      <c r="A197" s="3" t="str">
        <f t="shared" si="22"/>
        <v>PROPERTY_ENERGY_CERTIFICATETHERMAL_BEHAVIOUR_TECH_SYS_VENT</v>
      </c>
      <c r="B197" s="8" t="s">
        <v>16</v>
      </c>
      <c r="C197" s="9" t="s">
        <v>44</v>
      </c>
      <c r="D197" s="6" t="s">
        <v>30</v>
      </c>
      <c r="E197" s="7" t="s">
        <v>113</v>
      </c>
      <c r="F197" s="7" t="s">
        <v>142</v>
      </c>
      <c r="G197" s="6" t="e">
        <f>INDEX(#REF!,MATCH(Plano_Detalhado!H197,#REF!,0),1)</f>
        <v>#REF!</v>
      </c>
      <c r="H197" s="6" t="e">
        <f>VLOOKUP(A197,#REF!,2,0)</f>
        <v>#REF!</v>
      </c>
      <c r="I197" s="67" t="e">
        <f>SUMIFS(#REF!,#REF!,Plano_Detalhado!E197,#REF!,Plano_Detalhado!F197)</f>
        <v>#REF!</v>
      </c>
      <c r="J197" s="67" t="e">
        <f t="shared" si="16"/>
        <v>#REF!</v>
      </c>
      <c r="K197" s="67" t="e">
        <f>SUMIFS(#REF!,#REF!,Plano_Detalhado!E197,#REF!,Plano_Detalhado!F197)</f>
        <v>#REF!</v>
      </c>
      <c r="L197" s="67" t="e">
        <f t="shared" si="17"/>
        <v>#REF!</v>
      </c>
      <c r="M197" s="61"/>
      <c r="N197" s="61" t="e">
        <f t="shared" si="18"/>
        <v>#REF!</v>
      </c>
      <c r="O197" s="61" t="e">
        <f t="shared" si="21"/>
        <v>#REF!</v>
      </c>
      <c r="P197" s="20" t="s">
        <v>114</v>
      </c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24"/>
      <c r="BI197" s="14"/>
      <c r="BJ197" s="14"/>
      <c r="BK197" s="14"/>
      <c r="BL197" s="14"/>
      <c r="BN197" s="2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</row>
    <row r="198" spans="1:79" hidden="1" outlineLevel="1" x14ac:dyDescent="0.4">
      <c r="A198" s="3" t="str">
        <f t="shared" si="22"/>
        <v>PROPERTY_ENERGY_CERTIFICATETOTAL_INVSTMNT_ESTMTD_VALUE</v>
      </c>
      <c r="B198" s="8" t="s">
        <v>16</v>
      </c>
      <c r="C198" s="9" t="s">
        <v>44</v>
      </c>
      <c r="D198" s="6" t="s">
        <v>30</v>
      </c>
      <c r="E198" s="7" t="s">
        <v>113</v>
      </c>
      <c r="F198" s="7" t="s">
        <v>143</v>
      </c>
      <c r="G198" s="6" t="e">
        <f>INDEX(#REF!,MATCH(Plano_Detalhado!H198,#REF!,0),1)</f>
        <v>#REF!</v>
      </c>
      <c r="H198" s="6" t="e">
        <f>VLOOKUP(A198,#REF!,2,0)</f>
        <v>#REF!</v>
      </c>
      <c r="I198" s="67" t="e">
        <f>SUMIFS(#REF!,#REF!,Plano_Detalhado!E198,#REF!,Plano_Detalhado!F198)</f>
        <v>#REF!</v>
      </c>
      <c r="J198" s="67" t="e">
        <f t="shared" si="16"/>
        <v>#REF!</v>
      </c>
      <c r="K198" s="67" t="e">
        <f>SUMIFS(#REF!,#REF!,Plano_Detalhado!E198,#REF!,Plano_Detalhado!F198)</f>
        <v>#REF!</v>
      </c>
      <c r="L198" s="67" t="e">
        <f t="shared" si="17"/>
        <v>#REF!</v>
      </c>
      <c r="M198" s="61"/>
      <c r="N198" s="61" t="e">
        <f t="shared" si="18"/>
        <v>#REF!</v>
      </c>
      <c r="O198" s="61" t="e">
        <f t="shared" si="21"/>
        <v>#REF!</v>
      </c>
      <c r="P198" s="20" t="s">
        <v>114</v>
      </c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24"/>
      <c r="BI198" s="14"/>
      <c r="BJ198" s="14"/>
      <c r="BK198" s="14"/>
      <c r="BL198" s="14"/>
      <c r="BN198" s="2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</row>
    <row r="199" spans="1:79" hidden="1" outlineLevel="1" x14ac:dyDescent="0.4">
      <c r="A199" s="3" t="str">
        <f t="shared" si="22"/>
        <v>PROPERTY_ENERGY_CERTIFICATEDURATION_SUMMER</v>
      </c>
      <c r="B199" s="8" t="s">
        <v>16</v>
      </c>
      <c r="C199" s="9" t="s">
        <v>44</v>
      </c>
      <c r="D199" s="6" t="s">
        <v>30</v>
      </c>
      <c r="E199" s="7" t="s">
        <v>113</v>
      </c>
      <c r="F199" s="7" t="s">
        <v>144</v>
      </c>
      <c r="G199" s="6" t="e">
        <f>INDEX(#REF!,MATCH(Plano_Detalhado!H199,#REF!,0),1)</f>
        <v>#REF!</v>
      </c>
      <c r="H199" s="6" t="e">
        <f>VLOOKUP(A199,#REF!,2,0)</f>
        <v>#REF!</v>
      </c>
      <c r="I199" s="67" t="e">
        <f>SUMIFS(#REF!,#REF!,Plano_Detalhado!E199,#REF!,Plano_Detalhado!F199)</f>
        <v>#REF!</v>
      </c>
      <c r="J199" s="67" t="e">
        <f t="shared" si="16"/>
        <v>#REF!</v>
      </c>
      <c r="K199" s="67" t="e">
        <f>SUMIFS(#REF!,#REF!,Plano_Detalhado!E199,#REF!,Plano_Detalhado!F199)</f>
        <v>#REF!</v>
      </c>
      <c r="L199" s="67" t="e">
        <f t="shared" si="17"/>
        <v>#REF!</v>
      </c>
      <c r="M199" s="61"/>
      <c r="N199" s="61" t="e">
        <f t="shared" si="18"/>
        <v>#REF!</v>
      </c>
      <c r="O199" s="61" t="e">
        <f t="shared" si="21"/>
        <v>#REF!</v>
      </c>
      <c r="P199" s="20" t="s">
        <v>114</v>
      </c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24"/>
      <c r="BI199" s="14"/>
      <c r="BJ199" s="14"/>
      <c r="BK199" s="14"/>
      <c r="BL199" s="14"/>
      <c r="BN199" s="2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</row>
    <row r="200" spans="1:79" hidden="1" outlineLevel="1" x14ac:dyDescent="0.4">
      <c r="A200" s="3" t="str">
        <f t="shared" si="22"/>
        <v>PROPERTY_ENERGY_CERTIFICATEDURATION_WINTER</v>
      </c>
      <c r="B200" s="8" t="s">
        <v>16</v>
      </c>
      <c r="C200" s="9" t="s">
        <v>44</v>
      </c>
      <c r="D200" s="6" t="s">
        <v>30</v>
      </c>
      <c r="E200" s="7" t="s">
        <v>113</v>
      </c>
      <c r="F200" s="7" t="s">
        <v>145</v>
      </c>
      <c r="G200" s="6" t="e">
        <f>INDEX(#REF!,MATCH(Plano_Detalhado!H200,#REF!,0),1)</f>
        <v>#REF!</v>
      </c>
      <c r="H200" s="6" t="e">
        <f>VLOOKUP(A200,#REF!,2,0)</f>
        <v>#REF!</v>
      </c>
      <c r="I200" s="67" t="e">
        <f>SUMIFS(#REF!,#REF!,Plano_Detalhado!E200,#REF!,Plano_Detalhado!F200)</f>
        <v>#REF!</v>
      </c>
      <c r="J200" s="67" t="e">
        <f t="shared" ref="J200:J232" si="23">I200/8</f>
        <v>#REF!</v>
      </c>
      <c r="K200" s="67" t="e">
        <f>SUMIFS(#REF!,#REF!,Plano_Detalhado!E200,#REF!,Plano_Detalhado!F200)</f>
        <v>#REF!</v>
      </c>
      <c r="L200" s="67" t="e">
        <f t="shared" ref="L200:L232" si="24">K200/8</f>
        <v>#REF!</v>
      </c>
      <c r="M200" s="61"/>
      <c r="N200" s="61" t="e">
        <f t="shared" ref="N200:N233" si="25">L200/J200</f>
        <v>#REF!</v>
      </c>
      <c r="O200" s="61" t="e">
        <f t="shared" si="21"/>
        <v>#REF!</v>
      </c>
      <c r="P200" s="20" t="s">
        <v>114</v>
      </c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24"/>
      <c r="BI200" s="14"/>
      <c r="BJ200" s="14"/>
      <c r="BK200" s="14"/>
      <c r="BL200" s="14"/>
      <c r="BN200" s="2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</row>
    <row r="201" spans="1:79" hidden="1" outlineLevel="1" x14ac:dyDescent="0.4">
      <c r="A201" s="3" t="str">
        <f t="shared" si="22"/>
        <v>PROPERTY_ENERGY_CERTIFICATECARBON_EMISSION_VALUE_YEAR</v>
      </c>
      <c r="B201" s="8" t="s">
        <v>16</v>
      </c>
      <c r="C201" s="9" t="s">
        <v>44</v>
      </c>
      <c r="D201" s="6" t="s">
        <v>30</v>
      </c>
      <c r="E201" s="7" t="s">
        <v>113</v>
      </c>
      <c r="F201" s="7" t="s">
        <v>42</v>
      </c>
      <c r="G201" s="6" t="e">
        <f>INDEX(#REF!,MATCH(Plano_Detalhado!H201,#REF!,0),1)</f>
        <v>#REF!</v>
      </c>
      <c r="H201" s="6" t="e">
        <f>VLOOKUP(A201,#REF!,2,0)</f>
        <v>#REF!</v>
      </c>
      <c r="I201" s="67" t="e">
        <f>SUMIFS(#REF!,#REF!,Plano_Detalhado!E201,#REF!,Plano_Detalhado!F201)</f>
        <v>#REF!</v>
      </c>
      <c r="J201" s="67" t="e">
        <f t="shared" si="23"/>
        <v>#REF!</v>
      </c>
      <c r="K201" s="67" t="e">
        <f>SUMIFS(#REF!,#REF!,Plano_Detalhado!E201,#REF!,Plano_Detalhado!F201)</f>
        <v>#REF!</v>
      </c>
      <c r="L201" s="67" t="e">
        <f t="shared" si="24"/>
        <v>#REF!</v>
      </c>
      <c r="M201" s="61"/>
      <c r="N201" s="61" t="e">
        <f t="shared" si="25"/>
        <v>#REF!</v>
      </c>
      <c r="O201" s="61" t="e">
        <f t="shared" si="21"/>
        <v>#REF!</v>
      </c>
      <c r="P201" s="20" t="s">
        <v>114</v>
      </c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24"/>
      <c r="BI201" s="14"/>
      <c r="BJ201" s="14"/>
      <c r="BK201" s="14"/>
      <c r="BL201" s="14"/>
      <c r="BN201" s="2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</row>
    <row r="202" spans="1:79" hidden="1" outlineLevel="1" x14ac:dyDescent="0.4">
      <c r="A202" s="3" t="str">
        <f t="shared" si="22"/>
        <v>PROPERTY_ENERGY_CERTIFICATECARBON_EMISSION_VALUE</v>
      </c>
      <c r="B202" s="8" t="s">
        <v>16</v>
      </c>
      <c r="C202" s="9" t="s">
        <v>44</v>
      </c>
      <c r="D202" s="6" t="s">
        <v>30</v>
      </c>
      <c r="E202" s="7" t="s">
        <v>113</v>
      </c>
      <c r="F202" s="7" t="s">
        <v>146</v>
      </c>
      <c r="G202" s="6" t="e">
        <f>INDEX(#REF!,MATCH(Plano_Detalhado!H202,#REF!,0),1)</f>
        <v>#REF!</v>
      </c>
      <c r="H202" s="6" t="e">
        <f>VLOOKUP(A202,#REF!,2,0)</f>
        <v>#REF!</v>
      </c>
      <c r="I202" s="67" t="e">
        <f>SUMIFS(#REF!,#REF!,Plano_Detalhado!E202,#REF!,Plano_Detalhado!F202)</f>
        <v>#REF!</v>
      </c>
      <c r="J202" s="67" t="e">
        <f t="shared" si="23"/>
        <v>#REF!</v>
      </c>
      <c r="K202" s="67" t="e">
        <f>SUMIFS(#REF!,#REF!,Plano_Detalhado!E202,#REF!,Plano_Detalhado!F202)</f>
        <v>#REF!</v>
      </c>
      <c r="L202" s="67" t="e">
        <f t="shared" si="24"/>
        <v>#REF!</v>
      </c>
      <c r="M202" s="61"/>
      <c r="N202" s="61" t="e">
        <f t="shared" si="25"/>
        <v>#REF!</v>
      </c>
      <c r="O202" s="61" t="e">
        <f t="shared" si="21"/>
        <v>#REF!</v>
      </c>
      <c r="P202" s="20" t="s">
        <v>114</v>
      </c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24"/>
      <c r="BI202" s="14"/>
      <c r="BJ202" s="14"/>
      <c r="BK202" s="14"/>
      <c r="BL202" s="14"/>
      <c r="BN202" s="2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</row>
    <row r="203" spans="1:79" hidden="1" outlineLevel="1" x14ac:dyDescent="0.4">
      <c r="A203" s="3" t="str">
        <f t="shared" si="22"/>
        <v>PROPERTY_ENERGY_CERTIFICATEUSEFUL_ENERGY_FANS_REQ_VALUE</v>
      </c>
      <c r="B203" s="8" t="s">
        <v>16</v>
      </c>
      <c r="C203" s="9" t="s">
        <v>44</v>
      </c>
      <c r="D203" s="6" t="s">
        <v>30</v>
      </c>
      <c r="E203" s="7" t="s">
        <v>113</v>
      </c>
      <c r="F203" s="7" t="s">
        <v>147</v>
      </c>
      <c r="G203" s="6" t="e">
        <f>INDEX(#REF!,MATCH(Plano_Detalhado!H203,#REF!,0),1)</f>
        <v>#REF!</v>
      </c>
      <c r="H203" s="6" t="e">
        <f>VLOOKUP(A203,#REF!,2,0)</f>
        <v>#REF!</v>
      </c>
      <c r="I203" s="67" t="e">
        <f>SUMIFS(#REF!,#REF!,Plano_Detalhado!E203,#REF!,Plano_Detalhado!F203)</f>
        <v>#REF!</v>
      </c>
      <c r="J203" s="67" t="e">
        <f t="shared" si="23"/>
        <v>#REF!</v>
      </c>
      <c r="K203" s="67" t="e">
        <f>SUMIFS(#REF!,#REF!,Plano_Detalhado!E203,#REF!,Plano_Detalhado!F203)</f>
        <v>#REF!</v>
      </c>
      <c r="L203" s="67" t="e">
        <f t="shared" si="24"/>
        <v>#REF!</v>
      </c>
      <c r="M203" s="61"/>
      <c r="N203" s="61" t="e">
        <f t="shared" si="25"/>
        <v>#REF!</v>
      </c>
      <c r="O203" s="61" t="e">
        <f t="shared" si="21"/>
        <v>#REF!</v>
      </c>
      <c r="P203" s="20" t="s">
        <v>114</v>
      </c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24"/>
      <c r="BI203" s="14"/>
      <c r="BJ203" s="14"/>
      <c r="BK203" s="14"/>
      <c r="BL203" s="14"/>
      <c r="BN203" s="2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</row>
    <row r="204" spans="1:79" hidden="1" outlineLevel="1" x14ac:dyDescent="0.4">
      <c r="A204" s="3" t="str">
        <f t="shared" si="22"/>
        <v>PROPERTY_ENERGY_CERTIFICATEREN_ENERGY_PRODUCED_OTHER_VALUE</v>
      </c>
      <c r="B204" s="8" t="s">
        <v>16</v>
      </c>
      <c r="C204" s="9" t="s">
        <v>44</v>
      </c>
      <c r="D204" s="6" t="s">
        <v>30</v>
      </c>
      <c r="E204" s="7" t="s">
        <v>113</v>
      </c>
      <c r="F204" s="7" t="s">
        <v>148</v>
      </c>
      <c r="G204" s="6" t="e">
        <f>INDEX(#REF!,MATCH(Plano_Detalhado!H204,#REF!,0),1)</f>
        <v>#REF!</v>
      </c>
      <c r="H204" s="6" t="e">
        <f>VLOOKUP(A204,#REF!,2,0)</f>
        <v>#REF!</v>
      </c>
      <c r="I204" s="67" t="e">
        <f>SUMIFS(#REF!,#REF!,Plano_Detalhado!E204,#REF!,Plano_Detalhado!F204)</f>
        <v>#REF!</v>
      </c>
      <c r="J204" s="67" t="e">
        <f t="shared" si="23"/>
        <v>#REF!</v>
      </c>
      <c r="K204" s="67" t="e">
        <f>SUMIFS(#REF!,#REF!,Plano_Detalhado!E204,#REF!,Plano_Detalhado!F204)</f>
        <v>#REF!</v>
      </c>
      <c r="L204" s="67" t="e">
        <f t="shared" si="24"/>
        <v>#REF!</v>
      </c>
      <c r="M204" s="61"/>
      <c r="N204" s="61" t="e">
        <f t="shared" si="25"/>
        <v>#REF!</v>
      </c>
      <c r="O204" s="61" t="e">
        <f t="shared" si="21"/>
        <v>#REF!</v>
      </c>
      <c r="P204" s="20" t="s">
        <v>114</v>
      </c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24"/>
      <c r="BI204" s="14"/>
      <c r="BJ204" s="14"/>
      <c r="BK204" s="14"/>
      <c r="BL204" s="14"/>
      <c r="BN204" s="2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</row>
    <row r="205" spans="1:79" hidden="1" outlineLevel="1" x14ac:dyDescent="0.4">
      <c r="A205" s="3" t="str">
        <f t="shared" si="22"/>
        <v>PROPERTY_ENERGY_CERTIFICATEREN_ENERGY_PRODUCED_REG_VALUE</v>
      </c>
      <c r="B205" s="8" t="s">
        <v>16</v>
      </c>
      <c r="C205" s="9" t="s">
        <v>44</v>
      </c>
      <c r="D205" s="6" t="s">
        <v>30</v>
      </c>
      <c r="E205" s="7" t="s">
        <v>113</v>
      </c>
      <c r="F205" s="7" t="s">
        <v>149</v>
      </c>
      <c r="G205" s="6" t="e">
        <f>INDEX(#REF!,MATCH(Plano_Detalhado!H205,#REF!,0),1)</f>
        <v>#REF!</v>
      </c>
      <c r="H205" s="6" t="e">
        <f>VLOOKUP(A205,#REF!,2,0)</f>
        <v>#REF!</v>
      </c>
      <c r="I205" s="67" t="e">
        <f>SUMIFS(#REF!,#REF!,Plano_Detalhado!E205,#REF!,Plano_Detalhado!F205)</f>
        <v>#REF!</v>
      </c>
      <c r="J205" s="67" t="e">
        <f t="shared" si="23"/>
        <v>#REF!</v>
      </c>
      <c r="K205" s="67" t="e">
        <f>SUMIFS(#REF!,#REF!,Plano_Detalhado!E205,#REF!,Plano_Detalhado!F205)</f>
        <v>#REF!</v>
      </c>
      <c r="L205" s="67" t="e">
        <f t="shared" si="24"/>
        <v>#REF!</v>
      </c>
      <c r="M205" s="61"/>
      <c r="N205" s="61" t="e">
        <f t="shared" si="25"/>
        <v>#REF!</v>
      </c>
      <c r="O205" s="61" t="e">
        <f t="shared" si="21"/>
        <v>#REF!</v>
      </c>
      <c r="P205" s="20" t="s">
        <v>114</v>
      </c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24"/>
      <c r="BI205" s="14"/>
      <c r="BJ205" s="14"/>
      <c r="BK205" s="14"/>
      <c r="BL205" s="14"/>
      <c r="BN205" s="2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</row>
    <row r="206" spans="1:79" hidden="1" outlineLevel="1" x14ac:dyDescent="0.4">
      <c r="A206" s="3" t="str">
        <f t="shared" si="22"/>
        <v>PROPERTY_ENERGY_CERTIFICATEREN_ENERGY_PRODUCED_VALUE</v>
      </c>
      <c r="B206" s="8" t="s">
        <v>16</v>
      </c>
      <c r="C206" s="9" t="s">
        <v>44</v>
      </c>
      <c r="D206" s="6" t="s">
        <v>30</v>
      </c>
      <c r="E206" s="7" t="s">
        <v>113</v>
      </c>
      <c r="F206" s="7" t="s">
        <v>150</v>
      </c>
      <c r="G206" s="6" t="e">
        <f>INDEX(#REF!,MATCH(Plano_Detalhado!H206,#REF!,0),1)</f>
        <v>#REF!</v>
      </c>
      <c r="H206" s="6" t="e">
        <f>VLOOKUP(A206,#REF!,2,0)</f>
        <v>#REF!</v>
      </c>
      <c r="I206" s="67" t="e">
        <f>SUMIFS(#REF!,#REF!,Plano_Detalhado!E206,#REF!,Plano_Detalhado!F206)</f>
        <v>#REF!</v>
      </c>
      <c r="J206" s="67" t="e">
        <f t="shared" si="23"/>
        <v>#REF!</v>
      </c>
      <c r="K206" s="67" t="e">
        <f>SUMIFS(#REF!,#REF!,Plano_Detalhado!E206,#REF!,Plano_Detalhado!F206)</f>
        <v>#REF!</v>
      </c>
      <c r="L206" s="67" t="e">
        <f t="shared" si="24"/>
        <v>#REF!</v>
      </c>
      <c r="M206" s="61"/>
      <c r="N206" s="61" t="e">
        <f t="shared" si="25"/>
        <v>#REF!</v>
      </c>
      <c r="O206" s="61" t="e">
        <f t="shared" si="21"/>
        <v>#REF!</v>
      </c>
      <c r="P206" s="20" t="s">
        <v>114</v>
      </c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24"/>
      <c r="BI206" s="14"/>
      <c r="BJ206" s="14"/>
      <c r="BK206" s="14"/>
      <c r="BL206" s="14"/>
      <c r="BN206" s="2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</row>
    <row r="207" spans="1:79" hidden="1" outlineLevel="1" x14ac:dyDescent="0.4">
      <c r="A207" s="3" t="str">
        <f t="shared" si="22"/>
        <v>PROPERTY_ENERGY_CERTIFICATEUSEFUL_ENERGY_DOM_HOTWATER_VALUE</v>
      </c>
      <c r="B207" s="8" t="s">
        <v>16</v>
      </c>
      <c r="C207" s="9" t="s">
        <v>44</v>
      </c>
      <c r="D207" s="6" t="s">
        <v>30</v>
      </c>
      <c r="E207" s="7" t="s">
        <v>113</v>
      </c>
      <c r="F207" s="7" t="s">
        <v>151</v>
      </c>
      <c r="G207" s="6" t="e">
        <f>INDEX(#REF!,MATCH(Plano_Detalhado!H207,#REF!,0),1)</f>
        <v>#REF!</v>
      </c>
      <c r="H207" s="6" t="e">
        <f>VLOOKUP(A207,#REF!,2,0)</f>
        <v>#REF!</v>
      </c>
      <c r="I207" s="67" t="e">
        <f>SUMIFS(#REF!,#REF!,Plano_Detalhado!E207,#REF!,Plano_Detalhado!F207)</f>
        <v>#REF!</v>
      </c>
      <c r="J207" s="67" t="e">
        <f t="shared" si="23"/>
        <v>#REF!</v>
      </c>
      <c r="K207" s="67" t="e">
        <f>SUMIFS(#REF!,#REF!,Plano_Detalhado!E207,#REF!,Plano_Detalhado!F207)</f>
        <v>#REF!</v>
      </c>
      <c r="L207" s="67" t="e">
        <f t="shared" si="24"/>
        <v>#REF!</v>
      </c>
      <c r="M207" s="61"/>
      <c r="N207" s="61" t="e">
        <f t="shared" si="25"/>
        <v>#REF!</v>
      </c>
      <c r="O207" s="61" t="e">
        <f t="shared" si="21"/>
        <v>#REF!</v>
      </c>
      <c r="P207" s="20" t="s">
        <v>114</v>
      </c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24"/>
      <c r="BI207" s="14"/>
      <c r="BJ207" s="14"/>
      <c r="BK207" s="14"/>
      <c r="BL207" s="14"/>
      <c r="BN207" s="2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</row>
    <row r="208" spans="1:79" hidden="1" outlineLevel="1" x14ac:dyDescent="0.4">
      <c r="A208" s="3" t="str">
        <f t="shared" si="22"/>
        <v>PROPERTY_ENERGY_CERTIFICATEUSEFUL_ENERGY_COOLING_VALUE</v>
      </c>
      <c r="B208" s="8" t="s">
        <v>16</v>
      </c>
      <c r="C208" s="9" t="s">
        <v>44</v>
      </c>
      <c r="D208" s="6" t="s">
        <v>30</v>
      </c>
      <c r="E208" s="7" t="s">
        <v>113</v>
      </c>
      <c r="F208" s="7" t="s">
        <v>152</v>
      </c>
      <c r="G208" s="6" t="e">
        <f>INDEX(#REF!,MATCH(Plano_Detalhado!H208,#REF!,0),1)</f>
        <v>#REF!</v>
      </c>
      <c r="H208" s="6" t="e">
        <f>VLOOKUP(A208,#REF!,2,0)</f>
        <v>#REF!</v>
      </c>
      <c r="I208" s="67" t="e">
        <f>SUMIFS(#REF!,#REF!,Plano_Detalhado!E208,#REF!,Plano_Detalhado!F208)</f>
        <v>#REF!</v>
      </c>
      <c r="J208" s="67" t="e">
        <f t="shared" si="23"/>
        <v>#REF!</v>
      </c>
      <c r="K208" s="67" t="e">
        <f>SUMIFS(#REF!,#REF!,Plano_Detalhado!E208,#REF!,Plano_Detalhado!F208)</f>
        <v>#REF!</v>
      </c>
      <c r="L208" s="67" t="e">
        <f t="shared" si="24"/>
        <v>#REF!</v>
      </c>
      <c r="M208" s="61"/>
      <c r="N208" s="61" t="e">
        <f t="shared" si="25"/>
        <v>#REF!</v>
      </c>
      <c r="O208" s="61" t="e">
        <f t="shared" si="21"/>
        <v>#REF!</v>
      </c>
      <c r="P208" s="20" t="s">
        <v>114</v>
      </c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24"/>
      <c r="BI208" s="14"/>
      <c r="BJ208" s="14"/>
      <c r="BK208" s="14"/>
      <c r="BL208" s="14"/>
      <c r="BN208" s="2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</row>
    <row r="209" spans="1:79" hidden="1" outlineLevel="1" x14ac:dyDescent="0.4">
      <c r="A209" s="3" t="str">
        <f t="shared" si="22"/>
        <v>PROPERTY_ENERGY_CERTIFICATETEMPERATURE_DAY_VALUE</v>
      </c>
      <c r="B209" s="8" t="s">
        <v>16</v>
      </c>
      <c r="C209" s="9" t="s">
        <v>44</v>
      </c>
      <c r="D209" s="6" t="s">
        <v>30</v>
      </c>
      <c r="E209" s="7" t="s">
        <v>113</v>
      </c>
      <c r="F209" s="7" t="s">
        <v>153</v>
      </c>
      <c r="G209" s="6" t="e">
        <f>INDEX(#REF!,MATCH(Plano_Detalhado!H209,#REF!,0),1)</f>
        <v>#REF!</v>
      </c>
      <c r="H209" s="6" t="e">
        <f>VLOOKUP(A209,#REF!,2,0)</f>
        <v>#REF!</v>
      </c>
      <c r="I209" s="67" t="e">
        <f>SUMIFS(#REF!,#REF!,Plano_Detalhado!E209,#REF!,Plano_Detalhado!F209)</f>
        <v>#REF!</v>
      </c>
      <c r="J209" s="67" t="e">
        <f t="shared" si="23"/>
        <v>#REF!</v>
      </c>
      <c r="K209" s="67" t="e">
        <f>SUMIFS(#REF!,#REF!,Plano_Detalhado!E209,#REF!,Plano_Detalhado!F209)</f>
        <v>#REF!</v>
      </c>
      <c r="L209" s="67" t="e">
        <f t="shared" si="24"/>
        <v>#REF!</v>
      </c>
      <c r="M209" s="61"/>
      <c r="N209" s="61" t="e">
        <f t="shared" si="25"/>
        <v>#REF!</v>
      </c>
      <c r="O209" s="61" t="e">
        <f t="shared" si="21"/>
        <v>#REF!</v>
      </c>
      <c r="P209" s="20" t="s">
        <v>114</v>
      </c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24"/>
      <c r="BI209" s="14"/>
      <c r="BJ209" s="14"/>
      <c r="BK209" s="14"/>
      <c r="BL209" s="14"/>
      <c r="BN209" s="2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</row>
    <row r="210" spans="1:79" hidden="1" outlineLevel="1" x14ac:dyDescent="0.4">
      <c r="A210" s="3" t="str">
        <f t="shared" si="22"/>
        <v>PROPERTY_ENERGY_CERTIFICATEPRIMARY_ENERGY_REQ_VALUE</v>
      </c>
      <c r="B210" s="8" t="s">
        <v>16</v>
      </c>
      <c r="C210" s="9" t="s">
        <v>44</v>
      </c>
      <c r="D210" s="6" t="s">
        <v>30</v>
      </c>
      <c r="E210" s="7" t="s">
        <v>113</v>
      </c>
      <c r="F210" s="7" t="s">
        <v>154</v>
      </c>
      <c r="G210" s="6" t="e">
        <f>INDEX(#REF!,MATCH(Plano_Detalhado!H210,#REF!,0),1)</f>
        <v>#REF!</v>
      </c>
      <c r="H210" s="6" t="e">
        <f>VLOOKUP(A210,#REF!,2,0)</f>
        <v>#REF!</v>
      </c>
      <c r="I210" s="67" t="e">
        <f>SUMIFS(#REF!,#REF!,Plano_Detalhado!E210,#REF!,Plano_Detalhado!F210)</f>
        <v>#REF!</v>
      </c>
      <c r="J210" s="67" t="e">
        <f t="shared" si="23"/>
        <v>#REF!</v>
      </c>
      <c r="K210" s="67" t="e">
        <f>SUMIFS(#REF!,#REF!,Plano_Detalhado!E210,#REF!,Plano_Detalhado!F210)</f>
        <v>#REF!</v>
      </c>
      <c r="L210" s="67" t="e">
        <f t="shared" si="24"/>
        <v>#REF!</v>
      </c>
      <c r="M210" s="61"/>
      <c r="N210" s="61" t="e">
        <f t="shared" si="25"/>
        <v>#REF!</v>
      </c>
      <c r="O210" s="61" t="e">
        <f t="shared" si="21"/>
        <v>#REF!</v>
      </c>
      <c r="P210" s="20" t="s">
        <v>114</v>
      </c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24"/>
      <c r="BI210" s="14"/>
      <c r="BJ210" s="14"/>
      <c r="BK210" s="14"/>
      <c r="BL210" s="14"/>
      <c r="BN210" s="2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</row>
    <row r="211" spans="1:79" hidden="1" outlineLevel="1" x14ac:dyDescent="0.4">
      <c r="A211" s="3" t="str">
        <f t="shared" si="22"/>
        <v>PROPERTY_ENERGY_CERTIFICATEUSEFUL_ENERGY_HEATING_REQ_VALUE</v>
      </c>
      <c r="B211" s="8" t="s">
        <v>16</v>
      </c>
      <c r="C211" s="9" t="s">
        <v>44</v>
      </c>
      <c r="D211" s="6" t="s">
        <v>30</v>
      </c>
      <c r="E211" s="7" t="s">
        <v>113</v>
      </c>
      <c r="F211" s="7" t="s">
        <v>155</v>
      </c>
      <c r="G211" s="6" t="e">
        <f>INDEX(#REF!,MATCH(Plano_Detalhado!H211,#REF!,0),1)</f>
        <v>#REF!</v>
      </c>
      <c r="H211" s="6" t="e">
        <f>VLOOKUP(A211,#REF!,2,0)</f>
        <v>#REF!</v>
      </c>
      <c r="I211" s="67" t="e">
        <f>SUMIFS(#REF!,#REF!,Plano_Detalhado!E211,#REF!,Plano_Detalhado!F211)</f>
        <v>#REF!</v>
      </c>
      <c r="J211" s="67" t="e">
        <f t="shared" si="23"/>
        <v>#REF!</v>
      </c>
      <c r="K211" s="67" t="e">
        <f>SUMIFS(#REF!,#REF!,Plano_Detalhado!E211,#REF!,Plano_Detalhado!F211)</f>
        <v>#REF!</v>
      </c>
      <c r="L211" s="67" t="e">
        <f t="shared" si="24"/>
        <v>#REF!</v>
      </c>
      <c r="M211" s="61"/>
      <c r="N211" s="61" t="e">
        <f t="shared" si="25"/>
        <v>#REF!</v>
      </c>
      <c r="O211" s="61" t="e">
        <f t="shared" si="21"/>
        <v>#REF!</v>
      </c>
      <c r="P211" s="20" t="s">
        <v>114</v>
      </c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24"/>
      <c r="BI211" s="14"/>
      <c r="BJ211" s="14"/>
      <c r="BK211" s="14"/>
      <c r="BL211" s="14"/>
      <c r="BN211" s="2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</row>
    <row r="212" spans="1:79" hidden="1" outlineLevel="1" x14ac:dyDescent="0.4">
      <c r="A212" s="3" t="str">
        <f t="shared" si="22"/>
        <v>PROPERTY_ENERGY_CERTIFICATEPNL_WINTER_WALLS_DOORS_VALUE</v>
      </c>
      <c r="B212" s="8" t="s">
        <v>16</v>
      </c>
      <c r="C212" s="9" t="s">
        <v>44</v>
      </c>
      <c r="D212" s="6" t="s">
        <v>30</v>
      </c>
      <c r="E212" s="7" t="s">
        <v>113</v>
      </c>
      <c r="F212" s="7" t="s">
        <v>156</v>
      </c>
      <c r="G212" s="6" t="e">
        <f>INDEX(#REF!,MATCH(Plano_Detalhado!H212,#REF!,0),1)</f>
        <v>#REF!</v>
      </c>
      <c r="H212" s="6" t="e">
        <f>VLOOKUP(A212,#REF!,2,0)</f>
        <v>#REF!</v>
      </c>
      <c r="I212" s="67" t="e">
        <f>SUMIFS(#REF!,#REF!,Plano_Detalhado!E212,#REF!,Plano_Detalhado!F212)</f>
        <v>#REF!</v>
      </c>
      <c r="J212" s="67" t="e">
        <f t="shared" si="23"/>
        <v>#REF!</v>
      </c>
      <c r="K212" s="67" t="e">
        <f>SUMIFS(#REF!,#REF!,Plano_Detalhado!E212,#REF!,Plano_Detalhado!F212)</f>
        <v>#REF!</v>
      </c>
      <c r="L212" s="67" t="e">
        <f t="shared" si="24"/>
        <v>#REF!</v>
      </c>
      <c r="M212" s="61"/>
      <c r="N212" s="61" t="e">
        <f t="shared" si="25"/>
        <v>#REF!</v>
      </c>
      <c r="O212" s="61" t="e">
        <f t="shared" si="21"/>
        <v>#REF!</v>
      </c>
      <c r="P212" s="20" t="s">
        <v>114</v>
      </c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24"/>
      <c r="BI212" s="14"/>
      <c r="BJ212" s="14"/>
      <c r="BK212" s="14"/>
      <c r="BL212" s="14"/>
      <c r="BN212" s="2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</row>
    <row r="213" spans="1:79" hidden="1" outlineLevel="1" x14ac:dyDescent="0.4">
      <c r="A213" s="3" t="str">
        <f t="shared" si="22"/>
        <v>PROPERTY_ENERGY_CERTIFICATEPNL_WINTER_FLOORS_VALUE</v>
      </c>
      <c r="B213" s="8" t="s">
        <v>16</v>
      </c>
      <c r="C213" s="9" t="s">
        <v>44</v>
      </c>
      <c r="D213" s="6" t="s">
        <v>30</v>
      </c>
      <c r="E213" s="7" t="s">
        <v>113</v>
      </c>
      <c r="F213" s="7" t="s">
        <v>157</v>
      </c>
      <c r="G213" s="6" t="e">
        <f>INDEX(#REF!,MATCH(Plano_Detalhado!H213,#REF!,0),1)</f>
        <v>#REF!</v>
      </c>
      <c r="H213" s="6" t="e">
        <f>VLOOKUP(A213,#REF!,2,0)</f>
        <v>#REF!</v>
      </c>
      <c r="I213" s="67" t="e">
        <f>SUMIFS(#REF!,#REF!,Plano_Detalhado!E213,#REF!,Plano_Detalhado!F213)</f>
        <v>#REF!</v>
      </c>
      <c r="J213" s="67" t="e">
        <f t="shared" si="23"/>
        <v>#REF!</v>
      </c>
      <c r="K213" s="67" t="e">
        <f>SUMIFS(#REF!,#REF!,Plano_Detalhado!E213,#REF!,Plano_Detalhado!F213)</f>
        <v>#REF!</v>
      </c>
      <c r="L213" s="67" t="e">
        <f t="shared" si="24"/>
        <v>#REF!</v>
      </c>
      <c r="M213" s="61"/>
      <c r="N213" s="61" t="e">
        <f t="shared" si="25"/>
        <v>#REF!</v>
      </c>
      <c r="O213" s="61" t="e">
        <f t="shared" si="21"/>
        <v>#REF!</v>
      </c>
      <c r="P213" s="20" t="s">
        <v>114</v>
      </c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24"/>
      <c r="BI213" s="14"/>
      <c r="BJ213" s="14"/>
      <c r="BK213" s="14"/>
      <c r="BL213" s="14"/>
      <c r="BN213" s="2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</row>
    <row r="214" spans="1:79" hidden="1" outlineLevel="1" x14ac:dyDescent="0.4">
      <c r="A214" s="3" t="str">
        <f t="shared" si="22"/>
        <v>PROPERTY_ENERGY_CERTIFICATEPNL_WINTER_ROOF_VALUE</v>
      </c>
      <c r="B214" s="8" t="s">
        <v>16</v>
      </c>
      <c r="C214" s="9" t="s">
        <v>44</v>
      </c>
      <c r="D214" s="6" t="s">
        <v>30</v>
      </c>
      <c r="E214" s="7" t="s">
        <v>113</v>
      </c>
      <c r="F214" s="7" t="s">
        <v>158</v>
      </c>
      <c r="G214" s="6" t="e">
        <f>INDEX(#REF!,MATCH(Plano_Detalhado!H214,#REF!,0),1)</f>
        <v>#REF!</v>
      </c>
      <c r="H214" s="6" t="e">
        <f>VLOOKUP(A214,#REF!,2,0)</f>
        <v>#REF!</v>
      </c>
      <c r="I214" s="67" t="e">
        <f>SUMIFS(#REF!,#REF!,Plano_Detalhado!E214,#REF!,Plano_Detalhado!F214)</f>
        <v>#REF!</v>
      </c>
      <c r="J214" s="67" t="e">
        <f t="shared" si="23"/>
        <v>#REF!</v>
      </c>
      <c r="K214" s="67" t="e">
        <f>SUMIFS(#REF!,#REF!,Plano_Detalhado!E214,#REF!,Plano_Detalhado!F214)</f>
        <v>#REF!</v>
      </c>
      <c r="L214" s="67" t="e">
        <f t="shared" si="24"/>
        <v>#REF!</v>
      </c>
      <c r="M214" s="61"/>
      <c r="N214" s="61" t="e">
        <f t="shared" si="25"/>
        <v>#REF!</v>
      </c>
      <c r="O214" s="61" t="e">
        <f t="shared" si="21"/>
        <v>#REF!</v>
      </c>
      <c r="P214" s="20" t="s">
        <v>114</v>
      </c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24"/>
      <c r="BI214" s="14"/>
      <c r="BJ214" s="14"/>
      <c r="BK214" s="14"/>
      <c r="BL214" s="14"/>
      <c r="BN214" s="2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</row>
    <row r="215" spans="1:79" hidden="1" outlineLevel="1" x14ac:dyDescent="0.4">
      <c r="A215" s="3" t="str">
        <f t="shared" si="22"/>
        <v>PROPERTY_ENERGY_CERTIFICATEPNL_WINTER_WINDOWS_VALUE</v>
      </c>
      <c r="B215" s="8" t="s">
        <v>16</v>
      </c>
      <c r="C215" s="9" t="s">
        <v>44</v>
      </c>
      <c r="D215" s="6" t="s">
        <v>30</v>
      </c>
      <c r="E215" s="7" t="s">
        <v>113</v>
      </c>
      <c r="F215" s="7" t="s">
        <v>159</v>
      </c>
      <c r="G215" s="6" t="e">
        <f>INDEX(#REF!,MATCH(Plano_Detalhado!H215,#REF!,0),1)</f>
        <v>#REF!</v>
      </c>
      <c r="H215" s="6" t="e">
        <f>VLOOKUP(A215,#REF!,2,0)</f>
        <v>#REF!</v>
      </c>
      <c r="I215" s="67" t="e">
        <f>SUMIFS(#REF!,#REF!,Plano_Detalhado!E215,#REF!,Plano_Detalhado!F215)</f>
        <v>#REF!</v>
      </c>
      <c r="J215" s="67" t="e">
        <f t="shared" si="23"/>
        <v>#REF!</v>
      </c>
      <c r="K215" s="67" t="e">
        <f>SUMIFS(#REF!,#REF!,Plano_Detalhado!E215,#REF!,Plano_Detalhado!F215)</f>
        <v>#REF!</v>
      </c>
      <c r="L215" s="67" t="e">
        <f t="shared" si="24"/>
        <v>#REF!</v>
      </c>
      <c r="M215" s="61"/>
      <c r="N215" s="61" t="e">
        <f t="shared" si="25"/>
        <v>#REF!</v>
      </c>
      <c r="O215" s="61" t="e">
        <f t="shared" si="21"/>
        <v>#REF!</v>
      </c>
      <c r="P215" s="20" t="s">
        <v>114</v>
      </c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24"/>
      <c r="BI215" s="14"/>
      <c r="BJ215" s="14"/>
      <c r="BK215" s="14"/>
      <c r="BL215" s="14"/>
      <c r="BN215" s="2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</row>
    <row r="216" spans="1:79" hidden="1" outlineLevel="1" x14ac:dyDescent="0.4">
      <c r="A216" s="3" t="str">
        <f t="shared" si="22"/>
        <v>PROPERTY_ENERGY_CERTIFICATEPNL_WINTER_REF_VALUE</v>
      </c>
      <c r="B216" s="8" t="s">
        <v>16</v>
      </c>
      <c r="C216" s="9" t="s">
        <v>44</v>
      </c>
      <c r="D216" s="6" t="s">
        <v>30</v>
      </c>
      <c r="E216" s="7" t="s">
        <v>113</v>
      </c>
      <c r="F216" s="7" t="s">
        <v>160</v>
      </c>
      <c r="G216" s="6" t="e">
        <f>INDEX(#REF!,MATCH(Plano_Detalhado!H216,#REF!,0),1)</f>
        <v>#REF!</v>
      </c>
      <c r="H216" s="6" t="e">
        <f>VLOOKUP(A216,#REF!,2,0)</f>
        <v>#REF!</v>
      </c>
      <c r="I216" s="67" t="e">
        <f>SUMIFS(#REF!,#REF!,Plano_Detalhado!E216,#REF!,Plano_Detalhado!F216)</f>
        <v>#REF!</v>
      </c>
      <c r="J216" s="67" t="e">
        <f t="shared" si="23"/>
        <v>#REF!</v>
      </c>
      <c r="K216" s="67" t="e">
        <f>SUMIFS(#REF!,#REF!,Plano_Detalhado!E216,#REF!,Plano_Detalhado!F216)</f>
        <v>#REF!</v>
      </c>
      <c r="L216" s="67" t="e">
        <f t="shared" si="24"/>
        <v>#REF!</v>
      </c>
      <c r="M216" s="61"/>
      <c r="N216" s="61" t="e">
        <f t="shared" si="25"/>
        <v>#REF!</v>
      </c>
      <c r="O216" s="61" t="e">
        <f t="shared" si="21"/>
        <v>#REF!</v>
      </c>
      <c r="P216" s="20" t="s">
        <v>114</v>
      </c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24"/>
      <c r="BI216" s="14"/>
      <c r="BJ216" s="14"/>
      <c r="BK216" s="14"/>
      <c r="BL216" s="14"/>
      <c r="BN216" s="2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</row>
    <row r="217" spans="1:79" hidden="1" outlineLevel="1" x14ac:dyDescent="0.4">
      <c r="A217" s="3" t="str">
        <f t="shared" si="22"/>
        <v>PROPERTY_ENERGY_CERTIFICATEPNL_WINTER_FANS_VALUE</v>
      </c>
      <c r="B217" s="8" t="s">
        <v>16</v>
      </c>
      <c r="C217" s="9" t="s">
        <v>44</v>
      </c>
      <c r="D217" s="6" t="s">
        <v>30</v>
      </c>
      <c r="E217" s="7" t="s">
        <v>113</v>
      </c>
      <c r="F217" s="7" t="s">
        <v>161</v>
      </c>
      <c r="G217" s="6" t="e">
        <f>INDEX(#REF!,MATCH(Plano_Detalhado!H217,#REF!,0),1)</f>
        <v>#REF!</v>
      </c>
      <c r="H217" s="6" t="e">
        <f>VLOOKUP(A217,#REF!,2,0)</f>
        <v>#REF!</v>
      </c>
      <c r="I217" s="67" t="e">
        <f>SUMIFS(#REF!,#REF!,Plano_Detalhado!E217,#REF!,Plano_Detalhado!F217)</f>
        <v>#REF!</v>
      </c>
      <c r="J217" s="67" t="e">
        <f t="shared" si="23"/>
        <v>#REF!</v>
      </c>
      <c r="K217" s="67" t="e">
        <f>SUMIFS(#REF!,#REF!,Plano_Detalhado!E217,#REF!,Plano_Detalhado!F217)</f>
        <v>#REF!</v>
      </c>
      <c r="L217" s="67" t="e">
        <f t="shared" si="24"/>
        <v>#REF!</v>
      </c>
      <c r="M217" s="61"/>
      <c r="N217" s="61" t="e">
        <f t="shared" si="25"/>
        <v>#REF!</v>
      </c>
      <c r="O217" s="61" t="e">
        <f t="shared" si="21"/>
        <v>#REF!</v>
      </c>
      <c r="P217" s="20" t="s">
        <v>114</v>
      </c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24"/>
      <c r="BI217" s="14"/>
      <c r="BJ217" s="14"/>
      <c r="BK217" s="14"/>
      <c r="BL217" s="14"/>
      <c r="BN217" s="2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</row>
    <row r="218" spans="1:79" hidden="1" outlineLevel="1" x14ac:dyDescent="0.4">
      <c r="A218" s="3" t="str">
        <f t="shared" si="22"/>
        <v>PROPERTY_ENERGY_CERTIFICATEPNL_SUMMER_ROOF_VALUE</v>
      </c>
      <c r="B218" s="8" t="s">
        <v>16</v>
      </c>
      <c r="C218" s="9" t="s">
        <v>44</v>
      </c>
      <c r="D218" s="6" t="s">
        <v>30</v>
      </c>
      <c r="E218" s="7" t="s">
        <v>113</v>
      </c>
      <c r="F218" s="7" t="s">
        <v>162</v>
      </c>
      <c r="G218" s="6" t="e">
        <f>INDEX(#REF!,MATCH(Plano_Detalhado!H218,#REF!,0),1)</f>
        <v>#REF!</v>
      </c>
      <c r="H218" s="6" t="e">
        <f>VLOOKUP(A218,#REF!,2,0)</f>
        <v>#REF!</v>
      </c>
      <c r="I218" s="67" t="e">
        <f>SUMIFS(#REF!,#REF!,Plano_Detalhado!E218,#REF!,Plano_Detalhado!F218)</f>
        <v>#REF!</v>
      </c>
      <c r="J218" s="67" t="e">
        <f t="shared" si="23"/>
        <v>#REF!</v>
      </c>
      <c r="K218" s="67" t="e">
        <f>SUMIFS(#REF!,#REF!,Plano_Detalhado!E218,#REF!,Plano_Detalhado!F218)</f>
        <v>#REF!</v>
      </c>
      <c r="L218" s="67" t="e">
        <f t="shared" si="24"/>
        <v>#REF!</v>
      </c>
      <c r="M218" s="61"/>
      <c r="N218" s="61" t="e">
        <f t="shared" si="25"/>
        <v>#REF!</v>
      </c>
      <c r="O218" s="61" t="e">
        <f t="shared" si="21"/>
        <v>#REF!</v>
      </c>
      <c r="P218" s="20" t="s">
        <v>114</v>
      </c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24"/>
      <c r="BI218" s="14"/>
      <c r="BJ218" s="14"/>
      <c r="BK218" s="14"/>
      <c r="BL218" s="14"/>
      <c r="BN218" s="2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</row>
    <row r="219" spans="1:79" hidden="1" outlineLevel="1" x14ac:dyDescent="0.4">
      <c r="A219" s="3" t="str">
        <f t="shared" si="22"/>
        <v>PROPERTY_ENERGY_CERTIFICATEPNL_SUMMER_WINDOWS_VALUE</v>
      </c>
      <c r="B219" s="8" t="s">
        <v>16</v>
      </c>
      <c r="C219" s="9" t="s">
        <v>44</v>
      </c>
      <c r="D219" s="6" t="s">
        <v>30</v>
      </c>
      <c r="E219" s="7" t="s">
        <v>113</v>
      </c>
      <c r="F219" s="7" t="s">
        <v>163</v>
      </c>
      <c r="G219" s="6" t="e">
        <f>INDEX(#REF!,MATCH(Plano_Detalhado!H219,#REF!,0),1)</f>
        <v>#REF!</v>
      </c>
      <c r="H219" s="6" t="e">
        <f>VLOOKUP(A219,#REF!,2,0)</f>
        <v>#REF!</v>
      </c>
      <c r="I219" s="67" t="e">
        <f>SUMIFS(#REF!,#REF!,Plano_Detalhado!E219,#REF!,Plano_Detalhado!F219)</f>
        <v>#REF!</v>
      </c>
      <c r="J219" s="67" t="e">
        <f t="shared" si="23"/>
        <v>#REF!</v>
      </c>
      <c r="K219" s="67" t="e">
        <f>SUMIFS(#REF!,#REF!,Plano_Detalhado!E219,#REF!,Plano_Detalhado!F219)</f>
        <v>#REF!</v>
      </c>
      <c r="L219" s="67" t="e">
        <f t="shared" si="24"/>
        <v>#REF!</v>
      </c>
      <c r="M219" s="61"/>
      <c r="N219" s="61" t="e">
        <f t="shared" si="25"/>
        <v>#REF!</v>
      </c>
      <c r="O219" s="61" t="e">
        <f t="shared" si="21"/>
        <v>#REF!</v>
      </c>
      <c r="P219" s="20" t="s">
        <v>114</v>
      </c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24"/>
      <c r="BI219" s="14"/>
      <c r="BJ219" s="14"/>
      <c r="BK219" s="14"/>
      <c r="BL219" s="14"/>
      <c r="BN219" s="2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</row>
    <row r="220" spans="1:79" hidden="1" outlineLevel="1" x14ac:dyDescent="0.4">
      <c r="A220" s="3" t="str">
        <f t="shared" si="22"/>
        <v>PROPERTY_ENERGY_CERTIFICATEPNL_SUMMER_WALLS_DOORS_VALUE</v>
      </c>
      <c r="B220" s="8" t="s">
        <v>16</v>
      </c>
      <c r="C220" s="9" t="s">
        <v>44</v>
      </c>
      <c r="D220" s="6" t="s">
        <v>30</v>
      </c>
      <c r="E220" s="7" t="s">
        <v>113</v>
      </c>
      <c r="F220" s="7" t="s">
        <v>164</v>
      </c>
      <c r="G220" s="6" t="e">
        <f>INDEX(#REF!,MATCH(Plano_Detalhado!H220,#REF!,0),1)</f>
        <v>#REF!</v>
      </c>
      <c r="H220" s="6" t="e">
        <f>VLOOKUP(A220,#REF!,2,0)</f>
        <v>#REF!</v>
      </c>
      <c r="I220" s="67" t="e">
        <f>SUMIFS(#REF!,#REF!,Plano_Detalhado!E220,#REF!,Plano_Detalhado!F220)</f>
        <v>#REF!</v>
      </c>
      <c r="J220" s="67" t="e">
        <f t="shared" si="23"/>
        <v>#REF!</v>
      </c>
      <c r="K220" s="67" t="e">
        <f>SUMIFS(#REF!,#REF!,Plano_Detalhado!E220,#REF!,Plano_Detalhado!F220)</f>
        <v>#REF!</v>
      </c>
      <c r="L220" s="67" t="e">
        <f t="shared" si="24"/>
        <v>#REF!</v>
      </c>
      <c r="M220" s="61"/>
      <c r="N220" s="61" t="e">
        <f t="shared" si="25"/>
        <v>#REF!</v>
      </c>
      <c r="O220" s="61" t="e">
        <f t="shared" si="21"/>
        <v>#REF!</v>
      </c>
      <c r="P220" s="20" t="s">
        <v>114</v>
      </c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24"/>
      <c r="BI220" s="14"/>
      <c r="BJ220" s="14"/>
      <c r="BK220" s="14"/>
      <c r="BL220" s="14"/>
      <c r="BN220" s="2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</row>
    <row r="221" spans="1:79" hidden="1" outlineLevel="1" x14ac:dyDescent="0.4">
      <c r="A221" s="3" t="str">
        <f t="shared" si="22"/>
        <v>PROPERTY_ENERGY_CERTIFICATEPNL_SUMMER_REF_VALUE</v>
      </c>
      <c r="B221" s="8" t="s">
        <v>16</v>
      </c>
      <c r="C221" s="9" t="s">
        <v>44</v>
      </c>
      <c r="D221" s="6" t="s">
        <v>30</v>
      </c>
      <c r="E221" s="7" t="s">
        <v>113</v>
      </c>
      <c r="F221" s="7" t="s">
        <v>165</v>
      </c>
      <c r="G221" s="6" t="e">
        <f>INDEX(#REF!,MATCH(Plano_Detalhado!H221,#REF!,0),1)</f>
        <v>#REF!</v>
      </c>
      <c r="H221" s="6" t="e">
        <f>VLOOKUP(A221,#REF!,2,0)</f>
        <v>#REF!</v>
      </c>
      <c r="I221" s="67" t="e">
        <f>SUMIFS(#REF!,#REF!,Plano_Detalhado!E221,#REF!,Plano_Detalhado!F221)</f>
        <v>#REF!</v>
      </c>
      <c r="J221" s="67" t="e">
        <f t="shared" si="23"/>
        <v>#REF!</v>
      </c>
      <c r="K221" s="67" t="e">
        <f>SUMIFS(#REF!,#REF!,Plano_Detalhado!E221,#REF!,Plano_Detalhado!F221)</f>
        <v>#REF!</v>
      </c>
      <c r="L221" s="67" t="e">
        <f t="shared" si="24"/>
        <v>#REF!</v>
      </c>
      <c r="M221" s="61"/>
      <c r="N221" s="61" t="e">
        <f t="shared" si="25"/>
        <v>#REF!</v>
      </c>
      <c r="O221" s="61" t="e">
        <f t="shared" si="21"/>
        <v>#REF!</v>
      </c>
      <c r="P221" s="20" t="s">
        <v>114</v>
      </c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24"/>
      <c r="BI221" s="14"/>
      <c r="BJ221" s="14"/>
      <c r="BK221" s="14"/>
      <c r="BL221" s="14"/>
      <c r="BN221" s="2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</row>
    <row r="222" spans="1:79" hidden="1" outlineLevel="1" x14ac:dyDescent="0.4">
      <c r="A222" s="3" t="str">
        <f t="shared" si="22"/>
        <v>PROPERTY_ENERGY_CERTIFICATEINVOICE_RED_ANNUAL_ESTMTD_VALUE</v>
      </c>
      <c r="B222" s="8" t="s">
        <v>16</v>
      </c>
      <c r="C222" s="9" t="s">
        <v>44</v>
      </c>
      <c r="D222" s="6" t="s">
        <v>30</v>
      </c>
      <c r="E222" s="7" t="s">
        <v>113</v>
      </c>
      <c r="F222" s="7" t="s">
        <v>166</v>
      </c>
      <c r="G222" s="6" t="e">
        <f>INDEX(#REF!,MATCH(Plano_Detalhado!H222,#REF!,0),1)</f>
        <v>#REF!</v>
      </c>
      <c r="H222" s="6" t="e">
        <f>VLOOKUP(A222,#REF!,2,0)</f>
        <v>#REF!</v>
      </c>
      <c r="I222" s="67" t="e">
        <f>SUMIFS(#REF!,#REF!,Plano_Detalhado!E222,#REF!,Plano_Detalhado!F222)</f>
        <v>#REF!</v>
      </c>
      <c r="J222" s="67" t="e">
        <f t="shared" si="23"/>
        <v>#REF!</v>
      </c>
      <c r="K222" s="67" t="e">
        <f>SUMIFS(#REF!,#REF!,Plano_Detalhado!E222,#REF!,Plano_Detalhado!F222)</f>
        <v>#REF!</v>
      </c>
      <c r="L222" s="67" t="e">
        <f t="shared" si="24"/>
        <v>#REF!</v>
      </c>
      <c r="M222" s="61"/>
      <c r="N222" s="61" t="e">
        <f t="shared" si="25"/>
        <v>#REF!</v>
      </c>
      <c r="O222" s="61" t="e">
        <f t="shared" si="21"/>
        <v>#REF!</v>
      </c>
      <c r="P222" s="20" t="s">
        <v>114</v>
      </c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24"/>
      <c r="BI222" s="14"/>
      <c r="BJ222" s="14"/>
      <c r="BK222" s="14"/>
      <c r="BL222" s="14"/>
      <c r="BN222" s="2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</row>
    <row r="223" spans="1:79" hidden="1" outlineLevel="1" x14ac:dyDescent="0.4">
      <c r="A223" s="3" t="str">
        <f t="shared" si="22"/>
        <v>PROPERTY_ENERGY_CERTIFICATETEMPERATURE_OUTDOOR_AVG_VALUE</v>
      </c>
      <c r="B223" s="8" t="s">
        <v>16</v>
      </c>
      <c r="C223" s="9" t="s">
        <v>44</v>
      </c>
      <c r="D223" s="6" t="s">
        <v>30</v>
      </c>
      <c r="E223" s="7" t="s">
        <v>113</v>
      </c>
      <c r="F223" s="7" t="s">
        <v>167</v>
      </c>
      <c r="G223" s="6" t="e">
        <f>INDEX(#REF!,MATCH(Plano_Detalhado!H223,#REF!,0),1)</f>
        <v>#REF!</v>
      </c>
      <c r="H223" s="6" t="e">
        <f>VLOOKUP(A223,#REF!,2,0)</f>
        <v>#REF!</v>
      </c>
      <c r="I223" s="67" t="e">
        <f>SUMIFS(#REF!,#REF!,Plano_Detalhado!E223,#REF!,Plano_Detalhado!F223)</f>
        <v>#REF!</v>
      </c>
      <c r="J223" s="67" t="e">
        <f t="shared" si="23"/>
        <v>#REF!</v>
      </c>
      <c r="K223" s="67" t="e">
        <f>SUMIFS(#REF!,#REF!,Plano_Detalhado!E223,#REF!,Plano_Detalhado!F223)</f>
        <v>#REF!</v>
      </c>
      <c r="L223" s="67" t="e">
        <f t="shared" si="24"/>
        <v>#REF!</v>
      </c>
      <c r="M223" s="61"/>
      <c r="N223" s="61" t="e">
        <f t="shared" si="25"/>
        <v>#REF!</v>
      </c>
      <c r="O223" s="61" t="e">
        <f t="shared" si="21"/>
        <v>#REF!</v>
      </c>
      <c r="P223" s="20" t="s">
        <v>114</v>
      </c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24"/>
      <c r="BI223" s="14"/>
      <c r="BJ223" s="14"/>
      <c r="BK223" s="14"/>
      <c r="BL223" s="14"/>
      <c r="BN223" s="2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</row>
    <row r="224" spans="1:79" hidden="1" outlineLevel="1" x14ac:dyDescent="0.4">
      <c r="A224" s="3" t="str">
        <f t="shared" si="22"/>
        <v>PROPERTY_ENERGY_CERTIFICATECLIMATE_ZONE_WINTER</v>
      </c>
      <c r="B224" s="8" t="s">
        <v>16</v>
      </c>
      <c r="C224" s="9" t="s">
        <v>44</v>
      </c>
      <c r="D224" s="6" t="s">
        <v>30</v>
      </c>
      <c r="E224" s="7" t="s">
        <v>113</v>
      </c>
      <c r="F224" s="7" t="s">
        <v>168</v>
      </c>
      <c r="G224" s="6" t="e">
        <f>INDEX(#REF!,MATCH(Plano_Detalhado!H224,#REF!,0),1)</f>
        <v>#REF!</v>
      </c>
      <c r="H224" s="6" t="e">
        <f>VLOOKUP(A224,#REF!,2,0)</f>
        <v>#REF!</v>
      </c>
      <c r="I224" s="67" t="e">
        <f>SUMIFS(#REF!,#REF!,Plano_Detalhado!E224,#REF!,Plano_Detalhado!F224)</f>
        <v>#REF!</v>
      </c>
      <c r="J224" s="67" t="e">
        <f t="shared" si="23"/>
        <v>#REF!</v>
      </c>
      <c r="K224" s="67" t="e">
        <f>SUMIFS(#REF!,#REF!,Plano_Detalhado!E224,#REF!,Plano_Detalhado!F224)</f>
        <v>#REF!</v>
      </c>
      <c r="L224" s="67" t="e">
        <f t="shared" si="24"/>
        <v>#REF!</v>
      </c>
      <c r="M224" s="61"/>
      <c r="N224" s="61" t="e">
        <f t="shared" si="25"/>
        <v>#REF!</v>
      </c>
      <c r="O224" s="61" t="e">
        <f t="shared" si="21"/>
        <v>#REF!</v>
      </c>
      <c r="P224" s="20" t="s">
        <v>114</v>
      </c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24"/>
      <c r="BI224" s="14"/>
      <c r="BJ224" s="14"/>
      <c r="BK224" s="14"/>
      <c r="BL224" s="14"/>
      <c r="BN224" s="2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</row>
    <row r="225" spans="1:79" hidden="1" outlineLevel="1" x14ac:dyDescent="0.4">
      <c r="A225" s="3" t="str">
        <f t="shared" ref="A225:A231" si="26">E225&amp;F225</f>
        <v>PROPERTY_ENERGY_CERTIFICATENET_FLOOR_AREA</v>
      </c>
      <c r="B225" s="8" t="s">
        <v>16</v>
      </c>
      <c r="C225" s="9" t="s">
        <v>44</v>
      </c>
      <c r="D225" s="6" t="s">
        <v>30</v>
      </c>
      <c r="E225" s="7" t="s">
        <v>113</v>
      </c>
      <c r="F225" s="7" t="s">
        <v>87</v>
      </c>
      <c r="G225" s="6" t="e">
        <f>INDEX(#REF!,MATCH(Plano_Detalhado!H225,#REF!,0),1)</f>
        <v>#REF!</v>
      </c>
      <c r="H225" s="6" t="e">
        <f>VLOOKUP(A225,#REF!,2,0)</f>
        <v>#REF!</v>
      </c>
      <c r="I225" s="67" t="e">
        <f>SUMIFS(#REF!,#REF!,Plano_Detalhado!E225,#REF!,Plano_Detalhado!F225)</f>
        <v>#REF!</v>
      </c>
      <c r="J225" s="67" t="e">
        <f t="shared" ref="J225:J231" si="27">I225/8</f>
        <v>#REF!</v>
      </c>
      <c r="K225" s="67" t="e">
        <f>SUMIFS(#REF!,#REF!,Plano_Detalhado!E225,#REF!,Plano_Detalhado!F225)</f>
        <v>#REF!</v>
      </c>
      <c r="L225" s="67" t="e">
        <f t="shared" ref="L225:L231" si="28">K225/8</f>
        <v>#REF!</v>
      </c>
      <c r="M225" s="61"/>
      <c r="N225" s="61" t="e">
        <f t="shared" ref="N225:N231" si="29">L225/J225</f>
        <v>#REF!</v>
      </c>
      <c r="O225" s="61" t="e">
        <f t="shared" si="21"/>
        <v>#REF!</v>
      </c>
      <c r="P225" s="20" t="s">
        <v>114</v>
      </c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24"/>
      <c r="BI225" s="14"/>
      <c r="BJ225" s="14"/>
      <c r="BK225" s="14"/>
      <c r="BL225" s="14"/>
      <c r="BN225" s="2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</row>
    <row r="226" spans="1:79" hidden="1" outlineLevel="1" x14ac:dyDescent="0.4">
      <c r="A226" s="3" t="str">
        <f t="shared" si="26"/>
        <v>PROPERTY_ENERGY_CERTIFICATECADASTRAL_REGISTER_CODE</v>
      </c>
      <c r="B226" s="8" t="s">
        <v>16</v>
      </c>
      <c r="C226" s="9" t="s">
        <v>44</v>
      </c>
      <c r="D226" s="6" t="s">
        <v>30</v>
      </c>
      <c r="E226" s="7" t="s">
        <v>113</v>
      </c>
      <c r="F226" s="7" t="s">
        <v>88</v>
      </c>
      <c r="G226" s="6" t="e">
        <f>INDEX(#REF!,MATCH(Plano_Detalhado!H226,#REF!,0),1)</f>
        <v>#REF!</v>
      </c>
      <c r="H226" s="6" t="e">
        <f>VLOOKUP(A226,#REF!,2,0)</f>
        <v>#REF!</v>
      </c>
      <c r="I226" s="67" t="e">
        <f>SUMIFS(#REF!,#REF!,Plano_Detalhado!E226,#REF!,Plano_Detalhado!F226)</f>
        <v>#REF!</v>
      </c>
      <c r="J226" s="67" t="e">
        <f t="shared" si="27"/>
        <v>#REF!</v>
      </c>
      <c r="K226" s="67" t="e">
        <f>SUMIFS(#REF!,#REF!,Plano_Detalhado!E226,#REF!,Plano_Detalhado!F226)</f>
        <v>#REF!</v>
      </c>
      <c r="L226" s="67" t="e">
        <f t="shared" si="28"/>
        <v>#REF!</v>
      </c>
      <c r="M226" s="61"/>
      <c r="N226" s="61" t="e">
        <f t="shared" si="29"/>
        <v>#REF!</v>
      </c>
      <c r="O226" s="61" t="e">
        <f t="shared" si="21"/>
        <v>#REF!</v>
      </c>
      <c r="P226" s="20" t="s">
        <v>114</v>
      </c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24"/>
      <c r="BI226" s="14"/>
      <c r="BJ226" s="14"/>
      <c r="BK226" s="14"/>
      <c r="BL226" s="14"/>
      <c r="BN226" s="2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</row>
    <row r="227" spans="1:79" hidden="1" outlineLevel="1" x14ac:dyDescent="0.4">
      <c r="A227" s="3" t="str">
        <f t="shared" si="26"/>
        <v>PROPERTY_ENERGY_CERTIFICATEDISTRICT_MUNICIP_PARISH_CODE</v>
      </c>
      <c r="B227" s="8" t="s">
        <v>16</v>
      </c>
      <c r="C227" s="9" t="s">
        <v>44</v>
      </c>
      <c r="D227" s="6" t="s">
        <v>30</v>
      </c>
      <c r="E227" s="7" t="s">
        <v>113</v>
      </c>
      <c r="F227" s="7" t="s">
        <v>91</v>
      </c>
      <c r="G227" s="6" t="e">
        <f>INDEX(#REF!,MATCH(Plano_Detalhado!H227,#REF!,0),1)</f>
        <v>#REF!</v>
      </c>
      <c r="H227" s="6" t="e">
        <f>VLOOKUP(A227,#REF!,2,0)</f>
        <v>#REF!</v>
      </c>
      <c r="I227" s="67" t="e">
        <f>SUMIFS(#REF!,#REF!,Plano_Detalhado!E227,#REF!,Plano_Detalhado!F227)</f>
        <v>#REF!</v>
      </c>
      <c r="J227" s="67" t="e">
        <f t="shared" si="27"/>
        <v>#REF!</v>
      </c>
      <c r="K227" s="67" t="e">
        <f>SUMIFS(#REF!,#REF!,Plano_Detalhado!E227,#REF!,Plano_Detalhado!F227)</f>
        <v>#REF!</v>
      </c>
      <c r="L227" s="67" t="e">
        <f t="shared" si="28"/>
        <v>#REF!</v>
      </c>
      <c r="M227" s="61"/>
      <c r="N227" s="61" t="e">
        <f t="shared" si="29"/>
        <v>#REF!</v>
      </c>
      <c r="O227" s="61" t="e">
        <f t="shared" si="21"/>
        <v>#REF!</v>
      </c>
      <c r="P227" s="20" t="s">
        <v>114</v>
      </c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24"/>
      <c r="BI227" s="14"/>
      <c r="BJ227" s="14"/>
      <c r="BK227" s="14"/>
      <c r="BL227" s="14"/>
      <c r="BN227" s="2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</row>
    <row r="228" spans="1:79" hidden="1" outlineLevel="1" x14ac:dyDescent="0.4">
      <c r="A228" s="3" t="str">
        <f t="shared" si="26"/>
        <v>PROPERTY_ENERGY_CERTIFICATEPROPERTY_PURPOSE_CODE</v>
      </c>
      <c r="B228" s="8" t="s">
        <v>16</v>
      </c>
      <c r="C228" s="9" t="s">
        <v>44</v>
      </c>
      <c r="D228" s="6" t="s">
        <v>30</v>
      </c>
      <c r="E228" s="7" t="s">
        <v>113</v>
      </c>
      <c r="F228" s="7" t="s">
        <v>92</v>
      </c>
      <c r="G228" s="6" t="e">
        <f>INDEX(#REF!,MATCH(Plano_Detalhado!H228,#REF!,0),1)</f>
        <v>#REF!</v>
      </c>
      <c r="H228" s="6" t="e">
        <f>VLOOKUP(A228,#REF!,2,0)</f>
        <v>#REF!</v>
      </c>
      <c r="I228" s="67" t="e">
        <f>SUMIFS(#REF!,#REF!,Plano_Detalhado!E228,#REF!,Plano_Detalhado!F228)</f>
        <v>#REF!</v>
      </c>
      <c r="J228" s="67" t="e">
        <f t="shared" si="27"/>
        <v>#REF!</v>
      </c>
      <c r="K228" s="67" t="e">
        <f>SUMIFS(#REF!,#REF!,Plano_Detalhado!E228,#REF!,Plano_Detalhado!F228)</f>
        <v>#REF!</v>
      </c>
      <c r="L228" s="67" t="e">
        <f t="shared" si="28"/>
        <v>#REF!</v>
      </c>
      <c r="M228" s="61"/>
      <c r="N228" s="61" t="e">
        <f t="shared" si="29"/>
        <v>#REF!</v>
      </c>
      <c r="O228" s="61" t="e">
        <f t="shared" si="21"/>
        <v>#REF!</v>
      </c>
      <c r="P228" s="20" t="s">
        <v>114</v>
      </c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24"/>
      <c r="BI228" s="14"/>
      <c r="BJ228" s="14"/>
      <c r="BK228" s="14"/>
      <c r="BL228" s="14"/>
      <c r="BN228" s="2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</row>
    <row r="229" spans="1:79" hidden="1" outlineLevel="1" x14ac:dyDescent="0.4">
      <c r="A229" s="3" t="str">
        <f t="shared" si="26"/>
        <v>PROPERTY_ENERGY_CERTIFICATEADDRESS_CODE</v>
      </c>
      <c r="B229" s="8" t="s">
        <v>16</v>
      </c>
      <c r="C229" s="9" t="s">
        <v>44</v>
      </c>
      <c r="D229" s="6" t="s">
        <v>30</v>
      </c>
      <c r="E229" s="7" t="s">
        <v>113</v>
      </c>
      <c r="F229" s="7" t="s">
        <v>94</v>
      </c>
      <c r="G229" s="6" t="e">
        <f>INDEX(#REF!,MATCH(Plano_Detalhado!H229,#REF!,0),1)</f>
        <v>#REF!</v>
      </c>
      <c r="H229" s="6" t="e">
        <f>VLOOKUP(A229,#REF!,2,0)</f>
        <v>#REF!</v>
      </c>
      <c r="I229" s="67" t="e">
        <f>SUMIFS(#REF!,#REF!,Plano_Detalhado!E229,#REF!,Plano_Detalhado!F229)</f>
        <v>#REF!</v>
      </c>
      <c r="J229" s="67" t="e">
        <f t="shared" si="27"/>
        <v>#REF!</v>
      </c>
      <c r="K229" s="67" t="e">
        <f>SUMIFS(#REF!,#REF!,Plano_Detalhado!E229,#REF!,Plano_Detalhado!F229)</f>
        <v>#REF!</v>
      </c>
      <c r="L229" s="67" t="e">
        <f t="shared" si="28"/>
        <v>#REF!</v>
      </c>
      <c r="M229" s="61"/>
      <c r="N229" s="61" t="e">
        <f t="shared" si="29"/>
        <v>#REF!</v>
      </c>
      <c r="O229" s="61" t="e">
        <f t="shared" si="21"/>
        <v>#REF!</v>
      </c>
      <c r="P229" s="20" t="s">
        <v>114</v>
      </c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24"/>
      <c r="BI229" s="14"/>
      <c r="BJ229" s="14"/>
      <c r="BK229" s="14"/>
      <c r="BL229" s="14"/>
      <c r="BN229" s="2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</row>
    <row r="230" spans="1:79" hidden="1" outlineLevel="1" x14ac:dyDescent="0.4">
      <c r="A230" s="3" t="str">
        <f t="shared" si="26"/>
        <v>PROPERTY_ENERGY_CERTIFICATEFLOOR_NUMBER</v>
      </c>
      <c r="B230" s="8" t="s">
        <v>16</v>
      </c>
      <c r="C230" s="9" t="s">
        <v>44</v>
      </c>
      <c r="D230" s="6" t="s">
        <v>30</v>
      </c>
      <c r="E230" s="7" t="s">
        <v>113</v>
      </c>
      <c r="F230" s="7" t="s">
        <v>101</v>
      </c>
      <c r="G230" s="6" t="e">
        <f>INDEX(#REF!,MATCH(Plano_Detalhado!H230,#REF!,0),1)</f>
        <v>#REF!</v>
      </c>
      <c r="H230" s="6" t="e">
        <f>VLOOKUP(A230,#REF!,2,0)</f>
        <v>#REF!</v>
      </c>
      <c r="I230" s="67" t="e">
        <f>SUMIFS(#REF!,#REF!,Plano_Detalhado!E230,#REF!,Plano_Detalhado!F230)</f>
        <v>#REF!</v>
      </c>
      <c r="J230" s="67" t="e">
        <f t="shared" si="27"/>
        <v>#REF!</v>
      </c>
      <c r="K230" s="67" t="e">
        <f>SUMIFS(#REF!,#REF!,Plano_Detalhado!E230,#REF!,Plano_Detalhado!F230)</f>
        <v>#REF!</v>
      </c>
      <c r="L230" s="67" t="e">
        <f t="shared" si="28"/>
        <v>#REF!</v>
      </c>
      <c r="M230" s="61"/>
      <c r="N230" s="61" t="e">
        <f t="shared" si="29"/>
        <v>#REF!</v>
      </c>
      <c r="O230" s="61" t="e">
        <f t="shared" si="21"/>
        <v>#REF!</v>
      </c>
      <c r="P230" s="20" t="s">
        <v>114</v>
      </c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24"/>
      <c r="BI230" s="14"/>
      <c r="BJ230" s="14"/>
      <c r="BK230" s="14"/>
      <c r="BL230" s="14"/>
      <c r="BN230" s="2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</row>
    <row r="231" spans="1:79" hidden="1" outlineLevel="1" x14ac:dyDescent="0.4">
      <c r="A231" s="3" t="str">
        <f t="shared" si="26"/>
        <v>PROPERTY_ENERGY_CERTIFICATELOCALITY</v>
      </c>
      <c r="B231" s="8" t="s">
        <v>16</v>
      </c>
      <c r="C231" s="9" t="s">
        <v>44</v>
      </c>
      <c r="D231" s="6" t="s">
        <v>30</v>
      </c>
      <c r="E231" s="7" t="s">
        <v>113</v>
      </c>
      <c r="F231" s="7" t="s">
        <v>102</v>
      </c>
      <c r="G231" s="6" t="e">
        <f>INDEX(#REF!,MATCH(Plano_Detalhado!H231,#REF!,0),1)</f>
        <v>#REF!</v>
      </c>
      <c r="H231" s="6" t="e">
        <f>VLOOKUP(A231,#REF!,2,0)</f>
        <v>#REF!</v>
      </c>
      <c r="I231" s="67" t="e">
        <f>SUMIFS(#REF!,#REF!,Plano_Detalhado!E231,#REF!,Plano_Detalhado!F231)</f>
        <v>#REF!</v>
      </c>
      <c r="J231" s="67" t="e">
        <f t="shared" si="27"/>
        <v>#REF!</v>
      </c>
      <c r="K231" s="67" t="e">
        <f>SUMIFS(#REF!,#REF!,Plano_Detalhado!E231,#REF!,Plano_Detalhado!F231)</f>
        <v>#REF!</v>
      </c>
      <c r="L231" s="67" t="e">
        <f t="shared" si="28"/>
        <v>#REF!</v>
      </c>
      <c r="M231" s="61"/>
      <c r="N231" s="61" t="e">
        <f t="shared" si="29"/>
        <v>#REF!</v>
      </c>
      <c r="O231" s="61" t="e">
        <f t="shared" si="21"/>
        <v>#REF!</v>
      </c>
      <c r="P231" s="20" t="s">
        <v>114</v>
      </c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24"/>
      <c r="BI231" s="14"/>
      <c r="BJ231" s="14"/>
      <c r="BK231" s="14"/>
      <c r="BL231" s="14"/>
      <c r="BN231" s="2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</row>
    <row r="232" spans="1:79" hidden="1" outlineLevel="1" x14ac:dyDescent="0.4">
      <c r="A232" s="3" t="str">
        <f t="shared" si="22"/>
        <v>PROPERTY_ENERGY_CERTIFICATECLIMATE_ZONE_SUMMER</v>
      </c>
      <c r="B232" s="8" t="s">
        <v>16</v>
      </c>
      <c r="C232" s="9" t="s">
        <v>44</v>
      </c>
      <c r="D232" s="6" t="s">
        <v>30</v>
      </c>
      <c r="E232" s="7" t="s">
        <v>113</v>
      </c>
      <c r="F232" s="7" t="s">
        <v>169</v>
      </c>
      <c r="G232" s="6" t="e">
        <f>INDEX(#REF!,MATCH(Plano_Detalhado!H232,#REF!,0),1)</f>
        <v>#REF!</v>
      </c>
      <c r="H232" s="6" t="e">
        <f>VLOOKUP(A232,#REF!,2,0)</f>
        <v>#REF!</v>
      </c>
      <c r="I232" s="67" t="e">
        <f>SUMIFS(#REF!,#REF!,Plano_Detalhado!E232,#REF!,Plano_Detalhado!F232)</f>
        <v>#REF!</v>
      </c>
      <c r="J232" s="67" t="e">
        <f t="shared" si="23"/>
        <v>#REF!</v>
      </c>
      <c r="K232" s="67" t="e">
        <f>SUMIFS(#REF!,#REF!,Plano_Detalhado!E232,#REF!,Plano_Detalhado!F232)</f>
        <v>#REF!</v>
      </c>
      <c r="L232" s="67" t="e">
        <f t="shared" si="24"/>
        <v>#REF!</v>
      </c>
      <c r="M232" s="61"/>
      <c r="N232" s="61" t="e">
        <f t="shared" si="25"/>
        <v>#REF!</v>
      </c>
      <c r="O232" s="61" t="e">
        <f t="shared" si="21"/>
        <v>#REF!</v>
      </c>
      <c r="P232" s="20" t="s">
        <v>114</v>
      </c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24"/>
      <c r="BI232" s="14"/>
      <c r="BJ232" s="14"/>
      <c r="BK232" s="14"/>
      <c r="BL232" s="14"/>
      <c r="BN232" s="2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</row>
    <row r="233" spans="1:79" hidden="1" outlineLevel="1" x14ac:dyDescent="0.4">
      <c r="A233" s="3" t="str">
        <f t="shared" si="22"/>
        <v>Re-testesn.a.</v>
      </c>
      <c r="B233" s="8" t="s">
        <v>16</v>
      </c>
      <c r="C233" s="9" t="s">
        <v>44</v>
      </c>
      <c r="D233" s="6" t="s">
        <v>30</v>
      </c>
      <c r="E233" s="7" t="s">
        <v>43</v>
      </c>
      <c r="F233" s="6" t="s">
        <v>28</v>
      </c>
      <c r="G233" s="6" t="s">
        <v>170</v>
      </c>
      <c r="H233" s="6"/>
      <c r="I233" s="67" t="e">
        <f>SUM(I71:I232)*#REF!</f>
        <v>#REF!</v>
      </c>
      <c r="J233" s="67" t="e">
        <f>I233/8</f>
        <v>#REF!</v>
      </c>
      <c r="K233" s="67" t="e">
        <f>SUM(K71:K232)*#REF!</f>
        <v>#REF!</v>
      </c>
      <c r="L233" s="67" t="e">
        <f>K233/8</f>
        <v>#REF!</v>
      </c>
      <c r="M233" s="61"/>
      <c r="N233" s="61" t="e">
        <f t="shared" si="25"/>
        <v>#REF!</v>
      </c>
      <c r="O233" s="61" t="e">
        <f t="shared" si="21"/>
        <v>#REF!</v>
      </c>
      <c r="P233" s="20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24"/>
      <c r="BI233" s="14"/>
      <c r="BJ233" s="14"/>
      <c r="BK233" s="14"/>
      <c r="BL233" s="14"/>
      <c r="BN233" s="2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</row>
    <row r="234" spans="1:79" ht="178.2" collapsed="1" x14ac:dyDescent="0.4">
      <c r="A234" s="3" t="str">
        <f t="shared" si="22"/>
        <v/>
      </c>
      <c r="B234" s="5" t="s">
        <v>16</v>
      </c>
      <c r="C234" s="27" t="s">
        <v>171</v>
      </c>
      <c r="D234" s="27"/>
      <c r="E234" s="30"/>
      <c r="F234" s="27"/>
      <c r="G234" s="27"/>
      <c r="H234" s="27"/>
      <c r="I234" s="66" t="e">
        <f>SUM(I235:I400)</f>
        <v>#REF!</v>
      </c>
      <c r="J234" s="66" t="e">
        <f>ROUNDUP(I234/8,0)</f>
        <v>#REF!</v>
      </c>
      <c r="K234" s="66" t="e">
        <f>SUM(K235:K400)</f>
        <v>#REF!</v>
      </c>
      <c r="L234" s="66" t="e">
        <f>ROUNDUP(K234/8,0)</f>
        <v>#REF!</v>
      </c>
      <c r="M234" s="65" t="e">
        <f>SUMIFS(Q234:CA234,#REF!,"S")/J234</f>
        <v>#REF!</v>
      </c>
      <c r="N234" s="65">
        <f>IFERROR(L234/J234,0)</f>
        <v>0</v>
      </c>
      <c r="O234" s="65" t="e">
        <f t="shared" si="21"/>
        <v>#REF!</v>
      </c>
      <c r="P234" s="72" t="s">
        <v>515</v>
      </c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24"/>
      <c r="BI234" s="14"/>
      <c r="BJ234" s="14"/>
      <c r="BK234" s="14"/>
      <c r="BL234" s="14"/>
      <c r="BN234" s="2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</row>
    <row r="235" spans="1:79" hidden="1" outlineLevel="1" x14ac:dyDescent="0.25">
      <c r="A235" s="3" t="str">
        <f t="shared" si="22"/>
        <v>modesg_param_sfcs_taxon_europeian.a.</v>
      </c>
      <c r="B235" s="8" t="s">
        <v>16</v>
      </c>
      <c r="C235" s="9" t="s">
        <v>171</v>
      </c>
      <c r="D235" s="6" t="s">
        <v>26</v>
      </c>
      <c r="E235" s="7" t="s">
        <v>172</v>
      </c>
      <c r="F235" s="6" t="s">
        <v>28</v>
      </c>
      <c r="G235" s="6" t="e">
        <f>INDEX(#REF!,MATCH(Plano_Detalhado!H235,#REF!,0),1)</f>
        <v>#REF!</v>
      </c>
      <c r="H235" s="6" t="e">
        <f>VLOOKUP(A235,#REF!,2,0)</f>
        <v>#REF!</v>
      </c>
      <c r="I235" s="67" t="e">
        <f>SUMIFS(#REF!,#REF!,Plano_Detalhado!E235,#REF!,Plano_Detalhado!F235)</f>
        <v>#REF!</v>
      </c>
      <c r="J235" s="67" t="e">
        <f t="shared" ref="J235:J300" si="30">I235/8</f>
        <v>#REF!</v>
      </c>
      <c r="K235" s="67" t="e">
        <f>SUMIFS(#REF!,#REF!,Plano_Detalhado!E235,#REF!,Plano_Detalhado!F235)</f>
        <v>#REF!</v>
      </c>
      <c r="L235" s="67" t="e">
        <f>K235/8</f>
        <v>#REF!</v>
      </c>
      <c r="M235" s="61"/>
      <c r="N235" s="61" t="e">
        <f>L235/J235</f>
        <v>#REF!</v>
      </c>
      <c r="O235" s="61" t="e">
        <f t="shared" si="21"/>
        <v>#REF!</v>
      </c>
      <c r="P235" s="22" t="s">
        <v>29</v>
      </c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24"/>
      <c r="BI235" s="14"/>
      <c r="BJ235" s="14"/>
      <c r="BK235" s="14"/>
      <c r="BL235" s="14"/>
      <c r="BN235" s="2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</row>
    <row r="236" spans="1:79" hidden="1" outlineLevel="1" x14ac:dyDescent="0.25">
      <c r="A236" s="3" t="str">
        <f t="shared" si="22"/>
        <v>modesg_param_sfcs_taxon_europeiacbalcao</v>
      </c>
      <c r="B236" s="8" t="s">
        <v>16</v>
      </c>
      <c r="C236" s="9" t="s">
        <v>171</v>
      </c>
      <c r="D236" s="6" t="s">
        <v>30</v>
      </c>
      <c r="E236" s="7" t="s">
        <v>172</v>
      </c>
      <c r="F236" s="6" t="s">
        <v>173</v>
      </c>
      <c r="G236" s="6" t="e">
        <f>INDEX(#REF!,MATCH(Plano_Detalhado!H236,#REF!,0),1)</f>
        <v>#REF!</v>
      </c>
      <c r="H236" s="6" t="e">
        <f>VLOOKUP(A236,#REF!,2,0)</f>
        <v>#REF!</v>
      </c>
      <c r="I236" s="67" t="e">
        <f>SUMIFS(#REF!,#REF!,Plano_Detalhado!E236,#REF!,Plano_Detalhado!F236)</f>
        <v>#REF!</v>
      </c>
      <c r="J236" s="67" t="e">
        <f t="shared" si="30"/>
        <v>#REF!</v>
      </c>
      <c r="K236" s="67" t="e">
        <f>SUMIFS(#REF!,#REF!,Plano_Detalhado!E236,#REF!,Plano_Detalhado!F236)</f>
        <v>#REF!</v>
      </c>
      <c r="L236" s="67" t="e">
        <f t="shared" ref="L236:L301" si="31">K236/8</f>
        <v>#REF!</v>
      </c>
      <c r="M236" s="61"/>
      <c r="N236" s="61" t="e">
        <f t="shared" ref="N236:N301" si="32">L236/J236</f>
        <v>#REF!</v>
      </c>
      <c r="O236" s="61" t="e">
        <f t="shared" si="21"/>
        <v>#REF!</v>
      </c>
      <c r="P236" s="22" t="s">
        <v>29</v>
      </c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24"/>
      <c r="BI236" s="14"/>
      <c r="BJ236" s="14"/>
      <c r="BK236" s="14"/>
      <c r="BL236" s="14"/>
      <c r="BN236" s="2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</row>
    <row r="237" spans="1:79" hidden="1" outlineLevel="1" x14ac:dyDescent="0.25">
      <c r="A237" s="3" t="str">
        <f t="shared" si="22"/>
        <v>modesg_param_sfcs_taxon_europeiacempresa</v>
      </c>
      <c r="B237" s="8" t="s">
        <v>16</v>
      </c>
      <c r="C237" s="9" t="s">
        <v>171</v>
      </c>
      <c r="D237" s="6" t="s">
        <v>30</v>
      </c>
      <c r="E237" s="7" t="s">
        <v>172</v>
      </c>
      <c r="F237" s="6" t="s">
        <v>174</v>
      </c>
      <c r="G237" s="6" t="e">
        <f>INDEX(#REF!,MATCH(Plano_Detalhado!H237,#REF!,0),1)</f>
        <v>#REF!</v>
      </c>
      <c r="H237" s="6" t="e">
        <f>VLOOKUP(A237,#REF!,2,0)</f>
        <v>#REF!</v>
      </c>
      <c r="I237" s="67" t="e">
        <f>SUMIFS(#REF!,#REF!,Plano_Detalhado!E237,#REF!,Plano_Detalhado!F237)</f>
        <v>#REF!</v>
      </c>
      <c r="J237" s="67" t="e">
        <f t="shared" si="30"/>
        <v>#REF!</v>
      </c>
      <c r="K237" s="67" t="e">
        <f>SUMIFS(#REF!,#REF!,Plano_Detalhado!E237,#REF!,Plano_Detalhado!F237)</f>
        <v>#REF!</v>
      </c>
      <c r="L237" s="67" t="e">
        <f t="shared" si="31"/>
        <v>#REF!</v>
      </c>
      <c r="M237" s="61"/>
      <c r="N237" s="61" t="e">
        <f t="shared" si="32"/>
        <v>#REF!</v>
      </c>
      <c r="O237" s="61" t="e">
        <f t="shared" si="21"/>
        <v>#REF!</v>
      </c>
      <c r="P237" s="22" t="s">
        <v>29</v>
      </c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24"/>
      <c r="BI237" s="14"/>
      <c r="BJ237" s="14"/>
      <c r="BK237" s="14"/>
      <c r="BL237" s="14"/>
      <c r="BN237" s="2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</row>
    <row r="238" spans="1:79" hidden="1" outlineLevel="1" x14ac:dyDescent="0.25">
      <c r="A238" s="3" t="str">
        <f t="shared" si="22"/>
        <v>modesg_param_sfcs_taxon_europeiackmetamis</v>
      </c>
      <c r="B238" s="8" t="s">
        <v>16</v>
      </c>
      <c r="C238" s="9" t="s">
        <v>171</v>
      </c>
      <c r="D238" s="6" t="s">
        <v>30</v>
      </c>
      <c r="E238" s="7" t="s">
        <v>172</v>
      </c>
      <c r="F238" s="6" t="s">
        <v>175</v>
      </c>
      <c r="G238" s="6" t="e">
        <f>INDEX(#REF!,MATCH(Plano_Detalhado!H238,#REF!,0),1)</f>
        <v>#REF!</v>
      </c>
      <c r="H238" s="6" t="e">
        <f>VLOOKUP(A238,#REF!,2,0)</f>
        <v>#REF!</v>
      </c>
      <c r="I238" s="67" t="e">
        <f>SUMIFS(#REF!,#REF!,Plano_Detalhado!E238,#REF!,Plano_Detalhado!F238)</f>
        <v>#REF!</v>
      </c>
      <c r="J238" s="67" t="e">
        <f t="shared" si="30"/>
        <v>#REF!</v>
      </c>
      <c r="K238" s="67" t="e">
        <f>SUMIFS(#REF!,#REF!,Plano_Detalhado!E238,#REF!,Plano_Detalhado!F238)</f>
        <v>#REF!</v>
      </c>
      <c r="L238" s="67" t="e">
        <f t="shared" si="31"/>
        <v>#REF!</v>
      </c>
      <c r="M238" s="61"/>
      <c r="N238" s="61" t="e">
        <f t="shared" si="32"/>
        <v>#REF!</v>
      </c>
      <c r="O238" s="61" t="e">
        <f t="shared" si="21"/>
        <v>#REF!</v>
      </c>
      <c r="P238" s="22" t="s">
        <v>29</v>
      </c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24"/>
      <c r="BI238" s="14"/>
      <c r="BJ238" s="14"/>
      <c r="BK238" s="14"/>
      <c r="BL238" s="14"/>
      <c r="BN238" s="2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</row>
    <row r="239" spans="1:79" hidden="1" outlineLevel="1" x14ac:dyDescent="0.25">
      <c r="A239" s="3" t="str">
        <f t="shared" si="22"/>
        <v>modesg_param_sfcs_taxon_europeiackprodmi</v>
      </c>
      <c r="B239" s="8" t="s">
        <v>16</v>
      </c>
      <c r="C239" s="9" t="s">
        <v>171</v>
      </c>
      <c r="D239" s="6" t="s">
        <v>30</v>
      </c>
      <c r="E239" s="7" t="s">
        <v>172</v>
      </c>
      <c r="F239" s="6" t="s">
        <v>176</v>
      </c>
      <c r="G239" s="6" t="e">
        <f>INDEX(#REF!,MATCH(Plano_Detalhado!H239,#REF!,0),1)</f>
        <v>#REF!</v>
      </c>
      <c r="H239" s="6" t="e">
        <f>VLOOKUP(A239,#REF!,2,0)</f>
        <v>#REF!</v>
      </c>
      <c r="I239" s="67" t="e">
        <f>SUMIFS(#REF!,#REF!,Plano_Detalhado!E239,#REF!,Plano_Detalhado!F239)</f>
        <v>#REF!</v>
      </c>
      <c r="J239" s="67" t="e">
        <f t="shared" si="30"/>
        <v>#REF!</v>
      </c>
      <c r="K239" s="67" t="e">
        <f>SUMIFS(#REF!,#REF!,Plano_Detalhado!E239,#REF!,Plano_Detalhado!F239)</f>
        <v>#REF!</v>
      </c>
      <c r="L239" s="67" t="e">
        <f t="shared" si="31"/>
        <v>#REF!</v>
      </c>
      <c r="M239" s="61"/>
      <c r="N239" s="61" t="e">
        <f t="shared" si="32"/>
        <v>#REF!</v>
      </c>
      <c r="O239" s="61" t="e">
        <f t="shared" si="21"/>
        <v>#REF!</v>
      </c>
      <c r="P239" s="22" t="s">
        <v>29</v>
      </c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24"/>
      <c r="BI239" s="14"/>
      <c r="BJ239" s="14"/>
      <c r="BK239" s="14"/>
      <c r="BL239" s="14"/>
      <c r="BN239" s="2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</row>
    <row r="240" spans="1:79" hidden="1" outlineLevel="1" x14ac:dyDescent="0.25">
      <c r="A240" s="3" t="str">
        <f t="shared" si="22"/>
        <v>modesg_param_sfcs_taxon_europeiacmetanseg</v>
      </c>
      <c r="B240" s="8" t="s">
        <v>16</v>
      </c>
      <c r="C240" s="9" t="s">
        <v>171</v>
      </c>
      <c r="D240" s="6" t="s">
        <v>30</v>
      </c>
      <c r="E240" s="7" t="s">
        <v>172</v>
      </c>
      <c r="F240" s="6" t="s">
        <v>177</v>
      </c>
      <c r="G240" s="6" t="e">
        <f>INDEX(#REF!,MATCH(Plano_Detalhado!H240,#REF!,0),1)</f>
        <v>#REF!</v>
      </c>
      <c r="H240" s="6" t="e">
        <f>VLOOKUP(A240,#REF!,2,0)</f>
        <v>#REF!</v>
      </c>
      <c r="I240" s="67" t="e">
        <f>SUMIFS(#REF!,#REF!,Plano_Detalhado!E240,#REF!,Plano_Detalhado!F240)</f>
        <v>#REF!</v>
      </c>
      <c r="J240" s="67" t="e">
        <f t="shared" si="30"/>
        <v>#REF!</v>
      </c>
      <c r="K240" s="67" t="e">
        <f>SUMIFS(#REF!,#REF!,Plano_Detalhado!E240,#REF!,Plano_Detalhado!F240)</f>
        <v>#REF!</v>
      </c>
      <c r="L240" s="67" t="e">
        <f t="shared" si="31"/>
        <v>#REF!</v>
      </c>
      <c r="M240" s="61"/>
      <c r="N240" s="61" t="e">
        <f t="shared" si="32"/>
        <v>#REF!</v>
      </c>
      <c r="O240" s="61" t="e">
        <f t="shared" si="21"/>
        <v>#REF!</v>
      </c>
      <c r="P240" s="22" t="s">
        <v>29</v>
      </c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24"/>
      <c r="BI240" s="14"/>
      <c r="BJ240" s="14"/>
      <c r="BK240" s="14"/>
      <c r="BL240" s="14"/>
      <c r="BN240" s="2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</row>
    <row r="241" spans="1:79" hidden="1" outlineLevel="1" x14ac:dyDescent="0.25">
      <c r="A241" s="3" t="str">
        <f t="shared" si="22"/>
        <v>modesg_param_sfcs_taxon_europeiacnsm_co2</v>
      </c>
      <c r="B241" s="8" t="s">
        <v>16</v>
      </c>
      <c r="C241" s="9" t="s">
        <v>171</v>
      </c>
      <c r="D241" s="6" t="s">
        <v>30</v>
      </c>
      <c r="E241" s="7" t="s">
        <v>172</v>
      </c>
      <c r="F241" s="6" t="s">
        <v>178</v>
      </c>
      <c r="G241" s="6" t="e">
        <f>INDEX(#REF!,MATCH(Plano_Detalhado!H241,#REF!,0),1)</f>
        <v>#REF!</v>
      </c>
      <c r="H241" s="6" t="e">
        <f>VLOOKUP(A241,#REF!,2,0)</f>
        <v>#REF!</v>
      </c>
      <c r="I241" s="67" t="e">
        <f>SUMIFS(#REF!,#REF!,Plano_Detalhado!E241,#REF!,Plano_Detalhado!F241)</f>
        <v>#REF!</v>
      </c>
      <c r="J241" s="67" t="e">
        <f t="shared" si="30"/>
        <v>#REF!</v>
      </c>
      <c r="K241" s="67" t="e">
        <f>SUMIFS(#REF!,#REF!,Plano_Detalhado!E241,#REF!,Plano_Detalhado!F241)</f>
        <v>#REF!</v>
      </c>
      <c r="L241" s="67" t="e">
        <f t="shared" si="31"/>
        <v>#REF!</v>
      </c>
      <c r="M241" s="61"/>
      <c r="N241" s="61" t="e">
        <f t="shared" si="32"/>
        <v>#REF!</v>
      </c>
      <c r="O241" s="61" t="e">
        <f t="shared" si="21"/>
        <v>#REF!</v>
      </c>
      <c r="P241" s="22" t="s">
        <v>29</v>
      </c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24"/>
      <c r="BI241" s="14"/>
      <c r="BJ241" s="14"/>
      <c r="BK241" s="14"/>
      <c r="BL241" s="14"/>
      <c r="BN241" s="2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</row>
    <row r="242" spans="1:79" hidden="1" outlineLevel="1" x14ac:dyDescent="0.25">
      <c r="A242" s="3" t="str">
        <f t="shared" si="22"/>
        <v>modesg_param_sfcs_taxon_europeiacnumecta</v>
      </c>
      <c r="B242" s="8" t="s">
        <v>16</v>
      </c>
      <c r="C242" s="9" t="s">
        <v>171</v>
      </c>
      <c r="D242" s="6" t="s">
        <v>30</v>
      </c>
      <c r="E242" s="7" t="s">
        <v>172</v>
      </c>
      <c r="F242" s="6" t="s">
        <v>179</v>
      </c>
      <c r="G242" s="6" t="e">
        <f>INDEX(#REF!,MATCH(Plano_Detalhado!H242,#REF!,0),1)</f>
        <v>#REF!</v>
      </c>
      <c r="H242" s="6" t="e">
        <f>VLOOKUP(A242,#REF!,2,0)</f>
        <v>#REF!</v>
      </c>
      <c r="I242" s="67" t="e">
        <f>SUMIFS(#REF!,#REF!,Plano_Detalhado!E242,#REF!,Plano_Detalhado!F242)</f>
        <v>#REF!</v>
      </c>
      <c r="J242" s="67" t="e">
        <f t="shared" si="30"/>
        <v>#REF!</v>
      </c>
      <c r="K242" s="67" t="e">
        <f>SUMIFS(#REF!,#REF!,Plano_Detalhado!E242,#REF!,Plano_Detalhado!F242)</f>
        <v>#REF!</v>
      </c>
      <c r="L242" s="67" t="e">
        <f t="shared" si="31"/>
        <v>#REF!</v>
      </c>
      <c r="M242" s="61"/>
      <c r="N242" s="61" t="e">
        <f t="shared" si="32"/>
        <v>#REF!</v>
      </c>
      <c r="O242" s="61" t="e">
        <f t="shared" si="21"/>
        <v>#REF!</v>
      </c>
      <c r="P242" s="22" t="s">
        <v>29</v>
      </c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24"/>
      <c r="BI242" s="14"/>
      <c r="BJ242" s="14"/>
      <c r="BK242" s="14"/>
      <c r="BL242" s="14"/>
      <c r="BN242" s="2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</row>
    <row r="243" spans="1:79" hidden="1" outlineLevel="1" x14ac:dyDescent="0.25">
      <c r="A243" s="3" t="str">
        <f t="shared" si="22"/>
        <v>modesg_param_sfcs_taxon_europeiacod_lease</v>
      </c>
      <c r="B243" s="8" t="s">
        <v>16</v>
      </c>
      <c r="C243" s="9" t="s">
        <v>171</v>
      </c>
      <c r="D243" s="6" t="s">
        <v>30</v>
      </c>
      <c r="E243" s="7" t="s">
        <v>172</v>
      </c>
      <c r="F243" s="6" t="s">
        <v>180</v>
      </c>
      <c r="G243" s="6" t="e">
        <f>INDEX(#REF!,MATCH(Plano_Detalhado!H243,#REF!,0),1)</f>
        <v>#REF!</v>
      </c>
      <c r="H243" s="6" t="e">
        <f>VLOOKUP(A243,#REF!,2,0)</f>
        <v>#REF!</v>
      </c>
      <c r="I243" s="67" t="e">
        <f>SUMIFS(#REF!,#REF!,Plano_Detalhado!E243,#REF!,Plano_Detalhado!F243)</f>
        <v>#REF!</v>
      </c>
      <c r="J243" s="67" t="e">
        <f t="shared" si="30"/>
        <v>#REF!</v>
      </c>
      <c r="K243" s="67" t="e">
        <f>SUMIFS(#REF!,#REF!,Plano_Detalhado!E243,#REF!,Plano_Detalhado!F243)</f>
        <v>#REF!</v>
      </c>
      <c r="L243" s="67" t="e">
        <f t="shared" si="31"/>
        <v>#REF!</v>
      </c>
      <c r="M243" s="61"/>
      <c r="N243" s="61" t="e">
        <f t="shared" si="32"/>
        <v>#REF!</v>
      </c>
      <c r="O243" s="61" t="e">
        <f t="shared" si="21"/>
        <v>#REF!</v>
      </c>
      <c r="P243" s="22" t="s">
        <v>29</v>
      </c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24"/>
      <c r="BI243" s="14"/>
      <c r="BJ243" s="14"/>
      <c r="BK243" s="14"/>
      <c r="BL243" s="14"/>
      <c r="BN243" s="2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</row>
    <row r="244" spans="1:79" hidden="1" outlineLevel="1" x14ac:dyDescent="0.25">
      <c r="A244" s="3" t="str">
        <f t="shared" si="22"/>
        <v>modesg_param_sfcs_taxon_europeiacod_regra</v>
      </c>
      <c r="B244" s="8" t="s">
        <v>16</v>
      </c>
      <c r="C244" s="9" t="s">
        <v>171</v>
      </c>
      <c r="D244" s="6" t="s">
        <v>30</v>
      </c>
      <c r="E244" s="7" t="s">
        <v>172</v>
      </c>
      <c r="F244" s="6" t="s">
        <v>181</v>
      </c>
      <c r="G244" s="6" t="e">
        <f>INDEX(#REF!,MATCH(Plano_Detalhado!H244,#REF!,0),1)</f>
        <v>#REF!</v>
      </c>
      <c r="H244" s="6" t="e">
        <f>VLOOKUP(A244,#REF!,2,0)</f>
        <v>#REF!</v>
      </c>
      <c r="I244" s="67" t="e">
        <f>SUMIFS(#REF!,#REF!,Plano_Detalhado!E244,#REF!,Plano_Detalhado!F244)</f>
        <v>#REF!</v>
      </c>
      <c r="J244" s="67" t="e">
        <f t="shared" si="30"/>
        <v>#REF!</v>
      </c>
      <c r="K244" s="67" t="e">
        <f>SUMIFS(#REF!,#REF!,Plano_Detalhado!E244,#REF!,Plano_Detalhado!F244)</f>
        <v>#REF!</v>
      </c>
      <c r="L244" s="67" t="e">
        <f t="shared" si="31"/>
        <v>#REF!</v>
      </c>
      <c r="M244" s="61"/>
      <c r="N244" s="61" t="e">
        <f t="shared" si="32"/>
        <v>#REF!</v>
      </c>
      <c r="O244" s="61" t="e">
        <f t="shared" si="21"/>
        <v>#REF!</v>
      </c>
      <c r="P244" s="22" t="s">
        <v>29</v>
      </c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24"/>
      <c r="BI244" s="14"/>
      <c r="BJ244" s="14"/>
      <c r="BK244" s="14"/>
      <c r="BL244" s="14"/>
      <c r="BN244" s="2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</row>
    <row r="245" spans="1:79" hidden="1" outlineLevel="1" x14ac:dyDescent="0.25">
      <c r="A245" s="3" t="str">
        <f t="shared" si="22"/>
        <v>modesg_param_sfcs_taxon_europeiacomite</v>
      </c>
      <c r="B245" s="8" t="s">
        <v>16</v>
      </c>
      <c r="C245" s="9" t="s">
        <v>171</v>
      </c>
      <c r="D245" s="6" t="s">
        <v>30</v>
      </c>
      <c r="E245" s="7" t="s">
        <v>172</v>
      </c>
      <c r="F245" s="6" t="s">
        <v>182</v>
      </c>
      <c r="G245" s="6" t="e">
        <f>INDEX(#REF!,MATCH(Plano_Detalhado!H245,#REF!,0),1)</f>
        <v>#REF!</v>
      </c>
      <c r="H245" s="6" t="e">
        <f>VLOOKUP(A245,#REF!,2,0)</f>
        <v>#REF!</v>
      </c>
      <c r="I245" s="67" t="e">
        <f>SUMIFS(#REF!,#REF!,Plano_Detalhado!E245,#REF!,Plano_Detalhado!F245)</f>
        <v>#REF!</v>
      </c>
      <c r="J245" s="67" t="e">
        <f t="shared" si="30"/>
        <v>#REF!</v>
      </c>
      <c r="K245" s="67" t="e">
        <f>SUMIFS(#REF!,#REF!,Plano_Detalhado!E245,#REF!,Plano_Detalhado!F245)</f>
        <v>#REF!</v>
      </c>
      <c r="L245" s="67" t="e">
        <f t="shared" si="31"/>
        <v>#REF!</v>
      </c>
      <c r="M245" s="61"/>
      <c r="N245" s="61" t="e">
        <f t="shared" si="32"/>
        <v>#REF!</v>
      </c>
      <c r="O245" s="61" t="e">
        <f t="shared" si="21"/>
        <v>#REF!</v>
      </c>
      <c r="P245" s="22" t="s">
        <v>29</v>
      </c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24"/>
      <c r="BI245" s="14"/>
      <c r="BJ245" s="14"/>
      <c r="BK245" s="14"/>
      <c r="BL245" s="14"/>
      <c r="BN245" s="2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</row>
    <row r="246" spans="1:79" hidden="1" outlineLevel="1" x14ac:dyDescent="0.25">
      <c r="A246" s="3" t="str">
        <f t="shared" si="22"/>
        <v>modesg_param_sfcs_taxon_europeiadata_aprvc</v>
      </c>
      <c r="B246" s="8" t="s">
        <v>16</v>
      </c>
      <c r="C246" s="9" t="s">
        <v>171</v>
      </c>
      <c r="D246" s="6" t="s">
        <v>30</v>
      </c>
      <c r="E246" s="7" t="s">
        <v>172</v>
      </c>
      <c r="F246" s="6" t="s">
        <v>183</v>
      </c>
      <c r="G246" s="6" t="e">
        <f>INDEX(#REF!,MATCH(Plano_Detalhado!H246,#REF!,0),1)</f>
        <v>#REF!</v>
      </c>
      <c r="H246" s="6" t="e">
        <f>VLOOKUP(A246,#REF!,2,0)</f>
        <v>#REF!</v>
      </c>
      <c r="I246" s="67" t="e">
        <f>SUMIFS(#REF!,#REF!,Plano_Detalhado!E246,#REF!,Plano_Detalhado!F246)</f>
        <v>#REF!</v>
      </c>
      <c r="J246" s="67" t="e">
        <f t="shared" si="30"/>
        <v>#REF!</v>
      </c>
      <c r="K246" s="67" t="e">
        <f>SUMIFS(#REF!,#REF!,Plano_Detalhado!E246,#REF!,Plano_Detalhado!F246)</f>
        <v>#REF!</v>
      </c>
      <c r="L246" s="67" t="e">
        <f t="shared" si="31"/>
        <v>#REF!</v>
      </c>
      <c r="M246" s="61"/>
      <c r="N246" s="61" t="e">
        <f t="shared" si="32"/>
        <v>#REF!</v>
      </c>
      <c r="O246" s="61" t="e">
        <f t="shared" si="21"/>
        <v>#REF!</v>
      </c>
      <c r="P246" s="22" t="s">
        <v>29</v>
      </c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24"/>
      <c r="BI246" s="14"/>
      <c r="BJ246" s="14"/>
      <c r="BK246" s="14"/>
      <c r="BL246" s="14"/>
      <c r="BN246" s="2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</row>
    <row r="247" spans="1:79" hidden="1" outlineLevel="1" x14ac:dyDescent="0.25">
      <c r="A247" s="3" t="str">
        <f t="shared" si="22"/>
        <v>modesg_param_sfcs_taxon_europeiadata_final</v>
      </c>
      <c r="B247" s="8" t="s">
        <v>16</v>
      </c>
      <c r="C247" s="9" t="s">
        <v>171</v>
      </c>
      <c r="D247" s="6" t="s">
        <v>30</v>
      </c>
      <c r="E247" s="7" t="s">
        <v>172</v>
      </c>
      <c r="F247" s="6" t="s">
        <v>184</v>
      </c>
      <c r="G247" s="6" t="e">
        <f>INDEX(#REF!,MATCH(Plano_Detalhado!H247,#REF!,0),1)</f>
        <v>#REF!</v>
      </c>
      <c r="H247" s="6" t="e">
        <f>VLOOKUP(A247,#REF!,2,0)</f>
        <v>#REF!</v>
      </c>
      <c r="I247" s="67" t="e">
        <f>SUMIFS(#REF!,#REF!,Plano_Detalhado!E247,#REF!,Plano_Detalhado!F247)</f>
        <v>#REF!</v>
      </c>
      <c r="J247" s="67" t="e">
        <f t="shared" si="30"/>
        <v>#REF!</v>
      </c>
      <c r="K247" s="67" t="e">
        <f>SUMIFS(#REF!,#REF!,Plano_Detalhado!E247,#REF!,Plano_Detalhado!F247)</f>
        <v>#REF!</v>
      </c>
      <c r="L247" s="67" t="e">
        <f t="shared" si="31"/>
        <v>#REF!</v>
      </c>
      <c r="M247" s="61"/>
      <c r="N247" s="61" t="e">
        <f t="shared" si="32"/>
        <v>#REF!</v>
      </c>
      <c r="O247" s="61" t="e">
        <f t="shared" ref="O247:O310" si="33">N247-M247</f>
        <v>#REF!</v>
      </c>
      <c r="P247" s="22" t="s">
        <v>29</v>
      </c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24"/>
      <c r="BI247" s="14"/>
      <c r="BJ247" s="14"/>
      <c r="BK247" s="14"/>
      <c r="BL247" s="14"/>
      <c r="BN247" s="2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</row>
    <row r="248" spans="1:79" hidden="1" outlineLevel="1" x14ac:dyDescent="0.25">
      <c r="A248" s="3" t="str">
        <f t="shared" si="22"/>
        <v>modesg_param_sfcs_taxon_europeiadata_inicial</v>
      </c>
      <c r="B248" s="8" t="s">
        <v>16</v>
      </c>
      <c r="C248" s="9" t="s">
        <v>171</v>
      </c>
      <c r="D248" s="6" t="s">
        <v>30</v>
      </c>
      <c r="E248" s="7" t="s">
        <v>172</v>
      </c>
      <c r="F248" s="6" t="s">
        <v>185</v>
      </c>
      <c r="G248" s="6" t="e">
        <f>INDEX(#REF!,MATCH(Plano_Detalhado!H248,#REF!,0),1)</f>
        <v>#REF!</v>
      </c>
      <c r="H248" s="6" t="e">
        <f>VLOOKUP(A248,#REF!,2,0)</f>
        <v>#REF!</v>
      </c>
      <c r="I248" s="67" t="e">
        <f>SUMIFS(#REF!,#REF!,Plano_Detalhado!E248,#REF!,Plano_Detalhado!F248)</f>
        <v>#REF!</v>
      </c>
      <c r="J248" s="67" t="e">
        <f t="shared" si="30"/>
        <v>#REF!</v>
      </c>
      <c r="K248" s="67" t="e">
        <f>SUMIFS(#REF!,#REF!,Plano_Detalhado!E248,#REF!,Plano_Detalhado!F248)</f>
        <v>#REF!</v>
      </c>
      <c r="L248" s="67" t="e">
        <f t="shared" si="31"/>
        <v>#REF!</v>
      </c>
      <c r="M248" s="61"/>
      <c r="N248" s="61" t="e">
        <f t="shared" si="32"/>
        <v>#REF!</v>
      </c>
      <c r="O248" s="61" t="e">
        <f t="shared" si="33"/>
        <v>#REF!</v>
      </c>
      <c r="P248" s="22" t="s">
        <v>29</v>
      </c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24"/>
      <c r="BI248" s="14"/>
      <c r="BJ248" s="14"/>
      <c r="BK248" s="14"/>
      <c r="BL248" s="14"/>
      <c r="BN248" s="2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</row>
    <row r="249" spans="1:79" hidden="1" outlineLevel="1" x14ac:dyDescent="0.25">
      <c r="A249" s="3" t="str">
        <f t="shared" si="22"/>
        <v>modesg_param_sfcs_taxon_europeiadominio</v>
      </c>
      <c r="B249" s="8" t="s">
        <v>16</v>
      </c>
      <c r="C249" s="9" t="s">
        <v>171</v>
      </c>
      <c r="D249" s="6" t="s">
        <v>30</v>
      </c>
      <c r="E249" s="7" t="s">
        <v>172</v>
      </c>
      <c r="F249" s="6" t="s">
        <v>186</v>
      </c>
      <c r="G249" s="6" t="e">
        <f>INDEX(#REF!,MATCH(Plano_Detalhado!H249,#REF!,0),1)</f>
        <v>#REF!</v>
      </c>
      <c r="H249" s="6" t="e">
        <f>VLOOKUP(A249,#REF!,2,0)</f>
        <v>#REF!</v>
      </c>
      <c r="I249" s="67" t="e">
        <f>SUMIFS(#REF!,#REF!,Plano_Detalhado!E249,#REF!,Plano_Detalhado!F249)</f>
        <v>#REF!</v>
      </c>
      <c r="J249" s="67" t="e">
        <f t="shared" si="30"/>
        <v>#REF!</v>
      </c>
      <c r="K249" s="67" t="e">
        <f>SUMIFS(#REF!,#REF!,Plano_Detalhado!E249,#REF!,Plano_Detalhado!F249)</f>
        <v>#REF!</v>
      </c>
      <c r="L249" s="67" t="e">
        <f t="shared" si="31"/>
        <v>#REF!</v>
      </c>
      <c r="M249" s="61"/>
      <c r="N249" s="61" t="e">
        <f t="shared" si="32"/>
        <v>#REF!</v>
      </c>
      <c r="O249" s="61" t="e">
        <f t="shared" si="33"/>
        <v>#REF!</v>
      </c>
      <c r="P249" s="22" t="s">
        <v>29</v>
      </c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24"/>
      <c r="BI249" s="14"/>
      <c r="BJ249" s="14"/>
      <c r="BK249" s="14"/>
      <c r="BL249" s="14"/>
      <c r="BN249" s="2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</row>
    <row r="250" spans="1:79" hidden="1" outlineLevel="1" x14ac:dyDescent="0.25">
      <c r="A250" s="3" t="str">
        <f t="shared" si="22"/>
        <v>modesg_param_sfcs_taxon_europeiadscrc</v>
      </c>
      <c r="B250" s="8" t="s">
        <v>16</v>
      </c>
      <c r="C250" s="9" t="s">
        <v>171</v>
      </c>
      <c r="D250" s="6" t="s">
        <v>30</v>
      </c>
      <c r="E250" s="7" t="s">
        <v>172</v>
      </c>
      <c r="F250" s="6" t="s">
        <v>187</v>
      </c>
      <c r="G250" s="6" t="e">
        <f>INDEX(#REF!,MATCH(Plano_Detalhado!H250,#REF!,0),1)</f>
        <v>#REF!</v>
      </c>
      <c r="H250" s="6" t="e">
        <f>VLOOKUP(A250,#REF!,2,0)</f>
        <v>#REF!</v>
      </c>
      <c r="I250" s="67" t="e">
        <f>SUMIFS(#REF!,#REF!,Plano_Detalhado!E250,#REF!,Plano_Detalhado!F250)</f>
        <v>#REF!</v>
      </c>
      <c r="J250" s="67" t="e">
        <f t="shared" si="30"/>
        <v>#REF!</v>
      </c>
      <c r="K250" s="67" t="e">
        <f>SUMIFS(#REF!,#REF!,Plano_Detalhado!E250,#REF!,Plano_Detalhado!F250)</f>
        <v>#REF!</v>
      </c>
      <c r="L250" s="67" t="e">
        <f t="shared" si="31"/>
        <v>#REF!</v>
      </c>
      <c r="M250" s="61"/>
      <c r="N250" s="61" t="e">
        <f t="shared" si="32"/>
        <v>#REF!</v>
      </c>
      <c r="O250" s="61" t="e">
        <f t="shared" si="33"/>
        <v>#REF!</v>
      </c>
      <c r="P250" s="22" t="s">
        <v>29</v>
      </c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24"/>
      <c r="BI250" s="14"/>
      <c r="BJ250" s="14"/>
      <c r="BK250" s="14"/>
      <c r="BL250" s="14"/>
      <c r="BN250" s="2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</row>
    <row r="251" spans="1:79" hidden="1" outlineLevel="1" x14ac:dyDescent="0.25">
      <c r="A251" s="3" t="str">
        <f t="shared" si="22"/>
        <v>modesg_param_sfcs_taxon_europeiaepc</v>
      </c>
      <c r="B251" s="8" t="s">
        <v>16</v>
      </c>
      <c r="C251" s="9" t="s">
        <v>171</v>
      </c>
      <c r="D251" s="6" t="s">
        <v>30</v>
      </c>
      <c r="E251" s="7" t="s">
        <v>172</v>
      </c>
      <c r="F251" s="6" t="s">
        <v>188</v>
      </c>
      <c r="G251" s="6" t="e">
        <f>INDEX(#REF!,MATCH(Plano_Detalhado!H251,#REF!,0),1)</f>
        <v>#REF!</v>
      </c>
      <c r="H251" s="6" t="e">
        <f>VLOOKUP(A251,#REF!,2,0)</f>
        <v>#REF!</v>
      </c>
      <c r="I251" s="67" t="e">
        <f>SUMIFS(#REF!,#REF!,Plano_Detalhado!E251,#REF!,Plano_Detalhado!F251)</f>
        <v>#REF!</v>
      </c>
      <c r="J251" s="67" t="e">
        <f t="shared" si="30"/>
        <v>#REF!</v>
      </c>
      <c r="K251" s="67" t="e">
        <f>SUMIFS(#REF!,#REF!,Plano_Detalhado!E251,#REF!,Plano_Detalhado!F251)</f>
        <v>#REF!</v>
      </c>
      <c r="L251" s="67" t="e">
        <f t="shared" si="31"/>
        <v>#REF!</v>
      </c>
      <c r="M251" s="61"/>
      <c r="N251" s="61" t="e">
        <f t="shared" si="32"/>
        <v>#REF!</v>
      </c>
      <c r="O251" s="61" t="e">
        <f t="shared" si="33"/>
        <v>#REF!</v>
      </c>
      <c r="P251" s="22" t="s">
        <v>29</v>
      </c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24"/>
      <c r="BI251" s="14"/>
      <c r="BJ251" s="14"/>
      <c r="BK251" s="14"/>
      <c r="BL251" s="14"/>
      <c r="BN251" s="2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</row>
    <row r="252" spans="1:79" hidden="1" outlineLevel="1" x14ac:dyDescent="0.25">
      <c r="A252" s="3" t="str">
        <f t="shared" si="22"/>
        <v>modesg_param_sfcs_taxon_europeiaflag_project_finance</v>
      </c>
      <c r="B252" s="8" t="s">
        <v>16</v>
      </c>
      <c r="C252" s="9" t="s">
        <v>171</v>
      </c>
      <c r="D252" s="6" t="s">
        <v>30</v>
      </c>
      <c r="E252" s="7" t="s">
        <v>172</v>
      </c>
      <c r="F252" s="6" t="s">
        <v>189</v>
      </c>
      <c r="G252" s="6" t="e">
        <f>INDEX(#REF!,MATCH(Plano_Detalhado!H252,#REF!,0),1)</f>
        <v>#REF!</v>
      </c>
      <c r="H252" s="6" t="e">
        <f>VLOOKUP(A252,#REF!,2,0)</f>
        <v>#REF!</v>
      </c>
      <c r="I252" s="67" t="e">
        <f>SUMIFS(#REF!,#REF!,Plano_Detalhado!E252,#REF!,Plano_Detalhado!F252)</f>
        <v>#REF!</v>
      </c>
      <c r="J252" s="67" t="e">
        <f t="shared" si="30"/>
        <v>#REF!</v>
      </c>
      <c r="K252" s="67" t="e">
        <f>SUMIFS(#REF!,#REF!,Plano_Detalhado!E252,#REF!,Plano_Detalhado!F252)</f>
        <v>#REF!</v>
      </c>
      <c r="L252" s="67" t="e">
        <f t="shared" si="31"/>
        <v>#REF!</v>
      </c>
      <c r="M252" s="61"/>
      <c r="N252" s="61" t="e">
        <f t="shared" si="32"/>
        <v>#REF!</v>
      </c>
      <c r="O252" s="61" t="e">
        <f t="shared" si="33"/>
        <v>#REF!</v>
      </c>
      <c r="P252" s="22" t="s">
        <v>29</v>
      </c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24"/>
      <c r="BI252" s="14"/>
      <c r="BJ252" s="14"/>
      <c r="BK252" s="14"/>
      <c r="BL252" s="14"/>
      <c r="BN252" s="2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</row>
    <row r="253" spans="1:79" hidden="1" outlineLevel="1" x14ac:dyDescent="0.25">
      <c r="A253" s="3" t="str">
        <f t="shared" si="22"/>
        <v>modesg_param_sfcs_taxon_europeiacfinalidad</v>
      </c>
      <c r="B253" s="8" t="s">
        <v>16</v>
      </c>
      <c r="C253" s="9" t="s">
        <v>171</v>
      </c>
      <c r="D253" s="6" t="s">
        <v>30</v>
      </c>
      <c r="E253" s="7" t="s">
        <v>172</v>
      </c>
      <c r="F253" s="6" t="s">
        <v>190</v>
      </c>
      <c r="G253" s="6" t="e">
        <f>INDEX(#REF!,MATCH(Plano_Detalhado!H253,#REF!,0),1)</f>
        <v>#REF!</v>
      </c>
      <c r="H253" s="6" t="e">
        <f>VLOOKUP(A253,#REF!,2,0)</f>
        <v>#REF!</v>
      </c>
      <c r="I253" s="67" t="e">
        <f>SUMIFS(#REF!,#REF!,Plano_Detalhado!E253,#REF!,Plano_Detalhado!F253)</f>
        <v>#REF!</v>
      </c>
      <c r="J253" s="67" t="e">
        <f t="shared" si="30"/>
        <v>#REF!</v>
      </c>
      <c r="K253" s="67" t="e">
        <f>SUMIFS(#REF!,#REF!,Plano_Detalhado!E253,#REF!,Plano_Detalhado!F253)</f>
        <v>#REF!</v>
      </c>
      <c r="L253" s="67" t="e">
        <f t="shared" si="31"/>
        <v>#REF!</v>
      </c>
      <c r="M253" s="61"/>
      <c r="N253" s="61" t="e">
        <f t="shared" si="32"/>
        <v>#REF!</v>
      </c>
      <c r="O253" s="61" t="e">
        <f t="shared" si="33"/>
        <v>#REF!</v>
      </c>
      <c r="P253" s="22" t="s">
        <v>29</v>
      </c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24"/>
      <c r="BI253" s="14"/>
      <c r="BJ253" s="14"/>
      <c r="BK253" s="14"/>
      <c r="BL253" s="14"/>
      <c r="BN253" s="2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</row>
    <row r="254" spans="1:79" hidden="1" outlineLevel="1" x14ac:dyDescent="0.25">
      <c r="A254" s="3" t="str">
        <f t="shared" si="22"/>
        <v>modesg_param_sfcs_taxon_europeiatipo_combust</v>
      </c>
      <c r="B254" s="8" t="s">
        <v>16</v>
      </c>
      <c r="C254" s="9" t="s">
        <v>171</v>
      </c>
      <c r="D254" s="6" t="s">
        <v>30</v>
      </c>
      <c r="E254" s="7" t="s">
        <v>172</v>
      </c>
      <c r="F254" s="6" t="s">
        <v>191</v>
      </c>
      <c r="G254" s="6" t="e">
        <f>INDEX(#REF!,MATCH(Plano_Detalhado!H254,#REF!,0),1)</f>
        <v>#REF!</v>
      </c>
      <c r="H254" s="6" t="e">
        <f>VLOOKUP(A254,#REF!,2,0)</f>
        <v>#REF!</v>
      </c>
      <c r="I254" s="67" t="e">
        <f>SUMIFS(#REF!,#REF!,Plano_Detalhado!E254,#REF!,Plano_Detalhado!F254)</f>
        <v>#REF!</v>
      </c>
      <c r="J254" s="67" t="e">
        <f t="shared" si="30"/>
        <v>#REF!</v>
      </c>
      <c r="K254" s="67" t="e">
        <f>SUMIFS(#REF!,#REF!,Plano_Detalhado!E254,#REF!,Plano_Detalhado!F254)</f>
        <v>#REF!</v>
      </c>
      <c r="L254" s="67" t="e">
        <f t="shared" si="31"/>
        <v>#REF!</v>
      </c>
      <c r="M254" s="61"/>
      <c r="N254" s="61" t="e">
        <f t="shared" si="32"/>
        <v>#REF!</v>
      </c>
      <c r="O254" s="61" t="e">
        <f t="shared" si="33"/>
        <v>#REF!</v>
      </c>
      <c r="P254" s="22" t="s">
        <v>29</v>
      </c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24"/>
      <c r="BI254" s="14"/>
      <c r="BJ254" s="14"/>
      <c r="BK254" s="14"/>
      <c r="BL254" s="14"/>
      <c r="BN254" s="2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</row>
    <row r="255" spans="1:79" hidden="1" outlineLevel="1" x14ac:dyDescent="0.25">
      <c r="A255" s="3" t="str">
        <f t="shared" si="22"/>
        <v>modesg_param_sfcs_taxon_europeiamontante_pndrc</v>
      </c>
      <c r="B255" s="8" t="s">
        <v>16</v>
      </c>
      <c r="C255" s="9" t="s">
        <v>171</v>
      </c>
      <c r="D255" s="6" t="s">
        <v>30</v>
      </c>
      <c r="E255" s="7" t="s">
        <v>172</v>
      </c>
      <c r="F255" s="6" t="s">
        <v>192</v>
      </c>
      <c r="G255" s="6" t="e">
        <f>INDEX(#REF!,MATCH(Plano_Detalhado!H255,#REF!,0),1)</f>
        <v>#REF!</v>
      </c>
      <c r="H255" s="6" t="e">
        <f>VLOOKUP(A255,#REF!,2,0)</f>
        <v>#REF!</v>
      </c>
      <c r="I255" s="67" t="e">
        <f>SUMIFS(#REF!,#REF!,Plano_Detalhado!E255,#REF!,Plano_Detalhado!F255)</f>
        <v>#REF!</v>
      </c>
      <c r="J255" s="67" t="e">
        <f t="shared" si="30"/>
        <v>#REF!</v>
      </c>
      <c r="K255" s="67" t="e">
        <f>SUMIFS(#REF!,#REF!,Plano_Detalhado!E255,#REF!,Plano_Detalhado!F255)</f>
        <v>#REF!</v>
      </c>
      <c r="L255" s="67" t="e">
        <f t="shared" si="31"/>
        <v>#REF!</v>
      </c>
      <c r="M255" s="61"/>
      <c r="N255" s="61" t="e">
        <f t="shared" si="32"/>
        <v>#REF!</v>
      </c>
      <c r="O255" s="61" t="e">
        <f t="shared" si="33"/>
        <v>#REF!</v>
      </c>
      <c r="P255" s="22" t="s">
        <v>29</v>
      </c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24"/>
      <c r="BI255" s="14"/>
      <c r="BJ255" s="14"/>
      <c r="BK255" s="14"/>
      <c r="BL255" s="14"/>
      <c r="BN255" s="2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</row>
    <row r="256" spans="1:79" hidden="1" outlineLevel="1" x14ac:dyDescent="0.25">
      <c r="A256" s="3" t="str">
        <f t="shared" si="22"/>
        <v>modesg_param_sfcs_taxon_europeianome_ctgr_sfcs</v>
      </c>
      <c r="B256" s="8" t="s">
        <v>16</v>
      </c>
      <c r="C256" s="9" t="s">
        <v>171</v>
      </c>
      <c r="D256" s="6" t="s">
        <v>30</v>
      </c>
      <c r="E256" s="7" t="s">
        <v>172</v>
      </c>
      <c r="F256" s="6" t="s">
        <v>193</v>
      </c>
      <c r="G256" s="6" t="e">
        <f>INDEX(#REF!,MATCH(Plano_Detalhado!H256,#REF!,0),1)</f>
        <v>#REF!</v>
      </c>
      <c r="H256" s="6" t="e">
        <f>VLOOKUP(A256,#REF!,2,0)</f>
        <v>#REF!</v>
      </c>
      <c r="I256" s="67" t="e">
        <f>SUMIFS(#REF!,#REF!,Plano_Detalhado!E256,#REF!,Plano_Detalhado!F256)</f>
        <v>#REF!</v>
      </c>
      <c r="J256" s="67" t="e">
        <f t="shared" si="30"/>
        <v>#REF!</v>
      </c>
      <c r="K256" s="67" t="e">
        <f>SUMIFS(#REF!,#REF!,Plano_Detalhado!E256,#REF!,Plano_Detalhado!F256)</f>
        <v>#REF!</v>
      </c>
      <c r="L256" s="67" t="e">
        <f t="shared" si="31"/>
        <v>#REF!</v>
      </c>
      <c r="M256" s="61"/>
      <c r="N256" s="61" t="e">
        <f t="shared" si="32"/>
        <v>#REF!</v>
      </c>
      <c r="O256" s="61" t="e">
        <f t="shared" si="33"/>
        <v>#REF!</v>
      </c>
      <c r="P256" s="22" t="s">
        <v>29</v>
      </c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24"/>
      <c r="BI256" s="14"/>
      <c r="BJ256" s="14"/>
      <c r="BK256" s="14"/>
      <c r="BL256" s="14"/>
      <c r="BN256" s="2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</row>
    <row r="257" spans="1:79" hidden="1" outlineLevel="1" x14ac:dyDescent="0.25">
      <c r="A257" s="3" t="str">
        <f t="shared" ref="A257:A323" si="34">E257&amp;F257</f>
        <v>modesg_param_sfcs_taxon_europeianome_general_specific_purpose</v>
      </c>
      <c r="B257" s="8" t="s">
        <v>16</v>
      </c>
      <c r="C257" s="9" t="s">
        <v>171</v>
      </c>
      <c r="D257" s="6" t="s">
        <v>30</v>
      </c>
      <c r="E257" s="7" t="s">
        <v>172</v>
      </c>
      <c r="F257" s="6" t="s">
        <v>194</v>
      </c>
      <c r="G257" s="6" t="e">
        <f>INDEX(#REF!,MATCH(Plano_Detalhado!H257,#REF!,0),1)</f>
        <v>#REF!</v>
      </c>
      <c r="H257" s="6" t="e">
        <f>VLOOKUP(A257,#REF!,2,0)</f>
        <v>#REF!</v>
      </c>
      <c r="I257" s="67" t="e">
        <f>SUMIFS(#REF!,#REF!,Plano_Detalhado!E257,#REF!,Plano_Detalhado!F257)</f>
        <v>#REF!</v>
      </c>
      <c r="J257" s="67" t="e">
        <f t="shared" si="30"/>
        <v>#REF!</v>
      </c>
      <c r="K257" s="67" t="e">
        <f>SUMIFS(#REF!,#REF!,Plano_Detalhado!E257,#REF!,Plano_Detalhado!F257)</f>
        <v>#REF!</v>
      </c>
      <c r="L257" s="67" t="e">
        <f t="shared" si="31"/>
        <v>#REF!</v>
      </c>
      <c r="M257" s="61"/>
      <c r="N257" s="61" t="e">
        <f t="shared" si="32"/>
        <v>#REF!</v>
      </c>
      <c r="O257" s="61" t="e">
        <f t="shared" si="33"/>
        <v>#REF!</v>
      </c>
      <c r="P257" s="22" t="s">
        <v>29</v>
      </c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24"/>
      <c r="BI257" s="14"/>
      <c r="BJ257" s="14"/>
      <c r="BK257" s="14"/>
      <c r="BL257" s="14"/>
      <c r="BN257" s="2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</row>
    <row r="258" spans="1:79" hidden="1" outlineLevel="1" x14ac:dyDescent="0.25">
      <c r="A258" s="3" t="str">
        <f t="shared" si="34"/>
        <v>modesg_param_sfcs_taxon_europeianome_purpose_esg</v>
      </c>
      <c r="B258" s="8" t="s">
        <v>16</v>
      </c>
      <c r="C258" s="9" t="s">
        <v>171</v>
      </c>
      <c r="D258" s="6" t="s">
        <v>30</v>
      </c>
      <c r="E258" s="7" t="s">
        <v>172</v>
      </c>
      <c r="F258" s="6" t="s">
        <v>195</v>
      </c>
      <c r="G258" s="6" t="e">
        <f>INDEX(#REF!,MATCH(Plano_Detalhado!H258,#REF!,0),1)</f>
        <v>#REF!</v>
      </c>
      <c r="H258" s="6" t="e">
        <f>VLOOKUP(A258,#REF!,2,0)</f>
        <v>#REF!</v>
      </c>
      <c r="I258" s="67" t="e">
        <f>SUMIFS(#REF!,#REF!,Plano_Detalhado!E258,#REF!,Plano_Detalhado!F258)</f>
        <v>#REF!</v>
      </c>
      <c r="J258" s="67" t="e">
        <f t="shared" si="30"/>
        <v>#REF!</v>
      </c>
      <c r="K258" s="67" t="e">
        <f>SUMIFS(#REF!,#REF!,Plano_Detalhado!E258,#REF!,Plano_Detalhado!F258)</f>
        <v>#REF!</v>
      </c>
      <c r="L258" s="67" t="e">
        <f t="shared" si="31"/>
        <v>#REF!</v>
      </c>
      <c r="M258" s="61"/>
      <c r="N258" s="61" t="e">
        <f t="shared" si="32"/>
        <v>#REF!</v>
      </c>
      <c r="O258" s="61" t="e">
        <f t="shared" si="33"/>
        <v>#REF!</v>
      </c>
      <c r="P258" s="22" t="s">
        <v>29</v>
      </c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24"/>
      <c r="BI258" s="14"/>
      <c r="BJ258" s="14"/>
      <c r="BK258" s="14"/>
      <c r="BL258" s="14"/>
      <c r="BN258" s="2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</row>
    <row r="259" spans="1:79" hidden="1" outlineLevel="1" x14ac:dyDescent="0.25">
      <c r="A259" s="3" t="str">
        <f t="shared" si="34"/>
        <v>modesg_param_sfcs_taxon_europeianome_specific_eligible</v>
      </c>
      <c r="B259" s="8" t="s">
        <v>16</v>
      </c>
      <c r="C259" s="9" t="s">
        <v>171</v>
      </c>
      <c r="D259" s="6" t="s">
        <v>30</v>
      </c>
      <c r="E259" s="7" t="s">
        <v>172</v>
      </c>
      <c r="F259" s="6" t="s">
        <v>196</v>
      </c>
      <c r="G259" s="6" t="e">
        <f>INDEX(#REF!,MATCH(Plano_Detalhado!H259,#REF!,0),1)</f>
        <v>#REF!</v>
      </c>
      <c r="H259" s="6" t="e">
        <f>VLOOKUP(A259,#REF!,2,0)</f>
        <v>#REF!</v>
      </c>
      <c r="I259" s="67" t="e">
        <f>SUMIFS(#REF!,#REF!,Plano_Detalhado!E259,#REF!,Plano_Detalhado!F259)</f>
        <v>#REF!</v>
      </c>
      <c r="J259" s="67" t="e">
        <f t="shared" si="30"/>
        <v>#REF!</v>
      </c>
      <c r="K259" s="67" t="e">
        <f>SUMIFS(#REF!,#REF!,Plano_Detalhado!E259,#REF!,Plano_Detalhado!F259)</f>
        <v>#REF!</v>
      </c>
      <c r="L259" s="67" t="e">
        <f t="shared" si="31"/>
        <v>#REF!</v>
      </c>
      <c r="M259" s="61"/>
      <c r="N259" s="61" t="e">
        <f t="shared" si="32"/>
        <v>#REF!</v>
      </c>
      <c r="O259" s="61" t="e">
        <f t="shared" si="33"/>
        <v>#REF!</v>
      </c>
      <c r="P259" s="22" t="s">
        <v>29</v>
      </c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24"/>
      <c r="BI259" s="14"/>
      <c r="BJ259" s="14"/>
      <c r="BK259" s="14"/>
      <c r="BL259" s="14"/>
      <c r="BN259" s="2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</row>
    <row r="260" spans="1:79" hidden="1" outlineLevel="1" x14ac:dyDescent="0.25">
      <c r="A260" s="3" t="str">
        <f t="shared" si="34"/>
        <v>modesg_param_sfcs_taxon_europeianome_specific_sustainable</v>
      </c>
      <c r="B260" s="8" t="s">
        <v>16</v>
      </c>
      <c r="C260" s="9" t="s">
        <v>171</v>
      </c>
      <c r="D260" s="6" t="s">
        <v>30</v>
      </c>
      <c r="E260" s="7" t="s">
        <v>172</v>
      </c>
      <c r="F260" s="6" t="s">
        <v>197</v>
      </c>
      <c r="G260" s="6" t="e">
        <f>INDEX(#REF!,MATCH(Plano_Detalhado!H260,#REF!,0),1)</f>
        <v>#REF!</v>
      </c>
      <c r="H260" s="6" t="e">
        <f>VLOOKUP(A260,#REF!,2,0)</f>
        <v>#REF!</v>
      </c>
      <c r="I260" s="67" t="e">
        <f>SUMIFS(#REF!,#REF!,Plano_Detalhado!E260,#REF!,Plano_Detalhado!F260)</f>
        <v>#REF!</v>
      </c>
      <c r="J260" s="67" t="e">
        <f t="shared" si="30"/>
        <v>#REF!</v>
      </c>
      <c r="K260" s="67" t="e">
        <f>SUMIFS(#REF!,#REF!,Plano_Detalhado!E260,#REF!,Plano_Detalhado!F260)</f>
        <v>#REF!</v>
      </c>
      <c r="L260" s="67" t="e">
        <f t="shared" si="31"/>
        <v>#REF!</v>
      </c>
      <c r="M260" s="61"/>
      <c r="N260" s="61" t="e">
        <f t="shared" si="32"/>
        <v>#REF!</v>
      </c>
      <c r="O260" s="61" t="e">
        <f t="shared" si="33"/>
        <v>#REF!</v>
      </c>
      <c r="P260" s="22" t="s">
        <v>29</v>
      </c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24"/>
      <c r="BI260" s="14"/>
      <c r="BJ260" s="14"/>
      <c r="BK260" s="14"/>
      <c r="BL260" s="14"/>
      <c r="BN260" s="2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</row>
    <row r="261" spans="1:79" hidden="1" outlineLevel="1" x14ac:dyDescent="0.25">
      <c r="A261" s="3" t="str">
        <f t="shared" si="34"/>
        <v>modesg_param_sfcs_taxon_europeiaref_date</v>
      </c>
      <c r="B261" s="8" t="s">
        <v>16</v>
      </c>
      <c r="C261" s="9" t="s">
        <v>171</v>
      </c>
      <c r="D261" s="6" t="s">
        <v>30</v>
      </c>
      <c r="E261" s="7" t="s">
        <v>172</v>
      </c>
      <c r="F261" s="6" t="s">
        <v>198</v>
      </c>
      <c r="G261" s="6" t="e">
        <f>INDEX(#REF!,MATCH(Plano_Detalhado!H261,#REF!,0),1)</f>
        <v>#REF!</v>
      </c>
      <c r="H261" s="6" t="e">
        <f>VLOOKUP(A261,#REF!,2,0)</f>
        <v>#REF!</v>
      </c>
      <c r="I261" s="67" t="e">
        <f>SUMIFS(#REF!,#REF!,Plano_Detalhado!E261,#REF!,Plano_Detalhado!F261)</f>
        <v>#REF!</v>
      </c>
      <c r="J261" s="67" t="e">
        <f t="shared" si="30"/>
        <v>#REF!</v>
      </c>
      <c r="K261" s="67" t="e">
        <f>SUMIFS(#REF!,#REF!,Plano_Detalhado!E261,#REF!,Plano_Detalhado!F261)</f>
        <v>#REF!</v>
      </c>
      <c r="L261" s="67" t="e">
        <f t="shared" si="31"/>
        <v>#REF!</v>
      </c>
      <c r="M261" s="61"/>
      <c r="N261" s="61" t="e">
        <f t="shared" si="32"/>
        <v>#REF!</v>
      </c>
      <c r="O261" s="61" t="e">
        <f t="shared" si="33"/>
        <v>#REF!</v>
      </c>
      <c r="P261" s="22" t="s">
        <v>29</v>
      </c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24"/>
      <c r="BI261" s="14"/>
      <c r="BJ261" s="14"/>
      <c r="BK261" s="14"/>
      <c r="BL261" s="14"/>
      <c r="BN261" s="2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</row>
    <row r="262" spans="1:79" hidden="1" outlineLevel="1" x14ac:dyDescent="0.25">
      <c r="A262" s="3" t="str">
        <f t="shared" si="34"/>
        <v>modesg_param_sfcs_taxon_europeiazcliente</v>
      </c>
      <c r="B262" s="8" t="s">
        <v>16</v>
      </c>
      <c r="C262" s="9" t="s">
        <v>171</v>
      </c>
      <c r="D262" s="6" t="s">
        <v>30</v>
      </c>
      <c r="E262" s="7" t="s">
        <v>172</v>
      </c>
      <c r="F262" s="6" t="s">
        <v>199</v>
      </c>
      <c r="G262" s="6" t="e">
        <f>INDEX(#REF!,MATCH(Plano_Detalhado!H262,#REF!,0),1)</f>
        <v>#REF!</v>
      </c>
      <c r="H262" s="6" t="e">
        <f>VLOOKUP(A262,#REF!,2,0)</f>
        <v>#REF!</v>
      </c>
      <c r="I262" s="67" t="e">
        <f>SUMIFS(#REF!,#REF!,Plano_Detalhado!E262,#REF!,Plano_Detalhado!F262)</f>
        <v>#REF!</v>
      </c>
      <c r="J262" s="67" t="e">
        <f t="shared" si="30"/>
        <v>#REF!</v>
      </c>
      <c r="K262" s="67" t="e">
        <f>SUMIFS(#REF!,#REF!,Plano_Detalhado!E262,#REF!,Plano_Detalhado!F262)</f>
        <v>#REF!</v>
      </c>
      <c r="L262" s="67" t="e">
        <f t="shared" si="31"/>
        <v>#REF!</v>
      </c>
      <c r="M262" s="61"/>
      <c r="N262" s="61" t="e">
        <f t="shared" si="32"/>
        <v>#REF!</v>
      </c>
      <c r="O262" s="61" t="e">
        <f t="shared" si="33"/>
        <v>#REF!</v>
      </c>
      <c r="P262" s="22" t="s">
        <v>29</v>
      </c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24"/>
      <c r="BI262" s="14"/>
      <c r="BJ262" s="14"/>
      <c r="BK262" s="14"/>
      <c r="BL262" s="14"/>
      <c r="BN262" s="2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</row>
    <row r="263" spans="1:79" hidden="1" outlineLevel="1" x14ac:dyDescent="0.25">
      <c r="A263" s="3" t="str">
        <f t="shared" si="34"/>
        <v>modesg_param_sfcs_taxon_europeiazdeposit</v>
      </c>
      <c r="B263" s="8" t="s">
        <v>16</v>
      </c>
      <c r="C263" s="9" t="s">
        <v>171</v>
      </c>
      <c r="D263" s="6" t="s">
        <v>30</v>
      </c>
      <c r="E263" s="7" t="s">
        <v>172</v>
      </c>
      <c r="F263" s="6" t="s">
        <v>200</v>
      </c>
      <c r="G263" s="6" t="e">
        <f>INDEX(#REF!,MATCH(Plano_Detalhado!H263,#REF!,0),1)</f>
        <v>#REF!</v>
      </c>
      <c r="H263" s="6" t="e">
        <f>VLOOKUP(A263,#REF!,2,0)</f>
        <v>#REF!</v>
      </c>
      <c r="I263" s="67" t="e">
        <f>SUMIFS(#REF!,#REF!,Plano_Detalhado!E263,#REF!,Plano_Detalhado!F263)</f>
        <v>#REF!</v>
      </c>
      <c r="J263" s="67" t="e">
        <f t="shared" si="30"/>
        <v>#REF!</v>
      </c>
      <c r="K263" s="67" t="e">
        <f>SUMIFS(#REF!,#REF!,Plano_Detalhado!E263,#REF!,Plano_Detalhado!F263)</f>
        <v>#REF!</v>
      </c>
      <c r="L263" s="67" t="e">
        <f t="shared" si="31"/>
        <v>#REF!</v>
      </c>
      <c r="M263" s="61"/>
      <c r="N263" s="61" t="e">
        <f t="shared" si="32"/>
        <v>#REF!</v>
      </c>
      <c r="O263" s="61" t="e">
        <f t="shared" si="33"/>
        <v>#REF!</v>
      </c>
      <c r="P263" s="22" t="s">
        <v>29</v>
      </c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24"/>
      <c r="BI263" s="14"/>
      <c r="BJ263" s="14"/>
      <c r="BK263" s="14"/>
      <c r="BL263" s="14"/>
      <c r="BN263" s="2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</row>
    <row r="264" spans="1:79" hidden="1" outlineLevel="1" x14ac:dyDescent="0.25">
      <c r="A264" s="3" t="str">
        <f t="shared" ref="A264:A265" si="35">E264&amp;F264</f>
        <v>modesg_param_sfcs_taxon_europeiaordem</v>
      </c>
      <c r="B264" s="8" t="s">
        <v>16</v>
      </c>
      <c r="C264" s="9" t="s">
        <v>171</v>
      </c>
      <c r="D264" s="6" t="s">
        <v>30</v>
      </c>
      <c r="E264" s="7" t="s">
        <v>172</v>
      </c>
      <c r="F264" s="6" t="s">
        <v>201</v>
      </c>
      <c r="G264" s="6" t="e">
        <f>INDEX(#REF!,MATCH(Plano_Detalhado!H264,#REF!,0),1)</f>
        <v>#REF!</v>
      </c>
      <c r="H264" s="6" t="e">
        <f>VLOOKUP(A264,#REF!,2,0)</f>
        <v>#REF!</v>
      </c>
      <c r="I264" s="67" t="e">
        <f>SUMIFS(#REF!,#REF!,Plano_Detalhado!E264,#REF!,Plano_Detalhado!F264)</f>
        <v>#REF!</v>
      </c>
      <c r="J264" s="67" t="e">
        <f t="shared" ref="J264:J265" si="36">I264/8</f>
        <v>#REF!</v>
      </c>
      <c r="K264" s="67" t="e">
        <f>SUMIFS(#REF!,#REF!,Plano_Detalhado!E264,#REF!,Plano_Detalhado!F264)</f>
        <v>#REF!</v>
      </c>
      <c r="L264" s="67" t="e">
        <f t="shared" ref="L264:L265" si="37">K264/8</f>
        <v>#REF!</v>
      </c>
      <c r="M264" s="61"/>
      <c r="N264" s="61" t="e">
        <f t="shared" ref="N264:N265" si="38">L264/J264</f>
        <v>#REF!</v>
      </c>
      <c r="O264" s="61" t="e">
        <f t="shared" si="33"/>
        <v>#REF!</v>
      </c>
      <c r="P264" s="22" t="s">
        <v>29</v>
      </c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24"/>
      <c r="BI264" s="14"/>
      <c r="BJ264" s="14"/>
      <c r="BK264" s="14"/>
      <c r="BL264" s="14"/>
      <c r="BN264" s="2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</row>
    <row r="265" spans="1:79" hidden="1" outlineLevel="1" x14ac:dyDescent="0.25">
      <c r="A265" s="3" t="str">
        <f t="shared" si="35"/>
        <v>modesg_param_sfcs_taxon_europeianivel_mrc</v>
      </c>
      <c r="B265" s="8" t="s">
        <v>16</v>
      </c>
      <c r="C265" s="9" t="s">
        <v>171</v>
      </c>
      <c r="D265" s="6" t="s">
        <v>30</v>
      </c>
      <c r="E265" s="7" t="s">
        <v>172</v>
      </c>
      <c r="F265" s="6" t="s">
        <v>202</v>
      </c>
      <c r="G265" s="6" t="e">
        <f>INDEX(#REF!,MATCH(Plano_Detalhado!H265,#REF!,0),1)</f>
        <v>#REF!</v>
      </c>
      <c r="H265" s="6" t="e">
        <f>VLOOKUP(A265,#REF!,2,0)</f>
        <v>#REF!</v>
      </c>
      <c r="I265" s="67" t="e">
        <f>SUMIFS(#REF!,#REF!,Plano_Detalhado!E265,#REF!,Plano_Detalhado!F265)</f>
        <v>#REF!</v>
      </c>
      <c r="J265" s="67" t="e">
        <f t="shared" si="36"/>
        <v>#REF!</v>
      </c>
      <c r="K265" s="67" t="e">
        <f>SUMIFS(#REF!,#REF!,Plano_Detalhado!E265,#REF!,Plano_Detalhado!F265)</f>
        <v>#REF!</v>
      </c>
      <c r="L265" s="67" t="e">
        <f t="shared" si="37"/>
        <v>#REF!</v>
      </c>
      <c r="M265" s="61"/>
      <c r="N265" s="61" t="e">
        <f t="shared" si="38"/>
        <v>#REF!</v>
      </c>
      <c r="O265" s="61" t="e">
        <f t="shared" si="33"/>
        <v>#REF!</v>
      </c>
      <c r="P265" s="22" t="s">
        <v>29</v>
      </c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24"/>
      <c r="BI265" s="14"/>
      <c r="BJ265" s="14"/>
      <c r="BK265" s="14"/>
      <c r="BL265" s="14"/>
      <c r="BN265" s="2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</row>
    <row r="266" spans="1:79" hidden="1" outlineLevel="1" x14ac:dyDescent="0.25">
      <c r="A266" s="3" t="str">
        <f t="shared" si="34"/>
        <v>modesg_inp_emss_vclsn.a.</v>
      </c>
      <c r="B266" s="8" t="s">
        <v>16</v>
      </c>
      <c r="C266" s="9" t="s">
        <v>171</v>
      </c>
      <c r="D266" s="6" t="s">
        <v>26</v>
      </c>
      <c r="E266" s="7" t="s">
        <v>203</v>
      </c>
      <c r="F266" s="6" t="s">
        <v>28</v>
      </c>
      <c r="G266" s="6" t="e">
        <f>INDEX(#REF!,MATCH(Plano_Detalhado!H266,#REF!,0),1)</f>
        <v>#REF!</v>
      </c>
      <c r="H266" s="6" t="e">
        <f>VLOOKUP(A266,#REF!,2,0)</f>
        <v>#REF!</v>
      </c>
      <c r="I266" s="67" t="e">
        <f>SUMIFS(#REF!,#REF!,Plano_Detalhado!E266,#REF!,Plano_Detalhado!F266)</f>
        <v>#REF!</v>
      </c>
      <c r="J266" s="67" t="e">
        <f t="shared" si="30"/>
        <v>#REF!</v>
      </c>
      <c r="K266" s="67" t="e">
        <f>SUMIFS(#REF!,#REF!,Plano_Detalhado!E266,#REF!,Plano_Detalhado!F266)</f>
        <v>#REF!</v>
      </c>
      <c r="L266" s="67" t="e">
        <f t="shared" si="31"/>
        <v>#REF!</v>
      </c>
      <c r="M266" s="61"/>
      <c r="N266" s="61" t="e">
        <f t="shared" si="32"/>
        <v>#REF!</v>
      </c>
      <c r="O266" s="61" t="e">
        <f t="shared" si="33"/>
        <v>#REF!</v>
      </c>
      <c r="P266" s="22" t="s">
        <v>29</v>
      </c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24"/>
      <c r="BI266" s="14"/>
      <c r="BJ266" s="14"/>
      <c r="BK266" s="14"/>
      <c r="BL266" s="14"/>
      <c r="BN266" s="2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</row>
    <row r="267" spans="1:79" hidden="1" outlineLevel="1" x14ac:dyDescent="0.25">
      <c r="A267" s="3" t="str">
        <f t="shared" si="34"/>
        <v>modesg_inp_km_medios_emss_vclsn.a.</v>
      </c>
      <c r="B267" s="8" t="s">
        <v>16</v>
      </c>
      <c r="C267" s="9" t="s">
        <v>171</v>
      </c>
      <c r="D267" s="6" t="s">
        <v>26</v>
      </c>
      <c r="E267" s="7" t="s">
        <v>204</v>
      </c>
      <c r="F267" s="6" t="s">
        <v>28</v>
      </c>
      <c r="G267" s="6" t="e">
        <f>INDEX(#REF!,MATCH(Plano_Detalhado!H267,#REF!,0),1)</f>
        <v>#REF!</v>
      </c>
      <c r="H267" s="6" t="e">
        <f>VLOOKUP(A267,#REF!,2,0)</f>
        <v>#REF!</v>
      </c>
      <c r="I267" s="67" t="e">
        <f>SUMIFS(#REF!,#REF!,Plano_Detalhado!E267,#REF!,Plano_Detalhado!F267)</f>
        <v>#REF!</v>
      </c>
      <c r="J267" s="67" t="e">
        <f t="shared" si="30"/>
        <v>#REF!</v>
      </c>
      <c r="K267" s="67" t="e">
        <f>SUMIFS(#REF!,#REF!,Plano_Detalhado!E267,#REF!,Plano_Detalhado!F267)</f>
        <v>#REF!</v>
      </c>
      <c r="L267" s="67" t="e">
        <f t="shared" si="31"/>
        <v>#REF!</v>
      </c>
      <c r="M267" s="61"/>
      <c r="N267" s="61" t="e">
        <f t="shared" si="32"/>
        <v>#REF!</v>
      </c>
      <c r="O267" s="61" t="e">
        <f t="shared" si="33"/>
        <v>#REF!</v>
      </c>
      <c r="P267" s="22" t="s">
        <v>29</v>
      </c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24"/>
      <c r="BI267" s="14"/>
      <c r="BJ267" s="14"/>
      <c r="BK267" s="14"/>
      <c r="BL267" s="14"/>
      <c r="BN267" s="2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</row>
    <row r="268" spans="1:79" hidden="1" outlineLevel="1" x14ac:dyDescent="0.25">
      <c r="A268" s="3" t="str">
        <f t="shared" si="34"/>
        <v>modesg_inp_empr_excl_parisn.a.</v>
      </c>
      <c r="B268" s="8" t="s">
        <v>16</v>
      </c>
      <c r="C268" s="9" t="s">
        <v>171</v>
      </c>
      <c r="D268" s="6" t="s">
        <v>26</v>
      </c>
      <c r="E268" s="7" t="s">
        <v>205</v>
      </c>
      <c r="F268" s="6" t="s">
        <v>28</v>
      </c>
      <c r="G268" s="6" t="e">
        <f>INDEX(#REF!,MATCH(Plano_Detalhado!H268,#REF!,0),1)</f>
        <v>#REF!</v>
      </c>
      <c r="H268" s="6" t="e">
        <f>VLOOKUP(A268,#REF!,2,0)</f>
        <v>#REF!</v>
      </c>
      <c r="I268" s="67" t="e">
        <f>SUMIFS(#REF!,#REF!,Plano_Detalhado!E268,#REF!,Plano_Detalhado!F268)</f>
        <v>#REF!</v>
      </c>
      <c r="J268" s="67" t="e">
        <f t="shared" si="30"/>
        <v>#REF!</v>
      </c>
      <c r="K268" s="67" t="e">
        <f>SUMIFS(#REF!,#REF!,Plano_Detalhado!E268,#REF!,Plano_Detalhado!F268)</f>
        <v>#REF!</v>
      </c>
      <c r="L268" s="67" t="e">
        <f t="shared" si="31"/>
        <v>#REF!</v>
      </c>
      <c r="M268" s="61"/>
      <c r="N268" s="61" t="e">
        <f t="shared" si="32"/>
        <v>#REF!</v>
      </c>
      <c r="O268" s="61" t="e">
        <f t="shared" si="33"/>
        <v>#REF!</v>
      </c>
      <c r="P268" s="22" t="s">
        <v>29</v>
      </c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24"/>
      <c r="BI268" s="14"/>
      <c r="BJ268" s="14"/>
      <c r="BK268" s="14"/>
      <c r="BL268" s="14"/>
      <c r="BN268" s="2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</row>
    <row r="269" spans="1:79" hidden="1" outlineLevel="1" x14ac:dyDescent="0.25">
      <c r="A269" s="3" t="str">
        <f t="shared" si="34"/>
        <v>modesg_inp_nfrd_alinhamento_taxn.a.</v>
      </c>
      <c r="B269" s="8" t="s">
        <v>16</v>
      </c>
      <c r="C269" s="9" t="s">
        <v>171</v>
      </c>
      <c r="D269" s="6" t="s">
        <v>26</v>
      </c>
      <c r="E269" s="7" t="s">
        <v>206</v>
      </c>
      <c r="F269" s="6" t="s">
        <v>28</v>
      </c>
      <c r="G269" s="6" t="e">
        <f>INDEX(#REF!,MATCH(Plano_Detalhado!H269,#REF!,0),1)</f>
        <v>#REF!</v>
      </c>
      <c r="H269" s="6" t="e">
        <f>VLOOKUP(A269,#REF!,2,0)</f>
        <v>#REF!</v>
      </c>
      <c r="I269" s="67" t="e">
        <f>SUMIFS(#REF!,#REF!,Plano_Detalhado!E269,#REF!,Plano_Detalhado!F269)</f>
        <v>#REF!</v>
      </c>
      <c r="J269" s="67" t="e">
        <f t="shared" si="30"/>
        <v>#REF!</v>
      </c>
      <c r="K269" s="67" t="e">
        <f>SUMIFS(#REF!,#REF!,Plano_Detalhado!E269,#REF!,Plano_Detalhado!F269)</f>
        <v>#REF!</v>
      </c>
      <c r="L269" s="67" t="e">
        <f t="shared" si="31"/>
        <v>#REF!</v>
      </c>
      <c r="M269" s="61"/>
      <c r="N269" s="61" t="e">
        <f t="shared" si="32"/>
        <v>#REF!</v>
      </c>
      <c r="O269" s="61" t="e">
        <f t="shared" si="33"/>
        <v>#REF!</v>
      </c>
      <c r="P269" s="22" t="s">
        <v>29</v>
      </c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24"/>
      <c r="BI269" s="14"/>
      <c r="BJ269" s="14"/>
      <c r="BK269" s="14"/>
      <c r="BL269" s="14"/>
      <c r="BN269" s="2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</row>
    <row r="270" spans="1:79" hidden="1" outlineLevel="1" x14ac:dyDescent="0.25">
      <c r="A270" s="3" t="str">
        <f t="shared" si="34"/>
        <v>modesg_inp_risco_fisicon.a.</v>
      </c>
      <c r="B270" s="8" t="s">
        <v>16</v>
      </c>
      <c r="C270" s="9" t="s">
        <v>171</v>
      </c>
      <c r="D270" s="6" t="s">
        <v>26</v>
      </c>
      <c r="E270" s="7" t="s">
        <v>207</v>
      </c>
      <c r="F270" s="6" t="s">
        <v>28</v>
      </c>
      <c r="G270" s="6" t="e">
        <f>INDEX(#REF!,MATCH(Plano_Detalhado!H270,#REF!,0),1)</f>
        <v>#REF!</v>
      </c>
      <c r="H270" s="6" t="e">
        <f>VLOOKUP(A270,#REF!,2,0)</f>
        <v>#REF!</v>
      </c>
      <c r="I270" s="67" t="e">
        <f>SUMIFS(#REF!,#REF!,Plano_Detalhado!E270,#REF!,Plano_Detalhado!F270)</f>
        <v>#REF!</v>
      </c>
      <c r="J270" s="67" t="e">
        <f t="shared" si="30"/>
        <v>#REF!</v>
      </c>
      <c r="K270" s="67" t="e">
        <f>SUMIFS(#REF!,#REF!,Plano_Detalhado!E270,#REF!,Plano_Detalhado!F270)</f>
        <v>#REF!</v>
      </c>
      <c r="L270" s="67" t="e">
        <f t="shared" si="31"/>
        <v>#REF!</v>
      </c>
      <c r="M270" s="61"/>
      <c r="N270" s="61" t="e">
        <f t="shared" si="32"/>
        <v>#REF!</v>
      </c>
      <c r="O270" s="61" t="e">
        <f t="shared" si="33"/>
        <v>#REF!</v>
      </c>
      <c r="P270" s="22" t="s">
        <v>29</v>
      </c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24"/>
      <c r="BI270" s="14"/>
      <c r="BJ270" s="14"/>
      <c r="BK270" s="14"/>
      <c r="BL270" s="14"/>
      <c r="BN270" s="2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</row>
    <row r="271" spans="1:79" hidden="1" outlineLevel="1" x14ac:dyDescent="0.25">
      <c r="A271" s="3" t="str">
        <f t="shared" si="34"/>
        <v>modesg_inp_emss_scibn.a.</v>
      </c>
      <c r="B271" s="8" t="s">
        <v>16</v>
      </c>
      <c r="C271" s="9" t="s">
        <v>171</v>
      </c>
      <c r="D271" s="6" t="s">
        <v>26</v>
      </c>
      <c r="E271" s="7" t="s">
        <v>208</v>
      </c>
      <c r="F271" s="6" t="s">
        <v>28</v>
      </c>
      <c r="G271" s="6" t="e">
        <f>INDEX(#REF!,MATCH(Plano_Detalhado!H271,#REF!,0),1)</f>
        <v>#REF!</v>
      </c>
      <c r="H271" s="6" t="e">
        <f>VLOOKUP(A271,#REF!,2,0)</f>
        <v>#REF!</v>
      </c>
      <c r="I271" s="67" t="e">
        <f>SUMIFS(#REF!,#REF!,Plano_Detalhado!E271,#REF!,Plano_Detalhado!F271)</f>
        <v>#REF!</v>
      </c>
      <c r="J271" s="67" t="e">
        <f t="shared" si="30"/>
        <v>#REF!</v>
      </c>
      <c r="K271" s="67" t="e">
        <f>SUMIFS(#REF!,#REF!,Plano_Detalhado!E271,#REF!,Plano_Detalhado!F271)</f>
        <v>#REF!</v>
      </c>
      <c r="L271" s="67" t="e">
        <f t="shared" si="31"/>
        <v>#REF!</v>
      </c>
      <c r="M271" s="61"/>
      <c r="N271" s="61" t="e">
        <f t="shared" si="32"/>
        <v>#REF!</v>
      </c>
      <c r="O271" s="61" t="e">
        <f t="shared" si="33"/>
        <v>#REF!</v>
      </c>
      <c r="P271" s="22" t="s">
        <v>29</v>
      </c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24"/>
      <c r="BI271" s="14"/>
      <c r="BJ271" s="14"/>
      <c r="BK271" s="14"/>
      <c r="BL271" s="14"/>
      <c r="BN271" s="2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</row>
    <row r="272" spans="1:79" hidden="1" outlineLevel="1" x14ac:dyDescent="0.25">
      <c r="A272" s="3" t="str">
        <f t="shared" si="34"/>
        <v>modesg_inp_emss_nacen.a.</v>
      </c>
      <c r="B272" s="8" t="s">
        <v>16</v>
      </c>
      <c r="C272" s="9" t="s">
        <v>171</v>
      </c>
      <c r="D272" s="6" t="s">
        <v>26</v>
      </c>
      <c r="E272" s="7" t="s">
        <v>209</v>
      </c>
      <c r="F272" s="6" t="s">
        <v>28</v>
      </c>
      <c r="G272" s="6" t="e">
        <f>INDEX(#REF!,MATCH(Plano_Detalhado!H272,#REF!,0),1)</f>
        <v>#REF!</v>
      </c>
      <c r="H272" s="6" t="e">
        <f>VLOOKUP(A272,#REF!,2,0)</f>
        <v>#REF!</v>
      </c>
      <c r="I272" s="67" t="e">
        <f>SUMIFS(#REF!,#REF!,Plano_Detalhado!E272,#REF!,Plano_Detalhado!F272)</f>
        <v>#REF!</v>
      </c>
      <c r="J272" s="67" t="e">
        <f t="shared" si="30"/>
        <v>#REF!</v>
      </c>
      <c r="K272" s="67" t="e">
        <f>SUMIFS(#REF!,#REF!,Plano_Detalhado!E272,#REF!,Plano_Detalhado!F272)</f>
        <v>#REF!</v>
      </c>
      <c r="L272" s="67" t="e">
        <f t="shared" si="31"/>
        <v>#REF!</v>
      </c>
      <c r="M272" s="61"/>
      <c r="N272" s="61" t="e">
        <f t="shared" si="32"/>
        <v>#REF!</v>
      </c>
      <c r="O272" s="61" t="e">
        <f t="shared" si="33"/>
        <v>#REF!</v>
      </c>
      <c r="P272" s="22" t="s">
        <v>29</v>
      </c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24"/>
      <c r="BI272" s="14"/>
      <c r="BJ272" s="14"/>
      <c r="BK272" s="14"/>
      <c r="BL272" s="14"/>
      <c r="BN272" s="2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</row>
    <row r="273" spans="1:79" hidden="1" outlineLevel="1" x14ac:dyDescent="0.25">
      <c r="A273" s="3" t="str">
        <f t="shared" si="34"/>
        <v>modesg_inp_emss_bens_imoveisn.a.</v>
      </c>
      <c r="B273" s="8" t="s">
        <v>16</v>
      </c>
      <c r="C273" s="9" t="s">
        <v>171</v>
      </c>
      <c r="D273" s="6" t="s">
        <v>26</v>
      </c>
      <c r="E273" s="7" t="s">
        <v>210</v>
      </c>
      <c r="F273" s="6" t="s">
        <v>28</v>
      </c>
      <c r="G273" s="6" t="e">
        <f>INDEX(#REF!,MATCH(Plano_Detalhado!H273,#REF!,0),1)</f>
        <v>#REF!</v>
      </c>
      <c r="H273" s="6" t="e">
        <f>VLOOKUP(A273,#REF!,2,0)</f>
        <v>#REF!</v>
      </c>
      <c r="I273" s="67" t="e">
        <f>SUMIFS(#REF!,#REF!,Plano_Detalhado!E273,#REF!,Plano_Detalhado!F273)</f>
        <v>#REF!</v>
      </c>
      <c r="J273" s="67" t="e">
        <f t="shared" si="30"/>
        <v>#REF!</v>
      </c>
      <c r="K273" s="67" t="e">
        <f>SUMIFS(#REF!,#REF!,Plano_Detalhado!E273,#REF!,Plano_Detalhado!F273)</f>
        <v>#REF!</v>
      </c>
      <c r="L273" s="67" t="e">
        <f t="shared" si="31"/>
        <v>#REF!</v>
      </c>
      <c r="M273" s="61"/>
      <c r="N273" s="61" t="e">
        <f t="shared" si="32"/>
        <v>#REF!</v>
      </c>
      <c r="O273" s="61" t="e">
        <f t="shared" si="33"/>
        <v>#REF!</v>
      </c>
      <c r="P273" s="22" t="s">
        <v>29</v>
      </c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24"/>
      <c r="BI273" s="14"/>
      <c r="BJ273" s="14"/>
      <c r="BK273" s="14"/>
      <c r="BL273" s="14"/>
      <c r="BN273" s="2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</row>
    <row r="274" spans="1:79" hidden="1" outlineLevel="1" x14ac:dyDescent="0.25">
      <c r="A274" s="3" t="str">
        <f t="shared" si="34"/>
        <v>modesg_inp_emss_vclsref_date</v>
      </c>
      <c r="B274" s="8" t="s">
        <v>16</v>
      </c>
      <c r="C274" s="9" t="s">
        <v>171</v>
      </c>
      <c r="D274" s="6" t="s">
        <v>30</v>
      </c>
      <c r="E274" s="7" t="s">
        <v>203</v>
      </c>
      <c r="F274" s="6" t="s">
        <v>198</v>
      </c>
      <c r="G274" s="6" t="e">
        <f>INDEX(#REF!,MATCH(Plano_Detalhado!H274,#REF!,0),1)</f>
        <v>#REF!</v>
      </c>
      <c r="H274" s="6" t="e">
        <f>VLOOKUP(A274,#REF!,2,0)</f>
        <v>#REF!</v>
      </c>
      <c r="I274" s="67" t="e">
        <f>SUMIFS(#REF!,#REF!,Plano_Detalhado!E274,#REF!,Plano_Detalhado!F274)</f>
        <v>#REF!</v>
      </c>
      <c r="J274" s="67" t="e">
        <f t="shared" si="30"/>
        <v>#REF!</v>
      </c>
      <c r="K274" s="67" t="e">
        <f>SUMIFS(#REF!,#REF!,Plano_Detalhado!E274,#REF!,Plano_Detalhado!F274)</f>
        <v>#REF!</v>
      </c>
      <c r="L274" s="67" t="e">
        <f t="shared" si="31"/>
        <v>#REF!</v>
      </c>
      <c r="M274" s="61"/>
      <c r="N274" s="61" t="e">
        <f t="shared" si="32"/>
        <v>#REF!</v>
      </c>
      <c r="O274" s="61" t="e">
        <f t="shared" si="33"/>
        <v>#REF!</v>
      </c>
      <c r="P274" s="22" t="s">
        <v>29</v>
      </c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24"/>
      <c r="BI274" s="14"/>
      <c r="BJ274" s="14"/>
      <c r="BK274" s="14"/>
      <c r="BL274" s="14"/>
      <c r="BN274" s="2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</row>
    <row r="275" spans="1:79" hidden="1" outlineLevel="1" x14ac:dyDescent="0.25">
      <c r="A275" s="3" t="str">
        <f t="shared" si="34"/>
        <v>modesg_inp_emss_vclsnome_regiao</v>
      </c>
      <c r="B275" s="8" t="s">
        <v>16</v>
      </c>
      <c r="C275" s="9" t="s">
        <v>171</v>
      </c>
      <c r="D275" s="6" t="s">
        <v>30</v>
      </c>
      <c r="E275" s="7" t="s">
        <v>203</v>
      </c>
      <c r="F275" s="6" t="s">
        <v>211</v>
      </c>
      <c r="G275" s="6" t="e">
        <f>INDEX(#REF!,MATCH(Plano_Detalhado!H275,#REF!,0),1)</f>
        <v>#REF!</v>
      </c>
      <c r="H275" s="6" t="e">
        <f>VLOOKUP(A275,#REF!,2,0)</f>
        <v>#REF!</v>
      </c>
      <c r="I275" s="67" t="e">
        <f>SUMIFS(#REF!,#REF!,Plano_Detalhado!E275,#REF!,Plano_Detalhado!F275)</f>
        <v>#REF!</v>
      </c>
      <c r="J275" s="67" t="e">
        <f t="shared" si="30"/>
        <v>#REF!</v>
      </c>
      <c r="K275" s="67" t="e">
        <f>SUMIFS(#REF!,#REF!,Plano_Detalhado!E275,#REF!,Plano_Detalhado!F275)</f>
        <v>#REF!</v>
      </c>
      <c r="L275" s="67" t="e">
        <f t="shared" si="31"/>
        <v>#REF!</v>
      </c>
      <c r="M275" s="61"/>
      <c r="N275" s="61" t="e">
        <f t="shared" si="32"/>
        <v>#REF!</v>
      </c>
      <c r="O275" s="61" t="e">
        <f t="shared" si="33"/>
        <v>#REF!</v>
      </c>
      <c r="P275" s="22" t="s">
        <v>29</v>
      </c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24"/>
      <c r="BI275" s="14"/>
      <c r="BJ275" s="14"/>
      <c r="BK275" s="14"/>
      <c r="BL275" s="14"/>
      <c r="BN275" s="2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</row>
    <row r="276" spans="1:79" hidden="1" outlineLevel="1" x14ac:dyDescent="0.25">
      <c r="A276" s="3" t="str">
        <f t="shared" si="34"/>
        <v>modesg_inp_emss_vclsnome_pais</v>
      </c>
      <c r="B276" s="8" t="s">
        <v>16</v>
      </c>
      <c r="C276" s="9" t="s">
        <v>171</v>
      </c>
      <c r="D276" s="6" t="s">
        <v>30</v>
      </c>
      <c r="E276" s="7" t="s">
        <v>203</v>
      </c>
      <c r="F276" s="6" t="s">
        <v>212</v>
      </c>
      <c r="G276" s="6" t="e">
        <f>INDEX(#REF!,MATCH(Plano_Detalhado!H276,#REF!,0),1)</f>
        <v>#REF!</v>
      </c>
      <c r="H276" s="6" t="e">
        <f>VLOOKUP(A276,#REF!,2,0)</f>
        <v>#REF!</v>
      </c>
      <c r="I276" s="67" t="e">
        <f>SUMIFS(#REF!,#REF!,Plano_Detalhado!E276,#REF!,Plano_Detalhado!F276)</f>
        <v>#REF!</v>
      </c>
      <c r="J276" s="67" t="e">
        <f t="shared" si="30"/>
        <v>#REF!</v>
      </c>
      <c r="K276" s="67" t="e">
        <f>SUMIFS(#REF!,#REF!,Plano_Detalhado!E276,#REF!,Plano_Detalhado!F276)</f>
        <v>#REF!</v>
      </c>
      <c r="L276" s="67" t="e">
        <f t="shared" si="31"/>
        <v>#REF!</v>
      </c>
      <c r="M276" s="61"/>
      <c r="N276" s="61" t="e">
        <f t="shared" si="32"/>
        <v>#REF!</v>
      </c>
      <c r="O276" s="61" t="e">
        <f t="shared" si="33"/>
        <v>#REF!</v>
      </c>
      <c r="P276" s="22" t="s">
        <v>29</v>
      </c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24"/>
      <c r="BI276" s="14"/>
      <c r="BJ276" s="14"/>
      <c r="BK276" s="14"/>
      <c r="BL276" s="14"/>
      <c r="BN276" s="2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</row>
    <row r="277" spans="1:79" hidden="1" outlineLevel="1" x14ac:dyDescent="0.25">
      <c r="A277" s="3" t="str">
        <f t="shared" si="34"/>
        <v>modesg_inp_emss_vclsnome_estado</v>
      </c>
      <c r="B277" s="8" t="s">
        <v>16</v>
      </c>
      <c r="C277" s="9" t="s">
        <v>171</v>
      </c>
      <c r="D277" s="6" t="s">
        <v>30</v>
      </c>
      <c r="E277" s="7" t="s">
        <v>203</v>
      </c>
      <c r="F277" s="6" t="s">
        <v>213</v>
      </c>
      <c r="G277" s="6" t="e">
        <f>INDEX(#REF!,MATCH(Plano_Detalhado!H277,#REF!,0),1)</f>
        <v>#REF!</v>
      </c>
      <c r="H277" s="6" t="e">
        <f>VLOOKUP(A277,#REF!,2,0)</f>
        <v>#REF!</v>
      </c>
      <c r="I277" s="67" t="e">
        <f>SUMIFS(#REF!,#REF!,Plano_Detalhado!E277,#REF!,Plano_Detalhado!F277)</f>
        <v>#REF!</v>
      </c>
      <c r="J277" s="67" t="e">
        <f t="shared" si="30"/>
        <v>#REF!</v>
      </c>
      <c r="K277" s="67" t="e">
        <f>SUMIFS(#REF!,#REF!,Plano_Detalhado!E277,#REF!,Plano_Detalhado!F277)</f>
        <v>#REF!</v>
      </c>
      <c r="L277" s="67" t="e">
        <f t="shared" si="31"/>
        <v>#REF!</v>
      </c>
      <c r="M277" s="61"/>
      <c r="N277" s="61" t="e">
        <f t="shared" si="32"/>
        <v>#REF!</v>
      </c>
      <c r="O277" s="61" t="e">
        <f t="shared" si="33"/>
        <v>#REF!</v>
      </c>
      <c r="P277" s="22" t="s">
        <v>29</v>
      </c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24"/>
      <c r="BI277" s="14"/>
      <c r="BJ277" s="14"/>
      <c r="BK277" s="14"/>
      <c r="BL277" s="14"/>
      <c r="BN277" s="2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</row>
    <row r="278" spans="1:79" hidden="1" outlineLevel="1" x14ac:dyDescent="0.25">
      <c r="A278" s="3" t="str">
        <f t="shared" si="34"/>
        <v>modesg_inp_emss_vclstipo_veiculo</v>
      </c>
      <c r="B278" s="8" t="s">
        <v>16</v>
      </c>
      <c r="C278" s="9" t="s">
        <v>171</v>
      </c>
      <c r="D278" s="6" t="s">
        <v>30</v>
      </c>
      <c r="E278" s="7" t="s">
        <v>203</v>
      </c>
      <c r="F278" s="6" t="s">
        <v>214</v>
      </c>
      <c r="G278" s="6" t="e">
        <f>INDEX(#REF!,MATCH(Plano_Detalhado!H278,#REF!,0),1)</f>
        <v>#REF!</v>
      </c>
      <c r="H278" s="6" t="e">
        <f>VLOOKUP(A278,#REF!,2,0)</f>
        <v>#REF!</v>
      </c>
      <c r="I278" s="67" t="e">
        <f>SUMIFS(#REF!,#REF!,Plano_Detalhado!E278,#REF!,Plano_Detalhado!F278)</f>
        <v>#REF!</v>
      </c>
      <c r="J278" s="67" t="e">
        <f t="shared" si="30"/>
        <v>#REF!</v>
      </c>
      <c r="K278" s="67" t="e">
        <f>SUMIFS(#REF!,#REF!,Plano_Detalhado!E278,#REF!,Plano_Detalhado!F278)</f>
        <v>#REF!</v>
      </c>
      <c r="L278" s="67" t="e">
        <f t="shared" si="31"/>
        <v>#REF!</v>
      </c>
      <c r="M278" s="61"/>
      <c r="N278" s="61" t="e">
        <f t="shared" si="32"/>
        <v>#REF!</v>
      </c>
      <c r="O278" s="61" t="e">
        <f t="shared" si="33"/>
        <v>#REF!</v>
      </c>
      <c r="P278" s="22" t="s">
        <v>29</v>
      </c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24"/>
      <c r="BI278" s="14"/>
      <c r="BJ278" s="14"/>
      <c r="BK278" s="14"/>
      <c r="BL278" s="14"/>
      <c r="BN278" s="2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</row>
    <row r="279" spans="1:79" hidden="1" outlineLevel="1" x14ac:dyDescent="0.25">
      <c r="A279" s="3" t="str">
        <f t="shared" si="34"/>
        <v>modesg_inp_emss_vclstipo_motor</v>
      </c>
      <c r="B279" s="8" t="s">
        <v>16</v>
      </c>
      <c r="C279" s="9" t="s">
        <v>171</v>
      </c>
      <c r="D279" s="6" t="s">
        <v>30</v>
      </c>
      <c r="E279" s="7" t="s">
        <v>203</v>
      </c>
      <c r="F279" s="6" t="s">
        <v>215</v>
      </c>
      <c r="G279" s="6" t="e">
        <f>INDEX(#REF!,MATCH(Plano_Detalhado!H279,#REF!,0),1)</f>
        <v>#REF!</v>
      </c>
      <c r="H279" s="6" t="e">
        <f>VLOOKUP(A279,#REF!,2,0)</f>
        <v>#REF!</v>
      </c>
      <c r="I279" s="67" t="e">
        <f>SUMIFS(#REF!,#REF!,Plano_Detalhado!E279,#REF!,Plano_Detalhado!F279)</f>
        <v>#REF!</v>
      </c>
      <c r="J279" s="67" t="e">
        <f t="shared" si="30"/>
        <v>#REF!</v>
      </c>
      <c r="K279" s="67" t="e">
        <f>SUMIFS(#REF!,#REF!,Plano_Detalhado!E279,#REF!,Plano_Detalhado!F279)</f>
        <v>#REF!</v>
      </c>
      <c r="L279" s="67" t="e">
        <f t="shared" si="31"/>
        <v>#REF!</v>
      </c>
      <c r="M279" s="61"/>
      <c r="N279" s="61" t="e">
        <f t="shared" si="32"/>
        <v>#REF!</v>
      </c>
      <c r="O279" s="61" t="e">
        <f t="shared" si="33"/>
        <v>#REF!</v>
      </c>
      <c r="P279" s="22" t="s">
        <v>29</v>
      </c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24"/>
      <c r="BI279" s="14"/>
      <c r="BJ279" s="14"/>
      <c r="BK279" s="14"/>
      <c r="BL279" s="14"/>
      <c r="BN279" s="2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</row>
    <row r="280" spans="1:79" hidden="1" outlineLevel="1" x14ac:dyDescent="0.25">
      <c r="A280" s="3" t="str">
        <f t="shared" si="34"/>
        <v>modesg_inp_emss_vclsmarca</v>
      </c>
      <c r="B280" s="8" t="s">
        <v>16</v>
      </c>
      <c r="C280" s="9" t="s">
        <v>171</v>
      </c>
      <c r="D280" s="6" t="s">
        <v>30</v>
      </c>
      <c r="E280" s="7" t="s">
        <v>203</v>
      </c>
      <c r="F280" s="6" t="s">
        <v>216</v>
      </c>
      <c r="G280" s="6" t="e">
        <f>INDEX(#REF!,MATCH(Plano_Detalhado!H280,#REF!,0),1)</f>
        <v>#REF!</v>
      </c>
      <c r="H280" s="6" t="e">
        <f>VLOOKUP(A280,#REF!,2,0)</f>
        <v>#REF!</v>
      </c>
      <c r="I280" s="67" t="e">
        <f>SUMIFS(#REF!,#REF!,Plano_Detalhado!E280,#REF!,Plano_Detalhado!F280)</f>
        <v>#REF!</v>
      </c>
      <c r="J280" s="67" t="e">
        <f t="shared" si="30"/>
        <v>#REF!</v>
      </c>
      <c r="K280" s="67" t="e">
        <f>SUMIFS(#REF!,#REF!,Plano_Detalhado!E280,#REF!,Plano_Detalhado!F280)</f>
        <v>#REF!</v>
      </c>
      <c r="L280" s="67" t="e">
        <f t="shared" si="31"/>
        <v>#REF!</v>
      </c>
      <c r="M280" s="61"/>
      <c r="N280" s="61" t="e">
        <f t="shared" si="32"/>
        <v>#REF!</v>
      </c>
      <c r="O280" s="61" t="e">
        <f t="shared" si="33"/>
        <v>#REF!</v>
      </c>
      <c r="P280" s="22" t="s">
        <v>29</v>
      </c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24"/>
      <c r="BI280" s="14"/>
      <c r="BJ280" s="14"/>
      <c r="BK280" s="14"/>
      <c r="BL280" s="14"/>
      <c r="BN280" s="2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</row>
    <row r="281" spans="1:79" hidden="1" outlineLevel="1" x14ac:dyDescent="0.25">
      <c r="A281" s="3" t="str">
        <f t="shared" si="34"/>
        <v>modesg_inp_emss_vclsmodelo</v>
      </c>
      <c r="B281" s="8" t="s">
        <v>16</v>
      </c>
      <c r="C281" s="9" t="s">
        <v>171</v>
      </c>
      <c r="D281" s="6" t="s">
        <v>30</v>
      </c>
      <c r="E281" s="7" t="s">
        <v>203</v>
      </c>
      <c r="F281" s="6" t="s">
        <v>217</v>
      </c>
      <c r="G281" s="6" t="e">
        <f>INDEX(#REF!,MATCH(Plano_Detalhado!H281,#REF!,0),1)</f>
        <v>#REF!</v>
      </c>
      <c r="H281" s="6" t="e">
        <f>VLOOKUP(A281,#REF!,2,0)</f>
        <v>#REF!</v>
      </c>
      <c r="I281" s="67" t="e">
        <f>SUMIFS(#REF!,#REF!,Plano_Detalhado!E281,#REF!,Plano_Detalhado!F281)</f>
        <v>#REF!</v>
      </c>
      <c r="J281" s="67" t="e">
        <f t="shared" si="30"/>
        <v>#REF!</v>
      </c>
      <c r="K281" s="67" t="e">
        <f>SUMIFS(#REF!,#REF!,Plano_Detalhado!E281,#REF!,Plano_Detalhado!F281)</f>
        <v>#REF!</v>
      </c>
      <c r="L281" s="67" t="e">
        <f t="shared" si="31"/>
        <v>#REF!</v>
      </c>
      <c r="M281" s="61"/>
      <c r="N281" s="61" t="e">
        <f t="shared" si="32"/>
        <v>#REF!</v>
      </c>
      <c r="O281" s="61" t="e">
        <f t="shared" si="33"/>
        <v>#REF!</v>
      </c>
      <c r="P281" s="22" t="s">
        <v>29</v>
      </c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24"/>
      <c r="BI281" s="14"/>
      <c r="BJ281" s="14"/>
      <c r="BK281" s="14"/>
      <c r="BL281" s="14"/>
      <c r="BN281" s="2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</row>
    <row r="282" spans="1:79" hidden="1" outlineLevel="1" x14ac:dyDescent="0.25">
      <c r="A282" s="3" t="str">
        <f t="shared" si="34"/>
        <v>modesg_inp_emss_vclssubgrupo</v>
      </c>
      <c r="B282" s="8" t="s">
        <v>16</v>
      </c>
      <c r="C282" s="9" t="s">
        <v>171</v>
      </c>
      <c r="D282" s="6" t="s">
        <v>30</v>
      </c>
      <c r="E282" s="7" t="s">
        <v>203</v>
      </c>
      <c r="F282" s="6" t="s">
        <v>218</v>
      </c>
      <c r="G282" s="6" t="e">
        <f>INDEX(#REF!,MATCH(Plano_Detalhado!H282,#REF!,0),1)</f>
        <v>#REF!</v>
      </c>
      <c r="H282" s="6" t="e">
        <f>VLOOKUP(A282,#REF!,2,0)</f>
        <v>#REF!</v>
      </c>
      <c r="I282" s="67" t="e">
        <f>SUMIFS(#REF!,#REF!,Plano_Detalhado!E282,#REF!,Plano_Detalhado!F282)</f>
        <v>#REF!</v>
      </c>
      <c r="J282" s="67" t="e">
        <f t="shared" si="30"/>
        <v>#REF!</v>
      </c>
      <c r="K282" s="67" t="e">
        <f>SUMIFS(#REF!,#REF!,Plano_Detalhado!E282,#REF!,Plano_Detalhado!F282)</f>
        <v>#REF!</v>
      </c>
      <c r="L282" s="67" t="e">
        <f t="shared" si="31"/>
        <v>#REF!</v>
      </c>
      <c r="M282" s="61"/>
      <c r="N282" s="61" t="e">
        <f t="shared" si="32"/>
        <v>#REF!</v>
      </c>
      <c r="O282" s="61" t="e">
        <f t="shared" si="33"/>
        <v>#REF!</v>
      </c>
      <c r="P282" s="22" t="s">
        <v>29</v>
      </c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24"/>
      <c r="BI282" s="14"/>
      <c r="BJ282" s="14"/>
      <c r="BK282" s="14"/>
      <c r="BL282" s="14"/>
      <c r="BN282" s="2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</row>
    <row r="283" spans="1:79" hidden="1" outlineLevel="1" x14ac:dyDescent="0.25">
      <c r="A283" s="3" t="str">
        <f t="shared" si="34"/>
        <v>modesg_inp_emss_vclsnome_unidade_funcional</v>
      </c>
      <c r="B283" s="8" t="s">
        <v>16</v>
      </c>
      <c r="C283" s="9" t="s">
        <v>171</v>
      </c>
      <c r="D283" s="6" t="s">
        <v>30</v>
      </c>
      <c r="E283" s="7" t="s">
        <v>203</v>
      </c>
      <c r="F283" s="6" t="s">
        <v>219</v>
      </c>
      <c r="G283" s="6" t="e">
        <f>INDEX(#REF!,MATCH(Plano_Detalhado!H283,#REF!,0),1)</f>
        <v>#REF!</v>
      </c>
      <c r="H283" s="6" t="e">
        <f>VLOOKUP(A283,#REF!,2,0)</f>
        <v>#REF!</v>
      </c>
      <c r="I283" s="67" t="e">
        <f>SUMIFS(#REF!,#REF!,Plano_Detalhado!E283,#REF!,Plano_Detalhado!F283)</f>
        <v>#REF!</v>
      </c>
      <c r="J283" s="67" t="e">
        <f t="shared" si="30"/>
        <v>#REF!</v>
      </c>
      <c r="K283" s="67" t="e">
        <f>SUMIFS(#REF!,#REF!,Plano_Detalhado!E283,#REF!,Plano_Detalhado!F283)</f>
        <v>#REF!</v>
      </c>
      <c r="L283" s="67" t="e">
        <f t="shared" si="31"/>
        <v>#REF!</v>
      </c>
      <c r="M283" s="61"/>
      <c r="N283" s="61" t="e">
        <f t="shared" si="32"/>
        <v>#REF!</v>
      </c>
      <c r="O283" s="61" t="e">
        <f t="shared" si="33"/>
        <v>#REF!</v>
      </c>
      <c r="P283" s="22" t="s">
        <v>29</v>
      </c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24"/>
      <c r="BI283" s="14"/>
      <c r="BJ283" s="14"/>
      <c r="BK283" s="14"/>
      <c r="BL283" s="14"/>
      <c r="BN283" s="2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</row>
    <row r="284" spans="1:79" hidden="1" outlineLevel="1" x14ac:dyDescent="0.25">
      <c r="A284" s="3" t="str">
        <f t="shared" si="34"/>
        <v>modesg_inp_emss_vclsunidade_funcional</v>
      </c>
      <c r="B284" s="8" t="s">
        <v>16</v>
      </c>
      <c r="C284" s="9" t="s">
        <v>171</v>
      </c>
      <c r="D284" s="6" t="s">
        <v>30</v>
      </c>
      <c r="E284" s="7" t="s">
        <v>203</v>
      </c>
      <c r="F284" s="6" t="s">
        <v>220</v>
      </c>
      <c r="G284" s="6" t="e">
        <f>INDEX(#REF!,MATCH(Plano_Detalhado!H284,#REF!,0),1)</f>
        <v>#REF!</v>
      </c>
      <c r="H284" s="6" t="e">
        <f>VLOOKUP(A284,#REF!,2,0)</f>
        <v>#REF!</v>
      </c>
      <c r="I284" s="67" t="e">
        <f>SUMIFS(#REF!,#REF!,Plano_Detalhado!E284,#REF!,Plano_Detalhado!F284)</f>
        <v>#REF!</v>
      </c>
      <c r="J284" s="67" t="e">
        <f t="shared" si="30"/>
        <v>#REF!</v>
      </c>
      <c r="K284" s="67" t="e">
        <f>SUMIFS(#REF!,#REF!,Plano_Detalhado!E284,#REF!,Plano_Detalhado!F284)</f>
        <v>#REF!</v>
      </c>
      <c r="L284" s="67" t="e">
        <f t="shared" si="31"/>
        <v>#REF!</v>
      </c>
      <c r="M284" s="61"/>
      <c r="N284" s="61" t="e">
        <f t="shared" si="32"/>
        <v>#REF!</v>
      </c>
      <c r="O284" s="61" t="e">
        <f t="shared" si="33"/>
        <v>#REF!</v>
      </c>
      <c r="P284" s="22" t="s">
        <v>29</v>
      </c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24"/>
      <c r="BI284" s="14"/>
      <c r="BJ284" s="14"/>
      <c r="BK284" s="14"/>
      <c r="BL284" s="14"/>
      <c r="BN284" s="2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</row>
    <row r="285" spans="1:79" hidden="1" outlineLevel="1" x14ac:dyDescent="0.25">
      <c r="A285" s="3" t="str">
        <f t="shared" si="34"/>
        <v>modesg_inp_emss_vclsnome_fator_emissao</v>
      </c>
      <c r="B285" s="8" t="s">
        <v>16</v>
      </c>
      <c r="C285" s="9" t="s">
        <v>171</v>
      </c>
      <c r="D285" s="6" t="s">
        <v>30</v>
      </c>
      <c r="E285" s="7" t="s">
        <v>203</v>
      </c>
      <c r="F285" s="6" t="s">
        <v>221</v>
      </c>
      <c r="G285" s="6" t="e">
        <f>INDEX(#REF!,MATCH(Plano_Detalhado!H285,#REF!,0),1)</f>
        <v>#REF!</v>
      </c>
      <c r="H285" s="6" t="e">
        <f>VLOOKUP(A285,#REF!,2,0)</f>
        <v>#REF!</v>
      </c>
      <c r="I285" s="67" t="e">
        <f>SUMIFS(#REF!,#REF!,Plano_Detalhado!E285,#REF!,Plano_Detalhado!F285)</f>
        <v>#REF!</v>
      </c>
      <c r="J285" s="67" t="e">
        <f t="shared" si="30"/>
        <v>#REF!</v>
      </c>
      <c r="K285" s="67" t="e">
        <f>SUMIFS(#REF!,#REF!,Plano_Detalhado!E285,#REF!,Plano_Detalhado!F285)</f>
        <v>#REF!</v>
      </c>
      <c r="L285" s="67" t="e">
        <f t="shared" si="31"/>
        <v>#REF!</v>
      </c>
      <c r="M285" s="61"/>
      <c r="N285" s="61" t="e">
        <f t="shared" si="32"/>
        <v>#REF!</v>
      </c>
      <c r="O285" s="61" t="e">
        <f t="shared" si="33"/>
        <v>#REF!</v>
      </c>
      <c r="P285" s="22" t="s">
        <v>29</v>
      </c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24"/>
      <c r="BI285" s="14"/>
      <c r="BJ285" s="14"/>
      <c r="BK285" s="14"/>
      <c r="BL285" s="14"/>
      <c r="BN285" s="2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</row>
    <row r="286" spans="1:79" hidden="1" outlineLevel="1" x14ac:dyDescent="0.25">
      <c r="A286" s="3" t="str">
        <f t="shared" si="34"/>
        <v>modesg_inp_emss_vclsunidade_fator_de_emissao</v>
      </c>
      <c r="B286" s="8" t="s">
        <v>16</v>
      </c>
      <c r="C286" s="9" t="s">
        <v>171</v>
      </c>
      <c r="D286" s="6" t="s">
        <v>30</v>
      </c>
      <c r="E286" s="7" t="s">
        <v>203</v>
      </c>
      <c r="F286" s="6" t="s">
        <v>222</v>
      </c>
      <c r="G286" s="6" t="e">
        <f>INDEX(#REF!,MATCH(Plano_Detalhado!H286,#REF!,0),1)</f>
        <v>#REF!</v>
      </c>
      <c r="H286" s="6" t="e">
        <f>VLOOKUP(A286,#REF!,2,0)</f>
        <v>#REF!</v>
      </c>
      <c r="I286" s="67" t="e">
        <f>SUMIFS(#REF!,#REF!,Plano_Detalhado!E286,#REF!,Plano_Detalhado!F286)</f>
        <v>#REF!</v>
      </c>
      <c r="J286" s="67" t="e">
        <f t="shared" si="30"/>
        <v>#REF!</v>
      </c>
      <c r="K286" s="67" t="e">
        <f>SUMIFS(#REF!,#REF!,Plano_Detalhado!E286,#REF!,Plano_Detalhado!F286)</f>
        <v>#REF!</v>
      </c>
      <c r="L286" s="67" t="e">
        <f t="shared" si="31"/>
        <v>#REF!</v>
      </c>
      <c r="M286" s="61"/>
      <c r="N286" s="61" t="e">
        <f t="shared" si="32"/>
        <v>#REF!</v>
      </c>
      <c r="O286" s="61" t="e">
        <f t="shared" si="33"/>
        <v>#REF!</v>
      </c>
      <c r="P286" s="22" t="s">
        <v>29</v>
      </c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24"/>
      <c r="BI286" s="14"/>
      <c r="BJ286" s="14"/>
      <c r="BK286" s="14"/>
      <c r="BL286" s="14"/>
      <c r="BN286" s="2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</row>
    <row r="287" spans="1:79" hidden="1" outlineLevel="1" x14ac:dyDescent="0.25">
      <c r="A287" s="3" t="str">
        <f t="shared" si="34"/>
        <v>modesg_inp_emss_vclsscore_qualidade</v>
      </c>
      <c r="B287" s="8" t="s">
        <v>16</v>
      </c>
      <c r="C287" s="9" t="s">
        <v>171</v>
      </c>
      <c r="D287" s="6" t="s">
        <v>30</v>
      </c>
      <c r="E287" s="7" t="s">
        <v>203</v>
      </c>
      <c r="F287" s="6" t="s">
        <v>223</v>
      </c>
      <c r="G287" s="6" t="e">
        <f>INDEX(#REF!,MATCH(Plano_Detalhado!H287,#REF!,0),1)</f>
        <v>#REF!</v>
      </c>
      <c r="H287" s="6" t="e">
        <f>VLOOKUP(A287,#REF!,2,0)</f>
        <v>#REF!</v>
      </c>
      <c r="I287" s="67" t="e">
        <f>SUMIFS(#REF!,#REF!,Plano_Detalhado!E287,#REF!,Plano_Detalhado!F287)</f>
        <v>#REF!</v>
      </c>
      <c r="J287" s="67" t="e">
        <f t="shared" si="30"/>
        <v>#REF!</v>
      </c>
      <c r="K287" s="67" t="e">
        <f>SUMIFS(#REF!,#REF!,Plano_Detalhado!E287,#REF!,Plano_Detalhado!F287)</f>
        <v>#REF!</v>
      </c>
      <c r="L287" s="67" t="e">
        <f t="shared" si="31"/>
        <v>#REF!</v>
      </c>
      <c r="M287" s="61"/>
      <c r="N287" s="61" t="e">
        <f t="shared" si="32"/>
        <v>#REF!</v>
      </c>
      <c r="O287" s="61" t="e">
        <f t="shared" si="33"/>
        <v>#REF!</v>
      </c>
      <c r="P287" s="22" t="s">
        <v>29</v>
      </c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24"/>
      <c r="BI287" s="14"/>
      <c r="BJ287" s="14"/>
      <c r="BK287" s="14"/>
      <c r="BL287" s="14"/>
      <c r="BN287" s="2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</row>
    <row r="288" spans="1:79" hidden="1" outlineLevel="1" x14ac:dyDescent="0.25">
      <c r="A288" s="3" t="str">
        <f t="shared" si="34"/>
        <v>modesg_inp_emss_vclsscp1_ftr_emss</v>
      </c>
      <c r="B288" s="8" t="s">
        <v>16</v>
      </c>
      <c r="C288" s="9" t="s">
        <v>171</v>
      </c>
      <c r="D288" s="6" t="s">
        <v>30</v>
      </c>
      <c r="E288" s="7" t="s">
        <v>203</v>
      </c>
      <c r="F288" s="6" t="s">
        <v>224</v>
      </c>
      <c r="G288" s="6" t="e">
        <f>INDEX(#REF!,MATCH(Plano_Detalhado!H288,#REF!,0),1)</f>
        <v>#REF!</v>
      </c>
      <c r="H288" s="6" t="e">
        <f>VLOOKUP(A288,#REF!,2,0)</f>
        <v>#REF!</v>
      </c>
      <c r="I288" s="67" t="e">
        <f>SUMIFS(#REF!,#REF!,Plano_Detalhado!E288,#REF!,Plano_Detalhado!F288)</f>
        <v>#REF!</v>
      </c>
      <c r="J288" s="67" t="e">
        <f t="shared" si="30"/>
        <v>#REF!</v>
      </c>
      <c r="K288" s="67" t="e">
        <f>SUMIFS(#REF!,#REF!,Plano_Detalhado!E288,#REF!,Plano_Detalhado!F288)</f>
        <v>#REF!</v>
      </c>
      <c r="L288" s="67" t="e">
        <f t="shared" si="31"/>
        <v>#REF!</v>
      </c>
      <c r="M288" s="61"/>
      <c r="N288" s="61" t="e">
        <f t="shared" si="32"/>
        <v>#REF!</v>
      </c>
      <c r="O288" s="61" t="e">
        <f t="shared" si="33"/>
        <v>#REF!</v>
      </c>
      <c r="P288" s="22" t="s">
        <v>29</v>
      </c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24"/>
      <c r="BI288" s="14"/>
      <c r="BJ288" s="14"/>
      <c r="BK288" s="14"/>
      <c r="BL288" s="14"/>
      <c r="BN288" s="2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</row>
    <row r="289" spans="1:79" hidden="1" outlineLevel="1" x14ac:dyDescent="0.25">
      <c r="A289" s="3" t="str">
        <f t="shared" si="34"/>
        <v>modesg_inp_emss_vclsscp2_ftr_emss</v>
      </c>
      <c r="B289" s="8" t="s">
        <v>16</v>
      </c>
      <c r="C289" s="9" t="s">
        <v>171</v>
      </c>
      <c r="D289" s="6" t="s">
        <v>30</v>
      </c>
      <c r="E289" s="7" t="s">
        <v>203</v>
      </c>
      <c r="F289" s="6" t="s">
        <v>225</v>
      </c>
      <c r="G289" s="6" t="e">
        <f>INDEX(#REF!,MATCH(Plano_Detalhado!H289,#REF!,0),1)</f>
        <v>#REF!</v>
      </c>
      <c r="H289" s="6" t="e">
        <f>VLOOKUP(A289,#REF!,2,0)</f>
        <v>#REF!</v>
      </c>
      <c r="I289" s="67" t="e">
        <f>SUMIFS(#REF!,#REF!,Plano_Detalhado!E289,#REF!,Plano_Detalhado!F289)</f>
        <v>#REF!</v>
      </c>
      <c r="J289" s="67" t="e">
        <f t="shared" si="30"/>
        <v>#REF!</v>
      </c>
      <c r="K289" s="67" t="e">
        <f>SUMIFS(#REF!,#REF!,Plano_Detalhado!E289,#REF!,Plano_Detalhado!F289)</f>
        <v>#REF!</v>
      </c>
      <c r="L289" s="67" t="e">
        <f t="shared" si="31"/>
        <v>#REF!</v>
      </c>
      <c r="M289" s="61"/>
      <c r="N289" s="61" t="e">
        <f t="shared" si="32"/>
        <v>#REF!</v>
      </c>
      <c r="O289" s="61" t="e">
        <f t="shared" si="33"/>
        <v>#REF!</v>
      </c>
      <c r="P289" s="22" t="s">
        <v>29</v>
      </c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24"/>
      <c r="BI289" s="14"/>
      <c r="BJ289" s="14"/>
      <c r="BK289" s="14"/>
      <c r="BL289" s="14"/>
      <c r="BN289" s="2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</row>
    <row r="290" spans="1:79" hidden="1" outlineLevel="1" x14ac:dyDescent="0.25">
      <c r="A290" s="3" t="str">
        <f t="shared" si="34"/>
        <v>modesg_inp_emss_vclsscp3_ftr_emss</v>
      </c>
      <c r="B290" s="8" t="s">
        <v>16</v>
      </c>
      <c r="C290" s="9" t="s">
        <v>171</v>
      </c>
      <c r="D290" s="6" t="s">
        <v>30</v>
      </c>
      <c r="E290" s="7" t="s">
        <v>203</v>
      </c>
      <c r="F290" s="6" t="s">
        <v>226</v>
      </c>
      <c r="G290" s="6" t="e">
        <f>INDEX(#REF!,MATCH(Plano_Detalhado!H290,#REF!,0),1)</f>
        <v>#REF!</v>
      </c>
      <c r="H290" s="6" t="e">
        <f>VLOOKUP(A290,#REF!,2,0)</f>
        <v>#REF!</v>
      </c>
      <c r="I290" s="67" t="e">
        <f>SUMIFS(#REF!,#REF!,Plano_Detalhado!E290,#REF!,Plano_Detalhado!F290)</f>
        <v>#REF!</v>
      </c>
      <c r="J290" s="67" t="e">
        <f t="shared" si="30"/>
        <v>#REF!</v>
      </c>
      <c r="K290" s="67" t="e">
        <f>SUMIFS(#REF!,#REF!,Plano_Detalhado!E290,#REF!,Plano_Detalhado!F290)</f>
        <v>#REF!</v>
      </c>
      <c r="L290" s="67" t="e">
        <f t="shared" si="31"/>
        <v>#REF!</v>
      </c>
      <c r="M290" s="61"/>
      <c r="N290" s="61" t="e">
        <f t="shared" si="32"/>
        <v>#REF!</v>
      </c>
      <c r="O290" s="61" t="e">
        <f t="shared" si="33"/>
        <v>#REF!</v>
      </c>
      <c r="P290" s="22" t="s">
        <v>29</v>
      </c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24"/>
      <c r="BI290" s="14"/>
      <c r="BJ290" s="14"/>
      <c r="BK290" s="14"/>
      <c r="BL290" s="14"/>
      <c r="BN290" s="2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</row>
    <row r="291" spans="1:79" hidden="1" outlineLevel="1" x14ac:dyDescent="0.25">
      <c r="A291" s="3" t="str">
        <f t="shared" si="34"/>
        <v>modesg_inp_km_medios_emss_vclsref_date</v>
      </c>
      <c r="B291" s="8" t="s">
        <v>16</v>
      </c>
      <c r="C291" s="9" t="s">
        <v>171</v>
      </c>
      <c r="D291" s="6" t="s">
        <v>30</v>
      </c>
      <c r="E291" s="7" t="s">
        <v>204</v>
      </c>
      <c r="F291" s="6" t="s">
        <v>198</v>
      </c>
      <c r="G291" s="6" t="e">
        <f>INDEX(#REF!,MATCH(Plano_Detalhado!H291,#REF!,0),1)</f>
        <v>#REF!</v>
      </c>
      <c r="H291" s="6" t="e">
        <f>VLOOKUP(A291,#REF!,2,0)</f>
        <v>#REF!</v>
      </c>
      <c r="I291" s="67" t="e">
        <f>SUMIFS(#REF!,#REF!,Plano_Detalhado!E291,#REF!,Plano_Detalhado!F291)</f>
        <v>#REF!</v>
      </c>
      <c r="J291" s="67" t="e">
        <f t="shared" si="30"/>
        <v>#REF!</v>
      </c>
      <c r="K291" s="67" t="e">
        <f>SUMIFS(#REF!,#REF!,Plano_Detalhado!E291,#REF!,Plano_Detalhado!F291)</f>
        <v>#REF!</v>
      </c>
      <c r="L291" s="67" t="e">
        <f t="shared" si="31"/>
        <v>#REF!</v>
      </c>
      <c r="M291" s="61"/>
      <c r="N291" s="61" t="e">
        <f t="shared" si="32"/>
        <v>#REF!</v>
      </c>
      <c r="O291" s="61" t="e">
        <f t="shared" si="33"/>
        <v>#REF!</v>
      </c>
      <c r="P291" s="22" t="s">
        <v>29</v>
      </c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24"/>
      <c r="BI291" s="14"/>
      <c r="BJ291" s="14"/>
      <c r="BK291" s="14"/>
      <c r="BL291" s="14"/>
      <c r="BN291" s="2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</row>
    <row r="292" spans="1:79" hidden="1" outlineLevel="1" x14ac:dyDescent="0.25">
      <c r="A292" s="3" t="str">
        <f t="shared" si="34"/>
        <v>modesg_inp_km_medios_emss_vclsnome_pais</v>
      </c>
      <c r="B292" s="8" t="s">
        <v>16</v>
      </c>
      <c r="C292" s="9" t="s">
        <v>171</v>
      </c>
      <c r="D292" s="6" t="s">
        <v>30</v>
      </c>
      <c r="E292" s="7" t="s">
        <v>204</v>
      </c>
      <c r="F292" s="6" t="s">
        <v>212</v>
      </c>
      <c r="G292" s="6" t="e">
        <f>INDEX(#REF!,MATCH(Plano_Detalhado!H292,#REF!,0),1)</f>
        <v>#REF!</v>
      </c>
      <c r="H292" s="6" t="e">
        <f>VLOOKUP(A292,#REF!,2,0)</f>
        <v>#REF!</v>
      </c>
      <c r="I292" s="67" t="e">
        <f>SUMIFS(#REF!,#REF!,Plano_Detalhado!E292,#REF!,Plano_Detalhado!F292)</f>
        <v>#REF!</v>
      </c>
      <c r="J292" s="67" t="e">
        <f t="shared" si="30"/>
        <v>#REF!</v>
      </c>
      <c r="K292" s="67" t="e">
        <f>SUMIFS(#REF!,#REF!,Plano_Detalhado!E292,#REF!,Plano_Detalhado!F292)</f>
        <v>#REF!</v>
      </c>
      <c r="L292" s="67" t="e">
        <f t="shared" si="31"/>
        <v>#REF!</v>
      </c>
      <c r="M292" s="61"/>
      <c r="N292" s="61" t="e">
        <f t="shared" si="32"/>
        <v>#REF!</v>
      </c>
      <c r="O292" s="61" t="e">
        <f t="shared" si="33"/>
        <v>#REF!</v>
      </c>
      <c r="P292" s="22" t="s">
        <v>29</v>
      </c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24"/>
      <c r="BI292" s="14"/>
      <c r="BJ292" s="14"/>
      <c r="BK292" s="14"/>
      <c r="BL292" s="14"/>
      <c r="BN292" s="2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</row>
    <row r="293" spans="1:79" hidden="1" outlineLevel="1" x14ac:dyDescent="0.25">
      <c r="A293" s="3" t="str">
        <f t="shared" si="34"/>
        <v>modesg_inp_km_medios_emss_vclstipo_vcl</v>
      </c>
      <c r="B293" s="8" t="s">
        <v>16</v>
      </c>
      <c r="C293" s="9" t="s">
        <v>171</v>
      </c>
      <c r="D293" s="6" t="s">
        <v>30</v>
      </c>
      <c r="E293" s="7" t="s">
        <v>204</v>
      </c>
      <c r="F293" s="6" t="s">
        <v>227</v>
      </c>
      <c r="G293" s="6" t="e">
        <f>INDEX(#REF!,MATCH(Plano_Detalhado!H293,#REF!,0),1)</f>
        <v>#REF!</v>
      </c>
      <c r="H293" s="6" t="e">
        <f>VLOOKUP(A293,#REF!,2,0)</f>
        <v>#REF!</v>
      </c>
      <c r="I293" s="67" t="e">
        <f>SUMIFS(#REF!,#REF!,Plano_Detalhado!E293,#REF!,Plano_Detalhado!F293)</f>
        <v>#REF!</v>
      </c>
      <c r="J293" s="67" t="e">
        <f t="shared" si="30"/>
        <v>#REF!</v>
      </c>
      <c r="K293" s="67" t="e">
        <f>SUMIFS(#REF!,#REF!,Plano_Detalhado!E293,#REF!,Plano_Detalhado!F293)</f>
        <v>#REF!</v>
      </c>
      <c r="L293" s="67" t="e">
        <f t="shared" si="31"/>
        <v>#REF!</v>
      </c>
      <c r="M293" s="61"/>
      <c r="N293" s="61" t="e">
        <f t="shared" si="32"/>
        <v>#REF!</v>
      </c>
      <c r="O293" s="61" t="e">
        <f t="shared" si="33"/>
        <v>#REF!</v>
      </c>
      <c r="P293" s="22" t="s">
        <v>29</v>
      </c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24"/>
      <c r="BI293" s="14"/>
      <c r="BJ293" s="14"/>
      <c r="BK293" s="14"/>
      <c r="BL293" s="14"/>
      <c r="BN293" s="2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</row>
    <row r="294" spans="1:79" hidden="1" outlineLevel="1" x14ac:dyDescent="0.25">
      <c r="A294" s="3" t="str">
        <f t="shared" si="34"/>
        <v>modesg_inp_km_medios_emss_vclstipo_motor</v>
      </c>
      <c r="B294" s="8" t="s">
        <v>16</v>
      </c>
      <c r="C294" s="9" t="s">
        <v>171</v>
      </c>
      <c r="D294" s="6" t="s">
        <v>30</v>
      </c>
      <c r="E294" s="7" t="s">
        <v>204</v>
      </c>
      <c r="F294" s="6" t="s">
        <v>215</v>
      </c>
      <c r="G294" s="6" t="e">
        <f>INDEX(#REF!,MATCH(Plano_Detalhado!H294,#REF!,0),1)</f>
        <v>#REF!</v>
      </c>
      <c r="H294" s="6" t="e">
        <f>VLOOKUP(A294,#REF!,2,0)</f>
        <v>#REF!</v>
      </c>
      <c r="I294" s="67" t="e">
        <f>SUMIFS(#REF!,#REF!,Plano_Detalhado!E294,#REF!,Plano_Detalhado!F294)</f>
        <v>#REF!</v>
      </c>
      <c r="J294" s="67" t="e">
        <f t="shared" si="30"/>
        <v>#REF!</v>
      </c>
      <c r="K294" s="67" t="e">
        <f>SUMIFS(#REF!,#REF!,Plano_Detalhado!E294,#REF!,Plano_Detalhado!F294)</f>
        <v>#REF!</v>
      </c>
      <c r="L294" s="67" t="e">
        <f t="shared" si="31"/>
        <v>#REF!</v>
      </c>
      <c r="M294" s="61"/>
      <c r="N294" s="61" t="e">
        <f t="shared" si="32"/>
        <v>#REF!</v>
      </c>
      <c r="O294" s="61" t="e">
        <f t="shared" si="33"/>
        <v>#REF!</v>
      </c>
      <c r="P294" s="22" t="s">
        <v>29</v>
      </c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24"/>
      <c r="BI294" s="14"/>
      <c r="BJ294" s="14"/>
      <c r="BK294" s="14"/>
      <c r="BL294" s="14"/>
      <c r="BN294" s="2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</row>
    <row r="295" spans="1:79" hidden="1" outlineLevel="1" x14ac:dyDescent="0.25">
      <c r="A295" s="3" t="str">
        <f t="shared" si="34"/>
        <v>modesg_inp_km_medios_emss_vclssubgrupo</v>
      </c>
      <c r="B295" s="8" t="s">
        <v>16</v>
      </c>
      <c r="C295" s="9" t="s">
        <v>171</v>
      </c>
      <c r="D295" s="6" t="s">
        <v>30</v>
      </c>
      <c r="E295" s="7" t="s">
        <v>204</v>
      </c>
      <c r="F295" s="6" t="s">
        <v>218</v>
      </c>
      <c r="G295" s="6" t="e">
        <f>INDEX(#REF!,MATCH(Plano_Detalhado!H295,#REF!,0),1)</f>
        <v>#REF!</v>
      </c>
      <c r="H295" s="6" t="e">
        <f>VLOOKUP(A295,#REF!,2,0)</f>
        <v>#REF!</v>
      </c>
      <c r="I295" s="67" t="e">
        <f>SUMIFS(#REF!,#REF!,Plano_Detalhado!E295,#REF!,Plano_Detalhado!F295)</f>
        <v>#REF!</v>
      </c>
      <c r="J295" s="67" t="e">
        <f t="shared" si="30"/>
        <v>#REF!</v>
      </c>
      <c r="K295" s="67" t="e">
        <f>SUMIFS(#REF!,#REF!,Plano_Detalhado!E295,#REF!,Plano_Detalhado!F295)</f>
        <v>#REF!</v>
      </c>
      <c r="L295" s="67" t="e">
        <f t="shared" si="31"/>
        <v>#REF!</v>
      </c>
      <c r="M295" s="61"/>
      <c r="N295" s="61" t="e">
        <f t="shared" si="32"/>
        <v>#REF!</v>
      </c>
      <c r="O295" s="61" t="e">
        <f t="shared" si="33"/>
        <v>#REF!</v>
      </c>
      <c r="P295" s="22" t="s">
        <v>29</v>
      </c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24"/>
      <c r="BI295" s="14"/>
      <c r="BJ295" s="14"/>
      <c r="BK295" s="14"/>
      <c r="BL295" s="14"/>
      <c r="BN295" s="2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</row>
    <row r="296" spans="1:79" hidden="1" outlineLevel="1" x14ac:dyDescent="0.25">
      <c r="A296" s="3" t="str">
        <f t="shared" si="34"/>
        <v>modesg_inp_km_medios_emss_vclsmedia_km</v>
      </c>
      <c r="B296" s="8" t="s">
        <v>16</v>
      </c>
      <c r="C296" s="9" t="s">
        <v>171</v>
      </c>
      <c r="D296" s="6" t="s">
        <v>30</v>
      </c>
      <c r="E296" s="7" t="s">
        <v>204</v>
      </c>
      <c r="F296" s="6" t="s">
        <v>228</v>
      </c>
      <c r="G296" s="6" t="e">
        <f>INDEX(#REF!,MATCH(Plano_Detalhado!H296,#REF!,0),1)</f>
        <v>#REF!</v>
      </c>
      <c r="H296" s="6" t="e">
        <f>VLOOKUP(A296,#REF!,2,0)</f>
        <v>#REF!</v>
      </c>
      <c r="I296" s="67" t="e">
        <f>SUMIFS(#REF!,#REF!,Plano_Detalhado!E296,#REF!,Plano_Detalhado!F296)</f>
        <v>#REF!</v>
      </c>
      <c r="J296" s="67" t="e">
        <f t="shared" si="30"/>
        <v>#REF!</v>
      </c>
      <c r="K296" s="67" t="e">
        <f>SUMIFS(#REF!,#REF!,Plano_Detalhado!E296,#REF!,Plano_Detalhado!F296)</f>
        <v>#REF!</v>
      </c>
      <c r="L296" s="67" t="e">
        <f t="shared" si="31"/>
        <v>#REF!</v>
      </c>
      <c r="M296" s="61"/>
      <c r="N296" s="61" t="e">
        <f t="shared" si="32"/>
        <v>#REF!</v>
      </c>
      <c r="O296" s="61" t="e">
        <f t="shared" si="33"/>
        <v>#REF!</v>
      </c>
      <c r="P296" s="22" t="s">
        <v>29</v>
      </c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24"/>
      <c r="BI296" s="14"/>
      <c r="BJ296" s="14"/>
      <c r="BK296" s="14"/>
      <c r="BL296" s="14"/>
      <c r="BN296" s="2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</row>
    <row r="297" spans="1:79" hidden="1" outlineLevel="1" x14ac:dyDescent="0.25">
      <c r="A297" s="3" t="str">
        <f t="shared" si="34"/>
        <v>modesg_inp_empr_excl_parisref_date</v>
      </c>
      <c r="B297" s="8" t="s">
        <v>16</v>
      </c>
      <c r="C297" s="9" t="s">
        <v>171</v>
      </c>
      <c r="D297" s="6" t="s">
        <v>30</v>
      </c>
      <c r="E297" s="7" t="s">
        <v>205</v>
      </c>
      <c r="F297" s="6" t="s">
        <v>198</v>
      </c>
      <c r="G297" s="6" t="e">
        <f>INDEX(#REF!,MATCH(Plano_Detalhado!H297,#REF!,0),1)</f>
        <v>#REF!</v>
      </c>
      <c r="H297" s="6" t="e">
        <f>VLOOKUP(A297,#REF!,2,0)</f>
        <v>#REF!</v>
      </c>
      <c r="I297" s="67" t="e">
        <f>SUMIFS(#REF!,#REF!,Plano_Detalhado!E297,#REF!,Plano_Detalhado!F297)</f>
        <v>#REF!</v>
      </c>
      <c r="J297" s="67" t="e">
        <f t="shared" si="30"/>
        <v>#REF!</v>
      </c>
      <c r="K297" s="67" t="e">
        <f>SUMIFS(#REF!,#REF!,Plano_Detalhado!E297,#REF!,Plano_Detalhado!F297)</f>
        <v>#REF!</v>
      </c>
      <c r="L297" s="67" t="e">
        <f t="shared" si="31"/>
        <v>#REF!</v>
      </c>
      <c r="M297" s="61"/>
      <c r="N297" s="61" t="e">
        <f t="shared" si="32"/>
        <v>#REF!</v>
      </c>
      <c r="O297" s="61" t="e">
        <f t="shared" si="33"/>
        <v>#REF!</v>
      </c>
      <c r="P297" s="22" t="s">
        <v>29</v>
      </c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24"/>
      <c r="BI297" s="14"/>
      <c r="BJ297" s="14"/>
      <c r="BK297" s="14"/>
      <c r="BL297" s="14"/>
      <c r="BN297" s="2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</row>
    <row r="298" spans="1:79" hidden="1" outlineLevel="1" x14ac:dyDescent="0.25">
      <c r="A298" s="3" t="str">
        <f t="shared" si="34"/>
        <v>modesg_inp_empr_excl_parisisin</v>
      </c>
      <c r="B298" s="8" t="s">
        <v>16</v>
      </c>
      <c r="C298" s="9" t="s">
        <v>171</v>
      </c>
      <c r="D298" s="6" t="s">
        <v>30</v>
      </c>
      <c r="E298" s="7" t="s">
        <v>205</v>
      </c>
      <c r="F298" s="6" t="s">
        <v>229</v>
      </c>
      <c r="G298" s="6" t="e">
        <f>INDEX(#REF!,MATCH(Plano_Detalhado!H298,#REF!,0),1)</f>
        <v>#REF!</v>
      </c>
      <c r="H298" s="6" t="e">
        <f>VLOOKUP(A298,#REF!,2,0)</f>
        <v>#REF!</v>
      </c>
      <c r="I298" s="67" t="e">
        <f>SUMIFS(#REF!,#REF!,Plano_Detalhado!E298,#REF!,Plano_Detalhado!F298)</f>
        <v>#REF!</v>
      </c>
      <c r="J298" s="67" t="e">
        <f t="shared" si="30"/>
        <v>#REF!</v>
      </c>
      <c r="K298" s="67" t="e">
        <f>SUMIFS(#REF!,#REF!,Plano_Detalhado!E298,#REF!,Plano_Detalhado!F298)</f>
        <v>#REF!</v>
      </c>
      <c r="L298" s="67" t="e">
        <f t="shared" si="31"/>
        <v>#REF!</v>
      </c>
      <c r="M298" s="61"/>
      <c r="N298" s="61" t="e">
        <f t="shared" si="32"/>
        <v>#REF!</v>
      </c>
      <c r="O298" s="61" t="e">
        <f t="shared" si="33"/>
        <v>#REF!</v>
      </c>
      <c r="P298" s="22" t="s">
        <v>29</v>
      </c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24"/>
      <c r="BI298" s="14"/>
      <c r="BJ298" s="14"/>
      <c r="BK298" s="14"/>
      <c r="BL298" s="14"/>
      <c r="BN298" s="2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</row>
    <row r="299" spans="1:79" hidden="1" outlineLevel="1" x14ac:dyDescent="0.25">
      <c r="A299" s="3" t="str">
        <f t="shared" si="34"/>
        <v>modesg_inp_empr_excl_parisclei</v>
      </c>
      <c r="B299" s="8" t="s">
        <v>16</v>
      </c>
      <c r="C299" s="9" t="s">
        <v>171</v>
      </c>
      <c r="D299" s="6" t="s">
        <v>30</v>
      </c>
      <c r="E299" s="7" t="s">
        <v>205</v>
      </c>
      <c r="F299" s="6" t="s">
        <v>230</v>
      </c>
      <c r="G299" s="6" t="e">
        <f>INDEX(#REF!,MATCH(Plano_Detalhado!H299,#REF!,0),1)</f>
        <v>#REF!</v>
      </c>
      <c r="H299" s="6" t="e">
        <f>VLOOKUP(A299,#REF!,2,0)</f>
        <v>#REF!</v>
      </c>
      <c r="I299" s="67" t="e">
        <f>SUMIFS(#REF!,#REF!,Plano_Detalhado!E299,#REF!,Plano_Detalhado!F299)</f>
        <v>#REF!</v>
      </c>
      <c r="J299" s="67" t="e">
        <f t="shared" si="30"/>
        <v>#REF!</v>
      </c>
      <c r="K299" s="67" t="e">
        <f>SUMIFS(#REF!,#REF!,Plano_Detalhado!E299,#REF!,Plano_Detalhado!F299)</f>
        <v>#REF!</v>
      </c>
      <c r="L299" s="67" t="e">
        <f t="shared" si="31"/>
        <v>#REF!</v>
      </c>
      <c r="M299" s="61"/>
      <c r="N299" s="61" t="e">
        <f t="shared" si="32"/>
        <v>#REF!</v>
      </c>
      <c r="O299" s="61" t="e">
        <f t="shared" si="33"/>
        <v>#REF!</v>
      </c>
      <c r="P299" s="22" t="s">
        <v>29</v>
      </c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24"/>
      <c r="BI299" s="14"/>
      <c r="BJ299" s="14"/>
      <c r="BK299" s="14"/>
      <c r="BL299" s="14"/>
      <c r="BN299" s="2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</row>
    <row r="300" spans="1:79" hidden="1" outlineLevel="1" x14ac:dyDescent="0.25">
      <c r="A300" s="3" t="str">
        <f t="shared" si="34"/>
        <v>modesg_inp_empr_excl_parisccli_kgl</v>
      </c>
      <c r="B300" s="8" t="s">
        <v>16</v>
      </c>
      <c r="C300" s="9" t="s">
        <v>171</v>
      </c>
      <c r="D300" s="6" t="s">
        <v>30</v>
      </c>
      <c r="E300" s="7" t="s">
        <v>205</v>
      </c>
      <c r="F300" s="6" t="s">
        <v>231</v>
      </c>
      <c r="G300" s="6" t="e">
        <f>INDEX(#REF!,MATCH(Plano_Detalhado!H300,#REF!,0),1)</f>
        <v>#REF!</v>
      </c>
      <c r="H300" s="6" t="e">
        <f>VLOOKUP(A300,#REF!,2,0)</f>
        <v>#REF!</v>
      </c>
      <c r="I300" s="67" t="e">
        <f>SUMIFS(#REF!,#REF!,Plano_Detalhado!E300,#REF!,Plano_Detalhado!F300)</f>
        <v>#REF!</v>
      </c>
      <c r="J300" s="67" t="e">
        <f t="shared" si="30"/>
        <v>#REF!</v>
      </c>
      <c r="K300" s="67" t="e">
        <f>SUMIFS(#REF!,#REF!,Plano_Detalhado!E300,#REF!,Plano_Detalhado!F300)</f>
        <v>#REF!</v>
      </c>
      <c r="L300" s="67" t="e">
        <f t="shared" si="31"/>
        <v>#REF!</v>
      </c>
      <c r="M300" s="61"/>
      <c r="N300" s="61" t="e">
        <f t="shared" si="32"/>
        <v>#REF!</v>
      </c>
      <c r="O300" s="61" t="e">
        <f t="shared" si="33"/>
        <v>#REF!</v>
      </c>
      <c r="P300" s="22" t="s">
        <v>29</v>
      </c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24"/>
      <c r="BI300" s="14"/>
      <c r="BJ300" s="14"/>
      <c r="BK300" s="14"/>
      <c r="BL300" s="14"/>
      <c r="BN300" s="2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</row>
    <row r="301" spans="1:79" hidden="1" outlineLevel="1" x14ac:dyDescent="0.25">
      <c r="A301" s="3" t="str">
        <f t="shared" si="34"/>
        <v>modesg_inp_empr_excl_parisnome_entidade</v>
      </c>
      <c r="B301" s="8" t="s">
        <v>16</v>
      </c>
      <c r="C301" s="9" t="s">
        <v>171</v>
      </c>
      <c r="D301" s="6" t="s">
        <v>30</v>
      </c>
      <c r="E301" s="7" t="s">
        <v>205</v>
      </c>
      <c r="F301" s="6" t="s">
        <v>232</v>
      </c>
      <c r="G301" s="6" t="e">
        <f>INDEX(#REF!,MATCH(Plano_Detalhado!H301,#REF!,0),1)</f>
        <v>#REF!</v>
      </c>
      <c r="H301" s="6" t="e">
        <f>VLOOKUP(A301,#REF!,2,0)</f>
        <v>#REF!</v>
      </c>
      <c r="I301" s="67" t="e">
        <f>SUMIFS(#REF!,#REF!,Plano_Detalhado!E301,#REF!,Plano_Detalhado!F301)</f>
        <v>#REF!</v>
      </c>
      <c r="J301" s="67" t="e">
        <f t="shared" ref="J301:J365" si="39">I301/8</f>
        <v>#REF!</v>
      </c>
      <c r="K301" s="67" t="e">
        <f>SUMIFS(#REF!,#REF!,Plano_Detalhado!E301,#REF!,Plano_Detalhado!F301)</f>
        <v>#REF!</v>
      </c>
      <c r="L301" s="67" t="e">
        <f t="shared" si="31"/>
        <v>#REF!</v>
      </c>
      <c r="M301" s="61"/>
      <c r="N301" s="61" t="e">
        <f t="shared" si="32"/>
        <v>#REF!</v>
      </c>
      <c r="O301" s="61" t="e">
        <f t="shared" si="33"/>
        <v>#REF!</v>
      </c>
      <c r="P301" s="22" t="s">
        <v>29</v>
      </c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24"/>
      <c r="BI301" s="14"/>
      <c r="BJ301" s="14"/>
      <c r="BK301" s="14"/>
      <c r="BL301" s="14"/>
      <c r="BN301" s="2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</row>
    <row r="302" spans="1:79" hidden="1" outlineLevel="1" x14ac:dyDescent="0.25">
      <c r="A302" s="3" t="str">
        <f t="shared" si="34"/>
        <v>modesg_inp_empr_excl_parisflg_scib</v>
      </c>
      <c r="B302" s="8" t="s">
        <v>16</v>
      </c>
      <c r="C302" s="9" t="s">
        <v>171</v>
      </c>
      <c r="D302" s="6" t="s">
        <v>30</v>
      </c>
      <c r="E302" s="7" t="s">
        <v>205</v>
      </c>
      <c r="F302" s="6" t="s">
        <v>233</v>
      </c>
      <c r="G302" s="6" t="e">
        <f>INDEX(#REF!,MATCH(Plano_Detalhado!H302,#REF!,0),1)</f>
        <v>#REF!</v>
      </c>
      <c r="H302" s="6" t="e">
        <f>VLOOKUP(A302,#REF!,2,0)</f>
        <v>#REF!</v>
      </c>
      <c r="I302" s="67" t="e">
        <f>SUMIFS(#REF!,#REF!,Plano_Detalhado!E302,#REF!,Plano_Detalhado!F302)</f>
        <v>#REF!</v>
      </c>
      <c r="J302" s="67" t="e">
        <f t="shared" si="39"/>
        <v>#REF!</v>
      </c>
      <c r="K302" s="67" t="e">
        <f>SUMIFS(#REF!,#REF!,Plano_Detalhado!E302,#REF!,Plano_Detalhado!F302)</f>
        <v>#REF!</v>
      </c>
      <c r="L302" s="67" t="e">
        <f t="shared" ref="L302:L366" si="40">K302/8</f>
        <v>#REF!</v>
      </c>
      <c r="M302" s="61"/>
      <c r="N302" s="61" t="e">
        <f t="shared" ref="N302:N366" si="41">L302/J302</f>
        <v>#REF!</v>
      </c>
      <c r="O302" s="61" t="e">
        <f t="shared" si="33"/>
        <v>#REF!</v>
      </c>
      <c r="P302" s="22" t="s">
        <v>29</v>
      </c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24"/>
      <c r="BI302" s="14"/>
      <c r="BJ302" s="14"/>
      <c r="BK302" s="14"/>
      <c r="BL302" s="14"/>
      <c r="BN302" s="2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</row>
    <row r="303" spans="1:79" hidden="1" outlineLevel="1" x14ac:dyDescent="0.25">
      <c r="A303" s="3" t="str">
        <f t="shared" si="34"/>
        <v>modesg_inp_empr_excl_parisnome_pais</v>
      </c>
      <c r="B303" s="8" t="s">
        <v>16</v>
      </c>
      <c r="C303" s="9" t="s">
        <v>171</v>
      </c>
      <c r="D303" s="6" t="s">
        <v>30</v>
      </c>
      <c r="E303" s="7" t="s">
        <v>205</v>
      </c>
      <c r="F303" s="6" t="s">
        <v>212</v>
      </c>
      <c r="G303" s="6" t="e">
        <f>INDEX(#REF!,MATCH(Plano_Detalhado!H303,#REF!,0),1)</f>
        <v>#REF!</v>
      </c>
      <c r="H303" s="6" t="e">
        <f>VLOOKUP(A303,#REF!,2,0)</f>
        <v>#REF!</v>
      </c>
      <c r="I303" s="67" t="e">
        <f>SUMIFS(#REF!,#REF!,Plano_Detalhado!E303,#REF!,Plano_Detalhado!F303)</f>
        <v>#REF!</v>
      </c>
      <c r="J303" s="67" t="e">
        <f t="shared" si="39"/>
        <v>#REF!</v>
      </c>
      <c r="K303" s="67" t="e">
        <f>SUMIFS(#REF!,#REF!,Plano_Detalhado!E303,#REF!,Plano_Detalhado!F303)</f>
        <v>#REF!</v>
      </c>
      <c r="L303" s="67" t="e">
        <f t="shared" si="40"/>
        <v>#REF!</v>
      </c>
      <c r="M303" s="61"/>
      <c r="N303" s="61" t="e">
        <f t="shared" si="41"/>
        <v>#REF!</v>
      </c>
      <c r="O303" s="61" t="e">
        <f t="shared" si="33"/>
        <v>#REF!</v>
      </c>
      <c r="P303" s="22" t="s">
        <v>29</v>
      </c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24"/>
      <c r="BI303" s="14"/>
      <c r="BJ303" s="14"/>
      <c r="BK303" s="14"/>
      <c r="BL303" s="14"/>
      <c r="BN303" s="2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</row>
    <row r="304" spans="1:79" hidden="1" outlineLevel="1" x14ac:dyDescent="0.25">
      <c r="A304" s="3" t="str">
        <f t="shared" si="34"/>
        <v>modesg_inp_nfrd_alinhamento_taxref_date</v>
      </c>
      <c r="B304" s="8" t="s">
        <v>16</v>
      </c>
      <c r="C304" s="9" t="s">
        <v>171</v>
      </c>
      <c r="D304" s="6" t="s">
        <v>30</v>
      </c>
      <c r="E304" s="7" t="s">
        <v>206</v>
      </c>
      <c r="F304" s="6" t="s">
        <v>198</v>
      </c>
      <c r="G304" s="6" t="e">
        <f>INDEX(#REF!,MATCH(Plano_Detalhado!H304,#REF!,0),1)</f>
        <v>#REF!</v>
      </c>
      <c r="H304" s="6" t="e">
        <f>VLOOKUP(A304,#REF!,2,0)</f>
        <v>#REF!</v>
      </c>
      <c r="I304" s="67" t="e">
        <f>SUMIFS(#REF!,#REF!,Plano_Detalhado!E304,#REF!,Plano_Detalhado!F304)</f>
        <v>#REF!</v>
      </c>
      <c r="J304" s="67" t="e">
        <f t="shared" si="39"/>
        <v>#REF!</v>
      </c>
      <c r="K304" s="67" t="e">
        <f>SUMIFS(#REF!,#REF!,Plano_Detalhado!E304,#REF!,Plano_Detalhado!F304)</f>
        <v>#REF!</v>
      </c>
      <c r="L304" s="67" t="e">
        <f t="shared" si="40"/>
        <v>#REF!</v>
      </c>
      <c r="M304" s="61"/>
      <c r="N304" s="61" t="e">
        <f t="shared" si="41"/>
        <v>#REF!</v>
      </c>
      <c r="O304" s="61" t="e">
        <f t="shared" si="33"/>
        <v>#REF!</v>
      </c>
      <c r="P304" s="22" t="s">
        <v>29</v>
      </c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24"/>
      <c r="BI304" s="14"/>
      <c r="BJ304" s="14"/>
      <c r="BK304" s="14"/>
      <c r="BL304" s="14"/>
      <c r="BN304" s="2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</row>
    <row r="305" spans="1:79" hidden="1" outlineLevel="1" x14ac:dyDescent="0.25">
      <c r="A305" s="3" t="str">
        <f t="shared" si="34"/>
        <v>modesg_inp_nfrd_alinhamento_taxccli_kgl</v>
      </c>
      <c r="B305" s="8" t="s">
        <v>16</v>
      </c>
      <c r="C305" s="9" t="s">
        <v>171</v>
      </c>
      <c r="D305" s="6" t="s">
        <v>30</v>
      </c>
      <c r="E305" s="7" t="s">
        <v>206</v>
      </c>
      <c r="F305" s="6" t="s">
        <v>231</v>
      </c>
      <c r="G305" s="6" t="e">
        <f>INDEX(#REF!,MATCH(Plano_Detalhado!H305,#REF!,0),1)</f>
        <v>#REF!</v>
      </c>
      <c r="H305" s="6" t="e">
        <f>VLOOKUP(A305,#REF!,2,0)</f>
        <v>#REF!</v>
      </c>
      <c r="I305" s="67" t="e">
        <f>SUMIFS(#REF!,#REF!,Plano_Detalhado!E305,#REF!,Plano_Detalhado!F305)</f>
        <v>#REF!</v>
      </c>
      <c r="J305" s="67" t="e">
        <f t="shared" si="39"/>
        <v>#REF!</v>
      </c>
      <c r="K305" s="67" t="e">
        <f>SUMIFS(#REF!,#REF!,Plano_Detalhado!E305,#REF!,Plano_Detalhado!F305)</f>
        <v>#REF!</v>
      </c>
      <c r="L305" s="67" t="e">
        <f t="shared" si="40"/>
        <v>#REF!</v>
      </c>
      <c r="M305" s="61"/>
      <c r="N305" s="61" t="e">
        <f t="shared" si="41"/>
        <v>#REF!</v>
      </c>
      <c r="O305" s="61" t="e">
        <f t="shared" si="33"/>
        <v>#REF!</v>
      </c>
      <c r="P305" s="22" t="s">
        <v>29</v>
      </c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24"/>
      <c r="BI305" s="14"/>
      <c r="BJ305" s="14"/>
      <c r="BK305" s="14"/>
      <c r="BL305" s="14"/>
      <c r="BN305" s="2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</row>
    <row r="306" spans="1:79" hidden="1" outlineLevel="1" x14ac:dyDescent="0.25">
      <c r="A306" s="3" t="str">
        <f t="shared" si="34"/>
        <v>modesg_inp_nfrd_alinhamento_taxclei</v>
      </c>
      <c r="B306" s="8" t="s">
        <v>16</v>
      </c>
      <c r="C306" s="9" t="s">
        <v>171</v>
      </c>
      <c r="D306" s="6" t="s">
        <v>30</v>
      </c>
      <c r="E306" s="7" t="s">
        <v>206</v>
      </c>
      <c r="F306" s="6" t="s">
        <v>230</v>
      </c>
      <c r="G306" s="6" t="e">
        <f>INDEX(#REF!,MATCH(Plano_Detalhado!H306,#REF!,0),1)</f>
        <v>#REF!</v>
      </c>
      <c r="H306" s="6" t="e">
        <f>VLOOKUP(A306,#REF!,2,0)</f>
        <v>#REF!</v>
      </c>
      <c r="I306" s="67" t="e">
        <f>SUMIFS(#REF!,#REF!,Plano_Detalhado!E306,#REF!,Plano_Detalhado!F306)</f>
        <v>#REF!</v>
      </c>
      <c r="J306" s="67" t="e">
        <f t="shared" si="39"/>
        <v>#REF!</v>
      </c>
      <c r="K306" s="67" t="e">
        <f>SUMIFS(#REF!,#REF!,Plano_Detalhado!E306,#REF!,Plano_Detalhado!F306)</f>
        <v>#REF!</v>
      </c>
      <c r="L306" s="67" t="e">
        <f t="shared" si="40"/>
        <v>#REF!</v>
      </c>
      <c r="M306" s="61"/>
      <c r="N306" s="61" t="e">
        <f t="shared" si="41"/>
        <v>#REF!</v>
      </c>
      <c r="O306" s="61" t="e">
        <f t="shared" si="33"/>
        <v>#REF!</v>
      </c>
      <c r="P306" s="22" t="s">
        <v>29</v>
      </c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24"/>
      <c r="BI306" s="14"/>
      <c r="BJ306" s="14"/>
      <c r="BK306" s="14"/>
      <c r="BL306" s="14"/>
      <c r="BN306" s="2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</row>
    <row r="307" spans="1:79" hidden="1" outlineLevel="1" x14ac:dyDescent="0.25">
      <c r="A307" s="3" t="str">
        <f t="shared" si="34"/>
        <v>modesg_inp_nfrd_alinhamento_taxperm_id</v>
      </c>
      <c r="B307" s="8" t="s">
        <v>16</v>
      </c>
      <c r="C307" s="9" t="s">
        <v>171</v>
      </c>
      <c r="D307" s="6" t="s">
        <v>30</v>
      </c>
      <c r="E307" s="7" t="s">
        <v>206</v>
      </c>
      <c r="F307" s="6" t="s">
        <v>234</v>
      </c>
      <c r="G307" s="6" t="e">
        <f>INDEX(#REF!,MATCH(Plano_Detalhado!H307,#REF!,0),1)</f>
        <v>#REF!</v>
      </c>
      <c r="H307" s="6" t="e">
        <f>VLOOKUP(A307,#REF!,2,0)</f>
        <v>#REF!</v>
      </c>
      <c r="I307" s="67" t="e">
        <f>SUMIFS(#REF!,#REF!,Plano_Detalhado!E307,#REF!,Plano_Detalhado!F307)</f>
        <v>#REF!</v>
      </c>
      <c r="J307" s="67" t="e">
        <f t="shared" si="39"/>
        <v>#REF!</v>
      </c>
      <c r="K307" s="67" t="e">
        <f>SUMIFS(#REF!,#REF!,Plano_Detalhado!E307,#REF!,Plano_Detalhado!F307)</f>
        <v>#REF!</v>
      </c>
      <c r="L307" s="67" t="e">
        <f t="shared" si="40"/>
        <v>#REF!</v>
      </c>
      <c r="M307" s="61"/>
      <c r="N307" s="61" t="e">
        <f t="shared" si="41"/>
        <v>#REF!</v>
      </c>
      <c r="O307" s="61" t="e">
        <f t="shared" si="33"/>
        <v>#REF!</v>
      </c>
      <c r="P307" s="22" t="s">
        <v>29</v>
      </c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24"/>
      <c r="BI307" s="14"/>
      <c r="BJ307" s="14"/>
      <c r="BK307" s="14"/>
      <c r="BL307" s="14"/>
      <c r="BN307" s="2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</row>
    <row r="308" spans="1:79" hidden="1" outlineLevel="1" x14ac:dyDescent="0.25">
      <c r="A308" s="3" t="str">
        <f t="shared" si="34"/>
        <v>modesg_inp_nfrd_alinhamento_taxnome_entidade</v>
      </c>
      <c r="B308" s="8" t="s">
        <v>16</v>
      </c>
      <c r="C308" s="9" t="s">
        <v>171</v>
      </c>
      <c r="D308" s="6" t="s">
        <v>30</v>
      </c>
      <c r="E308" s="7" t="s">
        <v>206</v>
      </c>
      <c r="F308" s="6" t="s">
        <v>232</v>
      </c>
      <c r="G308" s="6" t="e">
        <f>INDEX(#REF!,MATCH(Plano_Detalhado!H308,#REF!,0),1)</f>
        <v>#REF!</v>
      </c>
      <c r="H308" s="6" t="e">
        <f>VLOOKUP(A308,#REF!,2,0)</f>
        <v>#REF!</v>
      </c>
      <c r="I308" s="67" t="e">
        <f>SUMIFS(#REF!,#REF!,Plano_Detalhado!E308,#REF!,Plano_Detalhado!F308)</f>
        <v>#REF!</v>
      </c>
      <c r="J308" s="67" t="e">
        <f t="shared" si="39"/>
        <v>#REF!</v>
      </c>
      <c r="K308" s="67" t="e">
        <f>SUMIFS(#REF!,#REF!,Plano_Detalhado!E308,#REF!,Plano_Detalhado!F308)</f>
        <v>#REF!</v>
      </c>
      <c r="L308" s="67" t="e">
        <f t="shared" si="40"/>
        <v>#REF!</v>
      </c>
      <c r="M308" s="61"/>
      <c r="N308" s="61" t="e">
        <f t="shared" si="41"/>
        <v>#REF!</v>
      </c>
      <c r="O308" s="61" t="e">
        <f t="shared" si="33"/>
        <v>#REF!</v>
      </c>
      <c r="P308" s="22" t="s">
        <v>29</v>
      </c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24"/>
      <c r="BI308" s="14"/>
      <c r="BJ308" s="14"/>
      <c r="BK308" s="14"/>
      <c r="BL308" s="14"/>
      <c r="BN308" s="2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</row>
    <row r="309" spans="1:79" hidden="1" outlineLevel="1" x14ac:dyDescent="0.25">
      <c r="A309" s="3" t="str">
        <f>E309&amp;F309</f>
        <v>modesg_inp_nfrd_alinhamento_taxnome_pais</v>
      </c>
      <c r="B309" s="8" t="s">
        <v>16</v>
      </c>
      <c r="C309" s="9" t="s">
        <v>171</v>
      </c>
      <c r="D309" s="6" t="s">
        <v>30</v>
      </c>
      <c r="E309" s="7" t="s">
        <v>206</v>
      </c>
      <c r="F309" s="6" t="s">
        <v>212</v>
      </c>
      <c r="G309" s="6" t="e">
        <f>INDEX(#REF!,MATCH(Plano_Detalhado!H309,#REF!,0),1)</f>
        <v>#REF!</v>
      </c>
      <c r="H309" s="6" t="e">
        <f>VLOOKUP(A309,#REF!,2,0)</f>
        <v>#REF!</v>
      </c>
      <c r="I309" s="67"/>
      <c r="J309" s="67"/>
      <c r="K309" s="67"/>
      <c r="L309" s="67"/>
      <c r="M309" s="61"/>
      <c r="N309" s="61"/>
      <c r="O309" s="61">
        <f t="shared" si="33"/>
        <v>0</v>
      </c>
      <c r="P309" s="22" t="s">
        <v>29</v>
      </c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24"/>
      <c r="BI309" s="14"/>
      <c r="BJ309" s="14"/>
      <c r="BK309" s="14"/>
      <c r="BL309" s="14"/>
      <c r="BN309" s="2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</row>
    <row r="310" spans="1:79" hidden="1" outlineLevel="1" x14ac:dyDescent="0.25">
      <c r="A310" s="3" t="str">
        <f t="shared" si="34"/>
        <v>modesg_inp_nfrd_alinhamento_taxflg_nfrd</v>
      </c>
      <c r="B310" s="8" t="s">
        <v>16</v>
      </c>
      <c r="C310" s="9" t="s">
        <v>171</v>
      </c>
      <c r="D310" s="6" t="s">
        <v>30</v>
      </c>
      <c r="E310" s="7" t="s">
        <v>206</v>
      </c>
      <c r="F310" s="6" t="s">
        <v>235</v>
      </c>
      <c r="G310" s="6" t="e">
        <f>INDEX(#REF!,MATCH(Plano_Detalhado!H310,#REF!,0),1)</f>
        <v>#REF!</v>
      </c>
      <c r="H310" s="6" t="e">
        <f>VLOOKUP(A310,#REF!,2,0)</f>
        <v>#REF!</v>
      </c>
      <c r="I310" s="67" t="e">
        <f>SUMIFS(#REF!,#REF!,Plano_Detalhado!E310,#REF!,Plano_Detalhado!F310)</f>
        <v>#REF!</v>
      </c>
      <c r="J310" s="67" t="e">
        <f t="shared" si="39"/>
        <v>#REF!</v>
      </c>
      <c r="K310" s="67" t="e">
        <f>SUMIFS(#REF!,#REF!,Plano_Detalhado!E310,#REF!,Plano_Detalhado!F310)</f>
        <v>#REF!</v>
      </c>
      <c r="L310" s="67" t="e">
        <f t="shared" si="40"/>
        <v>#REF!</v>
      </c>
      <c r="M310" s="61"/>
      <c r="N310" s="61" t="e">
        <f t="shared" si="41"/>
        <v>#REF!</v>
      </c>
      <c r="O310" s="61" t="e">
        <f t="shared" si="33"/>
        <v>#REF!</v>
      </c>
      <c r="P310" s="22" t="s">
        <v>29</v>
      </c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24"/>
      <c r="BI310" s="14"/>
      <c r="BJ310" s="14"/>
      <c r="BK310" s="14"/>
      <c r="BL310" s="14"/>
      <c r="BN310" s="2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</row>
    <row r="311" spans="1:79" hidden="1" outlineLevel="1" x14ac:dyDescent="0.25">
      <c r="A311" s="3" t="str">
        <f t="shared" si="34"/>
        <v>modesg_inp_nfrd_alinhamento_taxcca_trnvr_ttl_elgbl</v>
      </c>
      <c r="B311" s="8" t="s">
        <v>16</v>
      </c>
      <c r="C311" s="9" t="s">
        <v>171</v>
      </c>
      <c r="D311" s="6" t="s">
        <v>30</v>
      </c>
      <c r="E311" s="7" t="s">
        <v>206</v>
      </c>
      <c r="F311" s="6" t="s">
        <v>236</v>
      </c>
      <c r="G311" s="6" t="e">
        <f>INDEX(#REF!,MATCH(Plano_Detalhado!H311,#REF!,0),1)</f>
        <v>#REF!</v>
      </c>
      <c r="H311" s="6" t="e">
        <f>VLOOKUP(A311,#REF!,2,0)</f>
        <v>#REF!</v>
      </c>
      <c r="I311" s="67" t="e">
        <f>SUMIFS(#REF!,#REF!,Plano_Detalhado!E311,#REF!,Plano_Detalhado!F311)</f>
        <v>#REF!</v>
      </c>
      <c r="J311" s="67" t="e">
        <f t="shared" si="39"/>
        <v>#REF!</v>
      </c>
      <c r="K311" s="67" t="e">
        <f>SUMIFS(#REF!,#REF!,Plano_Detalhado!E311,#REF!,Plano_Detalhado!F311)</f>
        <v>#REF!</v>
      </c>
      <c r="L311" s="67" t="e">
        <f t="shared" si="40"/>
        <v>#REF!</v>
      </c>
      <c r="M311" s="61"/>
      <c r="N311" s="61" t="e">
        <f t="shared" si="41"/>
        <v>#REF!</v>
      </c>
      <c r="O311" s="61" t="e">
        <f t="shared" ref="O311:O374" si="42">N311-M311</f>
        <v>#REF!</v>
      </c>
      <c r="P311" s="22" t="s">
        <v>29</v>
      </c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24"/>
      <c r="BI311" s="14"/>
      <c r="BJ311" s="14"/>
      <c r="BK311" s="14"/>
      <c r="BL311" s="14"/>
      <c r="BN311" s="2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</row>
    <row r="312" spans="1:79" hidden="1" outlineLevel="1" x14ac:dyDescent="0.25">
      <c r="A312" s="3" t="str">
        <f t="shared" si="34"/>
        <v>modesg_inp_nfrd_alinhamento_taxcca_trnvr_enblng_alignd</v>
      </c>
      <c r="B312" s="8" t="s">
        <v>16</v>
      </c>
      <c r="C312" s="9" t="s">
        <v>171</v>
      </c>
      <c r="D312" s="6" t="s">
        <v>30</v>
      </c>
      <c r="E312" s="7" t="s">
        <v>206</v>
      </c>
      <c r="F312" s="6" t="s">
        <v>237</v>
      </c>
      <c r="G312" s="6" t="e">
        <f>INDEX(#REF!,MATCH(Plano_Detalhado!H312,#REF!,0),1)</f>
        <v>#REF!</v>
      </c>
      <c r="H312" s="6" t="e">
        <f>VLOOKUP(A312,#REF!,2,0)</f>
        <v>#REF!</v>
      </c>
      <c r="I312" s="67" t="e">
        <f>SUMIFS(#REF!,#REF!,Plano_Detalhado!E312,#REF!,Plano_Detalhado!F312)</f>
        <v>#REF!</v>
      </c>
      <c r="J312" s="67" t="e">
        <f t="shared" si="39"/>
        <v>#REF!</v>
      </c>
      <c r="K312" s="67" t="e">
        <f>SUMIFS(#REF!,#REF!,Plano_Detalhado!E312,#REF!,Plano_Detalhado!F312)</f>
        <v>#REF!</v>
      </c>
      <c r="L312" s="67" t="e">
        <f t="shared" si="40"/>
        <v>#REF!</v>
      </c>
      <c r="M312" s="61"/>
      <c r="N312" s="61" t="e">
        <f t="shared" si="41"/>
        <v>#REF!</v>
      </c>
      <c r="O312" s="61" t="e">
        <f t="shared" si="42"/>
        <v>#REF!</v>
      </c>
      <c r="P312" s="22" t="s">
        <v>29</v>
      </c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24"/>
      <c r="BI312" s="14"/>
      <c r="BJ312" s="14"/>
      <c r="BK312" s="14"/>
      <c r="BL312" s="14"/>
      <c r="BN312" s="2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</row>
    <row r="313" spans="1:79" hidden="1" outlineLevel="1" x14ac:dyDescent="0.25">
      <c r="A313" s="3" t="str">
        <f t="shared" si="34"/>
        <v>modesg_inp_nfrd_alinhamento_taxcca_turnover_own_prfrmnce_algnd</v>
      </c>
      <c r="B313" s="8" t="s">
        <v>16</v>
      </c>
      <c r="C313" s="9" t="s">
        <v>171</v>
      </c>
      <c r="D313" s="6" t="s">
        <v>30</v>
      </c>
      <c r="E313" s="7" t="s">
        <v>206</v>
      </c>
      <c r="F313" s="6" t="s">
        <v>238</v>
      </c>
      <c r="G313" s="6" t="e">
        <f>INDEX(#REF!,MATCH(Plano_Detalhado!H313,#REF!,0),1)</f>
        <v>#REF!</v>
      </c>
      <c r="H313" s="6" t="e">
        <f>VLOOKUP(A313,#REF!,2,0)</f>
        <v>#REF!</v>
      </c>
      <c r="I313" s="67" t="e">
        <f>SUMIFS(#REF!,#REF!,Plano_Detalhado!E313,#REF!,Plano_Detalhado!F313)</f>
        <v>#REF!</v>
      </c>
      <c r="J313" s="67" t="e">
        <f t="shared" si="39"/>
        <v>#REF!</v>
      </c>
      <c r="K313" s="67" t="e">
        <f>SUMIFS(#REF!,#REF!,Plano_Detalhado!E313,#REF!,Plano_Detalhado!F313)</f>
        <v>#REF!</v>
      </c>
      <c r="L313" s="67" t="e">
        <f t="shared" si="40"/>
        <v>#REF!</v>
      </c>
      <c r="M313" s="61"/>
      <c r="N313" s="61" t="e">
        <f t="shared" si="41"/>
        <v>#REF!</v>
      </c>
      <c r="O313" s="61" t="e">
        <f t="shared" si="42"/>
        <v>#REF!</v>
      </c>
      <c r="P313" s="22" t="s">
        <v>29</v>
      </c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24"/>
      <c r="BI313" s="14"/>
      <c r="BJ313" s="14"/>
      <c r="BK313" s="14"/>
      <c r="BL313" s="14"/>
      <c r="BN313" s="2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</row>
    <row r="314" spans="1:79" hidden="1" outlineLevel="1" x14ac:dyDescent="0.25">
      <c r="A314" s="3" t="str">
        <f t="shared" si="34"/>
        <v>modesg_inp_nfrd_alinhamento_taxcca_capex_ttl_elgbl</v>
      </c>
      <c r="B314" s="8" t="s">
        <v>16</v>
      </c>
      <c r="C314" s="9" t="s">
        <v>171</v>
      </c>
      <c r="D314" s="6" t="s">
        <v>30</v>
      </c>
      <c r="E314" s="7" t="s">
        <v>206</v>
      </c>
      <c r="F314" s="6" t="s">
        <v>239</v>
      </c>
      <c r="G314" s="6" t="e">
        <f>INDEX(#REF!,MATCH(Plano_Detalhado!H314,#REF!,0),1)</f>
        <v>#REF!</v>
      </c>
      <c r="H314" s="6" t="e">
        <f>VLOOKUP(A314,#REF!,2,0)</f>
        <v>#REF!</v>
      </c>
      <c r="I314" s="67" t="e">
        <f>SUMIFS(#REF!,#REF!,Plano_Detalhado!E314,#REF!,Plano_Detalhado!F314)</f>
        <v>#REF!</v>
      </c>
      <c r="J314" s="67" t="e">
        <f t="shared" si="39"/>
        <v>#REF!</v>
      </c>
      <c r="K314" s="67" t="e">
        <f>SUMIFS(#REF!,#REF!,Plano_Detalhado!E314,#REF!,Plano_Detalhado!F314)</f>
        <v>#REF!</v>
      </c>
      <c r="L314" s="67" t="e">
        <f t="shared" si="40"/>
        <v>#REF!</v>
      </c>
      <c r="M314" s="61"/>
      <c r="N314" s="61" t="e">
        <f t="shared" si="41"/>
        <v>#REF!</v>
      </c>
      <c r="O314" s="61" t="e">
        <f t="shared" si="42"/>
        <v>#REF!</v>
      </c>
      <c r="P314" s="22" t="s">
        <v>29</v>
      </c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24"/>
      <c r="BI314" s="14"/>
      <c r="BJ314" s="14"/>
      <c r="BK314" s="14"/>
      <c r="BL314" s="14"/>
      <c r="BN314" s="2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</row>
    <row r="315" spans="1:79" hidden="1" outlineLevel="1" x14ac:dyDescent="0.25">
      <c r="A315" s="3" t="str">
        <f t="shared" si="34"/>
        <v>modesg_inp_nfrd_alinhamento_taxcca_capex_enblng_algnd</v>
      </c>
      <c r="B315" s="8" t="s">
        <v>16</v>
      </c>
      <c r="C315" s="9" t="s">
        <v>171</v>
      </c>
      <c r="D315" s="6" t="s">
        <v>30</v>
      </c>
      <c r="E315" s="7" t="s">
        <v>206</v>
      </c>
      <c r="F315" s="6" t="s">
        <v>240</v>
      </c>
      <c r="G315" s="6" t="e">
        <f>INDEX(#REF!,MATCH(Plano_Detalhado!H315,#REF!,0),1)</f>
        <v>#REF!</v>
      </c>
      <c r="H315" s="6" t="e">
        <f>VLOOKUP(A315,#REF!,2,0)</f>
        <v>#REF!</v>
      </c>
      <c r="I315" s="67" t="e">
        <f>SUMIFS(#REF!,#REF!,Plano_Detalhado!E315,#REF!,Plano_Detalhado!F315)</f>
        <v>#REF!</v>
      </c>
      <c r="J315" s="67" t="e">
        <f t="shared" si="39"/>
        <v>#REF!</v>
      </c>
      <c r="K315" s="67" t="e">
        <f>SUMIFS(#REF!,#REF!,Plano_Detalhado!E315,#REF!,Plano_Detalhado!F315)</f>
        <v>#REF!</v>
      </c>
      <c r="L315" s="67" t="e">
        <f t="shared" si="40"/>
        <v>#REF!</v>
      </c>
      <c r="M315" s="61"/>
      <c r="N315" s="61" t="e">
        <f t="shared" si="41"/>
        <v>#REF!</v>
      </c>
      <c r="O315" s="61" t="e">
        <f t="shared" si="42"/>
        <v>#REF!</v>
      </c>
      <c r="P315" s="22" t="s">
        <v>29</v>
      </c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24"/>
      <c r="BI315" s="14"/>
      <c r="BJ315" s="14"/>
      <c r="BK315" s="14"/>
      <c r="BL315" s="14"/>
      <c r="BN315" s="2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</row>
    <row r="316" spans="1:79" hidden="1" outlineLevel="1" x14ac:dyDescent="0.25">
      <c r="A316" s="3" t="str">
        <f t="shared" si="34"/>
        <v>modesg_inp_nfrd_alinhamento_taxcca_capex_own_prfrmnce_algnd</v>
      </c>
      <c r="B316" s="8" t="s">
        <v>16</v>
      </c>
      <c r="C316" s="9" t="s">
        <v>171</v>
      </c>
      <c r="D316" s="6" t="s">
        <v>30</v>
      </c>
      <c r="E316" s="7" t="s">
        <v>206</v>
      </c>
      <c r="F316" s="6" t="s">
        <v>241</v>
      </c>
      <c r="G316" s="6" t="e">
        <f>INDEX(#REF!,MATCH(Plano_Detalhado!H316,#REF!,0),1)</f>
        <v>#REF!</v>
      </c>
      <c r="H316" s="6" t="e">
        <f>VLOOKUP(A316,#REF!,2,0)</f>
        <v>#REF!</v>
      </c>
      <c r="I316" s="67" t="e">
        <f>SUMIFS(#REF!,#REF!,Plano_Detalhado!E316,#REF!,Plano_Detalhado!F316)</f>
        <v>#REF!</v>
      </c>
      <c r="J316" s="67" t="e">
        <f t="shared" si="39"/>
        <v>#REF!</v>
      </c>
      <c r="K316" s="67" t="e">
        <f>SUMIFS(#REF!,#REF!,Plano_Detalhado!E316,#REF!,Plano_Detalhado!F316)</f>
        <v>#REF!</v>
      </c>
      <c r="L316" s="67" t="e">
        <f t="shared" si="40"/>
        <v>#REF!</v>
      </c>
      <c r="M316" s="61"/>
      <c r="N316" s="61" t="e">
        <f t="shared" si="41"/>
        <v>#REF!</v>
      </c>
      <c r="O316" s="61" t="e">
        <f t="shared" si="42"/>
        <v>#REF!</v>
      </c>
      <c r="P316" s="22" t="s">
        <v>29</v>
      </c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24"/>
      <c r="BI316" s="14"/>
      <c r="BJ316" s="14"/>
      <c r="BK316" s="14"/>
      <c r="BL316" s="14"/>
      <c r="BN316" s="2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</row>
    <row r="317" spans="1:79" hidden="1" outlineLevel="1" x14ac:dyDescent="0.25">
      <c r="A317" s="3" t="str">
        <f t="shared" si="34"/>
        <v>modesg_inp_nfrd_alinhamento_taxccm_trnvr_ttl_elgbl</v>
      </c>
      <c r="B317" s="8" t="s">
        <v>16</v>
      </c>
      <c r="C317" s="9" t="s">
        <v>171</v>
      </c>
      <c r="D317" s="6" t="s">
        <v>30</v>
      </c>
      <c r="E317" s="7" t="s">
        <v>206</v>
      </c>
      <c r="F317" s="6" t="s">
        <v>242</v>
      </c>
      <c r="G317" s="6" t="e">
        <f>INDEX(#REF!,MATCH(Plano_Detalhado!H317,#REF!,0),1)</f>
        <v>#REF!</v>
      </c>
      <c r="H317" s="6" t="e">
        <f>VLOOKUP(A317,#REF!,2,0)</f>
        <v>#REF!</v>
      </c>
      <c r="I317" s="67" t="e">
        <f>SUMIFS(#REF!,#REF!,Plano_Detalhado!E317,#REF!,Plano_Detalhado!F317)</f>
        <v>#REF!</v>
      </c>
      <c r="J317" s="67" t="e">
        <f t="shared" si="39"/>
        <v>#REF!</v>
      </c>
      <c r="K317" s="67" t="e">
        <f>SUMIFS(#REF!,#REF!,Plano_Detalhado!E317,#REF!,Plano_Detalhado!F317)</f>
        <v>#REF!</v>
      </c>
      <c r="L317" s="67" t="e">
        <f t="shared" si="40"/>
        <v>#REF!</v>
      </c>
      <c r="M317" s="61"/>
      <c r="N317" s="61" t="e">
        <f t="shared" si="41"/>
        <v>#REF!</v>
      </c>
      <c r="O317" s="61" t="e">
        <f t="shared" si="42"/>
        <v>#REF!</v>
      </c>
      <c r="P317" s="22" t="s">
        <v>29</v>
      </c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24"/>
      <c r="BI317" s="14"/>
      <c r="BJ317" s="14"/>
      <c r="BK317" s="14"/>
      <c r="BL317" s="14"/>
      <c r="BN317" s="2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</row>
    <row r="318" spans="1:79" hidden="1" outlineLevel="1" x14ac:dyDescent="0.25">
      <c r="A318" s="3" t="str">
        <f t="shared" si="34"/>
        <v>modesg_inp_nfrd_alinhamento_taxccm_trnvr_enblng_algnd</v>
      </c>
      <c r="B318" s="8" t="s">
        <v>16</v>
      </c>
      <c r="C318" s="9" t="s">
        <v>171</v>
      </c>
      <c r="D318" s="6" t="s">
        <v>30</v>
      </c>
      <c r="E318" s="7" t="s">
        <v>206</v>
      </c>
      <c r="F318" s="6" t="s">
        <v>243</v>
      </c>
      <c r="G318" s="6" t="e">
        <f>INDEX(#REF!,MATCH(Plano_Detalhado!H318,#REF!,0),1)</f>
        <v>#REF!</v>
      </c>
      <c r="H318" s="6" t="e">
        <f>VLOOKUP(A318,#REF!,2,0)</f>
        <v>#REF!</v>
      </c>
      <c r="I318" s="67" t="e">
        <f>SUMIFS(#REF!,#REF!,Plano_Detalhado!E318,#REF!,Plano_Detalhado!F318)</f>
        <v>#REF!</v>
      </c>
      <c r="J318" s="67" t="e">
        <f t="shared" si="39"/>
        <v>#REF!</v>
      </c>
      <c r="K318" s="67" t="e">
        <f>SUMIFS(#REF!,#REF!,Plano_Detalhado!E318,#REF!,Plano_Detalhado!F318)</f>
        <v>#REF!</v>
      </c>
      <c r="L318" s="67" t="e">
        <f t="shared" si="40"/>
        <v>#REF!</v>
      </c>
      <c r="M318" s="61"/>
      <c r="N318" s="61" t="e">
        <f t="shared" si="41"/>
        <v>#REF!</v>
      </c>
      <c r="O318" s="61" t="e">
        <f t="shared" si="42"/>
        <v>#REF!</v>
      </c>
      <c r="P318" s="22" t="s">
        <v>29</v>
      </c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24"/>
      <c r="BI318" s="14"/>
      <c r="BJ318" s="14"/>
      <c r="BK318" s="14"/>
      <c r="BL318" s="14"/>
      <c r="BN318" s="2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</row>
    <row r="319" spans="1:79" hidden="1" outlineLevel="1" x14ac:dyDescent="0.25">
      <c r="A319" s="3" t="str">
        <f t="shared" si="34"/>
        <v>modesg_inp_nfrd_alinhamento_taxccm_trnvr_trnstn_alignd</v>
      </c>
      <c r="B319" s="8" t="s">
        <v>16</v>
      </c>
      <c r="C319" s="9" t="s">
        <v>171</v>
      </c>
      <c r="D319" s="6" t="s">
        <v>30</v>
      </c>
      <c r="E319" s="7" t="s">
        <v>206</v>
      </c>
      <c r="F319" s="6" t="s">
        <v>244</v>
      </c>
      <c r="G319" s="6" t="e">
        <f>INDEX(#REF!,MATCH(Plano_Detalhado!H319,#REF!,0),1)</f>
        <v>#REF!</v>
      </c>
      <c r="H319" s="6" t="e">
        <f>VLOOKUP(A319,#REF!,2,0)</f>
        <v>#REF!</v>
      </c>
      <c r="I319" s="67" t="e">
        <f>SUMIFS(#REF!,#REF!,Plano_Detalhado!E319,#REF!,Plano_Detalhado!F319)</f>
        <v>#REF!</v>
      </c>
      <c r="J319" s="67" t="e">
        <f t="shared" si="39"/>
        <v>#REF!</v>
      </c>
      <c r="K319" s="67" t="e">
        <f>SUMIFS(#REF!,#REF!,Plano_Detalhado!E319,#REF!,Plano_Detalhado!F319)</f>
        <v>#REF!</v>
      </c>
      <c r="L319" s="67" t="e">
        <f t="shared" si="40"/>
        <v>#REF!</v>
      </c>
      <c r="M319" s="61"/>
      <c r="N319" s="61" t="e">
        <f t="shared" si="41"/>
        <v>#REF!</v>
      </c>
      <c r="O319" s="61" t="e">
        <f t="shared" si="42"/>
        <v>#REF!</v>
      </c>
      <c r="P319" s="22" t="s">
        <v>29</v>
      </c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24"/>
      <c r="BI319" s="14"/>
      <c r="BJ319" s="14"/>
      <c r="BK319" s="14"/>
      <c r="BL319" s="14"/>
      <c r="BN319" s="2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</row>
    <row r="320" spans="1:79" hidden="1" outlineLevel="1" x14ac:dyDescent="0.25">
      <c r="A320" s="3" t="str">
        <f t="shared" si="34"/>
        <v>modesg_inp_nfrd_alinhamento_taxccm_trnvr_own_prfrmnce_algnd</v>
      </c>
      <c r="B320" s="8" t="s">
        <v>16</v>
      </c>
      <c r="C320" s="9" t="s">
        <v>171</v>
      </c>
      <c r="D320" s="6" t="s">
        <v>30</v>
      </c>
      <c r="E320" s="7" t="s">
        <v>206</v>
      </c>
      <c r="F320" s="6" t="s">
        <v>245</v>
      </c>
      <c r="G320" s="6" t="e">
        <f>INDEX(#REF!,MATCH(Plano_Detalhado!H320,#REF!,0),1)</f>
        <v>#REF!</v>
      </c>
      <c r="H320" s="6" t="e">
        <f>VLOOKUP(A320,#REF!,2,0)</f>
        <v>#REF!</v>
      </c>
      <c r="I320" s="67" t="e">
        <f>SUMIFS(#REF!,#REF!,Plano_Detalhado!E320,#REF!,Plano_Detalhado!F320)</f>
        <v>#REF!</v>
      </c>
      <c r="J320" s="67" t="e">
        <f t="shared" si="39"/>
        <v>#REF!</v>
      </c>
      <c r="K320" s="67" t="e">
        <f>SUMIFS(#REF!,#REF!,Plano_Detalhado!E320,#REF!,Plano_Detalhado!F320)</f>
        <v>#REF!</v>
      </c>
      <c r="L320" s="67" t="e">
        <f t="shared" si="40"/>
        <v>#REF!</v>
      </c>
      <c r="M320" s="61"/>
      <c r="N320" s="61" t="e">
        <f t="shared" si="41"/>
        <v>#REF!</v>
      </c>
      <c r="O320" s="61" t="e">
        <f t="shared" si="42"/>
        <v>#REF!</v>
      </c>
      <c r="P320" s="22" t="s">
        <v>29</v>
      </c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24"/>
      <c r="BI320" s="14"/>
      <c r="BJ320" s="14"/>
      <c r="BK320" s="14"/>
      <c r="BL320" s="14"/>
      <c r="BN320" s="2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</row>
    <row r="321" spans="1:79" hidden="1" outlineLevel="1" x14ac:dyDescent="0.25">
      <c r="A321" s="3" t="str">
        <f t="shared" si="34"/>
        <v>modesg_inp_nfrd_alinhamento_taxccm_capex_ttl_elgbl</v>
      </c>
      <c r="B321" s="8" t="s">
        <v>16</v>
      </c>
      <c r="C321" s="9" t="s">
        <v>171</v>
      </c>
      <c r="D321" s="6" t="s">
        <v>30</v>
      </c>
      <c r="E321" s="7" t="s">
        <v>206</v>
      </c>
      <c r="F321" s="6" t="s">
        <v>246</v>
      </c>
      <c r="G321" s="6" t="e">
        <f>INDEX(#REF!,MATCH(Plano_Detalhado!H321,#REF!,0),1)</f>
        <v>#REF!</v>
      </c>
      <c r="H321" s="6" t="e">
        <f>VLOOKUP(A321,#REF!,2,0)</f>
        <v>#REF!</v>
      </c>
      <c r="I321" s="67" t="e">
        <f>SUMIFS(#REF!,#REF!,Plano_Detalhado!E321,#REF!,Plano_Detalhado!F321)</f>
        <v>#REF!</v>
      </c>
      <c r="J321" s="67" t="e">
        <f t="shared" si="39"/>
        <v>#REF!</v>
      </c>
      <c r="K321" s="67" t="e">
        <f>SUMIFS(#REF!,#REF!,Plano_Detalhado!E321,#REF!,Plano_Detalhado!F321)</f>
        <v>#REF!</v>
      </c>
      <c r="L321" s="67" t="e">
        <f t="shared" si="40"/>
        <v>#REF!</v>
      </c>
      <c r="M321" s="61"/>
      <c r="N321" s="61" t="e">
        <f t="shared" si="41"/>
        <v>#REF!</v>
      </c>
      <c r="O321" s="61" t="e">
        <f t="shared" si="42"/>
        <v>#REF!</v>
      </c>
      <c r="P321" s="22" t="s">
        <v>29</v>
      </c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24"/>
      <c r="BI321" s="14"/>
      <c r="BJ321" s="14"/>
      <c r="BK321" s="14"/>
      <c r="BL321" s="14"/>
      <c r="BN321" s="2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</row>
    <row r="322" spans="1:79" hidden="1" outlineLevel="1" x14ac:dyDescent="0.25">
      <c r="A322" s="3" t="str">
        <f t="shared" si="34"/>
        <v>modesg_inp_nfrd_alinhamento_taxccm_capex_enblng_algnd</v>
      </c>
      <c r="B322" s="8" t="s">
        <v>16</v>
      </c>
      <c r="C322" s="9" t="s">
        <v>171</v>
      </c>
      <c r="D322" s="6" t="s">
        <v>30</v>
      </c>
      <c r="E322" s="7" t="s">
        <v>206</v>
      </c>
      <c r="F322" s="6" t="s">
        <v>247</v>
      </c>
      <c r="G322" s="6" t="e">
        <f>INDEX(#REF!,MATCH(Plano_Detalhado!H322,#REF!,0),1)</f>
        <v>#REF!</v>
      </c>
      <c r="H322" s="6" t="e">
        <f>VLOOKUP(A322,#REF!,2,0)</f>
        <v>#REF!</v>
      </c>
      <c r="I322" s="67" t="e">
        <f>SUMIFS(#REF!,#REF!,Plano_Detalhado!E322,#REF!,Plano_Detalhado!F322)</f>
        <v>#REF!</v>
      </c>
      <c r="J322" s="67" t="e">
        <f t="shared" si="39"/>
        <v>#REF!</v>
      </c>
      <c r="K322" s="67" t="e">
        <f>SUMIFS(#REF!,#REF!,Plano_Detalhado!E322,#REF!,Plano_Detalhado!F322)</f>
        <v>#REF!</v>
      </c>
      <c r="L322" s="67" t="e">
        <f t="shared" si="40"/>
        <v>#REF!</v>
      </c>
      <c r="M322" s="61"/>
      <c r="N322" s="61" t="e">
        <f t="shared" si="41"/>
        <v>#REF!</v>
      </c>
      <c r="O322" s="61" t="e">
        <f t="shared" si="42"/>
        <v>#REF!</v>
      </c>
      <c r="P322" s="22" t="s">
        <v>29</v>
      </c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24"/>
      <c r="BI322" s="14"/>
      <c r="BJ322" s="14"/>
      <c r="BK322" s="14"/>
      <c r="BL322" s="14"/>
      <c r="BN322" s="2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</row>
    <row r="323" spans="1:79" hidden="1" outlineLevel="1" x14ac:dyDescent="0.25">
      <c r="A323" s="3" t="str">
        <f t="shared" si="34"/>
        <v>modesg_inp_nfrd_alinhamento_taxccm_capex_trnstn_algnd</v>
      </c>
      <c r="B323" s="8" t="s">
        <v>16</v>
      </c>
      <c r="C323" s="9" t="s">
        <v>171</v>
      </c>
      <c r="D323" s="6" t="s">
        <v>30</v>
      </c>
      <c r="E323" s="7" t="s">
        <v>206</v>
      </c>
      <c r="F323" s="6" t="s">
        <v>248</v>
      </c>
      <c r="G323" s="6" t="e">
        <f>INDEX(#REF!,MATCH(Plano_Detalhado!H323,#REF!,0),1)</f>
        <v>#REF!</v>
      </c>
      <c r="H323" s="6" t="e">
        <f>VLOOKUP(A323,#REF!,2,0)</f>
        <v>#REF!</v>
      </c>
      <c r="I323" s="67" t="e">
        <f>SUMIFS(#REF!,#REF!,Plano_Detalhado!E323,#REF!,Plano_Detalhado!F323)</f>
        <v>#REF!</v>
      </c>
      <c r="J323" s="67" t="e">
        <f t="shared" si="39"/>
        <v>#REF!</v>
      </c>
      <c r="K323" s="67" t="e">
        <f>SUMIFS(#REF!,#REF!,Plano_Detalhado!E323,#REF!,Plano_Detalhado!F323)</f>
        <v>#REF!</v>
      </c>
      <c r="L323" s="67" t="e">
        <f t="shared" si="40"/>
        <v>#REF!</v>
      </c>
      <c r="M323" s="61"/>
      <c r="N323" s="61" t="e">
        <f t="shared" si="41"/>
        <v>#REF!</v>
      </c>
      <c r="O323" s="61" t="e">
        <f t="shared" si="42"/>
        <v>#REF!</v>
      </c>
      <c r="P323" s="22" t="s">
        <v>29</v>
      </c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24"/>
      <c r="BI323" s="14"/>
      <c r="BJ323" s="14"/>
      <c r="BK323" s="14"/>
      <c r="BL323" s="14"/>
      <c r="BN323" s="2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</row>
    <row r="324" spans="1:79" hidden="1" outlineLevel="1" x14ac:dyDescent="0.25">
      <c r="A324" s="3" t="str">
        <f t="shared" ref="A324:A387" si="43">E324&amp;F324</f>
        <v>modesg_inp_nfrd_alinhamento_taxccm_capex_own_prfrmnce_algnd</v>
      </c>
      <c r="B324" s="8" t="s">
        <v>16</v>
      </c>
      <c r="C324" s="9" t="s">
        <v>171</v>
      </c>
      <c r="D324" s="6" t="s">
        <v>30</v>
      </c>
      <c r="E324" s="7" t="s">
        <v>206</v>
      </c>
      <c r="F324" s="6" t="s">
        <v>249</v>
      </c>
      <c r="G324" s="6" t="e">
        <f>INDEX(#REF!,MATCH(Plano_Detalhado!H324,#REF!,0),1)</f>
        <v>#REF!</v>
      </c>
      <c r="H324" s="6" t="e">
        <f>VLOOKUP(A324,#REF!,2,0)</f>
        <v>#REF!</v>
      </c>
      <c r="I324" s="67" t="e">
        <f>SUMIFS(#REF!,#REF!,Plano_Detalhado!E324,#REF!,Plano_Detalhado!F324)</f>
        <v>#REF!</v>
      </c>
      <c r="J324" s="67" t="e">
        <f t="shared" si="39"/>
        <v>#REF!</v>
      </c>
      <c r="K324" s="67" t="e">
        <f>SUMIFS(#REF!,#REF!,Plano_Detalhado!E324,#REF!,Plano_Detalhado!F324)</f>
        <v>#REF!</v>
      </c>
      <c r="L324" s="67" t="e">
        <f t="shared" si="40"/>
        <v>#REF!</v>
      </c>
      <c r="M324" s="61"/>
      <c r="N324" s="61" t="e">
        <f t="shared" si="41"/>
        <v>#REF!</v>
      </c>
      <c r="O324" s="61" t="e">
        <f t="shared" si="42"/>
        <v>#REF!</v>
      </c>
      <c r="P324" s="22" t="s">
        <v>29</v>
      </c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24"/>
      <c r="BI324" s="14"/>
      <c r="BJ324" s="14"/>
      <c r="BK324" s="14"/>
      <c r="BL324" s="14"/>
      <c r="BN324" s="2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</row>
    <row r="325" spans="1:79" hidden="1" outlineLevel="1" x14ac:dyDescent="0.25">
      <c r="A325" s="3" t="str">
        <f t="shared" si="43"/>
        <v>modesg_inp_nfrd_alinhamento_taxppc_trnvr_ttl_elgbl</v>
      </c>
      <c r="B325" s="8" t="s">
        <v>16</v>
      </c>
      <c r="C325" s="9" t="s">
        <v>171</v>
      </c>
      <c r="D325" s="6" t="s">
        <v>30</v>
      </c>
      <c r="E325" s="7" t="s">
        <v>206</v>
      </c>
      <c r="F325" s="6" t="s">
        <v>250</v>
      </c>
      <c r="G325" s="6" t="e">
        <f>INDEX(#REF!,MATCH(Plano_Detalhado!H325,#REF!,0),1)</f>
        <v>#REF!</v>
      </c>
      <c r="H325" s="6" t="e">
        <f>VLOOKUP(A325,#REF!,2,0)</f>
        <v>#REF!</v>
      </c>
      <c r="I325" s="67" t="e">
        <f>SUMIFS(#REF!,#REF!,Plano_Detalhado!E325,#REF!,Plano_Detalhado!F325)</f>
        <v>#REF!</v>
      </c>
      <c r="J325" s="67" t="e">
        <f t="shared" si="39"/>
        <v>#REF!</v>
      </c>
      <c r="K325" s="67" t="e">
        <f>SUMIFS(#REF!,#REF!,Plano_Detalhado!E325,#REF!,Plano_Detalhado!F325)</f>
        <v>#REF!</v>
      </c>
      <c r="L325" s="67" t="e">
        <f t="shared" si="40"/>
        <v>#REF!</v>
      </c>
      <c r="M325" s="61"/>
      <c r="N325" s="61" t="e">
        <f t="shared" si="41"/>
        <v>#REF!</v>
      </c>
      <c r="O325" s="61" t="e">
        <f t="shared" si="42"/>
        <v>#REF!</v>
      </c>
      <c r="P325" s="22" t="s">
        <v>29</v>
      </c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24"/>
      <c r="BI325" s="14"/>
      <c r="BJ325" s="14"/>
      <c r="BK325" s="14"/>
      <c r="BL325" s="14"/>
      <c r="BN325" s="2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</row>
    <row r="326" spans="1:79" hidden="1" outlineLevel="1" x14ac:dyDescent="0.25">
      <c r="A326" s="3" t="str">
        <f t="shared" si="43"/>
        <v>modesg_inp_nfrd_alinhamento_taxppc_turnover_own_prfrmnce_algnd</v>
      </c>
      <c r="B326" s="8" t="s">
        <v>16</v>
      </c>
      <c r="C326" s="9" t="s">
        <v>171</v>
      </c>
      <c r="D326" s="6" t="s">
        <v>30</v>
      </c>
      <c r="E326" s="7" t="s">
        <v>206</v>
      </c>
      <c r="F326" s="6" t="s">
        <v>251</v>
      </c>
      <c r="G326" s="6" t="e">
        <f>INDEX(#REF!,MATCH(Plano_Detalhado!H326,#REF!,0),1)</f>
        <v>#REF!</v>
      </c>
      <c r="H326" s="6" t="e">
        <f>VLOOKUP(A326,#REF!,2,0)</f>
        <v>#REF!</v>
      </c>
      <c r="I326" s="67" t="e">
        <f>SUMIFS(#REF!,#REF!,Plano_Detalhado!E326,#REF!,Plano_Detalhado!F326)</f>
        <v>#REF!</v>
      </c>
      <c r="J326" s="67" t="e">
        <f t="shared" si="39"/>
        <v>#REF!</v>
      </c>
      <c r="K326" s="67" t="e">
        <f>SUMIFS(#REF!,#REF!,Plano_Detalhado!E326,#REF!,Plano_Detalhado!F326)</f>
        <v>#REF!</v>
      </c>
      <c r="L326" s="67" t="e">
        <f t="shared" si="40"/>
        <v>#REF!</v>
      </c>
      <c r="M326" s="61"/>
      <c r="N326" s="61" t="e">
        <f t="shared" si="41"/>
        <v>#REF!</v>
      </c>
      <c r="O326" s="61" t="e">
        <f t="shared" si="42"/>
        <v>#REF!</v>
      </c>
      <c r="P326" s="22" t="s">
        <v>29</v>
      </c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24"/>
      <c r="BI326" s="14"/>
      <c r="BJ326" s="14"/>
      <c r="BK326" s="14"/>
      <c r="BL326" s="14"/>
      <c r="BN326" s="2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</row>
    <row r="327" spans="1:79" hidden="1" outlineLevel="1" x14ac:dyDescent="0.25">
      <c r="A327" s="3" t="str">
        <f t="shared" si="43"/>
        <v>modesg_inp_nfrd_alinhamento_taxppc_capex_ttl_elgbl</v>
      </c>
      <c r="B327" s="8" t="s">
        <v>16</v>
      </c>
      <c r="C327" s="9" t="s">
        <v>171</v>
      </c>
      <c r="D327" s="6" t="s">
        <v>30</v>
      </c>
      <c r="E327" s="7" t="s">
        <v>206</v>
      </c>
      <c r="F327" s="6" t="s">
        <v>252</v>
      </c>
      <c r="G327" s="6" t="e">
        <f>INDEX(#REF!,MATCH(Plano_Detalhado!H327,#REF!,0),1)</f>
        <v>#REF!</v>
      </c>
      <c r="H327" s="6" t="e">
        <f>VLOOKUP(A327,#REF!,2,0)</f>
        <v>#REF!</v>
      </c>
      <c r="I327" s="67" t="e">
        <f>SUMIFS(#REF!,#REF!,Plano_Detalhado!E327,#REF!,Plano_Detalhado!F327)</f>
        <v>#REF!</v>
      </c>
      <c r="J327" s="67" t="e">
        <f t="shared" si="39"/>
        <v>#REF!</v>
      </c>
      <c r="K327" s="67" t="e">
        <f>SUMIFS(#REF!,#REF!,Plano_Detalhado!E327,#REF!,Plano_Detalhado!F327)</f>
        <v>#REF!</v>
      </c>
      <c r="L327" s="67" t="e">
        <f t="shared" si="40"/>
        <v>#REF!</v>
      </c>
      <c r="M327" s="61"/>
      <c r="N327" s="61" t="e">
        <f t="shared" si="41"/>
        <v>#REF!</v>
      </c>
      <c r="O327" s="61" t="e">
        <f t="shared" si="42"/>
        <v>#REF!</v>
      </c>
      <c r="P327" s="22" t="s">
        <v>29</v>
      </c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24"/>
      <c r="BI327" s="14"/>
      <c r="BJ327" s="14"/>
      <c r="BK327" s="14"/>
      <c r="BL327" s="14"/>
      <c r="BN327" s="2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</row>
    <row r="328" spans="1:79" hidden="1" outlineLevel="1" x14ac:dyDescent="0.25">
      <c r="A328" s="3" t="str">
        <f t="shared" si="43"/>
        <v>modesg_inp_nfrd_alinhamento_taxppc_capex_own_prfrmnce_algnd</v>
      </c>
      <c r="B328" s="8" t="s">
        <v>16</v>
      </c>
      <c r="C328" s="9" t="s">
        <v>171</v>
      </c>
      <c r="D328" s="6" t="s">
        <v>30</v>
      </c>
      <c r="E328" s="7" t="s">
        <v>206</v>
      </c>
      <c r="F328" s="6" t="s">
        <v>253</v>
      </c>
      <c r="G328" s="6" t="e">
        <f>INDEX(#REF!,MATCH(Plano_Detalhado!H328,#REF!,0),1)</f>
        <v>#REF!</v>
      </c>
      <c r="H328" s="6" t="e">
        <f>VLOOKUP(A328,#REF!,2,0)</f>
        <v>#REF!</v>
      </c>
      <c r="I328" s="67" t="e">
        <f>SUMIFS(#REF!,#REF!,Plano_Detalhado!E328,#REF!,Plano_Detalhado!F328)</f>
        <v>#REF!</v>
      </c>
      <c r="J328" s="67" t="e">
        <f t="shared" si="39"/>
        <v>#REF!</v>
      </c>
      <c r="K328" s="67" t="e">
        <f>SUMIFS(#REF!,#REF!,Plano_Detalhado!E328,#REF!,Plano_Detalhado!F328)</f>
        <v>#REF!</v>
      </c>
      <c r="L328" s="67" t="e">
        <f t="shared" si="40"/>
        <v>#REF!</v>
      </c>
      <c r="M328" s="61"/>
      <c r="N328" s="61" t="e">
        <f t="shared" si="41"/>
        <v>#REF!</v>
      </c>
      <c r="O328" s="61" t="e">
        <f t="shared" si="42"/>
        <v>#REF!</v>
      </c>
      <c r="P328" s="22" t="s">
        <v>29</v>
      </c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24"/>
      <c r="BI328" s="14"/>
      <c r="BJ328" s="14"/>
      <c r="BK328" s="14"/>
      <c r="BL328" s="14"/>
      <c r="BN328" s="2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</row>
    <row r="329" spans="1:79" hidden="1" outlineLevel="1" x14ac:dyDescent="0.25">
      <c r="A329" s="3" t="str">
        <f t="shared" si="43"/>
        <v>modesg_inp_nfrd_alinhamento_taxbio_trnvr_ttl_elgbl</v>
      </c>
      <c r="B329" s="8" t="s">
        <v>16</v>
      </c>
      <c r="C329" s="9" t="s">
        <v>171</v>
      </c>
      <c r="D329" s="6" t="s">
        <v>30</v>
      </c>
      <c r="E329" s="7" t="s">
        <v>206</v>
      </c>
      <c r="F329" s="6" t="s">
        <v>254</v>
      </c>
      <c r="G329" s="6" t="e">
        <f>INDEX(#REF!,MATCH(Plano_Detalhado!H329,#REF!,0),1)</f>
        <v>#REF!</v>
      </c>
      <c r="H329" s="6" t="e">
        <f>VLOOKUP(A329,#REF!,2,0)</f>
        <v>#REF!</v>
      </c>
      <c r="I329" s="67" t="e">
        <f>SUMIFS(#REF!,#REF!,Plano_Detalhado!E329,#REF!,Plano_Detalhado!F329)</f>
        <v>#REF!</v>
      </c>
      <c r="J329" s="67" t="e">
        <f t="shared" si="39"/>
        <v>#REF!</v>
      </c>
      <c r="K329" s="67" t="e">
        <f>SUMIFS(#REF!,#REF!,Plano_Detalhado!E329,#REF!,Plano_Detalhado!F329)</f>
        <v>#REF!</v>
      </c>
      <c r="L329" s="67" t="e">
        <f t="shared" si="40"/>
        <v>#REF!</v>
      </c>
      <c r="M329" s="61"/>
      <c r="N329" s="61" t="e">
        <f t="shared" si="41"/>
        <v>#REF!</v>
      </c>
      <c r="O329" s="61" t="e">
        <f t="shared" si="42"/>
        <v>#REF!</v>
      </c>
      <c r="P329" s="22" t="s">
        <v>29</v>
      </c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24"/>
      <c r="BI329" s="14"/>
      <c r="BJ329" s="14"/>
      <c r="BK329" s="14"/>
      <c r="BL329" s="14"/>
      <c r="BN329" s="2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</row>
    <row r="330" spans="1:79" hidden="1" outlineLevel="1" x14ac:dyDescent="0.25">
      <c r="A330" s="3" t="str">
        <f t="shared" si="43"/>
        <v>modesg_inp_nfrd_alinhamento_taxbio_turnover_own_prfrmnce_algnd</v>
      </c>
      <c r="B330" s="8" t="s">
        <v>16</v>
      </c>
      <c r="C330" s="9" t="s">
        <v>171</v>
      </c>
      <c r="D330" s="6" t="s">
        <v>30</v>
      </c>
      <c r="E330" s="7" t="s">
        <v>206</v>
      </c>
      <c r="F330" s="6" t="s">
        <v>255</v>
      </c>
      <c r="G330" s="6" t="e">
        <f>INDEX(#REF!,MATCH(Plano_Detalhado!H330,#REF!,0),1)</f>
        <v>#REF!</v>
      </c>
      <c r="H330" s="6" t="e">
        <f>VLOOKUP(A330,#REF!,2,0)</f>
        <v>#REF!</v>
      </c>
      <c r="I330" s="67" t="e">
        <f>SUMIFS(#REF!,#REF!,Plano_Detalhado!E330,#REF!,Plano_Detalhado!F330)</f>
        <v>#REF!</v>
      </c>
      <c r="J330" s="67" t="e">
        <f t="shared" si="39"/>
        <v>#REF!</v>
      </c>
      <c r="K330" s="67" t="e">
        <f>SUMIFS(#REF!,#REF!,Plano_Detalhado!E330,#REF!,Plano_Detalhado!F330)</f>
        <v>#REF!</v>
      </c>
      <c r="L330" s="67" t="e">
        <f t="shared" si="40"/>
        <v>#REF!</v>
      </c>
      <c r="M330" s="61"/>
      <c r="N330" s="61" t="e">
        <f t="shared" si="41"/>
        <v>#REF!</v>
      </c>
      <c r="O330" s="61" t="e">
        <f t="shared" si="42"/>
        <v>#REF!</v>
      </c>
      <c r="P330" s="22" t="s">
        <v>29</v>
      </c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24"/>
      <c r="BI330" s="14"/>
      <c r="BJ330" s="14"/>
      <c r="BK330" s="14"/>
      <c r="BL330" s="14"/>
      <c r="BN330" s="2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</row>
    <row r="331" spans="1:79" hidden="1" outlineLevel="1" x14ac:dyDescent="0.25">
      <c r="A331" s="3" t="str">
        <f t="shared" si="43"/>
        <v>modesg_inp_nfrd_alinhamento_taxbio_capex_ttl_elgbl</v>
      </c>
      <c r="B331" s="8" t="s">
        <v>16</v>
      </c>
      <c r="C331" s="9" t="s">
        <v>171</v>
      </c>
      <c r="D331" s="6" t="s">
        <v>30</v>
      </c>
      <c r="E331" s="7" t="s">
        <v>206</v>
      </c>
      <c r="F331" s="6" t="s">
        <v>256</v>
      </c>
      <c r="G331" s="6" t="e">
        <f>INDEX(#REF!,MATCH(Plano_Detalhado!H331,#REF!,0),1)</f>
        <v>#REF!</v>
      </c>
      <c r="H331" s="6" t="e">
        <f>VLOOKUP(A331,#REF!,2,0)</f>
        <v>#REF!</v>
      </c>
      <c r="I331" s="67" t="e">
        <f>SUMIFS(#REF!,#REF!,Plano_Detalhado!E331,#REF!,Plano_Detalhado!F331)</f>
        <v>#REF!</v>
      </c>
      <c r="J331" s="67" t="e">
        <f t="shared" si="39"/>
        <v>#REF!</v>
      </c>
      <c r="K331" s="67" t="e">
        <f>SUMIFS(#REF!,#REF!,Plano_Detalhado!E331,#REF!,Plano_Detalhado!F331)</f>
        <v>#REF!</v>
      </c>
      <c r="L331" s="67" t="e">
        <f t="shared" si="40"/>
        <v>#REF!</v>
      </c>
      <c r="M331" s="61"/>
      <c r="N331" s="61" t="e">
        <f t="shared" si="41"/>
        <v>#REF!</v>
      </c>
      <c r="O331" s="61" t="e">
        <f t="shared" si="42"/>
        <v>#REF!</v>
      </c>
      <c r="P331" s="22" t="s">
        <v>29</v>
      </c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24"/>
      <c r="BI331" s="14"/>
      <c r="BJ331" s="14"/>
      <c r="BK331" s="14"/>
      <c r="BL331" s="14"/>
      <c r="BN331" s="2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</row>
    <row r="332" spans="1:79" hidden="1" outlineLevel="1" x14ac:dyDescent="0.25">
      <c r="A332" s="3" t="str">
        <f t="shared" si="43"/>
        <v>modesg_inp_nfrd_alinhamento_taxbio_capex_own_prfrmnce_algnd</v>
      </c>
      <c r="B332" s="8" t="s">
        <v>16</v>
      </c>
      <c r="C332" s="9" t="s">
        <v>171</v>
      </c>
      <c r="D332" s="6" t="s">
        <v>30</v>
      </c>
      <c r="E332" s="7" t="s">
        <v>206</v>
      </c>
      <c r="F332" s="6" t="s">
        <v>257</v>
      </c>
      <c r="G332" s="6" t="e">
        <f>INDEX(#REF!,MATCH(Plano_Detalhado!H332,#REF!,0),1)</f>
        <v>#REF!</v>
      </c>
      <c r="H332" s="6" t="e">
        <f>VLOOKUP(A332,#REF!,2,0)</f>
        <v>#REF!</v>
      </c>
      <c r="I332" s="67" t="e">
        <f>SUMIFS(#REF!,#REF!,Plano_Detalhado!E332,#REF!,Plano_Detalhado!F332)</f>
        <v>#REF!</v>
      </c>
      <c r="J332" s="67" t="e">
        <f t="shared" si="39"/>
        <v>#REF!</v>
      </c>
      <c r="K332" s="67" t="e">
        <f>SUMIFS(#REF!,#REF!,Plano_Detalhado!E332,#REF!,Plano_Detalhado!F332)</f>
        <v>#REF!</v>
      </c>
      <c r="L332" s="67" t="e">
        <f t="shared" si="40"/>
        <v>#REF!</v>
      </c>
      <c r="M332" s="61"/>
      <c r="N332" s="61" t="e">
        <f t="shared" si="41"/>
        <v>#REF!</v>
      </c>
      <c r="O332" s="61" t="e">
        <f t="shared" si="42"/>
        <v>#REF!</v>
      </c>
      <c r="P332" s="22" t="s">
        <v>29</v>
      </c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24"/>
      <c r="BI332" s="14"/>
      <c r="BJ332" s="14"/>
      <c r="BK332" s="14"/>
      <c r="BL332" s="14"/>
      <c r="BN332" s="2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</row>
    <row r="333" spans="1:79" hidden="1" outlineLevel="1" x14ac:dyDescent="0.25">
      <c r="A333" s="3" t="str">
        <f t="shared" si="43"/>
        <v>modesg_inp_nfrd_alinhamento_taxwtr_trnvr_ttl_elgbl</v>
      </c>
      <c r="B333" s="8" t="s">
        <v>16</v>
      </c>
      <c r="C333" s="9" t="s">
        <v>171</v>
      </c>
      <c r="D333" s="6" t="s">
        <v>30</v>
      </c>
      <c r="E333" s="7" t="s">
        <v>206</v>
      </c>
      <c r="F333" s="6" t="s">
        <v>258</v>
      </c>
      <c r="G333" s="6" t="e">
        <f>INDEX(#REF!,MATCH(Plano_Detalhado!H333,#REF!,0),1)</f>
        <v>#REF!</v>
      </c>
      <c r="H333" s="6" t="e">
        <f>VLOOKUP(A333,#REF!,2,0)</f>
        <v>#REF!</v>
      </c>
      <c r="I333" s="67" t="e">
        <f>SUMIFS(#REF!,#REF!,Plano_Detalhado!E333,#REF!,Plano_Detalhado!F333)</f>
        <v>#REF!</v>
      </c>
      <c r="J333" s="67" t="e">
        <f t="shared" si="39"/>
        <v>#REF!</v>
      </c>
      <c r="K333" s="67" t="e">
        <f>SUMIFS(#REF!,#REF!,Plano_Detalhado!E333,#REF!,Plano_Detalhado!F333)</f>
        <v>#REF!</v>
      </c>
      <c r="L333" s="67" t="e">
        <f t="shared" si="40"/>
        <v>#REF!</v>
      </c>
      <c r="M333" s="61"/>
      <c r="N333" s="61" t="e">
        <f t="shared" si="41"/>
        <v>#REF!</v>
      </c>
      <c r="O333" s="61" t="e">
        <f t="shared" si="42"/>
        <v>#REF!</v>
      </c>
      <c r="P333" s="22" t="s">
        <v>29</v>
      </c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24"/>
      <c r="BI333" s="14"/>
      <c r="BJ333" s="14"/>
      <c r="BK333" s="14"/>
      <c r="BL333" s="14"/>
      <c r="BN333" s="2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</row>
    <row r="334" spans="1:79" hidden="1" outlineLevel="1" x14ac:dyDescent="0.25">
      <c r="A334" s="3" t="str">
        <f t="shared" si="43"/>
        <v>modesg_inp_nfrd_alinhamento_taxwtr_trnvr_enblng_alignd</v>
      </c>
      <c r="B334" s="8" t="s">
        <v>16</v>
      </c>
      <c r="C334" s="9" t="s">
        <v>171</v>
      </c>
      <c r="D334" s="6" t="s">
        <v>30</v>
      </c>
      <c r="E334" s="7" t="s">
        <v>206</v>
      </c>
      <c r="F334" s="6" t="s">
        <v>259</v>
      </c>
      <c r="G334" s="6" t="e">
        <f>INDEX(#REF!,MATCH(Plano_Detalhado!H334,#REF!,0),1)</f>
        <v>#REF!</v>
      </c>
      <c r="H334" s="6" t="e">
        <f>VLOOKUP(A334,#REF!,2,0)</f>
        <v>#REF!</v>
      </c>
      <c r="I334" s="67" t="e">
        <f>SUMIFS(#REF!,#REF!,Plano_Detalhado!E334,#REF!,Plano_Detalhado!F334)</f>
        <v>#REF!</v>
      </c>
      <c r="J334" s="67" t="e">
        <f t="shared" si="39"/>
        <v>#REF!</v>
      </c>
      <c r="K334" s="67" t="e">
        <f>SUMIFS(#REF!,#REF!,Plano_Detalhado!E334,#REF!,Plano_Detalhado!F334)</f>
        <v>#REF!</v>
      </c>
      <c r="L334" s="67" t="e">
        <f t="shared" si="40"/>
        <v>#REF!</v>
      </c>
      <c r="M334" s="61"/>
      <c r="N334" s="61" t="e">
        <f t="shared" si="41"/>
        <v>#REF!</v>
      </c>
      <c r="O334" s="61" t="e">
        <f t="shared" si="42"/>
        <v>#REF!</v>
      </c>
      <c r="P334" s="22" t="s">
        <v>29</v>
      </c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24"/>
      <c r="BI334" s="14"/>
      <c r="BJ334" s="14"/>
      <c r="BK334" s="14"/>
      <c r="BL334" s="14"/>
      <c r="BN334" s="2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</row>
    <row r="335" spans="1:79" hidden="1" outlineLevel="1" x14ac:dyDescent="0.25">
      <c r="A335" s="3" t="str">
        <f t="shared" si="43"/>
        <v>modesg_inp_nfrd_alinhamento_taxwtr_turnover_own_prfrmnce_algnd</v>
      </c>
      <c r="B335" s="8" t="s">
        <v>16</v>
      </c>
      <c r="C335" s="9" t="s">
        <v>171</v>
      </c>
      <c r="D335" s="6" t="s">
        <v>30</v>
      </c>
      <c r="E335" s="7" t="s">
        <v>206</v>
      </c>
      <c r="F335" s="6" t="s">
        <v>260</v>
      </c>
      <c r="G335" s="6" t="e">
        <f>INDEX(#REF!,MATCH(Plano_Detalhado!H335,#REF!,0),1)</f>
        <v>#REF!</v>
      </c>
      <c r="H335" s="6" t="e">
        <f>VLOOKUP(A335,#REF!,2,0)</f>
        <v>#REF!</v>
      </c>
      <c r="I335" s="67" t="e">
        <f>SUMIFS(#REF!,#REF!,Plano_Detalhado!E335,#REF!,Plano_Detalhado!F335)</f>
        <v>#REF!</v>
      </c>
      <c r="J335" s="67" t="e">
        <f t="shared" si="39"/>
        <v>#REF!</v>
      </c>
      <c r="K335" s="67" t="e">
        <f>SUMIFS(#REF!,#REF!,Plano_Detalhado!E335,#REF!,Plano_Detalhado!F335)</f>
        <v>#REF!</v>
      </c>
      <c r="L335" s="67" t="e">
        <f t="shared" si="40"/>
        <v>#REF!</v>
      </c>
      <c r="M335" s="61"/>
      <c r="N335" s="61" t="e">
        <f t="shared" si="41"/>
        <v>#REF!</v>
      </c>
      <c r="O335" s="61" t="e">
        <f t="shared" si="42"/>
        <v>#REF!</v>
      </c>
      <c r="P335" s="22" t="s">
        <v>29</v>
      </c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24"/>
      <c r="BI335" s="14"/>
      <c r="BJ335" s="14"/>
      <c r="BK335" s="14"/>
      <c r="BL335" s="14"/>
      <c r="BN335" s="2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</row>
    <row r="336" spans="1:79" hidden="1" outlineLevel="1" x14ac:dyDescent="0.25">
      <c r="A336" s="3" t="str">
        <f t="shared" si="43"/>
        <v>modesg_inp_nfrd_alinhamento_taxwtr_capex_ttl_elgbl</v>
      </c>
      <c r="B336" s="8" t="s">
        <v>16</v>
      </c>
      <c r="C336" s="9" t="s">
        <v>171</v>
      </c>
      <c r="D336" s="6" t="s">
        <v>30</v>
      </c>
      <c r="E336" s="7" t="s">
        <v>206</v>
      </c>
      <c r="F336" s="6" t="s">
        <v>261</v>
      </c>
      <c r="G336" s="6" t="e">
        <f>INDEX(#REF!,MATCH(Plano_Detalhado!H336,#REF!,0),1)</f>
        <v>#REF!</v>
      </c>
      <c r="H336" s="6" t="e">
        <f>VLOOKUP(A336,#REF!,2,0)</f>
        <v>#REF!</v>
      </c>
      <c r="I336" s="67" t="e">
        <f>SUMIFS(#REF!,#REF!,Plano_Detalhado!E336,#REF!,Plano_Detalhado!F336)</f>
        <v>#REF!</v>
      </c>
      <c r="J336" s="67" t="e">
        <f t="shared" si="39"/>
        <v>#REF!</v>
      </c>
      <c r="K336" s="67" t="e">
        <f>SUMIFS(#REF!,#REF!,Plano_Detalhado!E336,#REF!,Plano_Detalhado!F336)</f>
        <v>#REF!</v>
      </c>
      <c r="L336" s="67" t="e">
        <f t="shared" si="40"/>
        <v>#REF!</v>
      </c>
      <c r="M336" s="61"/>
      <c r="N336" s="61" t="e">
        <f t="shared" si="41"/>
        <v>#REF!</v>
      </c>
      <c r="O336" s="61" t="e">
        <f t="shared" si="42"/>
        <v>#REF!</v>
      </c>
      <c r="P336" s="22" t="s">
        <v>29</v>
      </c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24"/>
      <c r="BI336" s="14"/>
      <c r="BJ336" s="14"/>
      <c r="BK336" s="14"/>
      <c r="BL336" s="14"/>
      <c r="BN336" s="2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</row>
    <row r="337" spans="1:79" hidden="1" outlineLevel="1" x14ac:dyDescent="0.25">
      <c r="A337" s="3" t="str">
        <f t="shared" si="43"/>
        <v>modesg_inp_nfrd_alinhamento_taxwtr_capex_enblng_algnd</v>
      </c>
      <c r="B337" s="8" t="s">
        <v>16</v>
      </c>
      <c r="C337" s="9" t="s">
        <v>171</v>
      </c>
      <c r="D337" s="6" t="s">
        <v>30</v>
      </c>
      <c r="E337" s="7" t="s">
        <v>206</v>
      </c>
      <c r="F337" s="6" t="s">
        <v>262</v>
      </c>
      <c r="G337" s="6" t="e">
        <f>INDEX(#REF!,MATCH(Plano_Detalhado!H337,#REF!,0),1)</f>
        <v>#REF!</v>
      </c>
      <c r="H337" s="6" t="e">
        <f>VLOOKUP(A337,#REF!,2,0)</f>
        <v>#REF!</v>
      </c>
      <c r="I337" s="67" t="e">
        <f>SUMIFS(#REF!,#REF!,Plano_Detalhado!E337,#REF!,Plano_Detalhado!F337)</f>
        <v>#REF!</v>
      </c>
      <c r="J337" s="67" t="e">
        <f t="shared" si="39"/>
        <v>#REF!</v>
      </c>
      <c r="K337" s="67" t="e">
        <f>SUMIFS(#REF!,#REF!,Plano_Detalhado!E337,#REF!,Plano_Detalhado!F337)</f>
        <v>#REF!</v>
      </c>
      <c r="L337" s="67" t="e">
        <f t="shared" si="40"/>
        <v>#REF!</v>
      </c>
      <c r="M337" s="61"/>
      <c r="N337" s="61" t="e">
        <f t="shared" si="41"/>
        <v>#REF!</v>
      </c>
      <c r="O337" s="61" t="e">
        <f t="shared" si="42"/>
        <v>#REF!</v>
      </c>
      <c r="P337" s="22" t="s">
        <v>29</v>
      </c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24"/>
      <c r="BI337" s="14"/>
      <c r="BJ337" s="14"/>
      <c r="BK337" s="14"/>
      <c r="BL337" s="14"/>
      <c r="BN337" s="2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</row>
    <row r="338" spans="1:79" hidden="1" outlineLevel="1" x14ac:dyDescent="0.25">
      <c r="A338" s="3" t="str">
        <f t="shared" si="43"/>
        <v>modesg_inp_nfrd_alinhamento_taxwtr_capex_own_prfrmnce_algnd</v>
      </c>
      <c r="B338" s="8" t="s">
        <v>16</v>
      </c>
      <c r="C338" s="9" t="s">
        <v>171</v>
      </c>
      <c r="D338" s="6" t="s">
        <v>30</v>
      </c>
      <c r="E338" s="7" t="s">
        <v>206</v>
      </c>
      <c r="F338" s="6" t="s">
        <v>263</v>
      </c>
      <c r="G338" s="6" t="e">
        <f>INDEX(#REF!,MATCH(Plano_Detalhado!H338,#REF!,0),1)</f>
        <v>#REF!</v>
      </c>
      <c r="H338" s="6" t="e">
        <f>VLOOKUP(A338,#REF!,2,0)</f>
        <v>#REF!</v>
      </c>
      <c r="I338" s="67" t="e">
        <f>SUMIFS(#REF!,#REF!,Plano_Detalhado!E338,#REF!,Plano_Detalhado!F338)</f>
        <v>#REF!</v>
      </c>
      <c r="J338" s="67" t="e">
        <f t="shared" si="39"/>
        <v>#REF!</v>
      </c>
      <c r="K338" s="67" t="e">
        <f>SUMIFS(#REF!,#REF!,Plano_Detalhado!E338,#REF!,Plano_Detalhado!F338)</f>
        <v>#REF!</v>
      </c>
      <c r="L338" s="67" t="e">
        <f t="shared" si="40"/>
        <v>#REF!</v>
      </c>
      <c r="M338" s="61"/>
      <c r="N338" s="61" t="e">
        <f t="shared" si="41"/>
        <v>#REF!</v>
      </c>
      <c r="O338" s="61" t="e">
        <f t="shared" si="42"/>
        <v>#REF!</v>
      </c>
      <c r="P338" s="22" t="s">
        <v>29</v>
      </c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24"/>
      <c r="BI338" s="14"/>
      <c r="BJ338" s="14"/>
      <c r="BK338" s="14"/>
      <c r="BL338" s="14"/>
      <c r="BN338" s="2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</row>
    <row r="339" spans="1:79" hidden="1" outlineLevel="1" x14ac:dyDescent="0.25">
      <c r="A339" s="3" t="str">
        <f t="shared" si="43"/>
        <v>modesg_inp_nfrd_alinhamento_taxce_trnvr_ttl_elgbl</v>
      </c>
      <c r="B339" s="8" t="s">
        <v>16</v>
      </c>
      <c r="C339" s="9" t="s">
        <v>171</v>
      </c>
      <c r="D339" s="6" t="s">
        <v>30</v>
      </c>
      <c r="E339" s="7" t="s">
        <v>206</v>
      </c>
      <c r="F339" s="6" t="s">
        <v>264</v>
      </c>
      <c r="G339" s="6" t="e">
        <f>INDEX(#REF!,MATCH(Plano_Detalhado!H339,#REF!,0),1)</f>
        <v>#REF!</v>
      </c>
      <c r="H339" s="6" t="e">
        <f>VLOOKUP(A339,#REF!,2,0)</f>
        <v>#REF!</v>
      </c>
      <c r="I339" s="67" t="e">
        <f>SUMIFS(#REF!,#REF!,Plano_Detalhado!E339,#REF!,Plano_Detalhado!F339)</f>
        <v>#REF!</v>
      </c>
      <c r="J339" s="67" t="e">
        <f t="shared" si="39"/>
        <v>#REF!</v>
      </c>
      <c r="K339" s="67" t="e">
        <f>SUMIFS(#REF!,#REF!,Plano_Detalhado!E339,#REF!,Plano_Detalhado!F339)</f>
        <v>#REF!</v>
      </c>
      <c r="L339" s="67" t="e">
        <f t="shared" si="40"/>
        <v>#REF!</v>
      </c>
      <c r="M339" s="61"/>
      <c r="N339" s="61" t="e">
        <f t="shared" si="41"/>
        <v>#REF!</v>
      </c>
      <c r="O339" s="61" t="e">
        <f t="shared" si="42"/>
        <v>#REF!</v>
      </c>
      <c r="P339" s="22" t="s">
        <v>29</v>
      </c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24"/>
      <c r="BI339" s="14"/>
      <c r="BJ339" s="14"/>
      <c r="BK339" s="14"/>
      <c r="BL339" s="14"/>
      <c r="BN339" s="2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</row>
    <row r="340" spans="1:79" hidden="1" outlineLevel="1" x14ac:dyDescent="0.25">
      <c r="A340" s="3" t="str">
        <f t="shared" si="43"/>
        <v>modesg_inp_nfrd_alinhamento_taxce_trnvr_enblng_alignd</v>
      </c>
      <c r="B340" s="8" t="s">
        <v>16</v>
      </c>
      <c r="C340" s="9" t="s">
        <v>171</v>
      </c>
      <c r="D340" s="6" t="s">
        <v>30</v>
      </c>
      <c r="E340" s="7" t="s">
        <v>206</v>
      </c>
      <c r="F340" s="6" t="s">
        <v>265</v>
      </c>
      <c r="G340" s="6" t="e">
        <f>INDEX(#REF!,MATCH(Plano_Detalhado!H340,#REF!,0),1)</f>
        <v>#REF!</v>
      </c>
      <c r="H340" s="6" t="e">
        <f>VLOOKUP(A340,#REF!,2,0)</f>
        <v>#REF!</v>
      </c>
      <c r="I340" s="67" t="e">
        <f>SUMIFS(#REF!,#REF!,Plano_Detalhado!E340,#REF!,Plano_Detalhado!F340)</f>
        <v>#REF!</v>
      </c>
      <c r="J340" s="67" t="e">
        <f t="shared" si="39"/>
        <v>#REF!</v>
      </c>
      <c r="K340" s="67" t="e">
        <f>SUMIFS(#REF!,#REF!,Plano_Detalhado!E340,#REF!,Plano_Detalhado!F340)</f>
        <v>#REF!</v>
      </c>
      <c r="L340" s="67" t="e">
        <f t="shared" si="40"/>
        <v>#REF!</v>
      </c>
      <c r="M340" s="61"/>
      <c r="N340" s="61" t="e">
        <f t="shared" si="41"/>
        <v>#REF!</v>
      </c>
      <c r="O340" s="61" t="e">
        <f t="shared" si="42"/>
        <v>#REF!</v>
      </c>
      <c r="P340" s="22" t="s">
        <v>29</v>
      </c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24"/>
      <c r="BI340" s="14"/>
      <c r="BJ340" s="14"/>
      <c r="BK340" s="14"/>
      <c r="BL340" s="14"/>
      <c r="BN340" s="2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</row>
    <row r="341" spans="1:79" hidden="1" outlineLevel="1" x14ac:dyDescent="0.25">
      <c r="A341" s="3" t="str">
        <f t="shared" si="43"/>
        <v>modesg_inp_nfrd_alinhamento_taxce_turnover_own_prfrmnce_algnd</v>
      </c>
      <c r="B341" s="8" t="s">
        <v>16</v>
      </c>
      <c r="C341" s="9" t="s">
        <v>171</v>
      </c>
      <c r="D341" s="6" t="s">
        <v>30</v>
      </c>
      <c r="E341" s="7" t="s">
        <v>206</v>
      </c>
      <c r="F341" s="6" t="s">
        <v>266</v>
      </c>
      <c r="G341" s="6" t="e">
        <f>INDEX(#REF!,MATCH(Plano_Detalhado!H341,#REF!,0),1)</f>
        <v>#REF!</v>
      </c>
      <c r="H341" s="6" t="e">
        <f>VLOOKUP(A341,#REF!,2,0)</f>
        <v>#REF!</v>
      </c>
      <c r="I341" s="67" t="e">
        <f>SUMIFS(#REF!,#REF!,Plano_Detalhado!E341,#REF!,Plano_Detalhado!F341)</f>
        <v>#REF!</v>
      </c>
      <c r="J341" s="67" t="e">
        <f t="shared" si="39"/>
        <v>#REF!</v>
      </c>
      <c r="K341" s="67" t="e">
        <f>SUMIFS(#REF!,#REF!,Plano_Detalhado!E341,#REF!,Plano_Detalhado!F341)</f>
        <v>#REF!</v>
      </c>
      <c r="L341" s="67" t="e">
        <f t="shared" si="40"/>
        <v>#REF!</v>
      </c>
      <c r="M341" s="61"/>
      <c r="N341" s="61" t="e">
        <f t="shared" si="41"/>
        <v>#REF!</v>
      </c>
      <c r="O341" s="61" t="e">
        <f t="shared" si="42"/>
        <v>#REF!</v>
      </c>
      <c r="P341" s="22" t="s">
        <v>29</v>
      </c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24"/>
      <c r="BI341" s="14"/>
      <c r="BJ341" s="14"/>
      <c r="BK341" s="14"/>
      <c r="BL341" s="14"/>
      <c r="BN341" s="2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</row>
    <row r="342" spans="1:79" hidden="1" outlineLevel="1" x14ac:dyDescent="0.25">
      <c r="A342" s="3" t="str">
        <f t="shared" si="43"/>
        <v>modesg_inp_nfrd_alinhamento_taxce_capex_ttl_elgbl</v>
      </c>
      <c r="B342" s="8" t="s">
        <v>16</v>
      </c>
      <c r="C342" s="9" t="s">
        <v>171</v>
      </c>
      <c r="D342" s="6" t="s">
        <v>30</v>
      </c>
      <c r="E342" s="7" t="s">
        <v>206</v>
      </c>
      <c r="F342" s="6" t="s">
        <v>267</v>
      </c>
      <c r="G342" s="6" t="e">
        <f>INDEX(#REF!,MATCH(Plano_Detalhado!H342,#REF!,0),1)</f>
        <v>#REF!</v>
      </c>
      <c r="H342" s="6" t="e">
        <f>VLOOKUP(A342,#REF!,2,0)</f>
        <v>#REF!</v>
      </c>
      <c r="I342" s="67" t="e">
        <f>SUMIFS(#REF!,#REF!,Plano_Detalhado!E342,#REF!,Plano_Detalhado!F342)</f>
        <v>#REF!</v>
      </c>
      <c r="J342" s="67" t="e">
        <f t="shared" si="39"/>
        <v>#REF!</v>
      </c>
      <c r="K342" s="67" t="e">
        <f>SUMIFS(#REF!,#REF!,Plano_Detalhado!E342,#REF!,Plano_Detalhado!F342)</f>
        <v>#REF!</v>
      </c>
      <c r="L342" s="67" t="e">
        <f t="shared" si="40"/>
        <v>#REF!</v>
      </c>
      <c r="M342" s="61"/>
      <c r="N342" s="61" t="e">
        <f t="shared" si="41"/>
        <v>#REF!</v>
      </c>
      <c r="O342" s="61" t="e">
        <f t="shared" si="42"/>
        <v>#REF!</v>
      </c>
      <c r="P342" s="22" t="s">
        <v>29</v>
      </c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24"/>
      <c r="BI342" s="14"/>
      <c r="BJ342" s="14"/>
      <c r="BK342" s="14"/>
      <c r="BL342" s="14"/>
      <c r="BN342" s="2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</row>
    <row r="343" spans="1:79" hidden="1" outlineLevel="1" x14ac:dyDescent="0.25">
      <c r="A343" s="3" t="str">
        <f t="shared" si="43"/>
        <v>modesg_inp_nfrd_alinhamento_taxce_capex_enblng_algnd</v>
      </c>
      <c r="B343" s="8" t="s">
        <v>16</v>
      </c>
      <c r="C343" s="9" t="s">
        <v>171</v>
      </c>
      <c r="D343" s="6" t="s">
        <v>30</v>
      </c>
      <c r="E343" s="7" t="s">
        <v>206</v>
      </c>
      <c r="F343" s="6" t="s">
        <v>268</v>
      </c>
      <c r="G343" s="6" t="e">
        <f>INDEX(#REF!,MATCH(Plano_Detalhado!H343,#REF!,0),1)</f>
        <v>#REF!</v>
      </c>
      <c r="H343" s="6" t="e">
        <f>VLOOKUP(A343,#REF!,2,0)</f>
        <v>#REF!</v>
      </c>
      <c r="I343" s="67" t="e">
        <f>SUMIFS(#REF!,#REF!,Plano_Detalhado!E343,#REF!,Plano_Detalhado!F343)</f>
        <v>#REF!</v>
      </c>
      <c r="J343" s="67" t="e">
        <f t="shared" si="39"/>
        <v>#REF!</v>
      </c>
      <c r="K343" s="67" t="e">
        <f>SUMIFS(#REF!,#REF!,Plano_Detalhado!E343,#REF!,Plano_Detalhado!F343)</f>
        <v>#REF!</v>
      </c>
      <c r="L343" s="67" t="e">
        <f t="shared" si="40"/>
        <v>#REF!</v>
      </c>
      <c r="M343" s="61"/>
      <c r="N343" s="61" t="e">
        <f t="shared" si="41"/>
        <v>#REF!</v>
      </c>
      <c r="O343" s="61" t="e">
        <f t="shared" si="42"/>
        <v>#REF!</v>
      </c>
      <c r="P343" s="22" t="s">
        <v>29</v>
      </c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24"/>
      <c r="BI343" s="14"/>
      <c r="BJ343" s="14"/>
      <c r="BK343" s="14"/>
      <c r="BL343" s="14"/>
      <c r="BN343" s="2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</row>
    <row r="344" spans="1:79" hidden="1" outlineLevel="1" x14ac:dyDescent="0.25">
      <c r="A344" s="3" t="str">
        <f t="shared" si="43"/>
        <v>modesg_inp_nfrd_alinhamento_taxce_capex_own_prfrmnce_algnd</v>
      </c>
      <c r="B344" s="8" t="s">
        <v>16</v>
      </c>
      <c r="C344" s="9" t="s">
        <v>171</v>
      </c>
      <c r="D344" s="6" t="s">
        <v>30</v>
      </c>
      <c r="E344" s="7" t="s">
        <v>206</v>
      </c>
      <c r="F344" s="6" t="s">
        <v>269</v>
      </c>
      <c r="G344" s="6" t="e">
        <f>INDEX(#REF!,MATCH(Plano_Detalhado!H344,#REF!,0),1)</f>
        <v>#REF!</v>
      </c>
      <c r="H344" s="6" t="e">
        <f>VLOOKUP(A344,#REF!,2,0)</f>
        <v>#REF!</v>
      </c>
      <c r="I344" s="67" t="e">
        <f>SUMIFS(#REF!,#REF!,Plano_Detalhado!E344,#REF!,Plano_Detalhado!F344)</f>
        <v>#REF!</v>
      </c>
      <c r="J344" s="67" t="e">
        <f t="shared" si="39"/>
        <v>#REF!</v>
      </c>
      <c r="K344" s="67" t="e">
        <f>SUMIFS(#REF!,#REF!,Plano_Detalhado!E344,#REF!,Plano_Detalhado!F344)</f>
        <v>#REF!</v>
      </c>
      <c r="L344" s="67" t="e">
        <f t="shared" si="40"/>
        <v>#REF!</v>
      </c>
      <c r="M344" s="61"/>
      <c r="N344" s="61" t="e">
        <f t="shared" si="41"/>
        <v>#REF!</v>
      </c>
      <c r="O344" s="61" t="e">
        <f t="shared" si="42"/>
        <v>#REF!</v>
      </c>
      <c r="P344" s="22" t="s">
        <v>29</v>
      </c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24"/>
      <c r="BI344" s="14"/>
      <c r="BJ344" s="14"/>
      <c r="BK344" s="14"/>
      <c r="BL344" s="14"/>
      <c r="BN344" s="2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</row>
    <row r="345" spans="1:79" hidden="1" outlineLevel="1" x14ac:dyDescent="0.25">
      <c r="A345" s="3" t="str">
        <f t="shared" si="43"/>
        <v>modesg_inp_risco_fisicoref_date</v>
      </c>
      <c r="B345" s="8" t="s">
        <v>16</v>
      </c>
      <c r="C345" s="9" t="s">
        <v>171</v>
      </c>
      <c r="D345" s="6" t="s">
        <v>30</v>
      </c>
      <c r="E345" s="7" t="s">
        <v>207</v>
      </c>
      <c r="F345" s="6" t="s">
        <v>198</v>
      </c>
      <c r="G345" s="6" t="e">
        <f>INDEX(#REF!,MATCH(Plano_Detalhado!H345,#REF!,0),1)</f>
        <v>#REF!</v>
      </c>
      <c r="H345" s="6" t="e">
        <f>VLOOKUP(A345,#REF!,2,0)</f>
        <v>#REF!</v>
      </c>
      <c r="I345" s="67" t="e">
        <f>SUMIFS(#REF!,#REF!,Plano_Detalhado!E345,#REF!,Plano_Detalhado!F345)</f>
        <v>#REF!</v>
      </c>
      <c r="J345" s="67" t="e">
        <f t="shared" si="39"/>
        <v>#REF!</v>
      </c>
      <c r="K345" s="67" t="e">
        <f>SUMIFS(#REF!,#REF!,Plano_Detalhado!E345,#REF!,Plano_Detalhado!F345)</f>
        <v>#REF!</v>
      </c>
      <c r="L345" s="67" t="e">
        <f t="shared" si="40"/>
        <v>#REF!</v>
      </c>
      <c r="M345" s="61"/>
      <c r="N345" s="61" t="e">
        <f t="shared" si="41"/>
        <v>#REF!</v>
      </c>
      <c r="O345" s="61" t="e">
        <f t="shared" si="42"/>
        <v>#REF!</v>
      </c>
      <c r="P345" s="22" t="s">
        <v>29</v>
      </c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24"/>
      <c r="BI345" s="14"/>
      <c r="BJ345" s="14"/>
      <c r="BK345" s="14"/>
      <c r="BL345" s="14"/>
      <c r="BN345" s="2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</row>
    <row r="346" spans="1:79" hidden="1" outlineLevel="1" x14ac:dyDescent="0.25">
      <c r="A346" s="3" t="str">
        <f t="shared" si="43"/>
        <v>modesg_inp_risco_fisicocod_pais</v>
      </c>
      <c r="B346" s="8" t="s">
        <v>16</v>
      </c>
      <c r="C346" s="9" t="s">
        <v>171</v>
      </c>
      <c r="D346" s="6" t="s">
        <v>30</v>
      </c>
      <c r="E346" s="7" t="s">
        <v>207</v>
      </c>
      <c r="F346" s="6" t="s">
        <v>270</v>
      </c>
      <c r="G346" s="6" t="e">
        <f>INDEX(#REF!,MATCH(Plano_Detalhado!H346,#REF!,0),1)</f>
        <v>#REF!</v>
      </c>
      <c r="H346" s="6" t="e">
        <f>VLOOKUP(A346,#REF!,2,0)</f>
        <v>#REF!</v>
      </c>
      <c r="I346" s="67" t="e">
        <f>SUMIFS(#REF!,#REF!,Plano_Detalhado!E346,#REF!,Plano_Detalhado!F346)</f>
        <v>#REF!</v>
      </c>
      <c r="J346" s="67" t="e">
        <f t="shared" si="39"/>
        <v>#REF!</v>
      </c>
      <c r="K346" s="67" t="e">
        <f>SUMIFS(#REF!,#REF!,Plano_Detalhado!E346,#REF!,Plano_Detalhado!F346)</f>
        <v>#REF!</v>
      </c>
      <c r="L346" s="67" t="e">
        <f t="shared" si="40"/>
        <v>#REF!</v>
      </c>
      <c r="M346" s="61"/>
      <c r="N346" s="61" t="e">
        <f t="shared" si="41"/>
        <v>#REF!</v>
      </c>
      <c r="O346" s="61" t="e">
        <f t="shared" si="42"/>
        <v>#REF!</v>
      </c>
      <c r="P346" s="22" t="s">
        <v>29</v>
      </c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24"/>
      <c r="BI346" s="14"/>
      <c r="BJ346" s="14"/>
      <c r="BK346" s="14"/>
      <c r="BL346" s="14"/>
      <c r="BN346" s="2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</row>
    <row r="347" spans="1:79" hidden="1" outlineLevel="1" x14ac:dyDescent="0.25">
      <c r="A347" s="3" t="str">
        <f t="shared" si="43"/>
        <v>modesg_inp_risco_fisicocod_nutiii</v>
      </c>
      <c r="B347" s="8" t="s">
        <v>16</v>
      </c>
      <c r="C347" s="9" t="s">
        <v>171</v>
      </c>
      <c r="D347" s="6" t="s">
        <v>30</v>
      </c>
      <c r="E347" s="7" t="s">
        <v>207</v>
      </c>
      <c r="F347" s="6" t="s">
        <v>271</v>
      </c>
      <c r="G347" s="6" t="e">
        <f>INDEX(#REF!,MATCH(Plano_Detalhado!H347,#REF!,0),1)</f>
        <v>#REF!</v>
      </c>
      <c r="H347" s="6" t="e">
        <f>VLOOKUP(A347,#REF!,2,0)</f>
        <v>#REF!</v>
      </c>
      <c r="I347" s="67" t="e">
        <f>SUMIFS(#REF!,#REF!,Plano_Detalhado!E347,#REF!,Plano_Detalhado!F347)</f>
        <v>#REF!</v>
      </c>
      <c r="J347" s="67" t="e">
        <f t="shared" si="39"/>
        <v>#REF!</v>
      </c>
      <c r="K347" s="67" t="e">
        <f>SUMIFS(#REF!,#REF!,Plano_Detalhado!E347,#REF!,Plano_Detalhado!F347)</f>
        <v>#REF!</v>
      </c>
      <c r="L347" s="67" t="e">
        <f t="shared" si="40"/>
        <v>#REF!</v>
      </c>
      <c r="M347" s="61"/>
      <c r="N347" s="61" t="e">
        <f t="shared" si="41"/>
        <v>#REF!</v>
      </c>
      <c r="O347" s="61" t="e">
        <f t="shared" si="42"/>
        <v>#REF!</v>
      </c>
      <c r="P347" s="22" t="s">
        <v>29</v>
      </c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24"/>
      <c r="BI347" s="14"/>
      <c r="BJ347" s="14"/>
      <c r="BK347" s="14"/>
      <c r="BL347" s="14"/>
      <c r="BN347" s="2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</row>
    <row r="348" spans="1:79" hidden="1" outlineLevel="1" x14ac:dyDescent="0.25">
      <c r="A348" s="3" t="str">
        <f t="shared" si="43"/>
        <v>modesg_inp_risco_fisicocod_nace_esg</v>
      </c>
      <c r="B348" s="8" t="s">
        <v>16</v>
      </c>
      <c r="C348" s="9" t="s">
        <v>171</v>
      </c>
      <c r="D348" s="6" t="s">
        <v>30</v>
      </c>
      <c r="E348" s="7" t="s">
        <v>207</v>
      </c>
      <c r="F348" s="6" t="s">
        <v>272</v>
      </c>
      <c r="G348" s="6" t="e">
        <f>INDEX(#REF!,MATCH(Plano_Detalhado!H348,#REF!,0),1)</f>
        <v>#REF!</v>
      </c>
      <c r="H348" s="6" t="e">
        <f>VLOOKUP(A348,#REF!,2,0)</f>
        <v>#REF!</v>
      </c>
      <c r="I348" s="67" t="e">
        <f>SUMIFS(#REF!,#REF!,Plano_Detalhado!E348,#REF!,Plano_Detalhado!F348)</f>
        <v>#REF!</v>
      </c>
      <c r="J348" s="67" t="e">
        <f t="shared" si="39"/>
        <v>#REF!</v>
      </c>
      <c r="K348" s="67" t="e">
        <f>SUMIFS(#REF!,#REF!,Plano_Detalhado!E348,#REF!,Plano_Detalhado!F348)</f>
        <v>#REF!</v>
      </c>
      <c r="L348" s="67" t="e">
        <f t="shared" si="40"/>
        <v>#REF!</v>
      </c>
      <c r="M348" s="61"/>
      <c r="N348" s="61" t="e">
        <f t="shared" si="41"/>
        <v>#REF!</v>
      </c>
      <c r="O348" s="61" t="e">
        <f t="shared" si="42"/>
        <v>#REF!</v>
      </c>
      <c r="P348" s="22" t="s">
        <v>29</v>
      </c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24"/>
      <c r="BI348" s="14"/>
      <c r="BJ348" s="14"/>
      <c r="BK348" s="14"/>
      <c r="BL348" s="14"/>
      <c r="BN348" s="2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</row>
    <row r="349" spans="1:79" hidden="1" outlineLevel="1" x14ac:dyDescent="0.25">
      <c r="A349" s="3" t="str">
        <f t="shared" si="43"/>
        <v>modesg_inp_risco_fisicoflg_rsc_fsc_agd</v>
      </c>
      <c r="B349" s="8" t="s">
        <v>16</v>
      </c>
      <c r="C349" s="9" t="s">
        <v>171</v>
      </c>
      <c r="D349" s="6" t="s">
        <v>30</v>
      </c>
      <c r="E349" s="7" t="s">
        <v>207</v>
      </c>
      <c r="F349" s="6" t="s">
        <v>273</v>
      </c>
      <c r="G349" s="6" t="e">
        <f>INDEX(#REF!,MATCH(Plano_Detalhado!H349,#REF!,0),1)</f>
        <v>#REF!</v>
      </c>
      <c r="H349" s="6" t="e">
        <f>VLOOKUP(A349,#REF!,2,0)</f>
        <v>#REF!</v>
      </c>
      <c r="I349" s="67" t="e">
        <f>SUMIFS(#REF!,#REF!,Plano_Detalhado!E349,#REF!,Plano_Detalhado!F349)</f>
        <v>#REF!</v>
      </c>
      <c r="J349" s="67" t="e">
        <f t="shared" si="39"/>
        <v>#REF!</v>
      </c>
      <c r="K349" s="67" t="e">
        <f>SUMIFS(#REF!,#REF!,Plano_Detalhado!E349,#REF!,Plano_Detalhado!F349)</f>
        <v>#REF!</v>
      </c>
      <c r="L349" s="67" t="e">
        <f t="shared" si="40"/>
        <v>#REF!</v>
      </c>
      <c r="M349" s="61"/>
      <c r="N349" s="61" t="e">
        <f t="shared" si="41"/>
        <v>#REF!</v>
      </c>
      <c r="O349" s="61" t="e">
        <f t="shared" si="42"/>
        <v>#REF!</v>
      </c>
      <c r="P349" s="22" t="s">
        <v>29</v>
      </c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24"/>
      <c r="BI349" s="14"/>
      <c r="BJ349" s="14"/>
      <c r="BK349" s="14"/>
      <c r="BL349" s="14"/>
      <c r="BN349" s="2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</row>
    <row r="350" spans="1:79" hidden="1" outlineLevel="1" x14ac:dyDescent="0.25">
      <c r="A350" s="3" t="str">
        <f t="shared" si="43"/>
        <v>modesg_inp_risco_fisicoflg_rsc_fsc_crnc</v>
      </c>
      <c r="B350" s="8" t="s">
        <v>16</v>
      </c>
      <c r="C350" s="9" t="s">
        <v>171</v>
      </c>
      <c r="D350" s="6" t="s">
        <v>30</v>
      </c>
      <c r="E350" s="7" t="s">
        <v>207</v>
      </c>
      <c r="F350" s="6" t="s">
        <v>274</v>
      </c>
      <c r="G350" s="6" t="e">
        <f>INDEX(#REF!,MATCH(Plano_Detalhado!H350,#REF!,0),1)</f>
        <v>#REF!</v>
      </c>
      <c r="H350" s="6" t="e">
        <f>VLOOKUP(A350,#REF!,2,0)</f>
        <v>#REF!</v>
      </c>
      <c r="I350" s="67" t="e">
        <f>SUMIFS(#REF!,#REF!,Plano_Detalhado!E350,#REF!,Plano_Detalhado!F350)</f>
        <v>#REF!</v>
      </c>
      <c r="J350" s="67" t="e">
        <f t="shared" si="39"/>
        <v>#REF!</v>
      </c>
      <c r="K350" s="67" t="e">
        <f>SUMIFS(#REF!,#REF!,Plano_Detalhado!E350,#REF!,Plano_Detalhado!F350)</f>
        <v>#REF!</v>
      </c>
      <c r="L350" s="67" t="e">
        <f t="shared" si="40"/>
        <v>#REF!</v>
      </c>
      <c r="M350" s="61"/>
      <c r="N350" s="61" t="e">
        <f t="shared" si="41"/>
        <v>#REF!</v>
      </c>
      <c r="O350" s="61" t="e">
        <f t="shared" si="42"/>
        <v>#REF!</v>
      </c>
      <c r="P350" s="22" t="s">
        <v>29</v>
      </c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24"/>
      <c r="BI350" s="14"/>
      <c r="BJ350" s="14"/>
      <c r="BK350" s="14"/>
      <c r="BL350" s="14"/>
      <c r="BN350" s="2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</row>
    <row r="351" spans="1:79" hidden="1" outlineLevel="1" x14ac:dyDescent="0.25">
      <c r="A351" s="3" t="str">
        <f t="shared" si="43"/>
        <v>modesg_inp_emss_scibref_date</v>
      </c>
      <c r="B351" s="8" t="s">
        <v>16</v>
      </c>
      <c r="C351" s="9" t="s">
        <v>171</v>
      </c>
      <c r="D351" s="6" t="s">
        <v>30</v>
      </c>
      <c r="E351" s="7" t="s">
        <v>208</v>
      </c>
      <c r="F351" s="6" t="s">
        <v>198</v>
      </c>
      <c r="G351" s="6" t="e">
        <f>INDEX(#REF!,MATCH(Plano_Detalhado!H351,#REF!,0),1)</f>
        <v>#REF!</v>
      </c>
      <c r="H351" s="6" t="e">
        <f>VLOOKUP(A351,#REF!,2,0)</f>
        <v>#REF!</v>
      </c>
      <c r="I351" s="67" t="e">
        <f>SUMIFS(#REF!,#REF!,Plano_Detalhado!E351,#REF!,Plano_Detalhado!F351)</f>
        <v>#REF!</v>
      </c>
      <c r="J351" s="67" t="e">
        <f t="shared" si="39"/>
        <v>#REF!</v>
      </c>
      <c r="K351" s="67" t="e">
        <f>SUMIFS(#REF!,#REF!,Plano_Detalhado!E351,#REF!,Plano_Detalhado!F351)</f>
        <v>#REF!</v>
      </c>
      <c r="L351" s="67" t="e">
        <f t="shared" si="40"/>
        <v>#REF!</v>
      </c>
      <c r="M351" s="61"/>
      <c r="N351" s="61" t="e">
        <f t="shared" si="41"/>
        <v>#REF!</v>
      </c>
      <c r="O351" s="61" t="e">
        <f t="shared" si="42"/>
        <v>#REF!</v>
      </c>
      <c r="P351" s="22" t="s">
        <v>29</v>
      </c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24"/>
      <c r="BI351" s="14"/>
      <c r="BJ351" s="14"/>
      <c r="BK351" s="14"/>
      <c r="BL351" s="14"/>
      <c r="BN351" s="2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</row>
    <row r="352" spans="1:79" hidden="1" outlineLevel="1" x14ac:dyDescent="0.25">
      <c r="A352" s="3" t="str">
        <f t="shared" si="43"/>
        <v>modesg_inp_emss_scibccli_kgl</v>
      </c>
      <c r="B352" s="8" t="s">
        <v>16</v>
      </c>
      <c r="C352" s="9" t="s">
        <v>171</v>
      </c>
      <c r="D352" s="6" t="s">
        <v>30</v>
      </c>
      <c r="E352" s="7" t="s">
        <v>208</v>
      </c>
      <c r="F352" s="6" t="s">
        <v>231</v>
      </c>
      <c r="G352" s="6" t="e">
        <f>INDEX(#REF!,MATCH(Plano_Detalhado!H352,#REF!,0),1)</f>
        <v>#REF!</v>
      </c>
      <c r="H352" s="6" t="e">
        <f>VLOOKUP(A352,#REF!,2,0)</f>
        <v>#REF!</v>
      </c>
      <c r="I352" s="67" t="e">
        <f>SUMIFS(#REF!,#REF!,Plano_Detalhado!E352,#REF!,Plano_Detalhado!F352)</f>
        <v>#REF!</v>
      </c>
      <c r="J352" s="67" t="e">
        <f t="shared" si="39"/>
        <v>#REF!</v>
      </c>
      <c r="K352" s="67" t="e">
        <f>SUMIFS(#REF!,#REF!,Plano_Detalhado!E352,#REF!,Plano_Detalhado!F352)</f>
        <v>#REF!</v>
      </c>
      <c r="L352" s="67" t="e">
        <f t="shared" si="40"/>
        <v>#REF!</v>
      </c>
      <c r="M352" s="61"/>
      <c r="N352" s="61" t="e">
        <f t="shared" si="41"/>
        <v>#REF!</v>
      </c>
      <c r="O352" s="61" t="e">
        <f t="shared" si="42"/>
        <v>#REF!</v>
      </c>
      <c r="P352" s="22" t="s">
        <v>29</v>
      </c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24"/>
      <c r="BI352" s="14"/>
      <c r="BJ352" s="14"/>
      <c r="BK352" s="14"/>
      <c r="BL352" s="14"/>
      <c r="BN352" s="2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</row>
    <row r="353" spans="1:79" hidden="1" outlineLevel="1" x14ac:dyDescent="0.25">
      <c r="A353" s="3" t="str">
        <f t="shared" si="43"/>
        <v>modesg_inp_emss_scibnome_grupo</v>
      </c>
      <c r="B353" s="8" t="s">
        <v>16</v>
      </c>
      <c r="C353" s="9" t="s">
        <v>171</v>
      </c>
      <c r="D353" s="6" t="s">
        <v>30</v>
      </c>
      <c r="E353" s="7" t="s">
        <v>208</v>
      </c>
      <c r="F353" s="6" t="s">
        <v>275</v>
      </c>
      <c r="G353" s="6" t="e">
        <f>INDEX(#REF!,MATCH(Plano_Detalhado!H353,#REF!,0),1)</f>
        <v>#REF!</v>
      </c>
      <c r="H353" s="6" t="e">
        <f>VLOOKUP(A353,#REF!,2,0)</f>
        <v>#REF!</v>
      </c>
      <c r="I353" s="67" t="e">
        <f>SUMIFS(#REF!,#REF!,Plano_Detalhado!E353,#REF!,Plano_Detalhado!F353)</f>
        <v>#REF!</v>
      </c>
      <c r="J353" s="67" t="e">
        <f t="shared" si="39"/>
        <v>#REF!</v>
      </c>
      <c r="K353" s="67" t="e">
        <f>SUMIFS(#REF!,#REF!,Plano_Detalhado!E353,#REF!,Plano_Detalhado!F353)</f>
        <v>#REF!</v>
      </c>
      <c r="L353" s="67" t="e">
        <f t="shared" si="40"/>
        <v>#REF!</v>
      </c>
      <c r="M353" s="61"/>
      <c r="N353" s="61" t="e">
        <f t="shared" si="41"/>
        <v>#REF!</v>
      </c>
      <c r="O353" s="61" t="e">
        <f t="shared" si="42"/>
        <v>#REF!</v>
      </c>
      <c r="P353" s="22" t="s">
        <v>29</v>
      </c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24"/>
      <c r="BI353" s="14"/>
      <c r="BJ353" s="14"/>
      <c r="BK353" s="14"/>
      <c r="BL353" s="14"/>
      <c r="BN353" s="2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</row>
    <row r="354" spans="1:79" hidden="1" outlineLevel="1" x14ac:dyDescent="0.25">
      <c r="A354" s="3" t="str">
        <f t="shared" si="43"/>
        <v>modesg_inp_emss_scibisin</v>
      </c>
      <c r="B354" s="8" t="s">
        <v>16</v>
      </c>
      <c r="C354" s="9" t="s">
        <v>171</v>
      </c>
      <c r="D354" s="6" t="s">
        <v>30</v>
      </c>
      <c r="E354" s="7" t="s">
        <v>208</v>
      </c>
      <c r="F354" s="6" t="s">
        <v>229</v>
      </c>
      <c r="G354" s="6" t="e">
        <f>INDEX(#REF!,MATCH(Plano_Detalhado!H354,#REF!,0),1)</f>
        <v>#REF!</v>
      </c>
      <c r="H354" s="6" t="e">
        <f>VLOOKUP(A354,#REF!,2,0)</f>
        <v>#REF!</v>
      </c>
      <c r="I354" s="67" t="e">
        <f>SUMIFS(#REF!,#REF!,Plano_Detalhado!E354,#REF!,Plano_Detalhado!F354)</f>
        <v>#REF!</v>
      </c>
      <c r="J354" s="67" t="e">
        <f t="shared" si="39"/>
        <v>#REF!</v>
      </c>
      <c r="K354" s="67" t="e">
        <f>SUMIFS(#REF!,#REF!,Plano_Detalhado!E354,#REF!,Plano_Detalhado!F354)</f>
        <v>#REF!</v>
      </c>
      <c r="L354" s="67" t="e">
        <f t="shared" si="40"/>
        <v>#REF!</v>
      </c>
      <c r="M354" s="61"/>
      <c r="N354" s="61" t="e">
        <f t="shared" si="41"/>
        <v>#REF!</v>
      </c>
      <c r="O354" s="61" t="e">
        <f t="shared" si="42"/>
        <v>#REF!</v>
      </c>
      <c r="P354" s="22" t="s">
        <v>29</v>
      </c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24"/>
      <c r="BI354" s="14"/>
      <c r="BJ354" s="14"/>
      <c r="BK354" s="14"/>
      <c r="BL354" s="14"/>
      <c r="BN354" s="2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</row>
    <row r="355" spans="1:79" hidden="1" outlineLevel="1" x14ac:dyDescent="0.25">
      <c r="A355" s="3" t="str">
        <f t="shared" si="43"/>
        <v>modesg_inp_emss_scibclei</v>
      </c>
      <c r="B355" s="8" t="s">
        <v>16</v>
      </c>
      <c r="C355" s="9" t="s">
        <v>171</v>
      </c>
      <c r="D355" s="6" t="s">
        <v>30</v>
      </c>
      <c r="E355" s="7" t="s">
        <v>208</v>
      </c>
      <c r="F355" s="6" t="s">
        <v>230</v>
      </c>
      <c r="G355" s="6" t="e">
        <f>INDEX(#REF!,MATCH(Plano_Detalhado!H355,#REF!,0),1)</f>
        <v>#REF!</v>
      </c>
      <c r="H355" s="6" t="e">
        <f>VLOOKUP(A355,#REF!,2,0)</f>
        <v>#REF!</v>
      </c>
      <c r="I355" s="67" t="e">
        <f>SUMIFS(#REF!,#REF!,Plano_Detalhado!E355,#REF!,Plano_Detalhado!F355)</f>
        <v>#REF!</v>
      </c>
      <c r="J355" s="67" t="e">
        <f t="shared" si="39"/>
        <v>#REF!</v>
      </c>
      <c r="K355" s="67" t="e">
        <f>SUMIFS(#REF!,#REF!,Plano_Detalhado!E355,#REF!,Plano_Detalhado!F355)</f>
        <v>#REF!</v>
      </c>
      <c r="L355" s="67" t="e">
        <f t="shared" si="40"/>
        <v>#REF!</v>
      </c>
      <c r="M355" s="61"/>
      <c r="N355" s="61" t="e">
        <f t="shared" si="41"/>
        <v>#REF!</v>
      </c>
      <c r="O355" s="61" t="e">
        <f t="shared" si="42"/>
        <v>#REF!</v>
      </c>
      <c r="P355" s="22" t="s">
        <v>29</v>
      </c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24"/>
      <c r="BI355" s="14"/>
      <c r="BJ355" s="14"/>
      <c r="BK355" s="14"/>
      <c r="BL355" s="14"/>
      <c r="BN355" s="2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</row>
    <row r="356" spans="1:79" hidden="1" outlineLevel="1" x14ac:dyDescent="0.25">
      <c r="A356" s="3" t="str">
        <f t="shared" si="43"/>
        <v>modesg_inp_emss_scibscp1_emss</v>
      </c>
      <c r="B356" s="8" t="s">
        <v>16</v>
      </c>
      <c r="C356" s="9" t="s">
        <v>171</v>
      </c>
      <c r="D356" s="6" t="s">
        <v>30</v>
      </c>
      <c r="E356" s="7" t="s">
        <v>208</v>
      </c>
      <c r="F356" s="6" t="s">
        <v>276</v>
      </c>
      <c r="G356" s="6" t="e">
        <f>INDEX(#REF!,MATCH(Plano_Detalhado!H356,#REF!,0),1)</f>
        <v>#REF!</v>
      </c>
      <c r="H356" s="6" t="e">
        <f>VLOOKUP(A356,#REF!,2,0)</f>
        <v>#REF!</v>
      </c>
      <c r="I356" s="67" t="e">
        <f>SUMIFS(#REF!,#REF!,Plano_Detalhado!E356,#REF!,Plano_Detalhado!F356)</f>
        <v>#REF!</v>
      </c>
      <c r="J356" s="67" t="e">
        <f t="shared" si="39"/>
        <v>#REF!</v>
      </c>
      <c r="K356" s="67" t="e">
        <f>SUMIFS(#REF!,#REF!,Plano_Detalhado!E356,#REF!,Plano_Detalhado!F356)</f>
        <v>#REF!</v>
      </c>
      <c r="L356" s="67" t="e">
        <f t="shared" si="40"/>
        <v>#REF!</v>
      </c>
      <c r="M356" s="61"/>
      <c r="N356" s="61" t="e">
        <f t="shared" si="41"/>
        <v>#REF!</v>
      </c>
      <c r="O356" s="61" t="e">
        <f t="shared" si="42"/>
        <v>#REF!</v>
      </c>
      <c r="P356" s="22" t="s">
        <v>29</v>
      </c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24"/>
      <c r="BI356" s="14"/>
      <c r="BJ356" s="14"/>
      <c r="BK356" s="14"/>
      <c r="BL356" s="14"/>
      <c r="BN356" s="2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</row>
    <row r="357" spans="1:79" hidden="1" outlineLevel="1" x14ac:dyDescent="0.25">
      <c r="A357" s="3" t="str">
        <f t="shared" si="43"/>
        <v>modesg_inp_emss_scibscp2_emss</v>
      </c>
      <c r="B357" s="8" t="s">
        <v>16</v>
      </c>
      <c r="C357" s="9" t="s">
        <v>171</v>
      </c>
      <c r="D357" s="6" t="s">
        <v>30</v>
      </c>
      <c r="E357" s="7" t="s">
        <v>208</v>
      </c>
      <c r="F357" s="6" t="s">
        <v>277</v>
      </c>
      <c r="G357" s="6" t="e">
        <f>INDEX(#REF!,MATCH(Plano_Detalhado!H357,#REF!,0),1)</f>
        <v>#REF!</v>
      </c>
      <c r="H357" s="6" t="e">
        <f>VLOOKUP(A357,#REF!,2,0)</f>
        <v>#REF!</v>
      </c>
      <c r="I357" s="67" t="e">
        <f>SUMIFS(#REF!,#REF!,Plano_Detalhado!E357,#REF!,Plano_Detalhado!F357)</f>
        <v>#REF!</v>
      </c>
      <c r="J357" s="67" t="e">
        <f t="shared" si="39"/>
        <v>#REF!</v>
      </c>
      <c r="K357" s="67" t="e">
        <f>SUMIFS(#REF!,#REF!,Plano_Detalhado!E357,#REF!,Plano_Detalhado!F357)</f>
        <v>#REF!</v>
      </c>
      <c r="L357" s="67" t="e">
        <f t="shared" si="40"/>
        <v>#REF!</v>
      </c>
      <c r="M357" s="61"/>
      <c r="N357" s="61" t="e">
        <f t="shared" si="41"/>
        <v>#REF!</v>
      </c>
      <c r="O357" s="61" t="e">
        <f t="shared" si="42"/>
        <v>#REF!</v>
      </c>
      <c r="P357" s="22" t="s">
        <v>29</v>
      </c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24"/>
      <c r="BI357" s="14"/>
      <c r="BJ357" s="14"/>
      <c r="BK357" s="14"/>
      <c r="BL357" s="14"/>
      <c r="BN357" s="2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</row>
    <row r="358" spans="1:79" hidden="1" outlineLevel="1" x14ac:dyDescent="0.25">
      <c r="A358" s="3" t="str">
        <f t="shared" si="43"/>
        <v>modesg_inp_emss_scibscp3_emss</v>
      </c>
      <c r="B358" s="8" t="s">
        <v>16</v>
      </c>
      <c r="C358" s="9" t="s">
        <v>171</v>
      </c>
      <c r="D358" s="6" t="s">
        <v>30</v>
      </c>
      <c r="E358" s="7" t="s">
        <v>208</v>
      </c>
      <c r="F358" s="6" t="s">
        <v>278</v>
      </c>
      <c r="G358" s="6" t="e">
        <f>INDEX(#REF!,MATCH(Plano_Detalhado!H358,#REF!,0),1)</f>
        <v>#REF!</v>
      </c>
      <c r="H358" s="6" t="e">
        <f>VLOOKUP(A358,#REF!,2,0)</f>
        <v>#REF!</v>
      </c>
      <c r="I358" s="67" t="e">
        <f>SUMIFS(#REF!,#REF!,Plano_Detalhado!E358,#REF!,Plano_Detalhado!F358)</f>
        <v>#REF!</v>
      </c>
      <c r="J358" s="67" t="e">
        <f t="shared" si="39"/>
        <v>#REF!</v>
      </c>
      <c r="K358" s="67" t="e">
        <f>SUMIFS(#REF!,#REF!,Plano_Detalhado!E358,#REF!,Plano_Detalhado!F358)</f>
        <v>#REF!</v>
      </c>
      <c r="L358" s="67" t="e">
        <f t="shared" si="40"/>
        <v>#REF!</v>
      </c>
      <c r="M358" s="61"/>
      <c r="N358" s="61" t="e">
        <f t="shared" si="41"/>
        <v>#REF!</v>
      </c>
      <c r="O358" s="61" t="e">
        <f t="shared" si="42"/>
        <v>#REF!</v>
      </c>
      <c r="P358" s="22" t="s">
        <v>29</v>
      </c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24"/>
      <c r="BI358" s="14"/>
      <c r="BJ358" s="14"/>
      <c r="BK358" s="14"/>
      <c r="BL358" s="14"/>
      <c r="BN358" s="2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</row>
    <row r="359" spans="1:79" hidden="1" outlineLevel="1" x14ac:dyDescent="0.25">
      <c r="A359" s="3" t="str">
        <f t="shared" si="43"/>
        <v>modesg_inp_emss_scibscore_scp1</v>
      </c>
      <c r="B359" s="8" t="s">
        <v>16</v>
      </c>
      <c r="C359" s="9" t="s">
        <v>171</v>
      </c>
      <c r="D359" s="6" t="s">
        <v>30</v>
      </c>
      <c r="E359" s="7" t="s">
        <v>208</v>
      </c>
      <c r="F359" s="6" t="s">
        <v>279</v>
      </c>
      <c r="G359" s="6" t="e">
        <f>INDEX(#REF!,MATCH(Plano_Detalhado!H359,#REF!,0),1)</f>
        <v>#REF!</v>
      </c>
      <c r="H359" s="6" t="e">
        <f>VLOOKUP(A359,#REF!,2,0)</f>
        <v>#REF!</v>
      </c>
      <c r="I359" s="67" t="e">
        <f>SUMIFS(#REF!,#REF!,Plano_Detalhado!E359,#REF!,Plano_Detalhado!F359)</f>
        <v>#REF!</v>
      </c>
      <c r="J359" s="67" t="e">
        <f t="shared" si="39"/>
        <v>#REF!</v>
      </c>
      <c r="K359" s="67" t="e">
        <f>SUMIFS(#REF!,#REF!,Plano_Detalhado!E359,#REF!,Plano_Detalhado!F359)</f>
        <v>#REF!</v>
      </c>
      <c r="L359" s="67" t="e">
        <f t="shared" si="40"/>
        <v>#REF!</v>
      </c>
      <c r="M359" s="61"/>
      <c r="N359" s="61" t="e">
        <f t="shared" si="41"/>
        <v>#REF!</v>
      </c>
      <c r="O359" s="61" t="e">
        <f t="shared" si="42"/>
        <v>#REF!</v>
      </c>
      <c r="P359" s="22" t="s">
        <v>29</v>
      </c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24"/>
      <c r="BI359" s="14"/>
      <c r="BJ359" s="14"/>
      <c r="BK359" s="14"/>
      <c r="BL359" s="14"/>
      <c r="BN359" s="2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</row>
    <row r="360" spans="1:79" hidden="1" outlineLevel="1" x14ac:dyDescent="0.25">
      <c r="A360" s="3" t="str">
        <f t="shared" si="43"/>
        <v>modesg_inp_emss_scibscore_scp2</v>
      </c>
      <c r="B360" s="8" t="s">
        <v>16</v>
      </c>
      <c r="C360" s="9" t="s">
        <v>171</v>
      </c>
      <c r="D360" s="6" t="s">
        <v>30</v>
      </c>
      <c r="E360" s="7" t="s">
        <v>208</v>
      </c>
      <c r="F360" s="6" t="s">
        <v>280</v>
      </c>
      <c r="G360" s="6" t="e">
        <f>INDEX(#REF!,MATCH(Plano_Detalhado!H360,#REF!,0),1)</f>
        <v>#REF!</v>
      </c>
      <c r="H360" s="6" t="e">
        <f>VLOOKUP(A360,#REF!,2,0)</f>
        <v>#REF!</v>
      </c>
      <c r="I360" s="67" t="e">
        <f>SUMIFS(#REF!,#REF!,Plano_Detalhado!E360,#REF!,Plano_Detalhado!F360)</f>
        <v>#REF!</v>
      </c>
      <c r="J360" s="67" t="e">
        <f t="shared" si="39"/>
        <v>#REF!</v>
      </c>
      <c r="K360" s="67" t="e">
        <f>SUMIFS(#REF!,#REF!,Plano_Detalhado!E360,#REF!,Plano_Detalhado!F360)</f>
        <v>#REF!</v>
      </c>
      <c r="L360" s="67" t="e">
        <f t="shared" si="40"/>
        <v>#REF!</v>
      </c>
      <c r="M360" s="61"/>
      <c r="N360" s="61" t="e">
        <f t="shared" si="41"/>
        <v>#REF!</v>
      </c>
      <c r="O360" s="61" t="e">
        <f t="shared" si="42"/>
        <v>#REF!</v>
      </c>
      <c r="P360" s="22" t="s">
        <v>29</v>
      </c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24"/>
      <c r="BI360" s="14"/>
      <c r="BJ360" s="14"/>
      <c r="BK360" s="14"/>
      <c r="BL360" s="14"/>
      <c r="BN360" s="2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</row>
    <row r="361" spans="1:79" hidden="1" outlineLevel="1" x14ac:dyDescent="0.25">
      <c r="A361" s="3" t="str">
        <f t="shared" si="43"/>
        <v>modesg_inp_emss_scibscore_scp3</v>
      </c>
      <c r="B361" s="8" t="s">
        <v>16</v>
      </c>
      <c r="C361" s="9" t="s">
        <v>171</v>
      </c>
      <c r="D361" s="6" t="s">
        <v>30</v>
      </c>
      <c r="E361" s="7" t="s">
        <v>208</v>
      </c>
      <c r="F361" s="6" t="s">
        <v>281</v>
      </c>
      <c r="G361" s="6" t="e">
        <f>INDEX(#REF!,MATCH(Plano_Detalhado!H361,#REF!,0),1)</f>
        <v>#REF!</v>
      </c>
      <c r="H361" s="6" t="e">
        <f>VLOOKUP(A361,#REF!,2,0)</f>
        <v>#REF!</v>
      </c>
      <c r="I361" s="67" t="e">
        <f>SUMIFS(#REF!,#REF!,Plano_Detalhado!E361,#REF!,Plano_Detalhado!F361)</f>
        <v>#REF!</v>
      </c>
      <c r="J361" s="67" t="e">
        <f t="shared" si="39"/>
        <v>#REF!</v>
      </c>
      <c r="K361" s="67" t="e">
        <f>SUMIFS(#REF!,#REF!,Plano_Detalhado!E361,#REF!,Plano_Detalhado!F361)</f>
        <v>#REF!</v>
      </c>
      <c r="L361" s="67" t="e">
        <f t="shared" si="40"/>
        <v>#REF!</v>
      </c>
      <c r="M361" s="61"/>
      <c r="N361" s="61" t="e">
        <f t="shared" si="41"/>
        <v>#REF!</v>
      </c>
      <c r="O361" s="61" t="e">
        <f t="shared" si="42"/>
        <v>#REF!</v>
      </c>
      <c r="P361" s="22" t="s">
        <v>29</v>
      </c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24"/>
      <c r="BI361" s="14"/>
      <c r="BJ361" s="14"/>
      <c r="BK361" s="14"/>
      <c r="BL361" s="14"/>
      <c r="BN361" s="2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</row>
    <row r="362" spans="1:79" hidden="1" outlineLevel="1" x14ac:dyDescent="0.25">
      <c r="A362" s="3" t="str">
        <f t="shared" si="43"/>
        <v>modesg_inp_emss_sciborigem_scp1</v>
      </c>
      <c r="B362" s="8" t="s">
        <v>16</v>
      </c>
      <c r="C362" s="9" t="s">
        <v>171</v>
      </c>
      <c r="D362" s="6" t="s">
        <v>30</v>
      </c>
      <c r="E362" s="7" t="s">
        <v>208</v>
      </c>
      <c r="F362" s="6" t="s">
        <v>282</v>
      </c>
      <c r="G362" s="6" t="e">
        <f>INDEX(#REF!,MATCH(Plano_Detalhado!H362,#REF!,0),1)</f>
        <v>#REF!</v>
      </c>
      <c r="H362" s="6" t="e">
        <f>VLOOKUP(A362,#REF!,2,0)</f>
        <v>#REF!</v>
      </c>
      <c r="I362" s="67" t="e">
        <f>SUMIFS(#REF!,#REF!,Plano_Detalhado!E362,#REF!,Plano_Detalhado!F362)</f>
        <v>#REF!</v>
      </c>
      <c r="J362" s="67" t="e">
        <f t="shared" si="39"/>
        <v>#REF!</v>
      </c>
      <c r="K362" s="67" t="e">
        <f>SUMIFS(#REF!,#REF!,Plano_Detalhado!E362,#REF!,Plano_Detalhado!F362)</f>
        <v>#REF!</v>
      </c>
      <c r="L362" s="67" t="e">
        <f t="shared" si="40"/>
        <v>#REF!</v>
      </c>
      <c r="M362" s="61"/>
      <c r="N362" s="61" t="e">
        <f t="shared" si="41"/>
        <v>#REF!</v>
      </c>
      <c r="O362" s="61" t="e">
        <f t="shared" si="42"/>
        <v>#REF!</v>
      </c>
      <c r="P362" s="22" t="s">
        <v>29</v>
      </c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24"/>
      <c r="BI362" s="14"/>
      <c r="BJ362" s="14"/>
      <c r="BK362" s="14"/>
      <c r="BL362" s="14"/>
      <c r="BN362" s="2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</row>
    <row r="363" spans="1:79" hidden="1" outlineLevel="1" x14ac:dyDescent="0.25">
      <c r="A363" s="3" t="str">
        <f t="shared" si="43"/>
        <v>modesg_inp_emss_sciborigem_scp2</v>
      </c>
      <c r="B363" s="8" t="s">
        <v>16</v>
      </c>
      <c r="C363" s="9" t="s">
        <v>171</v>
      </c>
      <c r="D363" s="6" t="s">
        <v>30</v>
      </c>
      <c r="E363" s="7" t="s">
        <v>208</v>
      </c>
      <c r="F363" s="6" t="s">
        <v>283</v>
      </c>
      <c r="G363" s="6" t="e">
        <f>INDEX(#REF!,MATCH(Plano_Detalhado!H363,#REF!,0),1)</f>
        <v>#REF!</v>
      </c>
      <c r="H363" s="6" t="e">
        <f>VLOOKUP(A363,#REF!,2,0)</f>
        <v>#REF!</v>
      </c>
      <c r="I363" s="67" t="e">
        <f>SUMIFS(#REF!,#REF!,Plano_Detalhado!E363,#REF!,Plano_Detalhado!F363)</f>
        <v>#REF!</v>
      </c>
      <c r="J363" s="67" t="e">
        <f t="shared" si="39"/>
        <v>#REF!</v>
      </c>
      <c r="K363" s="67" t="e">
        <f>SUMIFS(#REF!,#REF!,Plano_Detalhado!E363,#REF!,Plano_Detalhado!F363)</f>
        <v>#REF!</v>
      </c>
      <c r="L363" s="67" t="e">
        <f t="shared" si="40"/>
        <v>#REF!</v>
      </c>
      <c r="M363" s="61"/>
      <c r="N363" s="61" t="e">
        <f t="shared" si="41"/>
        <v>#REF!</v>
      </c>
      <c r="O363" s="61" t="e">
        <f t="shared" si="42"/>
        <v>#REF!</v>
      </c>
      <c r="P363" s="22" t="s">
        <v>29</v>
      </c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24"/>
      <c r="BI363" s="14"/>
      <c r="BJ363" s="14"/>
      <c r="BK363" s="14"/>
      <c r="BL363" s="14"/>
      <c r="BN363" s="2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</row>
    <row r="364" spans="1:79" hidden="1" outlineLevel="1" x14ac:dyDescent="0.25">
      <c r="A364" s="3" t="str">
        <f t="shared" si="43"/>
        <v>modesg_inp_emss_sciborigem_scp3</v>
      </c>
      <c r="B364" s="8" t="s">
        <v>16</v>
      </c>
      <c r="C364" s="9" t="s">
        <v>171</v>
      </c>
      <c r="D364" s="6" t="s">
        <v>30</v>
      </c>
      <c r="E364" s="7" t="s">
        <v>208</v>
      </c>
      <c r="F364" s="6" t="s">
        <v>284</v>
      </c>
      <c r="G364" s="6" t="e">
        <f>INDEX(#REF!,MATCH(Plano_Detalhado!H364,#REF!,0),1)</f>
        <v>#REF!</v>
      </c>
      <c r="H364" s="6" t="e">
        <f>VLOOKUP(A364,#REF!,2,0)</f>
        <v>#REF!</v>
      </c>
      <c r="I364" s="67" t="e">
        <f>SUMIFS(#REF!,#REF!,Plano_Detalhado!E364,#REF!,Plano_Detalhado!F364)</f>
        <v>#REF!</v>
      </c>
      <c r="J364" s="67" t="e">
        <f t="shared" si="39"/>
        <v>#REF!</v>
      </c>
      <c r="K364" s="67" t="e">
        <f>SUMIFS(#REF!,#REF!,Plano_Detalhado!E364,#REF!,Plano_Detalhado!F364)</f>
        <v>#REF!</v>
      </c>
      <c r="L364" s="67" t="e">
        <f t="shared" si="40"/>
        <v>#REF!</v>
      </c>
      <c r="M364" s="61"/>
      <c r="N364" s="61" t="e">
        <f t="shared" si="41"/>
        <v>#REF!</v>
      </c>
      <c r="O364" s="61" t="e">
        <f t="shared" si="42"/>
        <v>#REF!</v>
      </c>
      <c r="P364" s="22" t="s">
        <v>29</v>
      </c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24"/>
      <c r="BI364" s="14"/>
      <c r="BJ364" s="14"/>
      <c r="BK364" s="14"/>
      <c r="BL364" s="14"/>
      <c r="BN364" s="2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</row>
    <row r="365" spans="1:79" hidden="1" outlineLevel="1" x14ac:dyDescent="0.25">
      <c r="A365" s="3" t="str">
        <f t="shared" si="43"/>
        <v>modesg_inp_emss_scibano_info</v>
      </c>
      <c r="B365" s="8" t="s">
        <v>16</v>
      </c>
      <c r="C365" s="9" t="s">
        <v>171</v>
      </c>
      <c r="D365" s="6" t="s">
        <v>30</v>
      </c>
      <c r="E365" s="7" t="s">
        <v>208</v>
      </c>
      <c r="F365" s="6" t="s">
        <v>285</v>
      </c>
      <c r="G365" s="6" t="e">
        <f>INDEX(#REF!,MATCH(Plano_Detalhado!H365,#REF!,0),1)</f>
        <v>#REF!</v>
      </c>
      <c r="H365" s="6" t="e">
        <f>VLOOKUP(A365,#REF!,2,0)</f>
        <v>#REF!</v>
      </c>
      <c r="I365" s="67" t="e">
        <f>SUMIFS(#REF!,#REF!,Plano_Detalhado!E365,#REF!,Plano_Detalhado!F365)</f>
        <v>#REF!</v>
      </c>
      <c r="J365" s="67" t="e">
        <f t="shared" si="39"/>
        <v>#REF!</v>
      </c>
      <c r="K365" s="67" t="e">
        <f>SUMIFS(#REF!,#REF!,Plano_Detalhado!E365,#REF!,Plano_Detalhado!F365)</f>
        <v>#REF!</v>
      </c>
      <c r="L365" s="67" t="e">
        <f t="shared" si="40"/>
        <v>#REF!</v>
      </c>
      <c r="M365" s="61"/>
      <c r="N365" s="61" t="e">
        <f t="shared" si="41"/>
        <v>#REF!</v>
      </c>
      <c r="O365" s="61" t="e">
        <f t="shared" si="42"/>
        <v>#REF!</v>
      </c>
      <c r="P365" s="22" t="s">
        <v>29</v>
      </c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24"/>
      <c r="BI365" s="14"/>
      <c r="BJ365" s="14"/>
      <c r="BK365" s="14"/>
      <c r="BL365" s="14"/>
      <c r="BN365" s="2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</row>
    <row r="366" spans="1:79" hidden="1" outlineLevel="1" x14ac:dyDescent="0.25">
      <c r="A366" s="3" t="str">
        <f t="shared" si="43"/>
        <v>modesg_inp_emss_scibdivida_total</v>
      </c>
      <c r="B366" s="8" t="s">
        <v>16</v>
      </c>
      <c r="C366" s="9" t="s">
        <v>171</v>
      </c>
      <c r="D366" s="6" t="s">
        <v>30</v>
      </c>
      <c r="E366" s="7" t="s">
        <v>208</v>
      </c>
      <c r="F366" s="6" t="s">
        <v>286</v>
      </c>
      <c r="G366" s="6" t="e">
        <f>INDEX(#REF!,MATCH(Plano_Detalhado!H366,#REF!,0),1)</f>
        <v>#REF!</v>
      </c>
      <c r="H366" s="6" t="e">
        <f>VLOOKUP(A366,#REF!,2,0)</f>
        <v>#REF!</v>
      </c>
      <c r="I366" s="67" t="e">
        <f>SUMIFS(#REF!,#REF!,Plano_Detalhado!E366,#REF!,Plano_Detalhado!F366)</f>
        <v>#REF!</v>
      </c>
      <c r="J366" s="67" t="e">
        <f t="shared" ref="J366:J399" si="44">I366/8</f>
        <v>#REF!</v>
      </c>
      <c r="K366" s="67" t="e">
        <f>SUMIFS(#REF!,#REF!,Plano_Detalhado!E366,#REF!,Plano_Detalhado!F366)</f>
        <v>#REF!</v>
      </c>
      <c r="L366" s="67" t="e">
        <f t="shared" si="40"/>
        <v>#REF!</v>
      </c>
      <c r="M366" s="61"/>
      <c r="N366" s="61" t="e">
        <f t="shared" si="41"/>
        <v>#REF!</v>
      </c>
      <c r="O366" s="61" t="e">
        <f t="shared" si="42"/>
        <v>#REF!</v>
      </c>
      <c r="P366" s="22" t="s">
        <v>29</v>
      </c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24"/>
      <c r="BI366" s="14"/>
      <c r="BJ366" s="14"/>
      <c r="BK366" s="14"/>
      <c r="BL366" s="14"/>
      <c r="BN366" s="2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</row>
    <row r="367" spans="1:79" hidden="1" outlineLevel="1" x14ac:dyDescent="0.25">
      <c r="A367" s="3" t="str">
        <f t="shared" si="43"/>
        <v>modesg_inp_emss_scibcapital_proprio</v>
      </c>
      <c r="B367" s="8" t="s">
        <v>16</v>
      </c>
      <c r="C367" s="9" t="s">
        <v>171</v>
      </c>
      <c r="D367" s="6" t="s">
        <v>30</v>
      </c>
      <c r="E367" s="7" t="s">
        <v>208</v>
      </c>
      <c r="F367" s="6" t="s">
        <v>287</v>
      </c>
      <c r="G367" s="6" t="e">
        <f>INDEX(#REF!,MATCH(Plano_Detalhado!H367,#REF!,0),1)</f>
        <v>#REF!</v>
      </c>
      <c r="H367" s="6" t="e">
        <f>VLOOKUP(A367,#REF!,2,0)</f>
        <v>#REF!</v>
      </c>
      <c r="I367" s="67" t="e">
        <f>SUMIFS(#REF!,#REF!,Plano_Detalhado!E367,#REF!,Plano_Detalhado!F367)</f>
        <v>#REF!</v>
      </c>
      <c r="J367" s="67" t="e">
        <f t="shared" si="44"/>
        <v>#REF!</v>
      </c>
      <c r="K367" s="67" t="e">
        <f>SUMIFS(#REF!,#REF!,Plano_Detalhado!E367,#REF!,Plano_Detalhado!F367)</f>
        <v>#REF!</v>
      </c>
      <c r="L367" s="67" t="e">
        <f t="shared" ref="L367:L399" si="45">K367/8</f>
        <v>#REF!</v>
      </c>
      <c r="M367" s="61"/>
      <c r="N367" s="61" t="e">
        <f t="shared" ref="N367:N399" si="46">L367/J367</f>
        <v>#REF!</v>
      </c>
      <c r="O367" s="61" t="e">
        <f t="shared" si="42"/>
        <v>#REF!</v>
      </c>
      <c r="P367" s="22" t="s">
        <v>29</v>
      </c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24"/>
      <c r="BI367" s="14"/>
      <c r="BJ367" s="14"/>
      <c r="BK367" s="14"/>
      <c r="BL367" s="14"/>
      <c r="BN367" s="2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</row>
    <row r="368" spans="1:79" hidden="1" outlineLevel="1" x14ac:dyDescent="0.25">
      <c r="A368" s="3" t="str">
        <f t="shared" si="43"/>
        <v>modesg_inp_emss_naceref_date</v>
      </c>
      <c r="B368" s="8" t="s">
        <v>16</v>
      </c>
      <c r="C368" s="9" t="s">
        <v>171</v>
      </c>
      <c r="D368" s="6" t="s">
        <v>30</v>
      </c>
      <c r="E368" s="7" t="s">
        <v>209</v>
      </c>
      <c r="F368" s="6" t="s">
        <v>198</v>
      </c>
      <c r="G368" s="6" t="e">
        <f>INDEX(#REF!,MATCH(Plano_Detalhado!H368,#REF!,0),1)</f>
        <v>#REF!</v>
      </c>
      <c r="H368" s="6" t="e">
        <f>VLOOKUP(A368,#REF!,2,0)</f>
        <v>#REF!</v>
      </c>
      <c r="I368" s="67" t="e">
        <f>SUMIFS(#REF!,#REF!,Plano_Detalhado!E368,#REF!,Plano_Detalhado!F368)</f>
        <v>#REF!</v>
      </c>
      <c r="J368" s="67" t="e">
        <f t="shared" si="44"/>
        <v>#REF!</v>
      </c>
      <c r="K368" s="67" t="e">
        <f>SUMIFS(#REF!,#REF!,Plano_Detalhado!E368,#REF!,Plano_Detalhado!F368)</f>
        <v>#REF!</v>
      </c>
      <c r="L368" s="67" t="e">
        <f t="shared" si="45"/>
        <v>#REF!</v>
      </c>
      <c r="M368" s="61"/>
      <c r="N368" s="61" t="e">
        <f t="shared" si="46"/>
        <v>#REF!</v>
      </c>
      <c r="O368" s="61" t="e">
        <f t="shared" si="42"/>
        <v>#REF!</v>
      </c>
      <c r="P368" s="22" t="s">
        <v>29</v>
      </c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24"/>
      <c r="BI368" s="14"/>
      <c r="BJ368" s="14"/>
      <c r="BK368" s="14"/>
      <c r="BL368" s="14"/>
      <c r="BN368" s="2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</row>
    <row r="369" spans="1:79" hidden="1" outlineLevel="1" x14ac:dyDescent="0.25">
      <c r="A369" s="3" t="str">
        <f t="shared" si="43"/>
        <v>modesg_inp_emss_naceano</v>
      </c>
      <c r="B369" s="8" t="s">
        <v>16</v>
      </c>
      <c r="C369" s="9" t="s">
        <v>171</v>
      </c>
      <c r="D369" s="6" t="s">
        <v>30</v>
      </c>
      <c r="E369" s="7" t="s">
        <v>209</v>
      </c>
      <c r="F369" s="6" t="s">
        <v>288</v>
      </c>
      <c r="G369" s="6" t="e">
        <f>INDEX(#REF!,MATCH(Plano_Detalhado!H369,#REF!,0),1)</f>
        <v>#REF!</v>
      </c>
      <c r="H369" s="6" t="e">
        <f>VLOOKUP(A369,#REF!,2,0)</f>
        <v>#REF!</v>
      </c>
      <c r="I369" s="67" t="e">
        <f>SUMIFS(#REF!,#REF!,Plano_Detalhado!E369,#REF!,Plano_Detalhado!F369)</f>
        <v>#REF!</v>
      </c>
      <c r="J369" s="67" t="e">
        <f t="shared" si="44"/>
        <v>#REF!</v>
      </c>
      <c r="K369" s="67" t="e">
        <f>SUMIFS(#REF!,#REF!,Plano_Detalhado!E369,#REF!,Plano_Detalhado!F369)</f>
        <v>#REF!</v>
      </c>
      <c r="L369" s="67" t="e">
        <f t="shared" si="45"/>
        <v>#REF!</v>
      </c>
      <c r="M369" s="61"/>
      <c r="N369" s="61" t="e">
        <f t="shared" si="46"/>
        <v>#REF!</v>
      </c>
      <c r="O369" s="61" t="e">
        <f t="shared" si="42"/>
        <v>#REF!</v>
      </c>
      <c r="P369" s="22" t="s">
        <v>29</v>
      </c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24"/>
      <c r="BI369" s="14"/>
      <c r="BJ369" s="14"/>
      <c r="BK369" s="14"/>
      <c r="BL369" s="14"/>
      <c r="BN369" s="2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</row>
    <row r="370" spans="1:79" hidden="1" outlineLevel="1" x14ac:dyDescent="0.25">
      <c r="A370" s="3" t="str">
        <f t="shared" si="43"/>
        <v>modesg_inp_emss_nacenome_pais</v>
      </c>
      <c r="B370" s="8" t="s">
        <v>16</v>
      </c>
      <c r="C370" s="9" t="s">
        <v>171</v>
      </c>
      <c r="D370" s="6" t="s">
        <v>30</v>
      </c>
      <c r="E370" s="7" t="s">
        <v>209</v>
      </c>
      <c r="F370" s="6" t="s">
        <v>212</v>
      </c>
      <c r="G370" s="6" t="e">
        <f>INDEX(#REF!,MATCH(Plano_Detalhado!H370,#REF!,0),1)</f>
        <v>#REF!</v>
      </c>
      <c r="H370" s="6" t="e">
        <f>VLOOKUP(A370,#REF!,2,0)</f>
        <v>#REF!</v>
      </c>
      <c r="I370" s="67" t="e">
        <f>SUMIFS(#REF!,#REF!,Plano_Detalhado!E370,#REF!,Plano_Detalhado!F370)</f>
        <v>#REF!</v>
      </c>
      <c r="J370" s="67" t="e">
        <f t="shared" si="44"/>
        <v>#REF!</v>
      </c>
      <c r="K370" s="67" t="e">
        <f>SUMIFS(#REF!,#REF!,Plano_Detalhado!E370,#REF!,Plano_Detalhado!F370)</f>
        <v>#REF!</v>
      </c>
      <c r="L370" s="67" t="e">
        <f t="shared" si="45"/>
        <v>#REF!</v>
      </c>
      <c r="M370" s="61"/>
      <c r="N370" s="61" t="e">
        <f t="shared" si="46"/>
        <v>#REF!</v>
      </c>
      <c r="O370" s="61" t="e">
        <f t="shared" si="42"/>
        <v>#REF!</v>
      </c>
      <c r="P370" s="22" t="s">
        <v>29</v>
      </c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24"/>
      <c r="BI370" s="14"/>
      <c r="BJ370" s="14"/>
      <c r="BK370" s="14"/>
      <c r="BL370" s="14"/>
      <c r="BN370" s="2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</row>
    <row r="371" spans="1:79" hidden="1" outlineLevel="1" x14ac:dyDescent="0.25">
      <c r="A371" s="3" t="str">
        <f t="shared" si="43"/>
        <v>modesg_inp_emss_nacecod_nace_esg</v>
      </c>
      <c r="B371" s="8" t="s">
        <v>16</v>
      </c>
      <c r="C371" s="9" t="s">
        <v>171</v>
      </c>
      <c r="D371" s="6" t="s">
        <v>30</v>
      </c>
      <c r="E371" s="7" t="s">
        <v>209</v>
      </c>
      <c r="F371" s="6" t="s">
        <v>272</v>
      </c>
      <c r="G371" s="6" t="e">
        <f>INDEX(#REF!,MATCH(Plano_Detalhado!H371,#REF!,0),1)</f>
        <v>#REF!</v>
      </c>
      <c r="H371" s="6" t="e">
        <f>VLOOKUP(A371,#REF!,2,0)</f>
        <v>#REF!</v>
      </c>
      <c r="I371" s="67" t="e">
        <f>SUMIFS(#REF!,#REF!,Plano_Detalhado!E371,#REF!,Plano_Detalhado!F371)</f>
        <v>#REF!</v>
      </c>
      <c r="J371" s="67" t="e">
        <f t="shared" si="44"/>
        <v>#REF!</v>
      </c>
      <c r="K371" s="67" t="e">
        <f>SUMIFS(#REF!,#REF!,Plano_Detalhado!E371,#REF!,Plano_Detalhado!F371)</f>
        <v>#REF!</v>
      </c>
      <c r="L371" s="67" t="e">
        <f t="shared" si="45"/>
        <v>#REF!</v>
      </c>
      <c r="M371" s="61"/>
      <c r="N371" s="61" t="e">
        <f t="shared" si="46"/>
        <v>#REF!</v>
      </c>
      <c r="O371" s="61" t="e">
        <f t="shared" si="42"/>
        <v>#REF!</v>
      </c>
      <c r="P371" s="22" t="s">
        <v>29</v>
      </c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24"/>
      <c r="BI371" s="14"/>
      <c r="BJ371" s="14"/>
      <c r="BK371" s="14"/>
      <c r="BL371" s="14"/>
      <c r="BN371" s="2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</row>
    <row r="372" spans="1:79" hidden="1" outlineLevel="1" x14ac:dyDescent="0.25">
      <c r="A372" s="3" t="str">
        <f t="shared" si="43"/>
        <v>modesg_inp_emss_nacecod_class_indust</v>
      </c>
      <c r="B372" s="8" t="s">
        <v>16</v>
      </c>
      <c r="C372" s="9" t="s">
        <v>171</v>
      </c>
      <c r="D372" s="6" t="s">
        <v>30</v>
      </c>
      <c r="E372" s="7" t="s">
        <v>209</v>
      </c>
      <c r="F372" s="6" t="s">
        <v>289</v>
      </c>
      <c r="G372" s="6" t="e">
        <f>INDEX(#REF!,MATCH(Plano_Detalhado!H372,#REF!,0),1)</f>
        <v>#REF!</v>
      </c>
      <c r="H372" s="6" t="e">
        <f>VLOOKUP(A372,#REF!,2,0)</f>
        <v>#REF!</v>
      </c>
      <c r="I372" s="67" t="e">
        <f>SUMIFS(#REF!,#REF!,Plano_Detalhado!E372,#REF!,Plano_Detalhado!F372)</f>
        <v>#REF!</v>
      </c>
      <c r="J372" s="67" t="e">
        <f t="shared" si="44"/>
        <v>#REF!</v>
      </c>
      <c r="K372" s="67" t="e">
        <f>SUMIFS(#REF!,#REF!,Plano_Detalhado!E372,#REF!,Plano_Detalhado!F372)</f>
        <v>#REF!</v>
      </c>
      <c r="L372" s="67" t="e">
        <f t="shared" si="45"/>
        <v>#REF!</v>
      </c>
      <c r="M372" s="61"/>
      <c r="N372" s="61" t="e">
        <f t="shared" si="46"/>
        <v>#REF!</v>
      </c>
      <c r="O372" s="61" t="e">
        <f t="shared" si="42"/>
        <v>#REF!</v>
      </c>
      <c r="P372" s="22" t="s">
        <v>29</v>
      </c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24"/>
      <c r="BI372" s="14"/>
      <c r="BJ372" s="14"/>
      <c r="BK372" s="14"/>
      <c r="BL372" s="14"/>
      <c r="BN372" s="2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</row>
    <row r="373" spans="1:79" hidden="1" outlineLevel="1" x14ac:dyDescent="0.25">
      <c r="A373" s="3" t="str">
        <f t="shared" si="43"/>
        <v>modesg_inp_emss_nacenivel_classificacao_1</v>
      </c>
      <c r="B373" s="8" t="s">
        <v>16</v>
      </c>
      <c r="C373" s="9" t="s">
        <v>171</v>
      </c>
      <c r="D373" s="6" t="s">
        <v>30</v>
      </c>
      <c r="E373" s="7" t="s">
        <v>209</v>
      </c>
      <c r="F373" s="6" t="s">
        <v>290</v>
      </c>
      <c r="G373" s="6" t="e">
        <f>INDEX(#REF!,MATCH(Plano_Detalhado!H373,#REF!,0),1)</f>
        <v>#REF!</v>
      </c>
      <c r="H373" s="6" t="e">
        <f>VLOOKUP(A373,#REF!,2,0)</f>
        <v>#REF!</v>
      </c>
      <c r="I373" s="67" t="e">
        <f>SUMIFS(#REF!,#REF!,Plano_Detalhado!E373,#REF!,Plano_Detalhado!F373)</f>
        <v>#REF!</v>
      </c>
      <c r="J373" s="67" t="e">
        <f t="shared" si="44"/>
        <v>#REF!</v>
      </c>
      <c r="K373" s="67" t="e">
        <f>SUMIFS(#REF!,#REF!,Plano_Detalhado!E373,#REF!,Plano_Detalhado!F373)</f>
        <v>#REF!</v>
      </c>
      <c r="L373" s="67" t="e">
        <f t="shared" si="45"/>
        <v>#REF!</v>
      </c>
      <c r="M373" s="61"/>
      <c r="N373" s="61" t="e">
        <f t="shared" si="46"/>
        <v>#REF!</v>
      </c>
      <c r="O373" s="61" t="e">
        <f t="shared" si="42"/>
        <v>#REF!</v>
      </c>
      <c r="P373" s="22" t="s">
        <v>29</v>
      </c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24"/>
      <c r="BI373" s="14"/>
      <c r="BJ373" s="14"/>
      <c r="BK373" s="14"/>
      <c r="BL373" s="14"/>
      <c r="BN373" s="2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</row>
    <row r="374" spans="1:79" hidden="1" outlineLevel="1" x14ac:dyDescent="0.25">
      <c r="A374" s="3" t="str">
        <f t="shared" si="43"/>
        <v>modesg_inp_emss_naceclasse_ativo</v>
      </c>
      <c r="B374" s="8" t="s">
        <v>16</v>
      </c>
      <c r="C374" s="9" t="s">
        <v>171</v>
      </c>
      <c r="D374" s="6" t="s">
        <v>30</v>
      </c>
      <c r="E374" s="7" t="s">
        <v>209</v>
      </c>
      <c r="F374" s="6" t="s">
        <v>291</v>
      </c>
      <c r="G374" s="6" t="e">
        <f>INDEX(#REF!,MATCH(Plano_Detalhado!H374,#REF!,0),1)</f>
        <v>#REF!</v>
      </c>
      <c r="H374" s="6" t="e">
        <f>VLOOKUP(A374,#REF!,2,0)</f>
        <v>#REF!</v>
      </c>
      <c r="I374" s="67" t="e">
        <f>SUMIFS(#REF!,#REF!,Plano_Detalhado!E374,#REF!,Plano_Detalhado!F374)</f>
        <v>#REF!</v>
      </c>
      <c r="J374" s="67" t="e">
        <f t="shared" si="44"/>
        <v>#REF!</v>
      </c>
      <c r="K374" s="67" t="e">
        <f>SUMIFS(#REF!,#REF!,Plano_Detalhado!E374,#REF!,Plano_Detalhado!F374)</f>
        <v>#REF!</v>
      </c>
      <c r="L374" s="67" t="e">
        <f t="shared" si="45"/>
        <v>#REF!</v>
      </c>
      <c r="M374" s="61"/>
      <c r="N374" s="61" t="e">
        <f t="shared" si="46"/>
        <v>#REF!</v>
      </c>
      <c r="O374" s="61" t="e">
        <f t="shared" si="42"/>
        <v>#REF!</v>
      </c>
      <c r="P374" s="22" t="s">
        <v>29</v>
      </c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24"/>
      <c r="BI374" s="14"/>
      <c r="BJ374" s="14"/>
      <c r="BK374" s="14"/>
      <c r="BL374" s="14"/>
      <c r="BN374" s="2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</row>
    <row r="375" spans="1:79" hidden="1" outlineLevel="1" x14ac:dyDescent="0.25">
      <c r="A375" s="3" t="str">
        <f t="shared" si="43"/>
        <v>modesg_inp_emss_naceopcao_metodologia</v>
      </c>
      <c r="B375" s="8" t="s">
        <v>16</v>
      </c>
      <c r="C375" s="9" t="s">
        <v>171</v>
      </c>
      <c r="D375" s="6" t="s">
        <v>30</v>
      </c>
      <c r="E375" s="7" t="s">
        <v>209</v>
      </c>
      <c r="F375" s="6" t="s">
        <v>292</v>
      </c>
      <c r="G375" s="6" t="e">
        <f>INDEX(#REF!,MATCH(Plano_Detalhado!H375,#REF!,0),1)</f>
        <v>#REF!</v>
      </c>
      <c r="H375" s="6" t="e">
        <f>VLOOKUP(A375,#REF!,2,0)</f>
        <v>#REF!</v>
      </c>
      <c r="I375" s="67" t="e">
        <f>SUMIFS(#REF!,#REF!,Plano_Detalhado!E375,#REF!,Plano_Detalhado!F375)</f>
        <v>#REF!</v>
      </c>
      <c r="J375" s="67" t="e">
        <f t="shared" si="44"/>
        <v>#REF!</v>
      </c>
      <c r="K375" s="67" t="e">
        <f>SUMIFS(#REF!,#REF!,Plano_Detalhado!E375,#REF!,Plano_Detalhado!F375)</f>
        <v>#REF!</v>
      </c>
      <c r="L375" s="67" t="e">
        <f t="shared" si="45"/>
        <v>#REF!</v>
      </c>
      <c r="M375" s="61"/>
      <c r="N375" s="61" t="e">
        <f t="shared" si="46"/>
        <v>#REF!</v>
      </c>
      <c r="O375" s="61" t="e">
        <f t="shared" ref="O375:O438" si="47">N375-M375</f>
        <v>#REF!</v>
      </c>
      <c r="P375" s="22" t="s">
        <v>29</v>
      </c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24"/>
      <c r="BI375" s="14"/>
      <c r="BJ375" s="14"/>
      <c r="BK375" s="14"/>
      <c r="BL375" s="14"/>
      <c r="BN375" s="2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</row>
    <row r="376" spans="1:79" hidden="1" outlineLevel="1" x14ac:dyDescent="0.25">
      <c r="A376" s="3" t="str">
        <f t="shared" si="43"/>
        <v>modesg_inp_emss_naceunidade_funcional</v>
      </c>
      <c r="B376" s="8" t="s">
        <v>16</v>
      </c>
      <c r="C376" s="9" t="s">
        <v>171</v>
      </c>
      <c r="D376" s="6" t="s">
        <v>30</v>
      </c>
      <c r="E376" s="7" t="s">
        <v>209</v>
      </c>
      <c r="F376" s="6" t="s">
        <v>220</v>
      </c>
      <c r="G376" s="6" t="e">
        <f>INDEX(#REF!,MATCH(Plano_Detalhado!H376,#REF!,0),1)</f>
        <v>#REF!</v>
      </c>
      <c r="H376" s="6" t="e">
        <f>VLOOKUP(A376,#REF!,2,0)</f>
        <v>#REF!</v>
      </c>
      <c r="I376" s="67" t="e">
        <f>SUMIFS(#REF!,#REF!,Plano_Detalhado!E376,#REF!,Plano_Detalhado!F376)</f>
        <v>#REF!</v>
      </c>
      <c r="J376" s="67" t="e">
        <f t="shared" si="44"/>
        <v>#REF!</v>
      </c>
      <c r="K376" s="67" t="e">
        <f>SUMIFS(#REF!,#REF!,Plano_Detalhado!E376,#REF!,Plano_Detalhado!F376)</f>
        <v>#REF!</v>
      </c>
      <c r="L376" s="67" t="e">
        <f t="shared" si="45"/>
        <v>#REF!</v>
      </c>
      <c r="M376" s="61"/>
      <c r="N376" s="61" t="e">
        <f t="shared" si="46"/>
        <v>#REF!</v>
      </c>
      <c r="O376" s="61" t="e">
        <f t="shared" si="47"/>
        <v>#REF!</v>
      </c>
      <c r="P376" s="22" t="s">
        <v>29</v>
      </c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24"/>
      <c r="BI376" s="14"/>
      <c r="BJ376" s="14"/>
      <c r="BK376" s="14"/>
      <c r="BL376" s="14"/>
      <c r="BN376" s="2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</row>
    <row r="377" spans="1:79" hidden="1" outlineLevel="1" x14ac:dyDescent="0.25">
      <c r="A377" s="3" t="str">
        <f t="shared" si="43"/>
        <v>modesg_inp_emss_naceunidades_fator_de_emissao</v>
      </c>
      <c r="B377" s="8" t="s">
        <v>16</v>
      </c>
      <c r="C377" s="9" t="s">
        <v>171</v>
      </c>
      <c r="D377" s="6" t="s">
        <v>30</v>
      </c>
      <c r="E377" s="7" t="s">
        <v>209</v>
      </c>
      <c r="F377" s="6" t="s">
        <v>293</v>
      </c>
      <c r="G377" s="6" t="e">
        <f>INDEX(#REF!,MATCH(Plano_Detalhado!H377,#REF!,0),1)</f>
        <v>#REF!</v>
      </c>
      <c r="H377" s="6" t="e">
        <f>VLOOKUP(A377,#REF!,2,0)</f>
        <v>#REF!</v>
      </c>
      <c r="I377" s="67" t="e">
        <f>SUMIFS(#REF!,#REF!,Plano_Detalhado!E377,#REF!,Plano_Detalhado!F377)</f>
        <v>#REF!</v>
      </c>
      <c r="J377" s="67" t="e">
        <f t="shared" si="44"/>
        <v>#REF!</v>
      </c>
      <c r="K377" s="67" t="e">
        <f>SUMIFS(#REF!,#REF!,Plano_Detalhado!E377,#REF!,Plano_Detalhado!F377)</f>
        <v>#REF!</v>
      </c>
      <c r="L377" s="67" t="e">
        <f t="shared" si="45"/>
        <v>#REF!</v>
      </c>
      <c r="M377" s="61"/>
      <c r="N377" s="61" t="e">
        <f t="shared" si="46"/>
        <v>#REF!</v>
      </c>
      <c r="O377" s="61" t="e">
        <f t="shared" si="47"/>
        <v>#REF!</v>
      </c>
      <c r="P377" s="22" t="s">
        <v>29</v>
      </c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24"/>
      <c r="BI377" s="14"/>
      <c r="BJ377" s="14"/>
      <c r="BK377" s="14"/>
      <c r="BL377" s="14"/>
      <c r="BN377" s="2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</row>
    <row r="378" spans="1:79" hidden="1" outlineLevel="1" x14ac:dyDescent="0.25">
      <c r="A378" s="3" t="str">
        <f t="shared" si="43"/>
        <v>modesg_inp_emss_nacescore_qualidade</v>
      </c>
      <c r="B378" s="8" t="s">
        <v>16</v>
      </c>
      <c r="C378" s="9" t="s">
        <v>171</v>
      </c>
      <c r="D378" s="6" t="s">
        <v>30</v>
      </c>
      <c r="E378" s="7" t="s">
        <v>209</v>
      </c>
      <c r="F378" s="6" t="s">
        <v>223</v>
      </c>
      <c r="G378" s="6" t="e">
        <f>INDEX(#REF!,MATCH(Plano_Detalhado!H378,#REF!,0),1)</f>
        <v>#REF!</v>
      </c>
      <c r="H378" s="6" t="e">
        <f>VLOOKUP(A378,#REF!,2,0)</f>
        <v>#REF!</v>
      </c>
      <c r="I378" s="67" t="e">
        <f>SUMIFS(#REF!,#REF!,Plano_Detalhado!E378,#REF!,Plano_Detalhado!F378)</f>
        <v>#REF!</v>
      </c>
      <c r="J378" s="67" t="e">
        <f t="shared" si="44"/>
        <v>#REF!</v>
      </c>
      <c r="K378" s="67" t="e">
        <f>SUMIFS(#REF!,#REF!,Plano_Detalhado!E378,#REF!,Plano_Detalhado!F378)</f>
        <v>#REF!</v>
      </c>
      <c r="L378" s="67" t="e">
        <f t="shared" si="45"/>
        <v>#REF!</v>
      </c>
      <c r="M378" s="61"/>
      <c r="N378" s="61" t="e">
        <f t="shared" si="46"/>
        <v>#REF!</v>
      </c>
      <c r="O378" s="61" t="e">
        <f t="shared" si="47"/>
        <v>#REF!</v>
      </c>
      <c r="P378" s="22" t="s">
        <v>29</v>
      </c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24"/>
      <c r="BI378" s="14"/>
      <c r="BJ378" s="14"/>
      <c r="BK378" s="14"/>
      <c r="BL378" s="14"/>
      <c r="BN378" s="2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</row>
    <row r="379" spans="1:79" hidden="1" outlineLevel="1" x14ac:dyDescent="0.25">
      <c r="A379" s="3" t="str">
        <f t="shared" si="43"/>
        <v>modesg_inp_emss_nacescp1_ftr_emss</v>
      </c>
      <c r="B379" s="8" t="s">
        <v>16</v>
      </c>
      <c r="C379" s="9" t="s">
        <v>171</v>
      </c>
      <c r="D379" s="6" t="s">
        <v>30</v>
      </c>
      <c r="E379" s="7" t="s">
        <v>209</v>
      </c>
      <c r="F379" s="6" t="s">
        <v>224</v>
      </c>
      <c r="G379" s="6" t="e">
        <f>INDEX(#REF!,MATCH(Plano_Detalhado!H379,#REF!,0),1)</f>
        <v>#REF!</v>
      </c>
      <c r="H379" s="6" t="e">
        <f>VLOOKUP(A379,#REF!,2,0)</f>
        <v>#REF!</v>
      </c>
      <c r="I379" s="67" t="e">
        <f>SUMIFS(#REF!,#REF!,Plano_Detalhado!E379,#REF!,Plano_Detalhado!F379)</f>
        <v>#REF!</v>
      </c>
      <c r="J379" s="67" t="e">
        <f t="shared" si="44"/>
        <v>#REF!</v>
      </c>
      <c r="K379" s="67" t="e">
        <f>SUMIFS(#REF!,#REF!,Plano_Detalhado!E379,#REF!,Plano_Detalhado!F379)</f>
        <v>#REF!</v>
      </c>
      <c r="L379" s="67" t="e">
        <f t="shared" si="45"/>
        <v>#REF!</v>
      </c>
      <c r="M379" s="61"/>
      <c r="N379" s="61" t="e">
        <f t="shared" si="46"/>
        <v>#REF!</v>
      </c>
      <c r="O379" s="61" t="e">
        <f t="shared" si="47"/>
        <v>#REF!</v>
      </c>
      <c r="P379" s="22" t="s">
        <v>29</v>
      </c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24"/>
      <c r="BI379" s="14"/>
      <c r="BJ379" s="14"/>
      <c r="BK379" s="14"/>
      <c r="BL379" s="14"/>
      <c r="BN379" s="2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</row>
    <row r="380" spans="1:79" hidden="1" outlineLevel="1" x14ac:dyDescent="0.25">
      <c r="A380" s="3" t="str">
        <f t="shared" si="43"/>
        <v>modesg_inp_emss_nacescp2_ftr_emss</v>
      </c>
      <c r="B380" s="8" t="s">
        <v>16</v>
      </c>
      <c r="C380" s="9" t="s">
        <v>171</v>
      </c>
      <c r="D380" s="6" t="s">
        <v>30</v>
      </c>
      <c r="E380" s="7" t="s">
        <v>209</v>
      </c>
      <c r="F380" s="6" t="s">
        <v>225</v>
      </c>
      <c r="G380" s="6" t="e">
        <f>INDEX(#REF!,MATCH(Plano_Detalhado!H380,#REF!,0),1)</f>
        <v>#REF!</v>
      </c>
      <c r="H380" s="6" t="e">
        <f>VLOOKUP(A380,#REF!,2,0)</f>
        <v>#REF!</v>
      </c>
      <c r="I380" s="67" t="e">
        <f>SUMIFS(#REF!,#REF!,Plano_Detalhado!E380,#REF!,Plano_Detalhado!F380)</f>
        <v>#REF!</v>
      </c>
      <c r="J380" s="67" t="e">
        <f t="shared" si="44"/>
        <v>#REF!</v>
      </c>
      <c r="K380" s="67" t="e">
        <f>SUMIFS(#REF!,#REF!,Plano_Detalhado!E380,#REF!,Plano_Detalhado!F380)</f>
        <v>#REF!</v>
      </c>
      <c r="L380" s="67" t="e">
        <f t="shared" si="45"/>
        <v>#REF!</v>
      </c>
      <c r="M380" s="61"/>
      <c r="N380" s="61" t="e">
        <f t="shared" si="46"/>
        <v>#REF!</v>
      </c>
      <c r="O380" s="61" t="e">
        <f t="shared" si="47"/>
        <v>#REF!</v>
      </c>
      <c r="P380" s="22" t="s">
        <v>29</v>
      </c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24"/>
      <c r="BI380" s="14"/>
      <c r="BJ380" s="14"/>
      <c r="BK380" s="14"/>
      <c r="BL380" s="14"/>
      <c r="BN380" s="2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</row>
    <row r="381" spans="1:79" hidden="1" outlineLevel="1" x14ac:dyDescent="0.25">
      <c r="A381" s="3" t="str">
        <f t="shared" si="43"/>
        <v>modesg_inp_emss_nacescp3_ftr_emss</v>
      </c>
      <c r="B381" s="8" t="s">
        <v>16</v>
      </c>
      <c r="C381" s="9" t="s">
        <v>171</v>
      </c>
      <c r="D381" s="6" t="s">
        <v>30</v>
      </c>
      <c r="E381" s="7" t="s">
        <v>209</v>
      </c>
      <c r="F381" s="6" t="s">
        <v>226</v>
      </c>
      <c r="G381" s="6" t="e">
        <f>INDEX(#REF!,MATCH(Plano_Detalhado!H381,#REF!,0),1)</f>
        <v>#REF!</v>
      </c>
      <c r="H381" s="6" t="e">
        <f>VLOOKUP(A381,#REF!,2,0)</f>
        <v>#REF!</v>
      </c>
      <c r="I381" s="67" t="e">
        <f>SUMIFS(#REF!,#REF!,Plano_Detalhado!E381,#REF!,Plano_Detalhado!F381)</f>
        <v>#REF!</v>
      </c>
      <c r="J381" s="67" t="e">
        <f t="shared" si="44"/>
        <v>#REF!</v>
      </c>
      <c r="K381" s="67" t="e">
        <f>SUMIFS(#REF!,#REF!,Plano_Detalhado!E381,#REF!,Plano_Detalhado!F381)</f>
        <v>#REF!</v>
      </c>
      <c r="L381" s="67" t="e">
        <f t="shared" si="45"/>
        <v>#REF!</v>
      </c>
      <c r="M381" s="61"/>
      <c r="N381" s="61" t="e">
        <f t="shared" si="46"/>
        <v>#REF!</v>
      </c>
      <c r="O381" s="61" t="e">
        <f t="shared" si="47"/>
        <v>#REF!</v>
      </c>
      <c r="P381" s="22" t="s">
        <v>29</v>
      </c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24"/>
      <c r="BI381" s="14"/>
      <c r="BJ381" s="14"/>
      <c r="BK381" s="14"/>
      <c r="BL381" s="14"/>
      <c r="BN381" s="2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</row>
    <row r="382" spans="1:79" hidden="1" outlineLevel="1" x14ac:dyDescent="0.25">
      <c r="A382" s="3" t="str">
        <f t="shared" si="43"/>
        <v>modesg_inp_emss_bens_imoveisref_date</v>
      </c>
      <c r="B382" s="8" t="s">
        <v>16</v>
      </c>
      <c r="C382" s="9" t="s">
        <v>171</v>
      </c>
      <c r="D382" s="6" t="s">
        <v>30</v>
      </c>
      <c r="E382" s="7" t="s">
        <v>210</v>
      </c>
      <c r="F382" s="6" t="s">
        <v>198</v>
      </c>
      <c r="G382" s="6" t="e">
        <f>INDEX(#REF!,MATCH(Plano_Detalhado!H382,#REF!,0),1)</f>
        <v>#REF!</v>
      </c>
      <c r="H382" s="6" t="e">
        <f>VLOOKUP(A382,#REF!,2,0)</f>
        <v>#REF!</v>
      </c>
      <c r="I382" s="67" t="e">
        <f>SUMIFS(#REF!,#REF!,Plano_Detalhado!E382,#REF!,Plano_Detalhado!F382)</f>
        <v>#REF!</v>
      </c>
      <c r="J382" s="67" t="e">
        <f t="shared" si="44"/>
        <v>#REF!</v>
      </c>
      <c r="K382" s="67" t="e">
        <f>SUMIFS(#REF!,#REF!,Plano_Detalhado!E382,#REF!,Plano_Detalhado!F382)</f>
        <v>#REF!</v>
      </c>
      <c r="L382" s="67" t="e">
        <f t="shared" si="45"/>
        <v>#REF!</v>
      </c>
      <c r="M382" s="61"/>
      <c r="N382" s="61" t="e">
        <f t="shared" si="46"/>
        <v>#REF!</v>
      </c>
      <c r="O382" s="61" t="e">
        <f t="shared" si="47"/>
        <v>#REF!</v>
      </c>
      <c r="P382" s="22" t="s">
        <v>29</v>
      </c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24"/>
      <c r="BI382" s="14"/>
      <c r="BJ382" s="14"/>
      <c r="BK382" s="14"/>
      <c r="BL382" s="14"/>
      <c r="BN382" s="2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</row>
    <row r="383" spans="1:79" hidden="1" outlineLevel="1" x14ac:dyDescent="0.25">
      <c r="A383" s="3" t="str">
        <f t="shared" si="43"/>
        <v>modesg_inp_emss_bens_imoveisnome_pais</v>
      </c>
      <c r="B383" s="8" t="s">
        <v>16</v>
      </c>
      <c r="C383" s="9" t="s">
        <v>171</v>
      </c>
      <c r="D383" s="6" t="s">
        <v>30</v>
      </c>
      <c r="E383" s="7" t="s">
        <v>210</v>
      </c>
      <c r="F383" s="6" t="s">
        <v>212</v>
      </c>
      <c r="G383" s="6" t="e">
        <f>INDEX(#REF!,MATCH(Plano_Detalhado!H383,#REF!,0),1)</f>
        <v>#REF!</v>
      </c>
      <c r="H383" s="6" t="e">
        <f>VLOOKUP(A383,#REF!,2,0)</f>
        <v>#REF!</v>
      </c>
      <c r="I383" s="67" t="e">
        <f>SUMIFS(#REF!,#REF!,Plano_Detalhado!E383,#REF!,Plano_Detalhado!F383)</f>
        <v>#REF!</v>
      </c>
      <c r="J383" s="67" t="e">
        <f t="shared" si="44"/>
        <v>#REF!</v>
      </c>
      <c r="K383" s="67" t="e">
        <f>SUMIFS(#REF!,#REF!,Plano_Detalhado!E383,#REF!,Plano_Detalhado!F383)</f>
        <v>#REF!</v>
      </c>
      <c r="L383" s="67" t="e">
        <f t="shared" si="45"/>
        <v>#REF!</v>
      </c>
      <c r="M383" s="61"/>
      <c r="N383" s="61" t="e">
        <f t="shared" si="46"/>
        <v>#REF!</v>
      </c>
      <c r="O383" s="61" t="e">
        <f t="shared" si="47"/>
        <v>#REF!</v>
      </c>
      <c r="P383" s="22" t="s">
        <v>29</v>
      </c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24"/>
      <c r="BI383" s="14"/>
      <c r="BJ383" s="14"/>
      <c r="BK383" s="14"/>
      <c r="BL383" s="14"/>
      <c r="BN383" s="2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</row>
    <row r="384" spans="1:79" hidden="1" outlineLevel="1" x14ac:dyDescent="0.25">
      <c r="A384" s="3" t="str">
        <f t="shared" si="43"/>
        <v>modesg_inp_emss_bens_imoveisnome_estado</v>
      </c>
      <c r="B384" s="8" t="s">
        <v>16</v>
      </c>
      <c r="C384" s="9" t="s">
        <v>171</v>
      </c>
      <c r="D384" s="6" t="s">
        <v>30</v>
      </c>
      <c r="E384" s="7" t="s">
        <v>210</v>
      </c>
      <c r="F384" s="6" t="s">
        <v>213</v>
      </c>
      <c r="G384" s="6" t="e">
        <f>INDEX(#REF!,MATCH(Plano_Detalhado!H384,#REF!,0),1)</f>
        <v>#REF!</v>
      </c>
      <c r="H384" s="6" t="e">
        <f>VLOOKUP(A384,#REF!,2,0)</f>
        <v>#REF!</v>
      </c>
      <c r="I384" s="67" t="e">
        <f>SUMIFS(#REF!,#REF!,Plano_Detalhado!E384,#REF!,Plano_Detalhado!F384)</f>
        <v>#REF!</v>
      </c>
      <c r="J384" s="67" t="e">
        <f t="shared" si="44"/>
        <v>#REF!</v>
      </c>
      <c r="K384" s="67" t="e">
        <f>SUMIFS(#REF!,#REF!,Plano_Detalhado!E384,#REF!,Plano_Detalhado!F384)</f>
        <v>#REF!</v>
      </c>
      <c r="L384" s="67" t="e">
        <f t="shared" si="45"/>
        <v>#REF!</v>
      </c>
      <c r="M384" s="61"/>
      <c r="N384" s="61" t="e">
        <f t="shared" si="46"/>
        <v>#REF!</v>
      </c>
      <c r="O384" s="61" t="e">
        <f t="shared" si="47"/>
        <v>#REF!</v>
      </c>
      <c r="P384" s="22" t="s">
        <v>29</v>
      </c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24"/>
      <c r="BI384" s="14"/>
      <c r="BJ384" s="14"/>
      <c r="BK384" s="14"/>
      <c r="BL384" s="14"/>
      <c r="BN384" s="2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</row>
    <row r="385" spans="1:79" hidden="1" outlineLevel="1" x14ac:dyDescent="0.25">
      <c r="A385" s="3" t="str">
        <f t="shared" si="43"/>
        <v>modesg_inp_emss_bens_imoveisclasse_ativo</v>
      </c>
      <c r="B385" s="8" t="s">
        <v>16</v>
      </c>
      <c r="C385" s="9" t="s">
        <v>171</v>
      </c>
      <c r="D385" s="6" t="s">
        <v>30</v>
      </c>
      <c r="E385" s="7" t="s">
        <v>210</v>
      </c>
      <c r="F385" s="6" t="s">
        <v>291</v>
      </c>
      <c r="G385" s="6" t="e">
        <f>INDEX(#REF!,MATCH(Plano_Detalhado!H385,#REF!,0),1)</f>
        <v>#REF!</v>
      </c>
      <c r="H385" s="6" t="e">
        <f>VLOOKUP(A385,#REF!,2,0)</f>
        <v>#REF!</v>
      </c>
      <c r="I385" s="67" t="e">
        <f>SUMIFS(#REF!,#REF!,Plano_Detalhado!E385,#REF!,Plano_Detalhado!F385)</f>
        <v>#REF!</v>
      </c>
      <c r="J385" s="67" t="e">
        <f t="shared" si="44"/>
        <v>#REF!</v>
      </c>
      <c r="K385" s="67" t="e">
        <f>SUMIFS(#REF!,#REF!,Plano_Detalhado!E385,#REF!,Plano_Detalhado!F385)</f>
        <v>#REF!</v>
      </c>
      <c r="L385" s="67" t="e">
        <f t="shared" si="45"/>
        <v>#REF!</v>
      </c>
      <c r="M385" s="61"/>
      <c r="N385" s="61" t="e">
        <f t="shared" si="46"/>
        <v>#REF!</v>
      </c>
      <c r="O385" s="61" t="e">
        <f t="shared" si="47"/>
        <v>#REF!</v>
      </c>
      <c r="P385" s="22" t="s">
        <v>29</v>
      </c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24"/>
      <c r="BI385" s="14"/>
      <c r="BJ385" s="14"/>
      <c r="BK385" s="14"/>
      <c r="BL385" s="14"/>
      <c r="BN385" s="2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</row>
    <row r="386" spans="1:79" hidden="1" outlineLevel="1" x14ac:dyDescent="0.25">
      <c r="A386" s="3" t="str">
        <f t="shared" si="43"/>
        <v>modesg_inp_emss_bens_imoveistipo_fator_emissao</v>
      </c>
      <c r="B386" s="8" t="s">
        <v>16</v>
      </c>
      <c r="C386" s="9" t="s">
        <v>171</v>
      </c>
      <c r="D386" s="6" t="s">
        <v>30</v>
      </c>
      <c r="E386" s="7" t="s">
        <v>210</v>
      </c>
      <c r="F386" s="6" t="s">
        <v>294</v>
      </c>
      <c r="G386" s="6" t="e">
        <f>INDEX(#REF!,MATCH(Plano_Detalhado!H386,#REF!,0),1)</f>
        <v>#REF!</v>
      </c>
      <c r="H386" s="6" t="e">
        <f>VLOOKUP(A386,#REF!,2,0)</f>
        <v>#REF!</v>
      </c>
      <c r="I386" s="67" t="e">
        <f>SUMIFS(#REF!,#REF!,Plano_Detalhado!E386,#REF!,Plano_Detalhado!F386)</f>
        <v>#REF!</v>
      </c>
      <c r="J386" s="67" t="e">
        <f t="shared" si="44"/>
        <v>#REF!</v>
      </c>
      <c r="K386" s="67" t="e">
        <f>SUMIFS(#REF!,#REF!,Plano_Detalhado!E386,#REF!,Plano_Detalhado!F386)</f>
        <v>#REF!</v>
      </c>
      <c r="L386" s="67" t="e">
        <f t="shared" si="45"/>
        <v>#REF!</v>
      </c>
      <c r="M386" s="61"/>
      <c r="N386" s="61" t="e">
        <f t="shared" si="46"/>
        <v>#REF!</v>
      </c>
      <c r="O386" s="61" t="e">
        <f t="shared" si="47"/>
        <v>#REF!</v>
      </c>
      <c r="P386" s="22" t="s">
        <v>29</v>
      </c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24"/>
      <c r="BI386" s="14"/>
      <c r="BJ386" s="14"/>
      <c r="BK386" s="14"/>
      <c r="BL386" s="14"/>
      <c r="BN386" s="2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</row>
    <row r="387" spans="1:79" hidden="1" outlineLevel="1" x14ac:dyDescent="0.25">
      <c r="A387" s="3" t="str">
        <f t="shared" si="43"/>
        <v>modesg_inp_emss_bens_imoveisregiao</v>
      </c>
      <c r="B387" s="8" t="s">
        <v>16</v>
      </c>
      <c r="C387" s="9" t="s">
        <v>171</v>
      </c>
      <c r="D387" s="6" t="s">
        <v>30</v>
      </c>
      <c r="E387" s="7" t="s">
        <v>210</v>
      </c>
      <c r="F387" s="6" t="s">
        <v>295</v>
      </c>
      <c r="G387" s="6" t="e">
        <f>INDEX(#REF!,MATCH(Plano_Detalhado!H387,#REF!,0),1)</f>
        <v>#REF!</v>
      </c>
      <c r="H387" s="6" t="e">
        <f>VLOOKUP(A387,#REF!,2,0)</f>
        <v>#REF!</v>
      </c>
      <c r="I387" s="67" t="e">
        <f>SUMIFS(#REF!,#REF!,Plano_Detalhado!E387,#REF!,Plano_Detalhado!F387)</f>
        <v>#REF!</v>
      </c>
      <c r="J387" s="67" t="e">
        <f t="shared" si="44"/>
        <v>#REF!</v>
      </c>
      <c r="K387" s="67" t="e">
        <f>SUMIFS(#REF!,#REF!,Plano_Detalhado!E387,#REF!,Plano_Detalhado!F387)</f>
        <v>#REF!</v>
      </c>
      <c r="L387" s="67" t="e">
        <f t="shared" si="45"/>
        <v>#REF!</v>
      </c>
      <c r="M387" s="61"/>
      <c r="N387" s="61" t="e">
        <f t="shared" si="46"/>
        <v>#REF!</v>
      </c>
      <c r="O387" s="61" t="e">
        <f t="shared" si="47"/>
        <v>#REF!</v>
      </c>
      <c r="P387" s="22" t="s">
        <v>29</v>
      </c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24"/>
      <c r="BI387" s="14"/>
      <c r="BJ387" s="14"/>
      <c r="BK387" s="14"/>
      <c r="BL387" s="14"/>
      <c r="BN387" s="2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</row>
    <row r="388" spans="1:79" hidden="1" outlineLevel="1" x14ac:dyDescent="0.25">
      <c r="A388" s="3" t="str">
        <f t="shared" ref="A388:A451" si="48">E388&amp;F388</f>
        <v>modesg_inp_emss_bens_imoveistipo_bem</v>
      </c>
      <c r="B388" s="8" t="s">
        <v>16</v>
      </c>
      <c r="C388" s="9" t="s">
        <v>171</v>
      </c>
      <c r="D388" s="6" t="s">
        <v>30</v>
      </c>
      <c r="E388" s="7" t="s">
        <v>210</v>
      </c>
      <c r="F388" s="6" t="s">
        <v>296</v>
      </c>
      <c r="G388" s="6" t="e">
        <f>INDEX(#REF!,MATCH(Plano_Detalhado!H388,#REF!,0),1)</f>
        <v>#REF!</v>
      </c>
      <c r="H388" s="6" t="e">
        <f>VLOOKUP(A388,#REF!,2,0)</f>
        <v>#REF!</v>
      </c>
      <c r="I388" s="67" t="e">
        <f>SUMIFS(#REF!,#REF!,Plano_Detalhado!E388,#REF!,Plano_Detalhado!F388)</f>
        <v>#REF!</v>
      </c>
      <c r="J388" s="67" t="e">
        <f t="shared" si="44"/>
        <v>#REF!</v>
      </c>
      <c r="K388" s="67" t="e">
        <f>SUMIFS(#REF!,#REF!,Plano_Detalhado!E388,#REF!,Plano_Detalhado!F388)</f>
        <v>#REF!</v>
      </c>
      <c r="L388" s="67" t="e">
        <f t="shared" si="45"/>
        <v>#REF!</v>
      </c>
      <c r="M388" s="61"/>
      <c r="N388" s="61" t="e">
        <f t="shared" si="46"/>
        <v>#REF!</v>
      </c>
      <c r="O388" s="61" t="e">
        <f t="shared" si="47"/>
        <v>#REF!</v>
      </c>
      <c r="P388" s="22" t="s">
        <v>29</v>
      </c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24"/>
      <c r="BI388" s="14"/>
      <c r="BJ388" s="14"/>
      <c r="BK388" s="14"/>
      <c r="BL388" s="14"/>
      <c r="BN388" s="2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</row>
    <row r="389" spans="1:79" hidden="1" outlineLevel="1" x14ac:dyDescent="0.25">
      <c r="A389" s="3" t="str">
        <f t="shared" si="48"/>
        <v>modesg_inp_emss_bens_imoveistipo_finalidade_bem</v>
      </c>
      <c r="B389" s="8" t="s">
        <v>16</v>
      </c>
      <c r="C389" s="9" t="s">
        <v>171</v>
      </c>
      <c r="D389" s="6" t="s">
        <v>30</v>
      </c>
      <c r="E389" s="7" t="s">
        <v>210</v>
      </c>
      <c r="F389" s="6" t="s">
        <v>297</v>
      </c>
      <c r="G389" s="6" t="e">
        <f>INDEX(#REF!,MATCH(Plano_Detalhado!H389,#REF!,0),1)</f>
        <v>#REF!</v>
      </c>
      <c r="H389" s="6" t="e">
        <f>VLOOKUP(A389,#REF!,2,0)</f>
        <v>#REF!</v>
      </c>
      <c r="I389" s="67" t="e">
        <f>SUMIFS(#REF!,#REF!,Plano_Detalhado!E389,#REF!,Plano_Detalhado!F389)</f>
        <v>#REF!</v>
      </c>
      <c r="J389" s="67" t="e">
        <f t="shared" si="44"/>
        <v>#REF!</v>
      </c>
      <c r="K389" s="67" t="e">
        <f>SUMIFS(#REF!,#REF!,Plano_Detalhado!E389,#REF!,Plano_Detalhado!F389)</f>
        <v>#REF!</v>
      </c>
      <c r="L389" s="67" t="e">
        <f t="shared" si="45"/>
        <v>#REF!</v>
      </c>
      <c r="M389" s="61"/>
      <c r="N389" s="61" t="e">
        <f t="shared" si="46"/>
        <v>#REF!</v>
      </c>
      <c r="O389" s="61" t="e">
        <f t="shared" si="47"/>
        <v>#REF!</v>
      </c>
      <c r="P389" s="22" t="s">
        <v>29</v>
      </c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24"/>
      <c r="BI389" s="14"/>
      <c r="BJ389" s="14"/>
      <c r="BK389" s="14"/>
      <c r="BL389" s="14"/>
      <c r="BN389" s="2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</row>
    <row r="390" spans="1:79" hidden="1" outlineLevel="1" x14ac:dyDescent="0.25">
      <c r="A390" s="3" t="str">
        <f t="shared" si="48"/>
        <v>modesg_inp_emss_bens_imoveisepc</v>
      </c>
      <c r="B390" s="8" t="s">
        <v>16</v>
      </c>
      <c r="C390" s="9" t="s">
        <v>171</v>
      </c>
      <c r="D390" s="6" t="s">
        <v>30</v>
      </c>
      <c r="E390" s="7" t="s">
        <v>210</v>
      </c>
      <c r="F390" s="6" t="s">
        <v>188</v>
      </c>
      <c r="G390" s="6" t="e">
        <f>INDEX(#REF!,MATCH(Plano_Detalhado!H390,#REF!,0),1)</f>
        <v>#REF!</v>
      </c>
      <c r="H390" s="6" t="e">
        <f>VLOOKUP(A390,#REF!,2,0)</f>
        <v>#REF!</v>
      </c>
      <c r="I390" s="67" t="e">
        <f>SUMIFS(#REF!,#REF!,Plano_Detalhado!E390,#REF!,Plano_Detalhado!F390)</f>
        <v>#REF!</v>
      </c>
      <c r="J390" s="67" t="e">
        <f t="shared" si="44"/>
        <v>#REF!</v>
      </c>
      <c r="K390" s="67" t="e">
        <f>SUMIFS(#REF!,#REF!,Plano_Detalhado!E390,#REF!,Plano_Detalhado!F390)</f>
        <v>#REF!</v>
      </c>
      <c r="L390" s="67" t="e">
        <f t="shared" si="45"/>
        <v>#REF!</v>
      </c>
      <c r="M390" s="61"/>
      <c r="N390" s="61" t="e">
        <f t="shared" si="46"/>
        <v>#REF!</v>
      </c>
      <c r="O390" s="61" t="e">
        <f t="shared" si="47"/>
        <v>#REF!</v>
      </c>
      <c r="P390" s="22" t="s">
        <v>29</v>
      </c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24"/>
      <c r="BI390" s="14"/>
      <c r="BJ390" s="14"/>
      <c r="BK390" s="14"/>
      <c r="BL390" s="14"/>
      <c r="BN390" s="2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</row>
    <row r="391" spans="1:79" hidden="1" outlineLevel="1" x14ac:dyDescent="0.25">
      <c r="A391" s="3" t="str">
        <f t="shared" si="48"/>
        <v>modesg_inp_emss_bens_imoveisflg_ftr_emss_area</v>
      </c>
      <c r="B391" s="8" t="s">
        <v>16</v>
      </c>
      <c r="C391" s="9" t="s">
        <v>171</v>
      </c>
      <c r="D391" s="6" t="s">
        <v>30</v>
      </c>
      <c r="E391" s="7" t="s">
        <v>210</v>
      </c>
      <c r="F391" s="6" t="s">
        <v>298</v>
      </c>
      <c r="G391" s="6" t="e">
        <f>INDEX(#REF!,MATCH(Plano_Detalhado!H391,#REF!,0),1)</f>
        <v>#REF!</v>
      </c>
      <c r="H391" s="6" t="e">
        <f>VLOOKUP(A391,#REF!,2,0)</f>
        <v>#REF!</v>
      </c>
      <c r="I391" s="67" t="e">
        <f>SUMIFS(#REF!,#REF!,Plano_Detalhado!E391,#REF!,Plano_Detalhado!F391)</f>
        <v>#REF!</v>
      </c>
      <c r="J391" s="67" t="e">
        <f t="shared" si="44"/>
        <v>#REF!</v>
      </c>
      <c r="K391" s="67" t="e">
        <f>SUMIFS(#REF!,#REF!,Plano_Detalhado!E391,#REF!,Plano_Detalhado!F391)</f>
        <v>#REF!</v>
      </c>
      <c r="L391" s="67" t="e">
        <f t="shared" si="45"/>
        <v>#REF!</v>
      </c>
      <c r="M391" s="61"/>
      <c r="N391" s="61" t="e">
        <f t="shared" si="46"/>
        <v>#REF!</v>
      </c>
      <c r="O391" s="61" t="e">
        <f t="shared" si="47"/>
        <v>#REF!</v>
      </c>
      <c r="P391" s="22" t="s">
        <v>29</v>
      </c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24"/>
      <c r="BI391" s="14"/>
      <c r="BJ391" s="14"/>
      <c r="BK391" s="14"/>
      <c r="BL391" s="14"/>
      <c r="BN391" s="2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</row>
    <row r="392" spans="1:79" hidden="1" outlineLevel="1" x14ac:dyDescent="0.25">
      <c r="A392" s="3" t="str">
        <f t="shared" si="48"/>
        <v>modesg_inp_emss_bens_imoveisnome_unidade_funcional</v>
      </c>
      <c r="B392" s="8" t="s">
        <v>16</v>
      </c>
      <c r="C392" s="9" t="s">
        <v>171</v>
      </c>
      <c r="D392" s="6" t="s">
        <v>30</v>
      </c>
      <c r="E392" s="7" t="s">
        <v>210</v>
      </c>
      <c r="F392" s="6" t="s">
        <v>219</v>
      </c>
      <c r="G392" s="6" t="e">
        <f>INDEX(#REF!,MATCH(Plano_Detalhado!H392,#REF!,0),1)</f>
        <v>#REF!</v>
      </c>
      <c r="H392" s="6" t="e">
        <f>VLOOKUP(A392,#REF!,2,0)</f>
        <v>#REF!</v>
      </c>
      <c r="I392" s="67" t="e">
        <f>SUMIFS(#REF!,#REF!,Plano_Detalhado!E392,#REF!,Plano_Detalhado!F392)</f>
        <v>#REF!</v>
      </c>
      <c r="J392" s="67" t="e">
        <f t="shared" si="44"/>
        <v>#REF!</v>
      </c>
      <c r="K392" s="67" t="e">
        <f>SUMIFS(#REF!,#REF!,Plano_Detalhado!E392,#REF!,Plano_Detalhado!F392)</f>
        <v>#REF!</v>
      </c>
      <c r="L392" s="67" t="e">
        <f t="shared" si="45"/>
        <v>#REF!</v>
      </c>
      <c r="M392" s="61"/>
      <c r="N392" s="61" t="e">
        <f t="shared" si="46"/>
        <v>#REF!</v>
      </c>
      <c r="O392" s="61" t="e">
        <f t="shared" si="47"/>
        <v>#REF!</v>
      </c>
      <c r="P392" s="22" t="s">
        <v>29</v>
      </c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24"/>
      <c r="BI392" s="14"/>
      <c r="BJ392" s="14"/>
      <c r="BK392" s="14"/>
      <c r="BL392" s="14"/>
      <c r="BN392" s="2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</row>
    <row r="393" spans="1:79" hidden="1" outlineLevel="1" x14ac:dyDescent="0.25">
      <c r="A393" s="3" t="str">
        <f t="shared" si="48"/>
        <v>modesg_inp_emss_bens_imoveisunidade_funcional</v>
      </c>
      <c r="B393" s="8" t="s">
        <v>16</v>
      </c>
      <c r="C393" s="9" t="s">
        <v>171</v>
      </c>
      <c r="D393" s="6" t="s">
        <v>30</v>
      </c>
      <c r="E393" s="7" t="s">
        <v>210</v>
      </c>
      <c r="F393" s="6" t="s">
        <v>220</v>
      </c>
      <c r="G393" s="6" t="e">
        <f>INDEX(#REF!,MATCH(Plano_Detalhado!H393,#REF!,0),1)</f>
        <v>#REF!</v>
      </c>
      <c r="H393" s="6" t="e">
        <f>VLOOKUP(A393,#REF!,2,0)</f>
        <v>#REF!</v>
      </c>
      <c r="I393" s="67" t="e">
        <f>SUMIFS(#REF!,#REF!,Plano_Detalhado!E393,#REF!,Plano_Detalhado!F393)</f>
        <v>#REF!</v>
      </c>
      <c r="J393" s="67" t="e">
        <f t="shared" si="44"/>
        <v>#REF!</v>
      </c>
      <c r="K393" s="67" t="e">
        <f>SUMIFS(#REF!,#REF!,Plano_Detalhado!E393,#REF!,Plano_Detalhado!F393)</f>
        <v>#REF!</v>
      </c>
      <c r="L393" s="67" t="e">
        <f t="shared" si="45"/>
        <v>#REF!</v>
      </c>
      <c r="M393" s="61"/>
      <c r="N393" s="61" t="e">
        <f t="shared" si="46"/>
        <v>#REF!</v>
      </c>
      <c r="O393" s="61" t="e">
        <f t="shared" si="47"/>
        <v>#REF!</v>
      </c>
      <c r="P393" s="22" t="s">
        <v>29</v>
      </c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24"/>
      <c r="BI393" s="14"/>
      <c r="BJ393" s="14"/>
      <c r="BK393" s="14"/>
      <c r="BL393" s="14"/>
      <c r="BN393" s="2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</row>
    <row r="394" spans="1:79" hidden="1" outlineLevel="1" x14ac:dyDescent="0.25">
      <c r="A394" s="3" t="str">
        <f t="shared" si="48"/>
        <v>modesg_inp_emss_bens_imoveisnome_fator_emissao</v>
      </c>
      <c r="B394" s="8" t="s">
        <v>16</v>
      </c>
      <c r="C394" s="9" t="s">
        <v>171</v>
      </c>
      <c r="D394" s="6" t="s">
        <v>30</v>
      </c>
      <c r="E394" s="7" t="s">
        <v>210</v>
      </c>
      <c r="F394" s="6" t="s">
        <v>221</v>
      </c>
      <c r="G394" s="6" t="e">
        <f>INDEX(#REF!,MATCH(Plano_Detalhado!H394,#REF!,0),1)</f>
        <v>#REF!</v>
      </c>
      <c r="H394" s="6" t="e">
        <f>VLOOKUP(A394,#REF!,2,0)</f>
        <v>#REF!</v>
      </c>
      <c r="I394" s="67" t="e">
        <f>SUMIFS(#REF!,#REF!,Plano_Detalhado!E394,#REF!,Plano_Detalhado!F394)</f>
        <v>#REF!</v>
      </c>
      <c r="J394" s="67" t="e">
        <f t="shared" si="44"/>
        <v>#REF!</v>
      </c>
      <c r="K394" s="67" t="e">
        <f>SUMIFS(#REF!,#REF!,Plano_Detalhado!E394,#REF!,Plano_Detalhado!F394)</f>
        <v>#REF!</v>
      </c>
      <c r="L394" s="67" t="e">
        <f t="shared" si="45"/>
        <v>#REF!</v>
      </c>
      <c r="M394" s="61"/>
      <c r="N394" s="61" t="e">
        <f t="shared" si="46"/>
        <v>#REF!</v>
      </c>
      <c r="O394" s="61" t="e">
        <f t="shared" si="47"/>
        <v>#REF!</v>
      </c>
      <c r="P394" s="22" t="s">
        <v>29</v>
      </c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24"/>
      <c r="BI394" s="14"/>
      <c r="BJ394" s="14"/>
      <c r="BK394" s="14"/>
      <c r="BL394" s="14"/>
      <c r="BN394" s="2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</row>
    <row r="395" spans="1:79" hidden="1" outlineLevel="1" x14ac:dyDescent="0.25">
      <c r="A395" s="3" t="str">
        <f t="shared" si="48"/>
        <v>modesg_inp_emss_bens_imoveisunidade_fator_de_emissao</v>
      </c>
      <c r="B395" s="8" t="s">
        <v>16</v>
      </c>
      <c r="C395" s="9" t="s">
        <v>171</v>
      </c>
      <c r="D395" s="6" t="s">
        <v>30</v>
      </c>
      <c r="E395" s="7" t="s">
        <v>210</v>
      </c>
      <c r="F395" s="6" t="s">
        <v>222</v>
      </c>
      <c r="G395" s="6" t="e">
        <f>INDEX(#REF!,MATCH(Plano_Detalhado!H395,#REF!,0),1)</f>
        <v>#REF!</v>
      </c>
      <c r="H395" s="6" t="e">
        <f>VLOOKUP(A395,#REF!,2,0)</f>
        <v>#REF!</v>
      </c>
      <c r="I395" s="67" t="e">
        <f>SUMIFS(#REF!,#REF!,Plano_Detalhado!E395,#REF!,Plano_Detalhado!F395)</f>
        <v>#REF!</v>
      </c>
      <c r="J395" s="67" t="e">
        <f t="shared" si="44"/>
        <v>#REF!</v>
      </c>
      <c r="K395" s="67" t="e">
        <f>SUMIFS(#REF!,#REF!,Plano_Detalhado!E395,#REF!,Plano_Detalhado!F395)</f>
        <v>#REF!</v>
      </c>
      <c r="L395" s="67" t="e">
        <f t="shared" si="45"/>
        <v>#REF!</v>
      </c>
      <c r="M395" s="61"/>
      <c r="N395" s="61" t="e">
        <f t="shared" si="46"/>
        <v>#REF!</v>
      </c>
      <c r="O395" s="61" t="e">
        <f t="shared" si="47"/>
        <v>#REF!</v>
      </c>
      <c r="P395" s="22" t="s">
        <v>29</v>
      </c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24"/>
      <c r="BI395" s="14"/>
      <c r="BJ395" s="14"/>
      <c r="BK395" s="14"/>
      <c r="BL395" s="14"/>
      <c r="BN395" s="2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</row>
    <row r="396" spans="1:79" hidden="1" outlineLevel="1" x14ac:dyDescent="0.25">
      <c r="A396" s="3" t="str">
        <f t="shared" si="48"/>
        <v>modesg_inp_emss_bens_imoveisscore_qualidade</v>
      </c>
      <c r="B396" s="8" t="s">
        <v>16</v>
      </c>
      <c r="C396" s="9" t="s">
        <v>171</v>
      </c>
      <c r="D396" s="6" t="s">
        <v>30</v>
      </c>
      <c r="E396" s="7" t="s">
        <v>210</v>
      </c>
      <c r="F396" s="6" t="s">
        <v>223</v>
      </c>
      <c r="G396" s="6" t="e">
        <f>INDEX(#REF!,MATCH(Plano_Detalhado!H396,#REF!,0),1)</f>
        <v>#REF!</v>
      </c>
      <c r="H396" s="6" t="e">
        <f>VLOOKUP(A396,#REF!,2,0)</f>
        <v>#REF!</v>
      </c>
      <c r="I396" s="67" t="e">
        <f>SUMIFS(#REF!,#REF!,Plano_Detalhado!E396,#REF!,Plano_Detalhado!F396)</f>
        <v>#REF!</v>
      </c>
      <c r="J396" s="67" t="e">
        <f t="shared" si="44"/>
        <v>#REF!</v>
      </c>
      <c r="K396" s="67" t="e">
        <f>SUMIFS(#REF!,#REF!,Plano_Detalhado!E396,#REF!,Plano_Detalhado!F396)</f>
        <v>#REF!</v>
      </c>
      <c r="L396" s="67" t="e">
        <f t="shared" si="45"/>
        <v>#REF!</v>
      </c>
      <c r="M396" s="61"/>
      <c r="N396" s="61" t="e">
        <f t="shared" si="46"/>
        <v>#REF!</v>
      </c>
      <c r="O396" s="61" t="e">
        <f t="shared" si="47"/>
        <v>#REF!</v>
      </c>
      <c r="P396" s="22" t="s">
        <v>29</v>
      </c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24"/>
      <c r="BI396" s="14"/>
      <c r="BJ396" s="14"/>
      <c r="BK396" s="14"/>
      <c r="BL396" s="14"/>
      <c r="BN396" s="2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</row>
    <row r="397" spans="1:79" hidden="1" outlineLevel="1" x14ac:dyDescent="0.25">
      <c r="A397" s="3" t="str">
        <f t="shared" si="48"/>
        <v>modesg_inp_emss_bens_imoveisano_fator_emissao</v>
      </c>
      <c r="B397" s="8" t="s">
        <v>16</v>
      </c>
      <c r="C397" s="9" t="s">
        <v>171</v>
      </c>
      <c r="D397" s="6" t="s">
        <v>30</v>
      </c>
      <c r="E397" s="7" t="s">
        <v>210</v>
      </c>
      <c r="F397" s="6" t="s">
        <v>299</v>
      </c>
      <c r="G397" s="6" t="e">
        <f>INDEX(#REF!,MATCH(Plano_Detalhado!H397,#REF!,0),1)</f>
        <v>#REF!</v>
      </c>
      <c r="H397" s="6" t="e">
        <f>VLOOKUP(A397,#REF!,2,0)</f>
        <v>#REF!</v>
      </c>
      <c r="I397" s="67" t="e">
        <f>SUMIFS(#REF!,#REF!,Plano_Detalhado!E397,#REF!,Plano_Detalhado!F397)</f>
        <v>#REF!</v>
      </c>
      <c r="J397" s="67" t="e">
        <f t="shared" si="44"/>
        <v>#REF!</v>
      </c>
      <c r="K397" s="67" t="e">
        <f>SUMIFS(#REF!,#REF!,Plano_Detalhado!E397,#REF!,Plano_Detalhado!F397)</f>
        <v>#REF!</v>
      </c>
      <c r="L397" s="67" t="e">
        <f t="shared" si="45"/>
        <v>#REF!</v>
      </c>
      <c r="M397" s="61"/>
      <c r="N397" s="61" t="e">
        <f t="shared" si="46"/>
        <v>#REF!</v>
      </c>
      <c r="O397" s="61" t="e">
        <f t="shared" si="47"/>
        <v>#REF!</v>
      </c>
      <c r="P397" s="22" t="s">
        <v>29</v>
      </c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24"/>
      <c r="BI397" s="14"/>
      <c r="BJ397" s="14"/>
      <c r="BK397" s="14"/>
      <c r="BL397" s="14"/>
      <c r="BN397" s="2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</row>
    <row r="398" spans="1:79" hidden="1" outlineLevel="1" x14ac:dyDescent="0.25">
      <c r="A398" s="3" t="str">
        <f t="shared" si="48"/>
        <v>modesg_inp_emss_bens_imoveisscp1_ftr_emss</v>
      </c>
      <c r="B398" s="8" t="s">
        <v>16</v>
      </c>
      <c r="C398" s="9" t="s">
        <v>171</v>
      </c>
      <c r="D398" s="6" t="s">
        <v>30</v>
      </c>
      <c r="E398" s="7" t="s">
        <v>210</v>
      </c>
      <c r="F398" s="6" t="s">
        <v>224</v>
      </c>
      <c r="G398" s="6" t="e">
        <f>INDEX(#REF!,MATCH(Plano_Detalhado!H398,#REF!,0),1)</f>
        <v>#REF!</v>
      </c>
      <c r="H398" s="6" t="e">
        <f>VLOOKUP(A398,#REF!,2,0)</f>
        <v>#REF!</v>
      </c>
      <c r="I398" s="67" t="e">
        <f>SUMIFS(#REF!,#REF!,Plano_Detalhado!E398,#REF!,Plano_Detalhado!F398)</f>
        <v>#REF!</v>
      </c>
      <c r="J398" s="67" t="e">
        <f t="shared" si="44"/>
        <v>#REF!</v>
      </c>
      <c r="K398" s="67" t="e">
        <f>SUMIFS(#REF!,#REF!,Plano_Detalhado!E398,#REF!,Plano_Detalhado!F398)</f>
        <v>#REF!</v>
      </c>
      <c r="L398" s="67" t="e">
        <f t="shared" si="45"/>
        <v>#REF!</v>
      </c>
      <c r="M398" s="61"/>
      <c r="N398" s="61" t="e">
        <f t="shared" si="46"/>
        <v>#REF!</v>
      </c>
      <c r="O398" s="61" t="e">
        <f t="shared" si="47"/>
        <v>#REF!</v>
      </c>
      <c r="P398" s="22" t="s">
        <v>29</v>
      </c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24"/>
      <c r="BI398" s="14"/>
      <c r="BJ398" s="14"/>
      <c r="BK398" s="14"/>
      <c r="BL398" s="14"/>
      <c r="BN398" s="2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</row>
    <row r="399" spans="1:79" hidden="1" outlineLevel="1" x14ac:dyDescent="0.25">
      <c r="A399" s="3" t="str">
        <f t="shared" si="48"/>
        <v>modesg_inp_emss_bens_imoveisscp2_ftr_emss</v>
      </c>
      <c r="B399" s="8" t="s">
        <v>16</v>
      </c>
      <c r="C399" s="9" t="s">
        <v>171</v>
      </c>
      <c r="D399" s="6" t="s">
        <v>30</v>
      </c>
      <c r="E399" s="7" t="s">
        <v>210</v>
      </c>
      <c r="F399" s="6" t="s">
        <v>225</v>
      </c>
      <c r="G399" s="6" t="e">
        <f>INDEX(#REF!,MATCH(Plano_Detalhado!H399,#REF!,0),1)</f>
        <v>#REF!</v>
      </c>
      <c r="H399" s="6" t="e">
        <f>VLOOKUP(A399,#REF!,2,0)</f>
        <v>#REF!</v>
      </c>
      <c r="I399" s="67" t="e">
        <f>SUMIFS(#REF!,#REF!,Plano_Detalhado!E399,#REF!,Plano_Detalhado!F399)</f>
        <v>#REF!</v>
      </c>
      <c r="J399" s="67" t="e">
        <f t="shared" si="44"/>
        <v>#REF!</v>
      </c>
      <c r="K399" s="67" t="e">
        <f>SUMIFS(#REF!,#REF!,Plano_Detalhado!E399,#REF!,Plano_Detalhado!F399)</f>
        <v>#REF!</v>
      </c>
      <c r="L399" s="67" t="e">
        <f t="shared" si="45"/>
        <v>#REF!</v>
      </c>
      <c r="M399" s="61"/>
      <c r="N399" s="61" t="e">
        <f t="shared" si="46"/>
        <v>#REF!</v>
      </c>
      <c r="O399" s="61" t="e">
        <f t="shared" si="47"/>
        <v>#REF!</v>
      </c>
      <c r="P399" s="22" t="s">
        <v>29</v>
      </c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24"/>
      <c r="BI399" s="14"/>
      <c r="BJ399" s="14"/>
      <c r="BK399" s="14"/>
      <c r="BL399" s="14"/>
      <c r="BN399" s="2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</row>
    <row r="400" spans="1:79" hidden="1" outlineLevel="1" x14ac:dyDescent="0.4">
      <c r="A400" s="3" t="str">
        <f t="shared" si="48"/>
        <v>Re-testesn.a.</v>
      </c>
      <c r="B400" s="8" t="s">
        <v>16</v>
      </c>
      <c r="C400" s="9" t="s">
        <v>171</v>
      </c>
      <c r="D400" s="6" t="s">
        <v>30</v>
      </c>
      <c r="E400" s="7" t="s">
        <v>43</v>
      </c>
      <c r="F400" s="6" t="s">
        <v>28</v>
      </c>
      <c r="G400" s="6" t="s">
        <v>300</v>
      </c>
      <c r="H400" s="6"/>
      <c r="I400" s="67">
        <f>J400*8</f>
        <v>16</v>
      </c>
      <c r="J400" s="67">
        <v>2</v>
      </c>
      <c r="K400" s="67"/>
      <c r="L400" s="67"/>
      <c r="M400" s="61"/>
      <c r="N400" s="61">
        <v>0.25</v>
      </c>
      <c r="O400" s="61">
        <f t="shared" si="47"/>
        <v>0.25</v>
      </c>
      <c r="P400" s="20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24"/>
      <c r="BI400" s="14"/>
      <c r="BJ400" s="14"/>
      <c r="BK400" s="14"/>
      <c r="BL400" s="14"/>
      <c r="BN400" s="2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</row>
    <row r="401" spans="1:79" ht="32.4" collapsed="1" x14ac:dyDescent="0.4">
      <c r="A401" s="31" t="str">
        <f t="shared" si="48"/>
        <v/>
      </c>
      <c r="B401" s="5" t="s">
        <v>16</v>
      </c>
      <c r="C401" s="27" t="s">
        <v>301</v>
      </c>
      <c r="D401" s="27"/>
      <c r="E401" s="30"/>
      <c r="F401" s="27"/>
      <c r="G401" s="27"/>
      <c r="H401" s="27"/>
      <c r="I401" s="66" t="e">
        <f>SUM(I402:I485)</f>
        <v>#REF!</v>
      </c>
      <c r="J401" s="66" t="e">
        <f>ROUNDUP(I401/8,0)</f>
        <v>#REF!</v>
      </c>
      <c r="K401" s="66" t="e">
        <f>SUM(K402:K485)</f>
        <v>#REF!</v>
      </c>
      <c r="L401" s="66" t="e">
        <f>ROUNDUP(K401/8,0)</f>
        <v>#REF!</v>
      </c>
      <c r="M401" s="65" t="e">
        <f>SUMIFS(Q401:CA401,#REF!,"S")/J401</f>
        <v>#REF!</v>
      </c>
      <c r="N401" s="65">
        <f>IFERROR(L401/J401,0)-15%</f>
        <v>-0.15</v>
      </c>
      <c r="O401" s="65" t="e">
        <f t="shared" si="47"/>
        <v>#REF!</v>
      </c>
      <c r="P401" s="72" t="s">
        <v>512</v>
      </c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24"/>
      <c r="BI401" s="14"/>
      <c r="BJ401" s="14"/>
      <c r="BK401" s="14"/>
      <c r="BL401" s="14"/>
      <c r="BN401" s="24"/>
      <c r="BO401" s="14"/>
      <c r="BP401" s="14"/>
      <c r="BQ401" s="14"/>
      <c r="BR401" s="14"/>
      <c r="BS401" s="14"/>
      <c r="BT401" s="14"/>
      <c r="BU401" s="14">
        <v>1</v>
      </c>
      <c r="BV401" s="14">
        <v>1</v>
      </c>
      <c r="BW401" s="14">
        <v>1</v>
      </c>
      <c r="BX401" s="14">
        <v>1</v>
      </c>
      <c r="BY401" s="14">
        <v>0.5</v>
      </c>
      <c r="BZ401" s="14">
        <v>1</v>
      </c>
      <c r="CA401" s="14">
        <v>1</v>
      </c>
    </row>
    <row r="402" spans="1:79" hidden="1" outlineLevel="1" x14ac:dyDescent="0.4">
      <c r="A402" s="3" t="str">
        <f t="shared" si="48"/>
        <v>modesg_out_bens_imoveisn.a.</v>
      </c>
      <c r="B402" s="8" t="s">
        <v>16</v>
      </c>
      <c r="C402" s="9" t="s">
        <v>301</v>
      </c>
      <c r="D402" s="6" t="s">
        <v>26</v>
      </c>
      <c r="E402" s="7" t="s">
        <v>302</v>
      </c>
      <c r="F402" s="6" t="s">
        <v>28</v>
      </c>
      <c r="G402" s="6" t="e">
        <f>INDEX(#REF!,MATCH(Plano_Detalhado!H402,#REF!,0),1)</f>
        <v>#REF!</v>
      </c>
      <c r="H402" s="6" t="e">
        <f>VLOOKUP(A402,#REF!,2,0)</f>
        <v>#REF!</v>
      </c>
      <c r="I402" s="67" t="e">
        <f>SUMIFS(#REF!,#REF!,Plano_Detalhado!E402,#REF!,Plano_Detalhado!F402)</f>
        <v>#REF!</v>
      </c>
      <c r="J402" s="67" t="e">
        <f t="shared" ref="J402:J465" si="49">I402/8</f>
        <v>#REF!</v>
      </c>
      <c r="K402" s="67" t="e">
        <f>SUMIFS(#REF!,#REF!,Plano_Detalhado!E402,#REF!,Plano_Detalhado!F402)</f>
        <v>#REF!</v>
      </c>
      <c r="L402" s="67" t="e">
        <f t="shared" ref="L402:L465" si="50">K402/8</f>
        <v>#REF!</v>
      </c>
      <c r="M402" s="61"/>
      <c r="N402" s="61" t="e">
        <f t="shared" ref="N402:N465" si="51">L402/J402</f>
        <v>#REF!</v>
      </c>
      <c r="O402" s="61" t="e">
        <f t="shared" si="47"/>
        <v>#REF!</v>
      </c>
      <c r="P402" s="20" t="s">
        <v>303</v>
      </c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24"/>
      <c r="BI402" s="14"/>
      <c r="BJ402" s="14"/>
      <c r="BK402" s="14"/>
      <c r="BL402" s="14"/>
      <c r="BN402" s="2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</row>
    <row r="403" spans="1:79" hidden="1" outlineLevel="1" x14ac:dyDescent="0.4">
      <c r="A403" s="3" t="str">
        <f t="shared" si="48"/>
        <v>modesg_out_bens_imoveiscempbem</v>
      </c>
      <c r="B403" s="8" t="s">
        <v>16</v>
      </c>
      <c r="C403" s="9" t="s">
        <v>301</v>
      </c>
      <c r="D403" s="6" t="s">
        <v>30</v>
      </c>
      <c r="E403" s="7" t="s">
        <v>302</v>
      </c>
      <c r="F403" s="6" t="s">
        <v>304</v>
      </c>
      <c r="G403" s="6" t="e">
        <f>INDEX(#REF!,MATCH(Plano_Detalhado!H403,#REF!,0),1)</f>
        <v>#REF!</v>
      </c>
      <c r="H403" s="6" t="e">
        <f>VLOOKUP(A403,#REF!,2,0)</f>
        <v>#REF!</v>
      </c>
      <c r="I403" s="67" t="e">
        <f>SUMIFS(#REF!,#REF!,Plano_Detalhado!E403,#REF!,Plano_Detalhado!F403)</f>
        <v>#REF!</v>
      </c>
      <c r="J403" s="67" t="e">
        <f t="shared" si="49"/>
        <v>#REF!</v>
      </c>
      <c r="K403" s="67" t="e">
        <f>SUMIFS(#REF!,#REF!,Plano_Detalhado!E403,#REF!,Plano_Detalhado!F403)</f>
        <v>#REF!</v>
      </c>
      <c r="L403" s="67" t="e">
        <f t="shared" si="50"/>
        <v>#REF!</v>
      </c>
      <c r="M403" s="61"/>
      <c r="N403" s="61" t="e">
        <f t="shared" si="51"/>
        <v>#REF!</v>
      </c>
      <c r="O403" s="61" t="e">
        <f t="shared" si="47"/>
        <v>#REF!</v>
      </c>
      <c r="P403" s="20" t="s">
        <v>303</v>
      </c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24"/>
      <c r="BI403" s="14"/>
      <c r="BJ403" s="14"/>
      <c r="BK403" s="14"/>
      <c r="BL403" s="14"/>
      <c r="BN403" s="2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</row>
    <row r="404" spans="1:79" hidden="1" outlineLevel="1" x14ac:dyDescent="0.4">
      <c r="A404" s="3" t="str">
        <f t="shared" si="48"/>
        <v>modesg_out_bens_imoveisckbalbem</v>
      </c>
      <c r="B404" s="8" t="s">
        <v>16</v>
      </c>
      <c r="C404" s="9" t="s">
        <v>301</v>
      </c>
      <c r="D404" s="6" t="s">
        <v>30</v>
      </c>
      <c r="E404" s="7" t="s">
        <v>302</v>
      </c>
      <c r="F404" s="6" t="s">
        <v>305</v>
      </c>
      <c r="G404" s="6" t="e">
        <f>INDEX(#REF!,MATCH(Plano_Detalhado!H404,#REF!,0),1)</f>
        <v>#REF!</v>
      </c>
      <c r="H404" s="6" t="e">
        <f>VLOOKUP(A404,#REF!,2,0)</f>
        <v>#REF!</v>
      </c>
      <c r="I404" s="67" t="e">
        <f>SUMIFS(#REF!,#REF!,Plano_Detalhado!E404,#REF!,Plano_Detalhado!F404)</f>
        <v>#REF!</v>
      </c>
      <c r="J404" s="67" t="e">
        <f t="shared" si="49"/>
        <v>#REF!</v>
      </c>
      <c r="K404" s="67" t="e">
        <f>SUMIFS(#REF!,#REF!,Plano_Detalhado!E404,#REF!,Plano_Detalhado!F404)</f>
        <v>#REF!</v>
      </c>
      <c r="L404" s="67" t="e">
        <f t="shared" si="50"/>
        <v>#REF!</v>
      </c>
      <c r="M404" s="61"/>
      <c r="N404" s="61" t="e">
        <f t="shared" si="51"/>
        <v>#REF!</v>
      </c>
      <c r="O404" s="61" t="e">
        <f t="shared" si="47"/>
        <v>#REF!</v>
      </c>
      <c r="P404" s="20" t="s">
        <v>303</v>
      </c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24"/>
      <c r="BI404" s="14"/>
      <c r="BJ404" s="14"/>
      <c r="BK404" s="14"/>
      <c r="BL404" s="14"/>
      <c r="BN404" s="2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</row>
    <row r="405" spans="1:79" hidden="1" outlineLevel="1" x14ac:dyDescent="0.4">
      <c r="A405" s="3" t="str">
        <f t="shared" si="48"/>
        <v>modesg_out_bens_imoveisckctabem</v>
      </c>
      <c r="B405" s="8" t="s">
        <v>16</v>
      </c>
      <c r="C405" s="9" t="s">
        <v>301</v>
      </c>
      <c r="D405" s="6" t="s">
        <v>30</v>
      </c>
      <c r="E405" s="7" t="s">
        <v>302</v>
      </c>
      <c r="F405" s="6" t="s">
        <v>306</v>
      </c>
      <c r="G405" s="6" t="e">
        <f>INDEX(#REF!,MATCH(Plano_Detalhado!H405,#REF!,0),1)</f>
        <v>#REF!</v>
      </c>
      <c r="H405" s="6" t="e">
        <f>VLOOKUP(A405,#REF!,2,0)</f>
        <v>#REF!</v>
      </c>
      <c r="I405" s="67" t="e">
        <f>SUMIFS(#REF!,#REF!,Plano_Detalhado!E405,#REF!,Plano_Detalhado!F405)</f>
        <v>#REF!</v>
      </c>
      <c r="J405" s="67" t="e">
        <f t="shared" si="49"/>
        <v>#REF!</v>
      </c>
      <c r="K405" s="67" t="e">
        <f>SUMIFS(#REF!,#REF!,Plano_Detalhado!E405,#REF!,Plano_Detalhado!F405)</f>
        <v>#REF!</v>
      </c>
      <c r="L405" s="67" t="e">
        <f t="shared" si="50"/>
        <v>#REF!</v>
      </c>
      <c r="M405" s="61"/>
      <c r="N405" s="61" t="e">
        <f t="shared" si="51"/>
        <v>#REF!</v>
      </c>
      <c r="O405" s="61" t="e">
        <f t="shared" si="47"/>
        <v>#REF!</v>
      </c>
      <c r="P405" s="20" t="s">
        <v>303</v>
      </c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24"/>
      <c r="BI405" s="14"/>
      <c r="BJ405" s="14"/>
      <c r="BK405" s="14"/>
      <c r="BL405" s="14"/>
      <c r="BN405" s="2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</row>
    <row r="406" spans="1:79" hidden="1" outlineLevel="1" x14ac:dyDescent="0.4">
      <c r="A406" s="3" t="str">
        <f t="shared" si="48"/>
        <v>modesg_out_bens_imoveisckrefbem</v>
      </c>
      <c r="B406" s="8" t="s">
        <v>16</v>
      </c>
      <c r="C406" s="9" t="s">
        <v>301</v>
      </c>
      <c r="D406" s="6" t="s">
        <v>30</v>
      </c>
      <c r="E406" s="7" t="s">
        <v>302</v>
      </c>
      <c r="F406" s="6" t="s">
        <v>307</v>
      </c>
      <c r="G406" s="6" t="e">
        <f>INDEX(#REF!,MATCH(Plano_Detalhado!H406,#REF!,0),1)</f>
        <v>#REF!</v>
      </c>
      <c r="H406" s="6" t="e">
        <f>VLOOKUP(A406,#REF!,2,0)</f>
        <v>#REF!</v>
      </c>
      <c r="I406" s="67" t="e">
        <f>SUMIFS(#REF!,#REF!,Plano_Detalhado!E406,#REF!,Plano_Detalhado!F406)</f>
        <v>#REF!</v>
      </c>
      <c r="J406" s="67" t="e">
        <f t="shared" si="49"/>
        <v>#REF!</v>
      </c>
      <c r="K406" s="67" t="e">
        <f>SUMIFS(#REF!,#REF!,Plano_Detalhado!E406,#REF!,Plano_Detalhado!F406)</f>
        <v>#REF!</v>
      </c>
      <c r="L406" s="67" t="e">
        <f t="shared" si="50"/>
        <v>#REF!</v>
      </c>
      <c r="M406" s="61"/>
      <c r="N406" s="61" t="e">
        <f t="shared" si="51"/>
        <v>#REF!</v>
      </c>
      <c r="O406" s="61" t="e">
        <f t="shared" si="47"/>
        <v>#REF!</v>
      </c>
      <c r="P406" s="20" t="s">
        <v>303</v>
      </c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24"/>
      <c r="BI406" s="14"/>
      <c r="BJ406" s="14"/>
      <c r="BK406" s="14"/>
      <c r="BL406" s="14"/>
      <c r="BN406" s="2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</row>
    <row r="407" spans="1:79" hidden="1" outlineLevel="1" x14ac:dyDescent="0.4">
      <c r="A407" s="3" t="str">
        <f t="shared" si="48"/>
        <v>modesg_out_bens_imoveisflg_rsc_fsc_agd</v>
      </c>
      <c r="B407" s="8" t="s">
        <v>16</v>
      </c>
      <c r="C407" s="9" t="s">
        <v>301</v>
      </c>
      <c r="D407" s="6" t="s">
        <v>30</v>
      </c>
      <c r="E407" s="7" t="s">
        <v>302</v>
      </c>
      <c r="F407" s="6" t="s">
        <v>273</v>
      </c>
      <c r="G407" s="6" t="e">
        <f>INDEX(#REF!,MATCH(Plano_Detalhado!H407,#REF!,0),1)</f>
        <v>#REF!</v>
      </c>
      <c r="H407" s="6" t="e">
        <f>VLOOKUP(A407,#REF!,2,0)</f>
        <v>#REF!</v>
      </c>
      <c r="I407" s="67" t="e">
        <f>SUMIFS(#REF!,#REF!,Plano_Detalhado!E407,#REF!,Plano_Detalhado!F407)</f>
        <v>#REF!</v>
      </c>
      <c r="J407" s="67" t="e">
        <f t="shared" si="49"/>
        <v>#REF!</v>
      </c>
      <c r="K407" s="67" t="e">
        <f>SUMIFS(#REF!,#REF!,Plano_Detalhado!E407,#REF!,Plano_Detalhado!F407)</f>
        <v>#REF!</v>
      </c>
      <c r="L407" s="67" t="e">
        <f t="shared" si="50"/>
        <v>#REF!</v>
      </c>
      <c r="M407" s="61"/>
      <c r="N407" s="61" t="e">
        <f t="shared" si="51"/>
        <v>#REF!</v>
      </c>
      <c r="O407" s="61" t="e">
        <f t="shared" si="47"/>
        <v>#REF!</v>
      </c>
      <c r="P407" s="20" t="s">
        <v>303</v>
      </c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24"/>
      <c r="BI407" s="14"/>
      <c r="BJ407" s="14"/>
      <c r="BK407" s="14"/>
      <c r="BL407" s="14"/>
      <c r="BN407" s="2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</row>
    <row r="408" spans="1:79" hidden="1" outlineLevel="1" x14ac:dyDescent="0.4">
      <c r="A408" s="3" t="str">
        <f t="shared" si="48"/>
        <v>modesg_out_bens_imoveisflg_rsc_fsc_crnc</v>
      </c>
      <c r="B408" s="8" t="s">
        <v>16</v>
      </c>
      <c r="C408" s="9" t="s">
        <v>301</v>
      </c>
      <c r="D408" s="6" t="s">
        <v>30</v>
      </c>
      <c r="E408" s="7" t="s">
        <v>302</v>
      </c>
      <c r="F408" s="6" t="s">
        <v>274</v>
      </c>
      <c r="G408" s="6" t="e">
        <f>INDEX(#REF!,MATCH(Plano_Detalhado!H408,#REF!,0),1)</f>
        <v>#REF!</v>
      </c>
      <c r="H408" s="6" t="e">
        <f>VLOOKUP(A408,#REF!,2,0)</f>
        <v>#REF!</v>
      </c>
      <c r="I408" s="67" t="e">
        <f>SUMIFS(#REF!,#REF!,Plano_Detalhado!E408,#REF!,Plano_Detalhado!F408)</f>
        <v>#REF!</v>
      </c>
      <c r="J408" s="67" t="e">
        <f t="shared" si="49"/>
        <v>#REF!</v>
      </c>
      <c r="K408" s="67" t="e">
        <f>SUMIFS(#REF!,#REF!,Plano_Detalhado!E408,#REF!,Plano_Detalhado!F408)</f>
        <v>#REF!</v>
      </c>
      <c r="L408" s="67" t="e">
        <f t="shared" si="50"/>
        <v>#REF!</v>
      </c>
      <c r="M408" s="61"/>
      <c r="N408" s="61" t="e">
        <f t="shared" si="51"/>
        <v>#REF!</v>
      </c>
      <c r="O408" s="61" t="e">
        <f t="shared" si="47"/>
        <v>#REF!</v>
      </c>
      <c r="P408" s="20" t="s">
        <v>303</v>
      </c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24"/>
      <c r="BI408" s="14"/>
      <c r="BJ408" s="14"/>
      <c r="BK408" s="14"/>
      <c r="BL408" s="14"/>
      <c r="BN408" s="2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</row>
    <row r="409" spans="1:79" hidden="1" outlineLevel="1" x14ac:dyDescent="0.4">
      <c r="A409" s="3" t="str">
        <f t="shared" si="48"/>
        <v>modesg_out_bens_imoveisorigem_flg_rsc_fsc_agd</v>
      </c>
      <c r="B409" s="8" t="s">
        <v>16</v>
      </c>
      <c r="C409" s="9" t="s">
        <v>301</v>
      </c>
      <c r="D409" s="6" t="s">
        <v>30</v>
      </c>
      <c r="E409" s="7" t="s">
        <v>302</v>
      </c>
      <c r="F409" s="6" t="s">
        <v>308</v>
      </c>
      <c r="G409" s="6" t="e">
        <f>INDEX(#REF!,MATCH(Plano_Detalhado!H409,#REF!,0),1)</f>
        <v>#REF!</v>
      </c>
      <c r="H409" s="6" t="e">
        <f>VLOOKUP(A409,#REF!,2,0)</f>
        <v>#REF!</v>
      </c>
      <c r="I409" s="67" t="e">
        <f>SUMIFS(#REF!,#REF!,Plano_Detalhado!E409,#REF!,Plano_Detalhado!F409)</f>
        <v>#REF!</v>
      </c>
      <c r="J409" s="67" t="e">
        <f t="shared" si="49"/>
        <v>#REF!</v>
      </c>
      <c r="K409" s="67" t="e">
        <f>SUMIFS(#REF!,#REF!,Plano_Detalhado!E409,#REF!,Plano_Detalhado!F409)</f>
        <v>#REF!</v>
      </c>
      <c r="L409" s="67" t="e">
        <f t="shared" si="50"/>
        <v>#REF!</v>
      </c>
      <c r="M409" s="61"/>
      <c r="N409" s="61" t="e">
        <f t="shared" si="51"/>
        <v>#REF!</v>
      </c>
      <c r="O409" s="61" t="e">
        <f t="shared" si="47"/>
        <v>#REF!</v>
      </c>
      <c r="P409" s="20" t="s">
        <v>303</v>
      </c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24"/>
      <c r="BI409" s="14"/>
      <c r="BJ409" s="14"/>
      <c r="BK409" s="14"/>
      <c r="BL409" s="14"/>
      <c r="BN409" s="2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</row>
    <row r="410" spans="1:79" hidden="1" outlineLevel="1" x14ac:dyDescent="0.4">
      <c r="A410" s="3" t="str">
        <f t="shared" si="48"/>
        <v>modesg_out_bens_imoveisorigem_flg_rsc_fsc_crnc</v>
      </c>
      <c r="B410" s="8" t="s">
        <v>16</v>
      </c>
      <c r="C410" s="9" t="s">
        <v>301</v>
      </c>
      <c r="D410" s="6" t="s">
        <v>30</v>
      </c>
      <c r="E410" s="7" t="s">
        <v>302</v>
      </c>
      <c r="F410" s="6" t="s">
        <v>309</v>
      </c>
      <c r="G410" s="6" t="e">
        <f>INDEX(#REF!,MATCH(Plano_Detalhado!H410,#REF!,0),1)</f>
        <v>#REF!</v>
      </c>
      <c r="H410" s="6" t="e">
        <f>VLOOKUP(A410,#REF!,2,0)</f>
        <v>#REF!</v>
      </c>
      <c r="I410" s="67" t="e">
        <f>SUMIFS(#REF!,#REF!,Plano_Detalhado!E410,#REF!,Plano_Detalhado!F410)</f>
        <v>#REF!</v>
      </c>
      <c r="J410" s="67" t="e">
        <f t="shared" si="49"/>
        <v>#REF!</v>
      </c>
      <c r="K410" s="67" t="e">
        <f>SUMIFS(#REF!,#REF!,Plano_Detalhado!E410,#REF!,Plano_Detalhado!F410)</f>
        <v>#REF!</v>
      </c>
      <c r="L410" s="67" t="e">
        <f t="shared" si="50"/>
        <v>#REF!</v>
      </c>
      <c r="M410" s="61"/>
      <c r="N410" s="61" t="e">
        <f t="shared" si="51"/>
        <v>#REF!</v>
      </c>
      <c r="O410" s="61" t="e">
        <f t="shared" si="47"/>
        <v>#REF!</v>
      </c>
      <c r="P410" s="20" t="s">
        <v>303</v>
      </c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24"/>
      <c r="BI410" s="14"/>
      <c r="BJ410" s="14"/>
      <c r="BK410" s="14"/>
      <c r="BL410" s="14"/>
      <c r="BN410" s="2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</row>
    <row r="411" spans="1:79" hidden="1" outlineLevel="1" x14ac:dyDescent="0.4">
      <c r="A411" s="3" t="str">
        <f t="shared" si="48"/>
        <v>modesg_out_bens_imoveisorigem_scp1_emss</v>
      </c>
      <c r="B411" s="8" t="s">
        <v>16</v>
      </c>
      <c r="C411" s="9" t="s">
        <v>301</v>
      </c>
      <c r="D411" s="6" t="s">
        <v>30</v>
      </c>
      <c r="E411" s="7" t="s">
        <v>302</v>
      </c>
      <c r="F411" s="6" t="s">
        <v>310</v>
      </c>
      <c r="G411" s="6" t="e">
        <f>INDEX(#REF!,MATCH(Plano_Detalhado!H411,#REF!,0),1)</f>
        <v>#REF!</v>
      </c>
      <c r="H411" s="6" t="e">
        <f>VLOOKUP(A411,#REF!,2,0)</f>
        <v>#REF!</v>
      </c>
      <c r="I411" s="67" t="e">
        <f>SUMIFS(#REF!,#REF!,Plano_Detalhado!E411,#REF!,Plano_Detalhado!F411)</f>
        <v>#REF!</v>
      </c>
      <c r="J411" s="67" t="e">
        <f t="shared" si="49"/>
        <v>#REF!</v>
      </c>
      <c r="K411" s="67" t="e">
        <f>SUMIFS(#REF!,#REF!,Plano_Detalhado!E411,#REF!,Plano_Detalhado!F411)</f>
        <v>#REF!</v>
      </c>
      <c r="L411" s="67" t="e">
        <f t="shared" si="50"/>
        <v>#REF!</v>
      </c>
      <c r="M411" s="61"/>
      <c r="N411" s="61" t="e">
        <f t="shared" si="51"/>
        <v>#REF!</v>
      </c>
      <c r="O411" s="61" t="e">
        <f t="shared" si="47"/>
        <v>#REF!</v>
      </c>
      <c r="P411" s="20" t="s">
        <v>303</v>
      </c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24"/>
      <c r="BI411" s="14"/>
      <c r="BJ411" s="14"/>
      <c r="BK411" s="14"/>
      <c r="BL411" s="14"/>
      <c r="BN411" s="2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</row>
    <row r="412" spans="1:79" hidden="1" outlineLevel="1" x14ac:dyDescent="0.4">
      <c r="A412" s="3" t="str">
        <f t="shared" si="48"/>
        <v>modesg_out_bens_imoveisorigem_scp2_emss</v>
      </c>
      <c r="B412" s="8" t="s">
        <v>16</v>
      </c>
      <c r="C412" s="9" t="s">
        <v>301</v>
      </c>
      <c r="D412" s="6" t="s">
        <v>30</v>
      </c>
      <c r="E412" s="7" t="s">
        <v>302</v>
      </c>
      <c r="F412" s="6" t="s">
        <v>311</v>
      </c>
      <c r="G412" s="6" t="e">
        <f>INDEX(#REF!,MATCH(Plano_Detalhado!H412,#REF!,0),1)</f>
        <v>#REF!</v>
      </c>
      <c r="H412" s="6" t="e">
        <f>VLOOKUP(A412,#REF!,2,0)</f>
        <v>#REF!</v>
      </c>
      <c r="I412" s="67" t="e">
        <f>SUMIFS(#REF!,#REF!,Plano_Detalhado!E412,#REF!,Plano_Detalhado!F412)</f>
        <v>#REF!</v>
      </c>
      <c r="J412" s="67" t="e">
        <f t="shared" si="49"/>
        <v>#REF!</v>
      </c>
      <c r="K412" s="67" t="e">
        <f>SUMIFS(#REF!,#REF!,Plano_Detalhado!E412,#REF!,Plano_Detalhado!F412)</f>
        <v>#REF!</v>
      </c>
      <c r="L412" s="67" t="e">
        <f t="shared" si="50"/>
        <v>#REF!</v>
      </c>
      <c r="M412" s="61"/>
      <c r="N412" s="61" t="e">
        <f t="shared" si="51"/>
        <v>#REF!</v>
      </c>
      <c r="O412" s="61" t="e">
        <f t="shared" si="47"/>
        <v>#REF!</v>
      </c>
      <c r="P412" s="20" t="s">
        <v>303</v>
      </c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24"/>
      <c r="BI412" s="14"/>
      <c r="BJ412" s="14"/>
      <c r="BK412" s="14"/>
      <c r="BL412" s="14"/>
      <c r="BN412" s="2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</row>
    <row r="413" spans="1:79" hidden="1" outlineLevel="1" x14ac:dyDescent="0.4">
      <c r="A413" s="3" t="str">
        <f t="shared" si="48"/>
        <v>modesg_out_bens_imoveisorigem_scp3_emss</v>
      </c>
      <c r="B413" s="8" t="s">
        <v>16</v>
      </c>
      <c r="C413" s="9" t="s">
        <v>301</v>
      </c>
      <c r="D413" s="6" t="s">
        <v>30</v>
      </c>
      <c r="E413" s="7" t="s">
        <v>302</v>
      </c>
      <c r="F413" s="6" t="s">
        <v>312</v>
      </c>
      <c r="G413" s="6" t="e">
        <f>INDEX(#REF!,MATCH(Plano_Detalhado!H413,#REF!,0),1)</f>
        <v>#REF!</v>
      </c>
      <c r="H413" s="6" t="e">
        <f>VLOOKUP(A413,#REF!,2,0)</f>
        <v>#REF!</v>
      </c>
      <c r="I413" s="67" t="e">
        <f>SUMIFS(#REF!,#REF!,Plano_Detalhado!E413,#REF!,Plano_Detalhado!F413)</f>
        <v>#REF!</v>
      </c>
      <c r="J413" s="67" t="e">
        <f t="shared" si="49"/>
        <v>#REF!</v>
      </c>
      <c r="K413" s="67" t="e">
        <f>SUMIFS(#REF!,#REF!,Plano_Detalhado!E413,#REF!,Plano_Detalhado!F413)</f>
        <v>#REF!</v>
      </c>
      <c r="L413" s="67" t="e">
        <f t="shared" si="50"/>
        <v>#REF!</v>
      </c>
      <c r="M413" s="61"/>
      <c r="N413" s="61" t="e">
        <f t="shared" si="51"/>
        <v>#REF!</v>
      </c>
      <c r="O413" s="61" t="e">
        <f t="shared" si="47"/>
        <v>#REF!</v>
      </c>
      <c r="P413" s="20" t="s">
        <v>303</v>
      </c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24"/>
      <c r="BI413" s="14"/>
      <c r="BJ413" s="14"/>
      <c r="BK413" s="14"/>
      <c r="BL413" s="14"/>
      <c r="BN413" s="2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</row>
    <row r="414" spans="1:79" hidden="1" outlineLevel="1" x14ac:dyDescent="0.4">
      <c r="A414" s="3" t="str">
        <f t="shared" si="48"/>
        <v>modesg_out_bens_imoveisref_date</v>
      </c>
      <c r="B414" s="8" t="s">
        <v>16</v>
      </c>
      <c r="C414" s="9" t="s">
        <v>301</v>
      </c>
      <c r="D414" s="6" t="s">
        <v>30</v>
      </c>
      <c r="E414" s="7" t="s">
        <v>302</v>
      </c>
      <c r="F414" s="6" t="s">
        <v>198</v>
      </c>
      <c r="G414" s="6" t="e">
        <f>INDEX(#REF!,MATCH(Plano_Detalhado!H414,#REF!,0),1)</f>
        <v>#REF!</v>
      </c>
      <c r="H414" s="6" t="e">
        <f>VLOOKUP(A414,#REF!,2,0)</f>
        <v>#REF!</v>
      </c>
      <c r="I414" s="67" t="e">
        <f>SUMIFS(#REF!,#REF!,Plano_Detalhado!E414,#REF!,Plano_Detalhado!F414)</f>
        <v>#REF!</v>
      </c>
      <c r="J414" s="67" t="e">
        <f t="shared" si="49"/>
        <v>#REF!</v>
      </c>
      <c r="K414" s="67" t="e">
        <f>SUMIFS(#REF!,#REF!,Plano_Detalhado!E414,#REF!,Plano_Detalhado!F414)</f>
        <v>#REF!</v>
      </c>
      <c r="L414" s="67" t="e">
        <f t="shared" si="50"/>
        <v>#REF!</v>
      </c>
      <c r="M414" s="61"/>
      <c r="N414" s="61" t="e">
        <f t="shared" si="51"/>
        <v>#REF!</v>
      </c>
      <c r="O414" s="61" t="e">
        <f t="shared" si="47"/>
        <v>#REF!</v>
      </c>
      <c r="P414" s="20" t="s">
        <v>303</v>
      </c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24"/>
      <c r="BI414" s="14"/>
      <c r="BJ414" s="14"/>
      <c r="BK414" s="14"/>
      <c r="BL414" s="14"/>
      <c r="BN414" s="2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</row>
    <row r="415" spans="1:79" hidden="1" outlineLevel="1" x14ac:dyDescent="0.4">
      <c r="A415" s="3" t="str">
        <f t="shared" si="48"/>
        <v>modesg_out_bens_imoveisscp1_emss</v>
      </c>
      <c r="B415" s="8" t="s">
        <v>16</v>
      </c>
      <c r="C415" s="9" t="s">
        <v>301</v>
      </c>
      <c r="D415" s="6" t="s">
        <v>30</v>
      </c>
      <c r="E415" s="7" t="s">
        <v>302</v>
      </c>
      <c r="F415" s="6" t="s">
        <v>276</v>
      </c>
      <c r="G415" s="6" t="e">
        <f>INDEX(#REF!,MATCH(Plano_Detalhado!H415,#REF!,0),1)</f>
        <v>#REF!</v>
      </c>
      <c r="H415" s="6" t="e">
        <f>VLOOKUP(A415,#REF!,2,0)</f>
        <v>#REF!</v>
      </c>
      <c r="I415" s="67" t="e">
        <f>SUMIFS(#REF!,#REF!,Plano_Detalhado!E415,#REF!,Plano_Detalhado!F415)</f>
        <v>#REF!</v>
      </c>
      <c r="J415" s="67" t="e">
        <f t="shared" si="49"/>
        <v>#REF!</v>
      </c>
      <c r="K415" s="67" t="e">
        <f>SUMIFS(#REF!,#REF!,Plano_Detalhado!E415,#REF!,Plano_Detalhado!F415)</f>
        <v>#REF!</v>
      </c>
      <c r="L415" s="67" t="e">
        <f t="shared" si="50"/>
        <v>#REF!</v>
      </c>
      <c r="M415" s="61"/>
      <c r="N415" s="61" t="e">
        <f t="shared" si="51"/>
        <v>#REF!</v>
      </c>
      <c r="O415" s="61" t="e">
        <f t="shared" si="47"/>
        <v>#REF!</v>
      </c>
      <c r="P415" s="20" t="s">
        <v>303</v>
      </c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24"/>
      <c r="BI415" s="14"/>
      <c r="BJ415" s="14"/>
      <c r="BK415" s="14"/>
      <c r="BL415" s="14"/>
      <c r="BN415" s="2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</row>
    <row r="416" spans="1:79" hidden="1" outlineLevel="1" x14ac:dyDescent="0.4">
      <c r="A416" s="3" t="str">
        <f t="shared" si="48"/>
        <v>modesg_out_bens_imoveisscp2_emss</v>
      </c>
      <c r="B416" s="8" t="s">
        <v>16</v>
      </c>
      <c r="C416" s="9" t="s">
        <v>301</v>
      </c>
      <c r="D416" s="6" t="s">
        <v>30</v>
      </c>
      <c r="E416" s="7" t="s">
        <v>302</v>
      </c>
      <c r="F416" s="6" t="s">
        <v>277</v>
      </c>
      <c r="G416" s="6" t="e">
        <f>INDEX(#REF!,MATCH(Plano_Detalhado!H416,#REF!,0),1)</f>
        <v>#REF!</v>
      </c>
      <c r="H416" s="6" t="e">
        <f>VLOOKUP(A416,#REF!,2,0)</f>
        <v>#REF!</v>
      </c>
      <c r="I416" s="67" t="e">
        <f>SUMIFS(#REF!,#REF!,Plano_Detalhado!E416,#REF!,Plano_Detalhado!F416)</f>
        <v>#REF!</v>
      </c>
      <c r="J416" s="67" t="e">
        <f t="shared" si="49"/>
        <v>#REF!</v>
      </c>
      <c r="K416" s="67" t="e">
        <f>SUMIFS(#REF!,#REF!,Plano_Detalhado!E416,#REF!,Plano_Detalhado!F416)</f>
        <v>#REF!</v>
      </c>
      <c r="L416" s="67" t="e">
        <f t="shared" si="50"/>
        <v>#REF!</v>
      </c>
      <c r="M416" s="61"/>
      <c r="N416" s="61" t="e">
        <f t="shared" si="51"/>
        <v>#REF!</v>
      </c>
      <c r="O416" s="61" t="e">
        <f t="shared" si="47"/>
        <v>#REF!</v>
      </c>
      <c r="P416" s="20" t="s">
        <v>303</v>
      </c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24"/>
      <c r="BI416" s="14"/>
      <c r="BJ416" s="14"/>
      <c r="BK416" s="14"/>
      <c r="BL416" s="14"/>
      <c r="BN416" s="2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</row>
    <row r="417" spans="1:79" hidden="1" outlineLevel="1" x14ac:dyDescent="0.4">
      <c r="A417" s="3" t="str">
        <f t="shared" si="48"/>
        <v>modesg_out_bens_imoveisscp3_emss</v>
      </c>
      <c r="B417" s="8" t="s">
        <v>16</v>
      </c>
      <c r="C417" s="9" t="s">
        <v>301</v>
      </c>
      <c r="D417" s="6" t="s">
        <v>30</v>
      </c>
      <c r="E417" s="7" t="s">
        <v>302</v>
      </c>
      <c r="F417" s="6" t="s">
        <v>278</v>
      </c>
      <c r="G417" s="6" t="e">
        <f>INDEX(#REF!,MATCH(Plano_Detalhado!H417,#REF!,0),1)</f>
        <v>#REF!</v>
      </c>
      <c r="H417" s="6" t="e">
        <f>VLOOKUP(A417,#REF!,2,0)</f>
        <v>#REF!</v>
      </c>
      <c r="I417" s="67" t="e">
        <f>SUMIFS(#REF!,#REF!,Plano_Detalhado!E417,#REF!,Plano_Detalhado!F417)</f>
        <v>#REF!</v>
      </c>
      <c r="J417" s="67" t="e">
        <f t="shared" si="49"/>
        <v>#REF!</v>
      </c>
      <c r="K417" s="67" t="e">
        <f>SUMIFS(#REF!,#REF!,Plano_Detalhado!E417,#REF!,Plano_Detalhado!F417)</f>
        <v>#REF!</v>
      </c>
      <c r="L417" s="67" t="e">
        <f t="shared" si="50"/>
        <v>#REF!</v>
      </c>
      <c r="M417" s="61"/>
      <c r="N417" s="61" t="e">
        <f t="shared" si="51"/>
        <v>#REF!</v>
      </c>
      <c r="O417" s="61" t="e">
        <f t="shared" si="47"/>
        <v>#REF!</v>
      </c>
      <c r="P417" s="20" t="s">
        <v>303</v>
      </c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24"/>
      <c r="BI417" s="14"/>
      <c r="BJ417" s="14"/>
      <c r="BK417" s="14"/>
      <c r="BL417" s="14"/>
      <c r="BN417" s="2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</row>
    <row r="418" spans="1:79" hidden="1" outlineLevel="1" x14ac:dyDescent="0.4">
      <c r="A418" s="3" t="str">
        <f t="shared" si="48"/>
        <v>modesg_out_bens_imoveisunidade_funcional_scp1_emss</v>
      </c>
      <c r="B418" s="8" t="s">
        <v>16</v>
      </c>
      <c r="C418" s="9" t="s">
        <v>301</v>
      </c>
      <c r="D418" s="6" t="s">
        <v>30</v>
      </c>
      <c r="E418" s="7" t="s">
        <v>302</v>
      </c>
      <c r="F418" s="6" t="s">
        <v>313</v>
      </c>
      <c r="G418" s="6" t="e">
        <f>INDEX(#REF!,MATCH(Plano_Detalhado!H418,#REF!,0),1)</f>
        <v>#REF!</v>
      </c>
      <c r="H418" s="6" t="e">
        <f>VLOOKUP(A418,#REF!,2,0)</f>
        <v>#REF!</v>
      </c>
      <c r="I418" s="67" t="e">
        <f>SUMIFS(#REF!,#REF!,Plano_Detalhado!E418,#REF!,Plano_Detalhado!F418)</f>
        <v>#REF!</v>
      </c>
      <c r="J418" s="67" t="e">
        <f t="shared" si="49"/>
        <v>#REF!</v>
      </c>
      <c r="K418" s="67" t="e">
        <f>SUMIFS(#REF!,#REF!,Plano_Detalhado!E418,#REF!,Plano_Detalhado!F418)</f>
        <v>#REF!</v>
      </c>
      <c r="L418" s="67" t="e">
        <f t="shared" si="50"/>
        <v>#REF!</v>
      </c>
      <c r="M418" s="61"/>
      <c r="N418" s="61" t="e">
        <f t="shared" si="51"/>
        <v>#REF!</v>
      </c>
      <c r="O418" s="61" t="e">
        <f t="shared" si="47"/>
        <v>#REF!</v>
      </c>
      <c r="P418" s="20" t="s">
        <v>303</v>
      </c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24"/>
      <c r="BI418" s="14"/>
      <c r="BJ418" s="14"/>
      <c r="BK418" s="14"/>
      <c r="BL418" s="14"/>
      <c r="BN418" s="2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</row>
    <row r="419" spans="1:79" hidden="1" outlineLevel="1" x14ac:dyDescent="0.4">
      <c r="A419" s="3" t="str">
        <f t="shared" si="48"/>
        <v>modesg_out_bens_imoveisunidade_funcional_scp2_emss</v>
      </c>
      <c r="B419" s="8" t="s">
        <v>16</v>
      </c>
      <c r="C419" s="9" t="s">
        <v>301</v>
      </c>
      <c r="D419" s="6" t="s">
        <v>30</v>
      </c>
      <c r="E419" s="7" t="s">
        <v>302</v>
      </c>
      <c r="F419" s="6" t="s">
        <v>314</v>
      </c>
      <c r="G419" s="6" t="e">
        <f>INDEX(#REF!,MATCH(Plano_Detalhado!H419,#REF!,0),1)</f>
        <v>#REF!</v>
      </c>
      <c r="H419" s="6" t="e">
        <f>VLOOKUP(A419,#REF!,2,0)</f>
        <v>#REF!</v>
      </c>
      <c r="I419" s="67" t="e">
        <f>SUMIFS(#REF!,#REF!,Plano_Detalhado!E419,#REF!,Plano_Detalhado!F419)</f>
        <v>#REF!</v>
      </c>
      <c r="J419" s="67" t="e">
        <f t="shared" si="49"/>
        <v>#REF!</v>
      </c>
      <c r="K419" s="67" t="e">
        <f>SUMIFS(#REF!,#REF!,Plano_Detalhado!E419,#REF!,Plano_Detalhado!F419)</f>
        <v>#REF!</v>
      </c>
      <c r="L419" s="67" t="e">
        <f t="shared" si="50"/>
        <v>#REF!</v>
      </c>
      <c r="M419" s="61"/>
      <c r="N419" s="61" t="e">
        <f t="shared" si="51"/>
        <v>#REF!</v>
      </c>
      <c r="O419" s="61" t="e">
        <f t="shared" si="47"/>
        <v>#REF!</v>
      </c>
      <c r="P419" s="20" t="s">
        <v>303</v>
      </c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24"/>
      <c r="BI419" s="14"/>
      <c r="BJ419" s="14"/>
      <c r="BK419" s="14"/>
      <c r="BL419" s="14"/>
      <c r="BN419" s="2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</row>
    <row r="420" spans="1:79" hidden="1" outlineLevel="1" x14ac:dyDescent="0.4">
      <c r="A420" s="3" t="str">
        <f t="shared" si="48"/>
        <v>modesg_out_bens_imoveisunidade_funcional_scp3_emss</v>
      </c>
      <c r="B420" s="8" t="s">
        <v>16</v>
      </c>
      <c r="C420" s="9" t="s">
        <v>301</v>
      </c>
      <c r="D420" s="6" t="s">
        <v>30</v>
      </c>
      <c r="E420" s="7" t="s">
        <v>302</v>
      </c>
      <c r="F420" s="6" t="s">
        <v>315</v>
      </c>
      <c r="G420" s="6" t="e">
        <f>INDEX(#REF!,MATCH(Plano_Detalhado!H420,#REF!,0),1)</f>
        <v>#REF!</v>
      </c>
      <c r="H420" s="6" t="e">
        <f>VLOOKUP(A420,#REF!,2,0)</f>
        <v>#REF!</v>
      </c>
      <c r="I420" s="67" t="e">
        <f>SUMIFS(#REF!,#REF!,Plano_Detalhado!E420,#REF!,Plano_Detalhado!F420)</f>
        <v>#REF!</v>
      </c>
      <c r="J420" s="67" t="e">
        <f t="shared" si="49"/>
        <v>#REF!</v>
      </c>
      <c r="K420" s="67" t="e">
        <f>SUMIFS(#REF!,#REF!,Plano_Detalhado!E420,#REF!,Plano_Detalhado!F420)</f>
        <v>#REF!</v>
      </c>
      <c r="L420" s="67" t="e">
        <f t="shared" si="50"/>
        <v>#REF!</v>
      </c>
      <c r="M420" s="61"/>
      <c r="N420" s="61" t="e">
        <f t="shared" si="51"/>
        <v>#REF!</v>
      </c>
      <c r="O420" s="61" t="e">
        <f t="shared" si="47"/>
        <v>#REF!</v>
      </c>
      <c r="P420" s="20" t="s">
        <v>303</v>
      </c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24"/>
      <c r="BI420" s="14"/>
      <c r="BJ420" s="14"/>
      <c r="BK420" s="14"/>
      <c r="BL420" s="14"/>
      <c r="BN420" s="2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</row>
    <row r="421" spans="1:79" hidden="1" outlineLevel="1" x14ac:dyDescent="0.4">
      <c r="A421" s="3" t="str">
        <f t="shared" si="48"/>
        <v>modesg_out_empr_info_nfinn.a.</v>
      </c>
      <c r="B421" s="8" t="s">
        <v>16</v>
      </c>
      <c r="C421" s="9" t="s">
        <v>301</v>
      </c>
      <c r="D421" s="6" t="s">
        <v>26</v>
      </c>
      <c r="E421" s="7" t="s">
        <v>316</v>
      </c>
      <c r="F421" s="6" t="s">
        <v>28</v>
      </c>
      <c r="G421" s="6" t="e">
        <f>INDEX(#REF!,MATCH(Plano_Detalhado!H421,#REF!,0),1)</f>
        <v>#REF!</v>
      </c>
      <c r="H421" s="6" t="e">
        <f>VLOOKUP(A421,#REF!,2,0)</f>
        <v>#REF!</v>
      </c>
      <c r="I421" s="67" t="e">
        <f>SUMIFS(#REF!,#REF!,Plano_Detalhado!E421,#REF!,Plano_Detalhado!F421)</f>
        <v>#REF!</v>
      </c>
      <c r="J421" s="67" t="e">
        <f t="shared" si="49"/>
        <v>#REF!</v>
      </c>
      <c r="K421" s="67" t="e">
        <f>SUMIFS(#REF!,#REF!,Plano_Detalhado!E421,#REF!,Plano_Detalhado!F421)</f>
        <v>#REF!</v>
      </c>
      <c r="L421" s="67" t="e">
        <f t="shared" si="50"/>
        <v>#REF!</v>
      </c>
      <c r="M421" s="61"/>
      <c r="N421" s="61" t="e">
        <f t="shared" si="51"/>
        <v>#REF!</v>
      </c>
      <c r="O421" s="61" t="e">
        <f t="shared" si="47"/>
        <v>#REF!</v>
      </c>
      <c r="P421" s="20" t="s">
        <v>317</v>
      </c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24"/>
      <c r="BI421" s="14"/>
      <c r="BJ421" s="14"/>
      <c r="BK421" s="14"/>
      <c r="BL421" s="14"/>
      <c r="BN421" s="2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</row>
    <row r="422" spans="1:79" hidden="1" outlineLevel="1" x14ac:dyDescent="0.4">
      <c r="A422" s="3" t="str">
        <f t="shared" si="48"/>
        <v>modesg_out_empr_info_nfincca_capex_enblng_algnd</v>
      </c>
      <c r="B422" s="8" t="s">
        <v>16</v>
      </c>
      <c r="C422" s="9" t="s">
        <v>301</v>
      </c>
      <c r="D422" s="6" t="s">
        <v>30</v>
      </c>
      <c r="E422" s="7" t="s">
        <v>316</v>
      </c>
      <c r="F422" s="6" t="s">
        <v>240</v>
      </c>
      <c r="G422" s="6" t="e">
        <f>INDEX(#REF!,MATCH(Plano_Detalhado!H422,#REF!,0),1)</f>
        <v>#REF!</v>
      </c>
      <c r="H422" s="6" t="e">
        <f>VLOOKUP(A422,#REF!,2,0)</f>
        <v>#REF!</v>
      </c>
      <c r="I422" s="67" t="e">
        <f>SUMIFS(#REF!,#REF!,Plano_Detalhado!E422,#REF!,Plano_Detalhado!F422)</f>
        <v>#REF!</v>
      </c>
      <c r="J422" s="67" t="e">
        <f t="shared" si="49"/>
        <v>#REF!</v>
      </c>
      <c r="K422" s="67" t="e">
        <f>SUMIFS(#REF!,#REF!,Plano_Detalhado!E422,#REF!,Plano_Detalhado!F422)</f>
        <v>#REF!</v>
      </c>
      <c r="L422" s="67" t="e">
        <f t="shared" si="50"/>
        <v>#REF!</v>
      </c>
      <c r="M422" s="61"/>
      <c r="N422" s="61" t="e">
        <f t="shared" si="51"/>
        <v>#REF!</v>
      </c>
      <c r="O422" s="61" t="e">
        <f t="shared" si="47"/>
        <v>#REF!</v>
      </c>
      <c r="P422" s="20" t="s">
        <v>317</v>
      </c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24"/>
      <c r="BI422" s="14"/>
      <c r="BJ422" s="14"/>
      <c r="BK422" s="14"/>
      <c r="BL422" s="14"/>
      <c r="BN422" s="2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</row>
    <row r="423" spans="1:79" hidden="1" outlineLevel="1" x14ac:dyDescent="0.4">
      <c r="A423" s="3" t="str">
        <f t="shared" si="48"/>
        <v>modesg_out_empr_info_nfincca_capex_own_prfrmnce_algnd</v>
      </c>
      <c r="B423" s="8" t="s">
        <v>16</v>
      </c>
      <c r="C423" s="9" t="s">
        <v>301</v>
      </c>
      <c r="D423" s="6" t="s">
        <v>30</v>
      </c>
      <c r="E423" s="7" t="s">
        <v>316</v>
      </c>
      <c r="F423" s="6" t="s">
        <v>241</v>
      </c>
      <c r="G423" s="6" t="e">
        <f>INDEX(#REF!,MATCH(Plano_Detalhado!H423,#REF!,0),1)</f>
        <v>#REF!</v>
      </c>
      <c r="H423" s="6" t="e">
        <f>VLOOKUP(A423,#REF!,2,0)</f>
        <v>#REF!</v>
      </c>
      <c r="I423" s="67" t="e">
        <f>SUMIFS(#REF!,#REF!,Plano_Detalhado!E423,#REF!,Plano_Detalhado!F423)</f>
        <v>#REF!</v>
      </c>
      <c r="J423" s="67" t="e">
        <f t="shared" si="49"/>
        <v>#REF!</v>
      </c>
      <c r="K423" s="67" t="e">
        <f>SUMIFS(#REF!,#REF!,Plano_Detalhado!E423,#REF!,Plano_Detalhado!F423)</f>
        <v>#REF!</v>
      </c>
      <c r="L423" s="67" t="e">
        <f t="shared" si="50"/>
        <v>#REF!</v>
      </c>
      <c r="M423" s="61"/>
      <c r="N423" s="61" t="e">
        <f t="shared" si="51"/>
        <v>#REF!</v>
      </c>
      <c r="O423" s="61" t="e">
        <f t="shared" si="47"/>
        <v>#REF!</v>
      </c>
      <c r="P423" s="20" t="s">
        <v>317</v>
      </c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24"/>
      <c r="BI423" s="14"/>
      <c r="BJ423" s="14"/>
      <c r="BK423" s="14"/>
      <c r="BL423" s="14"/>
      <c r="BN423" s="2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</row>
    <row r="424" spans="1:79" hidden="1" outlineLevel="1" x14ac:dyDescent="0.4">
      <c r="A424" s="3" t="str">
        <f t="shared" si="48"/>
        <v>modesg_out_empr_info_nfincca_capex_ttl_elgbl</v>
      </c>
      <c r="B424" s="8" t="s">
        <v>16</v>
      </c>
      <c r="C424" s="9" t="s">
        <v>301</v>
      </c>
      <c r="D424" s="6" t="s">
        <v>30</v>
      </c>
      <c r="E424" s="7" t="s">
        <v>316</v>
      </c>
      <c r="F424" s="6" t="s">
        <v>239</v>
      </c>
      <c r="G424" s="6" t="e">
        <f>INDEX(#REF!,MATCH(Plano_Detalhado!H424,#REF!,0),1)</f>
        <v>#REF!</v>
      </c>
      <c r="H424" s="6" t="e">
        <f>VLOOKUP(A424,#REF!,2,0)</f>
        <v>#REF!</v>
      </c>
      <c r="I424" s="67" t="e">
        <f>SUMIFS(#REF!,#REF!,Plano_Detalhado!E424,#REF!,Plano_Detalhado!F424)</f>
        <v>#REF!</v>
      </c>
      <c r="J424" s="67" t="e">
        <f t="shared" si="49"/>
        <v>#REF!</v>
      </c>
      <c r="K424" s="67" t="e">
        <f>SUMIFS(#REF!,#REF!,Plano_Detalhado!E424,#REF!,Plano_Detalhado!F424)</f>
        <v>#REF!</v>
      </c>
      <c r="L424" s="67" t="e">
        <f t="shared" si="50"/>
        <v>#REF!</v>
      </c>
      <c r="M424" s="61"/>
      <c r="N424" s="61" t="e">
        <f t="shared" si="51"/>
        <v>#REF!</v>
      </c>
      <c r="O424" s="61" t="e">
        <f t="shared" si="47"/>
        <v>#REF!</v>
      </c>
      <c r="P424" s="20" t="s">
        <v>317</v>
      </c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24"/>
      <c r="BI424" s="14"/>
      <c r="BJ424" s="14"/>
      <c r="BK424" s="14"/>
      <c r="BL424" s="14"/>
      <c r="BN424" s="2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</row>
    <row r="425" spans="1:79" hidden="1" outlineLevel="1" x14ac:dyDescent="0.4">
      <c r="A425" s="3" t="str">
        <f t="shared" si="48"/>
        <v>modesg_out_empr_info_nfincca_trnvr_enblng_alignd</v>
      </c>
      <c r="B425" s="8" t="s">
        <v>16</v>
      </c>
      <c r="C425" s="9" t="s">
        <v>301</v>
      </c>
      <c r="D425" s="6" t="s">
        <v>30</v>
      </c>
      <c r="E425" s="7" t="s">
        <v>316</v>
      </c>
      <c r="F425" s="6" t="s">
        <v>237</v>
      </c>
      <c r="G425" s="6" t="e">
        <f>INDEX(#REF!,MATCH(Plano_Detalhado!H425,#REF!,0),1)</f>
        <v>#REF!</v>
      </c>
      <c r="H425" s="6" t="e">
        <f>VLOOKUP(A425,#REF!,2,0)</f>
        <v>#REF!</v>
      </c>
      <c r="I425" s="67" t="e">
        <f>SUMIFS(#REF!,#REF!,Plano_Detalhado!E425,#REF!,Plano_Detalhado!F425)</f>
        <v>#REF!</v>
      </c>
      <c r="J425" s="67" t="e">
        <f t="shared" si="49"/>
        <v>#REF!</v>
      </c>
      <c r="K425" s="67" t="e">
        <f>SUMIFS(#REF!,#REF!,Plano_Detalhado!E425,#REF!,Plano_Detalhado!F425)</f>
        <v>#REF!</v>
      </c>
      <c r="L425" s="67" t="e">
        <f t="shared" si="50"/>
        <v>#REF!</v>
      </c>
      <c r="M425" s="61"/>
      <c r="N425" s="61" t="e">
        <f t="shared" si="51"/>
        <v>#REF!</v>
      </c>
      <c r="O425" s="61" t="e">
        <f t="shared" si="47"/>
        <v>#REF!</v>
      </c>
      <c r="P425" s="20" t="s">
        <v>317</v>
      </c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24"/>
      <c r="BI425" s="14"/>
      <c r="BJ425" s="14"/>
      <c r="BK425" s="14"/>
      <c r="BL425" s="14"/>
      <c r="BN425" s="2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</row>
    <row r="426" spans="1:79" hidden="1" outlineLevel="1" x14ac:dyDescent="0.4">
      <c r="A426" s="3" t="str">
        <f t="shared" si="48"/>
        <v>modesg_out_empr_info_nfincca_trnvr_ttl_elgbl</v>
      </c>
      <c r="B426" s="8" t="s">
        <v>16</v>
      </c>
      <c r="C426" s="9" t="s">
        <v>301</v>
      </c>
      <c r="D426" s="6" t="s">
        <v>30</v>
      </c>
      <c r="E426" s="7" t="s">
        <v>316</v>
      </c>
      <c r="F426" s="6" t="s">
        <v>236</v>
      </c>
      <c r="G426" s="6" t="e">
        <f>INDEX(#REF!,MATCH(Plano_Detalhado!H426,#REF!,0),1)</f>
        <v>#REF!</v>
      </c>
      <c r="H426" s="6" t="e">
        <f>VLOOKUP(A426,#REF!,2,0)</f>
        <v>#REF!</v>
      </c>
      <c r="I426" s="67" t="e">
        <f>SUMIFS(#REF!,#REF!,Plano_Detalhado!E426,#REF!,Plano_Detalhado!F426)</f>
        <v>#REF!</v>
      </c>
      <c r="J426" s="67" t="e">
        <f t="shared" si="49"/>
        <v>#REF!</v>
      </c>
      <c r="K426" s="67" t="e">
        <f>SUMIFS(#REF!,#REF!,Plano_Detalhado!E426,#REF!,Plano_Detalhado!F426)</f>
        <v>#REF!</v>
      </c>
      <c r="L426" s="67" t="e">
        <f t="shared" si="50"/>
        <v>#REF!</v>
      </c>
      <c r="M426" s="61"/>
      <c r="N426" s="61" t="e">
        <f t="shared" si="51"/>
        <v>#REF!</v>
      </c>
      <c r="O426" s="61" t="e">
        <f t="shared" si="47"/>
        <v>#REF!</v>
      </c>
      <c r="P426" s="20" t="s">
        <v>317</v>
      </c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24"/>
      <c r="BI426" s="14"/>
      <c r="BJ426" s="14"/>
      <c r="BK426" s="14"/>
      <c r="BL426" s="14"/>
      <c r="BN426" s="2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</row>
    <row r="427" spans="1:79" hidden="1" outlineLevel="1" x14ac:dyDescent="0.4">
      <c r="A427" s="3" t="str">
        <f t="shared" si="48"/>
        <v>modesg_out_empr_info_nfincca_turnover_own_prfrmnce_algnd</v>
      </c>
      <c r="B427" s="8" t="s">
        <v>16</v>
      </c>
      <c r="C427" s="9" t="s">
        <v>301</v>
      </c>
      <c r="D427" s="6" t="s">
        <v>30</v>
      </c>
      <c r="E427" s="7" t="s">
        <v>316</v>
      </c>
      <c r="F427" s="6" t="s">
        <v>238</v>
      </c>
      <c r="G427" s="6" t="e">
        <f>INDEX(#REF!,MATCH(Plano_Detalhado!H427,#REF!,0),1)</f>
        <v>#REF!</v>
      </c>
      <c r="H427" s="6" t="e">
        <f>VLOOKUP(A427,#REF!,2,0)</f>
        <v>#REF!</v>
      </c>
      <c r="I427" s="67" t="e">
        <f>SUMIFS(#REF!,#REF!,Plano_Detalhado!E427,#REF!,Plano_Detalhado!F427)</f>
        <v>#REF!</v>
      </c>
      <c r="J427" s="67" t="e">
        <f t="shared" si="49"/>
        <v>#REF!</v>
      </c>
      <c r="K427" s="67" t="e">
        <f>SUMIFS(#REF!,#REF!,Plano_Detalhado!E427,#REF!,Plano_Detalhado!F427)</f>
        <v>#REF!</v>
      </c>
      <c r="L427" s="67" t="e">
        <f t="shared" si="50"/>
        <v>#REF!</v>
      </c>
      <c r="M427" s="61"/>
      <c r="N427" s="61" t="e">
        <f t="shared" si="51"/>
        <v>#REF!</v>
      </c>
      <c r="O427" s="61" t="e">
        <f t="shared" si="47"/>
        <v>#REF!</v>
      </c>
      <c r="P427" s="20" t="s">
        <v>317</v>
      </c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24"/>
      <c r="BI427" s="14"/>
      <c r="BJ427" s="14"/>
      <c r="BK427" s="14"/>
      <c r="BL427" s="14"/>
      <c r="BN427" s="2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</row>
    <row r="428" spans="1:79" hidden="1" outlineLevel="1" x14ac:dyDescent="0.4">
      <c r="A428" s="3" t="str">
        <f t="shared" si="48"/>
        <v>modesg_out_empr_info_nfinccm_capex_enblng_algnd</v>
      </c>
      <c r="B428" s="8" t="s">
        <v>16</v>
      </c>
      <c r="C428" s="9" t="s">
        <v>301</v>
      </c>
      <c r="D428" s="6" t="s">
        <v>30</v>
      </c>
      <c r="E428" s="7" t="s">
        <v>316</v>
      </c>
      <c r="F428" s="6" t="s">
        <v>247</v>
      </c>
      <c r="G428" s="6" t="e">
        <f>INDEX(#REF!,MATCH(Plano_Detalhado!H428,#REF!,0),1)</f>
        <v>#REF!</v>
      </c>
      <c r="H428" s="6" t="e">
        <f>VLOOKUP(A428,#REF!,2,0)</f>
        <v>#REF!</v>
      </c>
      <c r="I428" s="67" t="e">
        <f>SUMIFS(#REF!,#REF!,Plano_Detalhado!E428,#REF!,Plano_Detalhado!F428)</f>
        <v>#REF!</v>
      </c>
      <c r="J428" s="67" t="e">
        <f t="shared" si="49"/>
        <v>#REF!</v>
      </c>
      <c r="K428" s="67" t="e">
        <f>SUMIFS(#REF!,#REF!,Plano_Detalhado!E428,#REF!,Plano_Detalhado!F428)</f>
        <v>#REF!</v>
      </c>
      <c r="L428" s="67" t="e">
        <f t="shared" si="50"/>
        <v>#REF!</v>
      </c>
      <c r="M428" s="61"/>
      <c r="N428" s="61" t="e">
        <f t="shared" si="51"/>
        <v>#REF!</v>
      </c>
      <c r="O428" s="61" t="e">
        <f t="shared" si="47"/>
        <v>#REF!</v>
      </c>
      <c r="P428" s="20" t="s">
        <v>317</v>
      </c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24"/>
      <c r="BI428" s="14"/>
      <c r="BJ428" s="14"/>
      <c r="BK428" s="14"/>
      <c r="BL428" s="14"/>
      <c r="BN428" s="2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</row>
    <row r="429" spans="1:79" hidden="1" outlineLevel="1" x14ac:dyDescent="0.4">
      <c r="A429" s="3" t="str">
        <f t="shared" si="48"/>
        <v>modesg_out_empr_info_nfinccm_capex_own_prfrmnce_algnd</v>
      </c>
      <c r="B429" s="8" t="s">
        <v>16</v>
      </c>
      <c r="C429" s="9" t="s">
        <v>301</v>
      </c>
      <c r="D429" s="6" t="s">
        <v>30</v>
      </c>
      <c r="E429" s="7" t="s">
        <v>316</v>
      </c>
      <c r="F429" s="6" t="s">
        <v>249</v>
      </c>
      <c r="G429" s="6" t="e">
        <f>INDEX(#REF!,MATCH(Plano_Detalhado!H429,#REF!,0),1)</f>
        <v>#REF!</v>
      </c>
      <c r="H429" s="6" t="e">
        <f>VLOOKUP(A429,#REF!,2,0)</f>
        <v>#REF!</v>
      </c>
      <c r="I429" s="67" t="e">
        <f>SUMIFS(#REF!,#REF!,Plano_Detalhado!E429,#REF!,Plano_Detalhado!F429)</f>
        <v>#REF!</v>
      </c>
      <c r="J429" s="67" t="e">
        <f t="shared" si="49"/>
        <v>#REF!</v>
      </c>
      <c r="K429" s="67" t="e">
        <f>SUMIFS(#REF!,#REF!,Plano_Detalhado!E429,#REF!,Plano_Detalhado!F429)</f>
        <v>#REF!</v>
      </c>
      <c r="L429" s="67" t="e">
        <f t="shared" si="50"/>
        <v>#REF!</v>
      </c>
      <c r="M429" s="61"/>
      <c r="N429" s="61" t="e">
        <f t="shared" si="51"/>
        <v>#REF!</v>
      </c>
      <c r="O429" s="61" t="e">
        <f t="shared" si="47"/>
        <v>#REF!</v>
      </c>
      <c r="P429" s="20" t="s">
        <v>317</v>
      </c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24"/>
      <c r="BI429" s="14"/>
      <c r="BJ429" s="14"/>
      <c r="BK429" s="14"/>
      <c r="BL429" s="14"/>
      <c r="BN429" s="2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</row>
    <row r="430" spans="1:79" hidden="1" outlineLevel="1" x14ac:dyDescent="0.4">
      <c r="A430" s="3" t="str">
        <f t="shared" si="48"/>
        <v>modesg_out_empr_info_nfinccm_capex_trnstn_algnd</v>
      </c>
      <c r="B430" s="8" t="s">
        <v>16</v>
      </c>
      <c r="C430" s="9" t="s">
        <v>301</v>
      </c>
      <c r="D430" s="6" t="s">
        <v>30</v>
      </c>
      <c r="E430" s="7" t="s">
        <v>316</v>
      </c>
      <c r="F430" s="6" t="s">
        <v>248</v>
      </c>
      <c r="G430" s="6" t="e">
        <f>INDEX(#REF!,MATCH(Plano_Detalhado!H430,#REF!,0),1)</f>
        <v>#REF!</v>
      </c>
      <c r="H430" s="6" t="e">
        <f>VLOOKUP(A430,#REF!,2,0)</f>
        <v>#REF!</v>
      </c>
      <c r="I430" s="67" t="e">
        <f>SUMIFS(#REF!,#REF!,Plano_Detalhado!E430,#REF!,Plano_Detalhado!F430)</f>
        <v>#REF!</v>
      </c>
      <c r="J430" s="67" t="e">
        <f t="shared" si="49"/>
        <v>#REF!</v>
      </c>
      <c r="K430" s="67" t="e">
        <f>SUMIFS(#REF!,#REF!,Plano_Detalhado!E430,#REF!,Plano_Detalhado!F430)</f>
        <v>#REF!</v>
      </c>
      <c r="L430" s="67" t="e">
        <f t="shared" si="50"/>
        <v>#REF!</v>
      </c>
      <c r="M430" s="61"/>
      <c r="N430" s="61" t="e">
        <f t="shared" si="51"/>
        <v>#REF!</v>
      </c>
      <c r="O430" s="61" t="e">
        <f t="shared" si="47"/>
        <v>#REF!</v>
      </c>
      <c r="P430" s="20" t="s">
        <v>317</v>
      </c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24"/>
      <c r="BI430" s="14"/>
      <c r="BJ430" s="14"/>
      <c r="BK430" s="14"/>
      <c r="BL430" s="14"/>
      <c r="BN430" s="2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</row>
    <row r="431" spans="1:79" hidden="1" outlineLevel="1" x14ac:dyDescent="0.4">
      <c r="A431" s="3" t="str">
        <f t="shared" si="48"/>
        <v>modesg_out_empr_info_nfinccm_capex_ttl_elgbl</v>
      </c>
      <c r="B431" s="8" t="s">
        <v>16</v>
      </c>
      <c r="C431" s="9" t="s">
        <v>301</v>
      </c>
      <c r="D431" s="6" t="s">
        <v>30</v>
      </c>
      <c r="E431" s="7" t="s">
        <v>316</v>
      </c>
      <c r="F431" s="6" t="s">
        <v>246</v>
      </c>
      <c r="G431" s="6" t="e">
        <f>INDEX(#REF!,MATCH(Plano_Detalhado!H431,#REF!,0),1)</f>
        <v>#REF!</v>
      </c>
      <c r="H431" s="6" t="e">
        <f>VLOOKUP(A431,#REF!,2,0)</f>
        <v>#REF!</v>
      </c>
      <c r="I431" s="67" t="e">
        <f>SUMIFS(#REF!,#REF!,Plano_Detalhado!E431,#REF!,Plano_Detalhado!F431)</f>
        <v>#REF!</v>
      </c>
      <c r="J431" s="67" t="e">
        <f t="shared" si="49"/>
        <v>#REF!</v>
      </c>
      <c r="K431" s="67" t="e">
        <f>SUMIFS(#REF!,#REF!,Plano_Detalhado!E431,#REF!,Plano_Detalhado!F431)</f>
        <v>#REF!</v>
      </c>
      <c r="L431" s="67" t="e">
        <f t="shared" si="50"/>
        <v>#REF!</v>
      </c>
      <c r="M431" s="61"/>
      <c r="N431" s="61" t="e">
        <f t="shared" si="51"/>
        <v>#REF!</v>
      </c>
      <c r="O431" s="61" t="e">
        <f t="shared" si="47"/>
        <v>#REF!</v>
      </c>
      <c r="P431" s="20" t="s">
        <v>317</v>
      </c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24"/>
      <c r="BI431" s="14"/>
      <c r="BJ431" s="14"/>
      <c r="BK431" s="14"/>
      <c r="BL431" s="14"/>
      <c r="BN431" s="2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</row>
    <row r="432" spans="1:79" hidden="1" outlineLevel="1" x14ac:dyDescent="0.4">
      <c r="A432" s="3" t="str">
        <f t="shared" si="48"/>
        <v>modesg_out_empr_info_nfinccm_trnvr_enblng_algnd</v>
      </c>
      <c r="B432" s="8" t="s">
        <v>16</v>
      </c>
      <c r="C432" s="9" t="s">
        <v>301</v>
      </c>
      <c r="D432" s="6" t="s">
        <v>30</v>
      </c>
      <c r="E432" s="7" t="s">
        <v>316</v>
      </c>
      <c r="F432" s="6" t="s">
        <v>243</v>
      </c>
      <c r="G432" s="6" t="e">
        <f>INDEX(#REF!,MATCH(Plano_Detalhado!H432,#REF!,0),1)</f>
        <v>#REF!</v>
      </c>
      <c r="H432" s="6" t="e">
        <f>VLOOKUP(A432,#REF!,2,0)</f>
        <v>#REF!</v>
      </c>
      <c r="I432" s="67" t="e">
        <f>SUMIFS(#REF!,#REF!,Plano_Detalhado!E432,#REF!,Plano_Detalhado!F432)</f>
        <v>#REF!</v>
      </c>
      <c r="J432" s="67" t="e">
        <f t="shared" si="49"/>
        <v>#REF!</v>
      </c>
      <c r="K432" s="67" t="e">
        <f>SUMIFS(#REF!,#REF!,Plano_Detalhado!E432,#REF!,Plano_Detalhado!F432)</f>
        <v>#REF!</v>
      </c>
      <c r="L432" s="67" t="e">
        <f t="shared" si="50"/>
        <v>#REF!</v>
      </c>
      <c r="M432" s="61"/>
      <c r="N432" s="61" t="e">
        <f t="shared" si="51"/>
        <v>#REF!</v>
      </c>
      <c r="O432" s="61" t="e">
        <f t="shared" si="47"/>
        <v>#REF!</v>
      </c>
      <c r="P432" s="20" t="s">
        <v>317</v>
      </c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24"/>
      <c r="BI432" s="14"/>
      <c r="BJ432" s="14"/>
      <c r="BK432" s="14"/>
      <c r="BL432" s="14"/>
      <c r="BN432" s="2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</row>
    <row r="433" spans="1:79" hidden="1" outlineLevel="1" x14ac:dyDescent="0.4">
      <c r="A433" s="3" t="str">
        <f t="shared" si="48"/>
        <v>modesg_out_empr_info_nfinccm_trnvr_own_prfrmnce_algnd</v>
      </c>
      <c r="B433" s="8" t="s">
        <v>16</v>
      </c>
      <c r="C433" s="9" t="s">
        <v>301</v>
      </c>
      <c r="D433" s="6" t="s">
        <v>30</v>
      </c>
      <c r="E433" s="7" t="s">
        <v>316</v>
      </c>
      <c r="F433" s="6" t="s">
        <v>245</v>
      </c>
      <c r="G433" s="6" t="e">
        <f>INDEX(#REF!,MATCH(Plano_Detalhado!H433,#REF!,0),1)</f>
        <v>#REF!</v>
      </c>
      <c r="H433" s="6" t="e">
        <f>VLOOKUP(A433,#REF!,2,0)</f>
        <v>#REF!</v>
      </c>
      <c r="I433" s="67" t="e">
        <f>SUMIFS(#REF!,#REF!,Plano_Detalhado!E433,#REF!,Plano_Detalhado!F433)</f>
        <v>#REF!</v>
      </c>
      <c r="J433" s="67" t="e">
        <f t="shared" si="49"/>
        <v>#REF!</v>
      </c>
      <c r="K433" s="67" t="e">
        <f>SUMIFS(#REF!,#REF!,Plano_Detalhado!E433,#REF!,Plano_Detalhado!F433)</f>
        <v>#REF!</v>
      </c>
      <c r="L433" s="67" t="e">
        <f t="shared" si="50"/>
        <v>#REF!</v>
      </c>
      <c r="M433" s="61"/>
      <c r="N433" s="61" t="e">
        <f t="shared" si="51"/>
        <v>#REF!</v>
      </c>
      <c r="O433" s="61" t="e">
        <f t="shared" si="47"/>
        <v>#REF!</v>
      </c>
      <c r="P433" s="20" t="s">
        <v>317</v>
      </c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24"/>
      <c r="BI433" s="14"/>
      <c r="BJ433" s="14"/>
      <c r="BK433" s="14"/>
      <c r="BL433" s="14"/>
      <c r="BN433" s="2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</row>
    <row r="434" spans="1:79" hidden="1" outlineLevel="1" x14ac:dyDescent="0.4">
      <c r="A434" s="3" t="str">
        <f t="shared" si="48"/>
        <v>modesg_out_empr_info_nfinccm_trnvr_trnstn_alignd</v>
      </c>
      <c r="B434" s="8" t="s">
        <v>16</v>
      </c>
      <c r="C434" s="9" t="s">
        <v>301</v>
      </c>
      <c r="D434" s="6" t="s">
        <v>30</v>
      </c>
      <c r="E434" s="7" t="s">
        <v>316</v>
      </c>
      <c r="F434" s="6" t="s">
        <v>244</v>
      </c>
      <c r="G434" s="6" t="e">
        <f>INDEX(#REF!,MATCH(Plano_Detalhado!H434,#REF!,0),1)</f>
        <v>#REF!</v>
      </c>
      <c r="H434" s="6" t="e">
        <f>VLOOKUP(A434,#REF!,2,0)</f>
        <v>#REF!</v>
      </c>
      <c r="I434" s="67" t="e">
        <f>SUMIFS(#REF!,#REF!,Plano_Detalhado!E434,#REF!,Plano_Detalhado!F434)</f>
        <v>#REF!</v>
      </c>
      <c r="J434" s="67" t="e">
        <f t="shared" si="49"/>
        <v>#REF!</v>
      </c>
      <c r="K434" s="67" t="e">
        <f>SUMIFS(#REF!,#REF!,Plano_Detalhado!E434,#REF!,Plano_Detalhado!F434)</f>
        <v>#REF!</v>
      </c>
      <c r="L434" s="67" t="e">
        <f t="shared" si="50"/>
        <v>#REF!</v>
      </c>
      <c r="M434" s="61"/>
      <c r="N434" s="61" t="e">
        <f t="shared" si="51"/>
        <v>#REF!</v>
      </c>
      <c r="O434" s="61" t="e">
        <f t="shared" si="47"/>
        <v>#REF!</v>
      </c>
      <c r="P434" s="20" t="s">
        <v>317</v>
      </c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24"/>
      <c r="BI434" s="14"/>
      <c r="BJ434" s="14"/>
      <c r="BK434" s="14"/>
      <c r="BL434" s="14"/>
      <c r="BN434" s="2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</row>
    <row r="435" spans="1:79" hidden="1" outlineLevel="1" x14ac:dyDescent="0.4">
      <c r="A435" s="3" t="str">
        <f t="shared" si="48"/>
        <v>modesg_out_empr_info_nfinccm_trnvr_ttl_elgbl</v>
      </c>
      <c r="B435" s="8" t="s">
        <v>16</v>
      </c>
      <c r="C435" s="9" t="s">
        <v>301</v>
      </c>
      <c r="D435" s="6" t="s">
        <v>30</v>
      </c>
      <c r="E435" s="7" t="s">
        <v>316</v>
      </c>
      <c r="F435" s="6" t="s">
        <v>242</v>
      </c>
      <c r="G435" s="6" t="e">
        <f>INDEX(#REF!,MATCH(Plano_Detalhado!H435,#REF!,0),1)</f>
        <v>#REF!</v>
      </c>
      <c r="H435" s="6" t="e">
        <f>VLOOKUP(A435,#REF!,2,0)</f>
        <v>#REF!</v>
      </c>
      <c r="I435" s="67" t="e">
        <f>SUMIFS(#REF!,#REF!,Plano_Detalhado!E435,#REF!,Plano_Detalhado!F435)</f>
        <v>#REF!</v>
      </c>
      <c r="J435" s="67" t="e">
        <f t="shared" si="49"/>
        <v>#REF!</v>
      </c>
      <c r="K435" s="67" t="e">
        <f>SUMIFS(#REF!,#REF!,Plano_Detalhado!E435,#REF!,Plano_Detalhado!F435)</f>
        <v>#REF!</v>
      </c>
      <c r="L435" s="67" t="e">
        <f t="shared" si="50"/>
        <v>#REF!</v>
      </c>
      <c r="M435" s="61"/>
      <c r="N435" s="61" t="e">
        <f t="shared" si="51"/>
        <v>#REF!</v>
      </c>
      <c r="O435" s="61" t="e">
        <f t="shared" si="47"/>
        <v>#REF!</v>
      </c>
      <c r="P435" s="20" t="s">
        <v>317</v>
      </c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24"/>
      <c r="BI435" s="14"/>
      <c r="BJ435" s="14"/>
      <c r="BK435" s="14"/>
      <c r="BL435" s="14"/>
      <c r="BN435" s="2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</row>
    <row r="436" spans="1:79" hidden="1" outlineLevel="1" x14ac:dyDescent="0.4">
      <c r="A436" s="3" t="str">
        <f t="shared" si="48"/>
        <v>modesg_out_empr_info_nfincod_nace_esg</v>
      </c>
      <c r="B436" s="8" t="s">
        <v>16</v>
      </c>
      <c r="C436" s="9" t="s">
        <v>301</v>
      </c>
      <c r="D436" s="6" t="s">
        <v>30</v>
      </c>
      <c r="E436" s="7" t="s">
        <v>316</v>
      </c>
      <c r="F436" s="6" t="s">
        <v>272</v>
      </c>
      <c r="G436" s="6" t="e">
        <f>INDEX(#REF!,MATCH(Plano_Detalhado!H436,#REF!,0),1)</f>
        <v>#REF!</v>
      </c>
      <c r="H436" s="6" t="e">
        <f>VLOOKUP(A436,#REF!,2,0)</f>
        <v>#REF!</v>
      </c>
      <c r="I436" s="67" t="e">
        <f>SUMIFS(#REF!,#REF!,Plano_Detalhado!E436,#REF!,Plano_Detalhado!F436)</f>
        <v>#REF!</v>
      </c>
      <c r="J436" s="67" t="e">
        <f t="shared" si="49"/>
        <v>#REF!</v>
      </c>
      <c r="K436" s="67" t="e">
        <f>SUMIFS(#REF!,#REF!,Plano_Detalhado!E436,#REF!,Plano_Detalhado!F436)</f>
        <v>#REF!</v>
      </c>
      <c r="L436" s="67" t="e">
        <f t="shared" si="50"/>
        <v>#REF!</v>
      </c>
      <c r="M436" s="61"/>
      <c r="N436" s="61" t="e">
        <f t="shared" si="51"/>
        <v>#REF!</v>
      </c>
      <c r="O436" s="61" t="e">
        <f t="shared" si="47"/>
        <v>#REF!</v>
      </c>
      <c r="P436" s="20" t="s">
        <v>317</v>
      </c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24"/>
      <c r="BI436" s="14"/>
      <c r="BJ436" s="14"/>
      <c r="BK436" s="14"/>
      <c r="BL436" s="14"/>
      <c r="BN436" s="2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</row>
    <row r="437" spans="1:79" hidden="1" outlineLevel="1" x14ac:dyDescent="0.4">
      <c r="A437" s="3" t="str">
        <f t="shared" si="48"/>
        <v>modesg_out_empr_info_nfinflg_emprs_excl_paris</v>
      </c>
      <c r="B437" s="8" t="s">
        <v>16</v>
      </c>
      <c r="C437" s="9" t="s">
        <v>301</v>
      </c>
      <c r="D437" s="6" t="s">
        <v>30</v>
      </c>
      <c r="E437" s="7" t="s">
        <v>316</v>
      </c>
      <c r="F437" s="6" t="s">
        <v>318</v>
      </c>
      <c r="G437" s="6" t="e">
        <f>INDEX(#REF!,MATCH(Plano_Detalhado!H437,#REF!,0),1)</f>
        <v>#REF!</v>
      </c>
      <c r="H437" s="6" t="e">
        <f>VLOOKUP(A437,#REF!,2,0)</f>
        <v>#REF!</v>
      </c>
      <c r="I437" s="67" t="e">
        <f>SUMIFS(#REF!,#REF!,Plano_Detalhado!E437,#REF!,Plano_Detalhado!F437)</f>
        <v>#REF!</v>
      </c>
      <c r="J437" s="67" t="e">
        <f t="shared" si="49"/>
        <v>#REF!</v>
      </c>
      <c r="K437" s="67" t="e">
        <f>SUMIFS(#REF!,#REF!,Plano_Detalhado!E437,#REF!,Plano_Detalhado!F437)</f>
        <v>#REF!</v>
      </c>
      <c r="L437" s="67" t="e">
        <f t="shared" si="50"/>
        <v>#REF!</v>
      </c>
      <c r="M437" s="61"/>
      <c r="N437" s="61" t="e">
        <f t="shared" si="51"/>
        <v>#REF!</v>
      </c>
      <c r="O437" s="61" t="e">
        <f t="shared" si="47"/>
        <v>#REF!</v>
      </c>
      <c r="P437" s="20" t="s">
        <v>317</v>
      </c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24"/>
      <c r="BI437" s="14"/>
      <c r="BJ437" s="14"/>
      <c r="BK437" s="14"/>
      <c r="BL437" s="14"/>
      <c r="BN437" s="2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</row>
    <row r="438" spans="1:79" hidden="1" outlineLevel="1" x14ac:dyDescent="0.4">
      <c r="A438" s="3" t="str">
        <f t="shared" si="48"/>
        <v>modesg_out_empr_info_nfinflg_nfrd</v>
      </c>
      <c r="B438" s="8" t="s">
        <v>16</v>
      </c>
      <c r="C438" s="9" t="s">
        <v>301</v>
      </c>
      <c r="D438" s="6" t="s">
        <v>30</v>
      </c>
      <c r="E438" s="7" t="s">
        <v>316</v>
      </c>
      <c r="F438" s="6" t="s">
        <v>235</v>
      </c>
      <c r="G438" s="6" t="e">
        <f>INDEX(#REF!,MATCH(Plano_Detalhado!H438,#REF!,0),1)</f>
        <v>#REF!</v>
      </c>
      <c r="H438" s="6" t="e">
        <f>VLOOKUP(A438,#REF!,2,0)</f>
        <v>#REF!</v>
      </c>
      <c r="I438" s="67" t="e">
        <f>SUMIFS(#REF!,#REF!,Plano_Detalhado!E438,#REF!,Plano_Detalhado!F438)</f>
        <v>#REF!</v>
      </c>
      <c r="J438" s="67" t="e">
        <f t="shared" si="49"/>
        <v>#REF!</v>
      </c>
      <c r="K438" s="67" t="e">
        <f>SUMIFS(#REF!,#REF!,Plano_Detalhado!E438,#REF!,Plano_Detalhado!F438)</f>
        <v>#REF!</v>
      </c>
      <c r="L438" s="67" t="e">
        <f t="shared" si="50"/>
        <v>#REF!</v>
      </c>
      <c r="M438" s="61"/>
      <c r="N438" s="61" t="e">
        <f t="shared" si="51"/>
        <v>#REF!</v>
      </c>
      <c r="O438" s="61" t="e">
        <f t="shared" si="47"/>
        <v>#REF!</v>
      </c>
      <c r="P438" s="20" t="s">
        <v>317</v>
      </c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24"/>
      <c r="BI438" s="14"/>
      <c r="BJ438" s="14"/>
      <c r="BK438" s="14"/>
      <c r="BL438" s="14"/>
      <c r="BN438" s="2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</row>
    <row r="439" spans="1:79" hidden="1" outlineLevel="1" x14ac:dyDescent="0.4">
      <c r="A439" s="3" t="str">
        <f t="shared" si="48"/>
        <v>modesg_out_empr_info_nfinflg_rsc_fsc_agd</v>
      </c>
      <c r="B439" s="8" t="s">
        <v>16</v>
      </c>
      <c r="C439" s="9" t="s">
        <v>301</v>
      </c>
      <c r="D439" s="6" t="s">
        <v>30</v>
      </c>
      <c r="E439" s="7" t="s">
        <v>316</v>
      </c>
      <c r="F439" s="6" t="s">
        <v>273</v>
      </c>
      <c r="G439" s="6" t="e">
        <f>INDEX(#REF!,MATCH(Plano_Detalhado!H439,#REF!,0),1)</f>
        <v>#REF!</v>
      </c>
      <c r="H439" s="6" t="e">
        <f>VLOOKUP(A439,#REF!,2,0)</f>
        <v>#REF!</v>
      </c>
      <c r="I439" s="67" t="e">
        <f>SUMIFS(#REF!,#REF!,Plano_Detalhado!E439,#REF!,Plano_Detalhado!F439)</f>
        <v>#REF!</v>
      </c>
      <c r="J439" s="67" t="e">
        <f t="shared" si="49"/>
        <v>#REF!</v>
      </c>
      <c r="K439" s="67" t="e">
        <f>SUMIFS(#REF!,#REF!,Plano_Detalhado!E439,#REF!,Plano_Detalhado!F439)</f>
        <v>#REF!</v>
      </c>
      <c r="L439" s="67" t="e">
        <f t="shared" si="50"/>
        <v>#REF!</v>
      </c>
      <c r="M439" s="61"/>
      <c r="N439" s="61" t="e">
        <f t="shared" si="51"/>
        <v>#REF!</v>
      </c>
      <c r="O439" s="61" t="e">
        <f t="shared" ref="O439:O486" si="52">N439-M439</f>
        <v>#REF!</v>
      </c>
      <c r="P439" s="20" t="s">
        <v>317</v>
      </c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24"/>
      <c r="BI439" s="14"/>
      <c r="BJ439" s="14"/>
      <c r="BK439" s="14"/>
      <c r="BL439" s="14"/>
      <c r="BN439" s="2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</row>
    <row r="440" spans="1:79" hidden="1" outlineLevel="1" x14ac:dyDescent="0.4">
      <c r="A440" s="3" t="str">
        <f t="shared" si="48"/>
        <v>modesg_out_empr_info_nfinflg_rsc_fsc_crnc</v>
      </c>
      <c r="B440" s="8" t="s">
        <v>16</v>
      </c>
      <c r="C440" s="9" t="s">
        <v>301</v>
      </c>
      <c r="D440" s="6" t="s">
        <v>30</v>
      </c>
      <c r="E440" s="7" t="s">
        <v>316</v>
      </c>
      <c r="F440" s="6" t="s">
        <v>274</v>
      </c>
      <c r="G440" s="6" t="e">
        <f>INDEX(#REF!,MATCH(Plano_Detalhado!H440,#REF!,0),1)</f>
        <v>#REF!</v>
      </c>
      <c r="H440" s="6" t="e">
        <f>VLOOKUP(A440,#REF!,2,0)</f>
        <v>#REF!</v>
      </c>
      <c r="I440" s="67" t="e">
        <f>SUMIFS(#REF!,#REF!,Plano_Detalhado!E440,#REF!,Plano_Detalhado!F440)</f>
        <v>#REF!</v>
      </c>
      <c r="J440" s="67" t="e">
        <f t="shared" si="49"/>
        <v>#REF!</v>
      </c>
      <c r="K440" s="67" t="e">
        <f>SUMIFS(#REF!,#REF!,Plano_Detalhado!E440,#REF!,Plano_Detalhado!F440)</f>
        <v>#REF!</v>
      </c>
      <c r="L440" s="67" t="e">
        <f t="shared" si="50"/>
        <v>#REF!</v>
      </c>
      <c r="M440" s="61"/>
      <c r="N440" s="61" t="e">
        <f t="shared" si="51"/>
        <v>#REF!</v>
      </c>
      <c r="O440" s="61" t="e">
        <f t="shared" si="52"/>
        <v>#REF!</v>
      </c>
      <c r="P440" s="20" t="s">
        <v>317</v>
      </c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24"/>
      <c r="BI440" s="14"/>
      <c r="BJ440" s="14"/>
      <c r="BK440" s="14"/>
      <c r="BL440" s="14"/>
      <c r="BN440" s="2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</row>
    <row r="441" spans="1:79" hidden="1" outlineLevel="1" x14ac:dyDescent="0.4">
      <c r="A441" s="3" t="str">
        <f t="shared" si="48"/>
        <v>modesg_out_empr_info_nfinorigem_alinhamentos</v>
      </c>
      <c r="B441" s="8" t="s">
        <v>16</v>
      </c>
      <c r="C441" s="9" t="s">
        <v>301</v>
      </c>
      <c r="D441" s="6" t="s">
        <v>30</v>
      </c>
      <c r="E441" s="7" t="s">
        <v>316</v>
      </c>
      <c r="F441" s="6" t="s">
        <v>319</v>
      </c>
      <c r="G441" s="6" t="e">
        <f>INDEX(#REF!,MATCH(Plano_Detalhado!H441,#REF!,0),1)</f>
        <v>#REF!</v>
      </c>
      <c r="H441" s="6" t="e">
        <f>VLOOKUP(A441,#REF!,2,0)</f>
        <v>#REF!</v>
      </c>
      <c r="I441" s="67" t="e">
        <f>SUMIFS(#REF!,#REF!,Plano_Detalhado!E441,#REF!,Plano_Detalhado!F441)</f>
        <v>#REF!</v>
      </c>
      <c r="J441" s="67" t="e">
        <f t="shared" si="49"/>
        <v>#REF!</v>
      </c>
      <c r="K441" s="67" t="e">
        <f>SUMIFS(#REF!,#REF!,Plano_Detalhado!E441,#REF!,Plano_Detalhado!F441)</f>
        <v>#REF!</v>
      </c>
      <c r="L441" s="67" t="e">
        <f t="shared" si="50"/>
        <v>#REF!</v>
      </c>
      <c r="M441" s="61"/>
      <c r="N441" s="61" t="e">
        <f t="shared" si="51"/>
        <v>#REF!</v>
      </c>
      <c r="O441" s="61" t="e">
        <f t="shared" si="52"/>
        <v>#REF!</v>
      </c>
      <c r="P441" s="20" t="s">
        <v>317</v>
      </c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24"/>
      <c r="BI441" s="14"/>
      <c r="BJ441" s="14"/>
      <c r="BK441" s="14"/>
      <c r="BL441" s="14"/>
      <c r="BN441" s="2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</row>
    <row r="442" spans="1:79" hidden="1" outlineLevel="1" x14ac:dyDescent="0.4">
      <c r="A442" s="3" t="str">
        <f t="shared" si="48"/>
        <v>modesg_out_empr_info_nfinorigem_flg_emprs_excl_paris</v>
      </c>
      <c r="B442" s="8" t="s">
        <v>16</v>
      </c>
      <c r="C442" s="9" t="s">
        <v>301</v>
      </c>
      <c r="D442" s="6" t="s">
        <v>30</v>
      </c>
      <c r="E442" s="7" t="s">
        <v>316</v>
      </c>
      <c r="F442" s="6" t="s">
        <v>320</v>
      </c>
      <c r="G442" s="6" t="e">
        <f>INDEX(#REF!,MATCH(Plano_Detalhado!H442,#REF!,0),1)</f>
        <v>#REF!</v>
      </c>
      <c r="H442" s="6" t="e">
        <f>VLOOKUP(A442,#REF!,2,0)</f>
        <v>#REF!</v>
      </c>
      <c r="I442" s="67" t="e">
        <f>SUMIFS(#REF!,#REF!,Plano_Detalhado!E442,#REF!,Plano_Detalhado!F442)</f>
        <v>#REF!</v>
      </c>
      <c r="J442" s="67" t="e">
        <f t="shared" si="49"/>
        <v>#REF!</v>
      </c>
      <c r="K442" s="67" t="e">
        <f>SUMIFS(#REF!,#REF!,Plano_Detalhado!E442,#REF!,Plano_Detalhado!F442)</f>
        <v>#REF!</v>
      </c>
      <c r="L442" s="67" t="e">
        <f t="shared" si="50"/>
        <v>#REF!</v>
      </c>
      <c r="M442" s="61"/>
      <c r="N442" s="61" t="e">
        <f t="shared" si="51"/>
        <v>#REF!</v>
      </c>
      <c r="O442" s="61" t="e">
        <f t="shared" si="52"/>
        <v>#REF!</v>
      </c>
      <c r="P442" s="20" t="s">
        <v>317</v>
      </c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24"/>
      <c r="BI442" s="14"/>
      <c r="BJ442" s="14"/>
      <c r="BK442" s="14"/>
      <c r="BL442" s="14"/>
      <c r="BN442" s="2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</row>
    <row r="443" spans="1:79" hidden="1" outlineLevel="1" x14ac:dyDescent="0.4">
      <c r="A443" s="3" t="str">
        <f t="shared" si="48"/>
        <v>modesg_out_empr_info_nfinorigem_flg_nfrd</v>
      </c>
      <c r="B443" s="8" t="s">
        <v>16</v>
      </c>
      <c r="C443" s="9" t="s">
        <v>301</v>
      </c>
      <c r="D443" s="6" t="s">
        <v>30</v>
      </c>
      <c r="E443" s="7" t="s">
        <v>316</v>
      </c>
      <c r="F443" s="6" t="s">
        <v>321</v>
      </c>
      <c r="G443" s="6" t="e">
        <f>INDEX(#REF!,MATCH(Plano_Detalhado!H443,#REF!,0),1)</f>
        <v>#REF!</v>
      </c>
      <c r="H443" s="6" t="e">
        <f>VLOOKUP(A443,#REF!,2,0)</f>
        <v>#REF!</v>
      </c>
      <c r="I443" s="67" t="e">
        <f>SUMIFS(#REF!,#REF!,Plano_Detalhado!E443,#REF!,Plano_Detalhado!F443)</f>
        <v>#REF!</v>
      </c>
      <c r="J443" s="67" t="e">
        <f t="shared" si="49"/>
        <v>#REF!</v>
      </c>
      <c r="K443" s="67" t="e">
        <f>SUMIFS(#REF!,#REF!,Plano_Detalhado!E443,#REF!,Plano_Detalhado!F443)</f>
        <v>#REF!</v>
      </c>
      <c r="L443" s="67" t="e">
        <f t="shared" si="50"/>
        <v>#REF!</v>
      </c>
      <c r="M443" s="61"/>
      <c r="N443" s="61" t="e">
        <f t="shared" si="51"/>
        <v>#REF!</v>
      </c>
      <c r="O443" s="61" t="e">
        <f t="shared" si="52"/>
        <v>#REF!</v>
      </c>
      <c r="P443" s="20" t="s">
        <v>317</v>
      </c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24"/>
      <c r="BI443" s="14"/>
      <c r="BJ443" s="14"/>
      <c r="BK443" s="14"/>
      <c r="BL443" s="14"/>
      <c r="BN443" s="2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</row>
    <row r="444" spans="1:79" hidden="1" outlineLevel="1" x14ac:dyDescent="0.4">
      <c r="A444" s="3" t="str">
        <f t="shared" si="48"/>
        <v>modesg_out_empr_info_nfinorigem_flg_rsc_fsc_agd</v>
      </c>
      <c r="B444" s="8" t="s">
        <v>16</v>
      </c>
      <c r="C444" s="9" t="s">
        <v>301</v>
      </c>
      <c r="D444" s="6" t="s">
        <v>30</v>
      </c>
      <c r="E444" s="7" t="s">
        <v>316</v>
      </c>
      <c r="F444" s="6" t="s">
        <v>308</v>
      </c>
      <c r="G444" s="6" t="e">
        <f>INDEX(#REF!,MATCH(Plano_Detalhado!H444,#REF!,0),1)</f>
        <v>#REF!</v>
      </c>
      <c r="H444" s="6" t="e">
        <f>VLOOKUP(A444,#REF!,2,0)</f>
        <v>#REF!</v>
      </c>
      <c r="I444" s="67" t="e">
        <f>SUMIFS(#REF!,#REF!,Plano_Detalhado!E444,#REF!,Plano_Detalhado!F444)</f>
        <v>#REF!</v>
      </c>
      <c r="J444" s="67" t="e">
        <f t="shared" si="49"/>
        <v>#REF!</v>
      </c>
      <c r="K444" s="67" t="e">
        <f>SUMIFS(#REF!,#REF!,Plano_Detalhado!E444,#REF!,Plano_Detalhado!F444)</f>
        <v>#REF!</v>
      </c>
      <c r="L444" s="67" t="e">
        <f t="shared" si="50"/>
        <v>#REF!</v>
      </c>
      <c r="M444" s="61"/>
      <c r="N444" s="61" t="e">
        <f t="shared" si="51"/>
        <v>#REF!</v>
      </c>
      <c r="O444" s="61" t="e">
        <f t="shared" si="52"/>
        <v>#REF!</v>
      </c>
      <c r="P444" s="20" t="s">
        <v>317</v>
      </c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24"/>
      <c r="BI444" s="14"/>
      <c r="BJ444" s="14"/>
      <c r="BK444" s="14"/>
      <c r="BL444" s="14"/>
      <c r="BN444" s="2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</row>
    <row r="445" spans="1:79" hidden="1" outlineLevel="1" x14ac:dyDescent="0.4">
      <c r="A445" s="3" t="str">
        <f t="shared" si="48"/>
        <v>modesg_out_empr_info_nfinorigem_flg_rsc_fsc_crnc</v>
      </c>
      <c r="B445" s="8" t="s">
        <v>16</v>
      </c>
      <c r="C445" s="9" t="s">
        <v>301</v>
      </c>
      <c r="D445" s="6" t="s">
        <v>30</v>
      </c>
      <c r="E445" s="7" t="s">
        <v>316</v>
      </c>
      <c r="F445" s="6" t="s">
        <v>309</v>
      </c>
      <c r="G445" s="6" t="e">
        <f>INDEX(#REF!,MATCH(Plano_Detalhado!H445,#REF!,0),1)</f>
        <v>#REF!</v>
      </c>
      <c r="H445" s="6" t="e">
        <f>VLOOKUP(A445,#REF!,2,0)</f>
        <v>#REF!</v>
      </c>
      <c r="I445" s="67" t="e">
        <f>SUMIFS(#REF!,#REF!,Plano_Detalhado!E445,#REF!,Plano_Detalhado!F445)</f>
        <v>#REF!</v>
      </c>
      <c r="J445" s="67" t="e">
        <f t="shared" si="49"/>
        <v>#REF!</v>
      </c>
      <c r="K445" s="67" t="e">
        <f>SUMIFS(#REF!,#REF!,Plano_Detalhado!E445,#REF!,Plano_Detalhado!F445)</f>
        <v>#REF!</v>
      </c>
      <c r="L445" s="67" t="e">
        <f t="shared" si="50"/>
        <v>#REF!</v>
      </c>
      <c r="M445" s="61"/>
      <c r="N445" s="61" t="e">
        <f t="shared" si="51"/>
        <v>#REF!</v>
      </c>
      <c r="O445" s="61" t="e">
        <f t="shared" si="52"/>
        <v>#REF!</v>
      </c>
      <c r="P445" s="20" t="s">
        <v>317</v>
      </c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24"/>
      <c r="BI445" s="14"/>
      <c r="BJ445" s="14"/>
      <c r="BK445" s="14"/>
      <c r="BL445" s="14"/>
      <c r="BN445" s="2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</row>
    <row r="446" spans="1:79" hidden="1" outlineLevel="1" x14ac:dyDescent="0.4">
      <c r="A446" s="3" t="str">
        <f t="shared" si="48"/>
        <v>modesg_out_empr_info_nfinorigem_scp1_emss</v>
      </c>
      <c r="B446" s="8" t="s">
        <v>16</v>
      </c>
      <c r="C446" s="9" t="s">
        <v>301</v>
      </c>
      <c r="D446" s="6" t="s">
        <v>30</v>
      </c>
      <c r="E446" s="7" t="s">
        <v>316</v>
      </c>
      <c r="F446" s="6" t="s">
        <v>310</v>
      </c>
      <c r="G446" s="6" t="e">
        <f>INDEX(#REF!,MATCH(Plano_Detalhado!H446,#REF!,0),1)</f>
        <v>#REF!</v>
      </c>
      <c r="H446" s="6" t="e">
        <f>VLOOKUP(A446,#REF!,2,0)</f>
        <v>#REF!</v>
      </c>
      <c r="I446" s="67" t="e">
        <f>SUMIFS(#REF!,#REF!,Plano_Detalhado!E446,#REF!,Plano_Detalhado!F446)</f>
        <v>#REF!</v>
      </c>
      <c r="J446" s="67" t="e">
        <f t="shared" si="49"/>
        <v>#REF!</v>
      </c>
      <c r="K446" s="67" t="e">
        <f>SUMIFS(#REF!,#REF!,Plano_Detalhado!E446,#REF!,Plano_Detalhado!F446)</f>
        <v>#REF!</v>
      </c>
      <c r="L446" s="67" t="e">
        <f t="shared" si="50"/>
        <v>#REF!</v>
      </c>
      <c r="M446" s="61"/>
      <c r="N446" s="61" t="e">
        <f t="shared" si="51"/>
        <v>#REF!</v>
      </c>
      <c r="O446" s="61" t="e">
        <f t="shared" si="52"/>
        <v>#REF!</v>
      </c>
      <c r="P446" s="20" t="s">
        <v>317</v>
      </c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24"/>
      <c r="BI446" s="14"/>
      <c r="BJ446" s="14"/>
      <c r="BK446" s="14"/>
      <c r="BL446" s="14"/>
      <c r="BN446" s="2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</row>
    <row r="447" spans="1:79" hidden="1" outlineLevel="1" x14ac:dyDescent="0.4">
      <c r="A447" s="3" t="str">
        <f t="shared" si="48"/>
        <v>modesg_out_empr_info_nfinorigem_scp2_emss</v>
      </c>
      <c r="B447" s="8" t="s">
        <v>16</v>
      </c>
      <c r="C447" s="9" t="s">
        <v>301</v>
      </c>
      <c r="D447" s="6" t="s">
        <v>30</v>
      </c>
      <c r="E447" s="7" t="s">
        <v>316</v>
      </c>
      <c r="F447" s="6" t="s">
        <v>311</v>
      </c>
      <c r="G447" s="6" t="e">
        <f>INDEX(#REF!,MATCH(Plano_Detalhado!H447,#REF!,0),1)</f>
        <v>#REF!</v>
      </c>
      <c r="H447" s="6" t="e">
        <f>VLOOKUP(A447,#REF!,2,0)</f>
        <v>#REF!</v>
      </c>
      <c r="I447" s="67" t="e">
        <f>SUMIFS(#REF!,#REF!,Plano_Detalhado!E447,#REF!,Plano_Detalhado!F447)</f>
        <v>#REF!</v>
      </c>
      <c r="J447" s="67" t="e">
        <f t="shared" si="49"/>
        <v>#REF!</v>
      </c>
      <c r="K447" s="67" t="e">
        <f>SUMIFS(#REF!,#REF!,Plano_Detalhado!E447,#REF!,Plano_Detalhado!F447)</f>
        <v>#REF!</v>
      </c>
      <c r="L447" s="67" t="e">
        <f t="shared" si="50"/>
        <v>#REF!</v>
      </c>
      <c r="M447" s="61"/>
      <c r="N447" s="61" t="e">
        <f t="shared" si="51"/>
        <v>#REF!</v>
      </c>
      <c r="O447" s="61" t="e">
        <f t="shared" si="52"/>
        <v>#REF!</v>
      </c>
      <c r="P447" s="20" t="s">
        <v>317</v>
      </c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24"/>
      <c r="BI447" s="14"/>
      <c r="BJ447" s="14"/>
      <c r="BK447" s="14"/>
      <c r="BL447" s="14"/>
      <c r="BN447" s="2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</row>
    <row r="448" spans="1:79" hidden="1" outlineLevel="1" x14ac:dyDescent="0.4">
      <c r="A448" s="3" t="str">
        <f t="shared" si="48"/>
        <v>modesg_out_empr_info_nfinorigem_scp3_emss</v>
      </c>
      <c r="B448" s="8" t="s">
        <v>16</v>
      </c>
      <c r="C448" s="9" t="s">
        <v>301</v>
      </c>
      <c r="D448" s="6" t="s">
        <v>30</v>
      </c>
      <c r="E448" s="7" t="s">
        <v>316</v>
      </c>
      <c r="F448" s="6" t="s">
        <v>312</v>
      </c>
      <c r="G448" s="6" t="e">
        <f>INDEX(#REF!,MATCH(Plano_Detalhado!H448,#REF!,0),1)</f>
        <v>#REF!</v>
      </c>
      <c r="H448" s="6" t="e">
        <f>VLOOKUP(A448,#REF!,2,0)</f>
        <v>#REF!</v>
      </c>
      <c r="I448" s="67" t="e">
        <f>SUMIFS(#REF!,#REF!,Plano_Detalhado!E448,#REF!,Plano_Detalhado!F448)</f>
        <v>#REF!</v>
      </c>
      <c r="J448" s="67" t="e">
        <f t="shared" si="49"/>
        <v>#REF!</v>
      </c>
      <c r="K448" s="67" t="e">
        <f>SUMIFS(#REF!,#REF!,Plano_Detalhado!E448,#REF!,Plano_Detalhado!F448)</f>
        <v>#REF!</v>
      </c>
      <c r="L448" s="67" t="e">
        <f t="shared" si="50"/>
        <v>#REF!</v>
      </c>
      <c r="M448" s="61"/>
      <c r="N448" s="61" t="e">
        <f t="shared" si="51"/>
        <v>#REF!</v>
      </c>
      <c r="O448" s="61" t="e">
        <f t="shared" si="52"/>
        <v>#REF!</v>
      </c>
      <c r="P448" s="20" t="s">
        <v>317</v>
      </c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24"/>
      <c r="BI448" s="14"/>
      <c r="BJ448" s="14"/>
      <c r="BK448" s="14"/>
      <c r="BL448" s="14"/>
      <c r="BN448" s="2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</row>
    <row r="449" spans="1:79" hidden="1" outlineLevel="1" x14ac:dyDescent="0.4">
      <c r="A449" s="3" t="str">
        <f t="shared" si="48"/>
        <v>modesg_out_empr_info_nfinref_date</v>
      </c>
      <c r="B449" s="8" t="s">
        <v>16</v>
      </c>
      <c r="C449" s="9" t="s">
        <v>301</v>
      </c>
      <c r="D449" s="6" t="s">
        <v>30</v>
      </c>
      <c r="E449" s="7" t="s">
        <v>316</v>
      </c>
      <c r="F449" s="6" t="s">
        <v>198</v>
      </c>
      <c r="G449" s="6" t="e">
        <f>INDEX(#REF!,MATCH(Plano_Detalhado!H449,#REF!,0),1)</f>
        <v>#REF!</v>
      </c>
      <c r="H449" s="6" t="e">
        <f>VLOOKUP(A449,#REF!,2,0)</f>
        <v>#REF!</v>
      </c>
      <c r="I449" s="67" t="e">
        <f>SUMIFS(#REF!,#REF!,Plano_Detalhado!E449,#REF!,Plano_Detalhado!F449)</f>
        <v>#REF!</v>
      </c>
      <c r="J449" s="67" t="e">
        <f t="shared" si="49"/>
        <v>#REF!</v>
      </c>
      <c r="K449" s="67" t="e">
        <f>SUMIFS(#REF!,#REF!,Plano_Detalhado!E449,#REF!,Plano_Detalhado!F449)</f>
        <v>#REF!</v>
      </c>
      <c r="L449" s="67" t="e">
        <f t="shared" si="50"/>
        <v>#REF!</v>
      </c>
      <c r="M449" s="61"/>
      <c r="N449" s="61" t="e">
        <f t="shared" si="51"/>
        <v>#REF!</v>
      </c>
      <c r="O449" s="61" t="e">
        <f t="shared" si="52"/>
        <v>#REF!</v>
      </c>
      <c r="P449" s="20" t="s">
        <v>317</v>
      </c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24"/>
      <c r="BI449" s="14"/>
      <c r="BJ449" s="14"/>
      <c r="BK449" s="14"/>
      <c r="BL449" s="14"/>
      <c r="BN449" s="2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</row>
    <row r="450" spans="1:79" hidden="1" outlineLevel="1" x14ac:dyDescent="0.4">
      <c r="A450" s="3" t="str">
        <f t="shared" si="48"/>
        <v>modesg_out_empr_info_nfinscp1_emss</v>
      </c>
      <c r="B450" s="8" t="s">
        <v>16</v>
      </c>
      <c r="C450" s="9" t="s">
        <v>301</v>
      </c>
      <c r="D450" s="6" t="s">
        <v>30</v>
      </c>
      <c r="E450" s="7" t="s">
        <v>316</v>
      </c>
      <c r="F450" s="6" t="s">
        <v>276</v>
      </c>
      <c r="G450" s="6" t="e">
        <f>INDEX(#REF!,MATCH(Plano_Detalhado!H450,#REF!,0),1)</f>
        <v>#REF!</v>
      </c>
      <c r="H450" s="6" t="e">
        <f>VLOOKUP(A450,#REF!,2,0)</f>
        <v>#REF!</v>
      </c>
      <c r="I450" s="67" t="e">
        <f>SUMIFS(#REF!,#REF!,Plano_Detalhado!E450,#REF!,Plano_Detalhado!F450)</f>
        <v>#REF!</v>
      </c>
      <c r="J450" s="67" t="e">
        <f t="shared" si="49"/>
        <v>#REF!</v>
      </c>
      <c r="K450" s="67" t="e">
        <f>SUMIFS(#REF!,#REF!,Plano_Detalhado!E450,#REF!,Plano_Detalhado!F450)</f>
        <v>#REF!</v>
      </c>
      <c r="L450" s="67" t="e">
        <f t="shared" si="50"/>
        <v>#REF!</v>
      </c>
      <c r="M450" s="61"/>
      <c r="N450" s="61" t="e">
        <f t="shared" si="51"/>
        <v>#REF!</v>
      </c>
      <c r="O450" s="61" t="e">
        <f t="shared" si="52"/>
        <v>#REF!</v>
      </c>
      <c r="P450" s="20" t="s">
        <v>317</v>
      </c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24"/>
      <c r="BI450" s="14"/>
      <c r="BJ450" s="14"/>
      <c r="BK450" s="14"/>
      <c r="BL450" s="14"/>
      <c r="BN450" s="2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</row>
    <row r="451" spans="1:79" hidden="1" outlineLevel="1" x14ac:dyDescent="0.4">
      <c r="A451" s="3" t="str">
        <f t="shared" si="48"/>
        <v>modesg_out_empr_info_nfinscp2_emss</v>
      </c>
      <c r="B451" s="8" t="s">
        <v>16</v>
      </c>
      <c r="C451" s="9" t="s">
        <v>301</v>
      </c>
      <c r="D451" s="6" t="s">
        <v>30</v>
      </c>
      <c r="E451" s="7" t="s">
        <v>316</v>
      </c>
      <c r="F451" s="6" t="s">
        <v>277</v>
      </c>
      <c r="G451" s="6" t="e">
        <f>INDEX(#REF!,MATCH(Plano_Detalhado!H451,#REF!,0),1)</f>
        <v>#REF!</v>
      </c>
      <c r="H451" s="6" t="e">
        <f>VLOOKUP(A451,#REF!,2,0)</f>
        <v>#REF!</v>
      </c>
      <c r="I451" s="67" t="e">
        <f>SUMIFS(#REF!,#REF!,Plano_Detalhado!E451,#REF!,Plano_Detalhado!F451)</f>
        <v>#REF!</v>
      </c>
      <c r="J451" s="67" t="e">
        <f t="shared" si="49"/>
        <v>#REF!</v>
      </c>
      <c r="K451" s="67" t="e">
        <f>SUMIFS(#REF!,#REF!,Plano_Detalhado!E451,#REF!,Plano_Detalhado!F451)</f>
        <v>#REF!</v>
      </c>
      <c r="L451" s="67" t="e">
        <f t="shared" si="50"/>
        <v>#REF!</v>
      </c>
      <c r="M451" s="61"/>
      <c r="N451" s="61" t="e">
        <f t="shared" si="51"/>
        <v>#REF!</v>
      </c>
      <c r="O451" s="61" t="e">
        <f t="shared" si="52"/>
        <v>#REF!</v>
      </c>
      <c r="P451" s="20" t="s">
        <v>317</v>
      </c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24"/>
      <c r="BI451" s="14"/>
      <c r="BJ451" s="14"/>
      <c r="BK451" s="14"/>
      <c r="BL451" s="14"/>
      <c r="BN451" s="2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</row>
    <row r="452" spans="1:79" hidden="1" outlineLevel="1" x14ac:dyDescent="0.4">
      <c r="A452" s="3" t="str">
        <f t="shared" ref="A452:A515" si="53">E452&amp;F452</f>
        <v>modesg_out_empr_info_nfinscp3_emss</v>
      </c>
      <c r="B452" s="8" t="s">
        <v>16</v>
      </c>
      <c r="C452" s="9" t="s">
        <v>301</v>
      </c>
      <c r="D452" s="6" t="s">
        <v>30</v>
      </c>
      <c r="E452" s="7" t="s">
        <v>316</v>
      </c>
      <c r="F452" s="6" t="s">
        <v>278</v>
      </c>
      <c r="G452" s="6" t="e">
        <f>INDEX(#REF!,MATCH(Plano_Detalhado!H452,#REF!,0),1)</f>
        <v>#REF!</v>
      </c>
      <c r="H452" s="6" t="e">
        <f>VLOOKUP(A452,#REF!,2,0)</f>
        <v>#REF!</v>
      </c>
      <c r="I452" s="67" t="e">
        <f>SUMIFS(#REF!,#REF!,Plano_Detalhado!E452,#REF!,Plano_Detalhado!F452)</f>
        <v>#REF!</v>
      </c>
      <c r="J452" s="67" t="e">
        <f t="shared" si="49"/>
        <v>#REF!</v>
      </c>
      <c r="K452" s="67" t="e">
        <f>SUMIFS(#REF!,#REF!,Plano_Detalhado!E452,#REF!,Plano_Detalhado!F452)</f>
        <v>#REF!</v>
      </c>
      <c r="L452" s="67" t="e">
        <f t="shared" si="50"/>
        <v>#REF!</v>
      </c>
      <c r="M452" s="61"/>
      <c r="N452" s="61" t="e">
        <f t="shared" si="51"/>
        <v>#REF!</v>
      </c>
      <c r="O452" s="61" t="e">
        <f t="shared" si="52"/>
        <v>#REF!</v>
      </c>
      <c r="P452" s="20" t="s">
        <v>317</v>
      </c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24"/>
      <c r="BI452" s="14"/>
      <c r="BJ452" s="14"/>
      <c r="BK452" s="14"/>
      <c r="BL452" s="14"/>
      <c r="BN452" s="2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</row>
    <row r="453" spans="1:79" hidden="1" outlineLevel="1" x14ac:dyDescent="0.4">
      <c r="A453" s="3" t="str">
        <f t="shared" si="53"/>
        <v>modesg_out_empr_info_nfinzcliente</v>
      </c>
      <c r="B453" s="8" t="s">
        <v>16</v>
      </c>
      <c r="C453" s="9" t="s">
        <v>301</v>
      </c>
      <c r="D453" s="6" t="s">
        <v>30</v>
      </c>
      <c r="E453" s="7" t="s">
        <v>316</v>
      </c>
      <c r="F453" s="6" t="s">
        <v>199</v>
      </c>
      <c r="G453" s="6" t="e">
        <f>INDEX(#REF!,MATCH(Plano_Detalhado!H453,#REF!,0),1)</f>
        <v>#REF!</v>
      </c>
      <c r="H453" s="6" t="e">
        <f>VLOOKUP(A453,#REF!,2,0)</f>
        <v>#REF!</v>
      </c>
      <c r="I453" s="67" t="e">
        <f>SUMIFS(#REF!,#REF!,Plano_Detalhado!E453,#REF!,Plano_Detalhado!F453)</f>
        <v>#REF!</v>
      </c>
      <c r="J453" s="67" t="e">
        <f t="shared" si="49"/>
        <v>#REF!</v>
      </c>
      <c r="K453" s="67" t="e">
        <f>SUMIFS(#REF!,#REF!,Plano_Detalhado!E453,#REF!,Plano_Detalhado!F453)</f>
        <v>#REF!</v>
      </c>
      <c r="L453" s="67" t="e">
        <f t="shared" si="50"/>
        <v>#REF!</v>
      </c>
      <c r="M453" s="61"/>
      <c r="N453" s="61" t="e">
        <f t="shared" si="51"/>
        <v>#REF!</v>
      </c>
      <c r="O453" s="61" t="e">
        <f t="shared" si="52"/>
        <v>#REF!</v>
      </c>
      <c r="P453" s="20" t="s">
        <v>317</v>
      </c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24"/>
      <c r="BI453" s="14"/>
      <c r="BJ453" s="14"/>
      <c r="BK453" s="14"/>
      <c r="BL453" s="14"/>
      <c r="BN453" s="2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</row>
    <row r="454" spans="1:79" hidden="1" outlineLevel="1" x14ac:dyDescent="0.4">
      <c r="A454" s="3" t="str">
        <f t="shared" si="53"/>
        <v>modesg_out_emss_vclsn.a.</v>
      </c>
      <c r="B454" s="8" t="s">
        <v>16</v>
      </c>
      <c r="C454" s="9" t="s">
        <v>301</v>
      </c>
      <c r="D454" s="6" t="s">
        <v>26</v>
      </c>
      <c r="E454" s="7" t="s">
        <v>322</v>
      </c>
      <c r="F454" s="6" t="s">
        <v>28</v>
      </c>
      <c r="G454" s="6" t="e">
        <f>INDEX(#REF!,MATCH(Plano_Detalhado!H454,#REF!,0),1)</f>
        <v>#REF!</v>
      </c>
      <c r="H454" s="6" t="e">
        <f>VLOOKUP(A454,#REF!,2,0)</f>
        <v>#REF!</v>
      </c>
      <c r="I454" s="67" t="e">
        <f>SUMIFS(#REF!,#REF!,Plano_Detalhado!E454,#REF!,Plano_Detalhado!F454)</f>
        <v>#REF!</v>
      </c>
      <c r="J454" s="67" t="e">
        <f t="shared" si="49"/>
        <v>#REF!</v>
      </c>
      <c r="K454" s="67" t="e">
        <f>SUMIFS(#REF!,#REF!,Plano_Detalhado!E454,#REF!,Plano_Detalhado!F454)</f>
        <v>#REF!</v>
      </c>
      <c r="L454" s="67" t="e">
        <f t="shared" si="50"/>
        <v>#REF!</v>
      </c>
      <c r="M454" s="61"/>
      <c r="N454" s="61" t="e">
        <f t="shared" si="51"/>
        <v>#REF!</v>
      </c>
      <c r="O454" s="61" t="e">
        <f t="shared" si="52"/>
        <v>#REF!</v>
      </c>
      <c r="P454" s="20" t="s">
        <v>323</v>
      </c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24"/>
      <c r="BI454" s="14"/>
      <c r="BJ454" s="14"/>
      <c r="BK454" s="14"/>
      <c r="BL454" s="14"/>
      <c r="BN454" s="2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</row>
    <row r="455" spans="1:79" hidden="1" outlineLevel="1" x14ac:dyDescent="0.4">
      <c r="A455" s="3" t="str">
        <f t="shared" si="53"/>
        <v>modesg_out_emss_vclscempbem</v>
      </c>
      <c r="B455" s="8" t="s">
        <v>16</v>
      </c>
      <c r="C455" s="9" t="s">
        <v>301</v>
      </c>
      <c r="D455" s="6" t="s">
        <v>30</v>
      </c>
      <c r="E455" s="7" t="s">
        <v>322</v>
      </c>
      <c r="F455" s="6" t="s">
        <v>304</v>
      </c>
      <c r="G455" s="6" t="e">
        <f>INDEX(#REF!,MATCH(Plano_Detalhado!H455,#REF!,0),1)</f>
        <v>#REF!</v>
      </c>
      <c r="H455" s="6" t="e">
        <f>VLOOKUP(A455,#REF!,2,0)</f>
        <v>#REF!</v>
      </c>
      <c r="I455" s="67" t="e">
        <f>SUMIFS(#REF!,#REF!,Plano_Detalhado!E455,#REF!,Plano_Detalhado!F455)</f>
        <v>#REF!</v>
      </c>
      <c r="J455" s="67" t="e">
        <f t="shared" si="49"/>
        <v>#REF!</v>
      </c>
      <c r="K455" s="67" t="e">
        <f>SUMIFS(#REF!,#REF!,Plano_Detalhado!E455,#REF!,Plano_Detalhado!F455)</f>
        <v>#REF!</v>
      </c>
      <c r="L455" s="67" t="e">
        <f t="shared" si="50"/>
        <v>#REF!</v>
      </c>
      <c r="M455" s="61"/>
      <c r="N455" s="61" t="e">
        <f t="shared" si="51"/>
        <v>#REF!</v>
      </c>
      <c r="O455" s="61" t="e">
        <f t="shared" si="52"/>
        <v>#REF!</v>
      </c>
      <c r="P455" s="20" t="s">
        <v>323</v>
      </c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24"/>
      <c r="BI455" s="14"/>
      <c r="BJ455" s="14"/>
      <c r="BK455" s="14"/>
      <c r="BL455" s="14"/>
      <c r="BN455" s="2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</row>
    <row r="456" spans="1:79" hidden="1" outlineLevel="1" x14ac:dyDescent="0.4">
      <c r="A456" s="3" t="str">
        <f t="shared" si="53"/>
        <v>modesg_out_emss_vclsckbalbem</v>
      </c>
      <c r="B456" s="8" t="s">
        <v>16</v>
      </c>
      <c r="C456" s="9" t="s">
        <v>301</v>
      </c>
      <c r="D456" s="6" t="s">
        <v>30</v>
      </c>
      <c r="E456" s="7" t="s">
        <v>322</v>
      </c>
      <c r="F456" s="6" t="s">
        <v>305</v>
      </c>
      <c r="G456" s="6" t="e">
        <f>INDEX(#REF!,MATCH(Plano_Detalhado!H456,#REF!,0),1)</f>
        <v>#REF!</v>
      </c>
      <c r="H456" s="6" t="e">
        <f>VLOOKUP(A456,#REF!,2,0)</f>
        <v>#REF!</v>
      </c>
      <c r="I456" s="67" t="e">
        <f>SUMIFS(#REF!,#REF!,Plano_Detalhado!E456,#REF!,Plano_Detalhado!F456)</f>
        <v>#REF!</v>
      </c>
      <c r="J456" s="67" t="e">
        <f t="shared" si="49"/>
        <v>#REF!</v>
      </c>
      <c r="K456" s="67" t="e">
        <f>SUMIFS(#REF!,#REF!,Plano_Detalhado!E456,#REF!,Plano_Detalhado!F456)</f>
        <v>#REF!</v>
      </c>
      <c r="L456" s="67" t="e">
        <f t="shared" si="50"/>
        <v>#REF!</v>
      </c>
      <c r="M456" s="61"/>
      <c r="N456" s="61" t="e">
        <f t="shared" si="51"/>
        <v>#REF!</v>
      </c>
      <c r="O456" s="61" t="e">
        <f t="shared" si="52"/>
        <v>#REF!</v>
      </c>
      <c r="P456" s="20" t="s">
        <v>323</v>
      </c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24"/>
      <c r="BI456" s="14"/>
      <c r="BJ456" s="14"/>
      <c r="BK456" s="14"/>
      <c r="BL456" s="14"/>
      <c r="BN456" s="2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</row>
    <row r="457" spans="1:79" hidden="1" outlineLevel="1" x14ac:dyDescent="0.4">
      <c r="A457" s="3" t="str">
        <f t="shared" si="53"/>
        <v>modesg_out_emss_vclsckctabem</v>
      </c>
      <c r="B457" s="8" t="s">
        <v>16</v>
      </c>
      <c r="C457" s="9" t="s">
        <v>301</v>
      </c>
      <c r="D457" s="6" t="s">
        <v>30</v>
      </c>
      <c r="E457" s="7" t="s">
        <v>322</v>
      </c>
      <c r="F457" s="6" t="s">
        <v>306</v>
      </c>
      <c r="G457" s="6" t="e">
        <f>INDEX(#REF!,MATCH(Plano_Detalhado!H457,#REF!,0),1)</f>
        <v>#REF!</v>
      </c>
      <c r="H457" s="6" t="e">
        <f>VLOOKUP(A457,#REF!,2,0)</f>
        <v>#REF!</v>
      </c>
      <c r="I457" s="67" t="e">
        <f>SUMIFS(#REF!,#REF!,Plano_Detalhado!E457,#REF!,Plano_Detalhado!F457)</f>
        <v>#REF!</v>
      </c>
      <c r="J457" s="67" t="e">
        <f t="shared" si="49"/>
        <v>#REF!</v>
      </c>
      <c r="K457" s="67" t="e">
        <f>SUMIFS(#REF!,#REF!,Plano_Detalhado!E457,#REF!,Plano_Detalhado!F457)</f>
        <v>#REF!</v>
      </c>
      <c r="L457" s="67" t="e">
        <f t="shared" si="50"/>
        <v>#REF!</v>
      </c>
      <c r="M457" s="61"/>
      <c r="N457" s="61" t="e">
        <f t="shared" si="51"/>
        <v>#REF!</v>
      </c>
      <c r="O457" s="61" t="e">
        <f t="shared" si="52"/>
        <v>#REF!</v>
      </c>
      <c r="P457" s="20" t="s">
        <v>323</v>
      </c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24"/>
      <c r="BI457" s="14"/>
      <c r="BJ457" s="14"/>
      <c r="BK457" s="14"/>
      <c r="BL457" s="14"/>
      <c r="BN457" s="2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</row>
    <row r="458" spans="1:79" hidden="1" outlineLevel="1" x14ac:dyDescent="0.4">
      <c r="A458" s="3" t="str">
        <f t="shared" si="53"/>
        <v>modesg_out_emss_vclsckrefbem</v>
      </c>
      <c r="B458" s="8" t="s">
        <v>16</v>
      </c>
      <c r="C458" s="9" t="s">
        <v>301</v>
      </c>
      <c r="D458" s="6" t="s">
        <v>30</v>
      </c>
      <c r="E458" s="7" t="s">
        <v>322</v>
      </c>
      <c r="F458" s="6" t="s">
        <v>307</v>
      </c>
      <c r="G458" s="6" t="e">
        <f>INDEX(#REF!,MATCH(Plano_Detalhado!H458,#REF!,0),1)</f>
        <v>#REF!</v>
      </c>
      <c r="H458" s="6" t="e">
        <f>VLOOKUP(A458,#REF!,2,0)</f>
        <v>#REF!</v>
      </c>
      <c r="I458" s="67" t="e">
        <f>SUMIFS(#REF!,#REF!,Plano_Detalhado!E458,#REF!,Plano_Detalhado!F458)</f>
        <v>#REF!</v>
      </c>
      <c r="J458" s="67" t="e">
        <f t="shared" si="49"/>
        <v>#REF!</v>
      </c>
      <c r="K458" s="67" t="e">
        <f>SUMIFS(#REF!,#REF!,Plano_Detalhado!E458,#REF!,Plano_Detalhado!F458)</f>
        <v>#REF!</v>
      </c>
      <c r="L458" s="67" t="e">
        <f t="shared" si="50"/>
        <v>#REF!</v>
      </c>
      <c r="M458" s="61"/>
      <c r="N458" s="61" t="e">
        <f t="shared" si="51"/>
        <v>#REF!</v>
      </c>
      <c r="O458" s="61" t="e">
        <f t="shared" si="52"/>
        <v>#REF!</v>
      </c>
      <c r="P458" s="20" t="s">
        <v>323</v>
      </c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24"/>
      <c r="BI458" s="14"/>
      <c r="BJ458" s="14"/>
      <c r="BK458" s="14"/>
      <c r="BL458" s="14"/>
      <c r="BN458" s="2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</row>
    <row r="459" spans="1:79" hidden="1" outlineLevel="1" x14ac:dyDescent="0.4">
      <c r="A459" s="3" t="str">
        <f t="shared" si="53"/>
        <v>modesg_out_emss_vclscnsm_co2</v>
      </c>
      <c r="B459" s="8" t="s">
        <v>16</v>
      </c>
      <c r="C459" s="9" t="s">
        <v>301</v>
      </c>
      <c r="D459" s="6" t="s">
        <v>30</v>
      </c>
      <c r="E459" s="7" t="s">
        <v>322</v>
      </c>
      <c r="F459" s="6" t="s">
        <v>178</v>
      </c>
      <c r="G459" s="6" t="e">
        <f>INDEX(#REF!,MATCH(Plano_Detalhado!H459,#REF!,0),1)</f>
        <v>#REF!</v>
      </c>
      <c r="H459" s="6" t="e">
        <f>VLOOKUP(A459,#REF!,2,0)</f>
        <v>#REF!</v>
      </c>
      <c r="I459" s="67" t="e">
        <f>SUMIFS(#REF!,#REF!,Plano_Detalhado!E459,#REF!,Plano_Detalhado!F459)</f>
        <v>#REF!</v>
      </c>
      <c r="J459" s="67" t="e">
        <f t="shared" si="49"/>
        <v>#REF!</v>
      </c>
      <c r="K459" s="67" t="e">
        <f>SUMIFS(#REF!,#REF!,Plano_Detalhado!E459,#REF!,Plano_Detalhado!F459)</f>
        <v>#REF!</v>
      </c>
      <c r="L459" s="67" t="e">
        <f t="shared" si="50"/>
        <v>#REF!</v>
      </c>
      <c r="M459" s="61"/>
      <c r="N459" s="61" t="e">
        <f t="shared" si="51"/>
        <v>#REF!</v>
      </c>
      <c r="O459" s="61" t="e">
        <f t="shared" si="52"/>
        <v>#REF!</v>
      </c>
      <c r="P459" s="20" t="s">
        <v>323</v>
      </c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24"/>
      <c r="BI459" s="14"/>
      <c r="BJ459" s="14"/>
      <c r="BK459" s="14"/>
      <c r="BL459" s="14"/>
      <c r="BN459" s="2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</row>
    <row r="460" spans="1:79" hidden="1" outlineLevel="1" x14ac:dyDescent="0.4">
      <c r="A460" s="3" t="str">
        <f t="shared" si="53"/>
        <v>modesg_out_emss_vclsorigem_scp1_emss</v>
      </c>
      <c r="B460" s="8" t="s">
        <v>16</v>
      </c>
      <c r="C460" s="9" t="s">
        <v>301</v>
      </c>
      <c r="D460" s="6" t="s">
        <v>30</v>
      </c>
      <c r="E460" s="7" t="s">
        <v>322</v>
      </c>
      <c r="F460" s="6" t="s">
        <v>310</v>
      </c>
      <c r="G460" s="6" t="e">
        <f>INDEX(#REF!,MATCH(Plano_Detalhado!H460,#REF!,0),1)</f>
        <v>#REF!</v>
      </c>
      <c r="H460" s="6" t="e">
        <f>VLOOKUP(A460,#REF!,2,0)</f>
        <v>#REF!</v>
      </c>
      <c r="I460" s="67" t="e">
        <f>SUMIFS(#REF!,#REF!,Plano_Detalhado!E460,#REF!,Plano_Detalhado!F460)</f>
        <v>#REF!</v>
      </c>
      <c r="J460" s="67" t="e">
        <f t="shared" si="49"/>
        <v>#REF!</v>
      </c>
      <c r="K460" s="67" t="e">
        <f>SUMIFS(#REF!,#REF!,Plano_Detalhado!E460,#REF!,Plano_Detalhado!F460)</f>
        <v>#REF!</v>
      </c>
      <c r="L460" s="67" t="e">
        <f t="shared" si="50"/>
        <v>#REF!</v>
      </c>
      <c r="M460" s="61"/>
      <c r="N460" s="61" t="e">
        <f t="shared" si="51"/>
        <v>#REF!</v>
      </c>
      <c r="O460" s="61" t="e">
        <f t="shared" si="52"/>
        <v>#REF!</v>
      </c>
      <c r="P460" s="20" t="s">
        <v>323</v>
      </c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24"/>
      <c r="BI460" s="14"/>
      <c r="BJ460" s="14"/>
      <c r="BK460" s="14"/>
      <c r="BL460" s="14"/>
      <c r="BN460" s="2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</row>
    <row r="461" spans="1:79" hidden="1" outlineLevel="1" x14ac:dyDescent="0.4">
      <c r="A461" s="3" t="str">
        <f t="shared" si="53"/>
        <v>modesg_out_emss_vclsorigem_scp2_emss</v>
      </c>
      <c r="B461" s="8" t="s">
        <v>16</v>
      </c>
      <c r="C461" s="9" t="s">
        <v>301</v>
      </c>
      <c r="D461" s="6" t="s">
        <v>30</v>
      </c>
      <c r="E461" s="7" t="s">
        <v>322</v>
      </c>
      <c r="F461" s="6" t="s">
        <v>311</v>
      </c>
      <c r="G461" s="6" t="e">
        <f>INDEX(#REF!,MATCH(Plano_Detalhado!H461,#REF!,0),1)</f>
        <v>#REF!</v>
      </c>
      <c r="H461" s="6" t="e">
        <f>VLOOKUP(A461,#REF!,2,0)</f>
        <v>#REF!</v>
      </c>
      <c r="I461" s="67" t="e">
        <f>SUMIFS(#REF!,#REF!,Plano_Detalhado!E461,#REF!,Plano_Detalhado!F461)</f>
        <v>#REF!</v>
      </c>
      <c r="J461" s="67" t="e">
        <f t="shared" si="49"/>
        <v>#REF!</v>
      </c>
      <c r="K461" s="67" t="e">
        <f>SUMIFS(#REF!,#REF!,Plano_Detalhado!E461,#REF!,Plano_Detalhado!F461)</f>
        <v>#REF!</v>
      </c>
      <c r="L461" s="67" t="e">
        <f t="shared" si="50"/>
        <v>#REF!</v>
      </c>
      <c r="M461" s="61"/>
      <c r="N461" s="61" t="e">
        <f t="shared" si="51"/>
        <v>#REF!</v>
      </c>
      <c r="O461" s="61" t="e">
        <f t="shared" si="52"/>
        <v>#REF!</v>
      </c>
      <c r="P461" s="20" t="s">
        <v>323</v>
      </c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24"/>
      <c r="BI461" s="14"/>
      <c r="BJ461" s="14"/>
      <c r="BK461" s="14"/>
      <c r="BL461" s="14"/>
      <c r="BN461" s="2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</row>
    <row r="462" spans="1:79" hidden="1" outlineLevel="1" x14ac:dyDescent="0.4">
      <c r="A462" s="3" t="str">
        <f t="shared" si="53"/>
        <v>modesg_out_emss_vclsorigem_scp3_emss</v>
      </c>
      <c r="B462" s="8" t="s">
        <v>16</v>
      </c>
      <c r="C462" s="9" t="s">
        <v>301</v>
      </c>
      <c r="D462" s="6" t="s">
        <v>30</v>
      </c>
      <c r="E462" s="7" t="s">
        <v>322</v>
      </c>
      <c r="F462" s="6" t="s">
        <v>312</v>
      </c>
      <c r="G462" s="6" t="e">
        <f>INDEX(#REF!,MATCH(Plano_Detalhado!H462,#REF!,0),1)</f>
        <v>#REF!</v>
      </c>
      <c r="H462" s="6" t="e">
        <f>VLOOKUP(A462,#REF!,2,0)</f>
        <v>#REF!</v>
      </c>
      <c r="I462" s="67" t="e">
        <f>SUMIFS(#REF!,#REF!,Plano_Detalhado!E462,#REF!,Plano_Detalhado!F462)</f>
        <v>#REF!</v>
      </c>
      <c r="J462" s="67" t="e">
        <f t="shared" si="49"/>
        <v>#REF!</v>
      </c>
      <c r="K462" s="67" t="e">
        <f>SUMIFS(#REF!,#REF!,Plano_Detalhado!E462,#REF!,Plano_Detalhado!F462)</f>
        <v>#REF!</v>
      </c>
      <c r="L462" s="67" t="e">
        <f t="shared" si="50"/>
        <v>#REF!</v>
      </c>
      <c r="M462" s="61"/>
      <c r="N462" s="61" t="e">
        <f t="shared" si="51"/>
        <v>#REF!</v>
      </c>
      <c r="O462" s="61" t="e">
        <f t="shared" si="52"/>
        <v>#REF!</v>
      </c>
      <c r="P462" s="20" t="s">
        <v>323</v>
      </c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24"/>
      <c r="BI462" s="14"/>
      <c r="BJ462" s="14"/>
      <c r="BK462" s="14"/>
      <c r="BL462" s="14"/>
      <c r="BN462" s="2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</row>
    <row r="463" spans="1:79" hidden="1" outlineLevel="1" x14ac:dyDescent="0.4">
      <c r="A463" s="3" t="str">
        <f t="shared" si="53"/>
        <v>modesg_out_emss_vclsref_date</v>
      </c>
      <c r="B463" s="8" t="s">
        <v>16</v>
      </c>
      <c r="C463" s="9" t="s">
        <v>301</v>
      </c>
      <c r="D463" s="6" t="s">
        <v>30</v>
      </c>
      <c r="E463" s="7" t="s">
        <v>322</v>
      </c>
      <c r="F463" s="6" t="s">
        <v>198</v>
      </c>
      <c r="G463" s="6" t="e">
        <f>INDEX(#REF!,MATCH(Plano_Detalhado!H463,#REF!,0),1)</f>
        <v>#REF!</v>
      </c>
      <c r="H463" s="6" t="e">
        <f>VLOOKUP(A463,#REF!,2,0)</f>
        <v>#REF!</v>
      </c>
      <c r="I463" s="67" t="e">
        <f>SUMIFS(#REF!,#REF!,Plano_Detalhado!E463,#REF!,Plano_Detalhado!F463)</f>
        <v>#REF!</v>
      </c>
      <c r="J463" s="67" t="e">
        <f t="shared" si="49"/>
        <v>#REF!</v>
      </c>
      <c r="K463" s="67" t="e">
        <f>SUMIFS(#REF!,#REF!,Plano_Detalhado!E463,#REF!,Plano_Detalhado!F463)</f>
        <v>#REF!</v>
      </c>
      <c r="L463" s="67" t="e">
        <f t="shared" si="50"/>
        <v>#REF!</v>
      </c>
      <c r="M463" s="61"/>
      <c r="N463" s="61" t="e">
        <f t="shared" si="51"/>
        <v>#REF!</v>
      </c>
      <c r="O463" s="61" t="e">
        <f t="shared" si="52"/>
        <v>#REF!</v>
      </c>
      <c r="P463" s="20" t="s">
        <v>323</v>
      </c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24"/>
      <c r="BI463" s="14"/>
      <c r="BJ463" s="14"/>
      <c r="BK463" s="14"/>
      <c r="BL463" s="14"/>
      <c r="BN463" s="2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</row>
    <row r="464" spans="1:79" hidden="1" outlineLevel="1" x14ac:dyDescent="0.4">
      <c r="A464" s="3" t="str">
        <f t="shared" si="53"/>
        <v>modesg_out_emss_vclsscp1_emss</v>
      </c>
      <c r="B464" s="8" t="s">
        <v>16</v>
      </c>
      <c r="C464" s="9" t="s">
        <v>301</v>
      </c>
      <c r="D464" s="6" t="s">
        <v>30</v>
      </c>
      <c r="E464" s="7" t="s">
        <v>322</v>
      </c>
      <c r="F464" s="6" t="s">
        <v>276</v>
      </c>
      <c r="G464" s="6" t="e">
        <f>INDEX(#REF!,MATCH(Plano_Detalhado!H464,#REF!,0),1)</f>
        <v>#REF!</v>
      </c>
      <c r="H464" s="6" t="e">
        <f>VLOOKUP(A464,#REF!,2,0)</f>
        <v>#REF!</v>
      </c>
      <c r="I464" s="67" t="e">
        <f>SUMIFS(#REF!,#REF!,Plano_Detalhado!E464,#REF!,Plano_Detalhado!F464)</f>
        <v>#REF!</v>
      </c>
      <c r="J464" s="67" t="e">
        <f t="shared" si="49"/>
        <v>#REF!</v>
      </c>
      <c r="K464" s="67" t="e">
        <f>SUMIFS(#REF!,#REF!,Plano_Detalhado!E464,#REF!,Plano_Detalhado!F464)</f>
        <v>#REF!</v>
      </c>
      <c r="L464" s="67" t="e">
        <f t="shared" si="50"/>
        <v>#REF!</v>
      </c>
      <c r="M464" s="61"/>
      <c r="N464" s="61" t="e">
        <f t="shared" si="51"/>
        <v>#REF!</v>
      </c>
      <c r="O464" s="61" t="e">
        <f t="shared" si="52"/>
        <v>#REF!</v>
      </c>
      <c r="P464" s="20" t="s">
        <v>323</v>
      </c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24"/>
      <c r="BI464" s="14"/>
      <c r="BJ464" s="14"/>
      <c r="BK464" s="14"/>
      <c r="BL464" s="14"/>
      <c r="BN464" s="2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</row>
    <row r="465" spans="1:79" hidden="1" outlineLevel="1" x14ac:dyDescent="0.4">
      <c r="A465" s="3" t="str">
        <f t="shared" si="53"/>
        <v>modesg_out_emss_vclsscp2_emss</v>
      </c>
      <c r="B465" s="8" t="s">
        <v>16</v>
      </c>
      <c r="C465" s="9" t="s">
        <v>301</v>
      </c>
      <c r="D465" s="6" t="s">
        <v>30</v>
      </c>
      <c r="E465" s="7" t="s">
        <v>322</v>
      </c>
      <c r="F465" s="6" t="s">
        <v>277</v>
      </c>
      <c r="G465" s="6" t="e">
        <f>INDEX(#REF!,MATCH(Plano_Detalhado!H465,#REF!,0),1)</f>
        <v>#REF!</v>
      </c>
      <c r="H465" s="6" t="e">
        <f>VLOOKUP(A465,#REF!,2,0)</f>
        <v>#REF!</v>
      </c>
      <c r="I465" s="67" t="e">
        <f>SUMIFS(#REF!,#REF!,Plano_Detalhado!E465,#REF!,Plano_Detalhado!F465)</f>
        <v>#REF!</v>
      </c>
      <c r="J465" s="67" t="e">
        <f t="shared" si="49"/>
        <v>#REF!</v>
      </c>
      <c r="K465" s="67" t="e">
        <f>SUMIFS(#REF!,#REF!,Plano_Detalhado!E465,#REF!,Plano_Detalhado!F465)</f>
        <v>#REF!</v>
      </c>
      <c r="L465" s="67" t="e">
        <f t="shared" si="50"/>
        <v>#REF!</v>
      </c>
      <c r="M465" s="61"/>
      <c r="N465" s="61" t="e">
        <f t="shared" si="51"/>
        <v>#REF!</v>
      </c>
      <c r="O465" s="61" t="e">
        <f t="shared" si="52"/>
        <v>#REF!</v>
      </c>
      <c r="P465" s="20" t="s">
        <v>323</v>
      </c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24"/>
      <c r="BI465" s="14"/>
      <c r="BJ465" s="14"/>
      <c r="BK465" s="14"/>
      <c r="BL465" s="14"/>
      <c r="BN465" s="2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</row>
    <row r="466" spans="1:79" hidden="1" outlineLevel="1" x14ac:dyDescent="0.4">
      <c r="A466" s="3" t="str">
        <f t="shared" si="53"/>
        <v>modesg_out_emss_vclsscp3_emss</v>
      </c>
      <c r="B466" s="8" t="s">
        <v>16</v>
      </c>
      <c r="C466" s="9" t="s">
        <v>301</v>
      </c>
      <c r="D466" s="6" t="s">
        <v>30</v>
      </c>
      <c r="E466" s="7" t="s">
        <v>322</v>
      </c>
      <c r="F466" s="6" t="s">
        <v>278</v>
      </c>
      <c r="G466" s="6" t="e">
        <f>INDEX(#REF!,MATCH(Plano_Detalhado!H466,#REF!,0),1)</f>
        <v>#REF!</v>
      </c>
      <c r="H466" s="6" t="e">
        <f>VLOOKUP(A466,#REF!,2,0)</f>
        <v>#REF!</v>
      </c>
      <c r="I466" s="67" t="e">
        <f>SUMIFS(#REF!,#REF!,Plano_Detalhado!E466,#REF!,Plano_Detalhado!F466)</f>
        <v>#REF!</v>
      </c>
      <c r="J466" s="67" t="e">
        <f t="shared" ref="J466:J484" si="54">I466/8</f>
        <v>#REF!</v>
      </c>
      <c r="K466" s="67" t="e">
        <f>SUMIFS(#REF!,#REF!,Plano_Detalhado!E466,#REF!,Plano_Detalhado!F466)</f>
        <v>#REF!</v>
      </c>
      <c r="L466" s="67" t="e">
        <f t="shared" ref="L466:L484" si="55">K466/8</f>
        <v>#REF!</v>
      </c>
      <c r="M466" s="61"/>
      <c r="N466" s="61" t="e">
        <f t="shared" ref="N466:N485" si="56">L466/J466</f>
        <v>#REF!</v>
      </c>
      <c r="O466" s="61" t="e">
        <f t="shared" si="52"/>
        <v>#REF!</v>
      </c>
      <c r="P466" s="20" t="s">
        <v>323</v>
      </c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24"/>
      <c r="BI466" s="14"/>
      <c r="BJ466" s="14"/>
      <c r="BK466" s="14"/>
      <c r="BL466" s="14"/>
      <c r="BN466" s="2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</row>
    <row r="467" spans="1:79" hidden="1" outlineLevel="1" x14ac:dyDescent="0.4">
      <c r="A467" s="3" t="str">
        <f t="shared" si="53"/>
        <v>modesg_out_emss_vclsunidade_funcional_scp1_emss</v>
      </c>
      <c r="B467" s="8" t="s">
        <v>16</v>
      </c>
      <c r="C467" s="9" t="s">
        <v>301</v>
      </c>
      <c r="D467" s="6" t="s">
        <v>30</v>
      </c>
      <c r="E467" s="7" t="s">
        <v>322</v>
      </c>
      <c r="F467" s="6" t="s">
        <v>313</v>
      </c>
      <c r="G467" s="6" t="e">
        <f>INDEX(#REF!,MATCH(Plano_Detalhado!H467,#REF!,0),1)</f>
        <v>#REF!</v>
      </c>
      <c r="H467" s="6" t="e">
        <f>VLOOKUP(A467,#REF!,2,0)</f>
        <v>#REF!</v>
      </c>
      <c r="I467" s="67" t="e">
        <f>SUMIFS(#REF!,#REF!,Plano_Detalhado!E467,#REF!,Plano_Detalhado!F467)</f>
        <v>#REF!</v>
      </c>
      <c r="J467" s="67" t="e">
        <f t="shared" si="54"/>
        <v>#REF!</v>
      </c>
      <c r="K467" s="67" t="e">
        <f>SUMIFS(#REF!,#REF!,Plano_Detalhado!E467,#REF!,Plano_Detalhado!F467)</f>
        <v>#REF!</v>
      </c>
      <c r="L467" s="67" t="e">
        <f t="shared" si="55"/>
        <v>#REF!</v>
      </c>
      <c r="M467" s="61"/>
      <c r="N467" s="61" t="e">
        <f t="shared" si="56"/>
        <v>#REF!</v>
      </c>
      <c r="O467" s="61" t="e">
        <f t="shared" si="52"/>
        <v>#REF!</v>
      </c>
      <c r="P467" s="20" t="s">
        <v>323</v>
      </c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24"/>
      <c r="BI467" s="14"/>
      <c r="BJ467" s="14"/>
      <c r="BK467" s="14"/>
      <c r="BL467" s="14"/>
      <c r="BN467" s="2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</row>
    <row r="468" spans="1:79" hidden="1" outlineLevel="1" x14ac:dyDescent="0.4">
      <c r="A468" s="3" t="str">
        <f t="shared" si="53"/>
        <v>modesg_out_emss_vclsunidade_funcional_scp2_emss</v>
      </c>
      <c r="B468" s="8" t="s">
        <v>16</v>
      </c>
      <c r="C468" s="9" t="s">
        <v>301</v>
      </c>
      <c r="D468" s="6" t="s">
        <v>30</v>
      </c>
      <c r="E468" s="7" t="s">
        <v>322</v>
      </c>
      <c r="F468" s="6" t="s">
        <v>314</v>
      </c>
      <c r="G468" s="6" t="e">
        <f>INDEX(#REF!,MATCH(Plano_Detalhado!H468,#REF!,0),1)</f>
        <v>#REF!</v>
      </c>
      <c r="H468" s="6" t="e">
        <f>VLOOKUP(A468,#REF!,2,0)</f>
        <v>#REF!</v>
      </c>
      <c r="I468" s="67" t="e">
        <f>SUMIFS(#REF!,#REF!,Plano_Detalhado!E468,#REF!,Plano_Detalhado!F468)</f>
        <v>#REF!</v>
      </c>
      <c r="J468" s="67" t="e">
        <f t="shared" si="54"/>
        <v>#REF!</v>
      </c>
      <c r="K468" s="67" t="e">
        <f>SUMIFS(#REF!,#REF!,Plano_Detalhado!E468,#REF!,Plano_Detalhado!F468)</f>
        <v>#REF!</v>
      </c>
      <c r="L468" s="67" t="e">
        <f t="shared" si="55"/>
        <v>#REF!</v>
      </c>
      <c r="M468" s="61"/>
      <c r="N468" s="61" t="e">
        <f t="shared" si="56"/>
        <v>#REF!</v>
      </c>
      <c r="O468" s="61" t="e">
        <f t="shared" si="52"/>
        <v>#REF!</v>
      </c>
      <c r="P468" s="20" t="s">
        <v>323</v>
      </c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24"/>
      <c r="BI468" s="14"/>
      <c r="BJ468" s="14"/>
      <c r="BK468" s="14"/>
      <c r="BL468" s="14"/>
      <c r="BN468" s="2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</row>
    <row r="469" spans="1:79" hidden="1" outlineLevel="1" x14ac:dyDescent="0.4">
      <c r="A469" s="3" t="str">
        <f t="shared" si="53"/>
        <v>modesg_out_emss_vclsunidade_funcional_scp3_emss</v>
      </c>
      <c r="B469" s="8" t="s">
        <v>16</v>
      </c>
      <c r="C469" s="9" t="s">
        <v>301</v>
      </c>
      <c r="D469" s="6" t="s">
        <v>30</v>
      </c>
      <c r="E469" s="7" t="s">
        <v>322</v>
      </c>
      <c r="F469" s="6" t="s">
        <v>315</v>
      </c>
      <c r="G469" s="6" t="e">
        <f>INDEX(#REF!,MATCH(Plano_Detalhado!H469,#REF!,0),1)</f>
        <v>#REF!</v>
      </c>
      <c r="H469" s="6" t="e">
        <f>VLOOKUP(A469,#REF!,2,0)</f>
        <v>#REF!</v>
      </c>
      <c r="I469" s="67" t="e">
        <f>SUMIFS(#REF!,#REF!,Plano_Detalhado!E469,#REF!,Plano_Detalhado!F469)</f>
        <v>#REF!</v>
      </c>
      <c r="J469" s="67" t="e">
        <f t="shared" si="54"/>
        <v>#REF!</v>
      </c>
      <c r="K469" s="67" t="e">
        <f>SUMIFS(#REF!,#REF!,Plano_Detalhado!E469,#REF!,Plano_Detalhado!F469)</f>
        <v>#REF!</v>
      </c>
      <c r="L469" s="67" t="e">
        <f t="shared" si="55"/>
        <v>#REF!</v>
      </c>
      <c r="M469" s="61"/>
      <c r="N469" s="61" t="e">
        <f t="shared" si="56"/>
        <v>#REF!</v>
      </c>
      <c r="O469" s="61" t="e">
        <f t="shared" si="52"/>
        <v>#REF!</v>
      </c>
      <c r="P469" s="20" t="s">
        <v>323</v>
      </c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24"/>
      <c r="BI469" s="14"/>
      <c r="BJ469" s="14"/>
      <c r="BK469" s="14"/>
      <c r="BL469" s="14"/>
      <c r="BN469" s="2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</row>
    <row r="470" spans="1:79" hidden="1" outlineLevel="1" x14ac:dyDescent="0.4">
      <c r="A470" s="3" t="str">
        <f t="shared" si="53"/>
        <v>modesg_out_sfcs_taxon_europeian.a.</v>
      </c>
      <c r="B470" s="8" t="s">
        <v>16</v>
      </c>
      <c r="C470" s="9" t="s">
        <v>301</v>
      </c>
      <c r="D470" s="6" t="s">
        <v>26</v>
      </c>
      <c r="E470" s="7" t="s">
        <v>324</v>
      </c>
      <c r="F470" s="6" t="s">
        <v>28</v>
      </c>
      <c r="G470" s="6" t="e">
        <f>INDEX(#REF!,MATCH(Plano_Detalhado!H470,#REF!,0),1)</f>
        <v>#REF!</v>
      </c>
      <c r="H470" s="6" t="e">
        <f>VLOOKUP(A470,#REF!,2,0)</f>
        <v>#REF!</v>
      </c>
      <c r="I470" s="67" t="e">
        <f>SUMIFS(#REF!,#REF!,Plano_Detalhado!E470,#REF!,Plano_Detalhado!F470)</f>
        <v>#REF!</v>
      </c>
      <c r="J470" s="67" t="e">
        <f t="shared" si="54"/>
        <v>#REF!</v>
      </c>
      <c r="K470" s="67" t="e">
        <f>SUMIFS(#REF!,#REF!,Plano_Detalhado!E470,#REF!,Plano_Detalhado!F470)</f>
        <v>#REF!</v>
      </c>
      <c r="L470" s="67" t="e">
        <f t="shared" si="55"/>
        <v>#REF!</v>
      </c>
      <c r="M470" s="61"/>
      <c r="N470" s="61" t="e">
        <f t="shared" si="56"/>
        <v>#REF!</v>
      </c>
      <c r="O470" s="61" t="e">
        <f t="shared" si="52"/>
        <v>#REF!</v>
      </c>
      <c r="P470" s="20" t="s">
        <v>325</v>
      </c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24"/>
      <c r="BI470" s="14"/>
      <c r="BJ470" s="14"/>
      <c r="BK470" s="14"/>
      <c r="BL470" s="14"/>
      <c r="BN470" s="2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</row>
    <row r="471" spans="1:79" hidden="1" outlineLevel="1" x14ac:dyDescent="0.4">
      <c r="A471" s="3" t="str">
        <f t="shared" si="53"/>
        <v>modesg_out_sfcs_taxon_europeiacbalcao</v>
      </c>
      <c r="B471" s="8" t="s">
        <v>16</v>
      </c>
      <c r="C471" s="9" t="s">
        <v>301</v>
      </c>
      <c r="D471" s="6" t="s">
        <v>30</v>
      </c>
      <c r="E471" s="7" t="s">
        <v>324</v>
      </c>
      <c r="F471" s="6" t="s">
        <v>173</v>
      </c>
      <c r="G471" s="6" t="e">
        <f>INDEX(#REF!,MATCH(Plano_Detalhado!H471,#REF!,0),1)</f>
        <v>#REF!</v>
      </c>
      <c r="H471" s="6" t="e">
        <f>VLOOKUP(A471,#REF!,2,0)</f>
        <v>#REF!</v>
      </c>
      <c r="I471" s="67" t="e">
        <f>SUMIFS(#REF!,#REF!,Plano_Detalhado!E471,#REF!,Plano_Detalhado!F471)</f>
        <v>#REF!</v>
      </c>
      <c r="J471" s="67" t="e">
        <f t="shared" si="54"/>
        <v>#REF!</v>
      </c>
      <c r="K471" s="67" t="e">
        <f>SUMIFS(#REF!,#REF!,Plano_Detalhado!E471,#REF!,Plano_Detalhado!F471)</f>
        <v>#REF!</v>
      </c>
      <c r="L471" s="67" t="e">
        <f t="shared" si="55"/>
        <v>#REF!</v>
      </c>
      <c r="M471" s="61"/>
      <c r="N471" s="61" t="e">
        <f t="shared" si="56"/>
        <v>#REF!</v>
      </c>
      <c r="O471" s="61" t="e">
        <f t="shared" si="52"/>
        <v>#REF!</v>
      </c>
      <c r="P471" s="20" t="s">
        <v>325</v>
      </c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24"/>
      <c r="BI471" s="14"/>
      <c r="BJ471" s="14"/>
      <c r="BK471" s="14"/>
      <c r="BL471" s="14"/>
      <c r="BN471" s="2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</row>
    <row r="472" spans="1:79" hidden="1" outlineLevel="1" x14ac:dyDescent="0.4">
      <c r="A472" s="3" t="str">
        <f t="shared" si="53"/>
        <v>modesg_out_sfcs_taxon_europeiacempresa</v>
      </c>
      <c r="B472" s="8" t="s">
        <v>16</v>
      </c>
      <c r="C472" s="9" t="s">
        <v>301</v>
      </c>
      <c r="D472" s="6" t="s">
        <v>30</v>
      </c>
      <c r="E472" s="7" t="s">
        <v>324</v>
      </c>
      <c r="F472" s="6" t="s">
        <v>174</v>
      </c>
      <c r="G472" s="6" t="e">
        <f>INDEX(#REF!,MATCH(Plano_Detalhado!H472,#REF!,0),1)</f>
        <v>#REF!</v>
      </c>
      <c r="H472" s="6" t="e">
        <f>VLOOKUP(A472,#REF!,2,0)</f>
        <v>#REF!</v>
      </c>
      <c r="I472" s="67" t="e">
        <f>SUMIFS(#REF!,#REF!,Plano_Detalhado!E472,#REF!,Plano_Detalhado!F472)</f>
        <v>#REF!</v>
      </c>
      <c r="J472" s="67" t="e">
        <f t="shared" si="54"/>
        <v>#REF!</v>
      </c>
      <c r="K472" s="67" t="e">
        <f>SUMIFS(#REF!,#REF!,Plano_Detalhado!E472,#REF!,Plano_Detalhado!F472)</f>
        <v>#REF!</v>
      </c>
      <c r="L472" s="67" t="e">
        <f t="shared" si="55"/>
        <v>#REF!</v>
      </c>
      <c r="M472" s="61"/>
      <c r="N472" s="61" t="e">
        <f t="shared" si="56"/>
        <v>#REF!</v>
      </c>
      <c r="O472" s="61" t="e">
        <f t="shared" si="52"/>
        <v>#REF!</v>
      </c>
      <c r="P472" s="20" t="s">
        <v>325</v>
      </c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24"/>
      <c r="BI472" s="14"/>
      <c r="BJ472" s="14"/>
      <c r="BK472" s="14"/>
      <c r="BL472" s="14"/>
      <c r="BN472" s="2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</row>
    <row r="473" spans="1:79" hidden="1" outlineLevel="1" x14ac:dyDescent="0.4">
      <c r="A473" s="3" t="str">
        <f t="shared" si="53"/>
        <v>modesg_out_sfcs_taxon_europeiacnumecta</v>
      </c>
      <c r="B473" s="8" t="s">
        <v>16</v>
      </c>
      <c r="C473" s="9" t="s">
        <v>301</v>
      </c>
      <c r="D473" s="6" t="s">
        <v>30</v>
      </c>
      <c r="E473" s="7" t="s">
        <v>324</v>
      </c>
      <c r="F473" s="6" t="s">
        <v>179</v>
      </c>
      <c r="G473" s="6" t="e">
        <f>INDEX(#REF!,MATCH(Plano_Detalhado!H473,#REF!,0),1)</f>
        <v>#REF!</v>
      </c>
      <c r="H473" s="6" t="e">
        <f>VLOOKUP(A473,#REF!,2,0)</f>
        <v>#REF!</v>
      </c>
      <c r="I473" s="67" t="e">
        <f>SUMIFS(#REF!,#REF!,Plano_Detalhado!E473,#REF!,Plano_Detalhado!F473)</f>
        <v>#REF!</v>
      </c>
      <c r="J473" s="67" t="e">
        <f t="shared" si="54"/>
        <v>#REF!</v>
      </c>
      <c r="K473" s="67" t="e">
        <f>SUMIFS(#REF!,#REF!,Plano_Detalhado!E473,#REF!,Plano_Detalhado!F473)</f>
        <v>#REF!</v>
      </c>
      <c r="L473" s="67" t="e">
        <f t="shared" si="55"/>
        <v>#REF!</v>
      </c>
      <c r="M473" s="61"/>
      <c r="N473" s="61" t="e">
        <f t="shared" si="56"/>
        <v>#REF!</v>
      </c>
      <c r="O473" s="61" t="e">
        <f t="shared" si="52"/>
        <v>#REF!</v>
      </c>
      <c r="P473" s="20" t="s">
        <v>325</v>
      </c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24"/>
      <c r="BI473" s="14"/>
      <c r="BJ473" s="14"/>
      <c r="BK473" s="14"/>
      <c r="BL473" s="14"/>
      <c r="BN473" s="2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</row>
    <row r="474" spans="1:79" hidden="1" outlineLevel="1" x14ac:dyDescent="0.4">
      <c r="A474" s="3" t="str">
        <f t="shared" si="53"/>
        <v>modesg_out_sfcs_taxon_europeiacod_regra</v>
      </c>
      <c r="B474" s="8" t="s">
        <v>16</v>
      </c>
      <c r="C474" s="9" t="s">
        <v>301</v>
      </c>
      <c r="D474" s="6" t="s">
        <v>30</v>
      </c>
      <c r="E474" s="7" t="s">
        <v>324</v>
      </c>
      <c r="F474" s="6" t="s">
        <v>181</v>
      </c>
      <c r="G474" s="6" t="e">
        <f>INDEX(#REF!,MATCH(Plano_Detalhado!H474,#REF!,0),1)</f>
        <v>#REF!</v>
      </c>
      <c r="H474" s="6" t="e">
        <f>VLOOKUP(A474,#REF!,2,0)</f>
        <v>#REF!</v>
      </c>
      <c r="I474" s="67" t="e">
        <f>SUMIFS(#REF!,#REF!,Plano_Detalhado!E474,#REF!,Plano_Detalhado!F474)</f>
        <v>#REF!</v>
      </c>
      <c r="J474" s="67" t="e">
        <f t="shared" si="54"/>
        <v>#REF!</v>
      </c>
      <c r="K474" s="67" t="e">
        <f>SUMIFS(#REF!,#REF!,Plano_Detalhado!E474,#REF!,Plano_Detalhado!F474)</f>
        <v>#REF!</v>
      </c>
      <c r="L474" s="67" t="e">
        <f t="shared" si="55"/>
        <v>#REF!</v>
      </c>
      <c r="M474" s="61"/>
      <c r="N474" s="61" t="e">
        <f t="shared" si="56"/>
        <v>#REF!</v>
      </c>
      <c r="O474" s="61" t="e">
        <f t="shared" si="52"/>
        <v>#REF!</v>
      </c>
      <c r="P474" s="20" t="s">
        <v>325</v>
      </c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24"/>
      <c r="BI474" s="14"/>
      <c r="BJ474" s="14"/>
      <c r="BK474" s="14"/>
      <c r="BL474" s="14"/>
      <c r="BN474" s="2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</row>
    <row r="475" spans="1:79" hidden="1" outlineLevel="1" x14ac:dyDescent="0.4">
      <c r="A475" s="3" t="str">
        <f t="shared" si="53"/>
        <v>modesg_out_sfcs_taxon_europeiaordem</v>
      </c>
      <c r="B475" s="8" t="s">
        <v>16</v>
      </c>
      <c r="C475" s="9" t="s">
        <v>301</v>
      </c>
      <c r="D475" s="6" t="s">
        <v>30</v>
      </c>
      <c r="E475" s="7" t="s">
        <v>324</v>
      </c>
      <c r="F475" s="6" t="s">
        <v>201</v>
      </c>
      <c r="G475" s="6" t="e">
        <f>INDEX(#REF!,MATCH(Plano_Detalhado!H475,#REF!,0),1)</f>
        <v>#REF!</v>
      </c>
      <c r="H475" s="6" t="e">
        <f>VLOOKUP(A475,#REF!,2,0)</f>
        <v>#REF!</v>
      </c>
      <c r="I475" s="67" t="e">
        <f>SUMIFS(#REF!,#REF!,Plano_Detalhado!E475,#REF!,Plano_Detalhado!F475)</f>
        <v>#REF!</v>
      </c>
      <c r="J475" s="67" t="e">
        <f t="shared" si="54"/>
        <v>#REF!</v>
      </c>
      <c r="K475" s="67" t="e">
        <f>SUMIFS(#REF!,#REF!,Plano_Detalhado!E475,#REF!,Plano_Detalhado!F475)</f>
        <v>#REF!</v>
      </c>
      <c r="L475" s="67" t="e">
        <f t="shared" si="55"/>
        <v>#REF!</v>
      </c>
      <c r="M475" s="61"/>
      <c r="N475" s="61" t="e">
        <f t="shared" si="56"/>
        <v>#REF!</v>
      </c>
      <c r="O475" s="61" t="e">
        <f t="shared" si="52"/>
        <v>#REF!</v>
      </c>
      <c r="P475" s="20" t="s">
        <v>325</v>
      </c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24"/>
      <c r="BI475" s="14"/>
      <c r="BJ475" s="14"/>
      <c r="BK475" s="14"/>
      <c r="BL475" s="14"/>
      <c r="BN475" s="2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</row>
    <row r="476" spans="1:79" hidden="1" outlineLevel="1" x14ac:dyDescent="0.4">
      <c r="A476" s="3" t="str">
        <f t="shared" si="53"/>
        <v>modesg_out_sfcs_taxon_europeiamontante_pndrc</v>
      </c>
      <c r="B476" s="8" t="s">
        <v>16</v>
      </c>
      <c r="C476" s="9" t="s">
        <v>301</v>
      </c>
      <c r="D476" s="6" t="s">
        <v>30</v>
      </c>
      <c r="E476" s="7" t="s">
        <v>324</v>
      </c>
      <c r="F476" s="6" t="s">
        <v>192</v>
      </c>
      <c r="G476" s="6" t="e">
        <f>INDEX(#REF!,MATCH(Plano_Detalhado!H476,#REF!,0),1)</f>
        <v>#REF!</v>
      </c>
      <c r="H476" s="6" t="e">
        <f>VLOOKUP(A476,#REF!,2,0)</f>
        <v>#REF!</v>
      </c>
      <c r="I476" s="67" t="e">
        <f>SUMIFS(#REF!,#REF!,Plano_Detalhado!E476,#REF!,Plano_Detalhado!F476)</f>
        <v>#REF!</v>
      </c>
      <c r="J476" s="67" t="e">
        <f t="shared" si="54"/>
        <v>#REF!</v>
      </c>
      <c r="K476" s="67" t="e">
        <f>SUMIFS(#REF!,#REF!,Plano_Detalhado!E476,#REF!,Plano_Detalhado!F476)</f>
        <v>#REF!</v>
      </c>
      <c r="L476" s="67" t="e">
        <f t="shared" si="55"/>
        <v>#REF!</v>
      </c>
      <c r="M476" s="61"/>
      <c r="N476" s="61" t="e">
        <f t="shared" si="56"/>
        <v>#REF!</v>
      </c>
      <c r="O476" s="61" t="e">
        <f t="shared" si="52"/>
        <v>#REF!</v>
      </c>
      <c r="P476" s="20" t="s">
        <v>325</v>
      </c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24"/>
      <c r="BI476" s="14"/>
      <c r="BJ476" s="14"/>
      <c r="BK476" s="14"/>
      <c r="BL476" s="14"/>
      <c r="BN476" s="2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</row>
    <row r="477" spans="1:79" hidden="1" outlineLevel="1" x14ac:dyDescent="0.4">
      <c r="A477" s="3" t="str">
        <f t="shared" si="53"/>
        <v>modesg_out_sfcs_taxon_europeianome_ctgr_sfcs</v>
      </c>
      <c r="B477" s="8" t="s">
        <v>16</v>
      </c>
      <c r="C477" s="9" t="s">
        <v>301</v>
      </c>
      <c r="D477" s="6" t="s">
        <v>30</v>
      </c>
      <c r="E477" s="7" t="s">
        <v>324</v>
      </c>
      <c r="F477" s="6" t="s">
        <v>193</v>
      </c>
      <c r="G477" s="6" t="e">
        <f>INDEX(#REF!,MATCH(Plano_Detalhado!H477,#REF!,0),1)</f>
        <v>#REF!</v>
      </c>
      <c r="H477" s="6" t="e">
        <f>VLOOKUP(A477,#REF!,2,0)</f>
        <v>#REF!</v>
      </c>
      <c r="I477" s="67" t="e">
        <f>SUMIFS(#REF!,#REF!,Plano_Detalhado!E477,#REF!,Plano_Detalhado!F477)</f>
        <v>#REF!</v>
      </c>
      <c r="J477" s="67" t="e">
        <f t="shared" si="54"/>
        <v>#REF!</v>
      </c>
      <c r="K477" s="67" t="e">
        <f>SUMIFS(#REF!,#REF!,Plano_Detalhado!E477,#REF!,Plano_Detalhado!F477)</f>
        <v>#REF!</v>
      </c>
      <c r="L477" s="67" t="e">
        <f t="shared" si="55"/>
        <v>#REF!</v>
      </c>
      <c r="M477" s="61"/>
      <c r="N477" s="61" t="e">
        <f t="shared" si="56"/>
        <v>#REF!</v>
      </c>
      <c r="O477" s="61" t="e">
        <f t="shared" si="52"/>
        <v>#REF!</v>
      </c>
      <c r="P477" s="20" t="s">
        <v>325</v>
      </c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24"/>
      <c r="BI477" s="14"/>
      <c r="BJ477" s="14"/>
      <c r="BK477" s="14"/>
      <c r="BL477" s="14"/>
      <c r="BN477" s="2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</row>
    <row r="478" spans="1:79" hidden="1" outlineLevel="1" x14ac:dyDescent="0.4">
      <c r="A478" s="3" t="str">
        <f t="shared" si="53"/>
        <v>modesg_out_sfcs_taxon_europeianome_general_specific_purpose</v>
      </c>
      <c r="B478" s="8" t="s">
        <v>16</v>
      </c>
      <c r="C478" s="9" t="s">
        <v>301</v>
      </c>
      <c r="D478" s="6" t="s">
        <v>30</v>
      </c>
      <c r="E478" s="7" t="s">
        <v>324</v>
      </c>
      <c r="F478" s="6" t="s">
        <v>194</v>
      </c>
      <c r="G478" s="6" t="e">
        <f>INDEX(#REF!,MATCH(Plano_Detalhado!H478,#REF!,0),1)</f>
        <v>#REF!</v>
      </c>
      <c r="H478" s="6" t="e">
        <f>VLOOKUP(A478,#REF!,2,0)</f>
        <v>#REF!</v>
      </c>
      <c r="I478" s="67" t="e">
        <f>SUMIFS(#REF!,#REF!,Plano_Detalhado!E478,#REF!,Plano_Detalhado!F478)</f>
        <v>#REF!</v>
      </c>
      <c r="J478" s="67" t="e">
        <f t="shared" si="54"/>
        <v>#REF!</v>
      </c>
      <c r="K478" s="67" t="e">
        <f>SUMIFS(#REF!,#REF!,Plano_Detalhado!E478,#REF!,Plano_Detalhado!F478)</f>
        <v>#REF!</v>
      </c>
      <c r="L478" s="67" t="e">
        <f t="shared" si="55"/>
        <v>#REF!</v>
      </c>
      <c r="M478" s="61"/>
      <c r="N478" s="61" t="e">
        <f t="shared" si="56"/>
        <v>#REF!</v>
      </c>
      <c r="O478" s="61" t="e">
        <f t="shared" si="52"/>
        <v>#REF!</v>
      </c>
      <c r="P478" s="20" t="s">
        <v>325</v>
      </c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24"/>
      <c r="BI478" s="14"/>
      <c r="BJ478" s="14"/>
      <c r="BK478" s="14"/>
      <c r="BL478" s="14"/>
      <c r="BN478" s="2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</row>
    <row r="479" spans="1:79" hidden="1" outlineLevel="1" x14ac:dyDescent="0.4">
      <c r="A479" s="3" t="str">
        <f t="shared" si="53"/>
        <v>modesg_out_sfcs_taxon_europeianome_purpose_esg</v>
      </c>
      <c r="B479" s="8" t="s">
        <v>16</v>
      </c>
      <c r="C479" s="9" t="s">
        <v>301</v>
      </c>
      <c r="D479" s="6" t="s">
        <v>30</v>
      </c>
      <c r="E479" s="7" t="s">
        <v>324</v>
      </c>
      <c r="F479" s="6" t="s">
        <v>195</v>
      </c>
      <c r="G479" s="6" t="e">
        <f>INDEX(#REF!,MATCH(Plano_Detalhado!H479,#REF!,0),1)</f>
        <v>#REF!</v>
      </c>
      <c r="H479" s="6" t="e">
        <f>VLOOKUP(A479,#REF!,2,0)</f>
        <v>#REF!</v>
      </c>
      <c r="I479" s="67" t="e">
        <f>SUMIFS(#REF!,#REF!,Plano_Detalhado!E479,#REF!,Plano_Detalhado!F479)</f>
        <v>#REF!</v>
      </c>
      <c r="J479" s="67" t="e">
        <f t="shared" si="54"/>
        <v>#REF!</v>
      </c>
      <c r="K479" s="67" t="e">
        <f>SUMIFS(#REF!,#REF!,Plano_Detalhado!E479,#REF!,Plano_Detalhado!F479)</f>
        <v>#REF!</v>
      </c>
      <c r="L479" s="67" t="e">
        <f t="shared" si="55"/>
        <v>#REF!</v>
      </c>
      <c r="M479" s="61"/>
      <c r="N479" s="61" t="e">
        <f t="shared" si="56"/>
        <v>#REF!</v>
      </c>
      <c r="O479" s="61" t="e">
        <f t="shared" si="52"/>
        <v>#REF!</v>
      </c>
      <c r="P479" s="20" t="s">
        <v>325</v>
      </c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24"/>
      <c r="BI479" s="14"/>
      <c r="BJ479" s="14"/>
      <c r="BK479" s="14"/>
      <c r="BL479" s="14"/>
      <c r="BN479" s="2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</row>
    <row r="480" spans="1:79" hidden="1" outlineLevel="1" x14ac:dyDescent="0.4">
      <c r="A480" s="3" t="str">
        <f t="shared" si="53"/>
        <v>modesg_out_sfcs_taxon_europeianome_specific_eligible</v>
      </c>
      <c r="B480" s="8" t="s">
        <v>16</v>
      </c>
      <c r="C480" s="9" t="s">
        <v>301</v>
      </c>
      <c r="D480" s="6" t="s">
        <v>30</v>
      </c>
      <c r="E480" s="7" t="s">
        <v>324</v>
      </c>
      <c r="F480" s="6" t="s">
        <v>196</v>
      </c>
      <c r="G480" s="6" t="e">
        <f>INDEX(#REF!,MATCH(Plano_Detalhado!H480,#REF!,0),1)</f>
        <v>#REF!</v>
      </c>
      <c r="H480" s="6" t="e">
        <f>VLOOKUP(A480,#REF!,2,0)</f>
        <v>#REF!</v>
      </c>
      <c r="I480" s="67" t="e">
        <f>SUMIFS(#REF!,#REF!,Plano_Detalhado!E480,#REF!,Plano_Detalhado!F480)</f>
        <v>#REF!</v>
      </c>
      <c r="J480" s="67" t="e">
        <f t="shared" si="54"/>
        <v>#REF!</v>
      </c>
      <c r="K480" s="67" t="e">
        <f>SUMIFS(#REF!,#REF!,Plano_Detalhado!E480,#REF!,Plano_Detalhado!F480)</f>
        <v>#REF!</v>
      </c>
      <c r="L480" s="67" t="e">
        <f t="shared" si="55"/>
        <v>#REF!</v>
      </c>
      <c r="M480" s="61"/>
      <c r="N480" s="61" t="e">
        <f t="shared" si="56"/>
        <v>#REF!</v>
      </c>
      <c r="O480" s="61" t="e">
        <f t="shared" si="52"/>
        <v>#REF!</v>
      </c>
      <c r="P480" s="20" t="s">
        <v>325</v>
      </c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24"/>
      <c r="BI480" s="14"/>
      <c r="BJ480" s="14"/>
      <c r="BK480" s="14"/>
      <c r="BL480" s="14"/>
      <c r="BN480" s="2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</row>
    <row r="481" spans="1:79" hidden="1" outlineLevel="1" x14ac:dyDescent="0.4">
      <c r="A481" s="3" t="str">
        <f t="shared" si="53"/>
        <v>modesg_out_sfcs_taxon_europeianome_specific_sustainable</v>
      </c>
      <c r="B481" s="8" t="s">
        <v>16</v>
      </c>
      <c r="C481" s="9" t="s">
        <v>301</v>
      </c>
      <c r="D481" s="6" t="s">
        <v>30</v>
      </c>
      <c r="E481" s="7" t="s">
        <v>324</v>
      </c>
      <c r="F481" s="6" t="s">
        <v>197</v>
      </c>
      <c r="G481" s="6" t="e">
        <f>INDEX(#REF!,MATCH(Plano_Detalhado!H481,#REF!,0),1)</f>
        <v>#REF!</v>
      </c>
      <c r="H481" s="6" t="e">
        <f>VLOOKUP(A481,#REF!,2,0)</f>
        <v>#REF!</v>
      </c>
      <c r="I481" s="67" t="e">
        <f>SUMIFS(#REF!,#REF!,Plano_Detalhado!E481,#REF!,Plano_Detalhado!F481)</f>
        <v>#REF!</v>
      </c>
      <c r="J481" s="67" t="e">
        <f t="shared" si="54"/>
        <v>#REF!</v>
      </c>
      <c r="K481" s="67" t="e">
        <f>SUMIFS(#REF!,#REF!,Plano_Detalhado!E481,#REF!,Plano_Detalhado!F481)</f>
        <v>#REF!</v>
      </c>
      <c r="L481" s="67" t="e">
        <f t="shared" si="55"/>
        <v>#REF!</v>
      </c>
      <c r="M481" s="61"/>
      <c r="N481" s="61" t="e">
        <f t="shared" si="56"/>
        <v>#REF!</v>
      </c>
      <c r="O481" s="61" t="e">
        <f t="shared" si="52"/>
        <v>#REF!</v>
      </c>
      <c r="P481" s="20" t="s">
        <v>325</v>
      </c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24"/>
      <c r="BI481" s="14"/>
      <c r="BJ481" s="14"/>
      <c r="BK481" s="14"/>
      <c r="BL481" s="14"/>
      <c r="BN481" s="2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</row>
    <row r="482" spans="1:79" hidden="1" outlineLevel="1" x14ac:dyDescent="0.4">
      <c r="A482" s="3" t="str">
        <f t="shared" si="53"/>
        <v>modesg_out_sfcs_taxon_europeiaorigem</v>
      </c>
      <c r="B482" s="8" t="s">
        <v>16</v>
      </c>
      <c r="C482" s="9" t="s">
        <v>301</v>
      </c>
      <c r="D482" s="6" t="s">
        <v>30</v>
      </c>
      <c r="E482" s="7" t="s">
        <v>324</v>
      </c>
      <c r="F482" s="6" t="s">
        <v>62</v>
      </c>
      <c r="G482" s="6" t="e">
        <f>INDEX(#REF!,MATCH(Plano_Detalhado!H482,#REF!,0),1)</f>
        <v>#REF!</v>
      </c>
      <c r="H482" s="6" t="e">
        <f>VLOOKUP(A482,#REF!,2,0)</f>
        <v>#REF!</v>
      </c>
      <c r="I482" s="67" t="e">
        <f>SUMIFS(#REF!,#REF!,Plano_Detalhado!E482,#REF!,Plano_Detalhado!F482)</f>
        <v>#REF!</v>
      </c>
      <c r="J482" s="67" t="e">
        <f t="shared" si="54"/>
        <v>#REF!</v>
      </c>
      <c r="K482" s="67" t="e">
        <f>SUMIFS(#REF!,#REF!,Plano_Detalhado!E482,#REF!,Plano_Detalhado!F482)</f>
        <v>#REF!</v>
      </c>
      <c r="L482" s="67" t="e">
        <f t="shared" si="55"/>
        <v>#REF!</v>
      </c>
      <c r="M482" s="61"/>
      <c r="N482" s="61" t="e">
        <f t="shared" si="56"/>
        <v>#REF!</v>
      </c>
      <c r="O482" s="61" t="e">
        <f t="shared" si="52"/>
        <v>#REF!</v>
      </c>
      <c r="P482" s="20" t="s">
        <v>325</v>
      </c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24"/>
      <c r="BI482" s="14"/>
      <c r="BJ482" s="14"/>
      <c r="BK482" s="14"/>
      <c r="BL482" s="14"/>
      <c r="BN482" s="2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</row>
    <row r="483" spans="1:79" hidden="1" outlineLevel="1" x14ac:dyDescent="0.4">
      <c r="A483" s="3" t="str">
        <f t="shared" si="53"/>
        <v>modesg_out_sfcs_taxon_europeiaref_date</v>
      </c>
      <c r="B483" s="8" t="s">
        <v>16</v>
      </c>
      <c r="C483" s="9" t="s">
        <v>301</v>
      </c>
      <c r="D483" s="6" t="s">
        <v>30</v>
      </c>
      <c r="E483" s="7" t="s">
        <v>324</v>
      </c>
      <c r="F483" s="6" t="s">
        <v>198</v>
      </c>
      <c r="G483" s="6" t="e">
        <f>INDEX(#REF!,MATCH(Plano_Detalhado!H483,#REF!,0),1)</f>
        <v>#REF!</v>
      </c>
      <c r="H483" s="6" t="e">
        <f>VLOOKUP(A483,#REF!,2,0)</f>
        <v>#REF!</v>
      </c>
      <c r="I483" s="67" t="e">
        <f>SUMIFS(#REF!,#REF!,Plano_Detalhado!E483,#REF!,Plano_Detalhado!F483)</f>
        <v>#REF!</v>
      </c>
      <c r="J483" s="67" t="e">
        <f t="shared" si="54"/>
        <v>#REF!</v>
      </c>
      <c r="K483" s="67" t="e">
        <f>SUMIFS(#REF!,#REF!,Plano_Detalhado!E483,#REF!,Plano_Detalhado!F483)</f>
        <v>#REF!</v>
      </c>
      <c r="L483" s="67" t="e">
        <f t="shared" si="55"/>
        <v>#REF!</v>
      </c>
      <c r="M483" s="61"/>
      <c r="N483" s="61" t="e">
        <f t="shared" si="56"/>
        <v>#REF!</v>
      </c>
      <c r="O483" s="61" t="e">
        <f t="shared" si="52"/>
        <v>#REF!</v>
      </c>
      <c r="P483" s="20" t="s">
        <v>325</v>
      </c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24"/>
      <c r="BI483" s="14"/>
      <c r="BJ483" s="14"/>
      <c r="BK483" s="14"/>
      <c r="BL483" s="14"/>
      <c r="BN483" s="2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</row>
    <row r="484" spans="1:79" hidden="1" outlineLevel="1" x14ac:dyDescent="0.4">
      <c r="A484" s="3" t="str">
        <f t="shared" si="53"/>
        <v>modesg_out_sfcs_taxon_europeiazdeposit</v>
      </c>
      <c r="B484" s="8" t="s">
        <v>16</v>
      </c>
      <c r="C484" s="9" t="s">
        <v>301</v>
      </c>
      <c r="D484" s="6" t="s">
        <v>30</v>
      </c>
      <c r="E484" s="7" t="s">
        <v>324</v>
      </c>
      <c r="F484" s="6" t="s">
        <v>200</v>
      </c>
      <c r="G484" s="6" t="e">
        <f>INDEX(#REF!,MATCH(Plano_Detalhado!H484,#REF!,0),1)</f>
        <v>#REF!</v>
      </c>
      <c r="H484" s="6" t="e">
        <f>VLOOKUP(A484,#REF!,2,0)</f>
        <v>#REF!</v>
      </c>
      <c r="I484" s="67" t="e">
        <f>SUMIFS(#REF!,#REF!,Plano_Detalhado!E484,#REF!,Plano_Detalhado!F484)</f>
        <v>#REF!</v>
      </c>
      <c r="J484" s="67" t="e">
        <f t="shared" si="54"/>
        <v>#REF!</v>
      </c>
      <c r="K484" s="67" t="e">
        <f>SUMIFS(#REF!,#REF!,Plano_Detalhado!E484,#REF!,Plano_Detalhado!F484)</f>
        <v>#REF!</v>
      </c>
      <c r="L484" s="67" t="e">
        <f t="shared" si="55"/>
        <v>#REF!</v>
      </c>
      <c r="M484" s="61"/>
      <c r="N484" s="61" t="e">
        <f t="shared" si="56"/>
        <v>#REF!</v>
      </c>
      <c r="O484" s="61" t="e">
        <f t="shared" si="52"/>
        <v>#REF!</v>
      </c>
      <c r="P484" s="20" t="s">
        <v>325</v>
      </c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24"/>
      <c r="BI484" s="14"/>
      <c r="BJ484" s="14"/>
      <c r="BK484" s="14"/>
      <c r="BL484" s="14"/>
      <c r="BN484" s="2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</row>
    <row r="485" spans="1:79" hidden="1" outlineLevel="1" x14ac:dyDescent="0.4">
      <c r="A485" s="3" t="str">
        <f t="shared" si="53"/>
        <v>Re-testesn.a.</v>
      </c>
      <c r="B485" s="8" t="s">
        <v>16</v>
      </c>
      <c r="C485" s="9" t="s">
        <v>301</v>
      </c>
      <c r="D485" s="6" t="s">
        <v>30</v>
      </c>
      <c r="E485" s="7" t="s">
        <v>43</v>
      </c>
      <c r="F485" s="6" t="s">
        <v>28</v>
      </c>
      <c r="G485" s="6" t="s">
        <v>170</v>
      </c>
      <c r="H485" s="6"/>
      <c r="I485" s="67" t="e">
        <f>SUM(I402:I484)*#REF!</f>
        <v>#REF!</v>
      </c>
      <c r="J485" s="67" t="e">
        <f>I485/8</f>
        <v>#REF!</v>
      </c>
      <c r="K485" s="67" t="e">
        <f>SUM(K402:K484)*#REF!</f>
        <v>#REF!</v>
      </c>
      <c r="L485" s="67" t="e">
        <f>K485/8</f>
        <v>#REF!</v>
      </c>
      <c r="M485" s="61"/>
      <c r="N485" s="61" t="e">
        <f t="shared" si="56"/>
        <v>#REF!</v>
      </c>
      <c r="O485" s="61" t="e">
        <f t="shared" si="52"/>
        <v>#REF!</v>
      </c>
      <c r="P485" s="20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24"/>
      <c r="BI485" s="14"/>
      <c r="BJ485" s="14"/>
      <c r="BK485" s="14"/>
      <c r="BL485" s="14"/>
      <c r="BN485" s="2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</row>
    <row r="486" spans="1:79" collapsed="1" x14ac:dyDescent="0.4">
      <c r="A486" s="3" t="str">
        <f t="shared" si="53"/>
        <v/>
      </c>
      <c r="B486" s="28" t="s">
        <v>16</v>
      </c>
      <c r="C486" s="29" t="s">
        <v>20</v>
      </c>
      <c r="D486" s="27"/>
      <c r="E486" s="30"/>
      <c r="F486" s="27"/>
      <c r="G486" s="27"/>
      <c r="H486" s="27"/>
      <c r="I486" s="66" t="e">
        <f>SUM(I487:I622)</f>
        <v>#REF!</v>
      </c>
      <c r="J486" s="66" t="e">
        <f>ROUNDUP(I486/8,0)</f>
        <v>#REF!</v>
      </c>
      <c r="K486" s="66" t="e">
        <f>SUM(K487:K622)</f>
        <v>#REF!</v>
      </c>
      <c r="L486" s="66" t="e">
        <f>ROUNDUP(K486/8,0)</f>
        <v>#REF!</v>
      </c>
      <c r="M486" s="65" t="e">
        <f>SUMIFS(Q486:CA486,#REF!,"S")/J486</f>
        <v>#REF!</v>
      </c>
      <c r="N486" s="65">
        <f>IFERROR(L486/J486,0)</f>
        <v>0</v>
      </c>
      <c r="O486" s="65" t="e">
        <f t="shared" si="52"/>
        <v>#REF!</v>
      </c>
      <c r="P486" s="73" t="s">
        <v>516</v>
      </c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24"/>
      <c r="BI486" s="14"/>
      <c r="BJ486" s="14"/>
      <c r="BK486" s="14"/>
      <c r="BL486" s="14"/>
      <c r="BN486" s="2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</row>
    <row r="487" spans="1:79" hidden="1" outlineLevel="1" x14ac:dyDescent="0.4">
      <c r="A487" s="3" t="str">
        <f t="shared" si="53"/>
        <v>lt003_entitynace_esg</v>
      </c>
      <c r="B487" s="8" t="s">
        <v>16</v>
      </c>
      <c r="C487" s="9" t="s">
        <v>16</v>
      </c>
      <c r="D487" s="6" t="s">
        <v>30</v>
      </c>
      <c r="E487" s="10" t="s">
        <v>326</v>
      </c>
      <c r="F487" s="11" t="s">
        <v>327</v>
      </c>
      <c r="G487" s="6" t="e">
        <f>INDEX(#REF!,MATCH(Plano_Detalhado!H487,#REF!,0),1)</f>
        <v>#REF!</v>
      </c>
      <c r="H487" s="6" t="e">
        <f>VLOOKUP(A487,#REF!,2,0)</f>
        <v>#REF!</v>
      </c>
      <c r="I487" s="59" t="e">
        <f>SUMIFS(#REF!,#REF!,Plano_Detalhado!E487,#REF!,Plano_Detalhado!F487)</f>
        <v>#REF!</v>
      </c>
      <c r="J487" s="59" t="e">
        <f t="shared" ref="J487:J555" si="57">I487/8</f>
        <v>#REF!</v>
      </c>
      <c r="K487" s="59" t="e">
        <f>SUMIFS(#REF!,#REF!,Plano_Detalhado!E487,#REF!,Plano_Detalhado!F487)</f>
        <v>#REF!</v>
      </c>
      <c r="L487" s="59" t="e">
        <f t="shared" ref="L487:L555" si="58">K487/8</f>
        <v>#REF!</v>
      </c>
      <c r="M487" s="61"/>
      <c r="N487" s="61" t="e">
        <f t="shared" ref="N487:N555" si="59">L487/J487</f>
        <v>#REF!</v>
      </c>
      <c r="O487" s="61"/>
      <c r="P487" s="20" t="s">
        <v>328</v>
      </c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24"/>
      <c r="BI487" s="14"/>
      <c r="BJ487" s="14"/>
      <c r="BK487" s="14"/>
      <c r="BL487" s="14"/>
      <c r="BN487" s="2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</row>
    <row r="488" spans="1:79" hidden="1" outlineLevel="1" x14ac:dyDescent="0.4">
      <c r="A488" s="3" t="str">
        <f t="shared" si="53"/>
        <v>lt003_entitytxnmy_elgbl_capex_ccm</v>
      </c>
      <c r="B488" s="8" t="s">
        <v>16</v>
      </c>
      <c r="C488" s="9" t="s">
        <v>16</v>
      </c>
      <c r="D488" s="6" t="s">
        <v>30</v>
      </c>
      <c r="E488" s="10" t="s">
        <v>326</v>
      </c>
      <c r="F488" s="11" t="s">
        <v>329</v>
      </c>
      <c r="G488" s="6" t="e">
        <f>INDEX(#REF!,MATCH(Plano_Detalhado!H488,#REF!,0),1)</f>
        <v>#REF!</v>
      </c>
      <c r="H488" s="6" t="e">
        <f>VLOOKUP(A488,#REF!,2,0)</f>
        <v>#REF!</v>
      </c>
      <c r="I488" s="59" t="e">
        <f>SUMIFS(#REF!,#REF!,Plano_Detalhado!E488,#REF!,Plano_Detalhado!F488)</f>
        <v>#REF!</v>
      </c>
      <c r="J488" s="59" t="e">
        <f t="shared" si="57"/>
        <v>#REF!</v>
      </c>
      <c r="K488" s="59" t="e">
        <f>SUMIFS(#REF!,#REF!,Plano_Detalhado!E488,#REF!,Plano_Detalhado!F488)</f>
        <v>#REF!</v>
      </c>
      <c r="L488" s="59" t="e">
        <f t="shared" si="58"/>
        <v>#REF!</v>
      </c>
      <c r="M488" s="61"/>
      <c r="N488" s="61" t="e">
        <f t="shared" si="59"/>
        <v>#REF!</v>
      </c>
      <c r="O488" s="61"/>
      <c r="P488" s="20" t="s">
        <v>328</v>
      </c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24"/>
      <c r="BI488" s="14"/>
      <c r="BJ488" s="14"/>
      <c r="BK488" s="14"/>
      <c r="BL488" s="14"/>
      <c r="BN488" s="2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</row>
    <row r="489" spans="1:79" hidden="1" outlineLevel="1" x14ac:dyDescent="0.4">
      <c r="A489" s="3" t="str">
        <f t="shared" si="53"/>
        <v>lt003_entitytxnmy_elgbl_trnvr_ccm</v>
      </c>
      <c r="B489" s="8" t="s">
        <v>16</v>
      </c>
      <c r="C489" s="9" t="s">
        <v>16</v>
      </c>
      <c r="D489" s="6" t="s">
        <v>30</v>
      </c>
      <c r="E489" s="10" t="s">
        <v>326</v>
      </c>
      <c r="F489" s="11" t="s">
        <v>330</v>
      </c>
      <c r="G489" s="6" t="e">
        <f>INDEX(#REF!,MATCH(Plano_Detalhado!H489,#REF!,0),1)</f>
        <v>#REF!</v>
      </c>
      <c r="H489" s="6" t="e">
        <f>VLOOKUP(A489,#REF!,2,0)</f>
        <v>#REF!</v>
      </c>
      <c r="I489" s="59" t="e">
        <f>SUMIFS(#REF!,#REF!,Plano_Detalhado!E489,#REF!,Plano_Detalhado!F489)</f>
        <v>#REF!</v>
      </c>
      <c r="J489" s="59" t="e">
        <f t="shared" si="57"/>
        <v>#REF!</v>
      </c>
      <c r="K489" s="59" t="e">
        <f>SUMIFS(#REF!,#REF!,Plano_Detalhado!E489,#REF!,Plano_Detalhado!F489)</f>
        <v>#REF!</v>
      </c>
      <c r="L489" s="59" t="e">
        <f t="shared" si="58"/>
        <v>#REF!</v>
      </c>
      <c r="M489" s="61"/>
      <c r="N489" s="61" t="e">
        <f t="shared" si="59"/>
        <v>#REF!</v>
      </c>
      <c r="O489" s="61"/>
      <c r="P489" s="20" t="s">
        <v>328</v>
      </c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24"/>
      <c r="BI489" s="14"/>
      <c r="BJ489" s="14"/>
      <c r="BK489" s="14"/>
      <c r="BL489" s="14"/>
      <c r="BN489" s="2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</row>
    <row r="490" spans="1:79" hidden="1" outlineLevel="1" x14ac:dyDescent="0.4">
      <c r="A490" s="3" t="str">
        <f t="shared" si="53"/>
        <v>lt003_entitytxnmy_elgbl_capex_cca</v>
      </c>
      <c r="B490" s="8" t="s">
        <v>16</v>
      </c>
      <c r="C490" s="9" t="s">
        <v>16</v>
      </c>
      <c r="D490" s="6" t="s">
        <v>30</v>
      </c>
      <c r="E490" s="10" t="s">
        <v>326</v>
      </c>
      <c r="F490" s="11" t="s">
        <v>331</v>
      </c>
      <c r="G490" s="6" t="e">
        <f>INDEX(#REF!,MATCH(Plano_Detalhado!H490,#REF!,0),1)</f>
        <v>#REF!</v>
      </c>
      <c r="H490" s="6" t="e">
        <f>VLOOKUP(A490,#REF!,2,0)</f>
        <v>#REF!</v>
      </c>
      <c r="I490" s="59" t="e">
        <f>SUMIFS(#REF!,#REF!,Plano_Detalhado!E490,#REF!,Plano_Detalhado!F490)</f>
        <v>#REF!</v>
      </c>
      <c r="J490" s="59" t="e">
        <f t="shared" si="57"/>
        <v>#REF!</v>
      </c>
      <c r="K490" s="59" t="e">
        <f>SUMIFS(#REF!,#REF!,Plano_Detalhado!E490,#REF!,Plano_Detalhado!F490)</f>
        <v>#REF!</v>
      </c>
      <c r="L490" s="59" t="e">
        <f t="shared" si="58"/>
        <v>#REF!</v>
      </c>
      <c r="M490" s="61"/>
      <c r="N490" s="61" t="e">
        <f t="shared" si="59"/>
        <v>#REF!</v>
      </c>
      <c r="O490" s="61"/>
      <c r="P490" s="20" t="s">
        <v>328</v>
      </c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24"/>
      <c r="BI490" s="14"/>
      <c r="BJ490" s="14"/>
      <c r="BK490" s="14"/>
      <c r="BL490" s="14"/>
      <c r="BN490" s="2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</row>
    <row r="491" spans="1:79" hidden="1" outlineLevel="1" x14ac:dyDescent="0.4">
      <c r="A491" s="3" t="str">
        <f t="shared" si="53"/>
        <v>lt003_entitytxnmy_elgbl_trnvr_cca</v>
      </c>
      <c r="B491" s="8" t="s">
        <v>16</v>
      </c>
      <c r="C491" s="9" t="s">
        <v>16</v>
      </c>
      <c r="D491" s="6" t="s">
        <v>30</v>
      </c>
      <c r="E491" s="10" t="s">
        <v>326</v>
      </c>
      <c r="F491" s="11" t="s">
        <v>332</v>
      </c>
      <c r="G491" s="6" t="e">
        <f>INDEX(#REF!,MATCH(Plano_Detalhado!H491,#REF!,0),1)</f>
        <v>#REF!</v>
      </c>
      <c r="H491" s="6" t="e">
        <f>VLOOKUP(A491,#REF!,2,0)</f>
        <v>#REF!</v>
      </c>
      <c r="I491" s="59" t="e">
        <f>SUMIFS(#REF!,#REF!,Plano_Detalhado!E491,#REF!,Plano_Detalhado!F491)</f>
        <v>#REF!</v>
      </c>
      <c r="J491" s="59" t="e">
        <f t="shared" si="57"/>
        <v>#REF!</v>
      </c>
      <c r="K491" s="59" t="e">
        <f>SUMIFS(#REF!,#REF!,Plano_Detalhado!E491,#REF!,Plano_Detalhado!F491)</f>
        <v>#REF!</v>
      </c>
      <c r="L491" s="59" t="e">
        <f t="shared" si="58"/>
        <v>#REF!</v>
      </c>
      <c r="M491" s="61"/>
      <c r="N491" s="61" t="e">
        <f t="shared" si="59"/>
        <v>#REF!</v>
      </c>
      <c r="O491" s="61"/>
      <c r="P491" s="20" t="s">
        <v>328</v>
      </c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24"/>
      <c r="BI491" s="14"/>
      <c r="BJ491" s="14"/>
      <c r="BK491" s="14"/>
      <c r="BL491" s="14"/>
      <c r="BN491" s="2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</row>
    <row r="492" spans="1:79" hidden="1" outlineLevel="1" x14ac:dyDescent="0.4">
      <c r="A492" s="3" t="str">
        <f t="shared" si="53"/>
        <v>lt003_entityenblng_capex_ccm</v>
      </c>
      <c r="B492" s="8" t="s">
        <v>16</v>
      </c>
      <c r="C492" s="9" t="s">
        <v>16</v>
      </c>
      <c r="D492" s="6" t="s">
        <v>30</v>
      </c>
      <c r="E492" s="10" t="s">
        <v>326</v>
      </c>
      <c r="F492" s="11" t="s">
        <v>333</v>
      </c>
      <c r="G492" s="6" t="e">
        <f>INDEX(#REF!,MATCH(Plano_Detalhado!H492,#REF!,0),1)</f>
        <v>#REF!</v>
      </c>
      <c r="H492" s="6" t="e">
        <f>VLOOKUP(A492,#REF!,2,0)</f>
        <v>#REF!</v>
      </c>
      <c r="I492" s="59" t="e">
        <f>SUMIFS(#REF!,#REF!,Plano_Detalhado!E492,#REF!,Plano_Detalhado!F492)</f>
        <v>#REF!</v>
      </c>
      <c r="J492" s="59" t="e">
        <f t="shared" si="57"/>
        <v>#REF!</v>
      </c>
      <c r="K492" s="59" t="e">
        <f>SUMIFS(#REF!,#REF!,Plano_Detalhado!E492,#REF!,Plano_Detalhado!F492)</f>
        <v>#REF!</v>
      </c>
      <c r="L492" s="59" t="e">
        <f t="shared" si="58"/>
        <v>#REF!</v>
      </c>
      <c r="M492" s="61"/>
      <c r="N492" s="61" t="e">
        <f t="shared" si="59"/>
        <v>#REF!</v>
      </c>
      <c r="O492" s="61"/>
      <c r="P492" s="20" t="s">
        <v>328</v>
      </c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24"/>
      <c r="BI492" s="14"/>
      <c r="BJ492" s="14"/>
      <c r="BK492" s="14"/>
      <c r="BL492" s="14"/>
      <c r="BN492" s="2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</row>
    <row r="493" spans="1:79" hidden="1" outlineLevel="1" x14ac:dyDescent="0.4">
      <c r="A493" s="3" t="str">
        <f t="shared" si="53"/>
        <v>lt003_entityenblng_capex_cca</v>
      </c>
      <c r="B493" s="8" t="s">
        <v>16</v>
      </c>
      <c r="C493" s="9" t="s">
        <v>16</v>
      </c>
      <c r="D493" s="6" t="s">
        <v>30</v>
      </c>
      <c r="E493" s="10" t="s">
        <v>326</v>
      </c>
      <c r="F493" s="11" t="s">
        <v>334</v>
      </c>
      <c r="G493" s="6" t="e">
        <f>INDEX(#REF!,MATCH(Plano_Detalhado!H493,#REF!,0),1)</f>
        <v>#REF!</v>
      </c>
      <c r="H493" s="6" t="e">
        <f>VLOOKUP(A493,#REF!,2,0)</f>
        <v>#REF!</v>
      </c>
      <c r="I493" s="59" t="e">
        <f>SUMIFS(#REF!,#REF!,Plano_Detalhado!E493,#REF!,Plano_Detalhado!F493)</f>
        <v>#REF!</v>
      </c>
      <c r="J493" s="59" t="e">
        <f t="shared" si="57"/>
        <v>#REF!</v>
      </c>
      <c r="K493" s="59" t="e">
        <f>SUMIFS(#REF!,#REF!,Plano_Detalhado!E493,#REF!,Plano_Detalhado!F493)</f>
        <v>#REF!</v>
      </c>
      <c r="L493" s="59" t="e">
        <f t="shared" si="58"/>
        <v>#REF!</v>
      </c>
      <c r="M493" s="61"/>
      <c r="N493" s="61" t="e">
        <f t="shared" si="59"/>
        <v>#REF!</v>
      </c>
      <c r="O493" s="61"/>
      <c r="P493" s="20" t="s">
        <v>328</v>
      </c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24"/>
      <c r="BI493" s="14"/>
      <c r="BJ493" s="14"/>
      <c r="BK493" s="14"/>
      <c r="BL493" s="14"/>
      <c r="BN493" s="2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</row>
    <row r="494" spans="1:79" hidden="1" outlineLevel="1" x14ac:dyDescent="0.4">
      <c r="A494" s="3" t="str">
        <f t="shared" si="53"/>
        <v>lt003_entitytrnstnl_capex</v>
      </c>
      <c r="B494" s="8" t="s">
        <v>16</v>
      </c>
      <c r="C494" s="9" t="s">
        <v>16</v>
      </c>
      <c r="D494" s="6" t="s">
        <v>30</v>
      </c>
      <c r="E494" s="10" t="s">
        <v>326</v>
      </c>
      <c r="F494" s="11" t="s">
        <v>335</v>
      </c>
      <c r="G494" s="6" t="e">
        <f>INDEX(#REF!,MATCH(Plano_Detalhado!H494,#REF!,0),1)</f>
        <v>#REF!</v>
      </c>
      <c r="H494" s="6" t="e">
        <f>VLOOKUP(A494,#REF!,2,0)</f>
        <v>#REF!</v>
      </c>
      <c r="I494" s="59" t="e">
        <f>SUMIFS(#REF!,#REF!,Plano_Detalhado!E494,#REF!,Plano_Detalhado!F494)</f>
        <v>#REF!</v>
      </c>
      <c r="J494" s="59" t="e">
        <f t="shared" si="57"/>
        <v>#REF!</v>
      </c>
      <c r="K494" s="59" t="e">
        <f>SUMIFS(#REF!,#REF!,Plano_Detalhado!E494,#REF!,Plano_Detalhado!F494)</f>
        <v>#REF!</v>
      </c>
      <c r="L494" s="59" t="e">
        <f t="shared" si="58"/>
        <v>#REF!</v>
      </c>
      <c r="M494" s="61"/>
      <c r="N494" s="61" t="e">
        <f t="shared" si="59"/>
        <v>#REF!</v>
      </c>
      <c r="O494" s="61"/>
      <c r="P494" s="20" t="s">
        <v>328</v>
      </c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24"/>
      <c r="BI494" s="14"/>
      <c r="BJ494" s="14"/>
      <c r="BK494" s="14"/>
      <c r="BL494" s="14"/>
      <c r="BN494" s="2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</row>
    <row r="495" spans="1:79" hidden="1" outlineLevel="1" x14ac:dyDescent="0.4">
      <c r="A495" s="3" t="str">
        <f t="shared" si="53"/>
        <v>lt003_entitypure_capex_ccm</v>
      </c>
      <c r="B495" s="8" t="s">
        <v>16</v>
      </c>
      <c r="C495" s="9" t="s">
        <v>16</v>
      </c>
      <c r="D495" s="6" t="s">
        <v>30</v>
      </c>
      <c r="E495" s="10" t="s">
        <v>326</v>
      </c>
      <c r="F495" s="11" t="s">
        <v>336</v>
      </c>
      <c r="G495" s="6" t="e">
        <f>INDEX(#REF!,MATCH(Plano_Detalhado!H495,#REF!,0),1)</f>
        <v>#REF!</v>
      </c>
      <c r="H495" s="6" t="e">
        <f>VLOOKUP(A495,#REF!,2,0)</f>
        <v>#REF!</v>
      </c>
      <c r="I495" s="59" t="e">
        <f>SUMIFS(#REF!,#REF!,Plano_Detalhado!E495,#REF!,Plano_Detalhado!F495)</f>
        <v>#REF!</v>
      </c>
      <c r="J495" s="59" t="e">
        <f t="shared" si="57"/>
        <v>#REF!</v>
      </c>
      <c r="K495" s="59" t="e">
        <f>SUMIFS(#REF!,#REF!,Plano_Detalhado!E495,#REF!,Plano_Detalhado!F495)</f>
        <v>#REF!</v>
      </c>
      <c r="L495" s="59" t="e">
        <f t="shared" si="58"/>
        <v>#REF!</v>
      </c>
      <c r="M495" s="61"/>
      <c r="N495" s="61" t="e">
        <f t="shared" si="59"/>
        <v>#REF!</v>
      </c>
      <c r="O495" s="61"/>
      <c r="P495" s="20" t="s">
        <v>328</v>
      </c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24"/>
      <c r="BI495" s="14"/>
      <c r="BJ495" s="14"/>
      <c r="BK495" s="14"/>
      <c r="BL495" s="14"/>
      <c r="BN495" s="2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</row>
    <row r="496" spans="1:79" hidden="1" outlineLevel="1" x14ac:dyDescent="0.4">
      <c r="A496" s="3" t="str">
        <f t="shared" si="53"/>
        <v>lt003_entitypure_capex_cca</v>
      </c>
      <c r="B496" s="8" t="s">
        <v>16</v>
      </c>
      <c r="C496" s="9" t="s">
        <v>16</v>
      </c>
      <c r="D496" s="6" t="s">
        <v>30</v>
      </c>
      <c r="E496" s="10" t="s">
        <v>326</v>
      </c>
      <c r="F496" s="11" t="s">
        <v>337</v>
      </c>
      <c r="G496" s="6" t="e">
        <f>INDEX(#REF!,MATCH(Plano_Detalhado!H496,#REF!,0),1)</f>
        <v>#REF!</v>
      </c>
      <c r="H496" s="6" t="e">
        <f>VLOOKUP(A496,#REF!,2,0)</f>
        <v>#REF!</v>
      </c>
      <c r="I496" s="59" t="e">
        <f>SUMIFS(#REF!,#REF!,Plano_Detalhado!E496,#REF!,Plano_Detalhado!F496)</f>
        <v>#REF!</v>
      </c>
      <c r="J496" s="59" t="e">
        <f t="shared" si="57"/>
        <v>#REF!</v>
      </c>
      <c r="K496" s="59" t="e">
        <f>SUMIFS(#REF!,#REF!,Plano_Detalhado!E496,#REF!,Plano_Detalhado!F496)</f>
        <v>#REF!</v>
      </c>
      <c r="L496" s="59" t="e">
        <f t="shared" si="58"/>
        <v>#REF!</v>
      </c>
      <c r="M496" s="61"/>
      <c r="N496" s="61" t="e">
        <f t="shared" si="59"/>
        <v>#REF!</v>
      </c>
      <c r="O496" s="61"/>
      <c r="P496" s="20" t="s">
        <v>328</v>
      </c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24"/>
      <c r="BI496" s="14"/>
      <c r="BJ496" s="14"/>
      <c r="BK496" s="14"/>
      <c r="BL496" s="14"/>
      <c r="BN496" s="2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</row>
    <row r="497" spans="1:79" hidden="1" outlineLevel="1" x14ac:dyDescent="0.4">
      <c r="A497" s="3" t="str">
        <f t="shared" si="53"/>
        <v>lt003_entityenblng_trnvr_ccm</v>
      </c>
      <c r="B497" s="8" t="s">
        <v>16</v>
      </c>
      <c r="C497" s="9" t="s">
        <v>16</v>
      </c>
      <c r="D497" s="6" t="s">
        <v>30</v>
      </c>
      <c r="E497" s="10" t="s">
        <v>326</v>
      </c>
      <c r="F497" s="11" t="s">
        <v>338</v>
      </c>
      <c r="G497" s="6" t="e">
        <f>INDEX(#REF!,MATCH(Plano_Detalhado!H497,#REF!,0),1)</f>
        <v>#REF!</v>
      </c>
      <c r="H497" s="6" t="e">
        <f>VLOOKUP(A497,#REF!,2,0)</f>
        <v>#REF!</v>
      </c>
      <c r="I497" s="59" t="e">
        <f>SUMIFS(#REF!,#REF!,Plano_Detalhado!E497,#REF!,Plano_Detalhado!F497)</f>
        <v>#REF!</v>
      </c>
      <c r="J497" s="59" t="e">
        <f t="shared" si="57"/>
        <v>#REF!</v>
      </c>
      <c r="K497" s="59" t="e">
        <f>SUMIFS(#REF!,#REF!,Plano_Detalhado!E497,#REF!,Plano_Detalhado!F497)</f>
        <v>#REF!</v>
      </c>
      <c r="L497" s="59" t="e">
        <f t="shared" si="58"/>
        <v>#REF!</v>
      </c>
      <c r="M497" s="61"/>
      <c r="N497" s="61" t="e">
        <f t="shared" si="59"/>
        <v>#REF!</v>
      </c>
      <c r="O497" s="61"/>
      <c r="P497" s="20" t="s">
        <v>328</v>
      </c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24"/>
      <c r="BI497" s="14"/>
      <c r="BJ497" s="14"/>
      <c r="BK497" s="14"/>
      <c r="BL497" s="14"/>
      <c r="BN497" s="2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</row>
    <row r="498" spans="1:79" hidden="1" outlineLevel="1" x14ac:dyDescent="0.4">
      <c r="A498" s="3" t="str">
        <f t="shared" si="53"/>
        <v>lt003_entityenblng_trnvr_cca</v>
      </c>
      <c r="B498" s="8" t="s">
        <v>16</v>
      </c>
      <c r="C498" s="9" t="s">
        <v>16</v>
      </c>
      <c r="D498" s="6" t="s">
        <v>30</v>
      </c>
      <c r="E498" s="10" t="s">
        <v>326</v>
      </c>
      <c r="F498" s="11" t="s">
        <v>339</v>
      </c>
      <c r="G498" s="6" t="e">
        <f>INDEX(#REF!,MATCH(Plano_Detalhado!H498,#REF!,0),1)</f>
        <v>#REF!</v>
      </c>
      <c r="H498" s="6" t="e">
        <f>VLOOKUP(A498,#REF!,2,0)</f>
        <v>#REF!</v>
      </c>
      <c r="I498" s="59" t="e">
        <f>SUMIFS(#REF!,#REF!,Plano_Detalhado!E498,#REF!,Plano_Detalhado!F498)</f>
        <v>#REF!</v>
      </c>
      <c r="J498" s="59" t="e">
        <f t="shared" si="57"/>
        <v>#REF!</v>
      </c>
      <c r="K498" s="59" t="e">
        <f>SUMIFS(#REF!,#REF!,Plano_Detalhado!E498,#REF!,Plano_Detalhado!F498)</f>
        <v>#REF!</v>
      </c>
      <c r="L498" s="59" t="e">
        <f t="shared" si="58"/>
        <v>#REF!</v>
      </c>
      <c r="M498" s="61"/>
      <c r="N498" s="61" t="e">
        <f t="shared" si="59"/>
        <v>#REF!</v>
      </c>
      <c r="O498" s="61"/>
      <c r="P498" s="20" t="s">
        <v>328</v>
      </c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24"/>
      <c r="BI498" s="14"/>
      <c r="BJ498" s="14"/>
      <c r="BK498" s="14"/>
      <c r="BL498" s="14"/>
      <c r="BN498" s="2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</row>
    <row r="499" spans="1:79" hidden="1" outlineLevel="1" x14ac:dyDescent="0.4">
      <c r="A499" s="3" t="str">
        <f t="shared" si="53"/>
        <v>lt003_entitytrnstnl_trnvr</v>
      </c>
      <c r="B499" s="8" t="s">
        <v>16</v>
      </c>
      <c r="C499" s="9" t="s">
        <v>16</v>
      </c>
      <c r="D499" s="6" t="s">
        <v>30</v>
      </c>
      <c r="E499" s="10" t="s">
        <v>326</v>
      </c>
      <c r="F499" s="11" t="s">
        <v>340</v>
      </c>
      <c r="G499" s="6" t="e">
        <f>INDEX(#REF!,MATCH(Plano_Detalhado!H499,#REF!,0),1)</f>
        <v>#REF!</v>
      </c>
      <c r="H499" s="6" t="e">
        <f>VLOOKUP(A499,#REF!,2,0)</f>
        <v>#REF!</v>
      </c>
      <c r="I499" s="59" t="e">
        <f>SUMIFS(#REF!,#REF!,Plano_Detalhado!E499,#REF!,Plano_Detalhado!F499)</f>
        <v>#REF!</v>
      </c>
      <c r="J499" s="59" t="e">
        <f t="shared" si="57"/>
        <v>#REF!</v>
      </c>
      <c r="K499" s="59" t="e">
        <f>SUMIFS(#REF!,#REF!,Plano_Detalhado!E499,#REF!,Plano_Detalhado!F499)</f>
        <v>#REF!</v>
      </c>
      <c r="L499" s="59" t="e">
        <f t="shared" si="58"/>
        <v>#REF!</v>
      </c>
      <c r="M499" s="61"/>
      <c r="N499" s="61" t="e">
        <f t="shared" si="59"/>
        <v>#REF!</v>
      </c>
      <c r="O499" s="61"/>
      <c r="P499" s="20" t="s">
        <v>328</v>
      </c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24"/>
      <c r="BI499" s="14"/>
      <c r="BJ499" s="14"/>
      <c r="BK499" s="14"/>
      <c r="BL499" s="14"/>
      <c r="BN499" s="2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</row>
    <row r="500" spans="1:79" hidden="1" outlineLevel="1" x14ac:dyDescent="0.4">
      <c r="A500" s="3" t="str">
        <f t="shared" si="53"/>
        <v>lt003_entitypure_trnvr_ccm</v>
      </c>
      <c r="B500" s="8" t="s">
        <v>16</v>
      </c>
      <c r="C500" s="9" t="s">
        <v>16</v>
      </c>
      <c r="D500" s="6" t="s">
        <v>30</v>
      </c>
      <c r="E500" s="10" t="s">
        <v>326</v>
      </c>
      <c r="F500" s="11" t="s">
        <v>341</v>
      </c>
      <c r="G500" s="6" t="e">
        <f>INDEX(#REF!,MATCH(Plano_Detalhado!H500,#REF!,0),1)</f>
        <v>#REF!</v>
      </c>
      <c r="H500" s="6" t="e">
        <f>VLOOKUP(A500,#REF!,2,0)</f>
        <v>#REF!</v>
      </c>
      <c r="I500" s="59" t="e">
        <f>SUMIFS(#REF!,#REF!,Plano_Detalhado!E500,#REF!,Plano_Detalhado!F500)</f>
        <v>#REF!</v>
      </c>
      <c r="J500" s="59" t="e">
        <f t="shared" si="57"/>
        <v>#REF!</v>
      </c>
      <c r="K500" s="59" t="e">
        <f>SUMIFS(#REF!,#REF!,Plano_Detalhado!E500,#REF!,Plano_Detalhado!F500)</f>
        <v>#REF!</v>
      </c>
      <c r="L500" s="59" t="e">
        <f t="shared" si="58"/>
        <v>#REF!</v>
      </c>
      <c r="M500" s="61"/>
      <c r="N500" s="61" t="e">
        <f t="shared" si="59"/>
        <v>#REF!</v>
      </c>
      <c r="O500" s="61"/>
      <c r="P500" s="20" t="s">
        <v>328</v>
      </c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24"/>
      <c r="BI500" s="14"/>
      <c r="BJ500" s="14"/>
      <c r="BK500" s="14"/>
      <c r="BL500" s="14"/>
      <c r="BN500" s="2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</row>
    <row r="501" spans="1:79" hidden="1" outlineLevel="1" x14ac:dyDescent="0.4">
      <c r="A501" s="3" t="str">
        <f t="shared" si="53"/>
        <v>lt003_entitypure_trnvr_cca</v>
      </c>
      <c r="B501" s="8" t="s">
        <v>16</v>
      </c>
      <c r="C501" s="9" t="s">
        <v>16</v>
      </c>
      <c r="D501" s="6" t="s">
        <v>30</v>
      </c>
      <c r="E501" s="10" t="s">
        <v>326</v>
      </c>
      <c r="F501" s="11" t="s">
        <v>342</v>
      </c>
      <c r="G501" s="6" t="e">
        <f>INDEX(#REF!,MATCH(Plano_Detalhado!H501,#REF!,0),1)</f>
        <v>#REF!</v>
      </c>
      <c r="H501" s="6" t="e">
        <f>VLOOKUP(A501,#REF!,2,0)</f>
        <v>#REF!</v>
      </c>
      <c r="I501" s="59" t="e">
        <f>SUMIFS(#REF!,#REF!,Plano_Detalhado!E501,#REF!,Plano_Detalhado!F501)</f>
        <v>#REF!</v>
      </c>
      <c r="J501" s="59" t="e">
        <f t="shared" si="57"/>
        <v>#REF!</v>
      </c>
      <c r="K501" s="59" t="e">
        <f>SUMIFS(#REF!,#REF!,Plano_Detalhado!E501,#REF!,Plano_Detalhado!F501)</f>
        <v>#REF!</v>
      </c>
      <c r="L501" s="59" t="e">
        <f t="shared" si="58"/>
        <v>#REF!</v>
      </c>
      <c r="M501" s="61"/>
      <c r="N501" s="61" t="e">
        <f t="shared" si="59"/>
        <v>#REF!</v>
      </c>
      <c r="O501" s="61"/>
      <c r="P501" s="20" t="s">
        <v>328</v>
      </c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24"/>
      <c r="BI501" s="14"/>
      <c r="BJ501" s="14"/>
      <c r="BK501" s="14"/>
      <c r="BL501" s="14"/>
      <c r="BN501" s="2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</row>
    <row r="502" spans="1:79" hidden="1" outlineLevel="1" x14ac:dyDescent="0.4">
      <c r="A502" s="3" t="str">
        <f t="shared" si="53"/>
        <v>lt003_entityflg_nfrd_applcblty</v>
      </c>
      <c r="B502" s="8" t="s">
        <v>16</v>
      </c>
      <c r="C502" s="9" t="s">
        <v>16</v>
      </c>
      <c r="D502" s="6" t="s">
        <v>30</v>
      </c>
      <c r="E502" s="10" t="s">
        <v>326</v>
      </c>
      <c r="F502" s="11" t="s">
        <v>343</v>
      </c>
      <c r="G502" s="6" t="e">
        <f>INDEX(#REF!,MATCH(Plano_Detalhado!H502,#REF!,0),1)</f>
        <v>#REF!</v>
      </c>
      <c r="H502" s="6" t="e">
        <f>VLOOKUP(A502,#REF!,2,0)</f>
        <v>#REF!</v>
      </c>
      <c r="I502" s="59" t="e">
        <f>SUMIFS(#REF!,#REF!,Plano_Detalhado!E502,#REF!,Plano_Detalhado!F502)</f>
        <v>#REF!</v>
      </c>
      <c r="J502" s="59" t="e">
        <f t="shared" si="57"/>
        <v>#REF!</v>
      </c>
      <c r="K502" s="59" t="e">
        <f>SUMIFS(#REF!,#REF!,Plano_Detalhado!E502,#REF!,Plano_Detalhado!F502)</f>
        <v>#REF!</v>
      </c>
      <c r="L502" s="59" t="e">
        <f t="shared" si="58"/>
        <v>#REF!</v>
      </c>
      <c r="M502" s="61"/>
      <c r="N502" s="61" t="e">
        <f t="shared" si="59"/>
        <v>#REF!</v>
      </c>
      <c r="O502" s="61"/>
      <c r="P502" s="20" t="s">
        <v>328</v>
      </c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24"/>
      <c r="BI502" s="14"/>
      <c r="BJ502" s="14"/>
      <c r="BK502" s="14"/>
      <c r="BL502" s="14"/>
      <c r="BN502" s="2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</row>
    <row r="503" spans="1:79" hidden="1" outlineLevel="1" x14ac:dyDescent="0.4">
      <c r="A503" s="3" t="str">
        <f t="shared" si="53"/>
        <v>lt003_entitycntrprty_emssns_scp1</v>
      </c>
      <c r="B503" s="8" t="s">
        <v>16</v>
      </c>
      <c r="C503" s="9" t="s">
        <v>16</v>
      </c>
      <c r="D503" s="6" t="s">
        <v>30</v>
      </c>
      <c r="E503" s="10" t="s">
        <v>326</v>
      </c>
      <c r="F503" s="11" t="s">
        <v>344</v>
      </c>
      <c r="G503" s="6" t="e">
        <f>INDEX(#REF!,MATCH(Plano_Detalhado!H503,#REF!,0),1)</f>
        <v>#REF!</v>
      </c>
      <c r="H503" s="6" t="e">
        <f>VLOOKUP(A503,#REF!,2,0)</f>
        <v>#REF!</v>
      </c>
      <c r="I503" s="59" t="e">
        <f>SUMIFS(#REF!,#REF!,Plano_Detalhado!E503,#REF!,Plano_Detalhado!F503)</f>
        <v>#REF!</v>
      </c>
      <c r="J503" s="59" t="e">
        <f t="shared" si="57"/>
        <v>#REF!</v>
      </c>
      <c r="K503" s="59" t="e">
        <f>SUMIFS(#REF!,#REF!,Plano_Detalhado!E503,#REF!,Plano_Detalhado!F503)</f>
        <v>#REF!</v>
      </c>
      <c r="L503" s="59" t="e">
        <f t="shared" si="58"/>
        <v>#REF!</v>
      </c>
      <c r="M503" s="61"/>
      <c r="N503" s="61" t="e">
        <f t="shared" si="59"/>
        <v>#REF!</v>
      </c>
      <c r="O503" s="61"/>
      <c r="P503" s="20" t="s">
        <v>328</v>
      </c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24"/>
      <c r="BI503" s="14"/>
      <c r="BJ503" s="14"/>
      <c r="BK503" s="14"/>
      <c r="BL503" s="14"/>
      <c r="BN503" s="2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</row>
    <row r="504" spans="1:79" hidden="1" outlineLevel="1" x14ac:dyDescent="0.4">
      <c r="A504" s="3" t="str">
        <f t="shared" si="53"/>
        <v>lt003_entitycntrprty_emssns_scp2</v>
      </c>
      <c r="B504" s="8" t="s">
        <v>16</v>
      </c>
      <c r="C504" s="9" t="s">
        <v>16</v>
      </c>
      <c r="D504" s="6" t="s">
        <v>30</v>
      </c>
      <c r="E504" s="10" t="s">
        <v>326</v>
      </c>
      <c r="F504" s="11" t="s">
        <v>345</v>
      </c>
      <c r="G504" s="6" t="e">
        <f>INDEX(#REF!,MATCH(Plano_Detalhado!H504,#REF!,0),1)</f>
        <v>#REF!</v>
      </c>
      <c r="H504" s="6" t="e">
        <f>VLOOKUP(A504,#REF!,2,0)</f>
        <v>#REF!</v>
      </c>
      <c r="I504" s="59" t="e">
        <f>SUMIFS(#REF!,#REF!,Plano_Detalhado!E504,#REF!,Plano_Detalhado!F504)</f>
        <v>#REF!</v>
      </c>
      <c r="J504" s="59" t="e">
        <f t="shared" si="57"/>
        <v>#REF!</v>
      </c>
      <c r="K504" s="59" t="e">
        <f>SUMIFS(#REF!,#REF!,Plano_Detalhado!E504,#REF!,Plano_Detalhado!F504)</f>
        <v>#REF!</v>
      </c>
      <c r="L504" s="59" t="e">
        <f t="shared" si="58"/>
        <v>#REF!</v>
      </c>
      <c r="M504" s="61"/>
      <c r="N504" s="61" t="e">
        <f t="shared" si="59"/>
        <v>#REF!</v>
      </c>
      <c r="O504" s="61"/>
      <c r="P504" s="20" t="s">
        <v>328</v>
      </c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24"/>
      <c r="BI504" s="14"/>
      <c r="BJ504" s="14"/>
      <c r="BK504" s="14"/>
      <c r="BL504" s="14"/>
      <c r="BN504" s="2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</row>
    <row r="505" spans="1:79" hidden="1" outlineLevel="1" x14ac:dyDescent="0.4">
      <c r="A505" s="3" t="str">
        <f t="shared" si="53"/>
        <v>lt003_entitycntrprty_emssns_scp3</v>
      </c>
      <c r="B505" s="8" t="s">
        <v>16</v>
      </c>
      <c r="C505" s="9" t="s">
        <v>16</v>
      </c>
      <c r="D505" s="6" t="s">
        <v>30</v>
      </c>
      <c r="E505" s="10" t="s">
        <v>326</v>
      </c>
      <c r="F505" s="11" t="s">
        <v>346</v>
      </c>
      <c r="G505" s="6" t="e">
        <f>INDEX(#REF!,MATCH(Plano_Detalhado!H505,#REF!,0),1)</f>
        <v>#REF!</v>
      </c>
      <c r="H505" s="6" t="e">
        <f>VLOOKUP(A505,#REF!,2,0)</f>
        <v>#REF!</v>
      </c>
      <c r="I505" s="59" t="e">
        <f>SUMIFS(#REF!,#REF!,Plano_Detalhado!E505,#REF!,Plano_Detalhado!F505)</f>
        <v>#REF!</v>
      </c>
      <c r="J505" s="59" t="e">
        <f t="shared" si="57"/>
        <v>#REF!</v>
      </c>
      <c r="K505" s="59" t="e">
        <f>SUMIFS(#REF!,#REF!,Plano_Detalhado!E505,#REF!,Plano_Detalhado!F505)</f>
        <v>#REF!</v>
      </c>
      <c r="L505" s="59" t="e">
        <f t="shared" si="58"/>
        <v>#REF!</v>
      </c>
      <c r="M505" s="61"/>
      <c r="N505" s="61" t="e">
        <f t="shared" si="59"/>
        <v>#REF!</v>
      </c>
      <c r="O505" s="61"/>
      <c r="P505" s="20" t="s">
        <v>328</v>
      </c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24"/>
      <c r="BI505" s="14"/>
      <c r="BJ505" s="14"/>
      <c r="BK505" s="14"/>
      <c r="BL505" s="14"/>
      <c r="BN505" s="2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</row>
    <row r="506" spans="1:79" hidden="1" outlineLevel="1" x14ac:dyDescent="0.4">
      <c r="A506" s="3" t="str">
        <f t="shared" si="53"/>
        <v>lt003_entityflg_excldd_eu_prs_algnd_bnchmrk</v>
      </c>
      <c r="B506" s="8" t="s">
        <v>16</v>
      </c>
      <c r="C506" s="9" t="s">
        <v>16</v>
      </c>
      <c r="D506" s="6" t="s">
        <v>30</v>
      </c>
      <c r="E506" s="10" t="s">
        <v>326</v>
      </c>
      <c r="F506" s="11" t="s">
        <v>347</v>
      </c>
      <c r="G506" s="6" t="e">
        <f>INDEX(#REF!,MATCH(Plano_Detalhado!H506,#REF!,0),1)</f>
        <v>#REF!</v>
      </c>
      <c r="H506" s="6" t="e">
        <f>VLOOKUP(A506,#REF!,2,0)</f>
        <v>#REF!</v>
      </c>
      <c r="I506" s="59" t="e">
        <f>SUMIFS(#REF!,#REF!,Plano_Detalhado!E506,#REF!,Plano_Detalhado!F506)</f>
        <v>#REF!</v>
      </c>
      <c r="J506" s="59" t="e">
        <f t="shared" si="57"/>
        <v>#REF!</v>
      </c>
      <c r="K506" s="59" t="e">
        <f>SUMIFS(#REF!,#REF!,Plano_Detalhado!E506,#REF!,Plano_Detalhado!F506)</f>
        <v>#REF!</v>
      </c>
      <c r="L506" s="59" t="e">
        <f t="shared" si="58"/>
        <v>#REF!</v>
      </c>
      <c r="M506" s="61"/>
      <c r="N506" s="61" t="e">
        <f t="shared" si="59"/>
        <v>#REF!</v>
      </c>
      <c r="O506" s="61"/>
      <c r="P506" s="20" t="s">
        <v>328</v>
      </c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24"/>
      <c r="BI506" s="14"/>
      <c r="BJ506" s="14"/>
      <c r="BK506" s="14"/>
      <c r="BL506" s="14"/>
      <c r="BN506" s="2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</row>
    <row r="507" spans="1:79" hidden="1" outlineLevel="1" x14ac:dyDescent="0.4">
      <c r="A507" s="3" t="str">
        <f t="shared" si="53"/>
        <v>lt003_entityflg_act_physcl_rsk</v>
      </c>
      <c r="B507" s="8" t="s">
        <v>16</v>
      </c>
      <c r="C507" s="9" t="s">
        <v>16</v>
      </c>
      <c r="D507" s="6" t="s">
        <v>30</v>
      </c>
      <c r="E507" s="10" t="s">
        <v>326</v>
      </c>
      <c r="F507" s="11" t="s">
        <v>348</v>
      </c>
      <c r="G507" s="6" t="e">
        <f>INDEX(#REF!,MATCH(Plano_Detalhado!H507,#REF!,0),1)</f>
        <v>#REF!</v>
      </c>
      <c r="H507" s="6" t="e">
        <f>VLOOKUP(A507,#REF!,2,0)</f>
        <v>#REF!</v>
      </c>
      <c r="I507" s="59" t="e">
        <f>SUMIFS(#REF!,#REF!,Plano_Detalhado!E507,#REF!,Plano_Detalhado!F507)</f>
        <v>#REF!</v>
      </c>
      <c r="J507" s="59" t="e">
        <f t="shared" si="57"/>
        <v>#REF!</v>
      </c>
      <c r="K507" s="59" t="e">
        <f>SUMIFS(#REF!,#REF!,Plano_Detalhado!E507,#REF!,Plano_Detalhado!F507)</f>
        <v>#REF!</v>
      </c>
      <c r="L507" s="59" t="e">
        <f t="shared" si="58"/>
        <v>#REF!</v>
      </c>
      <c r="M507" s="61"/>
      <c r="N507" s="61" t="e">
        <f t="shared" si="59"/>
        <v>#REF!</v>
      </c>
      <c r="O507" s="61"/>
      <c r="P507" s="20" t="s">
        <v>328</v>
      </c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24"/>
      <c r="BI507" s="14"/>
      <c r="BJ507" s="14"/>
      <c r="BK507" s="14"/>
      <c r="BL507" s="14"/>
      <c r="BN507" s="2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</row>
    <row r="508" spans="1:79" hidden="1" outlineLevel="1" x14ac:dyDescent="0.4">
      <c r="A508" s="3" t="str">
        <f t="shared" si="53"/>
        <v>lt003_entityflg_chrnc_physcl_rsk</v>
      </c>
      <c r="B508" s="8" t="s">
        <v>16</v>
      </c>
      <c r="C508" s="9" t="s">
        <v>16</v>
      </c>
      <c r="D508" s="6" t="s">
        <v>30</v>
      </c>
      <c r="E508" s="10" t="s">
        <v>326</v>
      </c>
      <c r="F508" s="11" t="s">
        <v>349</v>
      </c>
      <c r="G508" s="6" t="e">
        <f>INDEX(#REF!,MATCH(Plano_Detalhado!H508,#REF!,0),1)</f>
        <v>#REF!</v>
      </c>
      <c r="H508" s="6" t="e">
        <f>VLOOKUP(A508,#REF!,2,0)</f>
        <v>#REF!</v>
      </c>
      <c r="I508" s="59" t="e">
        <f>SUMIFS(#REF!,#REF!,Plano_Detalhado!E508,#REF!,Plano_Detalhado!F508)</f>
        <v>#REF!</v>
      </c>
      <c r="J508" s="59" t="e">
        <f t="shared" si="57"/>
        <v>#REF!</v>
      </c>
      <c r="K508" s="59" t="e">
        <f>SUMIFS(#REF!,#REF!,Plano_Detalhado!E508,#REF!,Plano_Detalhado!F508)</f>
        <v>#REF!</v>
      </c>
      <c r="L508" s="59" t="e">
        <f t="shared" si="58"/>
        <v>#REF!</v>
      </c>
      <c r="M508" s="61"/>
      <c r="N508" s="61" t="e">
        <f t="shared" si="59"/>
        <v>#REF!</v>
      </c>
      <c r="O508" s="61"/>
      <c r="P508" s="20" t="s">
        <v>328</v>
      </c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24"/>
      <c r="BI508" s="14"/>
      <c r="BJ508" s="14"/>
      <c r="BK508" s="14"/>
      <c r="BL508" s="14"/>
      <c r="BN508" s="2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</row>
    <row r="509" spans="1:79" hidden="1" outlineLevel="1" x14ac:dyDescent="0.4">
      <c r="A509" s="3" t="str">
        <f t="shared" si="53"/>
        <v>lt003_entitypst_cd</v>
      </c>
      <c r="B509" s="8" t="s">
        <v>16</v>
      </c>
      <c r="C509" s="9" t="s">
        <v>16</v>
      </c>
      <c r="D509" s="6" t="s">
        <v>30</v>
      </c>
      <c r="E509" s="10" t="s">
        <v>326</v>
      </c>
      <c r="F509" s="11" t="s">
        <v>350</v>
      </c>
      <c r="G509" s="6" t="e">
        <f>INDEX(#REF!,MATCH(Plano_Detalhado!H509,#REF!,0),1)</f>
        <v>#REF!</v>
      </c>
      <c r="H509" s="6" t="e">
        <f>VLOOKUP(A509,#REF!,2,0)</f>
        <v>#REF!</v>
      </c>
      <c r="I509" s="59" t="e">
        <f>SUMIFS(#REF!,#REF!,Plano_Detalhado!E509,#REF!,Plano_Detalhado!F509)</f>
        <v>#REF!</v>
      </c>
      <c r="J509" s="59" t="e">
        <f t="shared" si="57"/>
        <v>#REF!</v>
      </c>
      <c r="K509" s="59" t="e">
        <f>SUMIFS(#REF!,#REF!,Plano_Detalhado!E509,#REF!,Plano_Detalhado!F509)</f>
        <v>#REF!</v>
      </c>
      <c r="L509" s="59" t="e">
        <f t="shared" si="58"/>
        <v>#REF!</v>
      </c>
      <c r="M509" s="61"/>
      <c r="N509" s="61" t="e">
        <f t="shared" si="59"/>
        <v>#REF!</v>
      </c>
      <c r="O509" s="61"/>
      <c r="P509" s="20" t="s">
        <v>328</v>
      </c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24"/>
      <c r="BI509" s="14"/>
      <c r="BJ509" s="14"/>
      <c r="BK509" s="14"/>
      <c r="BL509" s="14"/>
      <c r="BN509" s="2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</row>
    <row r="510" spans="1:79" hidden="1" outlineLevel="1" x14ac:dyDescent="0.4">
      <c r="A510" s="3" t="str">
        <f t="shared" si="53"/>
        <v>lt003_entityesg_sbsctr</v>
      </c>
      <c r="B510" s="8" t="s">
        <v>16</v>
      </c>
      <c r="C510" s="9" t="s">
        <v>16</v>
      </c>
      <c r="D510" s="6" t="s">
        <v>30</v>
      </c>
      <c r="E510" s="10" t="s">
        <v>326</v>
      </c>
      <c r="F510" s="11" t="s">
        <v>351</v>
      </c>
      <c r="G510" s="6" t="e">
        <f>INDEX(#REF!,MATCH(Plano_Detalhado!H510,#REF!,0),1)</f>
        <v>#REF!</v>
      </c>
      <c r="H510" s="6" t="e">
        <f>VLOOKUP(A510,#REF!,2,0)</f>
        <v>#REF!</v>
      </c>
      <c r="I510" s="59" t="e">
        <f>SUMIFS(#REF!,#REF!,Plano_Detalhado!E510,#REF!,Plano_Detalhado!F510)</f>
        <v>#REF!</v>
      </c>
      <c r="J510" s="59" t="e">
        <f t="shared" si="57"/>
        <v>#REF!</v>
      </c>
      <c r="K510" s="59" t="e">
        <f>SUMIFS(#REF!,#REF!,Plano_Detalhado!E510,#REF!,Plano_Detalhado!F510)</f>
        <v>#REF!</v>
      </c>
      <c r="L510" s="59" t="e">
        <f t="shared" si="58"/>
        <v>#REF!</v>
      </c>
      <c r="M510" s="61"/>
      <c r="N510" s="61" t="e">
        <f t="shared" si="59"/>
        <v>#REF!</v>
      </c>
      <c r="O510" s="61"/>
      <c r="P510" s="20" t="s">
        <v>328</v>
      </c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24"/>
      <c r="BI510" s="14"/>
      <c r="BJ510" s="14"/>
      <c r="BK510" s="14"/>
      <c r="BL510" s="14"/>
      <c r="BN510" s="2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</row>
    <row r="511" spans="1:79" hidden="1" outlineLevel="1" x14ac:dyDescent="0.4">
      <c r="A511" s="3" t="str">
        <f t="shared" si="53"/>
        <v>lt003_entityttl_lblty</v>
      </c>
      <c r="B511" s="8" t="s">
        <v>16</v>
      </c>
      <c r="C511" s="9" t="s">
        <v>16</v>
      </c>
      <c r="D511" s="6" t="s">
        <v>30</v>
      </c>
      <c r="E511" s="10" t="s">
        <v>326</v>
      </c>
      <c r="F511" s="11" t="s">
        <v>352</v>
      </c>
      <c r="G511" s="6" t="e">
        <f>INDEX(#REF!,MATCH(Plano_Detalhado!H511,#REF!,0),1)</f>
        <v>#REF!</v>
      </c>
      <c r="H511" s="6" t="e">
        <f>VLOOKUP(A511,#REF!,2,0)</f>
        <v>#REF!</v>
      </c>
      <c r="I511" s="59" t="e">
        <f>SUMIFS(#REF!,#REF!,Plano_Detalhado!E511,#REF!,Plano_Detalhado!F511)</f>
        <v>#REF!</v>
      </c>
      <c r="J511" s="59" t="e">
        <f t="shared" si="57"/>
        <v>#REF!</v>
      </c>
      <c r="K511" s="59" t="e">
        <f>SUMIFS(#REF!,#REF!,Plano_Detalhado!E511,#REF!,Plano_Detalhado!F511)</f>
        <v>#REF!</v>
      </c>
      <c r="L511" s="59" t="e">
        <f t="shared" si="58"/>
        <v>#REF!</v>
      </c>
      <c r="M511" s="61"/>
      <c r="N511" s="61" t="e">
        <f t="shared" si="59"/>
        <v>#REF!</v>
      </c>
      <c r="O511" s="61"/>
      <c r="P511" s="20" t="s">
        <v>328</v>
      </c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24"/>
      <c r="BI511" s="14"/>
      <c r="BJ511" s="14"/>
      <c r="BK511" s="14"/>
      <c r="BL511" s="14"/>
      <c r="BN511" s="2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</row>
    <row r="512" spans="1:79" hidden="1" outlineLevel="1" x14ac:dyDescent="0.4">
      <c r="A512" s="3" t="str">
        <f t="shared" si="53"/>
        <v>lt003_entityisin</v>
      </c>
      <c r="B512" s="8" t="s">
        <v>16</v>
      </c>
      <c r="C512" s="9" t="s">
        <v>16</v>
      </c>
      <c r="D512" s="6" t="s">
        <v>30</v>
      </c>
      <c r="E512" s="10" t="s">
        <v>326</v>
      </c>
      <c r="F512" s="11" t="s">
        <v>229</v>
      </c>
      <c r="G512" s="6" t="e">
        <f>INDEX(#REF!,MATCH(Plano_Detalhado!H512,#REF!,0),1)</f>
        <v>#REF!</v>
      </c>
      <c r="H512" s="6" t="e">
        <f>VLOOKUP(A512,#REF!,2,0)</f>
        <v>#REF!</v>
      </c>
      <c r="I512" s="59" t="e">
        <f>SUMIFS(#REF!,#REF!,Plano_Detalhado!E512,#REF!,Plano_Detalhado!F512)</f>
        <v>#REF!</v>
      </c>
      <c r="J512" s="59" t="e">
        <f t="shared" si="57"/>
        <v>#REF!</v>
      </c>
      <c r="K512" s="59" t="e">
        <f>SUMIFS(#REF!,#REF!,Plano_Detalhado!E512,#REF!,Plano_Detalhado!F512)</f>
        <v>#REF!</v>
      </c>
      <c r="L512" s="59" t="e">
        <f t="shared" si="58"/>
        <v>#REF!</v>
      </c>
      <c r="M512" s="61"/>
      <c r="N512" s="61" t="e">
        <f t="shared" si="59"/>
        <v>#REF!</v>
      </c>
      <c r="O512" s="61"/>
      <c r="P512" s="20" t="s">
        <v>328</v>
      </c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24"/>
      <c r="BI512" s="14"/>
      <c r="BJ512" s="14"/>
      <c r="BK512" s="14"/>
      <c r="BL512" s="14"/>
      <c r="BN512" s="2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</row>
    <row r="513" spans="1:79" hidden="1" outlineLevel="1" x14ac:dyDescent="0.4">
      <c r="A513" s="3" t="str">
        <f t="shared" si="53"/>
        <v>lt003_entitygrp_annl_trnvr_le</v>
      </c>
      <c r="B513" s="8" t="s">
        <v>16</v>
      </c>
      <c r="C513" s="9" t="s">
        <v>16</v>
      </c>
      <c r="D513" s="6" t="s">
        <v>30</v>
      </c>
      <c r="E513" s="10" t="s">
        <v>326</v>
      </c>
      <c r="F513" s="11" t="s">
        <v>353</v>
      </c>
      <c r="G513" s="6" t="e">
        <f>INDEX(#REF!,MATCH(Plano_Detalhado!H513,#REF!,0),1)</f>
        <v>#REF!</v>
      </c>
      <c r="H513" s="6" t="e">
        <f>VLOOKUP(A513,#REF!,2,0)</f>
        <v>#REF!</v>
      </c>
      <c r="I513" s="59" t="e">
        <f>SUMIFS(#REF!,#REF!,Plano_Detalhado!E513,#REF!,Plano_Detalhado!F513)</f>
        <v>#REF!</v>
      </c>
      <c r="J513" s="59" t="e">
        <f t="shared" si="57"/>
        <v>#REF!</v>
      </c>
      <c r="K513" s="59" t="e">
        <f>SUMIFS(#REF!,#REF!,Plano_Detalhado!E513,#REF!,Plano_Detalhado!F513)</f>
        <v>#REF!</v>
      </c>
      <c r="L513" s="59" t="e">
        <f t="shared" si="58"/>
        <v>#REF!</v>
      </c>
      <c r="M513" s="61"/>
      <c r="N513" s="61" t="e">
        <f t="shared" si="59"/>
        <v>#REF!</v>
      </c>
      <c r="O513" s="61"/>
      <c r="P513" s="20" t="s">
        <v>328</v>
      </c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24"/>
      <c r="BI513" s="14"/>
      <c r="BJ513" s="14"/>
      <c r="BK513" s="14"/>
      <c r="BL513" s="14"/>
      <c r="BN513" s="2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</row>
    <row r="514" spans="1:79" hidden="1" outlineLevel="1" x14ac:dyDescent="0.4">
      <c r="A514" s="3" t="str">
        <f t="shared" si="53"/>
        <v>lt003_entitygrp_ttl_lblty</v>
      </c>
      <c r="B514" s="8" t="s">
        <v>16</v>
      </c>
      <c r="C514" s="9" t="s">
        <v>16</v>
      </c>
      <c r="D514" s="6" t="s">
        <v>30</v>
      </c>
      <c r="E514" s="10" t="s">
        <v>326</v>
      </c>
      <c r="F514" s="11" t="s">
        <v>354</v>
      </c>
      <c r="G514" s="6" t="e">
        <f>INDEX(#REF!,MATCH(Plano_Detalhado!H514,#REF!,0),1)</f>
        <v>#REF!</v>
      </c>
      <c r="H514" s="6" t="e">
        <f>VLOOKUP(A514,#REF!,2,0)</f>
        <v>#REF!</v>
      </c>
      <c r="I514" s="59" t="e">
        <f>SUMIFS(#REF!,#REF!,Plano_Detalhado!E514,#REF!,Plano_Detalhado!F514)</f>
        <v>#REF!</v>
      </c>
      <c r="J514" s="59" t="e">
        <f t="shared" si="57"/>
        <v>#REF!</v>
      </c>
      <c r="K514" s="59" t="e">
        <f>SUMIFS(#REF!,#REF!,Plano_Detalhado!E514,#REF!,Plano_Detalhado!F514)</f>
        <v>#REF!</v>
      </c>
      <c r="L514" s="59" t="e">
        <f t="shared" si="58"/>
        <v>#REF!</v>
      </c>
      <c r="M514" s="61"/>
      <c r="N514" s="61" t="e">
        <f t="shared" si="59"/>
        <v>#REF!</v>
      </c>
      <c r="O514" s="61"/>
      <c r="P514" s="20" t="s">
        <v>328</v>
      </c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24"/>
      <c r="BI514" s="14"/>
      <c r="BJ514" s="14"/>
      <c r="BK514" s="14"/>
      <c r="BL514" s="14"/>
      <c r="BN514" s="2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</row>
    <row r="515" spans="1:79" hidden="1" outlineLevel="1" x14ac:dyDescent="0.4">
      <c r="A515" s="3" t="str">
        <f t="shared" si="53"/>
        <v>lt003_entityflg_grp_nfrd_applcblty</v>
      </c>
      <c r="B515" s="8" t="s">
        <v>16</v>
      </c>
      <c r="C515" s="9" t="s">
        <v>16</v>
      </c>
      <c r="D515" s="6" t="s">
        <v>30</v>
      </c>
      <c r="E515" s="10" t="s">
        <v>326</v>
      </c>
      <c r="F515" s="11" t="s">
        <v>355</v>
      </c>
      <c r="G515" s="6" t="e">
        <f>INDEX(#REF!,MATCH(Plano_Detalhado!H515,#REF!,0),1)</f>
        <v>#REF!</v>
      </c>
      <c r="H515" s="6" t="e">
        <f>VLOOKUP(A515,#REF!,2,0)</f>
        <v>#REF!</v>
      </c>
      <c r="I515" s="59" t="e">
        <f>SUMIFS(#REF!,#REF!,Plano_Detalhado!E515,#REF!,Plano_Detalhado!F515)</f>
        <v>#REF!</v>
      </c>
      <c r="J515" s="59" t="e">
        <f t="shared" si="57"/>
        <v>#REF!</v>
      </c>
      <c r="K515" s="59" t="e">
        <f>SUMIFS(#REF!,#REF!,Plano_Detalhado!E515,#REF!,Plano_Detalhado!F515)</f>
        <v>#REF!</v>
      </c>
      <c r="L515" s="59" t="e">
        <f t="shared" si="58"/>
        <v>#REF!</v>
      </c>
      <c r="M515" s="61"/>
      <c r="N515" s="61" t="e">
        <f t="shared" si="59"/>
        <v>#REF!</v>
      </c>
      <c r="O515" s="61"/>
      <c r="P515" s="20" t="s">
        <v>328</v>
      </c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24"/>
      <c r="BI515" s="14"/>
      <c r="BJ515" s="14"/>
      <c r="BK515" s="14"/>
      <c r="BL515" s="14"/>
      <c r="BN515" s="2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</row>
    <row r="516" spans="1:79" hidden="1" outlineLevel="1" x14ac:dyDescent="0.4">
      <c r="A516" s="3" t="str">
        <f t="shared" ref="A516:A622" si="60">E516&amp;F516</f>
        <v>lt003_entitygrp_emssns_scp1</v>
      </c>
      <c r="B516" s="8" t="s">
        <v>16</v>
      </c>
      <c r="C516" s="9" t="s">
        <v>16</v>
      </c>
      <c r="D516" s="6" t="s">
        <v>30</v>
      </c>
      <c r="E516" s="10" t="s">
        <v>326</v>
      </c>
      <c r="F516" s="11" t="s">
        <v>356</v>
      </c>
      <c r="G516" s="6" t="e">
        <f>INDEX(#REF!,MATCH(Plano_Detalhado!H516,#REF!,0),1)</f>
        <v>#REF!</v>
      </c>
      <c r="H516" s="6" t="e">
        <f>VLOOKUP(A516,#REF!,2,0)</f>
        <v>#REF!</v>
      </c>
      <c r="I516" s="59" t="e">
        <f>SUMIFS(#REF!,#REF!,Plano_Detalhado!E516,#REF!,Plano_Detalhado!F516)</f>
        <v>#REF!</v>
      </c>
      <c r="J516" s="59" t="e">
        <f t="shared" si="57"/>
        <v>#REF!</v>
      </c>
      <c r="K516" s="59" t="e">
        <f>SUMIFS(#REF!,#REF!,Plano_Detalhado!E516,#REF!,Plano_Detalhado!F516)</f>
        <v>#REF!</v>
      </c>
      <c r="L516" s="59" t="e">
        <f t="shared" si="58"/>
        <v>#REF!</v>
      </c>
      <c r="M516" s="61"/>
      <c r="N516" s="61" t="e">
        <f t="shared" si="59"/>
        <v>#REF!</v>
      </c>
      <c r="O516" s="61"/>
      <c r="P516" s="20" t="s">
        <v>328</v>
      </c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24"/>
      <c r="BI516" s="14"/>
      <c r="BJ516" s="14"/>
      <c r="BK516" s="14"/>
      <c r="BL516" s="14"/>
      <c r="BN516" s="2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</row>
    <row r="517" spans="1:79" hidden="1" outlineLevel="1" x14ac:dyDescent="0.4">
      <c r="A517" s="3" t="str">
        <f t="shared" si="60"/>
        <v>lt003_entitygrp_emssns_scp2</v>
      </c>
      <c r="B517" s="8" t="s">
        <v>16</v>
      </c>
      <c r="C517" s="9" t="s">
        <v>16</v>
      </c>
      <c r="D517" s="6" t="s">
        <v>30</v>
      </c>
      <c r="E517" s="10" t="s">
        <v>326</v>
      </c>
      <c r="F517" s="11" t="s">
        <v>357</v>
      </c>
      <c r="G517" s="6" t="e">
        <f>INDEX(#REF!,MATCH(Plano_Detalhado!H517,#REF!,0),1)</f>
        <v>#REF!</v>
      </c>
      <c r="H517" s="6" t="e">
        <f>VLOOKUP(A517,#REF!,2,0)</f>
        <v>#REF!</v>
      </c>
      <c r="I517" s="59" t="e">
        <f>SUMIFS(#REF!,#REF!,Plano_Detalhado!E517,#REF!,Plano_Detalhado!F517)</f>
        <v>#REF!</v>
      </c>
      <c r="J517" s="59" t="e">
        <f t="shared" si="57"/>
        <v>#REF!</v>
      </c>
      <c r="K517" s="59" t="e">
        <f>SUMIFS(#REF!,#REF!,Plano_Detalhado!E517,#REF!,Plano_Detalhado!F517)</f>
        <v>#REF!</v>
      </c>
      <c r="L517" s="59" t="e">
        <f t="shared" si="58"/>
        <v>#REF!</v>
      </c>
      <c r="M517" s="61"/>
      <c r="N517" s="61" t="e">
        <f t="shared" si="59"/>
        <v>#REF!</v>
      </c>
      <c r="O517" s="61"/>
      <c r="P517" s="20" t="s">
        <v>328</v>
      </c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24"/>
      <c r="BI517" s="14"/>
      <c r="BJ517" s="14"/>
      <c r="BK517" s="14"/>
      <c r="BL517" s="14"/>
      <c r="BN517" s="2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</row>
    <row r="518" spans="1:79" hidden="1" outlineLevel="1" x14ac:dyDescent="0.4">
      <c r="A518" s="3" t="str">
        <f t="shared" si="60"/>
        <v>lt003_entitygrp_emssns_scp3</v>
      </c>
      <c r="B518" s="8" t="s">
        <v>16</v>
      </c>
      <c r="C518" s="9" t="s">
        <v>16</v>
      </c>
      <c r="D518" s="6" t="s">
        <v>30</v>
      </c>
      <c r="E518" s="10" t="s">
        <v>326</v>
      </c>
      <c r="F518" s="11" t="s">
        <v>358</v>
      </c>
      <c r="G518" s="6" t="e">
        <f>INDEX(#REF!,MATCH(Plano_Detalhado!H518,#REF!,0),1)</f>
        <v>#REF!</v>
      </c>
      <c r="H518" s="6" t="e">
        <f>VLOOKUP(A518,#REF!,2,0)</f>
        <v>#REF!</v>
      </c>
      <c r="I518" s="59" t="e">
        <f>SUMIFS(#REF!,#REF!,Plano_Detalhado!E518,#REF!,Plano_Detalhado!F518)</f>
        <v>#REF!</v>
      </c>
      <c r="J518" s="59" t="e">
        <f t="shared" si="57"/>
        <v>#REF!</v>
      </c>
      <c r="K518" s="59" t="e">
        <f>SUMIFS(#REF!,#REF!,Plano_Detalhado!E518,#REF!,Plano_Detalhado!F518)</f>
        <v>#REF!</v>
      </c>
      <c r="L518" s="59" t="e">
        <f t="shared" si="58"/>
        <v>#REF!</v>
      </c>
      <c r="M518" s="61"/>
      <c r="N518" s="61" t="e">
        <f t="shared" si="59"/>
        <v>#REF!</v>
      </c>
      <c r="O518" s="61"/>
      <c r="P518" s="20" t="s">
        <v>328</v>
      </c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24"/>
      <c r="BI518" s="14"/>
      <c r="BJ518" s="14"/>
      <c r="BK518" s="14"/>
      <c r="BL518" s="14"/>
      <c r="BN518" s="2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</row>
    <row r="519" spans="1:79" hidden="1" outlineLevel="1" x14ac:dyDescent="0.25">
      <c r="A519" s="3" t="str">
        <f t="shared" si="60"/>
        <v>lt004_protectiontyp_ep_scr</v>
      </c>
      <c r="B519" s="8" t="s">
        <v>16</v>
      </c>
      <c r="C519" s="9" t="s">
        <v>16</v>
      </c>
      <c r="D519" s="6" t="s">
        <v>30</v>
      </c>
      <c r="E519" s="10" t="s">
        <v>359</v>
      </c>
      <c r="F519" s="11" t="s">
        <v>360</v>
      </c>
      <c r="G519" s="6" t="e">
        <f>INDEX(#REF!,MATCH(Plano_Detalhado!H519,#REF!,0),1)</f>
        <v>#REF!</v>
      </c>
      <c r="H519" s="6" t="e">
        <f>VLOOKUP(A519,#REF!,2,0)</f>
        <v>#REF!</v>
      </c>
      <c r="I519" s="59" t="e">
        <f>SUMIFS(#REF!,#REF!,Plano_Detalhado!E519,#REF!,Plano_Detalhado!F519)</f>
        <v>#REF!</v>
      </c>
      <c r="J519" s="59" t="e">
        <f t="shared" si="57"/>
        <v>#REF!</v>
      </c>
      <c r="K519" s="59" t="e">
        <f>SUMIFS(#REF!,#REF!,Plano_Detalhado!E519,#REF!,Plano_Detalhado!F519)</f>
        <v>#REF!</v>
      </c>
      <c r="L519" s="59" t="e">
        <f t="shared" si="58"/>
        <v>#REF!</v>
      </c>
      <c r="M519" s="61"/>
      <c r="N519" s="61" t="e">
        <f t="shared" si="59"/>
        <v>#REF!</v>
      </c>
      <c r="O519" s="61"/>
      <c r="P519" s="22" t="s">
        <v>29</v>
      </c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24"/>
      <c r="BI519" s="14"/>
      <c r="BJ519" s="14"/>
      <c r="BK519" s="14"/>
      <c r="BL519" s="14"/>
      <c r="BN519" s="2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</row>
    <row r="520" spans="1:79" hidden="1" outlineLevel="1" x14ac:dyDescent="0.25">
      <c r="A520" s="3" t="str">
        <f t="shared" si="60"/>
        <v>lt004_protectionep_scr</v>
      </c>
      <c r="B520" s="8" t="s">
        <v>16</v>
      </c>
      <c r="C520" s="9" t="s">
        <v>16</v>
      </c>
      <c r="D520" s="6" t="s">
        <v>30</v>
      </c>
      <c r="E520" s="10" t="s">
        <v>359</v>
      </c>
      <c r="F520" s="11" t="s">
        <v>361</v>
      </c>
      <c r="G520" s="6" t="e">
        <f>INDEX(#REF!,MATCH(Plano_Detalhado!H520,#REF!,0),1)</f>
        <v>#REF!</v>
      </c>
      <c r="H520" s="6" t="e">
        <f>VLOOKUP(A520,#REF!,2,0)</f>
        <v>#REF!</v>
      </c>
      <c r="I520" s="59" t="e">
        <f>SUMIFS(#REF!,#REF!,Plano_Detalhado!E520,#REF!,Plano_Detalhado!F520)</f>
        <v>#REF!</v>
      </c>
      <c r="J520" s="59" t="e">
        <f t="shared" si="57"/>
        <v>#REF!</v>
      </c>
      <c r="K520" s="59" t="e">
        <f>SUMIFS(#REF!,#REF!,Plano_Detalhado!E520,#REF!,Plano_Detalhado!F520)</f>
        <v>#REF!</v>
      </c>
      <c r="L520" s="59" t="e">
        <f t="shared" si="58"/>
        <v>#REF!</v>
      </c>
      <c r="M520" s="61"/>
      <c r="N520" s="61" t="e">
        <f t="shared" si="59"/>
        <v>#REF!</v>
      </c>
      <c r="O520" s="61"/>
      <c r="P520" s="22" t="s">
        <v>29</v>
      </c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24"/>
      <c r="BI520" s="14"/>
      <c r="BJ520" s="14"/>
      <c r="BK520" s="14"/>
      <c r="BL520" s="14"/>
      <c r="BN520" s="2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</row>
    <row r="521" spans="1:79" hidden="1" outlineLevel="1" x14ac:dyDescent="0.25">
      <c r="A521" s="3" t="str">
        <f t="shared" si="60"/>
        <v>lt004_protectiontyp_epc_lbl</v>
      </c>
      <c r="B521" s="8" t="s">
        <v>16</v>
      </c>
      <c r="C521" s="9" t="s">
        <v>16</v>
      </c>
      <c r="D521" s="6" t="s">
        <v>30</v>
      </c>
      <c r="E521" s="10" t="s">
        <v>359</v>
      </c>
      <c r="F521" s="11" t="s">
        <v>362</v>
      </c>
      <c r="G521" s="6" t="e">
        <f>INDEX(#REF!,MATCH(Plano_Detalhado!H521,#REF!,0),1)</f>
        <v>#REF!</v>
      </c>
      <c r="H521" s="6" t="e">
        <f>VLOOKUP(A521,#REF!,2,0)</f>
        <v>#REF!</v>
      </c>
      <c r="I521" s="59" t="e">
        <f>SUMIFS(#REF!,#REF!,Plano_Detalhado!E521,#REF!,Plano_Detalhado!F521)</f>
        <v>#REF!</v>
      </c>
      <c r="J521" s="59" t="e">
        <f t="shared" si="57"/>
        <v>#REF!</v>
      </c>
      <c r="K521" s="59" t="e">
        <f>SUMIFS(#REF!,#REF!,Plano_Detalhado!E521,#REF!,Plano_Detalhado!F521)</f>
        <v>#REF!</v>
      </c>
      <c r="L521" s="59" t="e">
        <f t="shared" si="58"/>
        <v>#REF!</v>
      </c>
      <c r="M521" s="61"/>
      <c r="N521" s="61" t="e">
        <f t="shared" si="59"/>
        <v>#REF!</v>
      </c>
      <c r="O521" s="61"/>
      <c r="P521" s="22" t="s">
        <v>29</v>
      </c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24"/>
      <c r="BI521" s="14"/>
      <c r="BJ521" s="14"/>
      <c r="BK521" s="14"/>
      <c r="BL521" s="14"/>
      <c r="BN521" s="2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</row>
    <row r="522" spans="1:79" hidden="1" outlineLevel="1" x14ac:dyDescent="0.25">
      <c r="A522" s="3" t="str">
        <f t="shared" si="60"/>
        <v>lt004_protectionepc_lbl</v>
      </c>
      <c r="B522" s="8" t="s">
        <v>16</v>
      </c>
      <c r="C522" s="9" t="s">
        <v>16</v>
      </c>
      <c r="D522" s="6" t="s">
        <v>30</v>
      </c>
      <c r="E522" s="10" t="s">
        <v>359</v>
      </c>
      <c r="F522" s="11" t="s">
        <v>363</v>
      </c>
      <c r="G522" s="6" t="e">
        <f>INDEX(#REF!,MATCH(Plano_Detalhado!H522,#REF!,0),1)</f>
        <v>#REF!</v>
      </c>
      <c r="H522" s="6" t="e">
        <f>VLOOKUP(A522,#REF!,2,0)</f>
        <v>#REF!</v>
      </c>
      <c r="I522" s="59" t="e">
        <f>SUMIFS(#REF!,#REF!,Plano_Detalhado!E522,#REF!,Plano_Detalhado!F522)</f>
        <v>#REF!</v>
      </c>
      <c r="J522" s="59" t="e">
        <f t="shared" si="57"/>
        <v>#REF!</v>
      </c>
      <c r="K522" s="59" t="e">
        <f>SUMIFS(#REF!,#REF!,Plano_Detalhado!E522,#REF!,Plano_Detalhado!F522)</f>
        <v>#REF!</v>
      </c>
      <c r="L522" s="59" t="e">
        <f t="shared" si="58"/>
        <v>#REF!</v>
      </c>
      <c r="M522" s="61"/>
      <c r="N522" s="61" t="e">
        <f t="shared" si="59"/>
        <v>#REF!</v>
      </c>
      <c r="O522" s="61"/>
      <c r="P522" s="22" t="s">
        <v>29</v>
      </c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24"/>
      <c r="BI522" s="14"/>
      <c r="BJ522" s="14"/>
      <c r="BK522" s="14"/>
      <c r="BL522" s="14"/>
      <c r="BN522" s="2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</row>
    <row r="523" spans="1:79" hidden="1" outlineLevel="1" x14ac:dyDescent="0.25">
      <c r="A523" s="3" t="str">
        <f t="shared" si="60"/>
        <v>lt004_protectionemssns_scp1_prtctn</v>
      </c>
      <c r="B523" s="8" t="s">
        <v>16</v>
      </c>
      <c r="C523" s="9" t="s">
        <v>16</v>
      </c>
      <c r="D523" s="6" t="s">
        <v>30</v>
      </c>
      <c r="E523" s="10" t="s">
        <v>359</v>
      </c>
      <c r="F523" s="11" t="s">
        <v>364</v>
      </c>
      <c r="G523" s="6" t="e">
        <f>INDEX(#REF!,MATCH(Plano_Detalhado!H523,#REF!,0),1)</f>
        <v>#REF!</v>
      </c>
      <c r="H523" s="6" t="e">
        <f>VLOOKUP(A523,#REF!,2,0)</f>
        <v>#REF!</v>
      </c>
      <c r="I523" s="59" t="e">
        <f>SUMIFS(#REF!,#REF!,Plano_Detalhado!E523,#REF!,Plano_Detalhado!F523)</f>
        <v>#REF!</v>
      </c>
      <c r="J523" s="59" t="e">
        <f t="shared" si="57"/>
        <v>#REF!</v>
      </c>
      <c r="K523" s="59" t="e">
        <f>SUMIFS(#REF!,#REF!,Plano_Detalhado!E523,#REF!,Plano_Detalhado!F523)</f>
        <v>#REF!</v>
      </c>
      <c r="L523" s="59" t="e">
        <f t="shared" si="58"/>
        <v>#REF!</v>
      </c>
      <c r="M523" s="61"/>
      <c r="N523" s="61" t="e">
        <f t="shared" si="59"/>
        <v>#REF!</v>
      </c>
      <c r="O523" s="61"/>
      <c r="P523" s="22" t="s">
        <v>29</v>
      </c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24"/>
      <c r="BI523" s="14"/>
      <c r="BJ523" s="14"/>
      <c r="BK523" s="14"/>
      <c r="BL523" s="14"/>
      <c r="BN523" s="2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</row>
    <row r="524" spans="1:79" hidden="1" outlineLevel="1" x14ac:dyDescent="0.25">
      <c r="A524" s="3" t="str">
        <f t="shared" si="60"/>
        <v>lt004_protectionemssns_scp2_prtctn</v>
      </c>
      <c r="B524" s="8" t="s">
        <v>16</v>
      </c>
      <c r="C524" s="9" t="s">
        <v>16</v>
      </c>
      <c r="D524" s="6" t="s">
        <v>30</v>
      </c>
      <c r="E524" s="10" t="s">
        <v>359</v>
      </c>
      <c r="F524" s="11" t="s">
        <v>365</v>
      </c>
      <c r="G524" s="6" t="e">
        <f>INDEX(#REF!,MATCH(Plano_Detalhado!H524,#REF!,0),1)</f>
        <v>#REF!</v>
      </c>
      <c r="H524" s="6" t="e">
        <f>VLOOKUP(A524,#REF!,2,0)</f>
        <v>#REF!</v>
      </c>
      <c r="I524" s="59" t="e">
        <f>SUMIFS(#REF!,#REF!,Plano_Detalhado!E524,#REF!,Plano_Detalhado!F524)</f>
        <v>#REF!</v>
      </c>
      <c r="J524" s="59" t="e">
        <f t="shared" si="57"/>
        <v>#REF!</v>
      </c>
      <c r="K524" s="59" t="e">
        <f>SUMIFS(#REF!,#REF!,Plano_Detalhado!E524,#REF!,Plano_Detalhado!F524)</f>
        <v>#REF!</v>
      </c>
      <c r="L524" s="59" t="e">
        <f t="shared" si="58"/>
        <v>#REF!</v>
      </c>
      <c r="M524" s="61"/>
      <c r="N524" s="61" t="e">
        <f t="shared" si="59"/>
        <v>#REF!</v>
      </c>
      <c r="O524" s="61"/>
      <c r="P524" s="22" t="s">
        <v>29</v>
      </c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24"/>
      <c r="BI524" s="14"/>
      <c r="BJ524" s="14"/>
      <c r="BK524" s="14"/>
      <c r="BL524" s="14"/>
      <c r="BN524" s="2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</row>
    <row r="525" spans="1:79" hidden="1" outlineLevel="1" x14ac:dyDescent="0.25">
      <c r="A525" s="3" t="str">
        <f t="shared" si="60"/>
        <v>lt004_protectionemssns_scp3_prtctn</v>
      </c>
      <c r="B525" s="8" t="s">
        <v>16</v>
      </c>
      <c r="C525" s="9" t="s">
        <v>16</v>
      </c>
      <c r="D525" s="6" t="s">
        <v>30</v>
      </c>
      <c r="E525" s="10" t="s">
        <v>359</v>
      </c>
      <c r="F525" s="11" t="s">
        <v>366</v>
      </c>
      <c r="G525" s="6" t="e">
        <f>INDEX(#REF!,MATCH(Plano_Detalhado!H525,#REF!,0),1)</f>
        <v>#REF!</v>
      </c>
      <c r="H525" s="6" t="e">
        <f>VLOOKUP(A525,#REF!,2,0)</f>
        <v>#REF!</v>
      </c>
      <c r="I525" s="59" t="e">
        <f>SUMIFS(#REF!,#REF!,Plano_Detalhado!E525,#REF!,Plano_Detalhado!F525)</f>
        <v>#REF!</v>
      </c>
      <c r="J525" s="59" t="e">
        <f t="shared" si="57"/>
        <v>#REF!</v>
      </c>
      <c r="K525" s="59" t="e">
        <f>SUMIFS(#REF!,#REF!,Plano_Detalhado!E525,#REF!,Plano_Detalhado!F525)</f>
        <v>#REF!</v>
      </c>
      <c r="L525" s="59" t="e">
        <f t="shared" si="58"/>
        <v>#REF!</v>
      </c>
      <c r="M525" s="61"/>
      <c r="N525" s="61" t="e">
        <f t="shared" si="59"/>
        <v>#REF!</v>
      </c>
      <c r="O525" s="61"/>
      <c r="P525" s="22" t="s">
        <v>29</v>
      </c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24"/>
      <c r="BI525" s="14"/>
      <c r="BJ525" s="14"/>
      <c r="BK525" s="14"/>
      <c r="BL525" s="14"/>
      <c r="BN525" s="2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</row>
    <row r="526" spans="1:79" hidden="1" outlineLevel="1" x14ac:dyDescent="0.25">
      <c r="A526" s="3" t="str">
        <f t="shared" si="60"/>
        <v>lt004_protectionmthd_usd_prtctn_scp_1</v>
      </c>
      <c r="B526" s="8" t="s">
        <v>16</v>
      </c>
      <c r="C526" s="9" t="s">
        <v>16</v>
      </c>
      <c r="D526" s="6" t="s">
        <v>30</v>
      </c>
      <c r="E526" s="10" t="s">
        <v>359</v>
      </c>
      <c r="F526" s="11" t="s">
        <v>367</v>
      </c>
      <c r="G526" s="6" t="e">
        <f>INDEX(#REF!,MATCH(Plano_Detalhado!H526,#REF!,0),1)</f>
        <v>#REF!</v>
      </c>
      <c r="H526" s="6" t="e">
        <f>VLOOKUP(A526,#REF!,2,0)</f>
        <v>#REF!</v>
      </c>
      <c r="I526" s="59" t="e">
        <f>SUMIFS(#REF!,#REF!,Plano_Detalhado!E526,#REF!,Plano_Detalhado!F526)</f>
        <v>#REF!</v>
      </c>
      <c r="J526" s="59" t="e">
        <f t="shared" si="57"/>
        <v>#REF!</v>
      </c>
      <c r="K526" s="59" t="e">
        <f>SUMIFS(#REF!,#REF!,Plano_Detalhado!E526,#REF!,Plano_Detalhado!F526)</f>
        <v>#REF!</v>
      </c>
      <c r="L526" s="59" t="e">
        <f t="shared" si="58"/>
        <v>#REF!</v>
      </c>
      <c r="M526" s="61"/>
      <c r="N526" s="61" t="e">
        <f t="shared" si="59"/>
        <v>#REF!</v>
      </c>
      <c r="O526" s="61"/>
      <c r="P526" s="22" t="s">
        <v>29</v>
      </c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24"/>
      <c r="BI526" s="14"/>
      <c r="BJ526" s="14"/>
      <c r="BK526" s="14"/>
      <c r="BL526" s="14"/>
      <c r="BN526" s="2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</row>
    <row r="527" spans="1:79" hidden="1" outlineLevel="1" x14ac:dyDescent="0.25">
      <c r="A527" s="3" t="str">
        <f t="shared" si="60"/>
        <v>lt004_protectionmthd_usd_prtctn_scp_2</v>
      </c>
      <c r="B527" s="8" t="s">
        <v>16</v>
      </c>
      <c r="C527" s="9" t="s">
        <v>16</v>
      </c>
      <c r="D527" s="6" t="s">
        <v>30</v>
      </c>
      <c r="E527" s="10" t="s">
        <v>359</v>
      </c>
      <c r="F527" s="11" t="s">
        <v>368</v>
      </c>
      <c r="G527" s="6" t="e">
        <f>INDEX(#REF!,MATCH(Plano_Detalhado!H527,#REF!,0),1)</f>
        <v>#REF!</v>
      </c>
      <c r="H527" s="6" t="e">
        <f>VLOOKUP(A527,#REF!,2,0)</f>
        <v>#REF!</v>
      </c>
      <c r="I527" s="59" t="e">
        <f>SUMIFS(#REF!,#REF!,Plano_Detalhado!E527,#REF!,Plano_Detalhado!F527)</f>
        <v>#REF!</v>
      </c>
      <c r="J527" s="59" t="e">
        <f t="shared" si="57"/>
        <v>#REF!</v>
      </c>
      <c r="K527" s="59" t="e">
        <f>SUMIFS(#REF!,#REF!,Plano_Detalhado!E527,#REF!,Plano_Detalhado!F527)</f>
        <v>#REF!</v>
      </c>
      <c r="L527" s="59" t="e">
        <f t="shared" si="58"/>
        <v>#REF!</v>
      </c>
      <c r="M527" s="61"/>
      <c r="N527" s="61" t="e">
        <f t="shared" si="59"/>
        <v>#REF!</v>
      </c>
      <c r="O527" s="61"/>
      <c r="P527" s="22" t="s">
        <v>29</v>
      </c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24"/>
      <c r="BI527" s="14"/>
      <c r="BJ527" s="14"/>
      <c r="BK527" s="14"/>
      <c r="BL527" s="14"/>
      <c r="BN527" s="2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</row>
    <row r="528" spans="1:79" hidden="1" outlineLevel="1" x14ac:dyDescent="0.25">
      <c r="A528" s="3" t="str">
        <f t="shared" si="60"/>
        <v>lt004_protectionmthd_usd_prtctn_scp_3</v>
      </c>
      <c r="B528" s="8" t="s">
        <v>16</v>
      </c>
      <c r="C528" s="9" t="s">
        <v>16</v>
      </c>
      <c r="D528" s="6" t="s">
        <v>30</v>
      </c>
      <c r="E528" s="10" t="s">
        <v>359</v>
      </c>
      <c r="F528" s="11" t="s">
        <v>369</v>
      </c>
      <c r="G528" s="6" t="e">
        <f>INDEX(#REF!,MATCH(Plano_Detalhado!H528,#REF!,0),1)</f>
        <v>#REF!</v>
      </c>
      <c r="H528" s="6" t="e">
        <f>VLOOKUP(A528,#REF!,2,0)</f>
        <v>#REF!</v>
      </c>
      <c r="I528" s="59" t="e">
        <f>SUMIFS(#REF!,#REF!,Plano_Detalhado!E528,#REF!,Plano_Detalhado!F528)</f>
        <v>#REF!</v>
      </c>
      <c r="J528" s="59" t="e">
        <f t="shared" si="57"/>
        <v>#REF!</v>
      </c>
      <c r="K528" s="59" t="e">
        <f>SUMIFS(#REF!,#REF!,Plano_Detalhado!E528,#REF!,Plano_Detalhado!F528)</f>
        <v>#REF!</v>
      </c>
      <c r="L528" s="59" t="e">
        <f t="shared" si="58"/>
        <v>#REF!</v>
      </c>
      <c r="M528" s="61"/>
      <c r="N528" s="61" t="e">
        <f t="shared" si="59"/>
        <v>#REF!</v>
      </c>
      <c r="O528" s="61"/>
      <c r="P528" s="22" t="s">
        <v>29</v>
      </c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24"/>
      <c r="BI528" s="14"/>
      <c r="BJ528" s="14"/>
      <c r="BK528" s="14"/>
      <c r="BL528" s="14"/>
      <c r="BN528" s="2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</row>
    <row r="529" spans="1:79" hidden="1" outlineLevel="1" x14ac:dyDescent="0.25">
      <c r="A529" s="3" t="str">
        <f t="shared" si="60"/>
        <v>lt004_protectionflg_act_physcl_rsk</v>
      </c>
      <c r="B529" s="8" t="s">
        <v>16</v>
      </c>
      <c r="C529" s="9" t="s">
        <v>16</v>
      </c>
      <c r="D529" s="6" t="s">
        <v>30</v>
      </c>
      <c r="E529" s="10" t="s">
        <v>359</v>
      </c>
      <c r="F529" s="11" t="s">
        <v>348</v>
      </c>
      <c r="G529" s="6" t="e">
        <f>INDEX(#REF!,MATCH(Plano_Detalhado!H529,#REF!,0),1)</f>
        <v>#REF!</v>
      </c>
      <c r="H529" s="6" t="e">
        <f>VLOOKUP(A529,#REF!,2,0)</f>
        <v>#REF!</v>
      </c>
      <c r="I529" s="59" t="e">
        <f>SUMIFS(#REF!,#REF!,Plano_Detalhado!E529,#REF!,Plano_Detalhado!F529)</f>
        <v>#REF!</v>
      </c>
      <c r="J529" s="59" t="e">
        <f t="shared" si="57"/>
        <v>#REF!</v>
      </c>
      <c r="K529" s="59" t="e">
        <f>SUMIFS(#REF!,#REF!,Plano_Detalhado!E529,#REF!,Plano_Detalhado!F529)</f>
        <v>#REF!</v>
      </c>
      <c r="L529" s="59" t="e">
        <f t="shared" si="58"/>
        <v>#REF!</v>
      </c>
      <c r="M529" s="61"/>
      <c r="N529" s="61" t="e">
        <f t="shared" si="59"/>
        <v>#REF!</v>
      </c>
      <c r="O529" s="61"/>
      <c r="P529" s="22" t="s">
        <v>29</v>
      </c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24"/>
      <c r="BI529" s="14"/>
      <c r="BJ529" s="14"/>
      <c r="BK529" s="14"/>
      <c r="BL529" s="14"/>
      <c r="BN529" s="2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</row>
    <row r="530" spans="1:79" hidden="1" outlineLevel="1" x14ac:dyDescent="0.25">
      <c r="A530" s="3" t="str">
        <f t="shared" si="60"/>
        <v>lt004_protectionflg_chrnc_physcl_rsk</v>
      </c>
      <c r="B530" s="8" t="s">
        <v>16</v>
      </c>
      <c r="C530" s="9" t="s">
        <v>16</v>
      </c>
      <c r="D530" s="6" t="s">
        <v>30</v>
      </c>
      <c r="E530" s="10" t="s">
        <v>359</v>
      </c>
      <c r="F530" s="11" t="s">
        <v>349</v>
      </c>
      <c r="G530" s="6" t="e">
        <f>INDEX(#REF!,MATCH(Plano_Detalhado!H530,#REF!,0),1)</f>
        <v>#REF!</v>
      </c>
      <c r="H530" s="6" t="e">
        <f>VLOOKUP(A530,#REF!,2,0)</f>
        <v>#REF!</v>
      </c>
      <c r="I530" s="59" t="e">
        <f>SUMIFS(#REF!,#REF!,Plano_Detalhado!E530,#REF!,Plano_Detalhado!F530)</f>
        <v>#REF!</v>
      </c>
      <c r="J530" s="59" t="e">
        <f t="shared" si="57"/>
        <v>#REF!</v>
      </c>
      <c r="K530" s="59" t="e">
        <f>SUMIFS(#REF!,#REF!,Plano_Detalhado!E530,#REF!,Plano_Detalhado!F530)</f>
        <v>#REF!</v>
      </c>
      <c r="L530" s="59" t="e">
        <f t="shared" si="58"/>
        <v>#REF!</v>
      </c>
      <c r="M530" s="61"/>
      <c r="N530" s="61" t="e">
        <f t="shared" si="59"/>
        <v>#REF!</v>
      </c>
      <c r="O530" s="61"/>
      <c r="P530" s="22" t="s">
        <v>29</v>
      </c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24"/>
      <c r="BI530" s="14"/>
      <c r="BJ530" s="14"/>
      <c r="BK530" s="14"/>
      <c r="BL530" s="14"/>
      <c r="BN530" s="2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</row>
    <row r="531" spans="1:79" hidden="1" outlineLevel="1" x14ac:dyDescent="0.25">
      <c r="A531" s="3" t="str">
        <f t="shared" si="60"/>
        <v>lt002_instrumentrsk_mtgtd_cct</v>
      </c>
      <c r="B531" s="8" t="s">
        <v>16</v>
      </c>
      <c r="C531" s="9" t="s">
        <v>16</v>
      </c>
      <c r="D531" s="6" t="s">
        <v>30</v>
      </c>
      <c r="E531" s="10" t="s">
        <v>370</v>
      </c>
      <c r="F531" s="11" t="s">
        <v>371</v>
      </c>
      <c r="G531" s="6" t="e">
        <f>INDEX(#REF!,MATCH(Plano_Detalhado!H531,#REF!,0),1)</f>
        <v>#REF!</v>
      </c>
      <c r="H531" s="6" t="e">
        <f>VLOOKUP(A531,#REF!,2,0)</f>
        <v>#REF!</v>
      </c>
      <c r="I531" s="59" t="e">
        <f>SUMIFS(#REF!,#REF!,Plano_Detalhado!E531,#REF!,Plano_Detalhado!F531)</f>
        <v>#REF!</v>
      </c>
      <c r="J531" s="59" t="e">
        <f t="shared" si="57"/>
        <v>#REF!</v>
      </c>
      <c r="K531" s="59" t="e">
        <f>SUMIFS(#REF!,#REF!,Plano_Detalhado!E531,#REF!,Plano_Detalhado!F531)</f>
        <v>#REF!</v>
      </c>
      <c r="L531" s="59" t="e">
        <f t="shared" si="58"/>
        <v>#REF!</v>
      </c>
      <c r="M531" s="61"/>
      <c r="N531" s="61" t="e">
        <f t="shared" si="59"/>
        <v>#REF!</v>
      </c>
      <c r="O531" s="61"/>
      <c r="P531" s="22" t="s">
        <v>29</v>
      </c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24"/>
      <c r="BI531" s="14"/>
      <c r="BJ531" s="14"/>
      <c r="BK531" s="14"/>
      <c r="BL531" s="14"/>
      <c r="BN531" s="2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</row>
    <row r="532" spans="1:79" hidden="1" outlineLevel="1" x14ac:dyDescent="0.25">
      <c r="A532" s="3" t="str">
        <f t="shared" si="60"/>
        <v>lt002_instrumentrsk_mtgtd_ccp</v>
      </c>
      <c r="B532" s="8" t="s">
        <v>16</v>
      </c>
      <c r="C532" s="9" t="s">
        <v>16</v>
      </c>
      <c r="D532" s="6" t="s">
        <v>30</v>
      </c>
      <c r="E532" s="10" t="s">
        <v>370</v>
      </c>
      <c r="F532" s="11" t="s">
        <v>372</v>
      </c>
      <c r="G532" s="6" t="e">
        <f>INDEX(#REF!,MATCH(Plano_Detalhado!H532,#REF!,0),1)</f>
        <v>#REF!</v>
      </c>
      <c r="H532" s="6" t="e">
        <f>VLOOKUP(A532,#REF!,2,0)</f>
        <v>#REF!</v>
      </c>
      <c r="I532" s="59" t="e">
        <f>SUMIFS(#REF!,#REF!,Plano_Detalhado!E532,#REF!,Plano_Detalhado!F532)</f>
        <v>#REF!</v>
      </c>
      <c r="J532" s="59" t="e">
        <f t="shared" si="57"/>
        <v>#REF!</v>
      </c>
      <c r="K532" s="59" t="e">
        <f>SUMIFS(#REF!,#REF!,Plano_Detalhado!E532,#REF!,Plano_Detalhado!F532)</f>
        <v>#REF!</v>
      </c>
      <c r="L532" s="59" t="e">
        <f t="shared" si="58"/>
        <v>#REF!</v>
      </c>
      <c r="M532" s="61"/>
      <c r="N532" s="61" t="e">
        <f t="shared" si="59"/>
        <v>#REF!</v>
      </c>
      <c r="O532" s="61"/>
      <c r="P532" s="22" t="s">
        <v>29</v>
      </c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24"/>
      <c r="BI532" s="14"/>
      <c r="BJ532" s="14"/>
      <c r="BK532" s="14"/>
      <c r="BL532" s="14"/>
      <c r="BN532" s="2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</row>
    <row r="533" spans="1:79" hidden="1" outlineLevel="1" x14ac:dyDescent="0.25">
      <c r="A533" s="3" t="str">
        <f t="shared" si="60"/>
        <v>lt007_instr_activityenvrnmntl_objctv</v>
      </c>
      <c r="B533" s="8" t="s">
        <v>16</v>
      </c>
      <c r="C533" s="9" t="s">
        <v>16</v>
      </c>
      <c r="D533" s="6" t="s">
        <v>30</v>
      </c>
      <c r="E533" s="10" t="s">
        <v>521</v>
      </c>
      <c r="F533" s="11" t="s">
        <v>373</v>
      </c>
      <c r="G533" s="6" t="e">
        <f>INDEX(#REF!,MATCH(Plano_Detalhado!H533,#REF!,0),1)</f>
        <v>#REF!</v>
      </c>
      <c r="H533" s="6" t="e">
        <f>VLOOKUP(A533,#REF!,2,0)</f>
        <v>#REF!</v>
      </c>
      <c r="I533" s="59" t="e">
        <f>SUMIFS(#REF!,#REF!,Plano_Detalhado!E533,#REF!,Plano_Detalhado!F533)</f>
        <v>#REF!</v>
      </c>
      <c r="J533" s="59" t="e">
        <f t="shared" si="57"/>
        <v>#REF!</v>
      </c>
      <c r="K533" s="59" t="e">
        <f>SUMIFS(#REF!,#REF!,Plano_Detalhado!E533,#REF!,Plano_Detalhado!F533)</f>
        <v>#REF!</v>
      </c>
      <c r="L533" s="59" t="e">
        <f t="shared" si="58"/>
        <v>#REF!</v>
      </c>
      <c r="M533" s="61"/>
      <c r="N533" s="61" t="e">
        <f t="shared" si="59"/>
        <v>#REF!</v>
      </c>
      <c r="O533" s="61"/>
      <c r="P533" s="22" t="s">
        <v>29</v>
      </c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24"/>
      <c r="BI533" s="14"/>
      <c r="BJ533" s="14"/>
      <c r="BK533" s="14"/>
      <c r="BL533" s="14"/>
      <c r="BN533" s="2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</row>
    <row r="534" spans="1:79" hidden="1" outlineLevel="1" x14ac:dyDescent="0.25">
      <c r="A534" s="3" t="str">
        <f t="shared" si="60"/>
        <v>lt007_instr_activitytyp_actvty</v>
      </c>
      <c r="B534" s="8" t="s">
        <v>16</v>
      </c>
      <c r="C534" s="9" t="s">
        <v>16</v>
      </c>
      <c r="D534" s="6" t="s">
        <v>30</v>
      </c>
      <c r="E534" s="10" t="s">
        <v>521</v>
      </c>
      <c r="F534" s="11" t="s">
        <v>374</v>
      </c>
      <c r="G534" s="6" t="e">
        <f>INDEX(#REF!,MATCH(Plano_Detalhado!H534,#REF!,0),1)</f>
        <v>#REF!</v>
      </c>
      <c r="H534" s="6" t="e">
        <f>VLOOKUP(A534,#REF!,2,0)</f>
        <v>#REF!</v>
      </c>
      <c r="I534" s="59" t="e">
        <f>SUMIFS(#REF!,#REF!,Plano_Detalhado!E534,#REF!,Plano_Detalhado!F534)</f>
        <v>#REF!</v>
      </c>
      <c r="J534" s="59" t="e">
        <f t="shared" si="57"/>
        <v>#REF!</v>
      </c>
      <c r="K534" s="59" t="e">
        <f>SUMIFS(#REF!,#REF!,Plano_Detalhado!E534,#REF!,Plano_Detalhado!F534)</f>
        <v>#REF!</v>
      </c>
      <c r="L534" s="59" t="e">
        <f t="shared" si="58"/>
        <v>#REF!</v>
      </c>
      <c r="M534" s="61"/>
      <c r="N534" s="61" t="e">
        <f t="shared" si="59"/>
        <v>#REF!</v>
      </c>
      <c r="O534" s="61"/>
      <c r="P534" s="22" t="s">
        <v>29</v>
      </c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24"/>
      <c r="BI534" s="14"/>
      <c r="BJ534" s="14"/>
      <c r="BK534" s="14"/>
      <c r="BL534" s="14"/>
      <c r="BN534" s="2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</row>
    <row r="535" spans="1:79" hidden="1" outlineLevel="1" x14ac:dyDescent="0.25">
      <c r="A535" s="3" t="str">
        <f t="shared" si="60"/>
        <v>lt002_instrumentlns_clltrlzd_clssfctn</v>
      </c>
      <c r="B535" s="8" t="s">
        <v>16</v>
      </c>
      <c r="C535" s="9" t="s">
        <v>16</v>
      </c>
      <c r="D535" s="6" t="s">
        <v>30</v>
      </c>
      <c r="E535" s="10" t="s">
        <v>370</v>
      </c>
      <c r="F535" s="11" t="s">
        <v>375</v>
      </c>
      <c r="G535" s="6" t="e">
        <f>INDEX(#REF!,MATCH(Plano_Detalhado!H535,#REF!,0),1)</f>
        <v>#REF!</v>
      </c>
      <c r="H535" s="6" t="e">
        <f>VLOOKUP(A535,#REF!,2,0)</f>
        <v>#REF!</v>
      </c>
      <c r="I535" s="59" t="e">
        <f>SUMIFS(#REF!,#REF!,Plano_Detalhado!E535,#REF!,Plano_Detalhado!F535)</f>
        <v>#REF!</v>
      </c>
      <c r="J535" s="59" t="e">
        <f t="shared" si="57"/>
        <v>#REF!</v>
      </c>
      <c r="K535" s="59" t="e">
        <f>SUMIFS(#REF!,#REF!,Plano_Detalhado!E535,#REF!,Plano_Detalhado!F535)</f>
        <v>#REF!</v>
      </c>
      <c r="L535" s="59" t="e">
        <f t="shared" si="58"/>
        <v>#REF!</v>
      </c>
      <c r="M535" s="61"/>
      <c r="N535" s="61" t="e">
        <f t="shared" si="59"/>
        <v>#REF!</v>
      </c>
      <c r="O535" s="61"/>
      <c r="P535" s="22" t="s">
        <v>29</v>
      </c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24"/>
      <c r="BI535" s="14"/>
      <c r="BJ535" s="14"/>
      <c r="BK535" s="14"/>
      <c r="BL535" s="14"/>
      <c r="BN535" s="2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</row>
    <row r="536" spans="1:79" hidden="1" outlineLevel="1" x14ac:dyDescent="0.25">
      <c r="A536" s="3" t="str">
        <f t="shared" si="60"/>
        <v>lt002_instrumentmthd_usd_instrmnt_scp_1</v>
      </c>
      <c r="B536" s="8" t="s">
        <v>16</v>
      </c>
      <c r="C536" s="9" t="s">
        <v>16</v>
      </c>
      <c r="D536" s="6" t="s">
        <v>30</v>
      </c>
      <c r="E536" s="10" t="s">
        <v>370</v>
      </c>
      <c r="F536" s="11" t="s">
        <v>376</v>
      </c>
      <c r="G536" s="6" t="e">
        <f>INDEX(#REF!,MATCH(Plano_Detalhado!H536,#REF!,0),1)</f>
        <v>#REF!</v>
      </c>
      <c r="H536" s="6" t="e">
        <f>VLOOKUP(A536,#REF!,2,0)</f>
        <v>#REF!</v>
      </c>
      <c r="I536" s="59" t="e">
        <f>SUMIFS(#REF!,#REF!,Plano_Detalhado!E536,#REF!,Plano_Detalhado!F536)</f>
        <v>#REF!</v>
      </c>
      <c r="J536" s="59" t="e">
        <f t="shared" si="57"/>
        <v>#REF!</v>
      </c>
      <c r="K536" s="59" t="e">
        <f>SUMIFS(#REF!,#REF!,Plano_Detalhado!E536,#REF!,Plano_Detalhado!F536)</f>
        <v>#REF!</v>
      </c>
      <c r="L536" s="59" t="e">
        <f t="shared" si="58"/>
        <v>#REF!</v>
      </c>
      <c r="M536" s="61"/>
      <c r="N536" s="61" t="e">
        <f t="shared" si="59"/>
        <v>#REF!</v>
      </c>
      <c r="O536" s="61"/>
      <c r="P536" s="22" t="s">
        <v>29</v>
      </c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24"/>
      <c r="BI536" s="14"/>
      <c r="BJ536" s="14"/>
      <c r="BK536" s="14"/>
      <c r="BL536" s="14"/>
      <c r="BN536" s="2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</row>
    <row r="537" spans="1:79" hidden="1" outlineLevel="1" x14ac:dyDescent="0.25">
      <c r="A537" s="3" t="str">
        <f t="shared" si="60"/>
        <v>lt002_instrumentmthd_usd_instrmnt_scp_2</v>
      </c>
      <c r="B537" s="8" t="s">
        <v>16</v>
      </c>
      <c r="C537" s="9" t="s">
        <v>16</v>
      </c>
      <c r="D537" s="6" t="s">
        <v>30</v>
      </c>
      <c r="E537" s="10" t="s">
        <v>370</v>
      </c>
      <c r="F537" s="11" t="s">
        <v>377</v>
      </c>
      <c r="G537" s="6" t="e">
        <f>INDEX(#REF!,MATCH(Plano_Detalhado!H537,#REF!,0),1)</f>
        <v>#REF!</v>
      </c>
      <c r="H537" s="6" t="e">
        <f>VLOOKUP(A537,#REF!,2,0)</f>
        <v>#REF!</v>
      </c>
      <c r="I537" s="59" t="e">
        <f>SUMIFS(#REF!,#REF!,Plano_Detalhado!E537,#REF!,Plano_Detalhado!F537)</f>
        <v>#REF!</v>
      </c>
      <c r="J537" s="59" t="e">
        <f t="shared" si="57"/>
        <v>#REF!</v>
      </c>
      <c r="K537" s="59" t="e">
        <f>SUMIFS(#REF!,#REF!,Plano_Detalhado!E537,#REF!,Plano_Detalhado!F537)</f>
        <v>#REF!</v>
      </c>
      <c r="L537" s="59" t="e">
        <f t="shared" si="58"/>
        <v>#REF!</v>
      </c>
      <c r="M537" s="61"/>
      <c r="N537" s="61" t="e">
        <f t="shared" si="59"/>
        <v>#REF!</v>
      </c>
      <c r="O537" s="61"/>
      <c r="P537" s="22" t="s">
        <v>29</v>
      </c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24"/>
      <c r="BI537" s="14"/>
      <c r="BJ537" s="14"/>
      <c r="BK537" s="14"/>
      <c r="BL537" s="14"/>
      <c r="BN537" s="2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</row>
    <row r="538" spans="1:79" hidden="1" outlineLevel="1" x14ac:dyDescent="0.25">
      <c r="A538" s="3" t="str">
        <f t="shared" si="60"/>
        <v>lt002_instrumentmthd_usd_instrmnt_scp_3</v>
      </c>
      <c r="B538" s="8" t="s">
        <v>16</v>
      </c>
      <c r="C538" s="9" t="s">
        <v>16</v>
      </c>
      <c r="D538" s="6" t="s">
        <v>30</v>
      </c>
      <c r="E538" s="10" t="s">
        <v>370</v>
      </c>
      <c r="F538" s="11" t="s">
        <v>378</v>
      </c>
      <c r="G538" s="6" t="e">
        <f>INDEX(#REF!,MATCH(Plano_Detalhado!H538,#REF!,0),1)</f>
        <v>#REF!</v>
      </c>
      <c r="H538" s="6" t="e">
        <f>VLOOKUP(A538,#REF!,2,0)</f>
        <v>#REF!</v>
      </c>
      <c r="I538" s="59" t="e">
        <f>SUMIFS(#REF!,#REF!,Plano_Detalhado!E538,#REF!,Plano_Detalhado!F538)</f>
        <v>#REF!</v>
      </c>
      <c r="J538" s="59" t="e">
        <f t="shared" si="57"/>
        <v>#REF!</v>
      </c>
      <c r="K538" s="59" t="e">
        <f>SUMIFS(#REF!,#REF!,Plano_Detalhado!E538,#REF!,Plano_Detalhado!F538)</f>
        <v>#REF!</v>
      </c>
      <c r="L538" s="59" t="e">
        <f t="shared" si="58"/>
        <v>#REF!</v>
      </c>
      <c r="M538" s="61"/>
      <c r="N538" s="61" t="e">
        <f t="shared" si="59"/>
        <v>#REF!</v>
      </c>
      <c r="O538" s="61"/>
      <c r="P538" s="22" t="s">
        <v>29</v>
      </c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24"/>
      <c r="BI538" s="14"/>
      <c r="BJ538" s="14"/>
      <c r="BK538" s="14"/>
      <c r="BL538" s="14"/>
      <c r="BN538" s="2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</row>
    <row r="539" spans="1:79" hidden="1" outlineLevel="1" x14ac:dyDescent="0.25">
      <c r="A539" s="3" t="str">
        <f t="shared" si="60"/>
        <v>lt002_instrumentsstnbl_ctgry_txnmy</v>
      </c>
      <c r="B539" s="8" t="s">
        <v>16</v>
      </c>
      <c r="C539" s="9" t="s">
        <v>16</v>
      </c>
      <c r="D539" s="6" t="s">
        <v>30</v>
      </c>
      <c r="E539" s="10" t="s">
        <v>370</v>
      </c>
      <c r="F539" s="11" t="s">
        <v>379</v>
      </c>
      <c r="G539" s="6" t="e">
        <f>INDEX(#REF!,MATCH(Plano_Detalhado!H539,#REF!,0),1)</f>
        <v>#REF!</v>
      </c>
      <c r="H539" s="6" t="e">
        <f>VLOOKUP(A539,#REF!,2,0)</f>
        <v>#REF!</v>
      </c>
      <c r="I539" s="59" t="e">
        <f>SUMIFS(#REF!,#REF!,Plano_Detalhado!E539,#REF!,Plano_Detalhado!F539)</f>
        <v>#REF!</v>
      </c>
      <c r="J539" s="59" t="e">
        <f t="shared" si="57"/>
        <v>#REF!</v>
      </c>
      <c r="K539" s="59" t="e">
        <f>SUMIFS(#REF!,#REF!,Plano_Detalhado!E539,#REF!,Plano_Detalhado!F539)</f>
        <v>#REF!</v>
      </c>
      <c r="L539" s="59" t="e">
        <f t="shared" si="58"/>
        <v>#REF!</v>
      </c>
      <c r="M539" s="61"/>
      <c r="N539" s="61" t="e">
        <f t="shared" si="59"/>
        <v>#REF!</v>
      </c>
      <c r="O539" s="61"/>
      <c r="P539" s="22" t="s">
        <v>29</v>
      </c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24"/>
      <c r="BI539" s="14"/>
      <c r="BJ539" s="14"/>
      <c r="BK539" s="14"/>
      <c r="BL539" s="14"/>
      <c r="BN539" s="2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</row>
    <row r="540" spans="1:79" hidden="1" outlineLevel="1" x14ac:dyDescent="0.25">
      <c r="A540" s="3" t="str">
        <f t="shared" si="60"/>
        <v>lt827_mthd_usd_instrmntambito</v>
      </c>
      <c r="B540" s="8" t="s">
        <v>16</v>
      </c>
      <c r="C540" s="9" t="s">
        <v>16</v>
      </c>
      <c r="D540" s="6" t="s">
        <v>30</v>
      </c>
      <c r="E540" s="10" t="s">
        <v>522</v>
      </c>
      <c r="F540" s="12" t="s">
        <v>380</v>
      </c>
      <c r="G540" s="6" t="e">
        <f>INDEX(#REF!,MATCH(Plano_Detalhado!H540,#REF!,0),1)</f>
        <v>#REF!</v>
      </c>
      <c r="H540" s="6" t="e">
        <f>VLOOKUP(A540,#REF!,2,0)</f>
        <v>#REF!</v>
      </c>
      <c r="I540" s="59" t="e">
        <f>SUMIFS(#REF!,#REF!,Plano_Detalhado!E540,#REF!,Plano_Detalhado!F540)</f>
        <v>#REF!</v>
      </c>
      <c r="J540" s="59" t="e">
        <f t="shared" si="57"/>
        <v>#REF!</v>
      </c>
      <c r="K540" s="59" t="e">
        <f>SUMIFS(#REF!,#REF!,Plano_Detalhado!E540,#REF!,Plano_Detalhado!F540)</f>
        <v>#REF!</v>
      </c>
      <c r="L540" s="59" t="e">
        <f t="shared" si="58"/>
        <v>#REF!</v>
      </c>
      <c r="M540" s="61"/>
      <c r="N540" s="61" t="e">
        <f t="shared" si="59"/>
        <v>#REF!</v>
      </c>
      <c r="O540" s="61"/>
      <c r="P540" s="22" t="s">
        <v>29</v>
      </c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24"/>
      <c r="BI540" s="14"/>
      <c r="BJ540" s="14"/>
      <c r="BK540" s="14"/>
      <c r="BL540" s="14"/>
      <c r="BN540" s="2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</row>
    <row r="541" spans="1:79" hidden="1" outlineLevel="1" x14ac:dyDescent="0.25">
      <c r="A541" s="3" t="str">
        <f t="shared" si="60"/>
        <v>lt827_mthd_usd_instrmntref_date</v>
      </c>
      <c r="B541" s="8" t="s">
        <v>16</v>
      </c>
      <c r="C541" s="9" t="s">
        <v>16</v>
      </c>
      <c r="D541" s="6" t="s">
        <v>30</v>
      </c>
      <c r="E541" s="10" t="s">
        <v>522</v>
      </c>
      <c r="F541" s="12" t="s">
        <v>198</v>
      </c>
      <c r="G541" s="6" t="e">
        <f>INDEX(#REF!,MATCH(Plano_Detalhado!H541,#REF!,0),1)</f>
        <v>#REF!</v>
      </c>
      <c r="H541" s="6" t="e">
        <f>VLOOKUP(A541,#REF!,2,0)</f>
        <v>#REF!</v>
      </c>
      <c r="I541" s="59" t="e">
        <f>SUMIFS(#REF!,#REF!,Plano_Detalhado!E541,#REF!,Plano_Detalhado!F541)</f>
        <v>#REF!</v>
      </c>
      <c r="J541" s="59" t="e">
        <f t="shared" si="57"/>
        <v>#REF!</v>
      </c>
      <c r="K541" s="59" t="e">
        <f>SUMIFS(#REF!,#REF!,Plano_Detalhado!E541,#REF!,Plano_Detalhado!F541)</f>
        <v>#REF!</v>
      </c>
      <c r="L541" s="59" t="e">
        <f t="shared" si="58"/>
        <v>#REF!</v>
      </c>
      <c r="M541" s="61"/>
      <c r="N541" s="61" t="e">
        <f t="shared" si="59"/>
        <v>#REF!</v>
      </c>
      <c r="O541" s="61"/>
      <c r="P541" s="22" t="s">
        <v>29</v>
      </c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24"/>
      <c r="BI541" s="14"/>
      <c r="BJ541" s="14"/>
      <c r="BK541" s="14"/>
      <c r="BL541" s="14"/>
      <c r="BN541" s="2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</row>
    <row r="542" spans="1:79" hidden="1" outlineLevel="1" x14ac:dyDescent="0.25">
      <c r="A542" s="3" t="str">
        <f t="shared" si="60"/>
        <v>lt827_mthd_usd_instrmntordem</v>
      </c>
      <c r="B542" s="8" t="s">
        <v>16</v>
      </c>
      <c r="C542" s="9" t="s">
        <v>16</v>
      </c>
      <c r="D542" s="6" t="s">
        <v>30</v>
      </c>
      <c r="E542" s="10" t="s">
        <v>522</v>
      </c>
      <c r="F542" s="12" t="s">
        <v>201</v>
      </c>
      <c r="G542" s="6" t="e">
        <f>INDEX(#REF!,MATCH(Plano_Detalhado!H542,#REF!,0),1)</f>
        <v>#REF!</v>
      </c>
      <c r="H542" s="6" t="e">
        <f>VLOOKUP(A542,#REF!,2,0)</f>
        <v>#REF!</v>
      </c>
      <c r="I542" s="59" t="e">
        <f>SUMIFS(#REF!,#REF!,Plano_Detalhado!E542,#REF!,Plano_Detalhado!F542)</f>
        <v>#REF!</v>
      </c>
      <c r="J542" s="59" t="e">
        <f t="shared" si="57"/>
        <v>#REF!</v>
      </c>
      <c r="K542" s="59" t="e">
        <f>SUMIFS(#REF!,#REF!,Plano_Detalhado!E542,#REF!,Plano_Detalhado!F542)</f>
        <v>#REF!</v>
      </c>
      <c r="L542" s="59" t="e">
        <f t="shared" si="58"/>
        <v>#REF!</v>
      </c>
      <c r="M542" s="61"/>
      <c r="N542" s="61" t="e">
        <f t="shared" si="59"/>
        <v>#REF!</v>
      </c>
      <c r="O542" s="61"/>
      <c r="P542" s="22" t="s">
        <v>29</v>
      </c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24"/>
      <c r="BI542" s="14"/>
      <c r="BJ542" s="14"/>
      <c r="BK542" s="14"/>
      <c r="BL542" s="14"/>
      <c r="BN542" s="2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</row>
    <row r="543" spans="1:79" hidden="1" outlineLevel="1" x14ac:dyDescent="0.25">
      <c r="A543" s="3" t="str">
        <f t="shared" si="60"/>
        <v>lt827_mthd_usd_instrmnttabela</v>
      </c>
      <c r="B543" s="8" t="s">
        <v>16</v>
      </c>
      <c r="C543" s="9" t="s">
        <v>16</v>
      </c>
      <c r="D543" s="6" t="s">
        <v>30</v>
      </c>
      <c r="E543" s="10" t="s">
        <v>522</v>
      </c>
      <c r="F543" s="12" t="s">
        <v>381</v>
      </c>
      <c r="G543" s="6" t="e">
        <f>INDEX(#REF!,MATCH(Plano_Detalhado!H543,#REF!,0),1)</f>
        <v>#REF!</v>
      </c>
      <c r="H543" s="6" t="e">
        <f>VLOOKUP(A543,#REF!,2,0)</f>
        <v>#REF!</v>
      </c>
      <c r="I543" s="59" t="e">
        <f>SUMIFS(#REF!,#REF!,Plano_Detalhado!E543,#REF!,Plano_Detalhado!F543)</f>
        <v>#REF!</v>
      </c>
      <c r="J543" s="59" t="e">
        <f t="shared" si="57"/>
        <v>#REF!</v>
      </c>
      <c r="K543" s="59" t="e">
        <f>SUMIFS(#REF!,#REF!,Plano_Detalhado!E543,#REF!,Plano_Detalhado!F543)</f>
        <v>#REF!</v>
      </c>
      <c r="L543" s="59" t="e">
        <f t="shared" si="58"/>
        <v>#REF!</v>
      </c>
      <c r="M543" s="61"/>
      <c r="N543" s="61" t="e">
        <f t="shared" si="59"/>
        <v>#REF!</v>
      </c>
      <c r="O543" s="61"/>
      <c r="P543" s="22" t="s">
        <v>29</v>
      </c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24"/>
      <c r="BI543" s="14"/>
      <c r="BJ543" s="14"/>
      <c r="BK543" s="14"/>
      <c r="BL543" s="14"/>
      <c r="BN543" s="2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</row>
    <row r="544" spans="1:79" hidden="1" outlineLevel="1" x14ac:dyDescent="0.25">
      <c r="A544" s="3" t="str">
        <f t="shared" si="60"/>
        <v>lt827_mthd_usd_instrmntorigem_scp1_emss</v>
      </c>
      <c r="B544" s="8" t="s">
        <v>16</v>
      </c>
      <c r="C544" s="9" t="s">
        <v>16</v>
      </c>
      <c r="D544" s="6" t="s">
        <v>30</v>
      </c>
      <c r="E544" s="10" t="s">
        <v>522</v>
      </c>
      <c r="F544" s="11" t="s">
        <v>310</v>
      </c>
      <c r="G544" s="6" t="e">
        <f>INDEX(#REF!,MATCH(Plano_Detalhado!H544,#REF!,0),1)</f>
        <v>#REF!</v>
      </c>
      <c r="H544" s="6" t="e">
        <f>VLOOKUP(A544,#REF!,2,0)</f>
        <v>#REF!</v>
      </c>
      <c r="I544" s="59" t="e">
        <f>SUMIFS(#REF!,#REF!,Plano_Detalhado!E544,#REF!,Plano_Detalhado!F544)</f>
        <v>#REF!</v>
      </c>
      <c r="J544" s="59" t="e">
        <f t="shared" si="57"/>
        <v>#REF!</v>
      </c>
      <c r="K544" s="59" t="e">
        <f>SUMIFS(#REF!,#REF!,Plano_Detalhado!E544,#REF!,Plano_Detalhado!F544)</f>
        <v>#REF!</v>
      </c>
      <c r="L544" s="59" t="e">
        <f t="shared" si="58"/>
        <v>#REF!</v>
      </c>
      <c r="M544" s="61"/>
      <c r="N544" s="61" t="e">
        <f t="shared" si="59"/>
        <v>#REF!</v>
      </c>
      <c r="O544" s="61"/>
      <c r="P544" s="22" t="s">
        <v>29</v>
      </c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24"/>
      <c r="BI544" s="14"/>
      <c r="BJ544" s="14"/>
      <c r="BK544" s="14"/>
      <c r="BL544" s="14"/>
      <c r="BN544" s="2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</row>
    <row r="545" spans="1:79" hidden="1" outlineLevel="1" x14ac:dyDescent="0.25">
      <c r="A545" s="3" t="str">
        <f t="shared" si="60"/>
        <v>lt827_mthd_usd_instrmntorigem_scp2_emss</v>
      </c>
      <c r="B545" s="8" t="s">
        <v>16</v>
      </c>
      <c r="C545" s="9" t="s">
        <v>16</v>
      </c>
      <c r="D545" s="6" t="s">
        <v>30</v>
      </c>
      <c r="E545" s="10" t="s">
        <v>522</v>
      </c>
      <c r="F545" s="11" t="s">
        <v>311</v>
      </c>
      <c r="G545" s="6" t="e">
        <f>INDEX(#REF!,MATCH(Plano_Detalhado!H545,#REF!,0),1)</f>
        <v>#REF!</v>
      </c>
      <c r="H545" s="6" t="e">
        <f>VLOOKUP(A545,#REF!,2,0)</f>
        <v>#REF!</v>
      </c>
      <c r="I545" s="59" t="e">
        <f>SUMIFS(#REF!,#REF!,Plano_Detalhado!E545,#REF!,Plano_Detalhado!F545)</f>
        <v>#REF!</v>
      </c>
      <c r="J545" s="59" t="e">
        <f t="shared" si="57"/>
        <v>#REF!</v>
      </c>
      <c r="K545" s="59" t="e">
        <f>SUMIFS(#REF!,#REF!,Plano_Detalhado!E545,#REF!,Plano_Detalhado!F545)</f>
        <v>#REF!</v>
      </c>
      <c r="L545" s="59" t="e">
        <f t="shared" si="58"/>
        <v>#REF!</v>
      </c>
      <c r="M545" s="61"/>
      <c r="N545" s="61" t="e">
        <f t="shared" si="59"/>
        <v>#REF!</v>
      </c>
      <c r="O545" s="61"/>
      <c r="P545" s="22" t="s">
        <v>29</v>
      </c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24"/>
      <c r="BI545" s="14"/>
      <c r="BJ545" s="14"/>
      <c r="BK545" s="14"/>
      <c r="BL545" s="14"/>
      <c r="BN545" s="2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</row>
    <row r="546" spans="1:79" hidden="1" outlineLevel="1" x14ac:dyDescent="0.25">
      <c r="A546" s="3" t="str">
        <f t="shared" si="60"/>
        <v>lt827_mthd_usd_instrmntorigem_scp3_emss</v>
      </c>
      <c r="B546" s="8" t="s">
        <v>16</v>
      </c>
      <c r="C546" s="9" t="s">
        <v>16</v>
      </c>
      <c r="D546" s="6" t="s">
        <v>30</v>
      </c>
      <c r="E546" s="10" t="s">
        <v>522</v>
      </c>
      <c r="F546" s="11" t="s">
        <v>312</v>
      </c>
      <c r="G546" s="6" t="e">
        <f>INDEX(#REF!,MATCH(Plano_Detalhado!H546,#REF!,0),1)</f>
        <v>#REF!</v>
      </c>
      <c r="H546" s="6" t="e">
        <f>VLOOKUP(A546,#REF!,2,0)</f>
        <v>#REF!</v>
      </c>
      <c r="I546" s="59" t="e">
        <f>SUMIFS(#REF!,#REF!,Plano_Detalhado!E546,#REF!,Plano_Detalhado!F546)</f>
        <v>#REF!</v>
      </c>
      <c r="J546" s="59" t="e">
        <f t="shared" si="57"/>
        <v>#REF!</v>
      </c>
      <c r="K546" s="59" t="e">
        <f>SUMIFS(#REF!,#REF!,Plano_Detalhado!E546,#REF!,Plano_Detalhado!F546)</f>
        <v>#REF!</v>
      </c>
      <c r="L546" s="59" t="e">
        <f t="shared" si="58"/>
        <v>#REF!</v>
      </c>
      <c r="M546" s="61"/>
      <c r="N546" s="61" t="e">
        <f t="shared" si="59"/>
        <v>#REF!</v>
      </c>
      <c r="O546" s="61"/>
      <c r="P546" s="22" t="s">
        <v>29</v>
      </c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24"/>
      <c r="BI546" s="14"/>
      <c r="BJ546" s="14"/>
      <c r="BK546" s="14"/>
      <c r="BL546" s="14"/>
      <c r="BN546" s="2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</row>
    <row r="547" spans="1:79" hidden="1" outlineLevel="1" x14ac:dyDescent="0.25">
      <c r="A547" s="3" t="str">
        <f t="shared" si="60"/>
        <v>lt827_mthd_usd_instrmntmthd_usd_instrmnt_scp_1</v>
      </c>
      <c r="B547" s="8" t="s">
        <v>16</v>
      </c>
      <c r="C547" s="9" t="s">
        <v>16</v>
      </c>
      <c r="D547" s="6" t="s">
        <v>30</v>
      </c>
      <c r="E547" s="10" t="s">
        <v>522</v>
      </c>
      <c r="F547" s="11" t="s">
        <v>376</v>
      </c>
      <c r="G547" s="6" t="e">
        <f>INDEX(#REF!,MATCH(Plano_Detalhado!H547,#REF!,0),1)</f>
        <v>#REF!</v>
      </c>
      <c r="H547" s="6" t="e">
        <f>VLOOKUP(A547,#REF!,2,0)</f>
        <v>#REF!</v>
      </c>
      <c r="I547" s="59" t="e">
        <f>SUMIFS(#REF!,#REF!,Plano_Detalhado!E547,#REF!,Plano_Detalhado!F547)</f>
        <v>#REF!</v>
      </c>
      <c r="J547" s="59" t="e">
        <f t="shared" si="57"/>
        <v>#REF!</v>
      </c>
      <c r="K547" s="59" t="e">
        <f>SUMIFS(#REF!,#REF!,Plano_Detalhado!E547,#REF!,Plano_Detalhado!F547)</f>
        <v>#REF!</v>
      </c>
      <c r="L547" s="59" t="e">
        <f t="shared" si="58"/>
        <v>#REF!</v>
      </c>
      <c r="M547" s="61"/>
      <c r="N547" s="61" t="e">
        <f t="shared" si="59"/>
        <v>#REF!</v>
      </c>
      <c r="O547" s="61"/>
      <c r="P547" s="22" t="s">
        <v>29</v>
      </c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24"/>
      <c r="BI547" s="14"/>
      <c r="BJ547" s="14"/>
      <c r="BK547" s="14"/>
      <c r="BL547" s="14"/>
      <c r="BN547" s="2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</row>
    <row r="548" spans="1:79" hidden="1" outlineLevel="1" x14ac:dyDescent="0.25">
      <c r="A548" s="3" t="str">
        <f t="shared" si="60"/>
        <v>lt827_mthd_usd_instrmntmthd_usd_instrmnt_scp_2</v>
      </c>
      <c r="B548" s="8" t="s">
        <v>16</v>
      </c>
      <c r="C548" s="9" t="s">
        <v>16</v>
      </c>
      <c r="D548" s="6" t="s">
        <v>30</v>
      </c>
      <c r="E548" s="10" t="s">
        <v>522</v>
      </c>
      <c r="F548" s="11" t="s">
        <v>377</v>
      </c>
      <c r="G548" s="6" t="e">
        <f>INDEX(#REF!,MATCH(Plano_Detalhado!H548,#REF!,0),1)</f>
        <v>#REF!</v>
      </c>
      <c r="H548" s="6" t="e">
        <f>VLOOKUP(A548,#REF!,2,0)</f>
        <v>#REF!</v>
      </c>
      <c r="I548" s="59" t="e">
        <f>SUMIFS(#REF!,#REF!,Plano_Detalhado!E548,#REF!,Plano_Detalhado!F548)</f>
        <v>#REF!</v>
      </c>
      <c r="J548" s="59" t="e">
        <f t="shared" si="57"/>
        <v>#REF!</v>
      </c>
      <c r="K548" s="59" t="e">
        <f>SUMIFS(#REF!,#REF!,Plano_Detalhado!E548,#REF!,Plano_Detalhado!F548)</f>
        <v>#REF!</v>
      </c>
      <c r="L548" s="59" t="e">
        <f t="shared" si="58"/>
        <v>#REF!</v>
      </c>
      <c r="M548" s="61"/>
      <c r="N548" s="61" t="e">
        <f t="shared" si="59"/>
        <v>#REF!</v>
      </c>
      <c r="O548" s="61"/>
      <c r="P548" s="22" t="s">
        <v>29</v>
      </c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24"/>
      <c r="BI548" s="14"/>
      <c r="BJ548" s="14"/>
      <c r="BK548" s="14"/>
      <c r="BL548" s="14"/>
      <c r="BN548" s="2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</row>
    <row r="549" spans="1:79" hidden="1" outlineLevel="1" x14ac:dyDescent="0.25">
      <c r="A549" s="3" t="str">
        <f t="shared" si="60"/>
        <v>lt827_mthd_usd_instrmntmthd_usd_instrmnt_scp_3</v>
      </c>
      <c r="B549" s="8" t="s">
        <v>16</v>
      </c>
      <c r="C549" s="9" t="s">
        <v>16</v>
      </c>
      <c r="D549" s="6" t="s">
        <v>30</v>
      </c>
      <c r="E549" s="10" t="s">
        <v>522</v>
      </c>
      <c r="F549" s="11" t="s">
        <v>378</v>
      </c>
      <c r="G549" s="6" t="e">
        <f>INDEX(#REF!,MATCH(Plano_Detalhado!H549,#REF!,0),1)</f>
        <v>#REF!</v>
      </c>
      <c r="H549" s="6" t="e">
        <f>VLOOKUP(A549,#REF!,2,0)</f>
        <v>#REF!</v>
      </c>
      <c r="I549" s="59" t="e">
        <f>SUMIFS(#REF!,#REF!,Plano_Detalhado!E549,#REF!,Plano_Detalhado!F549)</f>
        <v>#REF!</v>
      </c>
      <c r="J549" s="59" t="e">
        <f t="shared" si="57"/>
        <v>#REF!</v>
      </c>
      <c r="K549" s="59" t="e">
        <f>SUMIFS(#REF!,#REF!,Plano_Detalhado!E549,#REF!,Plano_Detalhado!F549)</f>
        <v>#REF!</v>
      </c>
      <c r="L549" s="59" t="e">
        <f t="shared" si="58"/>
        <v>#REF!</v>
      </c>
      <c r="M549" s="61"/>
      <c r="N549" s="61" t="e">
        <f t="shared" si="59"/>
        <v>#REF!</v>
      </c>
      <c r="O549" s="61"/>
      <c r="P549" s="22" t="s">
        <v>29</v>
      </c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24"/>
      <c r="BI549" s="14"/>
      <c r="BJ549" s="14"/>
      <c r="BK549" s="14"/>
      <c r="BL549" s="14"/>
      <c r="BN549" s="2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</row>
    <row r="550" spans="1:79" hidden="1" outlineLevel="1" x14ac:dyDescent="0.25">
      <c r="A550" s="3" t="str">
        <f t="shared" si="60"/>
        <v>lt827_mthd_usd_instrmntpurpose_code</v>
      </c>
      <c r="B550" s="8"/>
      <c r="C550" s="9"/>
      <c r="D550" s="6" t="s">
        <v>30</v>
      </c>
      <c r="E550" s="10" t="s">
        <v>522</v>
      </c>
      <c r="F550" s="11" t="s">
        <v>517</v>
      </c>
      <c r="G550" s="6" t="e">
        <f>INDEX(#REF!,MATCH(Plano_Detalhado!H550,#REF!,0),1)</f>
        <v>#REF!</v>
      </c>
      <c r="H550" s="6" t="e">
        <f>VLOOKUP(A550,#REF!,2,0)</f>
        <v>#REF!</v>
      </c>
      <c r="I550" s="59" t="e">
        <f>SUMIFS(#REF!,#REF!,Plano_Detalhado!E550,#REF!,Plano_Detalhado!F550)</f>
        <v>#REF!</v>
      </c>
      <c r="J550" s="59" t="e">
        <f t="shared" ref="J550:J554" si="61">I550/8</f>
        <v>#REF!</v>
      </c>
      <c r="K550" s="59" t="e">
        <f>SUMIFS(#REF!,#REF!,Plano_Detalhado!E550,#REF!,Plano_Detalhado!F550)</f>
        <v>#REF!</v>
      </c>
      <c r="L550" s="59" t="e">
        <f t="shared" ref="L550:L554" si="62">K550/8</f>
        <v>#REF!</v>
      </c>
      <c r="M550" s="61"/>
      <c r="N550" s="61" t="e">
        <f t="shared" ref="N550:N554" si="63">L550/J550</f>
        <v>#REF!</v>
      </c>
      <c r="O550" s="61"/>
      <c r="P550" s="22" t="s">
        <v>29</v>
      </c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24"/>
      <c r="BI550" s="14"/>
      <c r="BJ550" s="14"/>
      <c r="BK550" s="14"/>
      <c r="BL550" s="14"/>
      <c r="BN550" s="2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</row>
    <row r="551" spans="1:79" hidden="1" outlineLevel="1" x14ac:dyDescent="0.25">
      <c r="A551" s="3" t="str">
        <f t="shared" si="60"/>
        <v>lt827_mthd_usd_instrmntflg_fin</v>
      </c>
      <c r="B551" s="8"/>
      <c r="C551" s="9"/>
      <c r="D551" s="6" t="s">
        <v>30</v>
      </c>
      <c r="E551" s="10" t="s">
        <v>522</v>
      </c>
      <c r="F551" s="11" t="s">
        <v>437</v>
      </c>
      <c r="G551" s="6" t="e">
        <f>INDEX(#REF!,MATCH(Plano_Detalhado!H551,#REF!,0),1)</f>
        <v>#REF!</v>
      </c>
      <c r="H551" s="6" t="e">
        <f>VLOOKUP(A551,#REF!,2,0)</f>
        <v>#REF!</v>
      </c>
      <c r="I551" s="59" t="e">
        <f>SUMIFS(#REF!,#REF!,Plano_Detalhado!E551,#REF!,Plano_Detalhado!F551)</f>
        <v>#REF!</v>
      </c>
      <c r="J551" s="59" t="e">
        <f t="shared" si="61"/>
        <v>#REF!</v>
      </c>
      <c r="K551" s="59" t="e">
        <f>SUMIFS(#REF!,#REF!,Plano_Detalhado!E551,#REF!,Plano_Detalhado!F551)</f>
        <v>#REF!</v>
      </c>
      <c r="L551" s="59" t="e">
        <f t="shared" si="62"/>
        <v>#REF!</v>
      </c>
      <c r="M551" s="61"/>
      <c r="N551" s="61" t="e">
        <f t="shared" si="63"/>
        <v>#REF!</v>
      </c>
      <c r="O551" s="61"/>
      <c r="P551" s="22" t="s">
        <v>29</v>
      </c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24"/>
      <c r="BI551" s="14"/>
      <c r="BJ551" s="14"/>
      <c r="BK551" s="14"/>
      <c r="BL551" s="14"/>
      <c r="BN551" s="2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</row>
    <row r="552" spans="1:79" hidden="1" outlineLevel="1" x14ac:dyDescent="0.25">
      <c r="A552" s="3" t="str">
        <f t="shared" si="60"/>
        <v>lt827_mthd_usd_instrmntflg_exec</v>
      </c>
      <c r="B552" s="8"/>
      <c r="C552" s="9"/>
      <c r="D552" s="6" t="s">
        <v>30</v>
      </c>
      <c r="E552" s="10" t="s">
        <v>522</v>
      </c>
      <c r="F552" s="11" t="s">
        <v>456</v>
      </c>
      <c r="G552" s="6" t="e">
        <f>INDEX(#REF!,MATCH(Plano_Detalhado!H552,#REF!,0),1)</f>
        <v>#REF!</v>
      </c>
      <c r="H552" s="6" t="e">
        <f>VLOOKUP(A552,#REF!,2,0)</f>
        <v>#REF!</v>
      </c>
      <c r="I552" s="59" t="e">
        <f>SUMIFS(#REF!,#REF!,Plano_Detalhado!E552,#REF!,Plano_Detalhado!F552)</f>
        <v>#REF!</v>
      </c>
      <c r="J552" s="59" t="e">
        <f t="shared" si="61"/>
        <v>#REF!</v>
      </c>
      <c r="K552" s="59" t="e">
        <f>SUMIFS(#REF!,#REF!,Plano_Detalhado!E552,#REF!,Plano_Detalhado!F552)</f>
        <v>#REF!</v>
      </c>
      <c r="L552" s="59" t="e">
        <f t="shared" si="62"/>
        <v>#REF!</v>
      </c>
      <c r="M552" s="61"/>
      <c r="N552" s="61" t="e">
        <f t="shared" si="63"/>
        <v>#REF!</v>
      </c>
      <c r="O552" s="61"/>
      <c r="P552" s="22" t="s">
        <v>29</v>
      </c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24"/>
      <c r="BI552" s="14"/>
      <c r="BJ552" s="14"/>
      <c r="BK552" s="14"/>
      <c r="BL552" s="14"/>
      <c r="BN552" s="2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</row>
    <row r="553" spans="1:79" hidden="1" outlineLevel="1" x14ac:dyDescent="0.25">
      <c r="A553" s="3" t="str">
        <f t="shared" si="60"/>
        <v>lt827_mthd_usd_instrmntflg_col</v>
      </c>
      <c r="B553" s="8"/>
      <c r="C553" s="9"/>
      <c r="D553" s="6" t="s">
        <v>30</v>
      </c>
      <c r="E553" s="10" t="s">
        <v>522</v>
      </c>
      <c r="F553" s="11" t="s">
        <v>436</v>
      </c>
      <c r="G553" s="6" t="e">
        <f>INDEX(#REF!,MATCH(Plano_Detalhado!H553,#REF!,0),1)</f>
        <v>#REF!</v>
      </c>
      <c r="H553" s="6" t="e">
        <f>VLOOKUP(A553,#REF!,2,0)</f>
        <v>#REF!</v>
      </c>
      <c r="I553" s="59" t="e">
        <f>SUMIFS(#REF!,#REF!,Plano_Detalhado!E553,#REF!,Plano_Detalhado!F553)</f>
        <v>#REF!</v>
      </c>
      <c r="J553" s="59" t="e">
        <f t="shared" si="61"/>
        <v>#REF!</v>
      </c>
      <c r="K553" s="59" t="e">
        <f>SUMIFS(#REF!,#REF!,Plano_Detalhado!E553,#REF!,Plano_Detalhado!F553)</f>
        <v>#REF!</v>
      </c>
      <c r="L553" s="59" t="e">
        <f t="shared" si="62"/>
        <v>#REF!</v>
      </c>
      <c r="M553" s="61"/>
      <c r="N553" s="61" t="e">
        <f t="shared" si="63"/>
        <v>#REF!</v>
      </c>
      <c r="O553" s="61"/>
      <c r="P553" s="22" t="s">
        <v>29</v>
      </c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24"/>
      <c r="BI553" s="14"/>
      <c r="BJ553" s="14"/>
      <c r="BK553" s="14"/>
      <c r="BL553" s="14"/>
      <c r="BN553" s="2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</row>
    <row r="554" spans="1:79" hidden="1" outlineLevel="1" x14ac:dyDescent="0.25">
      <c r="A554" s="3" t="str">
        <f t="shared" si="60"/>
        <v>lt827_mthd_usd_instrmntflg_pro</v>
      </c>
      <c r="B554" s="8"/>
      <c r="C554" s="9"/>
      <c r="D554" s="6" t="s">
        <v>30</v>
      </c>
      <c r="E554" s="10" t="s">
        <v>522</v>
      </c>
      <c r="F554" s="11" t="s">
        <v>438</v>
      </c>
      <c r="G554" s="6" t="e">
        <f>INDEX(#REF!,MATCH(Plano_Detalhado!H554,#REF!,0),1)</f>
        <v>#REF!</v>
      </c>
      <c r="H554" s="6" t="e">
        <f>VLOOKUP(A554,#REF!,2,0)</f>
        <v>#REF!</v>
      </c>
      <c r="I554" s="59" t="e">
        <f>SUMIFS(#REF!,#REF!,Plano_Detalhado!E554,#REF!,Plano_Detalhado!F554)</f>
        <v>#REF!</v>
      </c>
      <c r="J554" s="59" t="e">
        <f t="shared" si="61"/>
        <v>#REF!</v>
      </c>
      <c r="K554" s="59" t="e">
        <f>SUMIFS(#REF!,#REF!,Plano_Detalhado!E554,#REF!,Plano_Detalhado!F554)</f>
        <v>#REF!</v>
      </c>
      <c r="L554" s="59" t="e">
        <f t="shared" si="62"/>
        <v>#REF!</v>
      </c>
      <c r="M554" s="61"/>
      <c r="N554" s="61" t="e">
        <f t="shared" si="63"/>
        <v>#REF!</v>
      </c>
      <c r="O554" s="61"/>
      <c r="P554" s="22" t="s">
        <v>29</v>
      </c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24"/>
      <c r="BI554" s="14"/>
      <c r="BJ554" s="14"/>
      <c r="BK554" s="14"/>
      <c r="BL554" s="14"/>
      <c r="BN554" s="2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</row>
    <row r="555" spans="1:79" hidden="1" outlineLevel="1" x14ac:dyDescent="0.25">
      <c r="A555" s="3" t="str">
        <f t="shared" si="60"/>
        <v>lt826_esg_sbsctrambito</v>
      </c>
      <c r="B555" s="8" t="s">
        <v>16</v>
      </c>
      <c r="C555" s="9" t="s">
        <v>16</v>
      </c>
      <c r="D555" s="6" t="s">
        <v>30</v>
      </c>
      <c r="E555" s="10" t="s">
        <v>382</v>
      </c>
      <c r="F555" s="12" t="s">
        <v>380</v>
      </c>
      <c r="G555" s="6" t="e">
        <f>INDEX(#REF!,MATCH(Plano_Detalhado!H555,#REF!,0),1)</f>
        <v>#REF!</v>
      </c>
      <c r="H555" s="6" t="e">
        <f>VLOOKUP(A555,#REF!,2,0)</f>
        <v>#REF!</v>
      </c>
      <c r="I555" s="59" t="e">
        <f>SUMIFS(#REF!,#REF!,Plano_Detalhado!E555,#REF!,Plano_Detalhado!F555)</f>
        <v>#REF!</v>
      </c>
      <c r="J555" s="59" t="e">
        <f t="shared" si="57"/>
        <v>#REF!</v>
      </c>
      <c r="K555" s="59" t="e">
        <f>SUMIFS(#REF!,#REF!,Plano_Detalhado!E555,#REF!,Plano_Detalhado!F555)</f>
        <v>#REF!</v>
      </c>
      <c r="L555" s="59" t="e">
        <f t="shared" si="58"/>
        <v>#REF!</v>
      </c>
      <c r="M555" s="61"/>
      <c r="N555" s="61" t="e">
        <f t="shared" si="59"/>
        <v>#REF!</v>
      </c>
      <c r="O555" s="61"/>
      <c r="P555" s="22" t="s">
        <v>29</v>
      </c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24"/>
      <c r="BI555" s="14"/>
      <c r="BJ555" s="14"/>
      <c r="BK555" s="14"/>
      <c r="BL555" s="14"/>
      <c r="BN555" s="2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</row>
    <row r="556" spans="1:79" hidden="1" outlineLevel="1" x14ac:dyDescent="0.25">
      <c r="A556" s="3" t="str">
        <f t="shared" si="60"/>
        <v>lt826_esg_sbsctrref_date</v>
      </c>
      <c r="B556" s="8" t="s">
        <v>16</v>
      </c>
      <c r="C556" s="9" t="s">
        <v>16</v>
      </c>
      <c r="D556" s="6" t="s">
        <v>30</v>
      </c>
      <c r="E556" s="10" t="s">
        <v>382</v>
      </c>
      <c r="F556" s="12" t="s">
        <v>198</v>
      </c>
      <c r="G556" s="6" t="e">
        <f>INDEX(#REF!,MATCH(Plano_Detalhado!H556,#REF!,0),1)</f>
        <v>#REF!</v>
      </c>
      <c r="H556" s="6" t="e">
        <f>VLOOKUP(A556,#REF!,2,0)</f>
        <v>#REF!</v>
      </c>
      <c r="I556" s="59" t="e">
        <f>SUMIFS(#REF!,#REF!,Plano_Detalhado!E556,#REF!,Plano_Detalhado!F556)</f>
        <v>#REF!</v>
      </c>
      <c r="J556" s="59" t="e">
        <f t="shared" ref="J556:J619" si="64">I556/8</f>
        <v>#REF!</v>
      </c>
      <c r="K556" s="59" t="e">
        <f>SUMIFS(#REF!,#REF!,Plano_Detalhado!E556,#REF!,Plano_Detalhado!F556)</f>
        <v>#REF!</v>
      </c>
      <c r="L556" s="59" t="e">
        <f t="shared" ref="L556:L619" si="65">K556/8</f>
        <v>#REF!</v>
      </c>
      <c r="M556" s="61"/>
      <c r="N556" s="61" t="e">
        <f t="shared" ref="N556:N622" si="66">L556/J556</f>
        <v>#REF!</v>
      </c>
      <c r="O556" s="61"/>
      <c r="P556" s="22" t="s">
        <v>29</v>
      </c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24"/>
      <c r="BI556" s="14"/>
      <c r="BJ556" s="14"/>
      <c r="BK556" s="14"/>
      <c r="BL556" s="14"/>
      <c r="BN556" s="2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</row>
    <row r="557" spans="1:79" hidden="1" outlineLevel="1" x14ac:dyDescent="0.25">
      <c r="A557" s="3" t="str">
        <f t="shared" si="60"/>
        <v>lt826_esg_sbsctrordem</v>
      </c>
      <c r="B557" s="8" t="s">
        <v>16</v>
      </c>
      <c r="C557" s="9" t="s">
        <v>16</v>
      </c>
      <c r="D557" s="6" t="s">
        <v>30</v>
      </c>
      <c r="E557" s="10" t="s">
        <v>382</v>
      </c>
      <c r="F557" s="12" t="s">
        <v>201</v>
      </c>
      <c r="G557" s="6" t="e">
        <f>INDEX(#REF!,MATCH(Plano_Detalhado!H557,#REF!,0),1)</f>
        <v>#REF!</v>
      </c>
      <c r="H557" s="6" t="e">
        <f>VLOOKUP(A557,#REF!,2,0)</f>
        <v>#REF!</v>
      </c>
      <c r="I557" s="59" t="e">
        <f>SUMIFS(#REF!,#REF!,Plano_Detalhado!E557,#REF!,Plano_Detalhado!F557)</f>
        <v>#REF!</v>
      </c>
      <c r="J557" s="59" t="e">
        <f t="shared" si="64"/>
        <v>#REF!</v>
      </c>
      <c r="K557" s="59" t="e">
        <f>SUMIFS(#REF!,#REF!,Plano_Detalhado!E557,#REF!,Plano_Detalhado!F557)</f>
        <v>#REF!</v>
      </c>
      <c r="L557" s="59" t="e">
        <f t="shared" si="65"/>
        <v>#REF!</v>
      </c>
      <c r="M557" s="61"/>
      <c r="N557" s="61" t="e">
        <f t="shared" si="66"/>
        <v>#REF!</v>
      </c>
      <c r="O557" s="61"/>
      <c r="P557" s="22" t="s">
        <v>29</v>
      </c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24"/>
      <c r="BI557" s="14"/>
      <c r="BJ557" s="14"/>
      <c r="BK557" s="14"/>
      <c r="BL557" s="14"/>
      <c r="BN557" s="2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</row>
    <row r="558" spans="1:79" hidden="1" outlineLevel="1" x14ac:dyDescent="0.25">
      <c r="A558" s="3" t="str">
        <f t="shared" si="60"/>
        <v>lt826_esg_sbsctrnace_code</v>
      </c>
      <c r="B558" s="8" t="s">
        <v>16</v>
      </c>
      <c r="C558" s="9" t="s">
        <v>16</v>
      </c>
      <c r="D558" s="6" t="s">
        <v>30</v>
      </c>
      <c r="E558" s="10" t="s">
        <v>382</v>
      </c>
      <c r="F558" s="11" t="s">
        <v>383</v>
      </c>
      <c r="G558" s="6" t="e">
        <f>INDEX(#REF!,MATCH(Plano_Detalhado!H558,#REF!,0),1)</f>
        <v>#REF!</v>
      </c>
      <c r="H558" s="6" t="e">
        <f>VLOOKUP(A558,#REF!,2,0)</f>
        <v>#REF!</v>
      </c>
      <c r="I558" s="59" t="e">
        <f>SUMIFS(#REF!,#REF!,Plano_Detalhado!E558,#REF!,Plano_Detalhado!F558)</f>
        <v>#REF!</v>
      </c>
      <c r="J558" s="59" t="e">
        <f t="shared" si="64"/>
        <v>#REF!</v>
      </c>
      <c r="K558" s="59" t="e">
        <f>SUMIFS(#REF!,#REF!,Plano_Detalhado!E558,#REF!,Plano_Detalhado!F558)</f>
        <v>#REF!</v>
      </c>
      <c r="L558" s="59" t="e">
        <f t="shared" si="65"/>
        <v>#REF!</v>
      </c>
      <c r="M558" s="61"/>
      <c r="N558" s="61" t="e">
        <f t="shared" si="66"/>
        <v>#REF!</v>
      </c>
      <c r="O558" s="61"/>
      <c r="P558" s="22" t="s">
        <v>29</v>
      </c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24"/>
      <c r="BI558" s="14"/>
      <c r="BJ558" s="14"/>
      <c r="BK558" s="14"/>
      <c r="BL558" s="14"/>
      <c r="BN558" s="2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</row>
    <row r="559" spans="1:79" hidden="1" outlineLevel="1" x14ac:dyDescent="0.25">
      <c r="A559" s="3" t="str">
        <f t="shared" si="60"/>
        <v>lt826_esg_sbsctrcontraparte</v>
      </c>
      <c r="B559" s="8" t="s">
        <v>16</v>
      </c>
      <c r="C559" s="9" t="s">
        <v>16</v>
      </c>
      <c r="D559" s="6" t="s">
        <v>30</v>
      </c>
      <c r="E559" s="10" t="s">
        <v>382</v>
      </c>
      <c r="F559" s="11" t="s">
        <v>384</v>
      </c>
      <c r="G559" s="6" t="e">
        <f>INDEX(#REF!,MATCH(Plano_Detalhado!H559,#REF!,0),1)</f>
        <v>#REF!</v>
      </c>
      <c r="H559" s="6" t="e">
        <f>VLOOKUP(A559,#REF!,2,0)</f>
        <v>#REF!</v>
      </c>
      <c r="I559" s="59" t="e">
        <f>SUMIFS(#REF!,#REF!,Plano_Detalhado!E559,#REF!,Plano_Detalhado!F559)</f>
        <v>#REF!</v>
      </c>
      <c r="J559" s="59" t="e">
        <f t="shared" si="64"/>
        <v>#REF!</v>
      </c>
      <c r="K559" s="59" t="e">
        <f>SUMIFS(#REF!,#REF!,Plano_Detalhado!E559,#REF!,Plano_Detalhado!F559)</f>
        <v>#REF!</v>
      </c>
      <c r="L559" s="59" t="e">
        <f t="shared" si="65"/>
        <v>#REF!</v>
      </c>
      <c r="M559" s="61"/>
      <c r="N559" s="61" t="e">
        <f t="shared" si="66"/>
        <v>#REF!</v>
      </c>
      <c r="O559" s="61"/>
      <c r="P559" s="22" t="s">
        <v>29</v>
      </c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24"/>
      <c r="BI559" s="14"/>
      <c r="BJ559" s="14"/>
      <c r="BK559" s="14"/>
      <c r="BL559" s="14"/>
      <c r="BN559" s="2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</row>
    <row r="560" spans="1:79" hidden="1" outlineLevel="1" x14ac:dyDescent="0.25">
      <c r="A560" s="3" t="str">
        <f t="shared" si="60"/>
        <v>lt826_esg_sbsctrcnatureza_juri</v>
      </c>
      <c r="B560" s="8" t="s">
        <v>16</v>
      </c>
      <c r="C560" s="9" t="s">
        <v>16</v>
      </c>
      <c r="D560" s="6" t="s">
        <v>30</v>
      </c>
      <c r="E560" s="10" t="s">
        <v>382</v>
      </c>
      <c r="F560" s="11" t="s">
        <v>385</v>
      </c>
      <c r="G560" s="6" t="e">
        <f>INDEX(#REF!,MATCH(Plano_Detalhado!H560,#REF!,0),1)</f>
        <v>#REF!</v>
      </c>
      <c r="H560" s="6" t="e">
        <f>VLOOKUP(A560,#REF!,2,0)</f>
        <v>#REF!</v>
      </c>
      <c r="I560" s="59" t="e">
        <f>SUMIFS(#REF!,#REF!,Plano_Detalhado!E560,#REF!,Plano_Detalhado!F560)</f>
        <v>#REF!</v>
      </c>
      <c r="J560" s="59" t="e">
        <f t="shared" si="64"/>
        <v>#REF!</v>
      </c>
      <c r="K560" s="59" t="e">
        <f>SUMIFS(#REF!,#REF!,Plano_Detalhado!E560,#REF!,Plano_Detalhado!F560)</f>
        <v>#REF!</v>
      </c>
      <c r="L560" s="59" t="e">
        <f t="shared" si="65"/>
        <v>#REF!</v>
      </c>
      <c r="M560" s="61"/>
      <c r="N560" s="61" t="e">
        <f t="shared" si="66"/>
        <v>#REF!</v>
      </c>
      <c r="O560" s="61"/>
      <c r="P560" s="22" t="s">
        <v>29</v>
      </c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24"/>
      <c r="BI560" s="14"/>
      <c r="BJ560" s="14"/>
      <c r="BK560" s="14"/>
      <c r="BL560" s="14"/>
      <c r="BN560" s="2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</row>
    <row r="561" spans="1:79" hidden="1" outlineLevel="1" x14ac:dyDescent="0.25">
      <c r="A561" s="3" t="str">
        <f t="shared" si="60"/>
        <v>lt826_esg_sbsctridcomb</v>
      </c>
      <c r="B561" s="8" t="s">
        <v>16</v>
      </c>
      <c r="C561" s="9" t="s">
        <v>16</v>
      </c>
      <c r="D561" s="6" t="s">
        <v>30</v>
      </c>
      <c r="E561" s="10" t="s">
        <v>382</v>
      </c>
      <c r="F561" s="11" t="s">
        <v>386</v>
      </c>
      <c r="G561" s="6" t="e">
        <f>INDEX(#REF!,MATCH(Plano_Detalhado!H561,#REF!,0),1)</f>
        <v>#REF!</v>
      </c>
      <c r="H561" s="6" t="e">
        <f>VLOOKUP(A561,#REF!,2,0)</f>
        <v>#REF!</v>
      </c>
      <c r="I561" s="59" t="e">
        <f>SUMIFS(#REF!,#REF!,Plano_Detalhado!E561,#REF!,Plano_Detalhado!F561)</f>
        <v>#REF!</v>
      </c>
      <c r="J561" s="59" t="e">
        <f t="shared" si="64"/>
        <v>#REF!</v>
      </c>
      <c r="K561" s="59" t="e">
        <f>SUMIFS(#REF!,#REF!,Plano_Detalhado!E561,#REF!,Plano_Detalhado!F561)</f>
        <v>#REF!</v>
      </c>
      <c r="L561" s="59" t="e">
        <f t="shared" si="65"/>
        <v>#REF!</v>
      </c>
      <c r="M561" s="61"/>
      <c r="N561" s="61" t="e">
        <f t="shared" si="66"/>
        <v>#REF!</v>
      </c>
      <c r="O561" s="61"/>
      <c r="P561" s="22" t="s">
        <v>29</v>
      </c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24"/>
      <c r="BI561" s="14"/>
      <c r="BJ561" s="14"/>
      <c r="BK561" s="14"/>
      <c r="BL561" s="14"/>
      <c r="BN561" s="2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</row>
    <row r="562" spans="1:79" hidden="1" outlineLevel="1" x14ac:dyDescent="0.25">
      <c r="A562" s="3" t="str">
        <f t="shared" si="60"/>
        <v>lt826_esg_sbsctresg_sbsctr</v>
      </c>
      <c r="B562" s="8" t="s">
        <v>16</v>
      </c>
      <c r="C562" s="9" t="s">
        <v>16</v>
      </c>
      <c r="D562" s="6" t="s">
        <v>30</v>
      </c>
      <c r="E562" s="10" t="s">
        <v>382</v>
      </c>
      <c r="F562" s="11" t="s">
        <v>351</v>
      </c>
      <c r="G562" s="6" t="e">
        <f>INDEX(#REF!,MATCH(Plano_Detalhado!H562,#REF!,0),1)</f>
        <v>#REF!</v>
      </c>
      <c r="H562" s="6" t="e">
        <f>VLOOKUP(A562,#REF!,2,0)</f>
        <v>#REF!</v>
      </c>
      <c r="I562" s="59" t="e">
        <f>SUMIFS(#REF!,#REF!,Plano_Detalhado!E562,#REF!,Plano_Detalhado!F562)</f>
        <v>#REF!</v>
      </c>
      <c r="J562" s="59" t="e">
        <f t="shared" si="64"/>
        <v>#REF!</v>
      </c>
      <c r="K562" s="59" t="e">
        <f>SUMIFS(#REF!,#REF!,Plano_Detalhado!E562,#REF!,Plano_Detalhado!F562)</f>
        <v>#REF!</v>
      </c>
      <c r="L562" s="59" t="e">
        <f t="shared" si="65"/>
        <v>#REF!</v>
      </c>
      <c r="M562" s="61"/>
      <c r="N562" s="61" t="e">
        <f t="shared" si="66"/>
        <v>#REF!</v>
      </c>
      <c r="O562" s="61"/>
      <c r="P562" s="22" t="s">
        <v>29</v>
      </c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24"/>
      <c r="BI562" s="14"/>
      <c r="BJ562" s="14"/>
      <c r="BK562" s="14"/>
      <c r="BL562" s="14"/>
      <c r="BN562" s="2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</row>
    <row r="563" spans="1:79" hidden="1" outlineLevel="1" x14ac:dyDescent="0.25">
      <c r="A563" s="3" t="str">
        <f t="shared" si="60"/>
        <v>lt826_esg_sbsctrdescrição</v>
      </c>
      <c r="B563" s="8" t="s">
        <v>16</v>
      </c>
      <c r="C563" s="9" t="s">
        <v>16</v>
      </c>
      <c r="D563" s="6" t="s">
        <v>30</v>
      </c>
      <c r="E563" s="10" t="s">
        <v>382</v>
      </c>
      <c r="F563" s="11" t="s">
        <v>387</v>
      </c>
      <c r="G563" s="6" t="e">
        <f>INDEX(#REF!,MATCH(Plano_Detalhado!H563,#REF!,0),1)</f>
        <v>#REF!</v>
      </c>
      <c r="H563" s="6" t="e">
        <f>VLOOKUP(A563,#REF!,2,0)</f>
        <v>#REF!</v>
      </c>
      <c r="I563" s="59" t="e">
        <f>SUMIFS(#REF!,#REF!,Plano_Detalhado!E563,#REF!,Plano_Detalhado!F563)</f>
        <v>#REF!</v>
      </c>
      <c r="J563" s="59" t="e">
        <f t="shared" si="64"/>
        <v>#REF!</v>
      </c>
      <c r="K563" s="59" t="e">
        <f>SUMIFS(#REF!,#REF!,Plano_Detalhado!E563,#REF!,Plano_Detalhado!F563)</f>
        <v>#REF!</v>
      </c>
      <c r="L563" s="59" t="e">
        <f t="shared" si="65"/>
        <v>#REF!</v>
      </c>
      <c r="M563" s="61"/>
      <c r="N563" s="61" t="e">
        <f t="shared" si="66"/>
        <v>#REF!</v>
      </c>
      <c r="O563" s="61"/>
      <c r="P563" s="22" t="s">
        <v>29</v>
      </c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24"/>
      <c r="BI563" s="14"/>
      <c r="BJ563" s="14"/>
      <c r="BK563" s="14"/>
      <c r="BL563" s="14"/>
      <c r="BN563" s="2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</row>
    <row r="564" spans="1:79" hidden="1" outlineLevel="1" x14ac:dyDescent="0.25">
      <c r="A564" s="3" t="str">
        <f t="shared" si="60"/>
        <v>lt002_instrumentdt_rfrnc</v>
      </c>
      <c r="B564" s="8" t="s">
        <v>16</v>
      </c>
      <c r="C564" s="9" t="s">
        <v>16</v>
      </c>
      <c r="D564" s="6" t="s">
        <v>30</v>
      </c>
      <c r="E564" s="10" t="s">
        <v>370</v>
      </c>
      <c r="F564" s="11" t="s">
        <v>388</v>
      </c>
      <c r="G564" s="6" t="e">
        <f>INDEX(#REF!,MATCH(Plano_Detalhado!H564,#REF!,0),1)</f>
        <v>#REF!</v>
      </c>
      <c r="H564" s="6" t="e">
        <f>VLOOKUP(A564,#REF!,2,0)</f>
        <v>#REF!</v>
      </c>
      <c r="I564" s="59" t="e">
        <f>SUMIFS(#REF!,#REF!,Plano_Detalhado!E564,#REF!,Plano_Detalhado!F564)</f>
        <v>#REF!</v>
      </c>
      <c r="J564" s="59" t="e">
        <f t="shared" si="64"/>
        <v>#REF!</v>
      </c>
      <c r="K564" s="59" t="e">
        <f>SUMIFS(#REF!,#REF!,Plano_Detalhado!E564,#REF!,Plano_Detalhado!F564)</f>
        <v>#REF!</v>
      </c>
      <c r="L564" s="59" t="e">
        <f t="shared" si="65"/>
        <v>#REF!</v>
      </c>
      <c r="M564" s="61"/>
      <c r="N564" s="61" t="e">
        <f t="shared" si="66"/>
        <v>#REF!</v>
      </c>
      <c r="O564" s="61"/>
      <c r="P564" s="22" t="s">
        <v>389</v>
      </c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24"/>
      <c r="BI564" s="14"/>
      <c r="BJ564" s="14"/>
      <c r="BK564" s="14"/>
      <c r="BL564" s="14"/>
      <c r="BN564" s="2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</row>
    <row r="565" spans="1:79" hidden="1" outlineLevel="1" x14ac:dyDescent="0.25">
      <c r="A565" s="3" t="str">
        <f t="shared" si="60"/>
        <v>lt002_instrumentinstrmnt_id</v>
      </c>
      <c r="B565" s="8" t="s">
        <v>16</v>
      </c>
      <c r="C565" s="9" t="s">
        <v>16</v>
      </c>
      <c r="D565" s="6" t="s">
        <v>30</v>
      </c>
      <c r="E565" s="10" t="s">
        <v>370</v>
      </c>
      <c r="F565" s="11" t="s">
        <v>390</v>
      </c>
      <c r="G565" s="6" t="e">
        <f>INDEX(#REF!,MATCH(Plano_Detalhado!H565,#REF!,0),1)</f>
        <v>#REF!</v>
      </c>
      <c r="H565" s="6" t="e">
        <f>VLOOKUP(A565,#REF!,2,0)</f>
        <v>#REF!</v>
      </c>
      <c r="I565" s="59" t="e">
        <f>SUMIFS(#REF!,#REF!,Plano_Detalhado!E565,#REF!,Plano_Detalhado!F565)</f>
        <v>#REF!</v>
      </c>
      <c r="J565" s="59" t="e">
        <f t="shared" si="64"/>
        <v>#REF!</v>
      </c>
      <c r="K565" s="59" t="e">
        <f>SUMIFS(#REF!,#REF!,Plano_Detalhado!E565,#REF!,Plano_Detalhado!F565)</f>
        <v>#REF!</v>
      </c>
      <c r="L565" s="59" t="e">
        <f t="shared" si="65"/>
        <v>#REF!</v>
      </c>
      <c r="M565" s="61"/>
      <c r="N565" s="61" t="e">
        <f t="shared" si="66"/>
        <v>#REF!</v>
      </c>
      <c r="O565" s="61"/>
      <c r="P565" s="22" t="s">
        <v>389</v>
      </c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24"/>
      <c r="BI565" s="14"/>
      <c r="BJ565" s="14"/>
      <c r="BK565" s="14"/>
      <c r="BL565" s="14"/>
      <c r="BN565" s="2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</row>
    <row r="566" spans="1:79" hidden="1" outlineLevel="1" x14ac:dyDescent="0.25">
      <c r="A566" s="3" t="str">
        <f t="shared" si="60"/>
        <v>lt002_instrumentdt_incptn</v>
      </c>
      <c r="B566" s="8" t="s">
        <v>16</v>
      </c>
      <c r="C566" s="9" t="s">
        <v>16</v>
      </c>
      <c r="D566" s="6" t="s">
        <v>30</v>
      </c>
      <c r="E566" s="10" t="s">
        <v>370</v>
      </c>
      <c r="F566" s="11" t="s">
        <v>391</v>
      </c>
      <c r="G566" s="6" t="e">
        <f>INDEX(#REF!,MATCH(Plano_Detalhado!H566,#REF!,0),1)</f>
        <v>#REF!</v>
      </c>
      <c r="H566" s="6" t="e">
        <f>VLOOKUP(A566,#REF!,2,0)</f>
        <v>#REF!</v>
      </c>
      <c r="I566" s="59" t="e">
        <f>SUMIFS(#REF!,#REF!,Plano_Detalhado!E566,#REF!,Plano_Detalhado!F566)</f>
        <v>#REF!</v>
      </c>
      <c r="J566" s="59" t="e">
        <f t="shared" si="64"/>
        <v>#REF!</v>
      </c>
      <c r="K566" s="59" t="e">
        <f>SUMIFS(#REF!,#REF!,Plano_Detalhado!E566,#REF!,Plano_Detalhado!F566)</f>
        <v>#REF!</v>
      </c>
      <c r="L566" s="59" t="e">
        <f t="shared" si="65"/>
        <v>#REF!</v>
      </c>
      <c r="M566" s="61"/>
      <c r="N566" s="61" t="e">
        <f t="shared" si="66"/>
        <v>#REF!</v>
      </c>
      <c r="O566" s="61"/>
      <c r="P566" s="22" t="s">
        <v>389</v>
      </c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24"/>
      <c r="BI566" s="14"/>
      <c r="BJ566" s="14"/>
      <c r="BK566" s="14"/>
      <c r="BL566" s="14"/>
      <c r="BN566" s="2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</row>
    <row r="567" spans="1:79" hidden="1" outlineLevel="1" x14ac:dyDescent="0.25">
      <c r="A567" s="3" t="str">
        <f t="shared" si="60"/>
        <v>lt002_instrumentdflt_stts_instrmnt</v>
      </c>
      <c r="B567" s="8" t="s">
        <v>16</v>
      </c>
      <c r="C567" s="9" t="s">
        <v>16</v>
      </c>
      <c r="D567" s="6" t="s">
        <v>30</v>
      </c>
      <c r="E567" s="10" t="s">
        <v>370</v>
      </c>
      <c r="F567" s="11" t="s">
        <v>392</v>
      </c>
      <c r="G567" s="6" t="e">
        <f>INDEX(#REF!,MATCH(Plano_Detalhado!H567,#REF!,0),1)</f>
        <v>#REF!</v>
      </c>
      <c r="H567" s="6" t="e">
        <f>VLOOKUP(A567,#REF!,2,0)</f>
        <v>#REF!</v>
      </c>
      <c r="I567" s="59" t="e">
        <f>SUMIFS(#REF!,#REF!,Plano_Detalhado!E567,#REF!,Plano_Detalhado!F567)</f>
        <v>#REF!</v>
      </c>
      <c r="J567" s="59" t="e">
        <f t="shared" si="64"/>
        <v>#REF!</v>
      </c>
      <c r="K567" s="59" t="e">
        <f>SUMIFS(#REF!,#REF!,Plano_Detalhado!E567,#REF!,Plano_Detalhado!F567)</f>
        <v>#REF!</v>
      </c>
      <c r="L567" s="59" t="e">
        <f t="shared" si="65"/>
        <v>#REF!</v>
      </c>
      <c r="M567" s="61"/>
      <c r="N567" s="61" t="e">
        <f t="shared" si="66"/>
        <v>#REF!</v>
      </c>
      <c r="O567" s="61"/>
      <c r="P567" s="22" t="s">
        <v>389</v>
      </c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24"/>
      <c r="BI567" s="14"/>
      <c r="BJ567" s="14"/>
      <c r="BK567" s="14"/>
      <c r="BL567" s="14"/>
      <c r="BN567" s="2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</row>
    <row r="568" spans="1:79" hidden="1" outlineLevel="1" x14ac:dyDescent="0.25">
      <c r="A568" s="3" t="str">
        <f t="shared" si="60"/>
        <v>lt002_instrumentimprmnt_stts</v>
      </c>
      <c r="B568" s="8" t="s">
        <v>16</v>
      </c>
      <c r="C568" s="9" t="s">
        <v>16</v>
      </c>
      <c r="D568" s="6" t="s">
        <v>30</v>
      </c>
      <c r="E568" s="10" t="s">
        <v>370</v>
      </c>
      <c r="F568" s="11" t="s">
        <v>393</v>
      </c>
      <c r="G568" s="6" t="e">
        <f>INDEX(#REF!,MATCH(Plano_Detalhado!H568,#REF!,0),1)</f>
        <v>#REF!</v>
      </c>
      <c r="H568" s="6" t="e">
        <f>VLOOKUP(A568,#REF!,2,0)</f>
        <v>#REF!</v>
      </c>
      <c r="I568" s="59" t="e">
        <f>SUMIFS(#REF!,#REF!,Plano_Detalhado!E568,#REF!,Plano_Detalhado!F568)</f>
        <v>#REF!</v>
      </c>
      <c r="J568" s="59" t="e">
        <f t="shared" si="64"/>
        <v>#REF!</v>
      </c>
      <c r="K568" s="59" t="e">
        <f>SUMIFS(#REF!,#REF!,Plano_Detalhado!E568,#REF!,Plano_Detalhado!F568)</f>
        <v>#REF!</v>
      </c>
      <c r="L568" s="59" t="e">
        <f t="shared" si="65"/>
        <v>#REF!</v>
      </c>
      <c r="M568" s="61"/>
      <c r="N568" s="61" t="e">
        <f t="shared" si="66"/>
        <v>#REF!</v>
      </c>
      <c r="O568" s="61"/>
      <c r="P568" s="22" t="s">
        <v>389</v>
      </c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24"/>
      <c r="BI568" s="14"/>
      <c r="BJ568" s="14"/>
      <c r="BK568" s="14"/>
      <c r="BL568" s="14"/>
      <c r="BN568" s="2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</row>
    <row r="569" spans="1:79" hidden="1" outlineLevel="1" x14ac:dyDescent="0.25">
      <c r="A569" s="3" t="str">
        <f t="shared" si="60"/>
        <v>lt002_instrumentprfrmng_stts</v>
      </c>
      <c r="B569" s="8" t="s">
        <v>16</v>
      </c>
      <c r="C569" s="9" t="s">
        <v>16</v>
      </c>
      <c r="D569" s="6" t="s">
        <v>30</v>
      </c>
      <c r="E569" s="10" t="s">
        <v>370</v>
      </c>
      <c r="F569" s="11" t="s">
        <v>394</v>
      </c>
      <c r="G569" s="6" t="e">
        <f>INDEX(#REF!,MATCH(Plano_Detalhado!H569,#REF!,0),1)</f>
        <v>#REF!</v>
      </c>
      <c r="H569" s="6" t="e">
        <f>VLOOKUP(A569,#REF!,2,0)</f>
        <v>#REF!</v>
      </c>
      <c r="I569" s="59" t="e">
        <f>SUMIFS(#REF!,#REF!,Plano_Detalhado!E569,#REF!,Plano_Detalhado!F569)</f>
        <v>#REF!</v>
      </c>
      <c r="J569" s="59" t="e">
        <f t="shared" si="64"/>
        <v>#REF!</v>
      </c>
      <c r="K569" s="59" t="e">
        <f>SUMIFS(#REF!,#REF!,Plano_Detalhado!E569,#REF!,Plano_Detalhado!F569)</f>
        <v>#REF!</v>
      </c>
      <c r="L569" s="59" t="e">
        <f t="shared" si="65"/>
        <v>#REF!</v>
      </c>
      <c r="M569" s="61"/>
      <c r="N569" s="61" t="e">
        <f t="shared" si="66"/>
        <v>#REF!</v>
      </c>
      <c r="O569" s="61"/>
      <c r="P569" s="22" t="s">
        <v>389</v>
      </c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24"/>
      <c r="BI569" s="14"/>
      <c r="BJ569" s="14"/>
      <c r="BK569" s="14"/>
      <c r="BL569" s="14"/>
      <c r="BN569" s="2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</row>
    <row r="570" spans="1:79" hidden="1" outlineLevel="1" x14ac:dyDescent="0.25">
      <c r="A570" s="3" t="str">
        <f t="shared" si="60"/>
        <v>lt002_instrumentprjct_fnnc_ln</v>
      </c>
      <c r="B570" s="8" t="s">
        <v>16</v>
      </c>
      <c r="C570" s="9" t="s">
        <v>16</v>
      </c>
      <c r="D570" s="6" t="s">
        <v>30</v>
      </c>
      <c r="E570" s="10" t="s">
        <v>370</v>
      </c>
      <c r="F570" s="11" t="s">
        <v>395</v>
      </c>
      <c r="G570" s="6" t="e">
        <f>INDEX(#REF!,MATCH(Plano_Detalhado!H570,#REF!,0),1)</f>
        <v>#REF!</v>
      </c>
      <c r="H570" s="6" t="e">
        <f>VLOOKUP(A570,#REF!,2,0)</f>
        <v>#REF!</v>
      </c>
      <c r="I570" s="59" t="e">
        <f>SUMIFS(#REF!,#REF!,Plano_Detalhado!E570,#REF!,Plano_Detalhado!F570)</f>
        <v>#REF!</v>
      </c>
      <c r="J570" s="59" t="e">
        <f t="shared" si="64"/>
        <v>#REF!</v>
      </c>
      <c r="K570" s="59" t="e">
        <f>SUMIFS(#REF!,#REF!,Plano_Detalhado!E570,#REF!,Plano_Detalhado!F570)</f>
        <v>#REF!</v>
      </c>
      <c r="L570" s="59" t="e">
        <f t="shared" si="65"/>
        <v>#REF!</v>
      </c>
      <c r="M570" s="61"/>
      <c r="N570" s="61" t="e">
        <f t="shared" si="66"/>
        <v>#REF!</v>
      </c>
      <c r="O570" s="61"/>
      <c r="P570" s="22" t="s">
        <v>389</v>
      </c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24"/>
      <c r="BI570" s="14"/>
      <c r="BJ570" s="14"/>
      <c r="BK570" s="14"/>
      <c r="BL570" s="14"/>
      <c r="BN570" s="2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</row>
    <row r="571" spans="1:79" hidden="1" outlineLevel="1" x14ac:dyDescent="0.25">
      <c r="A571" s="3" t="str">
        <f t="shared" si="60"/>
        <v>lt002_instrumenttyp_instrmnt</v>
      </c>
      <c r="B571" s="8" t="s">
        <v>16</v>
      </c>
      <c r="C571" s="9" t="s">
        <v>16</v>
      </c>
      <c r="D571" s="6" t="s">
        <v>30</v>
      </c>
      <c r="E571" s="10" t="s">
        <v>370</v>
      </c>
      <c r="F571" s="11" t="s">
        <v>396</v>
      </c>
      <c r="G571" s="6" t="e">
        <f>INDEX(#REF!,MATCH(Plano_Detalhado!H571,#REF!,0),1)</f>
        <v>#REF!</v>
      </c>
      <c r="H571" s="6" t="e">
        <f>VLOOKUP(A571,#REF!,2,0)</f>
        <v>#REF!</v>
      </c>
      <c r="I571" s="59" t="e">
        <f>SUMIFS(#REF!,#REF!,Plano_Detalhado!E571,#REF!,Plano_Detalhado!F571)</f>
        <v>#REF!</v>
      </c>
      <c r="J571" s="59" t="e">
        <f t="shared" si="64"/>
        <v>#REF!</v>
      </c>
      <c r="K571" s="59" t="e">
        <f>SUMIFS(#REF!,#REF!,Plano_Detalhado!E571,#REF!,Plano_Detalhado!F571)</f>
        <v>#REF!</v>
      </c>
      <c r="L571" s="59" t="e">
        <f t="shared" si="65"/>
        <v>#REF!</v>
      </c>
      <c r="M571" s="61"/>
      <c r="N571" s="61" t="e">
        <f t="shared" si="66"/>
        <v>#REF!</v>
      </c>
      <c r="O571" s="61"/>
      <c r="P571" s="22" t="s">
        <v>389</v>
      </c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24"/>
      <c r="BI571" s="14"/>
      <c r="BJ571" s="14"/>
      <c r="BK571" s="14"/>
      <c r="BL571" s="14"/>
      <c r="BN571" s="2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</row>
    <row r="572" spans="1:79" hidden="1" outlineLevel="1" x14ac:dyDescent="0.25">
      <c r="A572" s="3" t="str">
        <f t="shared" si="60"/>
        <v>lt002_instrumentgrss_crryng_amnt_instrmnt</v>
      </c>
      <c r="B572" s="8" t="s">
        <v>16</v>
      </c>
      <c r="C572" s="9" t="s">
        <v>16</v>
      </c>
      <c r="D572" s="6" t="s">
        <v>30</v>
      </c>
      <c r="E572" s="10" t="s">
        <v>370</v>
      </c>
      <c r="F572" s="11" t="s">
        <v>397</v>
      </c>
      <c r="G572" s="6" t="e">
        <f>INDEX(#REF!,MATCH(Plano_Detalhado!H572,#REF!,0),1)</f>
        <v>#REF!</v>
      </c>
      <c r="H572" s="6" t="e">
        <f>VLOOKUP(A572,#REF!,2,0)</f>
        <v>#REF!</v>
      </c>
      <c r="I572" s="59" t="e">
        <f>SUMIFS(#REF!,#REF!,Plano_Detalhado!E572,#REF!,Plano_Detalhado!F572)</f>
        <v>#REF!</v>
      </c>
      <c r="J572" s="59" t="e">
        <f t="shared" si="64"/>
        <v>#REF!</v>
      </c>
      <c r="K572" s="59" t="e">
        <f>SUMIFS(#REF!,#REF!,Plano_Detalhado!E572,#REF!,Plano_Detalhado!F572)</f>
        <v>#REF!</v>
      </c>
      <c r="L572" s="59" t="e">
        <f t="shared" si="65"/>
        <v>#REF!</v>
      </c>
      <c r="M572" s="61"/>
      <c r="N572" s="61" t="e">
        <f t="shared" si="66"/>
        <v>#REF!</v>
      </c>
      <c r="O572" s="61"/>
      <c r="P572" s="22" t="s">
        <v>389</v>
      </c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24"/>
      <c r="BI572" s="14"/>
      <c r="BJ572" s="14"/>
      <c r="BK572" s="14"/>
      <c r="BL572" s="14"/>
      <c r="BN572" s="2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</row>
    <row r="573" spans="1:79" hidden="1" outlineLevel="1" x14ac:dyDescent="0.25">
      <c r="A573" s="3" t="str">
        <f t="shared" si="60"/>
        <v>lt002_instrumentaccmltd_chngs_fv_cr_instrmnt</v>
      </c>
      <c r="B573" s="8" t="s">
        <v>16</v>
      </c>
      <c r="C573" s="9" t="s">
        <v>16</v>
      </c>
      <c r="D573" s="6" t="s">
        <v>30</v>
      </c>
      <c r="E573" s="10" t="s">
        <v>370</v>
      </c>
      <c r="F573" s="11" t="s">
        <v>398</v>
      </c>
      <c r="G573" s="6" t="e">
        <f>INDEX(#REF!,MATCH(Plano_Detalhado!H573,#REF!,0),1)</f>
        <v>#REF!</v>
      </c>
      <c r="H573" s="6" t="e">
        <f>VLOOKUP(A573,#REF!,2,0)</f>
        <v>#REF!</v>
      </c>
      <c r="I573" s="59" t="e">
        <f>SUMIFS(#REF!,#REF!,Plano_Detalhado!E573,#REF!,Plano_Detalhado!F573)</f>
        <v>#REF!</v>
      </c>
      <c r="J573" s="59" t="e">
        <f t="shared" si="64"/>
        <v>#REF!</v>
      </c>
      <c r="K573" s="59" t="e">
        <f>SUMIFS(#REF!,#REF!,Plano_Detalhado!E573,#REF!,Plano_Detalhado!F573)</f>
        <v>#REF!</v>
      </c>
      <c r="L573" s="59" t="e">
        <f t="shared" si="65"/>
        <v>#REF!</v>
      </c>
      <c r="M573" s="61"/>
      <c r="N573" s="61" t="e">
        <f t="shared" si="66"/>
        <v>#REF!</v>
      </c>
      <c r="O573" s="61"/>
      <c r="P573" s="22" t="s">
        <v>389</v>
      </c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24"/>
      <c r="BI573" s="14"/>
      <c r="BJ573" s="14"/>
      <c r="BK573" s="14"/>
      <c r="BL573" s="14"/>
      <c r="BN573" s="2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</row>
    <row r="574" spans="1:79" hidden="1" outlineLevel="1" x14ac:dyDescent="0.25">
      <c r="A574" s="3" t="str">
        <f t="shared" si="60"/>
        <v>lt002_instrumentaccntng_clssfctn</v>
      </c>
      <c r="B574" s="8" t="s">
        <v>16</v>
      </c>
      <c r="C574" s="9" t="s">
        <v>16</v>
      </c>
      <c r="D574" s="6" t="s">
        <v>30</v>
      </c>
      <c r="E574" s="10" t="s">
        <v>370</v>
      </c>
      <c r="F574" s="11" t="s">
        <v>399</v>
      </c>
      <c r="G574" s="6" t="e">
        <f>INDEX(#REF!,MATCH(Plano_Detalhado!H574,#REF!,0),1)</f>
        <v>#REF!</v>
      </c>
      <c r="H574" s="6" t="e">
        <f>VLOOKUP(A574,#REF!,2,0)</f>
        <v>#REF!</v>
      </c>
      <c r="I574" s="59" t="e">
        <f>SUMIFS(#REF!,#REF!,Plano_Detalhado!E574,#REF!,Plano_Detalhado!F574)</f>
        <v>#REF!</v>
      </c>
      <c r="J574" s="59" t="e">
        <f t="shared" si="64"/>
        <v>#REF!</v>
      </c>
      <c r="K574" s="59" t="e">
        <f>SUMIFS(#REF!,#REF!,Plano_Detalhado!E574,#REF!,Plano_Detalhado!F574)</f>
        <v>#REF!</v>
      </c>
      <c r="L574" s="59" t="e">
        <f t="shared" si="65"/>
        <v>#REF!</v>
      </c>
      <c r="M574" s="61"/>
      <c r="N574" s="61" t="e">
        <f t="shared" si="66"/>
        <v>#REF!</v>
      </c>
      <c r="O574" s="61"/>
      <c r="P574" s="22" t="s">
        <v>389</v>
      </c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24"/>
      <c r="BI574" s="14"/>
      <c r="BJ574" s="14"/>
      <c r="BK574" s="14"/>
      <c r="BL574" s="14"/>
      <c r="BN574" s="2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</row>
    <row r="575" spans="1:79" hidden="1" outlineLevel="1" x14ac:dyDescent="0.25">
      <c r="A575" s="3" t="str">
        <f t="shared" si="60"/>
        <v>lt002_instrumentdt_lgl_fnl_mtrty</v>
      </c>
      <c r="B575" s="8" t="s">
        <v>16</v>
      </c>
      <c r="C575" s="9" t="s">
        <v>16</v>
      </c>
      <c r="D575" s="6" t="s">
        <v>30</v>
      </c>
      <c r="E575" s="10" t="s">
        <v>370</v>
      </c>
      <c r="F575" s="11" t="s">
        <v>400</v>
      </c>
      <c r="G575" s="6" t="e">
        <f>INDEX(#REF!,MATCH(Plano_Detalhado!H575,#REF!,0),1)</f>
        <v>#REF!</v>
      </c>
      <c r="H575" s="6" t="e">
        <f>VLOOKUP(A575,#REF!,2,0)</f>
        <v>#REF!</v>
      </c>
      <c r="I575" s="59" t="e">
        <f>SUMIFS(#REF!,#REF!,Plano_Detalhado!E575,#REF!,Plano_Detalhado!F575)</f>
        <v>#REF!</v>
      </c>
      <c r="J575" s="59" t="e">
        <f t="shared" si="64"/>
        <v>#REF!</v>
      </c>
      <c r="K575" s="59" t="e">
        <f>SUMIFS(#REF!,#REF!,Plano_Detalhado!E575,#REF!,Plano_Detalhado!F575)</f>
        <v>#REF!</v>
      </c>
      <c r="L575" s="59" t="e">
        <f t="shared" si="65"/>
        <v>#REF!</v>
      </c>
      <c r="M575" s="61"/>
      <c r="N575" s="61" t="e">
        <f t="shared" si="66"/>
        <v>#REF!</v>
      </c>
      <c r="O575" s="61"/>
      <c r="P575" s="22" t="s">
        <v>389</v>
      </c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24"/>
      <c r="BI575" s="14"/>
      <c r="BJ575" s="14"/>
      <c r="BK575" s="14"/>
      <c r="BL575" s="14"/>
      <c r="BN575" s="2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</row>
    <row r="576" spans="1:79" hidden="1" outlineLevel="1" x14ac:dyDescent="0.25">
      <c r="A576" s="3" t="str">
        <f t="shared" si="60"/>
        <v>lt002_instrumentaccmltd_imprmnt_instrmnt</v>
      </c>
      <c r="B576" s="8" t="s">
        <v>16</v>
      </c>
      <c r="C576" s="9" t="s">
        <v>16</v>
      </c>
      <c r="D576" s="6" t="s">
        <v>30</v>
      </c>
      <c r="E576" s="10" t="s">
        <v>370</v>
      </c>
      <c r="F576" s="11" t="s">
        <v>401</v>
      </c>
      <c r="G576" s="6" t="e">
        <f>INDEX(#REF!,MATCH(Plano_Detalhado!H576,#REF!,0),1)</f>
        <v>#REF!</v>
      </c>
      <c r="H576" s="6" t="e">
        <f>VLOOKUP(A576,#REF!,2,0)</f>
        <v>#REF!</v>
      </c>
      <c r="I576" s="59" t="e">
        <f>SUMIFS(#REF!,#REF!,Plano_Detalhado!E576,#REF!,Plano_Detalhado!F576)</f>
        <v>#REF!</v>
      </c>
      <c r="J576" s="59" t="e">
        <f t="shared" si="64"/>
        <v>#REF!</v>
      </c>
      <c r="K576" s="59" t="e">
        <f>SUMIFS(#REF!,#REF!,Plano_Detalhado!E576,#REF!,Plano_Detalhado!F576)</f>
        <v>#REF!</v>
      </c>
      <c r="L576" s="59" t="e">
        <f t="shared" si="65"/>
        <v>#REF!</v>
      </c>
      <c r="M576" s="61"/>
      <c r="N576" s="61" t="e">
        <f t="shared" si="66"/>
        <v>#REF!</v>
      </c>
      <c r="O576" s="61"/>
      <c r="P576" s="22" t="s">
        <v>389</v>
      </c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24"/>
      <c r="BI576" s="14"/>
      <c r="BJ576" s="14"/>
      <c r="BK576" s="14"/>
      <c r="BL576" s="14"/>
      <c r="BN576" s="2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</row>
    <row r="577" spans="1:79" hidden="1" outlineLevel="1" x14ac:dyDescent="0.25">
      <c r="A577" s="3" t="str">
        <f t="shared" si="60"/>
        <v>lt002_instrumentissr_cntry</v>
      </c>
      <c r="B577" s="8" t="s">
        <v>16</v>
      </c>
      <c r="C577" s="9" t="s">
        <v>16</v>
      </c>
      <c r="D577" s="6" t="s">
        <v>30</v>
      </c>
      <c r="E577" s="10" t="s">
        <v>370</v>
      </c>
      <c r="F577" s="11" t="s">
        <v>402</v>
      </c>
      <c r="G577" s="6" t="e">
        <f>INDEX(#REF!,MATCH(Plano_Detalhado!H577,#REF!,0),1)</f>
        <v>#REF!</v>
      </c>
      <c r="H577" s="6" t="e">
        <f>VLOOKUP(A577,#REF!,2,0)</f>
        <v>#REF!</v>
      </c>
      <c r="I577" s="59" t="e">
        <f>SUMIFS(#REF!,#REF!,Plano_Detalhado!E577,#REF!,Plano_Detalhado!F577)</f>
        <v>#REF!</v>
      </c>
      <c r="J577" s="59" t="e">
        <f t="shared" si="64"/>
        <v>#REF!</v>
      </c>
      <c r="K577" s="59" t="e">
        <f>SUMIFS(#REF!,#REF!,Plano_Detalhado!E577,#REF!,Plano_Detalhado!F577)</f>
        <v>#REF!</v>
      </c>
      <c r="L577" s="59" t="e">
        <f t="shared" si="65"/>
        <v>#REF!</v>
      </c>
      <c r="M577" s="61"/>
      <c r="N577" s="61" t="e">
        <f t="shared" si="66"/>
        <v>#REF!</v>
      </c>
      <c r="O577" s="61"/>
      <c r="P577" s="22" t="s">
        <v>389</v>
      </c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24"/>
      <c r="BI577" s="14"/>
      <c r="BJ577" s="14"/>
      <c r="BK577" s="14"/>
      <c r="BL577" s="14"/>
      <c r="BN577" s="2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</row>
    <row r="578" spans="1:79" hidden="1" outlineLevel="1" x14ac:dyDescent="0.25">
      <c r="A578" s="3" t="str">
        <f t="shared" si="60"/>
        <v>lt002_instrumentissr_nace_sctr</v>
      </c>
      <c r="B578" s="8" t="s">
        <v>16</v>
      </c>
      <c r="C578" s="9" t="s">
        <v>16</v>
      </c>
      <c r="D578" s="6" t="s">
        <v>30</v>
      </c>
      <c r="E578" s="10" t="s">
        <v>370</v>
      </c>
      <c r="F578" s="11" t="s">
        <v>403</v>
      </c>
      <c r="G578" s="6" t="e">
        <f>INDEX(#REF!,MATCH(Plano_Detalhado!H578,#REF!,0),1)</f>
        <v>#REF!</v>
      </c>
      <c r="H578" s="6" t="e">
        <f>VLOOKUP(A578,#REF!,2,0)</f>
        <v>#REF!</v>
      </c>
      <c r="I578" s="59" t="e">
        <f>SUMIFS(#REF!,#REF!,Plano_Detalhado!E578,#REF!,Plano_Detalhado!F578)</f>
        <v>#REF!</v>
      </c>
      <c r="J578" s="59" t="e">
        <f t="shared" si="64"/>
        <v>#REF!</v>
      </c>
      <c r="K578" s="59" t="e">
        <f>SUMIFS(#REF!,#REF!,Plano_Detalhado!E578,#REF!,Plano_Detalhado!F578)</f>
        <v>#REF!</v>
      </c>
      <c r="L578" s="59" t="e">
        <f t="shared" si="65"/>
        <v>#REF!</v>
      </c>
      <c r="M578" s="61"/>
      <c r="N578" s="61" t="e">
        <f t="shared" si="66"/>
        <v>#REF!</v>
      </c>
      <c r="O578" s="61"/>
      <c r="P578" s="22" t="s">
        <v>389</v>
      </c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24"/>
      <c r="BI578" s="14"/>
      <c r="BJ578" s="14"/>
      <c r="BK578" s="14"/>
      <c r="BL578" s="14"/>
      <c r="BN578" s="2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</row>
    <row r="579" spans="1:79" hidden="1" outlineLevel="1" x14ac:dyDescent="0.25">
      <c r="A579" s="3" t="str">
        <f t="shared" si="60"/>
        <v>lt002_instrumentprmry_asst_clssf</v>
      </c>
      <c r="B579" s="8" t="s">
        <v>16</v>
      </c>
      <c r="C579" s="9" t="s">
        <v>16</v>
      </c>
      <c r="D579" s="6" t="s">
        <v>30</v>
      </c>
      <c r="E579" s="10" t="s">
        <v>370</v>
      </c>
      <c r="F579" s="11" t="s">
        <v>404</v>
      </c>
      <c r="G579" s="6" t="e">
        <f>INDEX(#REF!,MATCH(Plano_Detalhado!H579,#REF!,0),1)</f>
        <v>#REF!</v>
      </c>
      <c r="H579" s="6" t="e">
        <f>VLOOKUP(A579,#REF!,2,0)</f>
        <v>#REF!</v>
      </c>
      <c r="I579" s="59" t="e">
        <f>SUMIFS(#REF!,#REF!,Plano_Detalhado!E579,#REF!,Plano_Detalhado!F579)</f>
        <v>#REF!</v>
      </c>
      <c r="J579" s="59" t="e">
        <f t="shared" si="64"/>
        <v>#REF!</v>
      </c>
      <c r="K579" s="59" t="e">
        <f>SUMIFS(#REF!,#REF!,Plano_Detalhado!E579,#REF!,Plano_Detalhado!F579)</f>
        <v>#REF!</v>
      </c>
      <c r="L579" s="59" t="e">
        <f t="shared" si="65"/>
        <v>#REF!</v>
      </c>
      <c r="M579" s="61"/>
      <c r="N579" s="61" t="e">
        <f t="shared" si="66"/>
        <v>#REF!</v>
      </c>
      <c r="O579" s="61"/>
      <c r="P579" s="22" t="s">
        <v>389</v>
      </c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24"/>
      <c r="BI579" s="14"/>
      <c r="BJ579" s="14"/>
      <c r="BK579" s="14"/>
      <c r="BL579" s="14"/>
      <c r="BN579" s="2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</row>
    <row r="580" spans="1:79" hidden="1" outlineLevel="1" x14ac:dyDescent="0.25">
      <c r="A580" s="3" t="str">
        <f t="shared" si="60"/>
        <v>lt002_instrumentsubportfolio_id</v>
      </c>
      <c r="B580" s="8" t="s">
        <v>16</v>
      </c>
      <c r="C580" s="9" t="s">
        <v>16</v>
      </c>
      <c r="D580" s="6" t="s">
        <v>30</v>
      </c>
      <c r="E580" s="10" t="s">
        <v>370</v>
      </c>
      <c r="F580" s="11" t="s">
        <v>405</v>
      </c>
      <c r="G580" s="6" t="e">
        <f>INDEX(#REF!,MATCH(Plano_Detalhado!H580,#REF!,0),1)</f>
        <v>#REF!</v>
      </c>
      <c r="H580" s="6" t="e">
        <f>VLOOKUP(A580,#REF!,2,0)</f>
        <v>#REF!</v>
      </c>
      <c r="I580" s="59" t="e">
        <f>SUMIFS(#REF!,#REF!,Plano_Detalhado!E580,#REF!,Plano_Detalhado!F580)</f>
        <v>#REF!</v>
      </c>
      <c r="J580" s="59" t="e">
        <f t="shared" si="64"/>
        <v>#REF!</v>
      </c>
      <c r="K580" s="59" t="e">
        <f>SUMIFS(#REF!,#REF!,Plano_Detalhado!E580,#REF!,Plano_Detalhado!F580)</f>
        <v>#REF!</v>
      </c>
      <c r="L580" s="59" t="e">
        <f t="shared" si="65"/>
        <v>#REF!</v>
      </c>
      <c r="M580" s="61"/>
      <c r="N580" s="61" t="e">
        <f t="shared" si="66"/>
        <v>#REF!</v>
      </c>
      <c r="O580" s="61"/>
      <c r="P580" s="22" t="s">
        <v>389</v>
      </c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24"/>
      <c r="BI580" s="14"/>
      <c r="BJ580" s="14"/>
      <c r="BK580" s="14"/>
      <c r="BL580" s="14"/>
      <c r="BN580" s="2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</row>
    <row r="581" spans="1:79" hidden="1" outlineLevel="1" x14ac:dyDescent="0.25">
      <c r="A581" s="3" t="str">
        <f t="shared" si="60"/>
        <v>lt002_instrumentcod_soc</v>
      </c>
      <c r="B581" s="8" t="s">
        <v>16</v>
      </c>
      <c r="C581" s="9" t="s">
        <v>16</v>
      </c>
      <c r="D581" s="6" t="s">
        <v>30</v>
      </c>
      <c r="E581" s="10" t="s">
        <v>370</v>
      </c>
      <c r="F581" s="11" t="s">
        <v>406</v>
      </c>
      <c r="G581" s="6" t="e">
        <f>INDEX(#REF!,MATCH(Plano_Detalhado!H581,#REF!,0),1)</f>
        <v>#REF!</v>
      </c>
      <c r="H581" s="6" t="e">
        <f>VLOOKUP(A581,#REF!,2,0)</f>
        <v>#REF!</v>
      </c>
      <c r="I581" s="59" t="e">
        <f>SUMIFS(#REF!,#REF!,Plano_Detalhado!E581,#REF!,Plano_Detalhado!F581)</f>
        <v>#REF!</v>
      </c>
      <c r="J581" s="59" t="e">
        <f t="shared" si="64"/>
        <v>#REF!</v>
      </c>
      <c r="K581" s="59" t="e">
        <f>SUMIFS(#REF!,#REF!,Plano_Detalhado!E581,#REF!,Plano_Detalhado!F581)</f>
        <v>#REF!</v>
      </c>
      <c r="L581" s="59" t="e">
        <f t="shared" si="65"/>
        <v>#REF!</v>
      </c>
      <c r="M581" s="61"/>
      <c r="N581" s="61" t="e">
        <f t="shared" si="66"/>
        <v>#REF!</v>
      </c>
      <c r="O581" s="61"/>
      <c r="P581" s="22" t="s">
        <v>389</v>
      </c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24"/>
      <c r="BI581" s="14"/>
      <c r="BJ581" s="14"/>
      <c r="BK581" s="14"/>
      <c r="BL581" s="14"/>
      <c r="BN581" s="2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</row>
    <row r="582" spans="1:79" hidden="1" outlineLevel="1" x14ac:dyDescent="0.25">
      <c r="A582" s="3" t="str">
        <f t="shared" si="60"/>
        <v>lt002_instrumentlcl_instmrnt_id</v>
      </c>
      <c r="B582" s="8" t="s">
        <v>16</v>
      </c>
      <c r="C582" s="9" t="s">
        <v>16</v>
      </c>
      <c r="D582" s="6" t="s">
        <v>30</v>
      </c>
      <c r="E582" s="10" t="s">
        <v>370</v>
      </c>
      <c r="F582" s="11" t="s">
        <v>407</v>
      </c>
      <c r="G582" s="6" t="e">
        <f>INDEX(#REF!,MATCH(Plano_Detalhado!H582,#REF!,0),1)</f>
        <v>#REF!</v>
      </c>
      <c r="H582" s="6" t="e">
        <f>VLOOKUP(A582,#REF!,2,0)</f>
        <v>#REF!</v>
      </c>
      <c r="I582" s="59" t="e">
        <f>SUMIFS(#REF!,#REF!,Plano_Detalhado!E582,#REF!,Plano_Detalhado!F582)</f>
        <v>#REF!</v>
      </c>
      <c r="J582" s="59" t="e">
        <f t="shared" si="64"/>
        <v>#REF!</v>
      </c>
      <c r="K582" s="59" t="e">
        <f>SUMIFS(#REF!,#REF!,Plano_Detalhado!E582,#REF!,Plano_Detalhado!F582)</f>
        <v>#REF!</v>
      </c>
      <c r="L582" s="59" t="e">
        <f t="shared" si="65"/>
        <v>#REF!</v>
      </c>
      <c r="M582" s="61"/>
      <c r="N582" s="61" t="e">
        <f t="shared" si="66"/>
        <v>#REF!</v>
      </c>
      <c r="O582" s="61"/>
      <c r="P582" s="22" t="s">
        <v>389</v>
      </c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24"/>
      <c r="BI582" s="14"/>
      <c r="BJ582" s="14"/>
      <c r="BK582" s="14"/>
      <c r="BL582" s="14"/>
      <c r="BN582" s="2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</row>
    <row r="583" spans="1:79" hidden="1" outlineLevel="1" x14ac:dyDescent="0.25">
      <c r="A583" s="3" t="str">
        <f t="shared" si="60"/>
        <v>lt007_instr_activitysstnbl_indctr</v>
      </c>
      <c r="B583" s="8" t="s">
        <v>16</v>
      </c>
      <c r="C583" s="9" t="s">
        <v>16</v>
      </c>
      <c r="D583" s="6" t="s">
        <v>30</v>
      </c>
      <c r="E583" s="10" t="s">
        <v>521</v>
      </c>
      <c r="F583" s="11" t="s">
        <v>408</v>
      </c>
      <c r="G583" s="6" t="e">
        <f>INDEX(#REF!,MATCH(Plano_Detalhado!H583,#REF!,0),1)</f>
        <v>#REF!</v>
      </c>
      <c r="H583" s="6" t="e">
        <f>VLOOKUP(A583,#REF!,2,0)</f>
        <v>#REF!</v>
      </c>
      <c r="I583" s="59" t="e">
        <f>SUMIFS(#REF!,#REF!,Plano_Detalhado!E583,#REF!,Plano_Detalhado!F583)</f>
        <v>#REF!</v>
      </c>
      <c r="J583" s="59" t="e">
        <f t="shared" si="64"/>
        <v>#REF!</v>
      </c>
      <c r="K583" s="59" t="e">
        <f>SUMIFS(#REF!,#REF!,Plano_Detalhado!E583,#REF!,Plano_Detalhado!F583)</f>
        <v>#REF!</v>
      </c>
      <c r="L583" s="59" t="e">
        <f t="shared" si="65"/>
        <v>#REF!</v>
      </c>
      <c r="M583" s="61"/>
      <c r="N583" s="61" t="e">
        <f t="shared" si="66"/>
        <v>#REF!</v>
      </c>
      <c r="O583" s="61"/>
      <c r="P583" s="22" t="s">
        <v>21</v>
      </c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24"/>
      <c r="BI583" s="14"/>
      <c r="BJ583" s="14"/>
      <c r="BK583" s="14"/>
      <c r="BL583" s="14"/>
      <c r="BN583" s="2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</row>
    <row r="584" spans="1:79" hidden="1" outlineLevel="1" x14ac:dyDescent="0.25">
      <c r="A584" s="3" t="str">
        <f t="shared" si="60"/>
        <v>lt007_instr_activitysstnbl_ctgry</v>
      </c>
      <c r="B584" s="8" t="s">
        <v>16</v>
      </c>
      <c r="C584" s="9" t="s">
        <v>16</v>
      </c>
      <c r="D584" s="6" t="s">
        <v>30</v>
      </c>
      <c r="E584" s="10" t="s">
        <v>521</v>
      </c>
      <c r="F584" s="11" t="s">
        <v>409</v>
      </c>
      <c r="G584" s="6" t="e">
        <f>INDEX(#REF!,MATCH(Plano_Detalhado!H584,#REF!,0),1)</f>
        <v>#REF!</v>
      </c>
      <c r="H584" s="6" t="e">
        <f>VLOOKUP(A584,#REF!,2,0)</f>
        <v>#REF!</v>
      </c>
      <c r="I584" s="59" t="e">
        <f>SUMIFS(#REF!,#REF!,Plano_Detalhado!E584,#REF!,Plano_Detalhado!F584)</f>
        <v>#REF!</v>
      </c>
      <c r="J584" s="59" t="e">
        <f t="shared" si="64"/>
        <v>#REF!</v>
      </c>
      <c r="K584" s="59" t="e">
        <f>SUMIFS(#REF!,#REF!,Plano_Detalhado!E584,#REF!,Plano_Detalhado!F584)</f>
        <v>#REF!</v>
      </c>
      <c r="L584" s="59" t="e">
        <f t="shared" si="65"/>
        <v>#REF!</v>
      </c>
      <c r="M584" s="61"/>
      <c r="N584" s="61" t="e">
        <f t="shared" si="66"/>
        <v>#REF!</v>
      </c>
      <c r="O584" s="61"/>
      <c r="P584" s="22" t="s">
        <v>21</v>
      </c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24"/>
      <c r="BI584" s="14"/>
      <c r="BJ584" s="14"/>
      <c r="BK584" s="14"/>
      <c r="BL584" s="14"/>
      <c r="BN584" s="2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</row>
    <row r="585" spans="1:79" hidden="1" outlineLevel="1" x14ac:dyDescent="0.25">
      <c r="A585" s="3" t="str">
        <f t="shared" si="60"/>
        <v>lt002_instrumentgrss_intrst_incm</v>
      </c>
      <c r="B585" s="8" t="s">
        <v>16</v>
      </c>
      <c r="C585" s="9" t="s">
        <v>16</v>
      </c>
      <c r="D585" s="6" t="s">
        <v>30</v>
      </c>
      <c r="E585" s="10" t="s">
        <v>370</v>
      </c>
      <c r="F585" s="11" t="s">
        <v>410</v>
      </c>
      <c r="G585" s="6" t="e">
        <f>INDEX(#REF!,MATCH(Plano_Detalhado!H585,#REF!,0),1)</f>
        <v>#REF!</v>
      </c>
      <c r="H585" s="6" t="e">
        <f>VLOOKUP(A585,#REF!,2,0)</f>
        <v>#REF!</v>
      </c>
      <c r="I585" s="59" t="e">
        <f>SUMIFS(#REF!,#REF!,Plano_Detalhado!E585,#REF!,Plano_Detalhado!F585)</f>
        <v>#REF!</v>
      </c>
      <c r="J585" s="59" t="e">
        <f t="shared" si="64"/>
        <v>#REF!</v>
      </c>
      <c r="K585" s="59" t="e">
        <f>SUMIFS(#REF!,#REF!,Plano_Detalhado!E585,#REF!,Plano_Detalhado!F585)</f>
        <v>#REF!</v>
      </c>
      <c r="L585" s="59" t="e">
        <f t="shared" si="65"/>
        <v>#REF!</v>
      </c>
      <c r="M585" s="61"/>
      <c r="N585" s="61" t="e">
        <f t="shared" si="66"/>
        <v>#REF!</v>
      </c>
      <c r="O585" s="61"/>
      <c r="P585" s="22" t="s">
        <v>21</v>
      </c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24"/>
      <c r="BI585" s="14"/>
      <c r="BJ585" s="14"/>
      <c r="BK585" s="14"/>
      <c r="BL585" s="14"/>
      <c r="BN585" s="2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</row>
    <row r="586" spans="1:79" hidden="1" outlineLevel="1" x14ac:dyDescent="0.25">
      <c r="A586" s="3" t="str">
        <f t="shared" si="60"/>
        <v>lt002_instrumentgrss_cmmssn_incm</v>
      </c>
      <c r="B586" s="8" t="s">
        <v>16</v>
      </c>
      <c r="C586" s="9" t="s">
        <v>16</v>
      </c>
      <c r="D586" s="6" t="s">
        <v>30</v>
      </c>
      <c r="E586" s="10" t="s">
        <v>370</v>
      </c>
      <c r="F586" s="11" t="s">
        <v>411</v>
      </c>
      <c r="G586" s="6" t="e">
        <f>INDEX(#REF!,MATCH(Plano_Detalhado!H586,#REF!,0),1)</f>
        <v>#REF!</v>
      </c>
      <c r="H586" s="6" t="e">
        <f>VLOOKUP(A586,#REF!,2,0)</f>
        <v>#REF!</v>
      </c>
      <c r="I586" s="59" t="e">
        <f>SUMIFS(#REF!,#REF!,Plano_Detalhado!E586,#REF!,Plano_Detalhado!F586)</f>
        <v>#REF!</v>
      </c>
      <c r="J586" s="59" t="e">
        <f t="shared" si="64"/>
        <v>#REF!</v>
      </c>
      <c r="K586" s="59" t="e">
        <f>SUMIFS(#REF!,#REF!,Plano_Detalhado!E586,#REF!,Plano_Detalhado!F586)</f>
        <v>#REF!</v>
      </c>
      <c r="L586" s="59" t="e">
        <f t="shared" si="65"/>
        <v>#REF!</v>
      </c>
      <c r="M586" s="61"/>
      <c r="N586" s="61" t="e">
        <f t="shared" si="66"/>
        <v>#REF!</v>
      </c>
      <c r="O586" s="61"/>
      <c r="P586" s="22" t="s">
        <v>21</v>
      </c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24"/>
      <c r="BI586" s="14"/>
      <c r="BJ586" s="14"/>
      <c r="BK586" s="14"/>
      <c r="BL586" s="14"/>
      <c r="BN586" s="2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</row>
    <row r="587" spans="1:79" hidden="1" outlineLevel="1" x14ac:dyDescent="0.25">
      <c r="A587" s="3" t="str">
        <f t="shared" si="60"/>
        <v>lt002_instrumentgrss_cmmssn_incm_off_blnc</v>
      </c>
      <c r="B587" s="8" t="s">
        <v>16</v>
      </c>
      <c r="C587" s="9" t="s">
        <v>16</v>
      </c>
      <c r="D587" s="6" t="s">
        <v>30</v>
      </c>
      <c r="E587" s="10" t="s">
        <v>370</v>
      </c>
      <c r="F587" s="11" t="s">
        <v>412</v>
      </c>
      <c r="G587" s="6" t="e">
        <f>INDEX(#REF!,MATCH(Plano_Detalhado!H587,#REF!,0),1)</f>
        <v>#REF!</v>
      </c>
      <c r="H587" s="6" t="e">
        <f>VLOOKUP(A587,#REF!,2,0)</f>
        <v>#REF!</v>
      </c>
      <c r="I587" s="59" t="e">
        <f>SUMIFS(#REF!,#REF!,Plano_Detalhado!E587,#REF!,Plano_Detalhado!F587)</f>
        <v>#REF!</v>
      </c>
      <c r="J587" s="59" t="e">
        <f t="shared" si="64"/>
        <v>#REF!</v>
      </c>
      <c r="K587" s="59" t="e">
        <f>SUMIFS(#REF!,#REF!,Plano_Detalhado!E587,#REF!,Plano_Detalhado!F587)</f>
        <v>#REF!</v>
      </c>
      <c r="L587" s="59" t="e">
        <f t="shared" si="65"/>
        <v>#REF!</v>
      </c>
      <c r="M587" s="61"/>
      <c r="N587" s="61" t="e">
        <f t="shared" si="66"/>
        <v>#REF!</v>
      </c>
      <c r="O587" s="61"/>
      <c r="P587" s="22" t="s">
        <v>21</v>
      </c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24"/>
      <c r="BI587" s="14"/>
      <c r="BJ587" s="14"/>
      <c r="BK587" s="14"/>
      <c r="BL587" s="14"/>
      <c r="BN587" s="2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</row>
    <row r="588" spans="1:79" hidden="1" outlineLevel="1" x14ac:dyDescent="0.25">
      <c r="A588" s="3" t="str">
        <f t="shared" si="60"/>
        <v>lt002_instrumentidcmb</v>
      </c>
      <c r="B588" s="8" t="s">
        <v>16</v>
      </c>
      <c r="C588" s="9" t="s">
        <v>16</v>
      </c>
      <c r="D588" s="6" t="s">
        <v>30</v>
      </c>
      <c r="E588" s="10" t="s">
        <v>370</v>
      </c>
      <c r="F588" s="11" t="s">
        <v>413</v>
      </c>
      <c r="G588" s="6" t="e">
        <f>INDEX(#REF!,MATCH(Plano_Detalhado!H588,#REF!,0),1)</f>
        <v>#REF!</v>
      </c>
      <c r="H588" s="6" t="e">
        <f>VLOOKUP(A588,#REF!,2,0)</f>
        <v>#REF!</v>
      </c>
      <c r="I588" s="59" t="e">
        <f>SUMIFS(#REF!,#REF!,Plano_Detalhado!E588,#REF!,Plano_Detalhado!F588)</f>
        <v>#REF!</v>
      </c>
      <c r="J588" s="59" t="e">
        <f t="shared" si="64"/>
        <v>#REF!</v>
      </c>
      <c r="K588" s="59" t="e">
        <f>SUMIFS(#REF!,#REF!,Plano_Detalhado!E588,#REF!,Plano_Detalhado!F588)</f>
        <v>#REF!</v>
      </c>
      <c r="L588" s="59" t="e">
        <f t="shared" si="65"/>
        <v>#REF!</v>
      </c>
      <c r="M588" s="61"/>
      <c r="N588" s="61" t="e">
        <f t="shared" si="66"/>
        <v>#REF!</v>
      </c>
      <c r="O588" s="61"/>
      <c r="P588" s="22" t="s">
        <v>389</v>
      </c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24"/>
      <c r="BI588" s="14"/>
      <c r="BJ588" s="14"/>
      <c r="BK588" s="14"/>
      <c r="BL588" s="14"/>
      <c r="BN588" s="2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</row>
    <row r="589" spans="1:79" hidden="1" outlineLevel="1" x14ac:dyDescent="0.25">
      <c r="A589" s="3" t="str">
        <f t="shared" si="60"/>
        <v>lt003_entitycntry</v>
      </c>
      <c r="B589" s="8" t="s">
        <v>16</v>
      </c>
      <c r="C589" s="9" t="s">
        <v>16</v>
      </c>
      <c r="D589" s="6" t="s">
        <v>30</v>
      </c>
      <c r="E589" s="10" t="s">
        <v>326</v>
      </c>
      <c r="F589" s="11" t="s">
        <v>414</v>
      </c>
      <c r="G589" s="6" t="e">
        <f>INDEX(#REF!,MATCH(Plano_Detalhado!H589,#REF!,0),1)</f>
        <v>#REF!</v>
      </c>
      <c r="H589" s="6" t="e">
        <f>VLOOKUP(A589,#REF!,2,0)</f>
        <v>#REF!</v>
      </c>
      <c r="I589" s="59" t="e">
        <f>SUMIFS(#REF!,#REF!,Plano_Detalhado!E589,#REF!,Plano_Detalhado!F589)</f>
        <v>#REF!</v>
      </c>
      <c r="J589" s="59" t="e">
        <f t="shared" si="64"/>
        <v>#REF!</v>
      </c>
      <c r="K589" s="59" t="e">
        <f>SUMIFS(#REF!,#REF!,Plano_Detalhado!E589,#REF!,Plano_Detalhado!F589)</f>
        <v>#REF!</v>
      </c>
      <c r="L589" s="59" t="e">
        <f t="shared" si="65"/>
        <v>#REF!</v>
      </c>
      <c r="M589" s="61"/>
      <c r="N589" s="61" t="e">
        <f t="shared" si="66"/>
        <v>#REF!</v>
      </c>
      <c r="O589" s="61"/>
      <c r="P589" s="22" t="s">
        <v>389</v>
      </c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24"/>
      <c r="BI589" s="14"/>
      <c r="BJ589" s="14"/>
      <c r="BK589" s="14"/>
      <c r="BL589" s="14"/>
      <c r="BN589" s="2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</row>
    <row r="590" spans="1:79" hidden="1" outlineLevel="1" x14ac:dyDescent="0.25">
      <c r="A590" s="3" t="str">
        <f t="shared" si="60"/>
        <v>lt003_entitydt_rfrnc</v>
      </c>
      <c r="B590" s="8" t="s">
        <v>16</v>
      </c>
      <c r="C590" s="9" t="s">
        <v>16</v>
      </c>
      <c r="D590" s="6" t="s">
        <v>30</v>
      </c>
      <c r="E590" s="10" t="s">
        <v>326</v>
      </c>
      <c r="F590" s="11" t="s">
        <v>388</v>
      </c>
      <c r="G590" s="6" t="e">
        <f>INDEX(#REF!,MATCH(Plano_Detalhado!H590,#REF!,0),1)</f>
        <v>#REF!</v>
      </c>
      <c r="H590" s="6" t="e">
        <f>VLOOKUP(A590,#REF!,2,0)</f>
        <v>#REF!</v>
      </c>
      <c r="I590" s="59" t="e">
        <f>SUMIFS(#REF!,#REF!,Plano_Detalhado!E590,#REF!,Plano_Detalhado!F590)</f>
        <v>#REF!</v>
      </c>
      <c r="J590" s="59" t="e">
        <f t="shared" si="64"/>
        <v>#REF!</v>
      </c>
      <c r="K590" s="59" t="e">
        <f>SUMIFS(#REF!,#REF!,Plano_Detalhado!E590,#REF!,Plano_Detalhado!F590)</f>
        <v>#REF!</v>
      </c>
      <c r="L590" s="59" t="e">
        <f t="shared" si="65"/>
        <v>#REF!</v>
      </c>
      <c r="M590" s="61"/>
      <c r="N590" s="61" t="e">
        <f t="shared" si="66"/>
        <v>#REF!</v>
      </c>
      <c r="O590" s="61"/>
      <c r="P590" s="22" t="s">
        <v>389</v>
      </c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24"/>
      <c r="BI590" s="14"/>
      <c r="BJ590" s="14"/>
      <c r="BK590" s="14"/>
      <c r="BL590" s="14"/>
      <c r="BN590" s="2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</row>
    <row r="591" spans="1:79" hidden="1" outlineLevel="1" x14ac:dyDescent="0.25">
      <c r="A591" s="3" t="str">
        <f t="shared" si="60"/>
        <v>lt003_entityentty_id</v>
      </c>
      <c r="B591" s="8" t="s">
        <v>16</v>
      </c>
      <c r="C591" s="9" t="s">
        <v>16</v>
      </c>
      <c r="D591" s="6" t="s">
        <v>30</v>
      </c>
      <c r="E591" s="10" t="s">
        <v>326</v>
      </c>
      <c r="F591" s="11" t="s">
        <v>415</v>
      </c>
      <c r="G591" s="6" t="e">
        <f>INDEX(#REF!,MATCH(Plano_Detalhado!H591,#REF!,0),1)</f>
        <v>#REF!</v>
      </c>
      <c r="H591" s="6" t="e">
        <f>VLOOKUP(A591,#REF!,2,0)</f>
        <v>#REF!</v>
      </c>
      <c r="I591" s="59" t="e">
        <f>SUMIFS(#REF!,#REF!,Plano_Detalhado!E591,#REF!,Plano_Detalhado!F591)</f>
        <v>#REF!</v>
      </c>
      <c r="J591" s="59" t="e">
        <f t="shared" si="64"/>
        <v>#REF!</v>
      </c>
      <c r="K591" s="59" t="e">
        <f>SUMIFS(#REF!,#REF!,Plano_Detalhado!E591,#REF!,Plano_Detalhado!F591)</f>
        <v>#REF!</v>
      </c>
      <c r="L591" s="59" t="e">
        <f t="shared" si="65"/>
        <v>#REF!</v>
      </c>
      <c r="M591" s="61"/>
      <c r="N591" s="61" t="e">
        <f t="shared" si="66"/>
        <v>#REF!</v>
      </c>
      <c r="O591" s="61"/>
      <c r="P591" s="22" t="s">
        <v>389</v>
      </c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24"/>
      <c r="BI591" s="14"/>
      <c r="BJ591" s="14"/>
      <c r="BK591" s="14"/>
      <c r="BL591" s="14"/>
      <c r="BN591" s="2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</row>
    <row r="592" spans="1:79" hidden="1" outlineLevel="1" x14ac:dyDescent="0.25">
      <c r="A592" s="3" t="str">
        <f t="shared" si="60"/>
        <v>lt003_entitylei</v>
      </c>
      <c r="B592" s="8" t="s">
        <v>16</v>
      </c>
      <c r="C592" s="9" t="s">
        <v>16</v>
      </c>
      <c r="D592" s="6" t="s">
        <v>30</v>
      </c>
      <c r="E592" s="10" t="s">
        <v>326</v>
      </c>
      <c r="F592" s="11" t="s">
        <v>416</v>
      </c>
      <c r="G592" s="6" t="e">
        <f>INDEX(#REF!,MATCH(Plano_Detalhado!H592,#REF!,0),1)</f>
        <v>#REF!</v>
      </c>
      <c r="H592" s="6" t="e">
        <f>VLOOKUP(A592,#REF!,2,0)</f>
        <v>#REF!</v>
      </c>
      <c r="I592" s="59" t="e">
        <f>SUMIFS(#REF!,#REF!,Plano_Detalhado!E592,#REF!,Plano_Detalhado!F592)</f>
        <v>#REF!</v>
      </c>
      <c r="J592" s="59" t="e">
        <f t="shared" si="64"/>
        <v>#REF!</v>
      </c>
      <c r="K592" s="59" t="e">
        <f>SUMIFS(#REF!,#REF!,Plano_Detalhado!E592,#REF!,Plano_Detalhado!F592)</f>
        <v>#REF!</v>
      </c>
      <c r="L592" s="59" t="e">
        <f t="shared" si="65"/>
        <v>#REF!</v>
      </c>
      <c r="M592" s="61"/>
      <c r="N592" s="61" t="e">
        <f t="shared" si="66"/>
        <v>#REF!</v>
      </c>
      <c r="O592" s="61"/>
      <c r="P592" s="22" t="s">
        <v>389</v>
      </c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24"/>
      <c r="BI592" s="14"/>
      <c r="BJ592" s="14"/>
      <c r="BK592" s="14"/>
      <c r="BL592" s="14"/>
      <c r="BN592" s="2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</row>
    <row r="593" spans="1:79" hidden="1" outlineLevel="1" x14ac:dyDescent="0.25">
      <c r="A593" s="3" t="str">
        <f t="shared" si="60"/>
        <v>lt003_entityecnmc_actvty</v>
      </c>
      <c r="B593" s="8" t="s">
        <v>16</v>
      </c>
      <c r="C593" s="9" t="s">
        <v>16</v>
      </c>
      <c r="D593" s="6" t="s">
        <v>30</v>
      </c>
      <c r="E593" s="10" t="s">
        <v>326</v>
      </c>
      <c r="F593" s="11" t="s">
        <v>417</v>
      </c>
      <c r="G593" s="6" t="e">
        <f>INDEX(#REF!,MATCH(Plano_Detalhado!H593,#REF!,0),1)</f>
        <v>#REF!</v>
      </c>
      <c r="H593" s="6" t="e">
        <f>VLOOKUP(A593,#REF!,2,0)</f>
        <v>#REF!</v>
      </c>
      <c r="I593" s="59" t="e">
        <f>SUMIFS(#REF!,#REF!,Plano_Detalhado!E593,#REF!,Plano_Detalhado!F593)</f>
        <v>#REF!</v>
      </c>
      <c r="J593" s="59" t="e">
        <f t="shared" si="64"/>
        <v>#REF!</v>
      </c>
      <c r="K593" s="59" t="e">
        <f>SUMIFS(#REF!,#REF!,Plano_Detalhado!E593,#REF!,Plano_Detalhado!F593)</f>
        <v>#REF!</v>
      </c>
      <c r="L593" s="59" t="e">
        <f t="shared" si="65"/>
        <v>#REF!</v>
      </c>
      <c r="M593" s="61"/>
      <c r="N593" s="61" t="e">
        <f t="shared" si="66"/>
        <v>#REF!</v>
      </c>
      <c r="O593" s="61"/>
      <c r="P593" s="22" t="s">
        <v>389</v>
      </c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24"/>
      <c r="BI593" s="14"/>
      <c r="BJ593" s="14"/>
      <c r="BK593" s="14"/>
      <c r="BL593" s="14"/>
      <c r="BN593" s="2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</row>
    <row r="594" spans="1:79" hidden="1" outlineLevel="1" x14ac:dyDescent="0.25">
      <c r="A594" s="3" t="str">
        <f t="shared" si="60"/>
        <v>lt003_entitygrp_eqty</v>
      </c>
      <c r="B594" s="8" t="s">
        <v>16</v>
      </c>
      <c r="C594" s="9" t="s">
        <v>16</v>
      </c>
      <c r="D594" s="6" t="s">
        <v>30</v>
      </c>
      <c r="E594" s="10" t="s">
        <v>326</v>
      </c>
      <c r="F594" s="11" t="s">
        <v>418</v>
      </c>
      <c r="G594" s="6" t="e">
        <f>INDEX(#REF!,MATCH(Plano_Detalhado!H594,#REF!,0),1)</f>
        <v>#REF!</v>
      </c>
      <c r="H594" s="6" t="e">
        <f>VLOOKUP(A594,#REF!,2,0)</f>
        <v>#REF!</v>
      </c>
      <c r="I594" s="59" t="e">
        <f>SUMIFS(#REF!,#REF!,Plano_Detalhado!E594,#REF!,Plano_Detalhado!F594)</f>
        <v>#REF!</v>
      </c>
      <c r="J594" s="59" t="e">
        <f t="shared" si="64"/>
        <v>#REF!</v>
      </c>
      <c r="K594" s="59" t="e">
        <f>SUMIFS(#REF!,#REF!,Plano_Detalhado!E594,#REF!,Plano_Detalhado!F594)</f>
        <v>#REF!</v>
      </c>
      <c r="L594" s="59" t="e">
        <f t="shared" si="65"/>
        <v>#REF!</v>
      </c>
      <c r="M594" s="61"/>
      <c r="N594" s="61" t="e">
        <f t="shared" si="66"/>
        <v>#REF!</v>
      </c>
      <c r="O594" s="61"/>
      <c r="P594" s="22" t="s">
        <v>389</v>
      </c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24"/>
      <c r="BI594" s="14"/>
      <c r="BJ594" s="14"/>
      <c r="BK594" s="14"/>
      <c r="BL594" s="14"/>
      <c r="BN594" s="2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</row>
    <row r="595" spans="1:79" hidden="1" outlineLevel="1" x14ac:dyDescent="0.25">
      <c r="A595" s="3" t="str">
        <f t="shared" si="60"/>
        <v>lt003_entityannl_trnvr_le</v>
      </c>
      <c r="B595" s="8" t="s">
        <v>16</v>
      </c>
      <c r="C595" s="9" t="s">
        <v>16</v>
      </c>
      <c r="D595" s="6" t="s">
        <v>30</v>
      </c>
      <c r="E595" s="10" t="s">
        <v>326</v>
      </c>
      <c r="F595" s="11" t="s">
        <v>419</v>
      </c>
      <c r="G595" s="6" t="e">
        <f>INDEX(#REF!,MATCH(Plano_Detalhado!H595,#REF!,0),1)</f>
        <v>#REF!</v>
      </c>
      <c r="H595" s="6" t="e">
        <f>VLOOKUP(A595,#REF!,2,0)</f>
        <v>#REF!</v>
      </c>
      <c r="I595" s="59" t="e">
        <f>SUMIFS(#REF!,#REF!,Plano_Detalhado!E595,#REF!,Plano_Detalhado!F595)</f>
        <v>#REF!</v>
      </c>
      <c r="J595" s="59" t="e">
        <f t="shared" si="64"/>
        <v>#REF!</v>
      </c>
      <c r="K595" s="59" t="e">
        <f>SUMIFS(#REF!,#REF!,Plano_Detalhado!E595,#REF!,Plano_Detalhado!F595)</f>
        <v>#REF!</v>
      </c>
      <c r="L595" s="59" t="e">
        <f t="shared" si="65"/>
        <v>#REF!</v>
      </c>
      <c r="M595" s="61"/>
      <c r="N595" s="61" t="e">
        <f t="shared" si="66"/>
        <v>#REF!</v>
      </c>
      <c r="O595" s="61"/>
      <c r="P595" s="22" t="s">
        <v>389</v>
      </c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24"/>
      <c r="BI595" s="14"/>
      <c r="BJ595" s="14"/>
      <c r="BK595" s="14"/>
      <c r="BL595" s="14"/>
      <c r="BN595" s="2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</row>
    <row r="596" spans="1:79" hidden="1" outlineLevel="1" x14ac:dyDescent="0.25">
      <c r="A596" s="3" t="str">
        <f t="shared" si="60"/>
        <v>lt003_entityeqty</v>
      </c>
      <c r="B596" s="8" t="s">
        <v>16</v>
      </c>
      <c r="C596" s="9" t="s">
        <v>16</v>
      </c>
      <c r="D596" s="6" t="s">
        <v>30</v>
      </c>
      <c r="E596" s="10" t="s">
        <v>326</v>
      </c>
      <c r="F596" s="11" t="s">
        <v>420</v>
      </c>
      <c r="G596" s="6" t="e">
        <f>INDEX(#REF!,MATCH(Plano_Detalhado!H596,#REF!,0),1)</f>
        <v>#REF!</v>
      </c>
      <c r="H596" s="6" t="e">
        <f>VLOOKUP(A596,#REF!,2,0)</f>
        <v>#REF!</v>
      </c>
      <c r="I596" s="59" t="e">
        <f>SUMIFS(#REF!,#REF!,Plano_Detalhado!E596,#REF!,Plano_Detalhado!F596)</f>
        <v>#REF!</v>
      </c>
      <c r="J596" s="59" t="e">
        <f t="shared" si="64"/>
        <v>#REF!</v>
      </c>
      <c r="K596" s="59" t="e">
        <f>SUMIFS(#REF!,#REF!,Plano_Detalhado!E596,#REF!,Plano_Detalhado!F596)</f>
        <v>#REF!</v>
      </c>
      <c r="L596" s="59" t="e">
        <f t="shared" si="65"/>
        <v>#REF!</v>
      </c>
      <c r="M596" s="61"/>
      <c r="N596" s="61" t="e">
        <f t="shared" si="66"/>
        <v>#REF!</v>
      </c>
      <c r="O596" s="61"/>
      <c r="P596" s="22" t="s">
        <v>389</v>
      </c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24"/>
      <c r="BI596" s="14"/>
      <c r="BJ596" s="14"/>
      <c r="BK596" s="14"/>
      <c r="BL596" s="14"/>
      <c r="BN596" s="2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</row>
    <row r="597" spans="1:79" hidden="1" outlineLevel="1" x14ac:dyDescent="0.25">
      <c r="A597" s="3" t="str">
        <f t="shared" si="60"/>
        <v>lt003_entitygrp_ttl_dbt</v>
      </c>
      <c r="B597" s="8" t="s">
        <v>16</v>
      </c>
      <c r="C597" s="9" t="s">
        <v>16</v>
      </c>
      <c r="D597" s="6" t="s">
        <v>30</v>
      </c>
      <c r="E597" s="10" t="s">
        <v>326</v>
      </c>
      <c r="F597" s="11" t="s">
        <v>421</v>
      </c>
      <c r="G597" s="6" t="e">
        <f>INDEX(#REF!,MATCH(Plano_Detalhado!H597,#REF!,0),1)</f>
        <v>#REF!</v>
      </c>
      <c r="H597" s="6" t="e">
        <f>VLOOKUP(A597,#REF!,2,0)</f>
        <v>#REF!</v>
      </c>
      <c r="I597" s="59" t="e">
        <f>SUMIFS(#REF!,#REF!,Plano_Detalhado!E597,#REF!,Plano_Detalhado!F597)</f>
        <v>#REF!</v>
      </c>
      <c r="J597" s="59" t="e">
        <f t="shared" si="64"/>
        <v>#REF!</v>
      </c>
      <c r="K597" s="59" t="e">
        <f>SUMIFS(#REF!,#REF!,Plano_Detalhado!E597,#REF!,Plano_Detalhado!F597)</f>
        <v>#REF!</v>
      </c>
      <c r="L597" s="59" t="e">
        <f t="shared" si="65"/>
        <v>#REF!</v>
      </c>
      <c r="M597" s="61"/>
      <c r="N597" s="61" t="e">
        <f t="shared" si="66"/>
        <v>#REF!</v>
      </c>
      <c r="O597" s="61"/>
      <c r="P597" s="22" t="s">
        <v>389</v>
      </c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24"/>
      <c r="BI597" s="14"/>
      <c r="BJ597" s="14"/>
      <c r="BK597" s="14"/>
      <c r="BL597" s="14"/>
      <c r="BN597" s="2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</row>
    <row r="598" spans="1:79" hidden="1" outlineLevel="1" x14ac:dyDescent="0.25">
      <c r="A598" s="3" t="str">
        <f t="shared" si="60"/>
        <v>lt003_entityttl_dbt</v>
      </c>
      <c r="B598" s="8" t="s">
        <v>16</v>
      </c>
      <c r="C598" s="9" t="s">
        <v>16</v>
      </c>
      <c r="D598" s="6" t="s">
        <v>30</v>
      </c>
      <c r="E598" s="10" t="s">
        <v>326</v>
      </c>
      <c r="F598" s="11" t="s">
        <v>422</v>
      </c>
      <c r="G598" s="6" t="e">
        <f>INDEX(#REF!,MATCH(Plano_Detalhado!H598,#REF!,0),1)</f>
        <v>#REF!</v>
      </c>
      <c r="H598" s="6" t="e">
        <f>VLOOKUP(A598,#REF!,2,0)</f>
        <v>#REF!</v>
      </c>
      <c r="I598" s="59" t="e">
        <f>SUMIFS(#REF!,#REF!,Plano_Detalhado!E598,#REF!,Plano_Detalhado!F598)</f>
        <v>#REF!</v>
      </c>
      <c r="J598" s="59" t="e">
        <f t="shared" si="64"/>
        <v>#REF!</v>
      </c>
      <c r="K598" s="59" t="e">
        <f>SUMIFS(#REF!,#REF!,Plano_Detalhado!E598,#REF!,Plano_Detalhado!F598)</f>
        <v>#REF!</v>
      </c>
      <c r="L598" s="59" t="e">
        <f t="shared" si="65"/>
        <v>#REF!</v>
      </c>
      <c r="M598" s="61"/>
      <c r="N598" s="61" t="e">
        <f t="shared" si="66"/>
        <v>#REF!</v>
      </c>
      <c r="O598" s="61"/>
      <c r="P598" s="22" t="s">
        <v>389</v>
      </c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24"/>
      <c r="BI598" s="14"/>
      <c r="BJ598" s="14"/>
      <c r="BK598" s="14"/>
      <c r="BL598" s="14"/>
      <c r="BN598" s="2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</row>
    <row r="599" spans="1:79" hidden="1" outlineLevel="1" x14ac:dyDescent="0.25">
      <c r="A599" s="3" t="str">
        <f t="shared" si="60"/>
        <v>lt003_entitycod_soc</v>
      </c>
      <c r="B599" s="8" t="s">
        <v>16</v>
      </c>
      <c r="C599" s="9" t="s">
        <v>16</v>
      </c>
      <c r="D599" s="6" t="s">
        <v>30</v>
      </c>
      <c r="E599" s="10" t="s">
        <v>326</v>
      </c>
      <c r="F599" s="11" t="s">
        <v>406</v>
      </c>
      <c r="G599" s="6" t="e">
        <f>INDEX(#REF!,MATCH(Plano_Detalhado!H599,#REF!,0),1)</f>
        <v>#REF!</v>
      </c>
      <c r="H599" s="6" t="e">
        <f>VLOOKUP(A599,#REF!,2,0)</f>
        <v>#REF!</v>
      </c>
      <c r="I599" s="59" t="e">
        <f>SUMIFS(#REF!,#REF!,Plano_Detalhado!E599,#REF!,Plano_Detalhado!F599)</f>
        <v>#REF!</v>
      </c>
      <c r="J599" s="59" t="e">
        <f t="shared" si="64"/>
        <v>#REF!</v>
      </c>
      <c r="K599" s="59" t="e">
        <f>SUMIFS(#REF!,#REF!,Plano_Detalhado!E599,#REF!,Plano_Detalhado!F599)</f>
        <v>#REF!</v>
      </c>
      <c r="L599" s="59" t="e">
        <f t="shared" si="65"/>
        <v>#REF!</v>
      </c>
      <c r="M599" s="61"/>
      <c r="N599" s="61" t="e">
        <f t="shared" si="66"/>
        <v>#REF!</v>
      </c>
      <c r="O599" s="61"/>
      <c r="P599" s="22" t="s">
        <v>389</v>
      </c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24"/>
      <c r="BI599" s="14"/>
      <c r="BJ599" s="14"/>
      <c r="BK599" s="14"/>
      <c r="BL599" s="14"/>
      <c r="BN599" s="2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</row>
    <row r="600" spans="1:79" hidden="1" outlineLevel="1" x14ac:dyDescent="0.25">
      <c r="A600" s="3" t="str">
        <f t="shared" si="60"/>
        <v>lt004_protectiondt_rfrnc</v>
      </c>
      <c r="B600" s="8" t="s">
        <v>16</v>
      </c>
      <c r="C600" s="9" t="s">
        <v>16</v>
      </c>
      <c r="D600" s="6" t="s">
        <v>30</v>
      </c>
      <c r="E600" s="10" t="s">
        <v>359</v>
      </c>
      <c r="F600" s="11" t="s">
        <v>388</v>
      </c>
      <c r="G600" s="6" t="e">
        <f>INDEX(#REF!,MATCH(Plano_Detalhado!H600,#REF!,0),1)</f>
        <v>#REF!</v>
      </c>
      <c r="H600" s="6" t="e">
        <f>VLOOKUP(A600,#REF!,2,0)</f>
        <v>#REF!</v>
      </c>
      <c r="I600" s="59" t="e">
        <f>SUMIFS(#REF!,#REF!,Plano_Detalhado!E600,#REF!,Plano_Detalhado!F600)</f>
        <v>#REF!</v>
      </c>
      <c r="J600" s="59" t="e">
        <f t="shared" si="64"/>
        <v>#REF!</v>
      </c>
      <c r="K600" s="59" t="e">
        <f>SUMIFS(#REF!,#REF!,Plano_Detalhado!E600,#REF!,Plano_Detalhado!F600)</f>
        <v>#REF!</v>
      </c>
      <c r="L600" s="59" t="e">
        <f t="shared" si="65"/>
        <v>#REF!</v>
      </c>
      <c r="M600" s="61"/>
      <c r="N600" s="61" t="e">
        <f t="shared" si="66"/>
        <v>#REF!</v>
      </c>
      <c r="O600" s="61"/>
      <c r="P600" s="22" t="s">
        <v>389</v>
      </c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24"/>
      <c r="BI600" s="14"/>
      <c r="BJ600" s="14"/>
      <c r="BK600" s="14"/>
      <c r="BL600" s="14"/>
      <c r="BN600" s="2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</row>
    <row r="601" spans="1:79" hidden="1" outlineLevel="1" x14ac:dyDescent="0.25">
      <c r="A601" s="3" t="str">
        <f t="shared" si="60"/>
        <v>lt004_protectionprtctn_id</v>
      </c>
      <c r="B601" s="8" t="s">
        <v>16</v>
      </c>
      <c r="C601" s="9" t="s">
        <v>16</v>
      </c>
      <c r="D601" s="6" t="s">
        <v>30</v>
      </c>
      <c r="E601" s="10" t="s">
        <v>359</v>
      </c>
      <c r="F601" s="11" t="s">
        <v>423</v>
      </c>
      <c r="G601" s="6" t="e">
        <f>INDEX(#REF!,MATCH(Plano_Detalhado!H601,#REF!,0),1)</f>
        <v>#REF!</v>
      </c>
      <c r="H601" s="6" t="e">
        <f>VLOOKUP(A601,#REF!,2,0)</f>
        <v>#REF!</v>
      </c>
      <c r="I601" s="59" t="e">
        <f>SUMIFS(#REF!,#REF!,Plano_Detalhado!E601,#REF!,Plano_Detalhado!F601)</f>
        <v>#REF!</v>
      </c>
      <c r="J601" s="59" t="e">
        <f t="shared" si="64"/>
        <v>#REF!</v>
      </c>
      <c r="K601" s="59" t="e">
        <f>SUMIFS(#REF!,#REF!,Plano_Detalhado!E601,#REF!,Plano_Detalhado!F601)</f>
        <v>#REF!</v>
      </c>
      <c r="L601" s="59" t="e">
        <f t="shared" si="65"/>
        <v>#REF!</v>
      </c>
      <c r="M601" s="61"/>
      <c r="N601" s="61" t="e">
        <f t="shared" si="66"/>
        <v>#REF!</v>
      </c>
      <c r="O601" s="61"/>
      <c r="P601" s="22" t="s">
        <v>389</v>
      </c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24"/>
      <c r="BI601" s="14"/>
      <c r="BJ601" s="14"/>
      <c r="BK601" s="14"/>
      <c r="BL601" s="14"/>
      <c r="BN601" s="2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</row>
    <row r="602" spans="1:79" hidden="1" outlineLevel="1" x14ac:dyDescent="0.25">
      <c r="A602" s="3" t="str">
        <f t="shared" si="60"/>
        <v>lt004_protectionrl_estt_clltrl_lctn</v>
      </c>
      <c r="B602" s="8" t="s">
        <v>16</v>
      </c>
      <c r="C602" s="9" t="s">
        <v>16</v>
      </c>
      <c r="D602" s="6" t="s">
        <v>30</v>
      </c>
      <c r="E602" s="10" t="s">
        <v>359</v>
      </c>
      <c r="F602" s="11" t="s">
        <v>424</v>
      </c>
      <c r="G602" s="6" t="e">
        <f>INDEX(#REF!,MATCH(Plano_Detalhado!H602,#REF!,0),1)</f>
        <v>#REF!</v>
      </c>
      <c r="H602" s="6" t="e">
        <f>VLOOKUP(A602,#REF!,2,0)</f>
        <v>#REF!</v>
      </c>
      <c r="I602" s="59" t="e">
        <f>SUMIFS(#REF!,#REF!,Plano_Detalhado!E602,#REF!,Plano_Detalhado!F602)</f>
        <v>#REF!</v>
      </c>
      <c r="J602" s="59" t="e">
        <f t="shared" si="64"/>
        <v>#REF!</v>
      </c>
      <c r="K602" s="59" t="e">
        <f>SUMIFS(#REF!,#REF!,Plano_Detalhado!E602,#REF!,Plano_Detalhado!F602)</f>
        <v>#REF!</v>
      </c>
      <c r="L602" s="59" t="e">
        <f t="shared" si="65"/>
        <v>#REF!</v>
      </c>
      <c r="M602" s="61"/>
      <c r="N602" s="61" t="e">
        <f t="shared" si="66"/>
        <v>#REF!</v>
      </c>
      <c r="O602" s="61"/>
      <c r="P602" s="22" t="s">
        <v>389</v>
      </c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24"/>
      <c r="BI602" s="14"/>
      <c r="BJ602" s="14"/>
      <c r="BK602" s="14"/>
      <c r="BL602" s="14"/>
      <c r="BN602" s="2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</row>
    <row r="603" spans="1:79" hidden="1" outlineLevel="1" x14ac:dyDescent="0.25">
      <c r="A603" s="3" t="str">
        <f t="shared" si="60"/>
        <v>lt004_protectionrl_estt_pst_cd</v>
      </c>
      <c r="B603" s="8" t="s">
        <v>16</v>
      </c>
      <c r="C603" s="9" t="s">
        <v>16</v>
      </c>
      <c r="D603" s="6" t="s">
        <v>30</v>
      </c>
      <c r="E603" s="10" t="s">
        <v>359</v>
      </c>
      <c r="F603" s="11" t="s">
        <v>425</v>
      </c>
      <c r="G603" s="6" t="e">
        <f>INDEX(#REF!,MATCH(Plano_Detalhado!H603,#REF!,0),1)</f>
        <v>#REF!</v>
      </c>
      <c r="H603" s="6" t="e">
        <f>VLOOKUP(A603,#REF!,2,0)</f>
        <v>#REF!</v>
      </c>
      <c r="I603" s="59" t="e">
        <f>SUMIFS(#REF!,#REF!,Plano_Detalhado!E603,#REF!,Plano_Detalhado!F603)</f>
        <v>#REF!</v>
      </c>
      <c r="J603" s="59" t="e">
        <f t="shared" si="64"/>
        <v>#REF!</v>
      </c>
      <c r="K603" s="59" t="e">
        <f>SUMIFS(#REF!,#REF!,Plano_Detalhado!E603,#REF!,Plano_Detalhado!F603)</f>
        <v>#REF!</v>
      </c>
      <c r="L603" s="59" t="e">
        <f t="shared" si="65"/>
        <v>#REF!</v>
      </c>
      <c r="M603" s="61"/>
      <c r="N603" s="61" t="e">
        <f t="shared" si="66"/>
        <v>#REF!</v>
      </c>
      <c r="O603" s="61"/>
      <c r="P603" s="22" t="s">
        <v>389</v>
      </c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24"/>
      <c r="BI603" s="14"/>
      <c r="BJ603" s="14"/>
      <c r="BK603" s="14"/>
      <c r="BL603" s="14"/>
      <c r="BN603" s="2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</row>
    <row r="604" spans="1:79" hidden="1" outlineLevel="1" x14ac:dyDescent="0.25">
      <c r="A604" s="3" t="str">
        <f t="shared" si="60"/>
        <v>lt004_protectiontyp_prtctn</v>
      </c>
      <c r="B604" s="8" t="s">
        <v>16</v>
      </c>
      <c r="C604" s="9" t="s">
        <v>16</v>
      </c>
      <c r="D604" s="6" t="s">
        <v>30</v>
      </c>
      <c r="E604" s="10" t="s">
        <v>359</v>
      </c>
      <c r="F604" s="11" t="s">
        <v>426</v>
      </c>
      <c r="G604" s="6" t="e">
        <f>INDEX(#REF!,MATCH(Plano_Detalhado!H604,#REF!,0),1)</f>
        <v>#REF!</v>
      </c>
      <c r="H604" s="6" t="e">
        <f>VLOOKUP(A604,#REF!,2,0)</f>
        <v>#REF!</v>
      </c>
      <c r="I604" s="59" t="e">
        <f>SUMIFS(#REF!,#REF!,Plano_Detalhado!E604,#REF!,Plano_Detalhado!F604)</f>
        <v>#REF!</v>
      </c>
      <c r="J604" s="59" t="e">
        <f t="shared" si="64"/>
        <v>#REF!</v>
      </c>
      <c r="K604" s="59" t="e">
        <f>SUMIFS(#REF!,#REF!,Plano_Detalhado!E604,#REF!,Plano_Detalhado!F604)</f>
        <v>#REF!</v>
      </c>
      <c r="L604" s="59" t="e">
        <f t="shared" si="65"/>
        <v>#REF!</v>
      </c>
      <c r="M604" s="61"/>
      <c r="N604" s="61" t="e">
        <f t="shared" si="66"/>
        <v>#REF!</v>
      </c>
      <c r="O604" s="61"/>
      <c r="P604" s="22" t="s">
        <v>389</v>
      </c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24"/>
      <c r="BI604" s="14"/>
      <c r="BJ604" s="14"/>
      <c r="BK604" s="14"/>
      <c r="BL604" s="14"/>
      <c r="BN604" s="2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</row>
    <row r="605" spans="1:79" hidden="1" outlineLevel="1" x14ac:dyDescent="0.25">
      <c r="A605" s="3" t="str">
        <f t="shared" si="60"/>
        <v>lt004_protectionorgnl_prtctn_vl</v>
      </c>
      <c r="B605" s="8" t="s">
        <v>16</v>
      </c>
      <c r="C605" s="9" t="s">
        <v>16</v>
      </c>
      <c r="D605" s="6" t="s">
        <v>30</v>
      </c>
      <c r="E605" s="10" t="s">
        <v>359</v>
      </c>
      <c r="F605" s="11" t="s">
        <v>427</v>
      </c>
      <c r="G605" s="6" t="e">
        <f>INDEX(#REF!,MATCH(Plano_Detalhado!H605,#REF!,0),1)</f>
        <v>#REF!</v>
      </c>
      <c r="H605" s="6" t="e">
        <f>VLOOKUP(A605,#REF!,2,0)</f>
        <v>#REF!</v>
      </c>
      <c r="I605" s="59" t="e">
        <f>SUMIFS(#REF!,#REF!,Plano_Detalhado!E605,#REF!,Plano_Detalhado!F605)</f>
        <v>#REF!</v>
      </c>
      <c r="J605" s="59" t="e">
        <f t="shared" si="64"/>
        <v>#REF!</v>
      </c>
      <c r="K605" s="59" t="e">
        <f>SUMIFS(#REF!,#REF!,Plano_Detalhado!E605,#REF!,Plano_Detalhado!F605)</f>
        <v>#REF!</v>
      </c>
      <c r="L605" s="59" t="e">
        <f t="shared" si="65"/>
        <v>#REF!</v>
      </c>
      <c r="M605" s="61"/>
      <c r="N605" s="61" t="e">
        <f t="shared" si="66"/>
        <v>#REF!</v>
      </c>
      <c r="O605" s="61"/>
      <c r="P605" s="22" t="s">
        <v>389</v>
      </c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24"/>
      <c r="BI605" s="14"/>
      <c r="BJ605" s="14"/>
      <c r="BK605" s="14"/>
      <c r="BL605" s="14"/>
      <c r="BN605" s="2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</row>
    <row r="606" spans="1:79" hidden="1" outlineLevel="1" x14ac:dyDescent="0.25">
      <c r="A606" s="3" t="str">
        <f t="shared" si="60"/>
        <v>lt004_protectionprtctn_vl</v>
      </c>
      <c r="B606" s="8" t="s">
        <v>16</v>
      </c>
      <c r="C606" s="9" t="s">
        <v>16</v>
      </c>
      <c r="D606" s="6" t="s">
        <v>30</v>
      </c>
      <c r="E606" s="10" t="s">
        <v>359</v>
      </c>
      <c r="F606" s="11" t="s">
        <v>428</v>
      </c>
      <c r="G606" s="6" t="e">
        <f>INDEX(#REF!,MATCH(Plano_Detalhado!H606,#REF!,0),1)</f>
        <v>#REF!</v>
      </c>
      <c r="H606" s="6" t="e">
        <f>VLOOKUP(A606,#REF!,2,0)</f>
        <v>#REF!</v>
      </c>
      <c r="I606" s="59" t="e">
        <f>SUMIFS(#REF!,#REF!,Plano_Detalhado!E606,#REF!,Plano_Detalhado!F606)</f>
        <v>#REF!</v>
      </c>
      <c r="J606" s="59" t="e">
        <f t="shared" si="64"/>
        <v>#REF!</v>
      </c>
      <c r="K606" s="59" t="e">
        <f>SUMIFS(#REF!,#REF!,Plano_Detalhado!E606,#REF!,Plano_Detalhado!F606)</f>
        <v>#REF!</v>
      </c>
      <c r="L606" s="59" t="e">
        <f t="shared" si="65"/>
        <v>#REF!</v>
      </c>
      <c r="M606" s="61"/>
      <c r="N606" s="61" t="e">
        <f t="shared" si="66"/>
        <v>#REF!</v>
      </c>
      <c r="O606" s="61"/>
      <c r="P606" s="22" t="s">
        <v>389</v>
      </c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24"/>
      <c r="BI606" s="14"/>
      <c r="BJ606" s="14"/>
      <c r="BK606" s="14"/>
      <c r="BL606" s="14"/>
      <c r="BN606" s="2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</row>
    <row r="607" spans="1:79" hidden="1" outlineLevel="1" x14ac:dyDescent="0.25">
      <c r="A607" s="3" t="str">
        <f t="shared" si="60"/>
        <v>lt004_protectioncod_soc</v>
      </c>
      <c r="B607" s="8" t="s">
        <v>16</v>
      </c>
      <c r="C607" s="9" t="s">
        <v>16</v>
      </c>
      <c r="D607" s="6" t="s">
        <v>30</v>
      </c>
      <c r="E607" s="10" t="s">
        <v>359</v>
      </c>
      <c r="F607" s="11" t="s">
        <v>406</v>
      </c>
      <c r="G607" s="6" t="e">
        <f>INDEX(#REF!,MATCH(Plano_Detalhado!H607,#REF!,0),1)</f>
        <v>#REF!</v>
      </c>
      <c r="H607" s="6" t="e">
        <f>VLOOKUP(A607,#REF!,2,0)</f>
        <v>#REF!</v>
      </c>
      <c r="I607" s="59" t="e">
        <f>SUMIFS(#REF!,#REF!,Plano_Detalhado!E607,#REF!,Plano_Detalhado!F607)</f>
        <v>#REF!</v>
      </c>
      <c r="J607" s="59" t="e">
        <f t="shared" si="64"/>
        <v>#REF!</v>
      </c>
      <c r="K607" s="59" t="e">
        <f>SUMIFS(#REF!,#REF!,Plano_Detalhado!E607,#REF!,Plano_Detalhado!F607)</f>
        <v>#REF!</v>
      </c>
      <c r="L607" s="59" t="e">
        <f t="shared" si="65"/>
        <v>#REF!</v>
      </c>
      <c r="M607" s="61"/>
      <c r="N607" s="61" t="e">
        <f t="shared" si="66"/>
        <v>#REF!</v>
      </c>
      <c r="O607" s="61"/>
      <c r="P607" s="22" t="s">
        <v>389</v>
      </c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24"/>
      <c r="BI607" s="14"/>
      <c r="BJ607" s="14"/>
      <c r="BK607" s="14"/>
      <c r="BL607" s="14"/>
      <c r="BN607" s="2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</row>
    <row r="608" spans="1:79" hidden="1" outlineLevel="1" x14ac:dyDescent="0.25">
      <c r="A608" s="3" t="str">
        <f t="shared" si="60"/>
        <v>lt005_instr_entdt_rfrnc</v>
      </c>
      <c r="B608" s="8" t="s">
        <v>16</v>
      </c>
      <c r="C608" s="9" t="s">
        <v>16</v>
      </c>
      <c r="D608" s="6" t="s">
        <v>30</v>
      </c>
      <c r="E608" s="10" t="s">
        <v>429</v>
      </c>
      <c r="F608" s="11" t="s">
        <v>388</v>
      </c>
      <c r="G608" s="6" t="e">
        <f>INDEX(#REF!,MATCH(Plano_Detalhado!H608,#REF!,0),1)</f>
        <v>#REF!</v>
      </c>
      <c r="H608" s="6" t="e">
        <f>VLOOKUP(A608,#REF!,2,0)</f>
        <v>#REF!</v>
      </c>
      <c r="I608" s="59" t="e">
        <f>SUMIFS(#REF!,#REF!,Plano_Detalhado!E608,#REF!,Plano_Detalhado!F608)</f>
        <v>#REF!</v>
      </c>
      <c r="J608" s="59" t="e">
        <f t="shared" si="64"/>
        <v>#REF!</v>
      </c>
      <c r="K608" s="59" t="e">
        <f>SUMIFS(#REF!,#REF!,Plano_Detalhado!E608,#REF!,Plano_Detalhado!F608)</f>
        <v>#REF!</v>
      </c>
      <c r="L608" s="59" t="e">
        <f t="shared" si="65"/>
        <v>#REF!</v>
      </c>
      <c r="M608" s="61"/>
      <c r="N608" s="61" t="e">
        <f t="shared" si="66"/>
        <v>#REF!</v>
      </c>
      <c r="O608" s="61"/>
      <c r="P608" s="22" t="s">
        <v>389</v>
      </c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24"/>
      <c r="BI608" s="14"/>
      <c r="BJ608" s="14"/>
      <c r="BK608" s="14"/>
      <c r="BL608" s="14"/>
      <c r="BN608" s="2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</row>
    <row r="609" spans="1:79" hidden="1" outlineLevel="1" x14ac:dyDescent="0.25">
      <c r="A609" s="3" t="str">
        <f t="shared" si="60"/>
        <v>lt005_instr_ententty_id</v>
      </c>
      <c r="B609" s="8" t="s">
        <v>16</v>
      </c>
      <c r="C609" s="9" t="s">
        <v>16</v>
      </c>
      <c r="D609" s="6" t="s">
        <v>30</v>
      </c>
      <c r="E609" s="10" t="s">
        <v>429</v>
      </c>
      <c r="F609" s="11" t="s">
        <v>415</v>
      </c>
      <c r="G609" s="6" t="e">
        <f>INDEX(#REF!,MATCH(Plano_Detalhado!H609,#REF!,0),1)</f>
        <v>#REF!</v>
      </c>
      <c r="H609" s="6" t="e">
        <f>VLOOKUP(A609,#REF!,2,0)</f>
        <v>#REF!</v>
      </c>
      <c r="I609" s="59" t="e">
        <f>SUMIFS(#REF!,#REF!,Plano_Detalhado!E609,#REF!,Plano_Detalhado!F609)</f>
        <v>#REF!</v>
      </c>
      <c r="J609" s="59" t="e">
        <f t="shared" si="64"/>
        <v>#REF!</v>
      </c>
      <c r="K609" s="59" t="e">
        <f>SUMIFS(#REF!,#REF!,Plano_Detalhado!E609,#REF!,Plano_Detalhado!F609)</f>
        <v>#REF!</v>
      </c>
      <c r="L609" s="59" t="e">
        <f t="shared" si="65"/>
        <v>#REF!</v>
      </c>
      <c r="M609" s="61"/>
      <c r="N609" s="61" t="e">
        <f t="shared" si="66"/>
        <v>#REF!</v>
      </c>
      <c r="O609" s="61"/>
      <c r="P609" s="22" t="s">
        <v>389</v>
      </c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24"/>
      <c r="BI609" s="14"/>
      <c r="BJ609" s="14"/>
      <c r="BK609" s="14"/>
      <c r="BL609" s="14"/>
      <c r="BN609" s="2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</row>
    <row r="610" spans="1:79" hidden="1" outlineLevel="1" x14ac:dyDescent="0.25">
      <c r="A610" s="3" t="str">
        <f t="shared" si="60"/>
        <v>lt005_instr_entinstrmnt_id</v>
      </c>
      <c r="B610" s="8" t="s">
        <v>16</v>
      </c>
      <c r="C610" s="9" t="s">
        <v>16</v>
      </c>
      <c r="D610" s="6" t="s">
        <v>30</v>
      </c>
      <c r="E610" s="10" t="s">
        <v>429</v>
      </c>
      <c r="F610" s="11" t="s">
        <v>390</v>
      </c>
      <c r="G610" s="6" t="e">
        <f>INDEX(#REF!,MATCH(Plano_Detalhado!H610,#REF!,0),1)</f>
        <v>#REF!</v>
      </c>
      <c r="H610" s="6" t="e">
        <f>VLOOKUP(A610,#REF!,2,0)</f>
        <v>#REF!</v>
      </c>
      <c r="I610" s="59" t="e">
        <f>SUMIFS(#REF!,#REF!,Plano_Detalhado!E610,#REF!,Plano_Detalhado!F610)</f>
        <v>#REF!</v>
      </c>
      <c r="J610" s="59" t="e">
        <f t="shared" si="64"/>
        <v>#REF!</v>
      </c>
      <c r="K610" s="59" t="e">
        <f>SUMIFS(#REF!,#REF!,Plano_Detalhado!E610,#REF!,Plano_Detalhado!F610)</f>
        <v>#REF!</v>
      </c>
      <c r="L610" s="59" t="e">
        <f t="shared" si="65"/>
        <v>#REF!</v>
      </c>
      <c r="M610" s="61"/>
      <c r="N610" s="61" t="e">
        <f t="shared" si="66"/>
        <v>#REF!</v>
      </c>
      <c r="O610" s="61"/>
      <c r="P610" s="22" t="s">
        <v>389</v>
      </c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24"/>
      <c r="BI610" s="14"/>
      <c r="BJ610" s="14"/>
      <c r="BK610" s="14"/>
      <c r="BL610" s="14"/>
      <c r="BN610" s="2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</row>
    <row r="611" spans="1:79" hidden="1" outlineLevel="1" x14ac:dyDescent="0.25">
      <c r="A611" s="3" t="str">
        <f t="shared" si="60"/>
        <v>lt005_instr_entcod_soc</v>
      </c>
      <c r="B611" s="8" t="s">
        <v>16</v>
      </c>
      <c r="C611" s="9" t="s">
        <v>16</v>
      </c>
      <c r="D611" s="6" t="s">
        <v>30</v>
      </c>
      <c r="E611" s="10" t="s">
        <v>429</v>
      </c>
      <c r="F611" s="11" t="s">
        <v>406</v>
      </c>
      <c r="G611" s="6" t="e">
        <f>INDEX(#REF!,MATCH(Plano_Detalhado!H611,#REF!,0),1)</f>
        <v>#REF!</v>
      </c>
      <c r="H611" s="6" t="e">
        <f>VLOOKUP(A611,#REF!,2,0)</f>
        <v>#REF!</v>
      </c>
      <c r="I611" s="59" t="e">
        <f>SUMIFS(#REF!,#REF!,Plano_Detalhado!E611,#REF!,Plano_Detalhado!F611)</f>
        <v>#REF!</v>
      </c>
      <c r="J611" s="59" t="e">
        <f t="shared" si="64"/>
        <v>#REF!</v>
      </c>
      <c r="K611" s="59" t="e">
        <f>SUMIFS(#REF!,#REF!,Plano_Detalhado!E611,#REF!,Plano_Detalhado!F611)</f>
        <v>#REF!</v>
      </c>
      <c r="L611" s="59" t="e">
        <f t="shared" si="65"/>
        <v>#REF!</v>
      </c>
      <c r="M611" s="61"/>
      <c r="N611" s="61" t="e">
        <f t="shared" si="66"/>
        <v>#REF!</v>
      </c>
      <c r="O611" s="61"/>
      <c r="P611" s="22" t="s">
        <v>389</v>
      </c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24"/>
      <c r="BI611" s="14"/>
      <c r="BJ611" s="14"/>
      <c r="BK611" s="14"/>
      <c r="BL611" s="14"/>
      <c r="BN611" s="2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</row>
    <row r="612" spans="1:79" hidden="1" outlineLevel="1" x14ac:dyDescent="0.25">
      <c r="A612" s="3" t="str">
        <f t="shared" si="60"/>
        <v>lt005_instr_entmn_entty_id</v>
      </c>
      <c r="B612" s="8" t="s">
        <v>16</v>
      </c>
      <c r="C612" s="9" t="s">
        <v>16</v>
      </c>
      <c r="D612" s="6" t="s">
        <v>30</v>
      </c>
      <c r="E612" s="10" t="s">
        <v>429</v>
      </c>
      <c r="F612" s="11" t="s">
        <v>430</v>
      </c>
      <c r="G612" s="6" t="e">
        <f>INDEX(#REF!,MATCH(Plano_Detalhado!H612,#REF!,0),1)</f>
        <v>#REF!</v>
      </c>
      <c r="H612" s="6" t="e">
        <f>VLOOKUP(A612,#REF!,2,0)</f>
        <v>#REF!</v>
      </c>
      <c r="I612" s="59" t="e">
        <f>SUMIFS(#REF!,#REF!,Plano_Detalhado!E612,#REF!,Plano_Detalhado!F612)</f>
        <v>#REF!</v>
      </c>
      <c r="J612" s="59" t="e">
        <f t="shared" si="64"/>
        <v>#REF!</v>
      </c>
      <c r="K612" s="59" t="e">
        <f>SUMIFS(#REF!,#REF!,Plano_Detalhado!E612,#REF!,Plano_Detalhado!F612)</f>
        <v>#REF!</v>
      </c>
      <c r="L612" s="59" t="e">
        <f t="shared" si="65"/>
        <v>#REF!</v>
      </c>
      <c r="M612" s="61"/>
      <c r="N612" s="61" t="e">
        <f t="shared" si="66"/>
        <v>#REF!</v>
      </c>
      <c r="O612" s="61"/>
      <c r="P612" s="22" t="s">
        <v>389</v>
      </c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24"/>
      <c r="BI612" s="14"/>
      <c r="BJ612" s="14"/>
      <c r="BK612" s="14"/>
      <c r="BL612" s="14"/>
      <c r="BN612" s="2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</row>
    <row r="613" spans="1:79" hidden="1" outlineLevel="1" x14ac:dyDescent="0.25">
      <c r="A613" s="3" t="str">
        <f t="shared" si="60"/>
        <v>lt006_instr_protdt_rfrnc</v>
      </c>
      <c r="B613" s="8" t="s">
        <v>16</v>
      </c>
      <c r="C613" s="9" t="s">
        <v>16</v>
      </c>
      <c r="D613" s="6" t="s">
        <v>30</v>
      </c>
      <c r="E613" s="10" t="s">
        <v>431</v>
      </c>
      <c r="F613" s="11" t="s">
        <v>388</v>
      </c>
      <c r="G613" s="6" t="e">
        <f>INDEX(#REF!,MATCH(Plano_Detalhado!H613,#REF!,0),1)</f>
        <v>#REF!</v>
      </c>
      <c r="H613" s="6" t="e">
        <f>VLOOKUP(A613,#REF!,2,0)</f>
        <v>#REF!</v>
      </c>
      <c r="I613" s="59" t="e">
        <f>SUMIFS(#REF!,#REF!,Plano_Detalhado!E613,#REF!,Plano_Detalhado!F613)</f>
        <v>#REF!</v>
      </c>
      <c r="J613" s="59" t="e">
        <f t="shared" si="64"/>
        <v>#REF!</v>
      </c>
      <c r="K613" s="59" t="e">
        <f>SUMIFS(#REF!,#REF!,Plano_Detalhado!E613,#REF!,Plano_Detalhado!F613)</f>
        <v>#REF!</v>
      </c>
      <c r="L613" s="59" t="e">
        <f t="shared" si="65"/>
        <v>#REF!</v>
      </c>
      <c r="M613" s="61"/>
      <c r="N613" s="61" t="e">
        <f t="shared" si="66"/>
        <v>#REF!</v>
      </c>
      <c r="O613" s="61"/>
      <c r="P613" s="22" t="s">
        <v>389</v>
      </c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24"/>
      <c r="BI613" s="14"/>
      <c r="BJ613" s="14"/>
      <c r="BK613" s="14"/>
      <c r="BL613" s="14"/>
      <c r="BN613" s="2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</row>
    <row r="614" spans="1:79" hidden="1" outlineLevel="1" x14ac:dyDescent="0.25">
      <c r="A614" s="3" t="str">
        <f t="shared" si="60"/>
        <v>lt006_instr_protinstrmnt_id</v>
      </c>
      <c r="B614" s="8" t="s">
        <v>16</v>
      </c>
      <c r="C614" s="9" t="s">
        <v>16</v>
      </c>
      <c r="D614" s="6" t="s">
        <v>30</v>
      </c>
      <c r="E614" s="10" t="s">
        <v>431</v>
      </c>
      <c r="F614" s="11" t="s">
        <v>390</v>
      </c>
      <c r="G614" s="6" t="e">
        <f>INDEX(#REF!,MATCH(Plano_Detalhado!H614,#REF!,0),1)</f>
        <v>#REF!</v>
      </c>
      <c r="H614" s="6" t="e">
        <f>VLOOKUP(A614,#REF!,2,0)</f>
        <v>#REF!</v>
      </c>
      <c r="I614" s="59" t="e">
        <f>SUMIFS(#REF!,#REF!,Plano_Detalhado!E614,#REF!,Plano_Detalhado!F614)</f>
        <v>#REF!</v>
      </c>
      <c r="J614" s="59" t="e">
        <f t="shared" si="64"/>
        <v>#REF!</v>
      </c>
      <c r="K614" s="59" t="e">
        <f>SUMIFS(#REF!,#REF!,Plano_Detalhado!E614,#REF!,Plano_Detalhado!F614)</f>
        <v>#REF!</v>
      </c>
      <c r="L614" s="59" t="e">
        <f t="shared" si="65"/>
        <v>#REF!</v>
      </c>
      <c r="M614" s="61"/>
      <c r="N614" s="61" t="e">
        <f t="shared" si="66"/>
        <v>#REF!</v>
      </c>
      <c r="O614" s="61"/>
      <c r="P614" s="22" t="s">
        <v>389</v>
      </c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24"/>
      <c r="BI614" s="14"/>
      <c r="BJ614" s="14"/>
      <c r="BK614" s="14"/>
      <c r="BL614" s="14"/>
      <c r="BN614" s="2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</row>
    <row r="615" spans="1:79" hidden="1" outlineLevel="1" x14ac:dyDescent="0.25">
      <c r="A615" s="3" t="str">
        <f t="shared" si="60"/>
        <v>lt006_instr_protprtctn_id</v>
      </c>
      <c r="B615" s="8" t="s">
        <v>16</v>
      </c>
      <c r="C615" s="9" t="s">
        <v>16</v>
      </c>
      <c r="D615" s="6" t="s">
        <v>30</v>
      </c>
      <c r="E615" s="10" t="s">
        <v>431</v>
      </c>
      <c r="F615" s="11" t="s">
        <v>423</v>
      </c>
      <c r="G615" s="6" t="e">
        <f>INDEX(#REF!,MATCH(Plano_Detalhado!H615,#REF!,0),1)</f>
        <v>#REF!</v>
      </c>
      <c r="H615" s="6" t="e">
        <f>VLOOKUP(A615,#REF!,2,0)</f>
        <v>#REF!</v>
      </c>
      <c r="I615" s="59" t="e">
        <f>SUMIFS(#REF!,#REF!,Plano_Detalhado!E615,#REF!,Plano_Detalhado!F615)</f>
        <v>#REF!</v>
      </c>
      <c r="J615" s="59" t="e">
        <f t="shared" si="64"/>
        <v>#REF!</v>
      </c>
      <c r="K615" s="59" t="e">
        <f>SUMIFS(#REF!,#REF!,Plano_Detalhado!E615,#REF!,Plano_Detalhado!F615)</f>
        <v>#REF!</v>
      </c>
      <c r="L615" s="59" t="e">
        <f t="shared" si="65"/>
        <v>#REF!</v>
      </c>
      <c r="M615" s="61"/>
      <c r="N615" s="61" t="e">
        <f t="shared" si="66"/>
        <v>#REF!</v>
      </c>
      <c r="O615" s="61"/>
      <c r="P615" s="22" t="s">
        <v>389</v>
      </c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24"/>
      <c r="BI615" s="14"/>
      <c r="BJ615" s="14"/>
      <c r="BK615" s="14"/>
      <c r="BL615" s="14"/>
      <c r="BN615" s="2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</row>
    <row r="616" spans="1:79" hidden="1" outlineLevel="1" x14ac:dyDescent="0.25">
      <c r="A616" s="3" t="str">
        <f t="shared" si="60"/>
        <v>lt006_instr_protprtctn_allctd_vl</v>
      </c>
      <c r="B616" s="8" t="s">
        <v>16</v>
      </c>
      <c r="C616" s="9" t="s">
        <v>16</v>
      </c>
      <c r="D616" s="6" t="s">
        <v>30</v>
      </c>
      <c r="E616" s="10" t="s">
        <v>431</v>
      </c>
      <c r="F616" s="11" t="s">
        <v>432</v>
      </c>
      <c r="G616" s="6" t="e">
        <f>INDEX(#REF!,MATCH(Plano_Detalhado!H616,#REF!,0),1)</f>
        <v>#REF!</v>
      </c>
      <c r="H616" s="6" t="e">
        <f>VLOOKUP(A616,#REF!,2,0)</f>
        <v>#REF!</v>
      </c>
      <c r="I616" s="59" t="e">
        <f>SUMIFS(#REF!,#REF!,Plano_Detalhado!E616,#REF!,Plano_Detalhado!F616)</f>
        <v>#REF!</v>
      </c>
      <c r="J616" s="59" t="e">
        <f t="shared" si="64"/>
        <v>#REF!</v>
      </c>
      <c r="K616" s="59" t="e">
        <f>SUMIFS(#REF!,#REF!,Plano_Detalhado!E616,#REF!,Plano_Detalhado!F616)</f>
        <v>#REF!</v>
      </c>
      <c r="L616" s="59" t="e">
        <f t="shared" si="65"/>
        <v>#REF!</v>
      </c>
      <c r="M616" s="61"/>
      <c r="N616" s="61" t="e">
        <f t="shared" si="66"/>
        <v>#REF!</v>
      </c>
      <c r="O616" s="61"/>
      <c r="P616" s="22" t="s">
        <v>389</v>
      </c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24"/>
      <c r="BI616" s="14"/>
      <c r="BJ616" s="14"/>
      <c r="BK616" s="14"/>
      <c r="BL616" s="14"/>
      <c r="BN616" s="2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</row>
    <row r="617" spans="1:79" hidden="1" outlineLevel="1" x14ac:dyDescent="0.25">
      <c r="A617" s="3" t="str">
        <f t="shared" si="60"/>
        <v>lt006_instr_protcod_soc</v>
      </c>
      <c r="B617" s="8" t="s">
        <v>16</v>
      </c>
      <c r="C617" s="9" t="s">
        <v>16</v>
      </c>
      <c r="D617" s="6" t="s">
        <v>30</v>
      </c>
      <c r="E617" s="10" t="s">
        <v>431</v>
      </c>
      <c r="F617" s="11" t="s">
        <v>406</v>
      </c>
      <c r="G617" s="6" t="e">
        <f>INDEX(#REF!,MATCH(Plano_Detalhado!H617,#REF!,0),1)</f>
        <v>#REF!</v>
      </c>
      <c r="H617" s="6" t="e">
        <f>VLOOKUP(A617,#REF!,2,0)</f>
        <v>#REF!</v>
      </c>
      <c r="I617" s="59" t="e">
        <f>SUMIFS(#REF!,#REF!,Plano_Detalhado!E617,#REF!,Plano_Detalhado!F617)</f>
        <v>#REF!</v>
      </c>
      <c r="J617" s="59" t="e">
        <f t="shared" si="64"/>
        <v>#REF!</v>
      </c>
      <c r="K617" s="59" t="e">
        <f>SUMIFS(#REF!,#REF!,Plano_Detalhado!E617,#REF!,Plano_Detalhado!F617)</f>
        <v>#REF!</v>
      </c>
      <c r="L617" s="59" t="e">
        <f t="shared" si="65"/>
        <v>#REF!</v>
      </c>
      <c r="M617" s="61"/>
      <c r="N617" s="61" t="e">
        <f t="shared" si="66"/>
        <v>#REF!</v>
      </c>
      <c r="O617" s="61"/>
      <c r="P617" s="22" t="s">
        <v>389</v>
      </c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24"/>
      <c r="BI617" s="14"/>
      <c r="BJ617" s="14"/>
      <c r="BK617" s="14"/>
      <c r="BL617" s="14"/>
      <c r="BN617" s="2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</row>
    <row r="618" spans="1:79" hidden="1" outlineLevel="1" x14ac:dyDescent="0.25">
      <c r="A618" s="3" t="str">
        <f t="shared" si="60"/>
        <v>lt004_protectionflg_fin</v>
      </c>
      <c r="B618" s="8"/>
      <c r="C618" s="9"/>
      <c r="D618" s="6" t="s">
        <v>30</v>
      </c>
      <c r="E618" s="10" t="s">
        <v>359</v>
      </c>
      <c r="F618" s="11" t="s">
        <v>437</v>
      </c>
      <c r="G618" s="6" t="e">
        <f>INDEX(#REF!,MATCH(Plano_Detalhado!H618,#REF!,0),1)</f>
        <v>#REF!</v>
      </c>
      <c r="H618" s="6" t="e">
        <f>VLOOKUP(A618,#REF!,2,0)</f>
        <v>#REF!</v>
      </c>
      <c r="I618" s="59" t="e">
        <f>SUMIFS(#REF!,#REF!,Plano_Detalhado!E618,#REF!,Plano_Detalhado!F618)</f>
        <v>#REF!</v>
      </c>
      <c r="J618" s="59" t="e">
        <f t="shared" si="64"/>
        <v>#REF!</v>
      </c>
      <c r="K618" s="59" t="e">
        <f>SUMIFS(#REF!,#REF!,Plano_Detalhado!E618,#REF!,Plano_Detalhado!F618)</f>
        <v>#REF!</v>
      </c>
      <c r="L618" s="59" t="e">
        <f t="shared" si="65"/>
        <v>#REF!</v>
      </c>
      <c r="M618" s="61"/>
      <c r="N618" s="61" t="e">
        <f t="shared" si="66"/>
        <v>#REF!</v>
      </c>
      <c r="O618" s="61"/>
      <c r="P618" s="22" t="s">
        <v>389</v>
      </c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24"/>
      <c r="BI618" s="14"/>
      <c r="BJ618" s="14"/>
      <c r="BK618" s="14"/>
      <c r="BL618" s="14"/>
      <c r="BN618" s="2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</row>
    <row r="619" spans="1:79" hidden="1" outlineLevel="1" x14ac:dyDescent="0.25">
      <c r="A619" s="3" t="str">
        <f t="shared" si="60"/>
        <v>lt004_protectionflg_exec</v>
      </c>
      <c r="B619" s="8"/>
      <c r="C619" s="9"/>
      <c r="D619" s="6" t="s">
        <v>30</v>
      </c>
      <c r="E619" s="10" t="s">
        <v>359</v>
      </c>
      <c r="F619" s="11" t="s">
        <v>456</v>
      </c>
      <c r="G619" s="6" t="e">
        <f>INDEX(#REF!,MATCH(Plano_Detalhado!H619,#REF!,0),1)</f>
        <v>#REF!</v>
      </c>
      <c r="H619" s="6" t="e">
        <f>VLOOKUP(A619,#REF!,2,0)</f>
        <v>#REF!</v>
      </c>
      <c r="I619" s="59" t="e">
        <f>SUMIFS(#REF!,#REF!,Plano_Detalhado!E619,#REF!,Plano_Detalhado!F619)</f>
        <v>#REF!</v>
      </c>
      <c r="J619" s="59" t="e">
        <f t="shared" si="64"/>
        <v>#REF!</v>
      </c>
      <c r="K619" s="59" t="e">
        <f>SUMIFS(#REF!,#REF!,Plano_Detalhado!E619,#REF!,Plano_Detalhado!F619)</f>
        <v>#REF!</v>
      </c>
      <c r="L619" s="59" t="e">
        <f t="shared" si="65"/>
        <v>#REF!</v>
      </c>
      <c r="M619" s="61"/>
      <c r="N619" s="61" t="e">
        <f t="shared" si="66"/>
        <v>#REF!</v>
      </c>
      <c r="O619" s="61"/>
      <c r="P619" s="22" t="s">
        <v>389</v>
      </c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24"/>
      <c r="BI619" s="14"/>
      <c r="BJ619" s="14"/>
      <c r="BK619" s="14"/>
      <c r="BL619" s="14"/>
      <c r="BN619" s="2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</row>
    <row r="620" spans="1:79" hidden="1" outlineLevel="1" x14ac:dyDescent="0.25">
      <c r="A620" s="3" t="str">
        <f t="shared" si="60"/>
        <v>lt004_protectionflg_col</v>
      </c>
      <c r="B620" s="8"/>
      <c r="C620" s="9"/>
      <c r="D620" s="6" t="s">
        <v>30</v>
      </c>
      <c r="E620" s="10" t="s">
        <v>359</v>
      </c>
      <c r="F620" s="11" t="s">
        <v>436</v>
      </c>
      <c r="G620" s="6" t="e">
        <f>INDEX(#REF!,MATCH(Plano_Detalhado!H620,#REF!,0),1)</f>
        <v>#REF!</v>
      </c>
      <c r="H620" s="6" t="e">
        <f>VLOOKUP(A620,#REF!,2,0)</f>
        <v>#REF!</v>
      </c>
      <c r="I620" s="59" t="e">
        <f>SUMIFS(#REF!,#REF!,Plano_Detalhado!E620,#REF!,Plano_Detalhado!F620)</f>
        <v>#REF!</v>
      </c>
      <c r="J620" s="59" t="e">
        <f t="shared" ref="J620:J621" si="67">I620/8</f>
        <v>#REF!</v>
      </c>
      <c r="K620" s="59" t="e">
        <f>SUMIFS(#REF!,#REF!,Plano_Detalhado!E620,#REF!,Plano_Detalhado!F620)</f>
        <v>#REF!</v>
      </c>
      <c r="L620" s="59" t="e">
        <f t="shared" ref="L620:L621" si="68">K620/8</f>
        <v>#REF!</v>
      </c>
      <c r="M620" s="61"/>
      <c r="N620" s="61" t="e">
        <f t="shared" si="66"/>
        <v>#REF!</v>
      </c>
      <c r="O620" s="61"/>
      <c r="P620" s="22" t="s">
        <v>389</v>
      </c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24"/>
      <c r="BI620" s="14"/>
      <c r="BJ620" s="14"/>
      <c r="BK620" s="14"/>
      <c r="BL620" s="14"/>
      <c r="BN620" s="2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</row>
    <row r="621" spans="1:79" hidden="1" outlineLevel="1" x14ac:dyDescent="0.25">
      <c r="A621" s="3" t="str">
        <f t="shared" si="60"/>
        <v>lt004_protectionflg_pro</v>
      </c>
      <c r="B621" s="8"/>
      <c r="C621" s="9"/>
      <c r="D621" s="6" t="s">
        <v>30</v>
      </c>
      <c r="E621" s="10" t="s">
        <v>359</v>
      </c>
      <c r="F621" s="11" t="s">
        <v>438</v>
      </c>
      <c r="G621" s="6" t="e">
        <f>INDEX(#REF!,MATCH(Plano_Detalhado!H621,#REF!,0),1)</f>
        <v>#REF!</v>
      </c>
      <c r="H621" s="6" t="e">
        <f>VLOOKUP(A621,#REF!,2,0)</f>
        <v>#REF!</v>
      </c>
      <c r="I621" s="59" t="e">
        <f>SUMIFS(#REF!,#REF!,Plano_Detalhado!E621,#REF!,Plano_Detalhado!F621)</f>
        <v>#REF!</v>
      </c>
      <c r="J621" s="59" t="e">
        <f t="shared" si="67"/>
        <v>#REF!</v>
      </c>
      <c r="K621" s="59" t="e">
        <f>SUMIFS(#REF!,#REF!,Plano_Detalhado!E621,#REF!,Plano_Detalhado!F621)</f>
        <v>#REF!</v>
      </c>
      <c r="L621" s="59" t="e">
        <f t="shared" si="68"/>
        <v>#REF!</v>
      </c>
      <c r="M621" s="61"/>
      <c r="N621" s="61" t="e">
        <f t="shared" si="66"/>
        <v>#REF!</v>
      </c>
      <c r="O621" s="61"/>
      <c r="P621" s="22" t="s">
        <v>389</v>
      </c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24"/>
      <c r="BI621" s="14"/>
      <c r="BJ621" s="14"/>
      <c r="BK621" s="14"/>
      <c r="BL621" s="14"/>
      <c r="BN621" s="2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</row>
    <row r="622" spans="1:79" hidden="1" outlineLevel="1" x14ac:dyDescent="0.25">
      <c r="A622" s="3" t="str">
        <f t="shared" si="60"/>
        <v>Re-testesn.a.</v>
      </c>
      <c r="B622" s="8" t="s">
        <v>16</v>
      </c>
      <c r="C622" s="9" t="s">
        <v>16</v>
      </c>
      <c r="D622" s="6" t="s">
        <v>30</v>
      </c>
      <c r="E622" s="7" t="s">
        <v>43</v>
      </c>
      <c r="F622" s="6" t="s">
        <v>28</v>
      </c>
      <c r="G622" s="6" t="s">
        <v>18</v>
      </c>
      <c r="H622" s="6"/>
      <c r="I622" s="59" t="e">
        <f>SUM(I487:I617)*#REF!</f>
        <v>#REF!</v>
      </c>
      <c r="J622" s="59" t="e">
        <f>I622/8</f>
        <v>#REF!</v>
      </c>
      <c r="K622" s="59" t="e">
        <f>SUM(K487:K617)*#REF!</f>
        <v>#REF!</v>
      </c>
      <c r="L622" s="59" t="e">
        <f>K622/8</f>
        <v>#REF!</v>
      </c>
      <c r="M622" s="61"/>
      <c r="N622" s="61" t="e">
        <f t="shared" si="66"/>
        <v>#REF!</v>
      </c>
      <c r="O622" s="61"/>
      <c r="P622" s="22" t="s">
        <v>389</v>
      </c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24"/>
      <c r="BI622" s="14"/>
      <c r="BJ622" s="14"/>
      <c r="BK622" s="14"/>
      <c r="BL622" s="14"/>
      <c r="BN622" s="2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</row>
    <row r="623" spans="1:79" ht="10.35" customHeight="1" collapsed="1" x14ac:dyDescent="0.45">
      <c r="D623" s="1"/>
      <c r="O623"/>
      <c r="BH623" t="s">
        <v>433</v>
      </c>
      <c r="BN623" t="s">
        <v>433</v>
      </c>
    </row>
    <row r="624" spans="1:79" x14ac:dyDescent="0.25">
      <c r="B624" s="17" t="s">
        <v>434</v>
      </c>
      <c r="C624" s="18"/>
      <c r="D624" s="18"/>
      <c r="E624" s="18"/>
      <c r="F624" s="18"/>
      <c r="G624" s="18"/>
      <c r="H624" s="18"/>
      <c r="I624" s="63"/>
      <c r="J624" s="63" t="e">
        <f>J54+J49+J9</f>
        <v>#REF!</v>
      </c>
      <c r="K624" s="63"/>
      <c r="L624" s="63" t="e">
        <f>L54+L49+L9</f>
        <v>#REF!</v>
      </c>
      <c r="M624" s="58" t="e">
        <f>((M54*J54)+(M49*J49)+(M9*J9))/J624</f>
        <v>#REF!</v>
      </c>
      <c r="N624" s="58" t="e">
        <f>((N54*L54)+(N49*L49)+(N9*L9))/L624</f>
        <v>#REF!</v>
      </c>
      <c r="O624" s="58" t="e">
        <f t="shared" ref="O624" si="69">N624-M624</f>
        <v>#REF!</v>
      </c>
      <c r="P624" s="60" t="s">
        <v>15</v>
      </c>
    </row>
    <row r="625" spans="15:15" x14ac:dyDescent="0.45">
      <c r="O625"/>
    </row>
    <row r="626" spans="15:15" x14ac:dyDescent="0.45"/>
    <row r="627" spans="15:15" x14ac:dyDescent="0.45"/>
    <row r="628" spans="15:15" x14ac:dyDescent="0.45"/>
    <row r="629" spans="15:15" x14ac:dyDescent="0.45"/>
    <row r="630" spans="15:15" x14ac:dyDescent="0.45"/>
    <row r="631" spans="15:15" x14ac:dyDescent="0.45"/>
    <row r="632" spans="15:15" x14ac:dyDescent="0.45"/>
    <row r="633" spans="15:15" x14ac:dyDescent="0.45"/>
    <row r="634" spans="15:15" x14ac:dyDescent="0.45"/>
  </sheetData>
  <dataConsolidate/>
  <mergeCells count="3">
    <mergeCell ref="Q6:AL6"/>
    <mergeCell ref="AM6:BF6"/>
    <mergeCell ref="BG6:CA6"/>
  </mergeCells>
  <conditionalFormatting sqref="G9 G48:G622">
    <cfRule type="cellIs" dxfId="92" priority="48" operator="equal">
      <formula>#REF!</formula>
    </cfRule>
  </conditionalFormatting>
  <conditionalFormatting sqref="G624">
    <cfRule type="cellIs" dxfId="86" priority="67" operator="equal">
      <formula>#REF!</formula>
    </cfRule>
  </conditionalFormatting>
  <conditionalFormatting sqref="O9:O47 O49:O52 O624">
    <cfRule type="cellIs" dxfId="76" priority="59" operator="lessThan">
      <formula>0</formula>
    </cfRule>
    <cfRule type="cellIs" dxfId="75" priority="60" operator="greaterThanOrEqual">
      <formula>0</formula>
    </cfRule>
  </conditionalFormatting>
  <conditionalFormatting sqref="O54:O622">
    <cfRule type="cellIs" dxfId="74" priority="37" operator="lessThan">
      <formula>0</formula>
    </cfRule>
    <cfRule type="cellIs" dxfId="73" priority="38" operator="greaterThanOrEqual">
      <formula>0</formula>
    </cfRule>
  </conditionalFormatting>
  <conditionalFormatting sqref="Q5">
    <cfRule type="cellIs" dxfId="72" priority="87" operator="notEqual">
      <formula>0</formula>
    </cfRule>
  </conditionalFormatting>
  <conditionalFormatting sqref="Q10:CA47 Q50:CA52 Q55:CA55 Q70:CA70 Q234:AW234 AY234:BL234 BN234:CA234 Q401:AW401 AY401:BL401 BN401:CA401 Q486:AW486 AY486:BL486 BN486:CA486">
    <cfRule type="cellIs" dxfId="71" priority="85" operator="greaterThan">
      <formula>0</formula>
    </cfRule>
  </conditionalFormatting>
  <dataValidations count="1">
    <dataValidation type="list" allowBlank="1" showInputMessage="1" showErrorMessage="1" sqref="G622 G69 G233 G400 G485 G50:G52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2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43" operator="containsText" id="{C7BA14A9-69B0-4EA1-BDF0-B923F61FADDE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44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45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6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47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G48:G622</xm:sqref>
        </x14:conditionalFormatting>
        <x14:conditionalFormatting xmlns:xm="http://schemas.microsoft.com/office/excel/2006/main">
          <x14:cfRule type="containsText" priority="61" operator="containsText" id="{AED6586C-F5C5-4BFE-8FE3-DBEA2E1C7F8C}">
            <xm:f>NOT(ISERROR(SEARCH(#REF!,G624)))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63" operator="containsText" id="{E119DD1E-0166-411C-81B5-5C225D99BD7A}">
            <xm:f>NOT(ISERROR(SEARCH(#REF!,G624)))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64" operator="containsText" id="{ECE4ED07-3C2A-4C21-A2E5-6B46A92012C8}">
            <xm:f>NOT(ISERROR(SEARCH(#REF!,G624)))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65" operator="containsText" id="{6C035143-902A-48D0-BBAA-EA328AD739A2}">
            <xm:f>NOT(ISERROR(SEARCH(#REF!,G624)))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66" operator="containsText" id="{AD342067-7E44-432A-B7BE-BC89346B05DE}">
            <xm:f>NOT(ISERROR(SEARCH(#REF!,G624)))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G624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34C329-1613-4C1A-B76A-BFD0AD10B5C0}">
          <x14:formula1>
            <xm:f>Auxiliar_GD!$B$20:$B$28</xm:f>
          </x14:formula1>
          <xm:sqref>G10:H47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11" activePane="bottomRight" state="frozen"/>
      <selection activeCell="G39" sqref="G39"/>
      <selection pane="topRight" activeCell="G39" sqref="G39"/>
      <selection pane="bottomLeft" activeCell="G39" sqref="G39"/>
      <selection pane="bottomRight" activeCell="M15" sqref="M15"/>
    </sheetView>
  </sheetViews>
  <sheetFormatPr defaultRowHeight="17.399999999999999" outlineLevelRow="1" x14ac:dyDescent="0.45"/>
  <cols>
    <col min="1" max="1" width="3.09765625" customWidth="1"/>
    <col min="3" max="3" width="6.09765625" customWidth="1"/>
    <col min="4" max="4" width="35.09765625" customWidth="1"/>
    <col min="5" max="5" width="22.59765625" customWidth="1"/>
    <col min="6" max="6" width="3.09765625" customWidth="1"/>
    <col min="7" max="7" width="6.59765625" style="2" bestFit="1" customWidth="1"/>
    <col min="8" max="8" width="8.59765625" style="2" bestFit="1" customWidth="1"/>
    <col min="9" max="9" width="16.5" style="2" bestFit="1" customWidth="1"/>
    <col min="10" max="10" width="14.09765625" style="2" bestFit="1" customWidth="1"/>
    <col min="11" max="11" width="1.59765625" customWidth="1"/>
    <col min="12" max="22" width="6.5" customWidth="1"/>
  </cols>
  <sheetData>
    <row r="1" spans="1:23" ht="13.8" x14ac:dyDescent="0.25">
      <c r="G1"/>
      <c r="H1"/>
      <c r="I1"/>
      <c r="J1"/>
    </row>
    <row r="2" spans="1:23" ht="13.8" x14ac:dyDescent="0.25">
      <c r="G2"/>
      <c r="H2"/>
      <c r="I2"/>
      <c r="J2"/>
    </row>
    <row r="3" spans="1:23" ht="13.8" x14ac:dyDescent="0.25">
      <c r="G3"/>
      <c r="H3"/>
      <c r="I3"/>
      <c r="J3"/>
    </row>
    <row r="4" spans="1:23" ht="3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3.8" x14ac:dyDescent="0.25">
      <c r="G5"/>
      <c r="H5"/>
      <c r="I5"/>
      <c r="J5"/>
    </row>
    <row r="6" spans="1:23" ht="13.8" x14ac:dyDescent="0.25">
      <c r="G6"/>
      <c r="H6"/>
      <c r="I6"/>
      <c r="J6"/>
      <c r="V6" s="91" t="s">
        <v>549</v>
      </c>
    </row>
    <row r="7" spans="1:23" ht="13.8" x14ac:dyDescent="0.25">
      <c r="G7"/>
      <c r="H7"/>
      <c r="I7"/>
      <c r="J7"/>
      <c r="V7" t="s">
        <v>671</v>
      </c>
    </row>
    <row r="8" spans="1:23" x14ac:dyDescent="0.45">
      <c r="G8"/>
      <c r="H8"/>
      <c r="I8"/>
      <c r="J8"/>
      <c r="L8" s="92"/>
      <c r="M8" s="92"/>
      <c r="N8" s="92" t="s">
        <v>435</v>
      </c>
      <c r="O8" s="92"/>
      <c r="P8" s="92"/>
      <c r="Q8" s="93"/>
      <c r="R8" s="92" t="s">
        <v>550</v>
      </c>
      <c r="S8" s="92"/>
      <c r="T8" s="94"/>
      <c r="U8" s="330" t="s">
        <v>551</v>
      </c>
      <c r="V8" s="331"/>
    </row>
    <row r="9" spans="1:23" ht="19.8" x14ac:dyDescent="0.45">
      <c r="C9" s="95" t="s">
        <v>552</v>
      </c>
      <c r="D9" s="95" t="s">
        <v>553</v>
      </c>
      <c r="E9" s="95"/>
      <c r="F9" s="95"/>
      <c r="G9" s="96" t="s">
        <v>5</v>
      </c>
      <c r="H9" s="95" t="s">
        <v>554</v>
      </c>
      <c r="I9" s="95" t="s">
        <v>555</v>
      </c>
      <c r="J9" s="95" t="s">
        <v>556</v>
      </c>
      <c r="K9" s="97"/>
      <c r="L9" s="98">
        <v>45660</v>
      </c>
      <c r="M9" s="98">
        <f t="shared" ref="M9:V9" si="0">L9+7</f>
        <v>45667</v>
      </c>
      <c r="N9" s="98">
        <f t="shared" si="0"/>
        <v>45674</v>
      </c>
      <c r="O9" s="98">
        <f t="shared" si="0"/>
        <v>45681</v>
      </c>
      <c r="P9" s="98">
        <f t="shared" si="0"/>
        <v>45688</v>
      </c>
      <c r="Q9" s="99">
        <f t="shared" si="0"/>
        <v>45695</v>
      </c>
      <c r="R9" s="98">
        <f t="shared" si="0"/>
        <v>45702</v>
      </c>
      <c r="S9" s="98">
        <f t="shared" si="0"/>
        <v>45709</v>
      </c>
      <c r="T9" s="100">
        <f t="shared" si="0"/>
        <v>45716</v>
      </c>
      <c r="U9" s="98">
        <f t="shared" si="0"/>
        <v>45723</v>
      </c>
      <c r="V9" s="98">
        <f t="shared" si="0"/>
        <v>45730</v>
      </c>
    </row>
    <row r="10" spans="1:23" ht="3" customHeight="1" x14ac:dyDescent="0.45">
      <c r="D10" s="101"/>
      <c r="E10" s="102"/>
      <c r="F10" s="102"/>
      <c r="G10" s="103"/>
      <c r="H10" s="104"/>
      <c r="I10" s="104"/>
      <c r="J10" s="105"/>
      <c r="K10" s="10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3" x14ac:dyDescent="0.25">
      <c r="C11" s="107" t="s">
        <v>557</v>
      </c>
      <c r="D11" s="13" t="s">
        <v>558</v>
      </c>
      <c r="E11" s="103"/>
      <c r="F11" s="108"/>
      <c r="G11" s="108"/>
      <c r="H11" s="104" t="s">
        <v>28</v>
      </c>
      <c r="I11" s="104"/>
      <c r="J11" s="105">
        <f>SUM(L11:V11)*8</f>
        <v>41.6</v>
      </c>
      <c r="K11" s="109"/>
      <c r="L11" s="110">
        <f>0.1*2</f>
        <v>0.2</v>
      </c>
      <c r="M11" s="110">
        <f>0.1*5</f>
        <v>0.5</v>
      </c>
      <c r="N11" s="110">
        <f t="shared" ref="N11:V11" si="1">0.1*5</f>
        <v>0.5</v>
      </c>
      <c r="O11" s="110">
        <f t="shared" si="1"/>
        <v>0.5</v>
      </c>
      <c r="P11" s="110">
        <f t="shared" si="1"/>
        <v>0.5</v>
      </c>
      <c r="Q11" s="110">
        <f t="shared" si="1"/>
        <v>0.5</v>
      </c>
      <c r="R11" s="110">
        <f>0.1*5</f>
        <v>0.5</v>
      </c>
      <c r="S11" s="110">
        <f t="shared" si="1"/>
        <v>0.5</v>
      </c>
      <c r="T11" s="110">
        <f t="shared" si="1"/>
        <v>0.5</v>
      </c>
      <c r="U11" s="110">
        <f>0.1*5</f>
        <v>0.5</v>
      </c>
      <c r="V11" s="110">
        <f t="shared" si="1"/>
        <v>0.5</v>
      </c>
    </row>
    <row r="12" spans="1:23" ht="3" customHeight="1" x14ac:dyDescent="0.25">
      <c r="C12" s="111"/>
      <c r="D12" s="112"/>
      <c r="E12" s="113"/>
      <c r="F12" s="114"/>
      <c r="G12" s="114"/>
      <c r="H12" s="115"/>
      <c r="I12" s="115"/>
      <c r="J12" s="116"/>
      <c r="K12" s="117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</row>
    <row r="13" spans="1:23" x14ac:dyDescent="0.25">
      <c r="C13" s="107" t="s">
        <v>559</v>
      </c>
      <c r="D13" s="13" t="s">
        <v>560</v>
      </c>
      <c r="E13" s="103"/>
      <c r="F13" s="108"/>
      <c r="G13" s="108"/>
      <c r="H13" s="104" t="s">
        <v>28</v>
      </c>
      <c r="I13" s="104"/>
      <c r="J13" s="105">
        <f>SUM(L13:M13)*8</f>
        <v>32</v>
      </c>
      <c r="K13" s="109"/>
      <c r="L13" s="119">
        <v>4</v>
      </c>
      <c r="M13" s="119"/>
      <c r="N13" s="119"/>
      <c r="O13" s="119"/>
      <c r="P13" s="119"/>
      <c r="Q13" s="119"/>
      <c r="R13" s="119"/>
      <c r="S13" s="119"/>
      <c r="T13" s="119"/>
      <c r="U13" s="119"/>
      <c r="V13" s="119"/>
    </row>
    <row r="14" spans="1:23" s="120" customFormat="1" ht="3" customHeight="1" x14ac:dyDescent="0.25">
      <c r="C14" s="111"/>
      <c r="D14" s="112"/>
      <c r="E14" s="113"/>
      <c r="F14" s="114"/>
      <c r="G14" s="114"/>
      <c r="H14" s="115"/>
      <c r="I14" s="115"/>
      <c r="J14" s="116"/>
      <c r="K14" s="117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</row>
    <row r="15" spans="1:23" x14ac:dyDescent="0.25">
      <c r="C15" s="107" t="s">
        <v>561</v>
      </c>
      <c r="D15" s="13" t="s">
        <v>562</v>
      </c>
      <c r="E15" s="103"/>
      <c r="F15" s="108"/>
      <c r="G15" s="108"/>
      <c r="H15" s="104" t="s">
        <v>28</v>
      </c>
      <c r="I15" s="104"/>
      <c r="J15" s="105">
        <f>SUM(L15:V15)*8</f>
        <v>64</v>
      </c>
      <c r="K15" s="109"/>
      <c r="L15" s="119"/>
      <c r="M15" s="119">
        <v>8</v>
      </c>
      <c r="N15" s="119"/>
      <c r="O15" s="119"/>
      <c r="P15" s="119"/>
      <c r="Q15" s="119"/>
      <c r="R15" s="119"/>
      <c r="S15" s="119"/>
      <c r="T15" s="119"/>
      <c r="U15" s="119"/>
      <c r="V15" s="119"/>
    </row>
    <row r="16" spans="1:23" s="120" customFormat="1" ht="3" customHeight="1" x14ac:dyDescent="0.25">
      <c r="C16" s="111"/>
      <c r="D16" s="112"/>
      <c r="E16" s="113"/>
      <c r="F16" s="114"/>
      <c r="G16" s="114"/>
      <c r="H16" s="115"/>
      <c r="I16" s="115"/>
      <c r="J16" s="116"/>
      <c r="K16" s="117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</row>
    <row r="17" spans="2:22" x14ac:dyDescent="0.25">
      <c r="C17" s="107" t="s">
        <v>563</v>
      </c>
      <c r="D17" s="13" t="s">
        <v>564</v>
      </c>
      <c r="E17" s="103"/>
      <c r="F17" s="108"/>
      <c r="G17" s="108"/>
      <c r="H17" s="104">
        <f>COUNTA(E18:E40)</f>
        <v>23</v>
      </c>
      <c r="I17" s="104" t="e">
        <f>SUM(I18:I40)</f>
        <v>#VALUE!</v>
      </c>
      <c r="J17" s="105" t="e">
        <f>SUM(J18:J40)</f>
        <v>#VALUE!</v>
      </c>
      <c r="K17" s="109"/>
      <c r="L17" s="119"/>
      <c r="M17" s="119">
        <v>2</v>
      </c>
      <c r="N17" s="119">
        <f>8.25</f>
        <v>8.25</v>
      </c>
      <c r="O17" s="119"/>
      <c r="P17" s="119"/>
      <c r="Q17" s="119"/>
      <c r="R17" s="119"/>
      <c r="S17" s="119"/>
      <c r="T17" s="119"/>
      <c r="U17" s="119"/>
      <c r="V17" s="119"/>
    </row>
    <row r="18" spans="2:22" outlineLevel="1" x14ac:dyDescent="0.45">
      <c r="B18" s="122" t="str">
        <f>D18&amp;"_"&amp;E18</f>
        <v>INSTRUMENT_COD_SOC</v>
      </c>
      <c r="C18" s="123" t="s">
        <v>565</v>
      </c>
      <c r="D18" s="124" t="s">
        <v>460</v>
      </c>
      <c r="E18" s="125" t="s">
        <v>457</v>
      </c>
      <c r="F18" s="126"/>
      <c r="G18" s="126"/>
      <c r="H18" s="124"/>
      <c r="I18" s="127" t="e">
        <f>J18/8/5</f>
        <v>#VALUE!</v>
      </c>
      <c r="J18" s="128" t="e">
        <f>SUMIF([1]Aux!B:B,Macro_Plano_2025_v1!B18,[1]Aux!I:I)+SUMIF([1]Aux!B:B,Macro_Plano_2025_v1!B18,[1]Aux!O:O)</f>
        <v>#VALUE!</v>
      </c>
      <c r="K18" s="109"/>
      <c r="L18" s="119"/>
      <c r="M18" s="129" t="e">
        <f>J18/8</f>
        <v>#VALUE!</v>
      </c>
      <c r="N18" s="119"/>
      <c r="O18" s="119"/>
      <c r="P18" s="119"/>
      <c r="Q18" s="119"/>
      <c r="R18" s="119"/>
      <c r="S18" s="119"/>
      <c r="T18" s="119"/>
      <c r="U18" s="119"/>
      <c r="V18" s="119"/>
    </row>
    <row r="19" spans="2:22" outlineLevel="1" x14ac:dyDescent="0.45">
      <c r="B19" s="122" t="str">
        <f t="shared" ref="B19:B56" si="2">D19&amp;"_"&amp;E19</f>
        <v>INSTRUMENT_SUBPORTFOLIO_ID</v>
      </c>
      <c r="C19" s="130" t="s">
        <v>566</v>
      </c>
      <c r="D19" s="131" t="s">
        <v>460</v>
      </c>
      <c r="E19" s="132" t="s">
        <v>474</v>
      </c>
      <c r="F19" s="133"/>
      <c r="G19" s="133"/>
      <c r="H19" s="131"/>
      <c r="I19" s="134" t="e">
        <f t="shared" ref="I19:I40" si="3">J19/8/5</f>
        <v>#VALUE!</v>
      </c>
      <c r="J19" s="135" t="e">
        <f>SUMIF([1]Aux!B:B,Macro_Plano_2025_v1!B19,[1]Aux!I:I)+SUMIF([1]Aux!B:B,Macro_Plano_2025_v1!B19,[1]Aux!O:O)</f>
        <v>#VALUE!</v>
      </c>
      <c r="K19" s="109"/>
      <c r="L19" s="119"/>
      <c r="M19" s="119" t="e">
        <f t="shared" ref="M19:M21" si="4">J19/8</f>
        <v>#VALUE!</v>
      </c>
      <c r="N19" s="119"/>
      <c r="O19" s="119"/>
      <c r="P19" s="119"/>
      <c r="Q19" s="119"/>
      <c r="R19" s="119"/>
      <c r="S19" s="119"/>
      <c r="T19" s="119"/>
      <c r="U19" s="119"/>
      <c r="V19" s="119"/>
    </row>
    <row r="20" spans="2:22" outlineLevel="1" x14ac:dyDescent="0.45">
      <c r="B20" s="122" t="str">
        <f t="shared" si="2"/>
        <v>INSTRUMENT_DT_RFRNC</v>
      </c>
      <c r="C20" s="130" t="s">
        <v>567</v>
      </c>
      <c r="D20" s="131" t="s">
        <v>460</v>
      </c>
      <c r="E20" s="132" t="s">
        <v>458</v>
      </c>
      <c r="F20" s="133"/>
      <c r="G20" s="133"/>
      <c r="H20" s="131"/>
      <c r="I20" s="134" t="e">
        <f t="shared" si="3"/>
        <v>#VALUE!</v>
      </c>
      <c r="J20" s="135" t="e">
        <f>SUMIF([1]Aux!B:B,Macro_Plano_2025_v1!B20,[1]Aux!I:I)+SUMIF([1]Aux!B:B,Macro_Plano_2025_v1!B20,[1]Aux!O:O)</f>
        <v>#VALUE!</v>
      </c>
      <c r="K20" s="109"/>
      <c r="L20" s="119"/>
      <c r="M20" s="119" t="e">
        <f t="shared" si="4"/>
        <v>#VALUE!</v>
      </c>
      <c r="N20" s="119"/>
      <c r="O20" s="119"/>
      <c r="P20" s="119"/>
      <c r="Q20" s="119"/>
      <c r="R20" s="119"/>
      <c r="S20" s="119"/>
      <c r="T20" s="119"/>
      <c r="U20" s="119"/>
      <c r="V20" s="119"/>
    </row>
    <row r="21" spans="2:22" outlineLevel="1" x14ac:dyDescent="0.45">
      <c r="B21" s="122" t="str">
        <f t="shared" si="2"/>
        <v>INSTRUMENT_DFLT_STTS_INSTRMNT</v>
      </c>
      <c r="C21" s="130" t="s">
        <v>568</v>
      </c>
      <c r="D21" s="131" t="s">
        <v>460</v>
      </c>
      <c r="E21" s="132" t="s">
        <v>461</v>
      </c>
      <c r="F21" s="133"/>
      <c r="G21" s="133"/>
      <c r="H21" s="131"/>
      <c r="I21" s="134" t="e">
        <f t="shared" si="3"/>
        <v>#VALUE!</v>
      </c>
      <c r="J21" s="135" t="e">
        <f>SUMIF([1]Aux!B:B,Macro_Plano_2025_v1!B21,[1]Aux!I:I)+SUMIF([1]Aux!B:B,Macro_Plano_2025_v1!B21,[1]Aux!O:O)</f>
        <v>#VALUE!</v>
      </c>
      <c r="K21" s="109"/>
      <c r="L21" s="119"/>
      <c r="M21" s="119" t="e">
        <f t="shared" si="4"/>
        <v>#VALUE!</v>
      </c>
      <c r="N21" s="119"/>
      <c r="O21" s="119"/>
      <c r="P21" s="119"/>
      <c r="Q21" s="119"/>
      <c r="R21" s="119"/>
      <c r="S21" s="119"/>
      <c r="T21" s="119"/>
      <c r="U21" s="119"/>
      <c r="V21" s="119"/>
    </row>
    <row r="22" spans="2:22" outlineLevel="1" x14ac:dyDescent="0.45">
      <c r="B22" s="122" t="str">
        <f t="shared" si="2"/>
        <v>INSTRUMENT_IMPRMNT_STTS</v>
      </c>
      <c r="C22" s="130" t="s">
        <v>569</v>
      </c>
      <c r="D22" s="131" t="s">
        <v>460</v>
      </c>
      <c r="E22" s="132" t="s">
        <v>475</v>
      </c>
      <c r="F22" s="133"/>
      <c r="G22" s="133"/>
      <c r="H22" s="131"/>
      <c r="I22" s="134" t="e">
        <f t="shared" si="3"/>
        <v>#VALUE!</v>
      </c>
      <c r="J22" s="135" t="e">
        <f>SUMIF([1]Aux!B:B,Macro_Plano_2025_v1!B22,[1]Aux!I:I)+SUMIF([1]Aux!B:B,Macro_Plano_2025_v1!B22,[1]Aux!O:O)</f>
        <v>#VALUE!</v>
      </c>
      <c r="K22" s="109"/>
      <c r="L22" s="119"/>
      <c r="M22" s="136" t="e">
        <f>M17-SUM(M18:M21)</f>
        <v>#VALUE!</v>
      </c>
      <c r="N22" s="119" t="e">
        <f>(J22/8)-M22</f>
        <v>#VALUE!</v>
      </c>
      <c r="O22" s="119"/>
      <c r="P22" s="119"/>
      <c r="Q22" s="119"/>
      <c r="R22" s="119"/>
      <c r="S22" s="119"/>
      <c r="T22" s="119"/>
      <c r="U22" s="119"/>
      <c r="V22" s="119"/>
    </row>
    <row r="23" spans="2:22" outlineLevel="1" x14ac:dyDescent="0.45">
      <c r="B23" s="122" t="str">
        <f t="shared" si="2"/>
        <v>INSTRUMENT_PRFRMNG_STTS</v>
      </c>
      <c r="C23" s="130" t="s">
        <v>570</v>
      </c>
      <c r="D23" s="131" t="s">
        <v>460</v>
      </c>
      <c r="E23" s="132" t="s">
        <v>462</v>
      </c>
      <c r="F23" s="133"/>
      <c r="G23" s="133"/>
      <c r="H23" s="131"/>
      <c r="I23" s="134" t="e">
        <f t="shared" si="3"/>
        <v>#VALUE!</v>
      </c>
      <c r="J23" s="135" t="e">
        <f>SUMIF([1]Aux!B:B,Macro_Plano_2025_v1!B23,[1]Aux!I:I)+SUMIF([1]Aux!B:B,Macro_Plano_2025_v1!B23,[1]Aux!O:O)</f>
        <v>#VALUE!</v>
      </c>
      <c r="K23" s="109"/>
      <c r="L23" s="119"/>
      <c r="M23" s="119"/>
      <c r="N23" s="119" t="e">
        <f>J23/8</f>
        <v>#VALUE!</v>
      </c>
      <c r="O23" s="119"/>
      <c r="P23" s="119"/>
      <c r="Q23" s="119"/>
      <c r="R23" s="119"/>
      <c r="S23" s="119"/>
      <c r="T23" s="119"/>
      <c r="U23" s="119"/>
      <c r="V23" s="119"/>
    </row>
    <row r="24" spans="2:22" outlineLevel="1" x14ac:dyDescent="0.45">
      <c r="B24" s="122" t="str">
        <f t="shared" si="2"/>
        <v>INSTRUMENT_TYP_INSTRMNT</v>
      </c>
      <c r="C24" s="130" t="s">
        <v>571</v>
      </c>
      <c r="D24" s="131" t="s">
        <v>460</v>
      </c>
      <c r="E24" s="132" t="s">
        <v>476</v>
      </c>
      <c r="F24" s="133"/>
      <c r="G24" s="133"/>
      <c r="H24" s="131"/>
      <c r="I24" s="134" t="e">
        <f t="shared" si="3"/>
        <v>#VALUE!</v>
      </c>
      <c r="J24" s="135" t="e">
        <f>SUMIF([1]Aux!B:B,Macro_Plano_2025_v1!B24,[1]Aux!I:I)+SUMIF([1]Aux!B:B,Macro_Plano_2025_v1!B24,[1]Aux!O:O)</f>
        <v>#VALUE!</v>
      </c>
      <c r="K24" s="109"/>
      <c r="L24" s="119"/>
      <c r="M24" s="119"/>
      <c r="N24" s="119" t="e">
        <f t="shared" ref="N24:N40" si="5">J24/8</f>
        <v>#VALUE!</v>
      </c>
      <c r="O24" s="119"/>
      <c r="P24" s="119"/>
      <c r="Q24" s="119"/>
      <c r="R24" s="119"/>
      <c r="S24" s="119"/>
      <c r="T24" s="119"/>
      <c r="U24" s="119"/>
      <c r="V24" s="119"/>
    </row>
    <row r="25" spans="2:22" outlineLevel="1" x14ac:dyDescent="0.45">
      <c r="B25" s="122" t="str">
        <f t="shared" si="2"/>
        <v>INSTRUMENT_GRSS_CRRYNG_AMNT_INSTRMNT</v>
      </c>
      <c r="C25" s="130" t="s">
        <v>572</v>
      </c>
      <c r="D25" s="131" t="s">
        <v>460</v>
      </c>
      <c r="E25" s="132" t="s">
        <v>477</v>
      </c>
      <c r="F25" s="133"/>
      <c r="G25" s="133"/>
      <c r="H25" s="131"/>
      <c r="I25" s="134" t="e">
        <f t="shared" si="3"/>
        <v>#VALUE!</v>
      </c>
      <c r="J25" s="135" t="e">
        <f>SUMIF([1]Aux!B:B,Macro_Plano_2025_v1!B25,[1]Aux!I:I)+SUMIF([1]Aux!B:B,Macro_Plano_2025_v1!B25,[1]Aux!O:O)</f>
        <v>#VALUE!</v>
      </c>
      <c r="K25" s="109"/>
      <c r="L25" s="119"/>
      <c r="M25" s="119"/>
      <c r="N25" s="119" t="e">
        <f t="shared" si="5"/>
        <v>#VALUE!</v>
      </c>
      <c r="O25" s="119"/>
      <c r="P25" s="119"/>
      <c r="Q25" s="119"/>
      <c r="R25" s="119"/>
      <c r="S25" s="119"/>
      <c r="T25" s="119"/>
      <c r="U25" s="119"/>
      <c r="V25" s="119"/>
    </row>
    <row r="26" spans="2:22" outlineLevel="1" x14ac:dyDescent="0.45">
      <c r="B26" s="122" t="str">
        <f t="shared" si="2"/>
        <v>INSTRUMENT_ACCMLTD_CHNGS_FV_CR_INSTRMNT</v>
      </c>
      <c r="C26" s="130" t="s">
        <v>573</v>
      </c>
      <c r="D26" s="131" t="s">
        <v>460</v>
      </c>
      <c r="E26" s="132" t="s">
        <v>478</v>
      </c>
      <c r="F26" s="133"/>
      <c r="G26" s="133"/>
      <c r="H26" s="131"/>
      <c r="I26" s="134" t="e">
        <f t="shared" si="3"/>
        <v>#VALUE!</v>
      </c>
      <c r="J26" s="135" t="e">
        <f>SUMIF([1]Aux!B:B,Macro_Plano_2025_v1!B26,[1]Aux!I:I)+SUMIF([1]Aux!B:B,Macro_Plano_2025_v1!B26,[1]Aux!O:O)</f>
        <v>#VALUE!</v>
      </c>
      <c r="K26" s="109"/>
      <c r="L26" s="119"/>
      <c r="M26" s="119"/>
      <c r="N26" s="119" t="e">
        <f t="shared" si="5"/>
        <v>#VALUE!</v>
      </c>
      <c r="O26" s="119"/>
      <c r="P26" s="119"/>
      <c r="Q26" s="119"/>
      <c r="R26" s="119"/>
      <c r="S26" s="119"/>
      <c r="T26" s="119"/>
      <c r="U26" s="119"/>
      <c r="V26" s="119"/>
    </row>
    <row r="27" spans="2:22" outlineLevel="1" x14ac:dyDescent="0.45">
      <c r="B27" s="122" t="str">
        <f t="shared" si="2"/>
        <v>INSTRUMENT_ACCNTNG_CLSSFCTN</v>
      </c>
      <c r="C27" s="130" t="s">
        <v>574</v>
      </c>
      <c r="D27" s="131" t="s">
        <v>460</v>
      </c>
      <c r="E27" s="132" t="s">
        <v>479</v>
      </c>
      <c r="F27" s="133"/>
      <c r="G27" s="133"/>
      <c r="H27" s="131"/>
      <c r="I27" s="134" t="e">
        <f t="shared" si="3"/>
        <v>#VALUE!</v>
      </c>
      <c r="J27" s="135" t="e">
        <f>SUMIF([1]Aux!B:B,Macro_Plano_2025_v1!B27,[1]Aux!I:I)+SUMIF([1]Aux!B:B,Macro_Plano_2025_v1!B27,[1]Aux!O:O)</f>
        <v>#VALUE!</v>
      </c>
      <c r="K27" s="109"/>
      <c r="L27" s="119"/>
      <c r="M27" s="119"/>
      <c r="N27" s="119" t="e">
        <f t="shared" si="5"/>
        <v>#VALUE!</v>
      </c>
      <c r="O27" s="119"/>
      <c r="P27" s="119"/>
      <c r="Q27" s="119"/>
      <c r="R27" s="119"/>
      <c r="S27" s="119"/>
      <c r="T27" s="119"/>
      <c r="U27" s="119"/>
      <c r="V27" s="119"/>
    </row>
    <row r="28" spans="2:22" outlineLevel="1" x14ac:dyDescent="0.45">
      <c r="B28" s="122" t="str">
        <f t="shared" si="2"/>
        <v>INSTRUMENT_OFF_BLNC_SHT_AMNT_INSTRMNT</v>
      </c>
      <c r="C28" s="130" t="s">
        <v>575</v>
      </c>
      <c r="D28" s="131" t="s">
        <v>460</v>
      </c>
      <c r="E28" s="132" t="s">
        <v>480</v>
      </c>
      <c r="F28" s="133"/>
      <c r="G28" s="133"/>
      <c r="H28" s="131"/>
      <c r="I28" s="134" t="e">
        <f t="shared" si="3"/>
        <v>#VALUE!</v>
      </c>
      <c r="J28" s="135" t="e">
        <f>SUMIF([1]Aux!B:B,Macro_Plano_2025_v1!B28,[1]Aux!I:I)+SUMIF([1]Aux!B:B,Macro_Plano_2025_v1!B28,[1]Aux!O:O)</f>
        <v>#VALUE!</v>
      </c>
      <c r="K28" s="109"/>
      <c r="L28" s="119"/>
      <c r="M28" s="119"/>
      <c r="N28" s="119" t="e">
        <f t="shared" si="5"/>
        <v>#VALUE!</v>
      </c>
      <c r="O28" s="119"/>
      <c r="P28" s="119"/>
      <c r="Q28" s="119"/>
      <c r="R28" s="119"/>
      <c r="S28" s="119"/>
      <c r="T28" s="119"/>
      <c r="U28" s="119"/>
      <c r="V28" s="119"/>
    </row>
    <row r="29" spans="2:22" outlineLevel="1" x14ac:dyDescent="0.45">
      <c r="B29" s="122" t="str">
        <f t="shared" si="2"/>
        <v>INSTRUMENT_PRVSNS_OFF_BLNC_SHT</v>
      </c>
      <c r="C29" s="130" t="s">
        <v>576</v>
      </c>
      <c r="D29" s="131" t="s">
        <v>460</v>
      </c>
      <c r="E29" s="132" t="s">
        <v>481</v>
      </c>
      <c r="F29" s="133"/>
      <c r="G29" s="133"/>
      <c r="H29" s="131"/>
      <c r="I29" s="134" t="e">
        <f t="shared" si="3"/>
        <v>#VALUE!</v>
      </c>
      <c r="J29" s="135" t="e">
        <f>SUMIF([1]Aux!B:B,Macro_Plano_2025_v1!B29,[1]Aux!I:I)+SUMIF([1]Aux!B:B,Macro_Plano_2025_v1!B29,[1]Aux!O:O)</f>
        <v>#VALUE!</v>
      </c>
      <c r="K29" s="109"/>
      <c r="L29" s="119"/>
      <c r="M29" s="119"/>
      <c r="N29" s="119" t="e">
        <f t="shared" si="5"/>
        <v>#VALUE!</v>
      </c>
      <c r="O29" s="119"/>
      <c r="P29" s="119"/>
      <c r="Q29" s="119"/>
      <c r="R29" s="119"/>
      <c r="S29" s="119"/>
      <c r="T29" s="119"/>
      <c r="U29" s="119"/>
      <c r="V29" s="119"/>
    </row>
    <row r="30" spans="2:22" outlineLevel="1" x14ac:dyDescent="0.45">
      <c r="B30" s="122" t="str">
        <f t="shared" si="2"/>
        <v>INSTRUMENT_RWA</v>
      </c>
      <c r="C30" s="130" t="s">
        <v>577</v>
      </c>
      <c r="D30" s="131" t="s">
        <v>460</v>
      </c>
      <c r="E30" s="132" t="s">
        <v>482</v>
      </c>
      <c r="F30" s="133"/>
      <c r="G30" s="133"/>
      <c r="H30" s="131"/>
      <c r="I30" s="134" t="e">
        <f t="shared" si="3"/>
        <v>#VALUE!</v>
      </c>
      <c r="J30" s="135" t="e">
        <f>SUMIF([1]Aux!B:B,Macro_Plano_2025_v1!B30,[1]Aux!I:I)+SUMIF([1]Aux!B:B,Macro_Plano_2025_v1!B30,[1]Aux!O:O)</f>
        <v>#VALUE!</v>
      </c>
      <c r="K30" s="109"/>
      <c r="L30" s="119"/>
      <c r="M30" s="119"/>
      <c r="N30" s="119" t="e">
        <f t="shared" si="5"/>
        <v>#VALUE!</v>
      </c>
      <c r="O30" s="119"/>
      <c r="P30" s="119"/>
      <c r="Q30" s="119"/>
      <c r="R30" s="119"/>
      <c r="S30" s="119"/>
      <c r="T30" s="119"/>
      <c r="U30" s="119"/>
      <c r="V30" s="119"/>
    </row>
    <row r="31" spans="2:22" outlineLevel="1" x14ac:dyDescent="0.45">
      <c r="B31" s="122" t="str">
        <f t="shared" si="2"/>
        <v>INSTRUMENT_ACCMLTD_IMPRMNT_INSTRMNT</v>
      </c>
      <c r="C31" s="130" t="s">
        <v>578</v>
      </c>
      <c r="D31" s="131" t="s">
        <v>460</v>
      </c>
      <c r="E31" s="132" t="s">
        <v>483</v>
      </c>
      <c r="F31" s="133"/>
      <c r="G31" s="133"/>
      <c r="H31" s="131"/>
      <c r="I31" s="134" t="e">
        <f t="shared" si="3"/>
        <v>#VALUE!</v>
      </c>
      <c r="J31" s="135" t="e">
        <f>SUMIF([1]Aux!B:B,Macro_Plano_2025_v1!B31,[1]Aux!I:I)+SUMIF([1]Aux!B:B,Macro_Plano_2025_v1!B31,[1]Aux!O:O)</f>
        <v>#VALUE!</v>
      </c>
      <c r="K31" s="109"/>
      <c r="L31" s="119"/>
      <c r="M31" s="119"/>
      <c r="N31" s="119" t="e">
        <f t="shared" si="5"/>
        <v>#VALUE!</v>
      </c>
      <c r="O31" s="119"/>
      <c r="P31" s="119"/>
      <c r="Q31" s="119"/>
      <c r="R31" s="119"/>
      <c r="S31" s="119"/>
      <c r="T31" s="119"/>
      <c r="U31" s="119"/>
      <c r="V31" s="119"/>
    </row>
    <row r="32" spans="2:22" outlineLevel="1" x14ac:dyDescent="0.45">
      <c r="B32" s="122" t="str">
        <f t="shared" si="2"/>
        <v>INSTRUMENT_COD_SOC_INTRGRP</v>
      </c>
      <c r="C32" s="130" t="s">
        <v>579</v>
      </c>
      <c r="D32" s="131" t="s">
        <v>460</v>
      </c>
      <c r="E32" s="132" t="s">
        <v>484</v>
      </c>
      <c r="F32" s="133"/>
      <c r="G32" s="133"/>
      <c r="H32" s="131"/>
      <c r="I32" s="134" t="e">
        <f t="shared" si="3"/>
        <v>#VALUE!</v>
      </c>
      <c r="J32" s="135" t="e">
        <f>SUMIF([1]Aux!B:B,Macro_Plano_2025_v1!B32,[1]Aux!I:I)+SUMIF([1]Aux!B:B,Macro_Plano_2025_v1!B32,[1]Aux!O:O)</f>
        <v>#VALUE!</v>
      </c>
      <c r="K32" s="109"/>
      <c r="L32" s="119"/>
      <c r="M32" s="119"/>
      <c r="N32" s="119" t="e">
        <f t="shared" si="5"/>
        <v>#VALUE!</v>
      </c>
      <c r="O32" s="119"/>
      <c r="P32" s="119"/>
      <c r="Q32" s="119"/>
      <c r="R32" s="119"/>
      <c r="S32" s="119"/>
      <c r="T32" s="119"/>
      <c r="U32" s="119"/>
      <c r="V32" s="119"/>
    </row>
    <row r="33" spans="2:22" outlineLevel="1" x14ac:dyDescent="0.45">
      <c r="B33" s="122" t="str">
        <f t="shared" si="2"/>
        <v>INSTRUMENT_LCL_INSTMRNT_ID</v>
      </c>
      <c r="C33" s="130" t="s">
        <v>580</v>
      </c>
      <c r="D33" s="131" t="s">
        <v>460</v>
      </c>
      <c r="E33" s="132" t="s">
        <v>463</v>
      </c>
      <c r="F33" s="133"/>
      <c r="G33" s="133"/>
      <c r="H33" s="131"/>
      <c r="I33" s="134" t="e">
        <f t="shared" si="3"/>
        <v>#VALUE!</v>
      </c>
      <c r="J33" s="135" t="e">
        <f>SUMIF([1]Aux!B:B,Macro_Plano_2025_v1!B33,[1]Aux!I:I)+SUMIF([1]Aux!B:B,Macro_Plano_2025_v1!B33,[1]Aux!O:O)</f>
        <v>#VALUE!</v>
      </c>
      <c r="K33" s="109"/>
      <c r="L33" s="119"/>
      <c r="M33" s="119"/>
      <c r="N33" s="119" t="e">
        <f t="shared" si="5"/>
        <v>#VALUE!</v>
      </c>
      <c r="O33" s="119"/>
      <c r="P33" s="119"/>
      <c r="Q33" s="119"/>
      <c r="R33" s="119"/>
      <c r="S33" s="119"/>
      <c r="T33" s="119"/>
      <c r="U33" s="119"/>
      <c r="V33" s="119"/>
    </row>
    <row r="34" spans="2:22" outlineLevel="1" x14ac:dyDescent="0.45">
      <c r="B34" s="122" t="str">
        <f t="shared" si="2"/>
        <v>INSTRUMENT_FLG_INTRBSNSS</v>
      </c>
      <c r="C34" s="130" t="s">
        <v>581</v>
      </c>
      <c r="D34" s="131" t="s">
        <v>460</v>
      </c>
      <c r="E34" s="221" t="s">
        <v>468</v>
      </c>
      <c r="F34" s="133"/>
      <c r="G34" s="133"/>
      <c r="H34" s="131"/>
      <c r="I34" s="134" t="e">
        <f t="shared" si="3"/>
        <v>#VALUE!</v>
      </c>
      <c r="J34" s="135" t="e">
        <f>SUMIF([1]Aux!B:B,Macro_Plano_2025_v1!B34,[1]Aux!I:I)+SUMIF([1]Aux!B:B,Macro_Plano_2025_v1!B34,[1]Aux!O:O)</f>
        <v>#VALUE!</v>
      </c>
      <c r="K34" s="109"/>
      <c r="L34" s="119"/>
      <c r="M34" s="119"/>
      <c r="N34" s="119" t="e">
        <f t="shared" si="5"/>
        <v>#VALUE!</v>
      </c>
      <c r="O34" s="119"/>
      <c r="P34" s="119"/>
      <c r="Q34" s="119"/>
      <c r="R34" s="119"/>
      <c r="S34" s="119"/>
      <c r="T34" s="119"/>
      <c r="U34" s="119"/>
      <c r="V34" s="119"/>
    </row>
    <row r="35" spans="2:22" outlineLevel="1" x14ac:dyDescent="0.45">
      <c r="B35" s="122" t="str">
        <f t="shared" si="2"/>
        <v>INSTRUMENT_INTRBSNSS_ADJ_COD</v>
      </c>
      <c r="C35" s="130" t="s">
        <v>582</v>
      </c>
      <c r="D35" s="131" t="s">
        <v>460</v>
      </c>
      <c r="E35" s="221" t="s">
        <v>493</v>
      </c>
      <c r="F35" s="133"/>
      <c r="G35" s="133"/>
      <c r="H35" s="131"/>
      <c r="I35" s="134" t="e">
        <f t="shared" si="3"/>
        <v>#VALUE!</v>
      </c>
      <c r="J35" s="135" t="e">
        <f>SUMIF([1]Aux!B:B,Macro_Plano_2025_v1!B35,[1]Aux!I:I)+SUMIF([1]Aux!B:B,Macro_Plano_2025_v1!B35,[1]Aux!O:O)</f>
        <v>#VALUE!</v>
      </c>
      <c r="K35" s="109"/>
      <c r="L35" s="119"/>
      <c r="M35" s="119"/>
      <c r="N35" s="119" t="e">
        <f t="shared" si="5"/>
        <v>#VALUE!</v>
      </c>
      <c r="O35" s="119"/>
      <c r="P35" s="119"/>
      <c r="Q35" s="119"/>
      <c r="R35" s="119"/>
      <c r="S35" s="119"/>
      <c r="T35" s="119"/>
      <c r="U35" s="119"/>
      <c r="V35" s="119"/>
    </row>
    <row r="36" spans="2:22" outlineLevel="1" x14ac:dyDescent="0.45">
      <c r="B36" s="122" t="str">
        <f t="shared" si="2"/>
        <v>INSTRUMENT_COD_SOC_DSTNTN</v>
      </c>
      <c r="C36" s="130" t="s">
        <v>583</v>
      </c>
      <c r="D36" s="131" t="s">
        <v>460</v>
      </c>
      <c r="E36" s="221" t="s">
        <v>494</v>
      </c>
      <c r="F36" s="133"/>
      <c r="G36" s="133"/>
      <c r="H36" s="131"/>
      <c r="I36" s="134" t="e">
        <f t="shared" si="3"/>
        <v>#VALUE!</v>
      </c>
      <c r="J36" s="135" t="e">
        <f>SUMIF([1]Aux!B:B,Macro_Plano_2025_v1!B36,[1]Aux!I:I)+SUMIF([1]Aux!B:B,Macro_Plano_2025_v1!B36,[1]Aux!O:O)</f>
        <v>#VALUE!</v>
      </c>
      <c r="K36" s="109"/>
      <c r="L36" s="119"/>
      <c r="M36" s="119"/>
      <c r="N36" s="119" t="e">
        <f t="shared" si="5"/>
        <v>#VALUE!</v>
      </c>
      <c r="O36" s="119"/>
      <c r="P36" s="119"/>
      <c r="Q36" s="119"/>
      <c r="R36" s="119"/>
      <c r="S36" s="119"/>
      <c r="T36" s="119"/>
      <c r="U36" s="119"/>
      <c r="V36" s="119"/>
    </row>
    <row r="37" spans="2:22" outlineLevel="1" x14ac:dyDescent="0.45">
      <c r="B37" s="122" t="str">
        <f t="shared" si="2"/>
        <v>INSTRUMENT_BSNSS_AREA_DSTNTN</v>
      </c>
      <c r="C37" s="130" t="s">
        <v>584</v>
      </c>
      <c r="D37" s="131" t="s">
        <v>460</v>
      </c>
      <c r="E37" s="132" t="s">
        <v>495</v>
      </c>
      <c r="F37" s="133"/>
      <c r="G37" s="133"/>
      <c r="H37" s="131"/>
      <c r="I37" s="134" t="e">
        <f t="shared" si="3"/>
        <v>#VALUE!</v>
      </c>
      <c r="J37" s="135" t="e">
        <f>SUMIF([1]Aux!B:B,Macro_Plano_2025_v1!B37,[1]Aux!I:I)+SUMIF([1]Aux!B:B,Macro_Plano_2025_v1!B37,[1]Aux!O:O)</f>
        <v>#VALUE!</v>
      </c>
      <c r="K37" s="109"/>
      <c r="L37" s="119"/>
      <c r="M37" s="119"/>
      <c r="N37" s="119" t="e">
        <f t="shared" si="5"/>
        <v>#VALUE!</v>
      </c>
      <c r="O37" s="119"/>
      <c r="P37" s="119"/>
      <c r="Q37" s="119"/>
      <c r="R37" s="119"/>
      <c r="S37" s="119"/>
      <c r="T37" s="119"/>
      <c r="U37" s="119"/>
      <c r="V37" s="119"/>
    </row>
    <row r="38" spans="2:22" outlineLevel="1" x14ac:dyDescent="0.45">
      <c r="B38" s="122" t="str">
        <f t="shared" si="2"/>
        <v>INSTRUMENT_INTRNL_TRNSFR_RT_OFF_BLNC</v>
      </c>
      <c r="C38" s="130" t="s">
        <v>585</v>
      </c>
      <c r="D38" s="131" t="s">
        <v>460</v>
      </c>
      <c r="E38" s="132" t="s">
        <v>497</v>
      </c>
      <c r="F38" s="133"/>
      <c r="G38" s="133"/>
      <c r="H38" s="131"/>
      <c r="I38" s="134" t="e">
        <f t="shared" si="3"/>
        <v>#VALUE!</v>
      </c>
      <c r="J38" s="135" t="e">
        <f>SUMIF([1]Aux!B:B,Macro_Plano_2025_v1!B38,[1]Aux!I:I)+SUMIF([1]Aux!B:B,Macro_Plano_2025_v1!B38,[1]Aux!O:O)</f>
        <v>#VALUE!</v>
      </c>
      <c r="K38" s="109"/>
      <c r="L38" s="119"/>
      <c r="M38" s="119"/>
      <c r="N38" s="119" t="e">
        <f t="shared" si="5"/>
        <v>#VALUE!</v>
      </c>
      <c r="O38" s="119"/>
      <c r="P38" s="119"/>
      <c r="Q38" s="119"/>
      <c r="R38" s="119"/>
      <c r="S38" s="119"/>
      <c r="T38" s="119"/>
      <c r="U38" s="119"/>
      <c r="V38" s="119"/>
    </row>
    <row r="39" spans="2:22" outlineLevel="1" x14ac:dyDescent="0.45">
      <c r="B39" s="122" t="str">
        <f t="shared" si="2"/>
        <v>INSTRUMENT_IDCMB</v>
      </c>
      <c r="C39" s="130" t="s">
        <v>586</v>
      </c>
      <c r="D39" s="131" t="s">
        <v>460</v>
      </c>
      <c r="E39" s="132" t="s">
        <v>472</v>
      </c>
      <c r="F39" s="133"/>
      <c r="G39" s="133"/>
      <c r="H39" s="131"/>
      <c r="I39" s="134" t="e">
        <f t="shared" si="3"/>
        <v>#VALUE!</v>
      </c>
      <c r="J39" s="135" t="e">
        <f>SUMIF([1]Aux!B:B,Macro_Plano_2025_v1!B39,[1]Aux!I:I)+SUMIF([1]Aux!B:B,Macro_Plano_2025_v1!B39,[1]Aux!O:O)</f>
        <v>#VALUE!</v>
      </c>
      <c r="K39" s="109"/>
      <c r="L39" s="119"/>
      <c r="M39" s="119"/>
      <c r="N39" s="119" t="e">
        <f t="shared" si="5"/>
        <v>#VALUE!</v>
      </c>
      <c r="O39" s="119"/>
      <c r="P39" s="119"/>
      <c r="Q39" s="119"/>
      <c r="R39" s="119"/>
      <c r="S39" s="119"/>
      <c r="T39" s="119"/>
      <c r="U39" s="119"/>
      <c r="V39" s="119"/>
    </row>
    <row r="40" spans="2:22" outlineLevel="1" x14ac:dyDescent="0.45">
      <c r="B40" s="122" t="str">
        <f t="shared" si="2"/>
        <v>INSTRUMENT_RWA_OFF_BLNC</v>
      </c>
      <c r="C40" s="130" t="s">
        <v>587</v>
      </c>
      <c r="D40" s="131" t="s">
        <v>460</v>
      </c>
      <c r="E40" s="132" t="s">
        <v>500</v>
      </c>
      <c r="F40" s="133"/>
      <c r="G40" s="133"/>
      <c r="H40" s="131"/>
      <c r="I40" s="134" t="e">
        <f t="shared" si="3"/>
        <v>#VALUE!</v>
      </c>
      <c r="J40" s="135" t="e">
        <f>SUMIF([1]Aux!B:B,Macro_Plano_2025_v1!B40,[1]Aux!I:I)+SUMIF([1]Aux!B:B,Macro_Plano_2025_v1!B40,[1]Aux!O:O)</f>
        <v>#VALUE!</v>
      </c>
      <c r="K40" s="109"/>
      <c r="L40" s="119"/>
      <c r="M40" s="119"/>
      <c r="N40" s="119" t="e">
        <f t="shared" si="5"/>
        <v>#VALUE!</v>
      </c>
      <c r="O40" s="119"/>
      <c r="P40" s="119"/>
      <c r="Q40" s="119"/>
      <c r="R40" s="119"/>
      <c r="S40" s="119"/>
      <c r="T40" s="119"/>
      <c r="U40" s="119"/>
      <c r="V40" s="119"/>
    </row>
    <row r="41" spans="2:22" ht="3" customHeight="1" outlineLevel="1" x14ac:dyDescent="0.45">
      <c r="B41" s="122"/>
      <c r="C41" s="137"/>
      <c r="D41" s="138"/>
      <c r="E41" s="139"/>
      <c r="F41" s="114"/>
      <c r="G41" s="114"/>
      <c r="H41" s="138"/>
      <c r="I41" s="140"/>
      <c r="J41" s="116"/>
      <c r="K41" s="109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</row>
    <row r="42" spans="2:22" x14ac:dyDescent="0.25">
      <c r="B42" s="141"/>
      <c r="C42" s="142" t="s">
        <v>588</v>
      </c>
      <c r="D42" s="13" t="s">
        <v>589</v>
      </c>
      <c r="E42" s="103"/>
      <c r="F42" s="108"/>
      <c r="G42" s="108"/>
      <c r="H42" s="104">
        <f>COUNTA(E43:E56)</f>
        <v>14</v>
      </c>
      <c r="I42" s="104" t="e">
        <f>+SUM(I43:I56)</f>
        <v>#VALUE!</v>
      </c>
      <c r="J42" s="105" t="e">
        <f>SUM(J43:J56)</f>
        <v>#VALUE!</v>
      </c>
      <c r="K42" s="109"/>
      <c r="L42" s="119"/>
      <c r="M42" s="119"/>
      <c r="N42" s="143">
        <v>1.75</v>
      </c>
      <c r="O42" s="143">
        <v>0.125</v>
      </c>
      <c r="P42" s="144"/>
      <c r="Q42" s="144"/>
      <c r="R42" s="144"/>
      <c r="S42" s="144"/>
      <c r="T42" s="144"/>
      <c r="U42" s="144"/>
      <c r="V42" s="144"/>
    </row>
    <row r="43" spans="2:22" ht="16.2" outlineLevel="1" x14ac:dyDescent="0.25">
      <c r="B43" s="122" t="str">
        <f t="shared" si="2"/>
        <v>INSTRUMENT_CCF</v>
      </c>
      <c r="C43" s="123" t="s">
        <v>590</v>
      </c>
      <c r="D43" s="124" t="s">
        <v>460</v>
      </c>
      <c r="E43" s="125" t="s">
        <v>524</v>
      </c>
      <c r="F43" s="126"/>
      <c r="G43" s="126"/>
      <c r="H43" s="124"/>
      <c r="I43" s="124" t="e">
        <f>J43/8/5</f>
        <v>#VALUE!</v>
      </c>
      <c r="J43" s="128" t="e">
        <f>SUMIF([1]Aux!B:B,Macro_Plano_2025_v1!B43,[1]Aux!H:H)</f>
        <v>#VALUE!</v>
      </c>
      <c r="K43" s="109"/>
      <c r="L43" s="119"/>
      <c r="M43" s="119"/>
      <c r="N43" s="119" t="e">
        <f>J43/8</f>
        <v>#VALUE!</v>
      </c>
      <c r="O43" s="119"/>
      <c r="P43" s="144"/>
      <c r="Q43" s="144"/>
      <c r="R43" s="144"/>
      <c r="S43" s="144"/>
      <c r="T43" s="144"/>
      <c r="U43" s="144"/>
      <c r="V43" s="144"/>
    </row>
    <row r="44" spans="2:22" ht="16.2" outlineLevel="1" x14ac:dyDescent="0.25">
      <c r="B44" s="122" t="str">
        <f t="shared" si="2"/>
        <v>INSTRUMENT_EAD</v>
      </c>
      <c r="C44" s="130" t="s">
        <v>591</v>
      </c>
      <c r="D44" s="131" t="s">
        <v>460</v>
      </c>
      <c r="E44" s="132" t="s">
        <v>525</v>
      </c>
      <c r="F44" s="133"/>
      <c r="G44" s="133"/>
      <c r="H44" s="131"/>
      <c r="I44" s="131" t="e">
        <f t="shared" ref="I44:I56" si="6">J44/8/5</f>
        <v>#VALUE!</v>
      </c>
      <c r="J44" s="135" t="e">
        <f>SUMIF([1]Aux!B:B,Macro_Plano_2025_v1!B44,[1]Aux!H:H)</f>
        <v>#VALUE!</v>
      </c>
      <c r="K44" s="109"/>
      <c r="L44" s="119"/>
      <c r="M44" s="119"/>
      <c r="N44" s="119" t="e">
        <f t="shared" ref="N44:N55" si="7">J44/8</f>
        <v>#VALUE!</v>
      </c>
      <c r="O44" s="119"/>
      <c r="P44" s="144"/>
      <c r="Q44" s="144"/>
      <c r="R44" s="144"/>
      <c r="S44" s="144"/>
      <c r="T44" s="144"/>
      <c r="U44" s="144"/>
      <c r="V44" s="144"/>
    </row>
    <row r="45" spans="2:22" ht="16.2" outlineLevel="1" x14ac:dyDescent="0.25">
      <c r="B45" s="122" t="str">
        <f t="shared" si="2"/>
        <v>INSTRUMENT_TYP_OFF_BLNC_PRDCT</v>
      </c>
      <c r="C45" s="130" t="s">
        <v>592</v>
      </c>
      <c r="D45" s="131" t="s">
        <v>460</v>
      </c>
      <c r="E45" s="132" t="s">
        <v>526</v>
      </c>
      <c r="F45" s="133"/>
      <c r="G45" s="133"/>
      <c r="H45" s="131"/>
      <c r="I45" s="131" t="e">
        <f t="shared" si="6"/>
        <v>#VALUE!</v>
      </c>
      <c r="J45" s="135" t="e">
        <f>SUMIF([1]Aux!B:B,Macro_Plano_2025_v1!B45,[1]Aux!H:H)</f>
        <v>#VALUE!</v>
      </c>
      <c r="K45" s="109"/>
      <c r="L45" s="119"/>
      <c r="M45" s="119"/>
      <c r="N45" s="119" t="e">
        <f t="shared" si="7"/>
        <v>#VALUE!</v>
      </c>
      <c r="O45" s="119"/>
      <c r="P45" s="144"/>
      <c r="Q45" s="144"/>
      <c r="R45" s="144"/>
      <c r="S45" s="144"/>
      <c r="T45" s="144"/>
      <c r="U45" s="144"/>
      <c r="V45" s="144"/>
    </row>
    <row r="46" spans="2:22" ht="16.2" outlineLevel="1" x14ac:dyDescent="0.25">
      <c r="B46" s="122" t="str">
        <f t="shared" si="2"/>
        <v>INSTR_PROTECTION_COD_SOC</v>
      </c>
      <c r="C46" s="130" t="s">
        <v>593</v>
      </c>
      <c r="D46" s="131" t="s">
        <v>473</v>
      </c>
      <c r="E46" s="132" t="s">
        <v>457</v>
      </c>
      <c r="F46" s="133"/>
      <c r="G46" s="133"/>
      <c r="H46" s="131"/>
      <c r="I46" s="131" t="e">
        <f t="shared" si="6"/>
        <v>#VALUE!</v>
      </c>
      <c r="J46" s="135" t="e">
        <f>SUMIF([1]Aux!B:B,Macro_Plano_2025_v1!B46,[1]Aux!H:H)</f>
        <v>#VALUE!</v>
      </c>
      <c r="K46" s="109"/>
      <c r="L46" s="119"/>
      <c r="M46" s="119"/>
      <c r="N46" s="119" t="e">
        <f t="shared" si="7"/>
        <v>#VALUE!</v>
      </c>
      <c r="O46" s="119"/>
      <c r="P46" s="144"/>
      <c r="Q46" s="144"/>
      <c r="R46" s="144"/>
      <c r="S46" s="144"/>
      <c r="T46" s="144"/>
      <c r="U46" s="144"/>
      <c r="V46" s="144"/>
    </row>
    <row r="47" spans="2:22" ht="16.2" outlineLevel="1" x14ac:dyDescent="0.25">
      <c r="B47" s="122" t="str">
        <f t="shared" si="2"/>
        <v>INSTR_PROTECTION_DT_RFRNC</v>
      </c>
      <c r="C47" s="130" t="s">
        <v>594</v>
      </c>
      <c r="D47" s="131" t="s">
        <v>473</v>
      </c>
      <c r="E47" s="132" t="s">
        <v>458</v>
      </c>
      <c r="F47" s="133"/>
      <c r="G47" s="133"/>
      <c r="H47" s="131"/>
      <c r="I47" s="131" t="e">
        <f t="shared" si="6"/>
        <v>#VALUE!</v>
      </c>
      <c r="J47" s="135" t="e">
        <f>SUMIF([1]Aux!B:B,Macro_Plano_2025_v1!B47,[1]Aux!H:H)</f>
        <v>#VALUE!</v>
      </c>
      <c r="K47" s="109"/>
      <c r="L47" s="119"/>
      <c r="M47" s="119"/>
      <c r="N47" s="119" t="e">
        <f t="shared" si="7"/>
        <v>#VALUE!</v>
      </c>
      <c r="O47" s="119"/>
      <c r="P47" s="144"/>
      <c r="Q47" s="144"/>
      <c r="R47" s="144"/>
      <c r="S47" s="144"/>
      <c r="T47" s="144"/>
      <c r="U47" s="144"/>
      <c r="V47" s="144"/>
    </row>
    <row r="48" spans="2:22" ht="16.2" outlineLevel="1" x14ac:dyDescent="0.25">
      <c r="B48" s="122" t="str">
        <f t="shared" si="2"/>
        <v>INSTR_PROTECTION_INSTRMNT_ID</v>
      </c>
      <c r="C48" s="130" t="s">
        <v>595</v>
      </c>
      <c r="D48" s="131" t="s">
        <v>473</v>
      </c>
      <c r="E48" s="132" t="s">
        <v>459</v>
      </c>
      <c r="F48" s="133"/>
      <c r="G48" s="133"/>
      <c r="H48" s="131"/>
      <c r="I48" s="131" t="e">
        <f t="shared" si="6"/>
        <v>#VALUE!</v>
      </c>
      <c r="J48" s="135" t="e">
        <f>SUMIF([1]Aux!B:B,Macro_Plano_2025_v1!B48,[1]Aux!H:H)</f>
        <v>#VALUE!</v>
      </c>
      <c r="K48" s="109"/>
      <c r="L48" s="119"/>
      <c r="M48" s="119"/>
      <c r="N48" s="119" t="e">
        <f t="shared" si="7"/>
        <v>#VALUE!</v>
      </c>
      <c r="O48" s="119"/>
      <c r="P48" s="144"/>
      <c r="Q48" s="144"/>
      <c r="R48" s="144"/>
      <c r="S48" s="144"/>
      <c r="T48" s="144"/>
      <c r="U48" s="144"/>
      <c r="V48" s="144"/>
    </row>
    <row r="49" spans="2:22" ht="16.2" outlineLevel="1" x14ac:dyDescent="0.25">
      <c r="B49" s="122" t="str">
        <f t="shared" si="2"/>
        <v>INSTR_PROTECTION_PRTCTN_ID</v>
      </c>
      <c r="C49" s="130" t="s">
        <v>596</v>
      </c>
      <c r="D49" s="131" t="s">
        <v>473</v>
      </c>
      <c r="E49" s="132" t="s">
        <v>527</v>
      </c>
      <c r="F49" s="133"/>
      <c r="G49" s="133"/>
      <c r="H49" s="131"/>
      <c r="I49" s="131" t="e">
        <f t="shared" si="6"/>
        <v>#VALUE!</v>
      </c>
      <c r="J49" s="135" t="e">
        <f>SUMIF([1]Aux!B:B,Macro_Plano_2025_v1!B49,[1]Aux!H:H)</f>
        <v>#VALUE!</v>
      </c>
      <c r="K49" s="109"/>
      <c r="L49" s="119"/>
      <c r="M49" s="119"/>
      <c r="N49" s="119" t="e">
        <f t="shared" si="7"/>
        <v>#VALUE!</v>
      </c>
      <c r="O49" s="119"/>
      <c r="P49" s="144"/>
      <c r="Q49" s="144"/>
      <c r="R49" s="144"/>
      <c r="S49" s="144"/>
      <c r="T49" s="144"/>
      <c r="U49" s="144"/>
      <c r="V49" s="144"/>
    </row>
    <row r="50" spans="2:22" ht="16.2" outlineLevel="1" x14ac:dyDescent="0.25">
      <c r="B50" s="122" t="str">
        <f t="shared" si="2"/>
        <v>PROTECTION_COD_SOC</v>
      </c>
      <c r="C50" s="130" t="s">
        <v>597</v>
      </c>
      <c r="D50" s="131" t="s">
        <v>510</v>
      </c>
      <c r="E50" s="132" t="s">
        <v>457</v>
      </c>
      <c r="F50" s="133"/>
      <c r="G50" s="133"/>
      <c r="H50" s="131"/>
      <c r="I50" s="131" t="e">
        <f t="shared" si="6"/>
        <v>#VALUE!</v>
      </c>
      <c r="J50" s="135" t="e">
        <f>SUMIF([1]Aux!B:B,Macro_Plano_2025_v1!B50,[1]Aux!H:H)</f>
        <v>#VALUE!</v>
      </c>
      <c r="K50" s="109"/>
      <c r="L50" s="119"/>
      <c r="M50" s="119"/>
      <c r="N50" s="119" t="e">
        <f t="shared" si="7"/>
        <v>#VALUE!</v>
      </c>
      <c r="O50" s="119"/>
      <c r="P50" s="144"/>
      <c r="Q50" s="144"/>
      <c r="R50" s="144"/>
      <c r="S50" s="144"/>
      <c r="T50" s="144"/>
      <c r="U50" s="144"/>
      <c r="V50" s="144"/>
    </row>
    <row r="51" spans="2:22" ht="16.2" outlineLevel="1" x14ac:dyDescent="0.25">
      <c r="B51" s="122" t="str">
        <f t="shared" si="2"/>
        <v>PROTECTION_DT_RFRNC</v>
      </c>
      <c r="C51" s="130" t="s">
        <v>598</v>
      </c>
      <c r="D51" s="131" t="s">
        <v>510</v>
      </c>
      <c r="E51" s="132" t="s">
        <v>458</v>
      </c>
      <c r="F51" s="133"/>
      <c r="G51" s="133"/>
      <c r="H51" s="131"/>
      <c r="I51" s="131" t="e">
        <f t="shared" si="6"/>
        <v>#VALUE!</v>
      </c>
      <c r="J51" s="135" t="e">
        <f>SUMIF([1]Aux!B:B,Macro_Plano_2025_v1!B51,[1]Aux!H:H)</f>
        <v>#VALUE!</v>
      </c>
      <c r="K51" s="109"/>
      <c r="L51" s="119"/>
      <c r="M51" s="119"/>
      <c r="N51" s="119" t="e">
        <f t="shared" si="7"/>
        <v>#VALUE!</v>
      </c>
      <c r="O51" s="119"/>
      <c r="P51" s="144"/>
      <c r="Q51" s="144"/>
      <c r="R51" s="144"/>
      <c r="S51" s="144"/>
      <c r="T51" s="144"/>
      <c r="U51" s="144"/>
      <c r="V51" s="144"/>
    </row>
    <row r="52" spans="2:22" ht="16.2" outlineLevel="1" x14ac:dyDescent="0.25">
      <c r="B52" s="122" t="str">
        <f t="shared" si="2"/>
        <v>PROTECTION_PRTCTN_ID</v>
      </c>
      <c r="C52" s="130" t="s">
        <v>599</v>
      </c>
      <c r="D52" s="131" t="s">
        <v>510</v>
      </c>
      <c r="E52" s="132" t="s">
        <v>527</v>
      </c>
      <c r="F52" s="133"/>
      <c r="G52" s="133"/>
      <c r="H52" s="131"/>
      <c r="I52" s="131" t="e">
        <f t="shared" si="6"/>
        <v>#VALUE!</v>
      </c>
      <c r="J52" s="135" t="e">
        <f>SUMIF([1]Aux!B:B,Macro_Plano_2025_v1!B52,[1]Aux!H:H)</f>
        <v>#VALUE!</v>
      </c>
      <c r="K52" s="109"/>
      <c r="L52" s="119"/>
      <c r="M52" s="119"/>
      <c r="N52" s="119" t="e">
        <f t="shared" si="7"/>
        <v>#VALUE!</v>
      </c>
      <c r="O52" s="119"/>
      <c r="P52" s="144"/>
      <c r="Q52" s="144"/>
      <c r="R52" s="144"/>
      <c r="S52" s="144"/>
      <c r="T52" s="144"/>
      <c r="U52" s="144"/>
      <c r="V52" s="144"/>
    </row>
    <row r="53" spans="2:22" ht="16.2" outlineLevel="1" x14ac:dyDescent="0.25">
      <c r="B53" s="122" t="str">
        <f t="shared" si="2"/>
        <v>PROTECTION_TYP_PRTCTN</v>
      </c>
      <c r="C53" s="130" t="s">
        <v>600</v>
      </c>
      <c r="D53" s="131" t="s">
        <v>510</v>
      </c>
      <c r="E53" s="132" t="s">
        <v>528</v>
      </c>
      <c r="F53" s="133"/>
      <c r="G53" s="133"/>
      <c r="H53" s="131"/>
      <c r="I53" s="131" t="e">
        <f t="shared" si="6"/>
        <v>#VALUE!</v>
      </c>
      <c r="J53" s="135" t="e">
        <f>SUMIF([1]Aux!B:B,Macro_Plano_2025_v1!B53,[1]Aux!H:H)</f>
        <v>#VALUE!</v>
      </c>
      <c r="K53" s="109"/>
      <c r="L53" s="119"/>
      <c r="M53" s="119"/>
      <c r="N53" s="119" t="e">
        <f t="shared" si="7"/>
        <v>#VALUE!</v>
      </c>
      <c r="O53" s="119"/>
      <c r="P53" s="144"/>
      <c r="Q53" s="144"/>
      <c r="R53" s="144"/>
      <c r="S53" s="144"/>
      <c r="T53" s="144"/>
      <c r="U53" s="144"/>
      <c r="V53" s="144"/>
    </row>
    <row r="54" spans="2:22" ht="16.2" outlineLevel="1" x14ac:dyDescent="0.25">
      <c r="B54" s="122" t="str">
        <f t="shared" si="2"/>
        <v>PROTECTION_PRTCTN_VL</v>
      </c>
      <c r="C54" s="130" t="s">
        <v>601</v>
      </c>
      <c r="D54" s="131" t="s">
        <v>510</v>
      </c>
      <c r="E54" s="132" t="s">
        <v>529</v>
      </c>
      <c r="F54" s="133"/>
      <c r="G54" s="133"/>
      <c r="H54" s="131"/>
      <c r="I54" s="131" t="e">
        <f t="shared" si="6"/>
        <v>#VALUE!</v>
      </c>
      <c r="J54" s="135" t="e">
        <f>SUMIF([1]Aux!B:B,Macro_Plano_2025_v1!B54,[1]Aux!H:H)</f>
        <v>#VALUE!</v>
      </c>
      <c r="K54" s="109"/>
      <c r="L54" s="119"/>
      <c r="M54" s="119"/>
      <c r="N54" s="119" t="e">
        <f t="shared" si="7"/>
        <v>#VALUE!</v>
      </c>
      <c r="O54" s="119"/>
      <c r="P54" s="144"/>
      <c r="Q54" s="144"/>
      <c r="R54" s="144"/>
      <c r="S54" s="144"/>
      <c r="T54" s="144"/>
      <c r="U54" s="144"/>
      <c r="V54" s="144"/>
    </row>
    <row r="55" spans="2:22" ht="16.2" outlineLevel="1" x14ac:dyDescent="0.25">
      <c r="B55" s="122" t="str">
        <f t="shared" si="2"/>
        <v>PROTECTION_FLG_ELCTRC_VHCL</v>
      </c>
      <c r="C55" s="130" t="s">
        <v>602</v>
      </c>
      <c r="D55" s="131" t="s">
        <v>510</v>
      </c>
      <c r="E55" s="132" t="s">
        <v>532</v>
      </c>
      <c r="F55" s="133"/>
      <c r="G55" s="133"/>
      <c r="H55" s="131"/>
      <c r="I55" s="131" t="e">
        <f t="shared" si="6"/>
        <v>#VALUE!</v>
      </c>
      <c r="J55" s="135" t="e">
        <f>SUMIF([1]Aux!B:B,Macro_Plano_2025_v1!B55,[1]Aux!H:H)</f>
        <v>#VALUE!</v>
      </c>
      <c r="K55" s="109"/>
      <c r="L55" s="119"/>
      <c r="M55" s="119"/>
      <c r="N55" s="119" t="e">
        <f t="shared" si="7"/>
        <v>#VALUE!</v>
      </c>
      <c r="O55" s="119"/>
      <c r="P55" s="144"/>
      <c r="Q55" s="144"/>
      <c r="R55" s="144"/>
      <c r="S55" s="144"/>
      <c r="T55" s="144"/>
      <c r="U55" s="144"/>
      <c r="V55" s="144"/>
    </row>
    <row r="56" spans="2:22" ht="16.2" outlineLevel="1" x14ac:dyDescent="0.25">
      <c r="B56" s="122" t="str">
        <f t="shared" si="2"/>
        <v>INSTR_ACTIVITY_PRCNTG_ACTVTY</v>
      </c>
      <c r="C56" s="130" t="s">
        <v>603</v>
      </c>
      <c r="D56" s="131" t="s">
        <v>604</v>
      </c>
      <c r="E56" s="132" t="s">
        <v>530</v>
      </c>
      <c r="F56" s="133"/>
      <c r="G56" s="133"/>
      <c r="H56" s="131"/>
      <c r="I56" s="131" t="e">
        <f t="shared" si="6"/>
        <v>#VALUE!</v>
      </c>
      <c r="J56" s="135" t="e">
        <f>SUMIF([1]Aux!B:B,Macro_Plano_2025_v1!B56,[1]Aux!H:H)</f>
        <v>#VALUE!</v>
      </c>
      <c r="K56" s="109"/>
      <c r="L56" s="119"/>
      <c r="M56" s="119"/>
      <c r="N56" s="119"/>
      <c r="O56" s="119" t="e">
        <f>J56/8</f>
        <v>#VALUE!</v>
      </c>
      <c r="P56" s="119"/>
      <c r="Q56" s="119"/>
      <c r="R56" s="119"/>
      <c r="S56" s="119"/>
      <c r="T56" s="119"/>
      <c r="U56" s="119"/>
      <c r="V56" s="119"/>
    </row>
    <row r="57" spans="2:22" ht="3" customHeight="1" outlineLevel="1" x14ac:dyDescent="0.25">
      <c r="B57" s="122"/>
      <c r="C57" s="145"/>
      <c r="D57" s="138"/>
      <c r="E57" s="139"/>
      <c r="F57" s="114"/>
      <c r="G57" s="114"/>
      <c r="H57" s="138"/>
      <c r="I57" s="138"/>
      <c r="J57" s="116"/>
      <c r="K57" s="109"/>
      <c r="L57" s="121"/>
      <c r="M57" s="146"/>
      <c r="N57" s="146"/>
      <c r="O57" s="147"/>
      <c r="P57" s="121"/>
      <c r="Q57" s="121"/>
      <c r="R57" s="121"/>
      <c r="S57" s="121"/>
      <c r="T57" s="121"/>
      <c r="U57" s="121"/>
      <c r="V57" s="121"/>
    </row>
    <row r="58" spans="2:22" x14ac:dyDescent="0.25">
      <c r="B58" s="148"/>
      <c r="C58" s="142" t="s">
        <v>605</v>
      </c>
      <c r="D58" s="13" t="s">
        <v>606</v>
      </c>
      <c r="E58" s="107"/>
      <c r="F58" s="149"/>
      <c r="G58" s="149"/>
      <c r="H58" s="150"/>
      <c r="I58" s="150"/>
      <c r="J58" s="150" t="e">
        <f>J59+J60+J106</f>
        <v>#VALUE!</v>
      </c>
      <c r="K58" s="109"/>
      <c r="L58" s="119"/>
      <c r="M58" s="119"/>
      <c r="N58" s="151"/>
      <c r="O58" s="151"/>
      <c r="P58" s="151"/>
      <c r="Q58" s="119"/>
      <c r="R58" s="119"/>
      <c r="S58" s="119"/>
      <c r="T58" s="119"/>
      <c r="U58" s="119"/>
      <c r="V58" s="119"/>
    </row>
    <row r="59" spans="2:22" x14ac:dyDescent="0.45">
      <c r="B59" s="148"/>
      <c r="C59" s="152" t="s">
        <v>607</v>
      </c>
      <c r="D59" s="153"/>
      <c r="E59" s="154" t="s">
        <v>608</v>
      </c>
      <c r="F59" s="126"/>
      <c r="G59" s="126"/>
      <c r="H59" s="155" t="s">
        <v>28</v>
      </c>
      <c r="I59" s="155"/>
      <c r="J59" s="155">
        <v>40</v>
      </c>
      <c r="K59" s="109"/>
      <c r="L59" s="119"/>
      <c r="M59" s="156"/>
      <c r="N59" s="156"/>
      <c r="O59" s="156">
        <v>5</v>
      </c>
      <c r="P59" s="119"/>
      <c r="Q59" s="119"/>
      <c r="R59" s="119"/>
      <c r="S59" s="119"/>
      <c r="T59" s="119"/>
      <c r="U59" s="157"/>
      <c r="V59" s="119"/>
    </row>
    <row r="60" spans="2:22" x14ac:dyDescent="0.45">
      <c r="B60" s="148"/>
      <c r="C60" s="158" t="s">
        <v>609</v>
      </c>
      <c r="D60" s="159"/>
      <c r="E60" s="160" t="s">
        <v>610</v>
      </c>
      <c r="F60" s="133"/>
      <c r="G60" s="133"/>
      <c r="H60" s="161">
        <f>COUNTA(E61:E105)</f>
        <v>45</v>
      </c>
      <c r="I60" s="161"/>
      <c r="J60" s="161" t="e">
        <f>SUM(J61:J105)</f>
        <v>#VALUE!</v>
      </c>
      <c r="K60" s="109"/>
      <c r="L60" s="119"/>
      <c r="M60" s="119"/>
      <c r="N60" s="119"/>
      <c r="O60" s="119">
        <v>4.875</v>
      </c>
      <c r="P60" s="119">
        <v>10</v>
      </c>
      <c r="Q60" s="119">
        <v>10</v>
      </c>
      <c r="R60" s="119">
        <v>10</v>
      </c>
      <c r="S60" s="119">
        <v>10</v>
      </c>
      <c r="T60" s="119">
        <v>2.875</v>
      </c>
      <c r="U60" s="157"/>
      <c r="V60" s="119"/>
    </row>
    <row r="61" spans="2:22" ht="16.2" outlineLevel="1" x14ac:dyDescent="0.25">
      <c r="B61" s="122" t="str">
        <f>D61&amp;"_"&amp;E61</f>
        <v>INSTRUMENT_INSTRMNT_ID</v>
      </c>
      <c r="C61" s="130" t="s">
        <v>611</v>
      </c>
      <c r="D61" s="131" t="s">
        <v>460</v>
      </c>
      <c r="E61" s="132" t="s">
        <v>459</v>
      </c>
      <c r="F61" s="133"/>
      <c r="G61" s="133"/>
      <c r="H61" s="131"/>
      <c r="I61" s="131"/>
      <c r="J61" s="135" t="e">
        <f>SUMIF([1]Aux!B:B,Macro_Plano_2025_v1!B61,[1]Aux!I:I)+SUMIF([1]Aux!B:B,Macro_Plano_2025_v1!B61,[1]Aux!O:O)</f>
        <v>#VALUE!</v>
      </c>
      <c r="K61" s="109"/>
      <c r="L61" s="119"/>
      <c r="M61" s="119"/>
      <c r="N61" s="119"/>
      <c r="O61" s="162" t="e">
        <f>J61/8</f>
        <v>#VALUE!</v>
      </c>
      <c r="P61" s="119"/>
      <c r="Q61" s="119"/>
      <c r="R61" s="119"/>
      <c r="S61" s="119"/>
      <c r="T61" s="119"/>
      <c r="U61" s="157"/>
      <c r="V61" s="119"/>
    </row>
    <row r="62" spans="2:22" ht="16.2" outlineLevel="1" x14ac:dyDescent="0.25">
      <c r="B62" s="122" t="str">
        <f t="shared" ref="B62:B105" si="8">D62&amp;"_"&amp;E62</f>
        <v>INSTRUMENT_CCF</v>
      </c>
      <c r="C62" s="130" t="s">
        <v>612</v>
      </c>
      <c r="D62" s="131" t="s">
        <v>460</v>
      </c>
      <c r="E62" s="132" t="s">
        <v>524</v>
      </c>
      <c r="F62" s="133"/>
      <c r="G62" s="133"/>
      <c r="H62" s="131"/>
      <c r="I62" s="131"/>
      <c r="J62" s="135" t="e">
        <f>SUMIF([1]Aux!B:B,Macro_Plano_2025_v1!B62,[1]Aux!I:I)+SUMIF([1]Aux!B:B,Macro_Plano_2025_v1!B62,[1]Aux!O:O)</f>
        <v>#VALUE!</v>
      </c>
      <c r="K62" s="109"/>
      <c r="L62" s="119"/>
      <c r="M62" s="119"/>
      <c r="N62" s="119"/>
      <c r="O62" s="162" t="e">
        <f t="shared" ref="O62:O64" si="9">J62/8</f>
        <v>#VALUE!</v>
      </c>
      <c r="P62" s="119"/>
      <c r="Q62" s="119"/>
      <c r="R62" s="119"/>
      <c r="S62" s="119"/>
      <c r="T62" s="119"/>
      <c r="U62" s="157"/>
      <c r="V62" s="119"/>
    </row>
    <row r="63" spans="2:22" ht="16.2" outlineLevel="1" x14ac:dyDescent="0.25">
      <c r="B63" s="122" t="str">
        <f t="shared" si="8"/>
        <v>INSTRUMENT_EAD</v>
      </c>
      <c r="C63" s="123" t="s">
        <v>613</v>
      </c>
      <c r="D63" s="124" t="s">
        <v>460</v>
      </c>
      <c r="E63" s="125" t="s">
        <v>525</v>
      </c>
      <c r="F63" s="126"/>
      <c r="G63" s="126"/>
      <c r="H63" s="124"/>
      <c r="I63" s="124"/>
      <c r="J63" s="128" t="e">
        <f>SUMIF([1]Aux!B:B,Macro_Plano_2025_v1!B63,[1]Aux!I:I)+SUMIF([1]Aux!B:B,Macro_Plano_2025_v1!B63,[1]Aux!O:O)</f>
        <v>#VALUE!</v>
      </c>
      <c r="K63" s="163"/>
      <c r="L63" s="119"/>
      <c r="M63" s="119"/>
      <c r="N63" s="119"/>
      <c r="O63" s="162" t="e">
        <f t="shared" si="9"/>
        <v>#VALUE!</v>
      </c>
      <c r="P63" s="119"/>
      <c r="Q63" s="119"/>
      <c r="R63" s="119"/>
      <c r="S63" s="119"/>
      <c r="T63" s="119"/>
      <c r="U63" s="157"/>
      <c r="V63" s="119"/>
    </row>
    <row r="64" spans="2:22" ht="16.2" outlineLevel="1" x14ac:dyDescent="0.25">
      <c r="B64" s="122" t="str">
        <f t="shared" si="8"/>
        <v>INSTRUMENT_AVRG_BLNC</v>
      </c>
      <c r="C64" s="130" t="s">
        <v>614</v>
      </c>
      <c r="D64" s="131" t="s">
        <v>460</v>
      </c>
      <c r="E64" s="132" t="s">
        <v>485</v>
      </c>
      <c r="F64" s="133"/>
      <c r="G64" s="133"/>
      <c r="H64" s="131"/>
      <c r="I64" s="131"/>
      <c r="J64" s="135" t="e">
        <f>SUMIF([1]Aux!B:B,Macro_Plano_2025_v1!B64,[1]Aux!I:I)+SUMIF([1]Aux!B:B,Macro_Plano_2025_v1!B64,[1]Aux!O:O)</f>
        <v>#VALUE!</v>
      </c>
      <c r="K64" s="109"/>
      <c r="L64" s="119"/>
      <c r="M64" s="119"/>
      <c r="N64" s="119"/>
      <c r="O64" s="162" t="e">
        <f t="shared" si="9"/>
        <v>#VALUE!</v>
      </c>
      <c r="P64" s="119"/>
      <c r="Q64" s="119"/>
      <c r="R64" s="119"/>
      <c r="S64" s="119"/>
      <c r="T64" s="119"/>
      <c r="U64" s="157"/>
      <c r="V64" s="119"/>
    </row>
    <row r="65" spans="2:22" ht="16.2" outlineLevel="1" x14ac:dyDescent="0.25">
      <c r="B65" s="122" t="str">
        <f t="shared" si="8"/>
        <v>INSTRUMENT_NW_BSNSS</v>
      </c>
      <c r="C65" s="130" t="s">
        <v>615</v>
      </c>
      <c r="D65" s="131" t="s">
        <v>460</v>
      </c>
      <c r="E65" s="132" t="s">
        <v>466</v>
      </c>
      <c r="F65" s="133"/>
      <c r="G65" s="133"/>
      <c r="H65" s="131"/>
      <c r="I65" s="131"/>
      <c r="J65" s="135" t="e">
        <f>SUMIF([1]Aux!B:B,Macro_Plano_2025_v1!B65,[1]Aux!I:I)+SUMIF([1]Aux!B:B,Macro_Plano_2025_v1!B65,[1]Aux!O:O)</f>
        <v>#VALUE!</v>
      </c>
      <c r="K65" s="109"/>
      <c r="L65" s="119"/>
      <c r="M65" s="119"/>
      <c r="N65" s="119"/>
      <c r="O65" s="162" t="e">
        <f>O60-SUM(O61:O64)</f>
        <v>#VALUE!</v>
      </c>
      <c r="P65" s="162" t="e">
        <f>(J65/8)-O65</f>
        <v>#VALUE!</v>
      </c>
      <c r="Q65" s="119"/>
      <c r="R65" s="119"/>
      <c r="S65" s="119"/>
      <c r="T65" s="119"/>
      <c r="U65" s="157"/>
      <c r="V65" s="119"/>
    </row>
    <row r="66" spans="2:22" ht="16.2" outlineLevel="1" x14ac:dyDescent="0.25">
      <c r="B66" s="122" t="str">
        <f t="shared" si="8"/>
        <v>INSTRUMENT_GRSS_INTRST_INCM</v>
      </c>
      <c r="C66" s="130" t="s">
        <v>616</v>
      </c>
      <c r="D66" s="131" t="s">
        <v>460</v>
      </c>
      <c r="E66" s="132" t="s">
        <v>486</v>
      </c>
      <c r="F66" s="133"/>
      <c r="G66" s="133"/>
      <c r="H66" s="131"/>
      <c r="I66" s="131"/>
      <c r="J66" s="135" t="e">
        <f>SUMIF([1]Aux!B:B,Macro_Plano_2025_v1!B66,[1]Aux!I:I)+SUMIF([1]Aux!B:B,Macro_Plano_2025_v1!B66,[1]Aux!O:O)</f>
        <v>#VALUE!</v>
      </c>
      <c r="K66" s="109"/>
      <c r="L66" s="119"/>
      <c r="M66" s="119"/>
      <c r="N66" s="119"/>
      <c r="O66" s="119"/>
      <c r="P66" s="162" t="e">
        <f>J66/8</f>
        <v>#VALUE!</v>
      </c>
      <c r="Q66" s="119"/>
      <c r="R66" s="119"/>
      <c r="S66" s="119"/>
      <c r="T66" s="119"/>
      <c r="U66" s="157"/>
      <c r="V66" s="119"/>
    </row>
    <row r="67" spans="2:22" ht="16.2" outlineLevel="1" x14ac:dyDescent="0.25">
      <c r="B67" s="122" t="str">
        <f t="shared" si="8"/>
        <v>INSTRUMENT_GRSS_CMMSSN_INCM</v>
      </c>
      <c r="C67" s="130" t="s">
        <v>617</v>
      </c>
      <c r="D67" s="131" t="s">
        <v>460</v>
      </c>
      <c r="E67" s="132" t="s">
        <v>487</v>
      </c>
      <c r="F67" s="133"/>
      <c r="G67" s="133"/>
      <c r="H67" s="131"/>
      <c r="I67" s="131"/>
      <c r="J67" s="135" t="e">
        <f>SUMIF([1]Aux!B:B,Macro_Plano_2025_v1!B67,[1]Aux!I:I)+SUMIF([1]Aux!B:B,Macro_Plano_2025_v1!B67,[1]Aux!O:O)</f>
        <v>#VALUE!</v>
      </c>
      <c r="K67" s="109"/>
      <c r="L67" s="119"/>
      <c r="M67" s="119"/>
      <c r="N67" s="119"/>
      <c r="O67" s="119"/>
      <c r="P67" s="162" t="e">
        <f>J67/8</f>
        <v>#VALUE!</v>
      </c>
      <c r="Q67" s="119"/>
      <c r="R67" s="119"/>
      <c r="S67" s="119"/>
      <c r="T67" s="119"/>
      <c r="U67" s="157"/>
      <c r="V67" s="119"/>
    </row>
    <row r="68" spans="2:22" ht="16.2" outlineLevel="1" x14ac:dyDescent="0.25">
      <c r="B68" s="122" t="str">
        <f t="shared" si="8"/>
        <v>INSTRUMENT_INTRNL_TRNSFR_RT</v>
      </c>
      <c r="C68" s="130" t="s">
        <v>618</v>
      </c>
      <c r="D68" s="131" t="s">
        <v>460</v>
      </c>
      <c r="E68" s="132" t="s">
        <v>488</v>
      </c>
      <c r="F68" s="133"/>
      <c r="G68" s="133"/>
      <c r="H68" s="131"/>
      <c r="I68" s="131"/>
      <c r="J68" s="135" t="e">
        <f>SUMIF([1]Aux!B:B,Macro_Plano_2025_v1!B68,[1]Aux!I:I)+SUMIF([1]Aux!B:B,Macro_Plano_2025_v1!B68,[1]Aux!O:O)</f>
        <v>#VALUE!</v>
      </c>
      <c r="K68" s="109"/>
      <c r="L68" s="119"/>
      <c r="M68" s="119"/>
      <c r="N68" s="119"/>
      <c r="O68" s="119"/>
      <c r="P68" s="162" t="e">
        <f>J68/8</f>
        <v>#VALUE!</v>
      </c>
      <c r="Q68" s="119"/>
      <c r="R68" s="119"/>
      <c r="S68" s="119"/>
      <c r="T68" s="119"/>
      <c r="U68" s="157"/>
      <c r="V68" s="119"/>
    </row>
    <row r="69" spans="2:22" ht="16.2" outlineLevel="1" x14ac:dyDescent="0.25">
      <c r="B69" s="122" t="str">
        <f t="shared" si="8"/>
        <v>INSTRUMENT_NT_LN_LSS_PRVSN</v>
      </c>
      <c r="C69" s="130" t="s">
        <v>619</v>
      </c>
      <c r="D69" s="131" t="s">
        <v>460</v>
      </c>
      <c r="E69" s="132" t="s">
        <v>489</v>
      </c>
      <c r="F69" s="133"/>
      <c r="G69" s="133"/>
      <c r="H69" s="131"/>
      <c r="I69" s="131"/>
      <c r="J69" s="135" t="e">
        <f>SUMIF([1]Aux!B:B,Macro_Plano_2025_v1!B69,[1]Aux!I:I)+SUMIF([1]Aux!B:B,Macro_Plano_2025_v1!B69,[1]Aux!O:O)</f>
        <v>#VALUE!</v>
      </c>
      <c r="K69" s="109"/>
      <c r="L69" s="119"/>
      <c r="M69" s="119"/>
      <c r="N69" s="119"/>
      <c r="O69" s="119"/>
      <c r="P69" s="162" t="e">
        <f>J69/8</f>
        <v>#VALUE!</v>
      </c>
      <c r="Q69" s="119"/>
      <c r="R69" s="119"/>
      <c r="S69" s="119"/>
      <c r="T69" s="119"/>
      <c r="U69" s="157"/>
      <c r="V69" s="119"/>
    </row>
    <row r="70" spans="2:22" ht="16.2" outlineLevel="1" x14ac:dyDescent="0.25">
      <c r="B70" s="122" t="str">
        <f t="shared" si="8"/>
        <v>INSTRUMENT_BSNSS_AREA</v>
      </c>
      <c r="C70" s="130" t="s">
        <v>620</v>
      </c>
      <c r="D70" s="131" t="s">
        <v>460</v>
      </c>
      <c r="E70" s="132" t="s">
        <v>467</v>
      </c>
      <c r="F70" s="133"/>
      <c r="G70" s="133"/>
      <c r="H70" s="131"/>
      <c r="I70" s="131"/>
      <c r="J70" s="135" t="e">
        <f>SUMIF([1]Aux!B:B,Macro_Plano_2025_v1!B70,[1]Aux!I:I)+SUMIF([1]Aux!B:B,Macro_Plano_2025_v1!B70,[1]Aux!O:O)</f>
        <v>#VALUE!</v>
      </c>
      <c r="K70" s="109"/>
      <c r="L70" s="119"/>
      <c r="M70" s="119"/>
      <c r="N70" s="119"/>
      <c r="O70" s="119"/>
      <c r="P70" s="162" t="e">
        <f>P60-SUM(P65:P69)</f>
        <v>#VALUE!</v>
      </c>
      <c r="Q70" s="162" t="e">
        <f>(J70/8)-P70</f>
        <v>#VALUE!</v>
      </c>
      <c r="R70" s="119"/>
      <c r="S70" s="119"/>
      <c r="T70" s="119"/>
      <c r="U70" s="157"/>
      <c r="V70" s="119"/>
    </row>
    <row r="71" spans="2:22" ht="16.2" outlineLevel="1" x14ac:dyDescent="0.25">
      <c r="B71" s="122" t="str">
        <f t="shared" si="8"/>
        <v>INSTRUMENT_MNGMNT_PRDCT</v>
      </c>
      <c r="C71" s="130" t="s">
        <v>621</v>
      </c>
      <c r="D71" s="131" t="s">
        <v>460</v>
      </c>
      <c r="E71" s="132" t="s">
        <v>490</v>
      </c>
      <c r="F71" s="133"/>
      <c r="G71" s="133"/>
      <c r="H71" s="131"/>
      <c r="I71" s="131"/>
      <c r="J71" s="135" t="e">
        <f>SUMIF([1]Aux!B:B,Macro_Plano_2025_v1!B71,[1]Aux!I:I)+SUMIF([1]Aux!B:B,Macro_Plano_2025_v1!B71,[1]Aux!O:O)</f>
        <v>#VALUE!</v>
      </c>
      <c r="K71" s="109"/>
      <c r="L71" s="119"/>
      <c r="M71" s="119"/>
      <c r="N71" s="119"/>
      <c r="O71" s="119"/>
      <c r="P71" s="119"/>
      <c r="Q71" s="162" t="e">
        <f>J71/8</f>
        <v>#VALUE!</v>
      </c>
      <c r="R71" s="119"/>
      <c r="S71" s="119"/>
      <c r="T71" s="119"/>
      <c r="U71" s="157"/>
      <c r="V71" s="119"/>
    </row>
    <row r="72" spans="2:22" ht="16.2" outlineLevel="1" x14ac:dyDescent="0.25">
      <c r="B72" s="122" t="str">
        <f t="shared" si="8"/>
        <v>INSTRUMENT_GRSS_CMMSSN_EXPNS</v>
      </c>
      <c r="C72" s="130" t="s">
        <v>622</v>
      </c>
      <c r="D72" s="131" t="s">
        <v>460</v>
      </c>
      <c r="E72" s="132" t="s">
        <v>491</v>
      </c>
      <c r="F72" s="133"/>
      <c r="G72" s="133"/>
      <c r="H72" s="131"/>
      <c r="I72" s="131"/>
      <c r="J72" s="135" t="e">
        <f>SUMIF([1]Aux!B:B,Macro_Plano_2025_v1!B72,[1]Aux!I:I)+SUMIF([1]Aux!B:B,Macro_Plano_2025_v1!B72,[1]Aux!O:O)</f>
        <v>#VALUE!</v>
      </c>
      <c r="K72" s="109"/>
      <c r="L72" s="119"/>
      <c r="M72" s="119"/>
      <c r="N72" s="119"/>
      <c r="O72" s="119"/>
      <c r="P72" s="119"/>
      <c r="Q72" s="162" t="e">
        <f t="shared" ref="Q72:Q75" si="10">J72/8</f>
        <v>#VALUE!</v>
      </c>
      <c r="R72" s="119"/>
      <c r="S72" s="119"/>
      <c r="T72" s="119"/>
      <c r="U72" s="157"/>
      <c r="V72" s="119"/>
    </row>
    <row r="73" spans="2:22" ht="16.2" outlineLevel="1" x14ac:dyDescent="0.25">
      <c r="B73" s="122" t="str">
        <f t="shared" si="8"/>
        <v>INSTRUMENT_GNS_FNNCL_TRNSCTN_EXCHNG_DFFRNCS</v>
      </c>
      <c r="C73" s="130" t="s">
        <v>623</v>
      </c>
      <c r="D73" s="131" t="s">
        <v>460</v>
      </c>
      <c r="E73" s="132" t="s">
        <v>492</v>
      </c>
      <c r="F73" s="133"/>
      <c r="G73" s="133"/>
      <c r="H73" s="131"/>
      <c r="I73" s="131"/>
      <c r="J73" s="135" t="e">
        <f>SUMIF([1]Aux!B:B,Macro_Plano_2025_v1!B73,[1]Aux!I:I)+SUMIF([1]Aux!B:B,Macro_Plano_2025_v1!B73,[1]Aux!O:O)</f>
        <v>#VALUE!</v>
      </c>
      <c r="K73" s="109"/>
      <c r="L73" s="119"/>
      <c r="M73" s="119"/>
      <c r="N73" s="119"/>
      <c r="O73" s="119"/>
      <c r="P73" s="119"/>
      <c r="Q73" s="162" t="e">
        <f t="shared" si="10"/>
        <v>#VALUE!</v>
      </c>
      <c r="R73" s="119"/>
      <c r="S73" s="119"/>
      <c r="T73" s="119"/>
      <c r="U73" s="157"/>
      <c r="V73" s="119"/>
    </row>
    <row r="74" spans="2:22" ht="16.2" outlineLevel="1" x14ac:dyDescent="0.25">
      <c r="B74" s="122" t="str">
        <f t="shared" si="8"/>
        <v>INSTRUMENT_AVRG_BLNC_OFF_BLNC</v>
      </c>
      <c r="C74" s="130" t="s">
        <v>624</v>
      </c>
      <c r="D74" s="131" t="s">
        <v>460</v>
      </c>
      <c r="E74" s="132" t="s">
        <v>496</v>
      </c>
      <c r="F74" s="133"/>
      <c r="G74" s="133"/>
      <c r="H74" s="131"/>
      <c r="I74" s="131"/>
      <c r="J74" s="135" t="e">
        <f>SUMIF([1]Aux!B:B,Macro_Plano_2025_v1!B74,[1]Aux!I:I)+SUMIF([1]Aux!B:B,Macro_Plano_2025_v1!B74,[1]Aux!O:O)</f>
        <v>#VALUE!</v>
      </c>
      <c r="K74" s="109"/>
      <c r="L74" s="119"/>
      <c r="M74" s="119"/>
      <c r="N74" s="119"/>
      <c r="O74" s="119"/>
      <c r="P74" s="119"/>
      <c r="Q74" s="162" t="e">
        <f t="shared" si="10"/>
        <v>#VALUE!</v>
      </c>
      <c r="R74" s="119"/>
      <c r="S74" s="119"/>
      <c r="T74" s="119"/>
      <c r="U74" s="157"/>
      <c r="V74" s="119"/>
    </row>
    <row r="75" spans="2:22" ht="16.2" outlineLevel="1" x14ac:dyDescent="0.25">
      <c r="B75" s="122" t="str">
        <f t="shared" si="8"/>
        <v>INSTRUMENT_GRSS_CMMSSN_INCM_OFF_BLNC</v>
      </c>
      <c r="C75" s="130" t="s">
        <v>625</v>
      </c>
      <c r="D75" s="131" t="s">
        <v>460</v>
      </c>
      <c r="E75" s="132" t="s">
        <v>498</v>
      </c>
      <c r="F75" s="133"/>
      <c r="G75" s="133"/>
      <c r="H75" s="131"/>
      <c r="I75" s="131"/>
      <c r="J75" s="135" t="e">
        <f>SUMIF([1]Aux!B:B,Macro_Plano_2025_v1!B75,[1]Aux!I:I)+SUMIF([1]Aux!B:B,Macro_Plano_2025_v1!B75,[1]Aux!O:O)</f>
        <v>#VALUE!</v>
      </c>
      <c r="K75" s="109"/>
      <c r="L75" s="119"/>
      <c r="M75" s="119"/>
      <c r="N75" s="119"/>
      <c r="O75" s="119"/>
      <c r="P75" s="119"/>
      <c r="Q75" s="162" t="e">
        <f t="shared" si="10"/>
        <v>#VALUE!</v>
      </c>
      <c r="R75" s="119"/>
      <c r="S75" s="119"/>
      <c r="T75" s="119"/>
      <c r="U75" s="157"/>
      <c r="V75" s="119"/>
    </row>
    <row r="76" spans="2:22" ht="16.2" outlineLevel="1" x14ac:dyDescent="0.25">
      <c r="B76" s="122" t="str">
        <f t="shared" si="8"/>
        <v>INSTRUMENT_GRSS_CMMSSN_EXPNS_OFF_BLNC</v>
      </c>
      <c r="C76" s="130" t="s">
        <v>626</v>
      </c>
      <c r="D76" s="131" t="s">
        <v>460</v>
      </c>
      <c r="E76" s="132" t="s">
        <v>499</v>
      </c>
      <c r="F76" s="133"/>
      <c r="G76" s="133"/>
      <c r="H76" s="131"/>
      <c r="I76" s="131"/>
      <c r="J76" s="135" t="e">
        <f>SUMIF([1]Aux!B:B,Macro_Plano_2025_v1!B76,[1]Aux!I:I)+SUMIF([1]Aux!B:B,Macro_Plano_2025_v1!B76,[1]Aux!O:O)</f>
        <v>#VALUE!</v>
      </c>
      <c r="K76" s="109"/>
      <c r="L76" s="119"/>
      <c r="M76" s="119"/>
      <c r="N76" s="119"/>
      <c r="O76" s="119"/>
      <c r="P76" s="119"/>
      <c r="Q76" s="162" t="e">
        <f>Q60-SUM(Q70:Q75)</f>
        <v>#VALUE!</v>
      </c>
      <c r="R76" s="162" t="e">
        <f>(J76/8)-Q76</f>
        <v>#VALUE!</v>
      </c>
      <c r="S76" s="119"/>
      <c r="T76" s="119"/>
      <c r="U76" s="157"/>
      <c r="V76" s="119"/>
    </row>
    <row r="77" spans="2:22" ht="16.2" outlineLevel="1" x14ac:dyDescent="0.25">
      <c r="B77" s="122" t="str">
        <f t="shared" si="8"/>
        <v>INSTRUMENT_GRSS_INTRST_EXPNS</v>
      </c>
      <c r="C77" s="130" t="s">
        <v>627</v>
      </c>
      <c r="D77" s="131" t="s">
        <v>460</v>
      </c>
      <c r="E77" s="132" t="s">
        <v>501</v>
      </c>
      <c r="F77" s="133"/>
      <c r="G77" s="133"/>
      <c r="H77" s="131"/>
      <c r="I77" s="131"/>
      <c r="J77" s="135" t="e">
        <f>SUMIF([1]Aux!B:B,Macro_Plano_2025_v1!B77,[1]Aux!I:I)+SUMIF([1]Aux!B:B,Macro_Plano_2025_v1!B77,[1]Aux!O:O)</f>
        <v>#VALUE!</v>
      </c>
      <c r="K77" s="109"/>
      <c r="L77" s="119"/>
      <c r="M77" s="119"/>
      <c r="N77" s="119"/>
      <c r="O77" s="119"/>
      <c r="P77" s="119"/>
      <c r="Q77" s="119"/>
      <c r="R77" s="162" t="e">
        <f>J77/8</f>
        <v>#VALUE!</v>
      </c>
      <c r="S77" s="119"/>
      <c r="T77" s="119"/>
      <c r="U77" s="157"/>
      <c r="V77" s="119"/>
    </row>
    <row r="78" spans="2:22" ht="16.2" outlineLevel="1" x14ac:dyDescent="0.25">
      <c r="B78" s="122" t="str">
        <f t="shared" si="8"/>
        <v>INSTRUMENT_NT_LN_LSS_PRVSN_OFF_BLNC</v>
      </c>
      <c r="C78" s="130" t="s">
        <v>628</v>
      </c>
      <c r="D78" s="131" t="s">
        <v>460</v>
      </c>
      <c r="E78" s="132" t="s">
        <v>502</v>
      </c>
      <c r="F78" s="133"/>
      <c r="G78" s="133"/>
      <c r="H78" s="131"/>
      <c r="I78" s="131"/>
      <c r="J78" s="135" t="e">
        <f>SUMIF([1]Aux!B:B,Macro_Plano_2025_v1!B78,[1]Aux!I:I)+SUMIF([1]Aux!B:B,Macro_Plano_2025_v1!B78,[1]Aux!O:O)</f>
        <v>#VALUE!</v>
      </c>
      <c r="K78" s="109"/>
      <c r="L78" s="119"/>
      <c r="M78" s="119"/>
      <c r="N78" s="119"/>
      <c r="O78" s="119"/>
      <c r="P78" s="119"/>
      <c r="Q78" s="119"/>
      <c r="R78" s="162" t="e">
        <f t="shared" ref="R78:R86" si="11">J78/8</f>
        <v>#VALUE!</v>
      </c>
      <c r="S78" s="119"/>
      <c r="T78" s="119"/>
      <c r="U78" s="157"/>
      <c r="V78" s="119"/>
    </row>
    <row r="79" spans="2:22" ht="16.2" outlineLevel="1" x14ac:dyDescent="0.25">
      <c r="B79" s="122" t="str">
        <f t="shared" si="8"/>
        <v>INSTRUMENT_GRSS_INTRST_INCM_CCRR</v>
      </c>
      <c r="C79" s="130" t="s">
        <v>629</v>
      </c>
      <c r="D79" s="131" t="s">
        <v>460</v>
      </c>
      <c r="E79" s="132" t="s">
        <v>503</v>
      </c>
      <c r="F79" s="133"/>
      <c r="G79" s="133"/>
      <c r="H79" s="131"/>
      <c r="I79" s="131"/>
      <c r="J79" s="135" t="e">
        <f>SUMIF([1]Aux!B:B,Macro_Plano_2025_v1!B79,[1]Aux!I:I)+SUMIF([1]Aux!B:B,Macro_Plano_2025_v1!B79,[1]Aux!O:O)</f>
        <v>#VALUE!</v>
      </c>
      <c r="K79" s="109"/>
      <c r="L79" s="119"/>
      <c r="M79" s="119"/>
      <c r="N79" s="119"/>
      <c r="O79" s="119"/>
      <c r="P79" s="119"/>
      <c r="Q79" s="119"/>
      <c r="R79" s="162" t="e">
        <f t="shared" si="11"/>
        <v>#VALUE!</v>
      </c>
      <c r="S79" s="119"/>
      <c r="T79" s="119"/>
      <c r="U79" s="157"/>
      <c r="V79" s="119"/>
    </row>
    <row r="80" spans="2:22" ht="16.2" outlineLevel="1" x14ac:dyDescent="0.25">
      <c r="B80" s="122" t="str">
        <f t="shared" si="8"/>
        <v>INSTRUMENT_GRSS_INTRST_EXPNS_CCRR</v>
      </c>
      <c r="C80" s="130" t="s">
        <v>630</v>
      </c>
      <c r="D80" s="131" t="s">
        <v>460</v>
      </c>
      <c r="E80" s="132" t="s">
        <v>504</v>
      </c>
      <c r="F80" s="133"/>
      <c r="G80" s="133"/>
      <c r="H80" s="131"/>
      <c r="I80" s="131"/>
      <c r="J80" s="135" t="e">
        <f>SUMIF([1]Aux!B:B,Macro_Plano_2025_v1!B80,[1]Aux!I:I)+SUMIF([1]Aux!B:B,Macro_Plano_2025_v1!B80,[1]Aux!O:O)</f>
        <v>#VALUE!</v>
      </c>
      <c r="K80" s="109"/>
      <c r="L80" s="119"/>
      <c r="M80" s="119"/>
      <c r="N80" s="119"/>
      <c r="O80" s="119"/>
      <c r="P80" s="119"/>
      <c r="Q80" s="119"/>
      <c r="R80" s="162" t="e">
        <f t="shared" si="11"/>
        <v>#VALUE!</v>
      </c>
      <c r="S80" s="119"/>
      <c r="T80" s="119"/>
      <c r="U80" s="157"/>
      <c r="V80" s="119"/>
    </row>
    <row r="81" spans="2:22" ht="16.2" outlineLevel="1" x14ac:dyDescent="0.25">
      <c r="B81" s="122" t="str">
        <f t="shared" si="8"/>
        <v>INSTRUMENT_GRSS_CMMSSN_INCM_CCRR</v>
      </c>
      <c r="C81" s="130" t="s">
        <v>631</v>
      </c>
      <c r="D81" s="131" t="s">
        <v>460</v>
      </c>
      <c r="E81" s="132" t="s">
        <v>505</v>
      </c>
      <c r="F81" s="133"/>
      <c r="G81" s="133"/>
      <c r="H81" s="131"/>
      <c r="I81" s="131"/>
      <c r="J81" s="135" t="e">
        <f>SUMIF([1]Aux!B:B,Macro_Plano_2025_v1!B81,[1]Aux!I:I)+SUMIF([1]Aux!B:B,Macro_Plano_2025_v1!B81,[1]Aux!O:O)</f>
        <v>#VALUE!</v>
      </c>
      <c r="K81" s="109"/>
      <c r="L81" s="119"/>
      <c r="M81" s="119"/>
      <c r="N81" s="119"/>
      <c r="O81" s="119"/>
      <c r="P81" s="119"/>
      <c r="Q81" s="119"/>
      <c r="R81" s="162" t="e">
        <f t="shared" si="11"/>
        <v>#VALUE!</v>
      </c>
      <c r="S81" s="119"/>
      <c r="T81" s="119"/>
      <c r="U81" s="157"/>
      <c r="V81" s="119"/>
    </row>
    <row r="82" spans="2:22" ht="16.2" outlineLevel="1" x14ac:dyDescent="0.25">
      <c r="B82" s="122" t="str">
        <f t="shared" si="8"/>
        <v>INSTRUMENT_GRSS_CMMSSN_EXPNS_CCRR</v>
      </c>
      <c r="C82" s="130" t="s">
        <v>632</v>
      </c>
      <c r="D82" s="131" t="s">
        <v>460</v>
      </c>
      <c r="E82" s="132" t="s">
        <v>506</v>
      </c>
      <c r="F82" s="133"/>
      <c r="G82" s="133"/>
      <c r="H82" s="131"/>
      <c r="I82" s="131"/>
      <c r="J82" s="135" t="e">
        <f>SUMIF([1]Aux!B:B,Macro_Plano_2025_v1!B82,[1]Aux!I:I)+SUMIF([1]Aux!B:B,Macro_Plano_2025_v1!B82,[1]Aux!O:O)</f>
        <v>#VALUE!</v>
      </c>
      <c r="K82" s="109"/>
      <c r="L82" s="119"/>
      <c r="M82" s="119"/>
      <c r="N82" s="119"/>
      <c r="O82" s="119"/>
      <c r="P82" s="119"/>
      <c r="Q82" s="119"/>
      <c r="R82" s="162" t="e">
        <f t="shared" si="11"/>
        <v>#VALUE!</v>
      </c>
      <c r="S82" s="119"/>
      <c r="T82" s="119"/>
      <c r="U82" s="157"/>
      <c r="V82" s="119"/>
    </row>
    <row r="83" spans="2:22" ht="16.2" outlineLevel="1" x14ac:dyDescent="0.25">
      <c r="B83" s="122" t="str">
        <f t="shared" si="8"/>
        <v>INSTRUMENT_GNS_FNNCL_TRNSCTN_EXCHNG_CCRR</v>
      </c>
      <c r="C83" s="130" t="s">
        <v>633</v>
      </c>
      <c r="D83" s="131" t="s">
        <v>460</v>
      </c>
      <c r="E83" s="132" t="s">
        <v>507</v>
      </c>
      <c r="F83" s="133"/>
      <c r="G83" s="133"/>
      <c r="H83" s="131"/>
      <c r="I83" s="131"/>
      <c r="J83" s="135" t="e">
        <f>SUMIF([1]Aux!B:B,Macro_Plano_2025_v1!B83,[1]Aux!I:I)+SUMIF([1]Aux!B:B,Macro_Plano_2025_v1!B83,[1]Aux!O:O)</f>
        <v>#VALUE!</v>
      </c>
      <c r="K83" s="109"/>
      <c r="L83" s="119"/>
      <c r="M83" s="119"/>
      <c r="N83" s="119"/>
      <c r="O83" s="119"/>
      <c r="P83" s="119"/>
      <c r="Q83" s="119"/>
      <c r="R83" s="162" t="e">
        <f t="shared" si="11"/>
        <v>#VALUE!</v>
      </c>
      <c r="S83" s="119"/>
      <c r="T83" s="119"/>
      <c r="U83" s="157"/>
      <c r="V83" s="119"/>
    </row>
    <row r="84" spans="2:22" ht="16.2" outlineLevel="1" x14ac:dyDescent="0.25">
      <c r="B84" s="122" t="str">
        <f t="shared" si="8"/>
        <v>INSTRUMENT_BSNSS_AREA_CCRR</v>
      </c>
      <c r="C84" s="130" t="s">
        <v>634</v>
      </c>
      <c r="D84" s="131" t="s">
        <v>460</v>
      </c>
      <c r="E84" s="132" t="s">
        <v>469</v>
      </c>
      <c r="F84" s="133"/>
      <c r="G84" s="133"/>
      <c r="H84" s="131"/>
      <c r="I84" s="131"/>
      <c r="J84" s="135" t="e">
        <f>SUMIF([1]Aux!B:B,Macro_Plano_2025_v1!B84,[1]Aux!I:I)+SUMIF([1]Aux!B:B,Macro_Plano_2025_v1!B84,[1]Aux!O:O)</f>
        <v>#VALUE!</v>
      </c>
      <c r="K84" s="109"/>
      <c r="L84" s="119"/>
      <c r="M84" s="119"/>
      <c r="N84" s="119"/>
      <c r="O84" s="119"/>
      <c r="P84" s="119"/>
      <c r="Q84" s="119"/>
      <c r="R84" s="162" t="e">
        <f t="shared" si="11"/>
        <v>#VALUE!</v>
      </c>
      <c r="S84" s="119"/>
      <c r="T84" s="119"/>
      <c r="U84" s="157"/>
      <c r="V84" s="119"/>
    </row>
    <row r="85" spans="2:22" ht="16.2" outlineLevel="1" x14ac:dyDescent="0.25">
      <c r="B85" s="122" t="str">
        <f t="shared" si="8"/>
        <v>INSTRUMENT_GRSS_CMMSSN_INCM_OFF_BLNC_CCRR</v>
      </c>
      <c r="C85" s="130" t="s">
        <v>635</v>
      </c>
      <c r="D85" s="131" t="s">
        <v>460</v>
      </c>
      <c r="E85" s="132" t="s">
        <v>508</v>
      </c>
      <c r="F85" s="133"/>
      <c r="G85" s="133"/>
      <c r="H85" s="131"/>
      <c r="I85" s="131"/>
      <c r="J85" s="135" t="e">
        <f>SUMIF([1]Aux!B:B,Macro_Plano_2025_v1!B85,[1]Aux!I:I)+SUMIF([1]Aux!B:B,Macro_Plano_2025_v1!B85,[1]Aux!O:O)</f>
        <v>#VALUE!</v>
      </c>
      <c r="K85" s="109"/>
      <c r="L85" s="119"/>
      <c r="M85" s="119"/>
      <c r="N85" s="119"/>
      <c r="O85" s="119"/>
      <c r="P85" s="119"/>
      <c r="Q85" s="119"/>
      <c r="R85" s="162" t="e">
        <f t="shared" si="11"/>
        <v>#VALUE!</v>
      </c>
      <c r="S85" s="119"/>
      <c r="T85" s="119"/>
      <c r="U85" s="157"/>
      <c r="V85" s="119"/>
    </row>
    <row r="86" spans="2:22" ht="16.2" outlineLevel="1" x14ac:dyDescent="0.25">
      <c r="B86" s="122" t="str">
        <f t="shared" si="8"/>
        <v>INSTRUMENT_GRSS_CMMSSN_EXPNS_OFF_BLNC_CCRR</v>
      </c>
      <c r="C86" s="130" t="s">
        <v>636</v>
      </c>
      <c r="D86" s="131" t="s">
        <v>460</v>
      </c>
      <c r="E86" s="132" t="s">
        <v>509</v>
      </c>
      <c r="F86" s="133"/>
      <c r="G86" s="133"/>
      <c r="H86" s="131"/>
      <c r="I86" s="131"/>
      <c r="J86" s="135" t="e">
        <f>SUMIF([1]Aux!B:B,Macro_Plano_2025_v1!B86,[1]Aux!I:I)+SUMIF([1]Aux!B:B,Macro_Plano_2025_v1!B86,[1]Aux!O:O)</f>
        <v>#VALUE!</v>
      </c>
      <c r="K86" s="109"/>
      <c r="L86" s="119"/>
      <c r="M86" s="119"/>
      <c r="N86" s="119"/>
      <c r="O86" s="119"/>
      <c r="P86" s="119"/>
      <c r="Q86" s="119"/>
      <c r="R86" s="162" t="e">
        <f t="shared" si="11"/>
        <v>#VALUE!</v>
      </c>
      <c r="S86" s="119"/>
      <c r="T86" s="119"/>
      <c r="U86" s="157"/>
      <c r="V86" s="119"/>
    </row>
    <row r="87" spans="2:22" ht="16.2" outlineLevel="1" x14ac:dyDescent="0.25">
      <c r="B87" s="122" t="str">
        <f t="shared" si="8"/>
        <v>INSTRUMENT_CNCLLD_INSTRMNT_STTS</v>
      </c>
      <c r="C87" s="123" t="s">
        <v>637</v>
      </c>
      <c r="D87" s="124" t="s">
        <v>460</v>
      </c>
      <c r="E87" s="125" t="s">
        <v>470</v>
      </c>
      <c r="F87" s="126"/>
      <c r="G87" s="126"/>
      <c r="H87" s="124"/>
      <c r="I87" s="124"/>
      <c r="J87" s="128" t="e">
        <f>SUMIF([1]Aux!B:B,Macro_Plano_2025_v1!B87,[1]Aux!I:I)+SUMIF([1]Aux!B:B,Macro_Plano_2025_v1!B87,[1]Aux!O:O)</f>
        <v>#VALUE!</v>
      </c>
      <c r="K87" s="109"/>
      <c r="L87" s="119"/>
      <c r="M87" s="119"/>
      <c r="N87" s="119"/>
      <c r="O87" s="119"/>
      <c r="P87" s="119"/>
      <c r="Q87" s="119"/>
      <c r="R87" s="119"/>
      <c r="S87" s="162" t="e">
        <f>J87/8</f>
        <v>#VALUE!</v>
      </c>
      <c r="T87" s="119"/>
      <c r="U87" s="157"/>
      <c r="V87" s="119"/>
    </row>
    <row r="88" spans="2:22" ht="16.2" outlineLevel="1" x14ac:dyDescent="0.25">
      <c r="B88" s="122" t="str">
        <f t="shared" si="8"/>
        <v>INSTRUMENT_TYP_OFF_BLNC_PRDCT</v>
      </c>
      <c r="C88" s="130" t="s">
        <v>638</v>
      </c>
      <c r="D88" s="131" t="s">
        <v>460</v>
      </c>
      <c r="E88" s="132" t="s">
        <v>526</v>
      </c>
      <c r="F88" s="133"/>
      <c r="G88" s="133"/>
      <c r="H88" s="131"/>
      <c r="I88" s="131"/>
      <c r="J88" s="135" t="e">
        <f>SUMIF([1]Aux!B:B,Macro_Plano_2025_v1!B88,[1]Aux!I:I)+SUMIF([1]Aux!B:B,Macro_Plano_2025_v1!B88,[1]Aux!O:O)</f>
        <v>#VALUE!</v>
      </c>
      <c r="K88" s="109"/>
      <c r="L88" s="119"/>
      <c r="M88" s="119"/>
      <c r="N88" s="119"/>
      <c r="O88" s="119"/>
      <c r="P88" s="119"/>
      <c r="Q88" s="119"/>
      <c r="R88" s="119"/>
      <c r="S88" s="162" t="e">
        <f t="shared" ref="S88:S102" si="12">J88/8</f>
        <v>#VALUE!</v>
      </c>
      <c r="T88" s="119"/>
      <c r="U88" s="157"/>
      <c r="V88" s="119"/>
    </row>
    <row r="89" spans="2:22" ht="16.2" outlineLevel="1" x14ac:dyDescent="0.25">
      <c r="B89" s="122" t="str">
        <f t="shared" si="8"/>
        <v>INSTR_PROTECTION_COD_SOC</v>
      </c>
      <c r="C89" s="130" t="s">
        <v>639</v>
      </c>
      <c r="D89" s="131" t="s">
        <v>473</v>
      </c>
      <c r="E89" s="132" t="s">
        <v>457</v>
      </c>
      <c r="F89" s="133"/>
      <c r="G89" s="133"/>
      <c r="H89" s="131"/>
      <c r="I89" s="131"/>
      <c r="J89" s="135" t="e">
        <f>SUMIF([1]Aux!B:B,Macro_Plano_2025_v1!B89,[1]Aux!I:I)+SUMIF([1]Aux!B:B,Macro_Plano_2025_v1!B89,[1]Aux!O:O)</f>
        <v>#VALUE!</v>
      </c>
      <c r="K89" s="109"/>
      <c r="L89" s="119"/>
      <c r="M89" s="119"/>
      <c r="N89" s="119"/>
      <c r="O89" s="119"/>
      <c r="P89" s="119"/>
      <c r="Q89" s="119"/>
      <c r="R89" s="119"/>
      <c r="S89" s="162" t="e">
        <f t="shared" si="12"/>
        <v>#VALUE!</v>
      </c>
      <c r="T89" s="119"/>
      <c r="U89" s="157"/>
      <c r="V89" s="119"/>
    </row>
    <row r="90" spans="2:22" ht="16.2" outlineLevel="1" x14ac:dyDescent="0.25">
      <c r="B90" s="122" t="str">
        <f t="shared" si="8"/>
        <v>INSTR_PROTECTION_DT_RFRNC</v>
      </c>
      <c r="C90" s="130" t="s">
        <v>640</v>
      </c>
      <c r="D90" s="131" t="s">
        <v>473</v>
      </c>
      <c r="E90" s="132" t="s">
        <v>458</v>
      </c>
      <c r="F90" s="133"/>
      <c r="G90" s="133"/>
      <c r="H90" s="131"/>
      <c r="I90" s="131"/>
      <c r="J90" s="135" t="e">
        <f>SUMIF([1]Aux!B:B,Macro_Plano_2025_v1!B90,[1]Aux!I:I)+SUMIF([1]Aux!B:B,Macro_Plano_2025_v1!B90,[1]Aux!O:O)</f>
        <v>#VALUE!</v>
      </c>
      <c r="K90" s="109"/>
      <c r="L90" s="119"/>
      <c r="M90" s="119"/>
      <c r="N90" s="119"/>
      <c r="O90" s="119"/>
      <c r="P90" s="119"/>
      <c r="Q90" s="119"/>
      <c r="R90" s="119"/>
      <c r="S90" s="162" t="e">
        <f t="shared" si="12"/>
        <v>#VALUE!</v>
      </c>
      <c r="T90" s="119"/>
      <c r="U90" s="157"/>
      <c r="V90" s="119"/>
    </row>
    <row r="91" spans="2:22" ht="16.2" outlineLevel="1" x14ac:dyDescent="0.25">
      <c r="B91" s="122" t="str">
        <f t="shared" si="8"/>
        <v>INSTR_PROTECTION_INSTRMNT_ID</v>
      </c>
      <c r="C91" s="130" t="s">
        <v>641</v>
      </c>
      <c r="D91" s="131" t="s">
        <v>473</v>
      </c>
      <c r="E91" s="132" t="s">
        <v>459</v>
      </c>
      <c r="F91" s="133"/>
      <c r="G91" s="133"/>
      <c r="H91" s="131"/>
      <c r="I91" s="131"/>
      <c r="J91" s="135" t="e">
        <f>SUMIF([1]Aux!B:B,Macro_Plano_2025_v1!B91,[1]Aux!I:I)+SUMIF([1]Aux!B:B,Macro_Plano_2025_v1!B91,[1]Aux!O:O)</f>
        <v>#VALUE!</v>
      </c>
      <c r="K91" s="109"/>
      <c r="L91" s="119"/>
      <c r="M91" s="119"/>
      <c r="N91" s="119"/>
      <c r="O91" s="119"/>
      <c r="P91" s="119"/>
      <c r="Q91" s="119"/>
      <c r="R91" s="119"/>
      <c r="S91" s="162" t="e">
        <f t="shared" si="12"/>
        <v>#VALUE!</v>
      </c>
      <c r="T91" s="119"/>
      <c r="U91" s="157"/>
      <c r="V91" s="119"/>
    </row>
    <row r="92" spans="2:22" ht="16.2" outlineLevel="1" x14ac:dyDescent="0.25">
      <c r="B92" s="122" t="str">
        <f t="shared" si="8"/>
        <v>INSTR_PROTECTION_PRTCTN_ID</v>
      </c>
      <c r="C92" s="130" t="s">
        <v>642</v>
      </c>
      <c r="D92" s="131" t="s">
        <v>473</v>
      </c>
      <c r="E92" s="132" t="s">
        <v>527</v>
      </c>
      <c r="F92" s="133"/>
      <c r="G92" s="133"/>
      <c r="H92" s="131"/>
      <c r="I92" s="131"/>
      <c r="J92" s="135" t="e">
        <f>SUMIF([1]Aux!B:B,Macro_Plano_2025_v1!B92,[1]Aux!I:I)+SUMIF([1]Aux!B:B,Macro_Plano_2025_v1!B92,[1]Aux!O:O)</f>
        <v>#VALUE!</v>
      </c>
      <c r="K92" s="109"/>
      <c r="L92" s="119"/>
      <c r="M92" s="119"/>
      <c r="N92" s="119"/>
      <c r="O92" s="119"/>
      <c r="P92" s="119"/>
      <c r="Q92" s="119"/>
      <c r="R92" s="119"/>
      <c r="S92" s="162" t="e">
        <f t="shared" si="12"/>
        <v>#VALUE!</v>
      </c>
      <c r="T92" s="119"/>
      <c r="U92" s="157"/>
      <c r="V92" s="119"/>
    </row>
    <row r="93" spans="2:22" ht="16.2" outlineLevel="1" x14ac:dyDescent="0.25">
      <c r="B93" s="122" t="str">
        <f t="shared" si="8"/>
        <v>INSTR_PROTECTION_TYP_RLTN</v>
      </c>
      <c r="C93" s="130" t="s">
        <v>643</v>
      </c>
      <c r="D93" s="131" t="s">
        <v>473</v>
      </c>
      <c r="E93" s="132" t="s">
        <v>531</v>
      </c>
      <c r="F93" s="133"/>
      <c r="G93" s="133"/>
      <c r="H93" s="131"/>
      <c r="I93" s="131"/>
      <c r="J93" s="135" t="e">
        <f>SUMIF([1]Aux!B:B,Macro_Plano_2025_v1!B93,[1]Aux!I:I)+SUMIF([1]Aux!B:B,Macro_Plano_2025_v1!B93,[1]Aux!O:O)</f>
        <v>#VALUE!</v>
      </c>
      <c r="K93" s="109"/>
      <c r="L93" s="119"/>
      <c r="M93" s="119"/>
      <c r="N93" s="119"/>
      <c r="O93" s="119"/>
      <c r="P93" s="119"/>
      <c r="Q93" s="119"/>
      <c r="R93" s="119"/>
      <c r="S93" s="162" t="e">
        <f t="shared" si="12"/>
        <v>#VALUE!</v>
      </c>
      <c r="T93" s="119"/>
      <c r="U93" s="157"/>
      <c r="V93" s="119"/>
    </row>
    <row r="94" spans="2:22" ht="16.2" outlineLevel="1" x14ac:dyDescent="0.25">
      <c r="B94" s="122" t="str">
        <f t="shared" si="8"/>
        <v>PROTECTION_COD_SOC</v>
      </c>
      <c r="C94" s="130" t="s">
        <v>644</v>
      </c>
      <c r="D94" s="131" t="s">
        <v>510</v>
      </c>
      <c r="E94" s="132" t="s">
        <v>457</v>
      </c>
      <c r="F94" s="133"/>
      <c r="G94" s="133"/>
      <c r="H94" s="131"/>
      <c r="I94" s="131"/>
      <c r="J94" s="135" t="e">
        <f>SUMIF([1]Aux!B:B,Macro_Plano_2025_v1!B94,[1]Aux!I:I)+SUMIF([1]Aux!B:B,Macro_Plano_2025_v1!B94,[1]Aux!O:O)</f>
        <v>#VALUE!</v>
      </c>
      <c r="K94" s="109"/>
      <c r="L94" s="119"/>
      <c r="M94" s="119"/>
      <c r="N94" s="119"/>
      <c r="O94" s="119"/>
      <c r="P94" s="119"/>
      <c r="Q94" s="119"/>
      <c r="R94" s="119"/>
      <c r="S94" s="162" t="e">
        <f t="shared" si="12"/>
        <v>#VALUE!</v>
      </c>
      <c r="T94" s="119"/>
      <c r="U94" s="157"/>
      <c r="V94" s="119"/>
    </row>
    <row r="95" spans="2:22" ht="16.2" outlineLevel="1" x14ac:dyDescent="0.25">
      <c r="B95" s="122" t="str">
        <f t="shared" si="8"/>
        <v>PROTECTION_DT_RFRNC</v>
      </c>
      <c r="C95" s="130" t="s">
        <v>645</v>
      </c>
      <c r="D95" s="131" t="s">
        <v>510</v>
      </c>
      <c r="E95" s="132" t="s">
        <v>458</v>
      </c>
      <c r="F95" s="133"/>
      <c r="G95" s="133"/>
      <c r="H95" s="131"/>
      <c r="I95" s="131"/>
      <c r="J95" s="135" t="e">
        <f>SUMIF([1]Aux!B:B,Macro_Plano_2025_v1!B95,[1]Aux!I:I)+SUMIF([1]Aux!B:B,Macro_Plano_2025_v1!B95,[1]Aux!O:O)</f>
        <v>#VALUE!</v>
      </c>
      <c r="K95" s="109"/>
      <c r="L95" s="119"/>
      <c r="M95" s="119"/>
      <c r="N95" s="119"/>
      <c r="O95" s="119"/>
      <c r="P95" s="119"/>
      <c r="Q95" s="119"/>
      <c r="R95" s="119"/>
      <c r="S95" s="162" t="e">
        <f t="shared" si="12"/>
        <v>#VALUE!</v>
      </c>
      <c r="T95" s="119"/>
      <c r="U95" s="157"/>
      <c r="V95" s="119"/>
    </row>
    <row r="96" spans="2:22" ht="16.2" outlineLevel="1" x14ac:dyDescent="0.25">
      <c r="B96" s="122" t="str">
        <f t="shared" si="8"/>
        <v>PROTECTION_PRTCTN_ID</v>
      </c>
      <c r="C96" s="130" t="s">
        <v>646</v>
      </c>
      <c r="D96" s="131" t="s">
        <v>510</v>
      </c>
      <c r="E96" s="132" t="s">
        <v>527</v>
      </c>
      <c r="F96" s="133"/>
      <c r="G96" s="133"/>
      <c r="H96" s="131"/>
      <c r="I96" s="131"/>
      <c r="J96" s="135" t="e">
        <f>SUMIF([1]Aux!B:B,Macro_Plano_2025_v1!B96,[1]Aux!I:I)+SUMIF([1]Aux!B:B,Macro_Plano_2025_v1!B96,[1]Aux!O:O)</f>
        <v>#VALUE!</v>
      </c>
      <c r="K96" s="109"/>
      <c r="L96" s="119"/>
      <c r="M96" s="119"/>
      <c r="N96" s="119"/>
      <c r="O96" s="119"/>
      <c r="P96" s="119"/>
      <c r="Q96" s="119"/>
      <c r="R96" s="119"/>
      <c r="S96" s="162" t="e">
        <f>J96/8</f>
        <v>#VALUE!</v>
      </c>
      <c r="T96" s="119"/>
      <c r="U96" s="157"/>
      <c r="V96" s="119"/>
    </row>
    <row r="97" spans="2:22" ht="16.2" outlineLevel="1" x14ac:dyDescent="0.25">
      <c r="B97" s="122" t="str">
        <f t="shared" si="8"/>
        <v>PROTECTION_TYP_PRTCTN</v>
      </c>
      <c r="C97" s="130" t="s">
        <v>647</v>
      </c>
      <c r="D97" s="131" t="s">
        <v>510</v>
      </c>
      <c r="E97" s="132" t="s">
        <v>528</v>
      </c>
      <c r="F97" s="133"/>
      <c r="G97" s="133"/>
      <c r="H97" s="131"/>
      <c r="I97" s="131"/>
      <c r="J97" s="135" t="e">
        <f>SUMIF([1]Aux!B:B,Macro_Plano_2025_v1!B97,[1]Aux!I:I)+SUMIF([1]Aux!B:B,Macro_Plano_2025_v1!B97,[1]Aux!O:O)</f>
        <v>#VALUE!</v>
      </c>
      <c r="K97" s="109"/>
      <c r="L97" s="119"/>
      <c r="M97" s="119"/>
      <c r="N97" s="119"/>
      <c r="O97" s="119"/>
      <c r="P97" s="119"/>
      <c r="Q97" s="119"/>
      <c r="R97" s="119"/>
      <c r="S97" s="162" t="e">
        <f t="shared" si="12"/>
        <v>#VALUE!</v>
      </c>
      <c r="T97" s="119"/>
      <c r="U97" s="157"/>
      <c r="V97" s="119"/>
    </row>
    <row r="98" spans="2:22" ht="16.2" outlineLevel="1" x14ac:dyDescent="0.25">
      <c r="B98" s="122" t="str">
        <f t="shared" si="8"/>
        <v>PROTECTION_PRTCTN_VL</v>
      </c>
      <c r="C98" s="130" t="s">
        <v>648</v>
      </c>
      <c r="D98" s="131" t="s">
        <v>510</v>
      </c>
      <c r="E98" s="132" t="s">
        <v>529</v>
      </c>
      <c r="F98" s="133"/>
      <c r="G98" s="133"/>
      <c r="H98" s="131"/>
      <c r="I98" s="131"/>
      <c r="J98" s="135" t="e">
        <f>SUMIF([1]Aux!B:B,Macro_Plano_2025_v1!B98,[1]Aux!I:I)+SUMIF([1]Aux!B:B,Macro_Plano_2025_v1!B98,[1]Aux!O:O)</f>
        <v>#VALUE!</v>
      </c>
      <c r="K98" s="109"/>
      <c r="L98" s="119"/>
      <c r="M98" s="119"/>
      <c r="N98" s="119"/>
      <c r="O98" s="119"/>
      <c r="P98" s="119"/>
      <c r="Q98" s="119"/>
      <c r="R98" s="119"/>
      <c r="S98" s="162" t="e">
        <f t="shared" si="12"/>
        <v>#VALUE!</v>
      </c>
      <c r="T98" s="119"/>
      <c r="U98" s="157"/>
      <c r="V98" s="119"/>
    </row>
    <row r="99" spans="2:22" ht="16.2" outlineLevel="1" x14ac:dyDescent="0.25">
      <c r="B99" s="122" t="str">
        <f t="shared" si="8"/>
        <v>PROTECTION_FLG_ELCTRC_VHCL</v>
      </c>
      <c r="C99" s="130" t="s">
        <v>649</v>
      </c>
      <c r="D99" s="131" t="s">
        <v>510</v>
      </c>
      <c r="E99" s="132" t="s">
        <v>532</v>
      </c>
      <c r="F99" s="133"/>
      <c r="G99" s="133"/>
      <c r="H99" s="131"/>
      <c r="I99" s="131"/>
      <c r="J99" s="135" t="e">
        <f>SUMIF([1]Aux!B:B,Macro_Plano_2025_v1!B99,[1]Aux!I:I)+SUMIF([1]Aux!B:B,Macro_Plano_2025_v1!B99,[1]Aux!O:O)</f>
        <v>#VALUE!</v>
      </c>
      <c r="K99" s="109"/>
      <c r="L99" s="119"/>
      <c r="M99" s="119"/>
      <c r="N99" s="119"/>
      <c r="O99" s="119"/>
      <c r="P99" s="119"/>
      <c r="Q99" s="119"/>
      <c r="R99" s="119"/>
      <c r="S99" s="162" t="e">
        <f t="shared" si="12"/>
        <v>#VALUE!</v>
      </c>
      <c r="T99" s="119"/>
      <c r="U99" s="157"/>
      <c r="V99" s="119"/>
    </row>
    <row r="100" spans="2:22" ht="16.2" outlineLevel="1" x14ac:dyDescent="0.25">
      <c r="B100" s="122" t="str">
        <f t="shared" si="8"/>
        <v>INSTR_ACTIVITY_COD_SOC</v>
      </c>
      <c r="C100" s="130" t="s">
        <v>650</v>
      </c>
      <c r="D100" s="131" t="s">
        <v>604</v>
      </c>
      <c r="E100" s="132" t="s">
        <v>457</v>
      </c>
      <c r="F100" s="133"/>
      <c r="G100" s="133"/>
      <c r="H100" s="131"/>
      <c r="I100" s="131"/>
      <c r="J100" s="135" t="e">
        <f>SUMIF([1]Aux!B:B,Macro_Plano_2025_v1!B100,[1]Aux!I:I)+SUMIF([1]Aux!B:B,Macro_Plano_2025_v1!B100,[1]Aux!O:O)</f>
        <v>#VALUE!</v>
      </c>
      <c r="K100" s="109"/>
      <c r="L100" s="119"/>
      <c r="M100" s="119"/>
      <c r="N100" s="119"/>
      <c r="O100" s="119"/>
      <c r="P100" s="119"/>
      <c r="Q100" s="119"/>
      <c r="R100" s="119"/>
      <c r="S100" s="162" t="e">
        <f t="shared" si="12"/>
        <v>#VALUE!</v>
      </c>
      <c r="T100" s="119"/>
      <c r="U100" s="157"/>
      <c r="V100" s="119"/>
    </row>
    <row r="101" spans="2:22" ht="16.2" outlineLevel="1" x14ac:dyDescent="0.25">
      <c r="B101" s="122" t="str">
        <f t="shared" si="8"/>
        <v>INSTR_ACTIVITY_DT_RFRNC</v>
      </c>
      <c r="C101" s="164" t="s">
        <v>651</v>
      </c>
      <c r="D101" s="165" t="s">
        <v>604</v>
      </c>
      <c r="E101" s="166" t="s">
        <v>458</v>
      </c>
      <c r="F101" s="108"/>
      <c r="G101" s="108"/>
      <c r="H101" s="165"/>
      <c r="I101" s="165"/>
      <c r="J101" s="105" t="e">
        <f>SUMIF([1]Aux!B:B,Macro_Plano_2025_v1!B101,[1]Aux!I:I)+SUMIF([1]Aux!B:B,Macro_Plano_2025_v1!B101,[1]Aux!O:O)</f>
        <v>#VALUE!</v>
      </c>
      <c r="K101" s="109"/>
      <c r="L101" s="119"/>
      <c r="M101" s="119"/>
      <c r="N101" s="119"/>
      <c r="O101" s="119"/>
      <c r="P101" s="119"/>
      <c r="Q101" s="119"/>
      <c r="R101" s="119"/>
      <c r="S101" s="162" t="e">
        <f>J101/8</f>
        <v>#VALUE!</v>
      </c>
      <c r="T101" s="119"/>
      <c r="U101" s="157"/>
      <c r="V101" s="119"/>
    </row>
    <row r="102" spans="2:22" ht="16.2" outlineLevel="1" x14ac:dyDescent="0.25">
      <c r="B102" s="122" t="str">
        <f t="shared" si="8"/>
        <v>INSTR_ACTIVITY_INSTRMNT_ID</v>
      </c>
      <c r="C102" s="123" t="s">
        <v>652</v>
      </c>
      <c r="D102" s="124" t="s">
        <v>604</v>
      </c>
      <c r="E102" s="125" t="s">
        <v>459</v>
      </c>
      <c r="F102" s="126"/>
      <c r="G102" s="126"/>
      <c r="H102" s="124"/>
      <c r="I102" s="124"/>
      <c r="J102" s="128" t="e">
        <f>SUMIF([1]Aux!B:B,Macro_Plano_2025_v1!B102,[1]Aux!I:I)+SUMIF([1]Aux!B:B,Macro_Plano_2025_v1!B102,[1]Aux!O:O)</f>
        <v>#VALUE!</v>
      </c>
      <c r="K102" s="109"/>
      <c r="L102" s="119"/>
      <c r="M102" s="119"/>
      <c r="N102" s="119"/>
      <c r="O102" s="119"/>
      <c r="P102" s="119"/>
      <c r="Q102" s="119"/>
      <c r="R102" s="119"/>
      <c r="S102" s="162" t="e">
        <f t="shared" si="12"/>
        <v>#VALUE!</v>
      </c>
      <c r="T102" s="119"/>
      <c r="U102" s="157"/>
      <c r="V102" s="119"/>
    </row>
    <row r="103" spans="2:22" ht="16.2" outlineLevel="1" x14ac:dyDescent="0.25">
      <c r="B103" s="122" t="str">
        <f t="shared" si="8"/>
        <v>INSTR_ACTIVITY_SSTNBL_CTGRY</v>
      </c>
      <c r="C103" s="130" t="s">
        <v>653</v>
      </c>
      <c r="D103" s="131" t="s">
        <v>604</v>
      </c>
      <c r="E103" s="132" t="s">
        <v>465</v>
      </c>
      <c r="F103" s="133"/>
      <c r="G103" s="133"/>
      <c r="H103" s="131"/>
      <c r="I103" s="131"/>
      <c r="J103" s="135" t="e">
        <f>SUMIF([1]Aux!B:B,Macro_Plano_2025_v1!B103,[1]Aux!I:I)+SUMIF([1]Aux!B:B,Macro_Plano_2025_v1!B103,[1]Aux!O:O)</f>
        <v>#VALUE!</v>
      </c>
      <c r="K103" s="109"/>
      <c r="L103" s="119"/>
      <c r="M103" s="119"/>
      <c r="N103" s="119"/>
      <c r="O103" s="119"/>
      <c r="P103" s="119"/>
      <c r="Q103" s="119"/>
      <c r="R103" s="119"/>
      <c r="S103" s="162" t="e">
        <f>S60-SUM(S87:S102)</f>
        <v>#VALUE!</v>
      </c>
      <c r="T103" s="162" t="e">
        <f>(J103/8)-S103</f>
        <v>#VALUE!</v>
      </c>
      <c r="U103" s="157"/>
      <c r="V103" s="119"/>
    </row>
    <row r="104" spans="2:22" ht="16.2" outlineLevel="1" x14ac:dyDescent="0.25">
      <c r="B104" s="122" t="str">
        <f t="shared" si="8"/>
        <v>INSTR_ACTIVITY_PRCNTG_ACTVTY</v>
      </c>
      <c r="C104" s="130" t="s">
        <v>654</v>
      </c>
      <c r="D104" s="131" t="s">
        <v>604</v>
      </c>
      <c r="E104" s="132" t="s">
        <v>530</v>
      </c>
      <c r="F104" s="133"/>
      <c r="G104" s="133"/>
      <c r="H104" s="131"/>
      <c r="I104" s="131"/>
      <c r="J104" s="135" t="e">
        <f>SUMIF([1]Aux!B:B,Macro_Plano_2025_v1!B104,[1]Aux!I:I)+SUMIF([1]Aux!B:B,Macro_Plano_2025_v1!B104,[1]Aux!O:O)</f>
        <v>#VALUE!</v>
      </c>
      <c r="K104" s="109"/>
      <c r="L104" s="119"/>
      <c r="M104" s="119"/>
      <c r="N104" s="119"/>
      <c r="O104" s="119"/>
      <c r="P104" s="119"/>
      <c r="Q104" s="119"/>
      <c r="R104" s="119"/>
      <c r="S104" s="119"/>
      <c r="T104" s="162" t="e">
        <f>J104/8</f>
        <v>#VALUE!</v>
      </c>
      <c r="U104" s="157"/>
      <c r="V104" s="119"/>
    </row>
    <row r="105" spans="2:22" ht="16.2" outlineLevel="1" x14ac:dyDescent="0.25">
      <c r="B105" s="122" t="str">
        <f t="shared" si="8"/>
        <v>INSTR_ACTIVITY_SSTNBL_INDCTR</v>
      </c>
      <c r="C105" s="130" t="s">
        <v>655</v>
      </c>
      <c r="D105" s="131" t="s">
        <v>604</v>
      </c>
      <c r="E105" s="132" t="s">
        <v>464</v>
      </c>
      <c r="F105" s="133"/>
      <c r="G105" s="133"/>
      <c r="H105" s="131"/>
      <c r="I105" s="131"/>
      <c r="J105" s="135" t="e">
        <f>SUMIF([1]Aux!B:B,Macro_Plano_2025_v1!B105,[1]Aux!I:I)+SUMIF([1]Aux!B:B,Macro_Plano_2025_v1!B105,[1]Aux!O:O)</f>
        <v>#VALUE!</v>
      </c>
      <c r="K105" s="109"/>
      <c r="L105" s="119"/>
      <c r="M105" s="119"/>
      <c r="N105" s="119"/>
      <c r="O105" s="119"/>
      <c r="P105" s="119"/>
      <c r="Q105" s="119"/>
      <c r="R105" s="119"/>
      <c r="S105" s="119"/>
      <c r="T105" s="162" t="e">
        <f>J105/8</f>
        <v>#VALUE!</v>
      </c>
      <c r="U105" s="157"/>
      <c r="V105" s="119"/>
    </row>
    <row r="106" spans="2:22" ht="16.2" x14ac:dyDescent="0.25">
      <c r="C106" s="158" t="s">
        <v>656</v>
      </c>
      <c r="D106" s="158"/>
      <c r="E106" s="167" t="s">
        <v>43</v>
      </c>
      <c r="F106" s="133"/>
      <c r="G106" s="133"/>
      <c r="H106" s="161"/>
      <c r="I106" s="161"/>
      <c r="J106" s="161">
        <v>76.400000000000006</v>
      </c>
      <c r="K106" s="109"/>
      <c r="L106" s="119"/>
      <c r="M106" s="119"/>
      <c r="N106" s="119"/>
      <c r="O106" s="119"/>
      <c r="P106" s="119"/>
      <c r="Q106" s="119"/>
      <c r="R106" s="119"/>
      <c r="S106" s="119"/>
      <c r="T106" s="119">
        <v>7.125</v>
      </c>
      <c r="U106" s="157">
        <v>2.4249999999999998</v>
      </c>
      <c r="V106" s="119"/>
    </row>
    <row r="107" spans="2:22" ht="3" customHeight="1" x14ac:dyDescent="0.25">
      <c r="C107" s="145"/>
      <c r="D107" s="145"/>
      <c r="E107" s="113"/>
      <c r="F107" s="114"/>
      <c r="G107" s="114"/>
      <c r="H107" s="115"/>
      <c r="I107" s="115"/>
      <c r="J107" s="115"/>
      <c r="K107" s="109"/>
      <c r="L107" s="121"/>
      <c r="M107" s="121"/>
      <c r="N107" s="121"/>
      <c r="O107" s="121"/>
      <c r="P107" s="121"/>
      <c r="Q107" s="121"/>
      <c r="R107" s="121"/>
      <c r="S107" s="121"/>
      <c r="T107" s="121"/>
      <c r="U107" s="168"/>
      <c r="V107" s="121"/>
    </row>
    <row r="108" spans="2:22" x14ac:dyDescent="0.25">
      <c r="C108" s="13" t="s">
        <v>657</v>
      </c>
      <c r="D108" s="142" t="s">
        <v>439</v>
      </c>
      <c r="E108" s="103"/>
      <c r="F108" s="108"/>
      <c r="G108" s="108"/>
      <c r="H108" s="104"/>
      <c r="I108" s="104"/>
      <c r="J108" s="169">
        <v>80</v>
      </c>
      <c r="K108" s="109"/>
      <c r="L108" s="119"/>
      <c r="M108" s="119"/>
      <c r="N108" s="119"/>
      <c r="O108" s="119"/>
      <c r="P108" s="119"/>
      <c r="Q108" s="119"/>
      <c r="R108" s="119"/>
      <c r="S108" s="119"/>
      <c r="T108" s="119"/>
      <c r="U108" s="157">
        <v>7.5750000000000002</v>
      </c>
      <c r="V108" s="119">
        <v>2.4249999999999998</v>
      </c>
    </row>
    <row r="109" spans="2:22" x14ac:dyDescent="0.45">
      <c r="D109" s="2"/>
      <c r="E109" s="2"/>
      <c r="F109" s="2"/>
      <c r="H109" s="170"/>
      <c r="I109" s="170"/>
      <c r="K109" s="109"/>
    </row>
    <row r="110" spans="2:22" ht="16.2" x14ac:dyDescent="0.25">
      <c r="D110" s="108"/>
      <c r="E110" s="103"/>
      <c r="F110" s="103"/>
      <c r="G110" s="103"/>
      <c r="H110" s="104"/>
      <c r="I110" s="104"/>
      <c r="J110" s="103"/>
      <c r="K110" s="109"/>
    </row>
    <row r="111" spans="2:22" ht="16.2" x14ac:dyDescent="0.25">
      <c r="D111" s="108"/>
      <c r="E111" s="171"/>
      <c r="F111" s="103"/>
      <c r="G111" s="103"/>
      <c r="H111" s="104"/>
      <c r="I111" s="104"/>
      <c r="J111" s="103"/>
      <c r="K111" s="109"/>
    </row>
    <row r="112" spans="2:22" ht="16.2" x14ac:dyDescent="0.25">
      <c r="D112" s="108"/>
      <c r="E112" s="171"/>
      <c r="F112" s="103"/>
      <c r="G112" s="103"/>
      <c r="H112" s="104"/>
      <c r="I112" s="104"/>
      <c r="J112" s="103"/>
      <c r="K112" s="109"/>
    </row>
    <row r="113" spans="11:11" x14ac:dyDescent="0.45">
      <c r="K113" s="109"/>
    </row>
    <row r="114" spans="11:11" x14ac:dyDescent="0.45">
      <c r="K114" s="109"/>
    </row>
  </sheetData>
  <mergeCells count="1">
    <mergeCell ref="U8:V8"/>
  </mergeCells>
  <conditionalFormatting sqref="L13:V17">
    <cfRule type="cellIs" dxfId="70" priority="7" operator="greaterThan">
      <formula>1</formula>
    </cfRule>
  </conditionalFormatting>
  <conditionalFormatting sqref="L18:V40">
    <cfRule type="containsBlanks" dxfId="69" priority="5">
      <formula>LEN(TRIM(L18))=0</formula>
    </cfRule>
    <cfRule type="cellIs" dxfId="68" priority="6" operator="between">
      <formula>0</formula>
      <formula>1</formula>
    </cfRule>
  </conditionalFormatting>
  <conditionalFormatting sqref="L43:V56">
    <cfRule type="containsBlanks" dxfId="67" priority="1">
      <formula>LEN(TRIM(L43))=0</formula>
    </cfRule>
    <cfRule type="cellIs" dxfId="66" priority="2" operator="between">
      <formula>0</formula>
      <formula>1</formula>
    </cfRule>
  </conditionalFormatting>
  <conditionalFormatting sqref="L59:V60">
    <cfRule type="cellIs" dxfId="65" priority="4" operator="greaterThan">
      <formula>1</formula>
    </cfRule>
  </conditionalFormatting>
  <conditionalFormatting sqref="L106:V108">
    <cfRule type="cellIs" dxfId="6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B2:V50"/>
  <sheetViews>
    <sheetView workbookViewId="0">
      <selection activeCell="N26" sqref="N26"/>
    </sheetView>
  </sheetViews>
  <sheetFormatPr defaultColWidth="9" defaultRowHeight="14.4" x14ac:dyDescent="0.25"/>
  <cols>
    <col min="1" max="1" width="9" style="174"/>
    <col min="2" max="2" width="17.19921875" style="174" bestFit="1" customWidth="1"/>
    <col min="3" max="3" width="40.8984375" style="174" bestFit="1" customWidth="1"/>
    <col min="4" max="5" width="40.8984375" style="174" customWidth="1"/>
    <col min="6" max="6" width="9" style="174"/>
    <col min="7" max="7" width="14.19921875" style="174" bestFit="1" customWidth="1"/>
    <col min="8" max="8" width="29.8984375" style="174" bestFit="1" customWidth="1"/>
    <col min="9" max="9" width="25.3984375" style="174" bestFit="1" customWidth="1"/>
    <col min="10" max="10" width="67.09765625" style="174" bestFit="1" customWidth="1"/>
    <col min="11" max="11" width="67.09765625" style="174" customWidth="1"/>
    <col min="12" max="12" width="9" style="174"/>
    <col min="13" max="13" width="22.09765625" style="174" customWidth="1"/>
    <col min="14" max="14" width="20.3984375" style="174" bestFit="1" customWidth="1"/>
    <col min="15" max="15" width="23.5" style="174" bestFit="1" customWidth="1"/>
    <col min="16" max="16" width="9" style="174"/>
    <col min="17" max="17" width="16.19921875" style="174" bestFit="1" customWidth="1"/>
    <col min="18" max="18" width="34" style="174" bestFit="1" customWidth="1"/>
    <col min="19" max="19" width="9.59765625" style="174" bestFit="1" customWidth="1"/>
    <col min="20" max="20" width="19.69921875" style="174" bestFit="1" customWidth="1"/>
    <col min="21" max="21" width="21.59765625" style="174" bestFit="1" customWidth="1"/>
    <col min="22" max="22" width="23.19921875" style="174" bestFit="1" customWidth="1"/>
    <col min="23" max="16384" width="9" style="174"/>
  </cols>
  <sheetData>
    <row r="2" spans="2:22" x14ac:dyDescent="0.25">
      <c r="B2" s="225" t="s">
        <v>707</v>
      </c>
      <c r="G2" s="225" t="s">
        <v>709</v>
      </c>
      <c r="M2" s="225" t="s">
        <v>589</v>
      </c>
      <c r="Q2" s="225" t="s">
        <v>610</v>
      </c>
    </row>
    <row r="3" spans="2:22" x14ac:dyDescent="0.25">
      <c r="B3" s="225"/>
      <c r="C3" s="174">
        <f>COUNTA(C6:C43)</f>
        <v>38</v>
      </c>
      <c r="H3" s="174">
        <f>COUNTA(H6:H28)</f>
        <v>23</v>
      </c>
      <c r="N3" s="174">
        <f>COUNTA(N6:N19)</f>
        <v>14</v>
      </c>
      <c r="R3" s="174">
        <f>COUNTA(R6:R50)</f>
        <v>45</v>
      </c>
    </row>
    <row r="5" spans="2:22" x14ac:dyDescent="0.25">
      <c r="B5" s="225" t="s">
        <v>3</v>
      </c>
      <c r="C5" s="225" t="s">
        <v>4</v>
      </c>
      <c r="D5" s="225" t="s">
        <v>5</v>
      </c>
      <c r="E5" s="225" t="s">
        <v>454</v>
      </c>
      <c r="G5" s="225" t="s">
        <v>3</v>
      </c>
      <c r="H5" s="225" t="s">
        <v>4</v>
      </c>
      <c r="I5" s="225" t="s">
        <v>708</v>
      </c>
      <c r="J5" s="225" t="s">
        <v>710</v>
      </c>
      <c r="K5" s="225" t="s">
        <v>454</v>
      </c>
      <c r="M5" s="225" t="s">
        <v>3</v>
      </c>
      <c r="N5" s="225" t="s">
        <v>4</v>
      </c>
      <c r="O5" s="225" t="s">
        <v>715</v>
      </c>
      <c r="Q5" s="225" t="s">
        <v>3</v>
      </c>
      <c r="R5" s="225" t="s">
        <v>4</v>
      </c>
      <c r="S5" s="174" t="s">
        <v>717</v>
      </c>
      <c r="T5" s="174" t="s">
        <v>718</v>
      </c>
      <c r="U5" s="174" t="s">
        <v>719</v>
      </c>
      <c r="V5" s="174" t="s">
        <v>454</v>
      </c>
    </row>
    <row r="6" spans="2:22" ht="16.2" x14ac:dyDescent="0.25">
      <c r="B6" s="174" t="s">
        <v>370</v>
      </c>
      <c r="C6" s="174" t="s">
        <v>485</v>
      </c>
      <c r="D6" s="174" t="s">
        <v>691</v>
      </c>
      <c r="G6" s="174" t="s">
        <v>370</v>
      </c>
      <c r="H6" s="174" t="s">
        <v>457</v>
      </c>
      <c r="I6" s="174" t="str" cm="1">
        <f t="array" ref="I6">_xlfn.IFNA(IF(INDEX($B$6:$C$43,MATCH(1,(G6=$B$6:$B$43)*(H6=$C$6:$C$43),0),2)=H6,"Sim","Não"),"Não")</f>
        <v>Não</v>
      </c>
      <c r="J6" s="174" t="s">
        <v>711</v>
      </c>
      <c r="M6" s="227" t="s">
        <v>370</v>
      </c>
      <c r="N6" s="125" t="s">
        <v>524</v>
      </c>
      <c r="O6" s="166" t="s">
        <v>716</v>
      </c>
      <c r="Q6" s="227" t="s">
        <v>370</v>
      </c>
      <c r="R6" s="174" t="s">
        <v>459</v>
      </c>
      <c r="S6" s="174" t="e" cm="1">
        <f t="array" ref="S6">INDEX($B$6:$C$43,MATCH(1,(Q6=$B$6:$B$43)*(R6=$C$6:$C$43),0),2)</f>
        <v>#N/A</v>
      </c>
      <c r="T6" s="174" t="e" cm="1">
        <f t="array" ref="T6">INDEX($G$6:$H$28,MATCH(1,(Q6=$G$6:$G$28)*(R6=$H$6:$H$28),0),2)</f>
        <v>#N/A</v>
      </c>
      <c r="U6" s="174" t="e" cm="1">
        <f t="array" ref="U6">INDEX($M$6:$N$19,MATCH(1,(Q6=$M$6:$M$19)*(R6=$N$6:$N$19),0),2)</f>
        <v>#N/A</v>
      </c>
    </row>
    <row r="7" spans="2:22" ht="16.2" x14ac:dyDescent="0.25">
      <c r="B7" s="174" t="s">
        <v>370</v>
      </c>
      <c r="C7" s="174" t="s">
        <v>466</v>
      </c>
      <c r="D7" s="174" t="s">
        <v>678</v>
      </c>
      <c r="G7" s="174" t="s">
        <v>370</v>
      </c>
      <c r="H7" s="174" t="s">
        <v>474</v>
      </c>
      <c r="I7" s="174" t="str" cm="1">
        <f t="array" ref="I7">_xlfn.IFNA(IF(INDEX($B$6:$C$43,MATCH(1,(G7=$B$6:$B$43)*(H7=$C$6:$C$43),0),2)=H7,"Sim","Não"),"Não")</f>
        <v>Não</v>
      </c>
      <c r="J7" s="174" t="s">
        <v>711</v>
      </c>
      <c r="M7" s="227" t="s">
        <v>370</v>
      </c>
      <c r="N7" s="132" t="s">
        <v>525</v>
      </c>
      <c r="O7" s="166" t="s">
        <v>716</v>
      </c>
      <c r="Q7" s="227" t="s">
        <v>370</v>
      </c>
      <c r="R7" s="174" t="s">
        <v>524</v>
      </c>
      <c r="S7" s="174" t="e" cm="1">
        <f t="array" ref="S7">INDEX($B$6:$C$43,MATCH(1,(Q7=$B$6:$B$43)*(R7=$C$6:$C$43),0),2)</f>
        <v>#N/A</v>
      </c>
      <c r="T7" s="174" t="e" cm="1">
        <f t="array" ref="T7">INDEX($G$6:$H$28,MATCH(1,(Q7=$G$6:$G$28)*(R7=$H$6:$H$28),0),2)</f>
        <v>#N/A</v>
      </c>
      <c r="U7" s="174" t="str" cm="1">
        <f t="array" ref="U7">INDEX($M$6:$N$19,MATCH(1,(Q7=$M$6:$M$19)*(R7=$N$6:$N$19),0),2)</f>
        <v>CCF</v>
      </c>
    </row>
    <row r="8" spans="2:22" ht="16.2" x14ac:dyDescent="0.25">
      <c r="B8" s="174" t="s">
        <v>370</v>
      </c>
      <c r="C8" s="174" t="s">
        <v>486</v>
      </c>
      <c r="D8" s="174" t="s">
        <v>693</v>
      </c>
      <c r="G8" s="174" t="s">
        <v>370</v>
      </c>
      <c r="H8" s="174" t="s">
        <v>458</v>
      </c>
      <c r="I8" s="174" t="str" cm="1">
        <f t="array" ref="I8">_xlfn.IFNA(IF(INDEX($B$6:$C$43,MATCH(1,(G8=$B$6:$B$43)*(H8=$C$6:$C$43),0),2)=H8,"Sim","Não"),"Não")</f>
        <v>Não</v>
      </c>
      <c r="J8" s="174" t="s">
        <v>711</v>
      </c>
      <c r="M8" s="227" t="s">
        <v>370</v>
      </c>
      <c r="N8" s="132" t="s">
        <v>526</v>
      </c>
      <c r="O8" s="166" t="s">
        <v>716</v>
      </c>
      <c r="Q8" s="227" t="s">
        <v>370</v>
      </c>
      <c r="R8" s="174" t="s">
        <v>525</v>
      </c>
      <c r="S8" s="174" t="e" cm="1">
        <f t="array" ref="S8">INDEX($B$6:$C$43,MATCH(1,(Q8=$B$6:$B$43)*(R8=$C$6:$C$43),0),2)</f>
        <v>#N/A</v>
      </c>
      <c r="T8" s="174" t="e" cm="1">
        <f t="array" ref="T8">INDEX($G$6:$H$28,MATCH(1,(Q8=$G$6:$G$28)*(R8=$H$6:$H$28),0),2)</f>
        <v>#N/A</v>
      </c>
      <c r="U8" s="174" t="str" cm="1">
        <f t="array" ref="U8">INDEX($M$6:$N$19,MATCH(1,(Q8=$M$6:$M$19)*(R8=$N$6:$N$19),0),2)</f>
        <v>EAD</v>
      </c>
    </row>
    <row r="9" spans="2:22" ht="16.2" x14ac:dyDescent="0.25">
      <c r="B9" s="174" t="s">
        <v>370</v>
      </c>
      <c r="C9" s="174" t="s">
        <v>487</v>
      </c>
      <c r="D9" s="174" t="s">
        <v>693</v>
      </c>
      <c r="G9" s="174" t="s">
        <v>370</v>
      </c>
      <c r="H9" s="174" t="s">
        <v>461</v>
      </c>
      <c r="I9" s="174" t="str" cm="1">
        <f t="array" ref="I9">_xlfn.IFNA(IF(INDEX($B$6:$C$43,MATCH(1,(G9=$B$6:$B$43)*(H9=$C$6:$C$43),0),2)=H9,"Sim","Não"),"Não")</f>
        <v>Não</v>
      </c>
      <c r="J9" s="174" t="s">
        <v>711</v>
      </c>
      <c r="M9" s="228" t="s">
        <v>706</v>
      </c>
      <c r="N9" s="132" t="s">
        <v>457</v>
      </c>
      <c r="O9" s="166" t="s">
        <v>716</v>
      </c>
      <c r="Q9" s="227" t="s">
        <v>370</v>
      </c>
      <c r="R9" s="174" t="s">
        <v>485</v>
      </c>
      <c r="S9" s="174" t="str" cm="1">
        <f t="array" ref="S9">INDEX($B$6:$C$43,MATCH(1,(Q9=$B$6:$B$43)*(R9=$C$6:$C$43),0),2)</f>
        <v>AVRG_BLNC</v>
      </c>
      <c r="T9" s="174" t="e" cm="1">
        <f t="array" ref="T9">INDEX($G$6:$H$28,MATCH(1,(Q9=$G$6:$G$28)*(R9=$H$6:$H$28),0),2)</f>
        <v>#N/A</v>
      </c>
      <c r="U9" s="174" t="e" cm="1">
        <f t="array" ref="U9">INDEX($M$6:$N$19,MATCH(1,(Q9=$M$6:$M$19)*(R9=$N$6:$N$19),0),2)</f>
        <v>#N/A</v>
      </c>
    </row>
    <row r="10" spans="2:22" ht="16.2" x14ac:dyDescent="0.25">
      <c r="B10" s="174" t="s">
        <v>370</v>
      </c>
      <c r="C10" s="174" t="s">
        <v>488</v>
      </c>
      <c r="D10" s="174" t="s">
        <v>691</v>
      </c>
      <c r="G10" s="174" t="s">
        <v>370</v>
      </c>
      <c r="H10" s="174" t="s">
        <v>475</v>
      </c>
      <c r="I10" s="174" t="str" cm="1">
        <f t="array" ref="I10">_xlfn.IFNA(IF(INDEX($B$6:$C$43,MATCH(1,(G10=$B$6:$B$43)*(H10=$C$6:$C$43),0),2)=H10,"Sim","Não"),"Não")</f>
        <v>Não</v>
      </c>
      <c r="J10" s="174" t="s">
        <v>711</v>
      </c>
      <c r="M10" s="228" t="s">
        <v>706</v>
      </c>
      <c r="N10" s="132" t="s">
        <v>458</v>
      </c>
      <c r="O10" s="166" t="s">
        <v>716</v>
      </c>
      <c r="Q10" s="227" t="s">
        <v>370</v>
      </c>
      <c r="R10" s="174" t="s">
        <v>466</v>
      </c>
      <c r="S10" s="174" t="str" cm="1">
        <f t="array" ref="S10">INDEX($B$6:$C$43,MATCH(1,(Q10=$B$6:$B$43)*(R10=$C$6:$C$43),0),2)</f>
        <v>NW_BSNSS</v>
      </c>
      <c r="T10" s="174" t="e" cm="1">
        <f t="array" ref="T10">INDEX($G$6:$H$28,MATCH(1,(Q10=$G$6:$G$28)*(R10=$H$6:$H$28),0),2)</f>
        <v>#N/A</v>
      </c>
      <c r="U10" s="174" t="e" cm="1">
        <f t="array" ref="U10">INDEX($M$6:$N$19,MATCH(1,(Q10=$M$6:$M$19)*(R10=$N$6:$N$19),0),2)</f>
        <v>#N/A</v>
      </c>
    </row>
    <row r="11" spans="2:22" ht="16.2" x14ac:dyDescent="0.25">
      <c r="B11" s="174" t="s">
        <v>370</v>
      </c>
      <c r="C11" s="174" t="s">
        <v>489</v>
      </c>
      <c r="D11" s="174" t="s">
        <v>691</v>
      </c>
      <c r="G11" s="174" t="s">
        <v>370</v>
      </c>
      <c r="H11" s="174" t="s">
        <v>462</v>
      </c>
      <c r="I11" s="174" t="str" cm="1">
        <f t="array" ref="I11">_xlfn.IFNA(IF(INDEX($B$6:$C$43,MATCH(1,(G11=$B$6:$B$43)*(H11=$C$6:$C$43),0),2)=H11,"Sim","Não"),"Não")</f>
        <v>Não</v>
      </c>
      <c r="J11" s="174" t="s">
        <v>711</v>
      </c>
      <c r="M11" s="228" t="s">
        <v>706</v>
      </c>
      <c r="N11" s="132" t="s">
        <v>459</v>
      </c>
      <c r="O11" s="166" t="s">
        <v>716</v>
      </c>
      <c r="Q11" s="227" t="s">
        <v>370</v>
      </c>
      <c r="R11" s="174" t="s">
        <v>486</v>
      </c>
      <c r="S11" s="174" t="str" cm="1">
        <f t="array" ref="S11">INDEX($B$6:$C$43,MATCH(1,(Q11=$B$6:$B$43)*(R11=$C$6:$C$43),0),2)</f>
        <v>GRSS_INTRST_INCM</v>
      </c>
      <c r="T11" s="174" t="e" cm="1">
        <f t="array" ref="T11">INDEX($G$6:$H$28,MATCH(1,(Q11=$G$6:$G$28)*(R11=$H$6:$H$28),0),2)</f>
        <v>#N/A</v>
      </c>
      <c r="U11" s="174" t="e" cm="1">
        <f t="array" ref="U11">INDEX($M$6:$N$19,MATCH(1,(Q11=$M$6:$M$19)*(R11=$N$6:$N$19),0),2)</f>
        <v>#N/A</v>
      </c>
    </row>
    <row r="12" spans="2:22" ht="16.2" x14ac:dyDescent="0.25">
      <c r="B12" s="174" t="s">
        <v>370</v>
      </c>
      <c r="C12" s="174" t="s">
        <v>467</v>
      </c>
      <c r="D12" s="174" t="s">
        <v>678</v>
      </c>
      <c r="G12" s="174" t="s">
        <v>370</v>
      </c>
      <c r="H12" s="174" t="s">
        <v>476</v>
      </c>
      <c r="I12" s="174" t="str" cm="1">
        <f t="array" ref="I12">_xlfn.IFNA(IF(INDEX($B$6:$C$43,MATCH(1,(G12=$B$6:$B$43)*(H12=$C$6:$C$43),0),2)=H12,"Sim","Não"),"Não")</f>
        <v>Não</v>
      </c>
      <c r="J12" s="174" t="s">
        <v>711</v>
      </c>
      <c r="M12" s="228" t="s">
        <v>706</v>
      </c>
      <c r="N12" s="132" t="s">
        <v>527</v>
      </c>
      <c r="O12" s="166" t="s">
        <v>716</v>
      </c>
      <c r="Q12" s="227" t="s">
        <v>370</v>
      </c>
      <c r="R12" s="174" t="s">
        <v>487</v>
      </c>
      <c r="S12" s="174" t="str" cm="1">
        <f t="array" ref="S12">INDEX($B$6:$C$43,MATCH(1,(Q12=$B$6:$B$43)*(R12=$C$6:$C$43),0),2)</f>
        <v>GRSS_CMMSSN_INCM</v>
      </c>
      <c r="T12" s="174" t="e" cm="1">
        <f t="array" ref="T12">INDEX($G$6:$H$28,MATCH(1,(Q12=$G$6:$G$28)*(R12=$H$6:$H$28),0),2)</f>
        <v>#N/A</v>
      </c>
      <c r="U12" s="174" t="e" cm="1">
        <f t="array" ref="U12">INDEX($M$6:$N$19,MATCH(1,(Q12=$M$6:$M$19)*(R12=$N$6:$N$19),0),2)</f>
        <v>#N/A</v>
      </c>
    </row>
    <row r="13" spans="2:22" ht="16.2" x14ac:dyDescent="0.25">
      <c r="B13" s="174" t="s">
        <v>370</v>
      </c>
      <c r="C13" s="174" t="s">
        <v>490</v>
      </c>
      <c r="D13" s="174" t="s">
        <v>691</v>
      </c>
      <c r="G13" s="174" t="s">
        <v>370</v>
      </c>
      <c r="H13" s="174" t="s">
        <v>477</v>
      </c>
      <c r="I13" s="174" t="str" cm="1">
        <f t="array" ref="I13">_xlfn.IFNA(IF(INDEX($B$6:$C$43,MATCH(1,(G13=$B$6:$B$43)*(H13=$C$6:$C$43),0),2)=H13,"Sim","Não"),"Não")</f>
        <v>Não</v>
      </c>
      <c r="J13" s="174" t="s">
        <v>711</v>
      </c>
      <c r="M13" s="228" t="s">
        <v>359</v>
      </c>
      <c r="N13" s="132" t="s">
        <v>457</v>
      </c>
      <c r="O13" s="166" t="s">
        <v>716</v>
      </c>
      <c r="Q13" s="227" t="s">
        <v>370</v>
      </c>
      <c r="R13" s="174" t="s">
        <v>488</v>
      </c>
      <c r="S13" s="174" t="str" cm="1">
        <f t="array" ref="S13">INDEX($B$6:$C$43,MATCH(1,(Q13=$B$6:$B$43)*(R13=$C$6:$C$43),0),2)</f>
        <v>INTRNL_TRNSFR_RT</v>
      </c>
      <c r="T13" s="174" t="e" cm="1">
        <f t="array" ref="T13">INDEX($G$6:$H$28,MATCH(1,(Q13=$G$6:$G$28)*(R13=$H$6:$H$28),0),2)</f>
        <v>#N/A</v>
      </c>
      <c r="U13" s="174" t="e" cm="1">
        <f t="array" ref="U13">INDEX($M$6:$N$19,MATCH(1,(Q13=$M$6:$M$19)*(R13=$N$6:$N$19),0),2)</f>
        <v>#N/A</v>
      </c>
    </row>
    <row r="14" spans="2:22" ht="16.2" x14ac:dyDescent="0.25">
      <c r="B14" s="174" t="s">
        <v>370</v>
      </c>
      <c r="C14" s="174" t="s">
        <v>491</v>
      </c>
      <c r="D14" s="174" t="s">
        <v>691</v>
      </c>
      <c r="G14" s="174" t="s">
        <v>370</v>
      </c>
      <c r="H14" s="174" t="s">
        <v>478</v>
      </c>
      <c r="I14" s="174" t="str" cm="1">
        <f t="array" ref="I14">_xlfn.IFNA(IF(INDEX($B$6:$C$43,MATCH(1,(G14=$B$6:$B$43)*(H14=$C$6:$C$43),0),2)=H14,"Sim","Não"),"Não")</f>
        <v>Não</v>
      </c>
      <c r="J14" s="174" t="s">
        <v>711</v>
      </c>
      <c r="M14" s="228" t="s">
        <v>359</v>
      </c>
      <c r="N14" s="132" t="s">
        <v>458</v>
      </c>
      <c r="O14" s="166" t="s">
        <v>716</v>
      </c>
      <c r="Q14" s="227" t="s">
        <v>370</v>
      </c>
      <c r="R14" s="174" t="s">
        <v>489</v>
      </c>
      <c r="S14" s="174" t="str" cm="1">
        <f t="array" ref="S14">INDEX($B$6:$C$43,MATCH(1,(Q14=$B$6:$B$43)*(R14=$C$6:$C$43),0),2)</f>
        <v>NT_LN_LSS_PRVSN</v>
      </c>
      <c r="T14" s="174" t="e" cm="1">
        <f t="array" ref="T14">INDEX($G$6:$H$28,MATCH(1,(Q14=$G$6:$G$28)*(R14=$H$6:$H$28),0),2)</f>
        <v>#N/A</v>
      </c>
      <c r="U14" s="174" t="e" cm="1">
        <f t="array" ref="U14">INDEX($M$6:$N$19,MATCH(1,(Q14=$M$6:$M$19)*(R14=$N$6:$N$19),0),2)</f>
        <v>#N/A</v>
      </c>
    </row>
    <row r="15" spans="2:22" ht="16.2" x14ac:dyDescent="0.25">
      <c r="B15" s="174" t="s">
        <v>370</v>
      </c>
      <c r="C15" s="174" t="s">
        <v>492</v>
      </c>
      <c r="D15" s="174" t="s">
        <v>691</v>
      </c>
      <c r="G15" s="174" t="s">
        <v>370</v>
      </c>
      <c r="H15" s="174" t="s">
        <v>479</v>
      </c>
      <c r="I15" s="174" t="str" cm="1">
        <f t="array" ref="I15">_xlfn.IFNA(IF(INDEX($B$6:$C$43,MATCH(1,(G15=$B$6:$B$43)*(H15=$C$6:$C$43),0),2)=H15,"Sim","Não"),"Não")</f>
        <v>Não</v>
      </c>
      <c r="J15" s="174" t="s">
        <v>711</v>
      </c>
      <c r="M15" s="228" t="s">
        <v>359</v>
      </c>
      <c r="N15" s="132" t="s">
        <v>527</v>
      </c>
      <c r="O15" s="166" t="s">
        <v>716</v>
      </c>
      <c r="Q15" s="227" t="s">
        <v>370</v>
      </c>
      <c r="R15" s="174" t="s">
        <v>467</v>
      </c>
      <c r="S15" s="174" t="str" cm="1">
        <f t="array" ref="S15">INDEX($B$6:$C$43,MATCH(1,(Q15=$B$6:$B$43)*(R15=$C$6:$C$43),0),2)</f>
        <v>BSNSS_AREA</v>
      </c>
      <c r="T15" s="174" t="e" cm="1">
        <f t="array" ref="T15">INDEX($G$6:$H$28,MATCH(1,(Q15=$G$6:$G$28)*(R15=$H$6:$H$28),0),2)</f>
        <v>#N/A</v>
      </c>
      <c r="U15" s="174" t="e" cm="1">
        <f t="array" ref="U15">INDEX($M$6:$N$19,MATCH(1,(Q15=$M$6:$M$19)*(R15=$N$6:$N$19),0),2)</f>
        <v>#N/A</v>
      </c>
    </row>
    <row r="16" spans="2:22" ht="16.2" x14ac:dyDescent="0.25">
      <c r="B16" s="174" t="s">
        <v>370</v>
      </c>
      <c r="C16" s="174" t="s">
        <v>468</v>
      </c>
      <c r="D16" s="174" t="s">
        <v>678</v>
      </c>
      <c r="G16" s="174" t="s">
        <v>370</v>
      </c>
      <c r="H16" s="174" t="s">
        <v>480</v>
      </c>
      <c r="I16" s="174" t="str" cm="1">
        <f t="array" ref="I16">_xlfn.IFNA(IF(INDEX($B$6:$C$43,MATCH(1,(G16=$B$6:$B$43)*(H16=$C$6:$C$43),0),2)=H16,"Sim","Não"),"Não")</f>
        <v>Não</v>
      </c>
      <c r="J16" s="174" t="s">
        <v>711</v>
      </c>
      <c r="M16" s="228" t="s">
        <v>359</v>
      </c>
      <c r="N16" s="132" t="s">
        <v>528</v>
      </c>
      <c r="O16" s="166" t="s">
        <v>716</v>
      </c>
      <c r="Q16" s="227" t="s">
        <v>370</v>
      </c>
      <c r="R16" s="174" t="s">
        <v>490</v>
      </c>
      <c r="S16" s="174" t="str" cm="1">
        <f t="array" ref="S16">INDEX($B$6:$C$43,MATCH(1,(Q16=$B$6:$B$43)*(R16=$C$6:$C$43),0),2)</f>
        <v>MNGMNT_PRDCT</v>
      </c>
      <c r="T16" s="174" t="e" cm="1">
        <f t="array" ref="T16">INDEX($G$6:$H$28,MATCH(1,(Q16=$G$6:$G$28)*(R16=$H$6:$H$28),0),2)</f>
        <v>#N/A</v>
      </c>
      <c r="U16" s="174" t="e" cm="1">
        <f t="array" ref="U16">INDEX($M$6:$N$19,MATCH(1,(Q16=$M$6:$M$19)*(R16=$N$6:$N$19),0),2)</f>
        <v>#N/A</v>
      </c>
    </row>
    <row r="17" spans="2:22" ht="16.2" x14ac:dyDescent="0.25">
      <c r="B17" s="174" t="s">
        <v>370</v>
      </c>
      <c r="C17" s="174" t="s">
        <v>493</v>
      </c>
      <c r="D17" s="174" t="s">
        <v>678</v>
      </c>
      <c r="G17" s="174" t="s">
        <v>370</v>
      </c>
      <c r="H17" s="174" t="s">
        <v>481</v>
      </c>
      <c r="I17" s="174" t="str" cm="1">
        <f t="array" ref="I17">_xlfn.IFNA(IF(INDEX($B$6:$C$43,MATCH(1,(G17=$B$6:$B$43)*(H17=$C$6:$C$43),0),2)=H17,"Sim","Não"),"Não")</f>
        <v>Não</v>
      </c>
      <c r="J17" s="174" t="s">
        <v>711</v>
      </c>
      <c r="M17" s="228" t="s">
        <v>359</v>
      </c>
      <c r="N17" s="132" t="s">
        <v>529</v>
      </c>
      <c r="O17" s="166" t="s">
        <v>716</v>
      </c>
      <c r="Q17" s="227" t="s">
        <v>370</v>
      </c>
      <c r="R17" s="174" t="s">
        <v>491</v>
      </c>
      <c r="S17" s="174" t="str" cm="1">
        <f t="array" ref="S17">INDEX($B$6:$C$43,MATCH(1,(Q17=$B$6:$B$43)*(R17=$C$6:$C$43),0),2)</f>
        <v>GRSS_CMMSSN_EXPNS</v>
      </c>
      <c r="T17" s="174" t="e" cm="1">
        <f t="array" ref="T17">INDEX($G$6:$H$28,MATCH(1,(Q17=$G$6:$G$28)*(R17=$H$6:$H$28),0),2)</f>
        <v>#N/A</v>
      </c>
      <c r="U17" s="174" t="e" cm="1">
        <f t="array" ref="U17">INDEX($M$6:$N$19,MATCH(1,(Q17=$M$6:$M$19)*(R17=$N$6:$N$19),0),2)</f>
        <v>#N/A</v>
      </c>
    </row>
    <row r="18" spans="2:22" ht="16.2" x14ac:dyDescent="0.25">
      <c r="B18" s="174" t="s">
        <v>370</v>
      </c>
      <c r="C18" s="174" t="s">
        <v>494</v>
      </c>
      <c r="D18" s="174" t="s">
        <v>678</v>
      </c>
      <c r="G18" s="174" t="s">
        <v>370</v>
      </c>
      <c r="H18" s="174" t="s">
        <v>482</v>
      </c>
      <c r="I18" s="174" t="str" cm="1">
        <f t="array" ref="I18">_xlfn.IFNA(IF(INDEX($B$6:$C$43,MATCH(1,(G18=$B$6:$B$43)*(H18=$C$6:$C$43),0),2)=H18,"Sim","Não"),"Não")</f>
        <v>Não</v>
      </c>
      <c r="J18" s="174" t="s">
        <v>711</v>
      </c>
      <c r="L18" s="174" t="s">
        <v>798</v>
      </c>
      <c r="M18" s="228" t="s">
        <v>359</v>
      </c>
      <c r="N18" s="132" t="s">
        <v>532</v>
      </c>
      <c r="O18" s="166" t="s">
        <v>716</v>
      </c>
      <c r="Q18" s="227" t="s">
        <v>370</v>
      </c>
      <c r="R18" s="174" t="s">
        <v>492</v>
      </c>
      <c r="S18" s="174" t="str" cm="1">
        <f t="array" ref="S18">INDEX($B$6:$C$43,MATCH(1,(Q18=$B$6:$B$43)*(R18=$C$6:$C$43),0),2)</f>
        <v>GNS_FNNCL_TRNSCTN_EXCHNG_DFFRNCS</v>
      </c>
      <c r="T18" s="174" t="e" cm="1">
        <f t="array" ref="T18">INDEX($G$6:$H$28,MATCH(1,(Q18=$G$6:$G$28)*(R18=$H$6:$H$28),0),2)</f>
        <v>#N/A</v>
      </c>
      <c r="U18" s="174" t="e" cm="1">
        <f t="array" ref="U18">INDEX($M$6:$N$19,MATCH(1,(Q18=$M$6:$M$19)*(R18=$N$6:$N$19),0),2)</f>
        <v>#N/A</v>
      </c>
    </row>
    <row r="19" spans="2:22" ht="16.2" x14ac:dyDescent="0.25">
      <c r="B19" s="174" t="s">
        <v>370</v>
      </c>
      <c r="C19" s="174" t="s">
        <v>495</v>
      </c>
      <c r="D19" s="174" t="s">
        <v>678</v>
      </c>
      <c r="G19" s="174" t="s">
        <v>370</v>
      </c>
      <c r="H19" s="174" t="s">
        <v>483</v>
      </c>
      <c r="I19" s="174" t="str" cm="1">
        <f t="array" ref="I19">_xlfn.IFNA(IF(INDEX($B$6:$C$43,MATCH(1,(G19=$B$6:$B$43)*(H19=$C$6:$C$43),0),2)=H19,"Sim","Não"),"Não")</f>
        <v>Não</v>
      </c>
      <c r="J19" s="174" t="s">
        <v>711</v>
      </c>
      <c r="M19" s="228" t="s">
        <v>521</v>
      </c>
      <c r="N19" s="132" t="s">
        <v>530</v>
      </c>
      <c r="O19" s="166" t="s">
        <v>716</v>
      </c>
      <c r="Q19" s="227" t="s">
        <v>370</v>
      </c>
      <c r="R19" s="174" t="s">
        <v>496</v>
      </c>
      <c r="S19" s="174" t="str" cm="1">
        <f t="array" ref="S19">INDEX($B$6:$C$43,MATCH(1,(Q19=$B$6:$B$43)*(R19=$C$6:$C$43),0),2)</f>
        <v>AVRG_BLNC_OFF_BLNC</v>
      </c>
      <c r="T19" s="174" t="e" cm="1">
        <f t="array" ref="T19">INDEX($G$6:$H$28,MATCH(1,(Q19=$G$6:$G$28)*(R19=$H$6:$H$28),0),2)</f>
        <v>#N/A</v>
      </c>
      <c r="U19" s="174" t="e" cm="1">
        <f t="array" ref="U19">INDEX($M$6:$N$19,MATCH(1,(Q19=$M$6:$M$19)*(R19=$N$6:$N$19),0),2)</f>
        <v>#N/A</v>
      </c>
    </row>
    <row r="20" spans="2:22" ht="16.2" x14ac:dyDescent="0.25">
      <c r="B20" s="174" t="s">
        <v>370</v>
      </c>
      <c r="C20" s="174" t="s">
        <v>496</v>
      </c>
      <c r="D20" s="174" t="s">
        <v>691</v>
      </c>
      <c r="G20" s="174" t="s">
        <v>370</v>
      </c>
      <c r="H20" s="174" t="s">
        <v>484</v>
      </c>
      <c r="I20" s="174" t="str" cm="1">
        <f t="array" ref="I20">_xlfn.IFNA(IF(INDEX($B$6:$C$43,MATCH(1,(G20=$B$6:$B$43)*(H20=$C$6:$C$43),0),2)=H20,"Sim","Não"),"Não")</f>
        <v>Não</v>
      </c>
      <c r="J20" s="174" t="s">
        <v>711</v>
      </c>
      <c r="M20" s="305" t="s">
        <v>370</v>
      </c>
      <c r="N20" s="306" t="s">
        <v>470</v>
      </c>
      <c r="O20" s="166" t="s">
        <v>716</v>
      </c>
      <c r="Q20" s="227" t="s">
        <v>370</v>
      </c>
      <c r="R20" s="174" t="s">
        <v>498</v>
      </c>
      <c r="S20" s="174" t="str" cm="1">
        <f t="array" ref="S20">INDEX($B$6:$C$43,MATCH(1,(Q20=$B$6:$B$43)*(R20=$C$6:$C$43),0),2)</f>
        <v>GRSS_CMMSSN_INCM_OFF_BLNC</v>
      </c>
      <c r="T20" s="174" t="e" cm="1">
        <f t="array" ref="T20">INDEX($G$6:$H$28,MATCH(1,(Q20=$G$6:$G$28)*(R20=$H$6:$H$28),0),2)</f>
        <v>#N/A</v>
      </c>
      <c r="U20" s="174" t="e" cm="1">
        <f t="array" ref="U20">INDEX($M$6:$N$19,MATCH(1,(Q20=$M$6:$M$19)*(R20=$N$6:$N$19),0),2)</f>
        <v>#N/A</v>
      </c>
    </row>
    <row r="21" spans="2:22" ht="16.2" x14ac:dyDescent="0.25">
      <c r="B21" s="174" t="s">
        <v>370</v>
      </c>
      <c r="C21" s="174" t="s">
        <v>497</v>
      </c>
      <c r="D21" s="174" t="s">
        <v>693</v>
      </c>
      <c r="G21" s="174" t="s">
        <v>370</v>
      </c>
      <c r="H21" s="174" t="s">
        <v>463</v>
      </c>
      <c r="I21" s="174" t="str" cm="1">
        <f t="array" ref="I21">_xlfn.IFNA(IF(INDEX($B$6:$C$43,MATCH(1,(G21=$B$6:$B$43)*(H21=$C$6:$C$43),0),2)=H21,"Sim","Não"),"Não")</f>
        <v>Não</v>
      </c>
      <c r="J21" s="174" t="s">
        <v>711</v>
      </c>
      <c r="L21" s="174" t="s">
        <v>797</v>
      </c>
      <c r="M21" s="306" t="s">
        <v>521</v>
      </c>
      <c r="N21" s="306" t="s">
        <v>464</v>
      </c>
      <c r="O21" s="166" t="s">
        <v>796</v>
      </c>
      <c r="P21" s="174" t="s">
        <v>799</v>
      </c>
      <c r="Q21" s="227" t="s">
        <v>370</v>
      </c>
      <c r="R21" s="174" t="s">
        <v>499</v>
      </c>
      <c r="S21" s="174" t="str" cm="1">
        <f t="array" ref="S21">INDEX($B$6:$C$43,MATCH(1,(Q21=$B$6:$B$43)*(R21=$C$6:$C$43),0),2)</f>
        <v>GRSS_CMMSSN_EXPNS_OFF_BLNC</v>
      </c>
      <c r="T21" s="174" t="e" cm="1">
        <f t="array" ref="T21">INDEX($G$6:$H$28,MATCH(1,(Q21=$G$6:$G$28)*(R21=$H$6:$H$28),0),2)</f>
        <v>#N/A</v>
      </c>
      <c r="U21" s="174" t="e" cm="1">
        <f t="array" ref="U21">INDEX($M$6:$N$19,MATCH(1,(Q21=$M$6:$M$19)*(R21=$N$6:$N$19),0),2)</f>
        <v>#N/A</v>
      </c>
    </row>
    <row r="22" spans="2:22" ht="16.2" x14ac:dyDescent="0.25">
      <c r="B22" s="174" t="s">
        <v>370</v>
      </c>
      <c r="C22" s="174" t="s">
        <v>498</v>
      </c>
      <c r="D22" s="174" t="s">
        <v>693</v>
      </c>
      <c r="G22" s="174" t="s">
        <v>370</v>
      </c>
      <c r="H22" s="174" t="s">
        <v>468</v>
      </c>
      <c r="I22" s="174" t="str" cm="1">
        <f t="array" ref="I22">_xlfn.IFNA(IF(INDEX($B$6:$C$43,MATCH(1,(G22=$B$6:$B$43)*(H22=$C$6:$C$43),0),2)=H22,"Sim","Não"),"Não")</f>
        <v>Sim</v>
      </c>
      <c r="J22" s="174" t="s">
        <v>712</v>
      </c>
      <c r="K22" s="174" t="s">
        <v>713</v>
      </c>
      <c r="L22" s="174" t="s">
        <v>797</v>
      </c>
      <c r="M22" s="306" t="s">
        <v>521</v>
      </c>
      <c r="N22" s="306" t="s">
        <v>465</v>
      </c>
      <c r="O22" s="166" t="s">
        <v>796</v>
      </c>
      <c r="P22" s="174" t="s">
        <v>799</v>
      </c>
      <c r="Q22" s="227" t="s">
        <v>370</v>
      </c>
      <c r="R22" s="174" t="s">
        <v>501</v>
      </c>
      <c r="S22" s="174" t="str" cm="1">
        <f t="array" ref="S22">INDEX($B$6:$C$43,MATCH(1,(Q22=$B$6:$B$43)*(R22=$C$6:$C$43),0),2)</f>
        <v>GRSS_INTRST_EXPNS</v>
      </c>
      <c r="T22" s="174" t="e" cm="1">
        <f t="array" ref="T22">INDEX($G$6:$H$28,MATCH(1,(Q22=$G$6:$G$28)*(R22=$H$6:$H$28),0),2)</f>
        <v>#N/A</v>
      </c>
      <c r="U22" s="174" t="e" cm="1">
        <f t="array" ref="U22">INDEX($M$6:$N$19,MATCH(1,(Q22=$M$6:$M$19)*(R22=$N$6:$N$19),0),2)</f>
        <v>#N/A</v>
      </c>
    </row>
    <row r="23" spans="2:22" x14ac:dyDescent="0.25">
      <c r="B23" s="174" t="s">
        <v>370</v>
      </c>
      <c r="C23" s="174" t="s">
        <v>499</v>
      </c>
      <c r="D23" s="174" t="s">
        <v>691</v>
      </c>
      <c r="G23" s="174" t="s">
        <v>370</v>
      </c>
      <c r="H23" s="174" t="s">
        <v>493</v>
      </c>
      <c r="I23" s="174" t="str" cm="1">
        <f t="array" ref="I23">_xlfn.IFNA(IF(INDEX($B$6:$C$43,MATCH(1,(G23=$B$6:$B$43)*(H23=$C$6:$C$43),0),2)=H23,"Sim","Não"),"Não")</f>
        <v>Sim</v>
      </c>
      <c r="J23" s="174" t="s">
        <v>712</v>
      </c>
      <c r="K23" s="174" t="s">
        <v>713</v>
      </c>
      <c r="Q23" s="227" t="s">
        <v>370</v>
      </c>
      <c r="R23" s="174" t="s">
        <v>502</v>
      </c>
      <c r="S23" s="174" t="str" cm="1">
        <f t="array" ref="S23">INDEX($B$6:$C$43,MATCH(1,(Q23=$B$6:$B$43)*(R23=$C$6:$C$43),0),2)</f>
        <v>NT_LN_LSS_PRVSN_OFF_BLNC</v>
      </c>
      <c r="T23" s="174" t="e" cm="1">
        <f t="array" ref="T23">INDEX($G$6:$H$28,MATCH(1,(Q23=$G$6:$G$28)*(R23=$H$6:$H$28),0),2)</f>
        <v>#N/A</v>
      </c>
      <c r="U23" s="174" t="e" cm="1">
        <f t="array" ref="U23">INDEX($M$6:$N$19,MATCH(1,(Q23=$M$6:$M$19)*(R23=$N$6:$N$19),0),2)</f>
        <v>#N/A</v>
      </c>
    </row>
    <row r="24" spans="2:22" x14ac:dyDescent="0.25">
      <c r="B24" s="174" t="s">
        <v>370</v>
      </c>
      <c r="C24" s="174" t="s">
        <v>500</v>
      </c>
      <c r="D24" s="174" t="s">
        <v>693</v>
      </c>
      <c r="G24" s="174" t="s">
        <v>370</v>
      </c>
      <c r="H24" s="174" t="s">
        <v>494</v>
      </c>
      <c r="I24" s="174" t="str" cm="1">
        <f t="array" ref="I24">_xlfn.IFNA(IF(INDEX($B$6:$C$43,MATCH(1,(G24=$B$6:$B$43)*(H24=$C$6:$C$43),0),2)=H24,"Sim","Não"),"Não")</f>
        <v>Sim</v>
      </c>
      <c r="J24" s="174" t="s">
        <v>712</v>
      </c>
      <c r="K24" s="174" t="s">
        <v>713</v>
      </c>
      <c r="Q24" s="227" t="s">
        <v>370</v>
      </c>
      <c r="R24" s="174" t="s">
        <v>503</v>
      </c>
      <c r="S24" s="174" t="str" cm="1">
        <f t="array" ref="S24">INDEX($B$6:$C$43,MATCH(1,(Q24=$B$6:$B$43)*(R24=$C$6:$C$43),0),2)</f>
        <v>GRSS_INTRST_INCM_CCRR</v>
      </c>
      <c r="T24" s="174" t="e" cm="1">
        <f t="array" ref="T24">INDEX($G$6:$H$28,MATCH(1,(Q24=$G$6:$G$28)*(R24=$H$6:$H$28),0),2)</f>
        <v>#N/A</v>
      </c>
      <c r="U24" s="174" t="e" cm="1">
        <f t="array" ref="U24">INDEX($M$6:$N$19,MATCH(1,(Q24=$M$6:$M$19)*(R24=$N$6:$N$19),0),2)</f>
        <v>#N/A</v>
      </c>
    </row>
    <row r="25" spans="2:22" x14ac:dyDescent="0.25">
      <c r="B25" s="174" t="s">
        <v>370</v>
      </c>
      <c r="C25" s="174" t="s">
        <v>501</v>
      </c>
      <c r="D25" s="174" t="s">
        <v>691</v>
      </c>
      <c r="G25" s="174" t="s">
        <v>370</v>
      </c>
      <c r="H25" s="174" t="s">
        <v>495</v>
      </c>
      <c r="I25" s="174" t="str" cm="1">
        <f t="array" ref="I25">_xlfn.IFNA(IF(INDEX($B$6:$C$43,MATCH(1,(G25=$B$6:$B$43)*(H25=$C$6:$C$43),0),2)=H25,"Sim","Não"),"Não")</f>
        <v>Sim</v>
      </c>
      <c r="J25" s="174" t="s">
        <v>712</v>
      </c>
      <c r="Q25" s="227" t="s">
        <v>370</v>
      </c>
      <c r="R25" s="174" t="s">
        <v>504</v>
      </c>
      <c r="S25" s="174" t="str" cm="1">
        <f t="array" ref="S25">INDEX($B$6:$C$43,MATCH(1,(Q25=$B$6:$B$43)*(R25=$C$6:$C$43),0),2)</f>
        <v>GRSS_INTRST_EXPNS_CCRR</v>
      </c>
      <c r="T25" s="174" t="e" cm="1">
        <f t="array" ref="T25">INDEX($G$6:$H$28,MATCH(1,(Q25=$G$6:$G$28)*(R25=$H$6:$H$28),0),2)</f>
        <v>#N/A</v>
      </c>
      <c r="U25" s="174" t="e" cm="1">
        <f t="array" ref="U25">INDEX($M$6:$N$19,MATCH(1,(Q25=$M$6:$M$19)*(R25=$N$6:$N$19),0),2)</f>
        <v>#N/A</v>
      </c>
    </row>
    <row r="26" spans="2:22" x14ac:dyDescent="0.25">
      <c r="B26" s="174" t="s">
        <v>370</v>
      </c>
      <c r="C26" s="174" t="s">
        <v>502</v>
      </c>
      <c r="D26" s="174" t="s">
        <v>691</v>
      </c>
      <c r="G26" s="174" t="s">
        <v>370</v>
      </c>
      <c r="H26" s="174" t="s">
        <v>497</v>
      </c>
      <c r="I26" s="174" t="str" cm="1">
        <f t="array" ref="I26">_xlfn.IFNA(IF(INDEX($B$6:$C$43,MATCH(1,(G26=$B$6:$B$43)*(H26=$C$6:$C$43),0),2)=H26,"Sim","Não"),"Não")</f>
        <v>Sim</v>
      </c>
      <c r="J26" s="174" t="s">
        <v>712</v>
      </c>
      <c r="K26" s="174" t="s">
        <v>714</v>
      </c>
      <c r="Q26" s="227" t="s">
        <v>370</v>
      </c>
      <c r="R26" s="174" t="s">
        <v>505</v>
      </c>
      <c r="S26" s="174" t="str" cm="1">
        <f t="array" ref="S26">INDEX($B$6:$C$43,MATCH(1,(Q26=$B$6:$B$43)*(R26=$C$6:$C$43),0),2)</f>
        <v>GRSS_CMMSSN_INCM_CCRR</v>
      </c>
      <c r="T26" s="174" t="e" cm="1">
        <f t="array" ref="T26">INDEX($G$6:$H$28,MATCH(1,(Q26=$G$6:$G$28)*(R26=$H$6:$H$28),0),2)</f>
        <v>#N/A</v>
      </c>
      <c r="U26" s="174" t="e" cm="1">
        <f t="array" ref="U26">INDEX($M$6:$N$19,MATCH(1,(Q26=$M$6:$M$19)*(R26=$N$6:$N$19),0),2)</f>
        <v>#N/A</v>
      </c>
    </row>
    <row r="27" spans="2:22" x14ac:dyDescent="0.25">
      <c r="B27" s="174" t="s">
        <v>370</v>
      </c>
      <c r="C27" s="174" t="s">
        <v>503</v>
      </c>
      <c r="D27" s="174" t="s">
        <v>678</v>
      </c>
      <c r="G27" s="174" t="s">
        <v>370</v>
      </c>
      <c r="H27" s="174" t="s">
        <v>472</v>
      </c>
      <c r="I27" s="174" t="str" cm="1">
        <f t="array" ref="I27">_xlfn.IFNA(IF(INDEX($B$6:$C$43,MATCH(1,(G27=$B$6:$B$43)*(H27=$C$6:$C$43),0),2)=H27,"Sim","Não"),"Não")</f>
        <v>Não</v>
      </c>
      <c r="J27" s="174" t="s">
        <v>711</v>
      </c>
      <c r="Q27" s="227" t="s">
        <v>370</v>
      </c>
      <c r="R27" s="174" t="s">
        <v>506</v>
      </c>
      <c r="S27" s="174" t="str" cm="1">
        <f t="array" ref="S27">INDEX($B$6:$C$43,MATCH(1,(Q27=$B$6:$B$43)*(R27=$C$6:$C$43),0),2)</f>
        <v>GRSS_CMMSSN_EXPNS_CCRR</v>
      </c>
      <c r="T27" s="174" t="e" cm="1">
        <f t="array" ref="T27">INDEX($G$6:$H$28,MATCH(1,(Q27=$G$6:$G$28)*(R27=$H$6:$H$28),0),2)</f>
        <v>#N/A</v>
      </c>
      <c r="U27" s="174" t="e" cm="1">
        <f t="array" ref="U27">INDEX($M$6:$N$19,MATCH(1,(Q27=$M$6:$M$19)*(R27=$N$6:$N$19),0),2)</f>
        <v>#N/A</v>
      </c>
    </row>
    <row r="28" spans="2:22" x14ac:dyDescent="0.25">
      <c r="B28" s="174" t="s">
        <v>370</v>
      </c>
      <c r="C28" s="174" t="s">
        <v>504</v>
      </c>
      <c r="D28" s="174" t="s">
        <v>678</v>
      </c>
      <c r="G28" s="174" t="s">
        <v>370</v>
      </c>
      <c r="H28" s="174" t="s">
        <v>500</v>
      </c>
      <c r="I28" s="174" t="str" cm="1">
        <f t="array" ref="I28">_xlfn.IFNA(IF(INDEX($B$6:$C$43,MATCH(1,(G28=$B$6:$B$43)*(H28=$C$6:$C$43),0),2)=H28,"Sim","Não"),"Não")</f>
        <v>Sim</v>
      </c>
      <c r="J28" s="174" t="s">
        <v>712</v>
      </c>
      <c r="K28" s="174" t="s">
        <v>714</v>
      </c>
      <c r="Q28" s="227" t="s">
        <v>370</v>
      </c>
      <c r="R28" s="174" t="s">
        <v>507</v>
      </c>
      <c r="S28" s="174" t="str" cm="1">
        <f t="array" ref="S28">INDEX($B$6:$C$43,MATCH(1,(Q28=$B$6:$B$43)*(R28=$C$6:$C$43),0),2)</f>
        <v>GNS_FNNCL_TRNSCTN_EXCHNG_CCRR</v>
      </c>
      <c r="T28" s="174" t="e" cm="1">
        <f t="array" ref="T28">INDEX($G$6:$H$28,MATCH(1,(Q28=$G$6:$G$28)*(R28=$H$6:$H$28),0),2)</f>
        <v>#N/A</v>
      </c>
      <c r="U28" s="174" t="e" cm="1">
        <f t="array" ref="U28">INDEX($M$6:$N$19,MATCH(1,(Q28=$M$6:$M$19)*(R28=$N$6:$N$19),0),2)</f>
        <v>#N/A</v>
      </c>
    </row>
    <row r="29" spans="2:22" x14ac:dyDescent="0.25">
      <c r="B29" s="174" t="s">
        <v>370</v>
      </c>
      <c r="C29" s="174" t="s">
        <v>505</v>
      </c>
      <c r="D29" s="174" t="s">
        <v>678</v>
      </c>
      <c r="Q29" s="227" t="s">
        <v>370</v>
      </c>
      <c r="R29" s="174" t="s">
        <v>469</v>
      </c>
      <c r="S29" s="174" t="str" cm="1">
        <f t="array" ref="S29">INDEX($B$6:$C$43,MATCH(1,(Q29=$B$6:$B$43)*(R29=$C$6:$C$43),0),2)</f>
        <v>BSNSS_AREA_CCRR</v>
      </c>
      <c r="T29" s="174" t="e" cm="1">
        <f t="array" ref="T29">INDEX($G$6:$H$28,MATCH(1,(Q29=$G$6:$G$28)*(R29=$H$6:$H$28),0),2)</f>
        <v>#N/A</v>
      </c>
      <c r="U29" s="174" t="e" cm="1">
        <f t="array" ref="U29">INDEX($M$6:$N$19,MATCH(1,(Q29=$M$6:$M$19)*(R29=$N$6:$N$19),0),2)</f>
        <v>#N/A</v>
      </c>
    </row>
    <row r="30" spans="2:22" x14ac:dyDescent="0.25">
      <c r="B30" s="174" t="s">
        <v>370</v>
      </c>
      <c r="C30" s="174" t="s">
        <v>506</v>
      </c>
      <c r="D30" s="174" t="s">
        <v>678</v>
      </c>
      <c r="Q30" s="227" t="s">
        <v>370</v>
      </c>
      <c r="R30" s="174" t="s">
        <v>508</v>
      </c>
      <c r="S30" s="174" t="str" cm="1">
        <f t="array" ref="S30">INDEX($B$6:$C$43,MATCH(1,(Q30=$B$6:$B$43)*(R30=$C$6:$C$43),0),2)</f>
        <v>GRSS_CMMSSN_INCM_OFF_BLNC_CCRR</v>
      </c>
      <c r="T30" s="174" t="e" cm="1">
        <f t="array" ref="T30">INDEX($G$6:$H$28,MATCH(1,(Q30=$G$6:$G$28)*(R30=$H$6:$H$28),0),2)</f>
        <v>#N/A</v>
      </c>
      <c r="U30" s="174" t="e" cm="1">
        <f t="array" ref="U30">INDEX($M$6:$N$19,MATCH(1,(Q30=$M$6:$M$19)*(R30=$N$6:$N$19),0),2)</f>
        <v>#N/A</v>
      </c>
    </row>
    <row r="31" spans="2:22" x14ac:dyDescent="0.25">
      <c r="B31" s="174" t="s">
        <v>370</v>
      </c>
      <c r="C31" s="174" t="s">
        <v>507</v>
      </c>
      <c r="D31" s="174" t="s">
        <v>678</v>
      </c>
      <c r="Q31" s="227" t="s">
        <v>370</v>
      </c>
      <c r="R31" s="174" t="s">
        <v>509</v>
      </c>
      <c r="S31" s="174" t="str" cm="1">
        <f t="array" ref="S31">INDEX($B$6:$C$43,MATCH(1,(Q31=$B$6:$B$43)*(R31=$C$6:$C$43),0),2)</f>
        <v>GRSS_CMMSSN_EXPNS_OFF_BLNC_CCRR</v>
      </c>
      <c r="T31" s="174" t="e" cm="1">
        <f t="array" ref="T31">INDEX($G$6:$H$28,MATCH(1,(Q31=$G$6:$G$28)*(R31=$H$6:$H$28),0),2)</f>
        <v>#N/A</v>
      </c>
      <c r="U31" s="174" t="e" cm="1">
        <f t="array" ref="U31">INDEX($M$6:$N$19,MATCH(1,(Q31=$M$6:$M$19)*(R31=$N$6:$N$19),0),2)</f>
        <v>#N/A</v>
      </c>
    </row>
    <row r="32" spans="2:22" x14ac:dyDescent="0.25">
      <c r="B32" s="174" t="s">
        <v>370</v>
      </c>
      <c r="C32" s="174" t="s">
        <v>469</v>
      </c>
      <c r="D32" s="174" t="s">
        <v>678</v>
      </c>
      <c r="Q32" s="227" t="s">
        <v>370</v>
      </c>
      <c r="R32" s="174" t="s">
        <v>470</v>
      </c>
      <c r="S32" s="174" t="e" cm="1">
        <f t="array" ref="S32">INDEX($B$6:$C$43,MATCH(1,(Q32=$B$6:$B$43)*(R32=$C$6:$C$43),0),2)</f>
        <v>#N/A</v>
      </c>
      <c r="T32" s="174" t="e" cm="1">
        <f t="array" ref="T32">INDEX($G$6:$H$28,MATCH(1,(Q32=$G$6:$G$28)*(R32=$H$6:$H$28),0),2)</f>
        <v>#N/A</v>
      </c>
      <c r="U32" s="174" t="e" cm="1">
        <f t="array" ref="U32">INDEX($M$6:$N$19,MATCH(1,(Q32=$M$6:$M$19)*(R32=$N$6:$N$19),0),2)</f>
        <v>#N/A</v>
      </c>
      <c r="V32" s="174" t="s">
        <v>721</v>
      </c>
    </row>
    <row r="33" spans="2:22" x14ac:dyDescent="0.25">
      <c r="B33" s="174" t="s">
        <v>370</v>
      </c>
      <c r="C33" s="174" t="s">
        <v>508</v>
      </c>
      <c r="D33" s="174" t="s">
        <v>678</v>
      </c>
      <c r="Q33" s="227" t="s">
        <v>370</v>
      </c>
      <c r="R33" s="174" t="s">
        <v>526</v>
      </c>
      <c r="S33" s="174" t="e" cm="1">
        <f t="array" ref="S33">INDEX($B$6:$C$43,MATCH(1,(Q33=$B$6:$B$43)*(R33=$C$6:$C$43),0),2)</f>
        <v>#N/A</v>
      </c>
      <c r="T33" s="174" t="e" cm="1">
        <f t="array" ref="T33">INDEX($G$6:$H$28,MATCH(1,(Q33=$G$6:$G$28)*(R33=$H$6:$H$28),0),2)</f>
        <v>#N/A</v>
      </c>
      <c r="U33" s="174" t="str" cm="1">
        <f t="array" ref="U33">INDEX($M$6:$N$19,MATCH(1,(Q33=$M$6:$M$19)*(R33=$N$6:$N$19),0),2)</f>
        <v>TYP_OFF_BLNC_PRDCT</v>
      </c>
    </row>
    <row r="34" spans="2:22" x14ac:dyDescent="0.25">
      <c r="B34" s="174" t="s">
        <v>370</v>
      </c>
      <c r="C34" s="174" t="s">
        <v>509</v>
      </c>
      <c r="D34" s="174" t="s">
        <v>678</v>
      </c>
      <c r="Q34" s="174" t="s">
        <v>706</v>
      </c>
      <c r="R34" s="174" t="s">
        <v>457</v>
      </c>
      <c r="S34" s="174" t="e" cm="1">
        <f t="array" ref="S34">INDEX($B$6:$C$43,MATCH(1,(Q34=$B$6:$B$43)*(R34=$C$6:$C$43),0),2)</f>
        <v>#N/A</v>
      </c>
      <c r="T34" s="174" t="e" cm="1">
        <f t="array" ref="T34">INDEX($G$6:$H$28,MATCH(1,(Q34=$G$6:$G$28)*(R34=$H$6:$H$28),0),2)</f>
        <v>#N/A</v>
      </c>
      <c r="U34" s="174" t="str" cm="1">
        <f t="array" ref="U34">INDEX($M$6:$N$19,MATCH(1,(Q34=$M$6:$M$19)*(R34=$N$6:$N$19),0),2)</f>
        <v>COD_SOC</v>
      </c>
    </row>
    <row r="35" spans="2:22" x14ac:dyDescent="0.25">
      <c r="B35" s="174" t="s">
        <v>370</v>
      </c>
      <c r="C35" s="174" t="s">
        <v>471</v>
      </c>
      <c r="D35" s="174" t="s">
        <v>444</v>
      </c>
      <c r="E35" s="174" t="s">
        <v>720</v>
      </c>
      <c r="Q35" s="174" t="s">
        <v>706</v>
      </c>
      <c r="R35" s="174" t="s">
        <v>458</v>
      </c>
      <c r="S35" s="174" t="e" cm="1">
        <f t="array" ref="S35">INDEX($B$6:$C$43,MATCH(1,(Q35=$B$6:$B$43)*(R35=$C$6:$C$43),0),2)</f>
        <v>#N/A</v>
      </c>
      <c r="T35" s="174" t="e" cm="1">
        <f t="array" ref="T35">INDEX($G$6:$H$28,MATCH(1,(Q35=$G$6:$G$28)*(R35=$H$6:$H$28),0),2)</f>
        <v>#N/A</v>
      </c>
      <c r="U35" s="174" t="str" cm="1">
        <f t="array" ref="U35">INDEX($M$6:$N$19,MATCH(1,(Q35=$M$6:$M$19)*(R35=$N$6:$N$19),0),2)</f>
        <v>DT_RFRNC</v>
      </c>
    </row>
    <row r="36" spans="2:22" x14ac:dyDescent="0.25">
      <c r="B36" s="174" t="s">
        <v>697</v>
      </c>
      <c r="C36" s="174" t="s">
        <v>380</v>
      </c>
      <c r="D36" s="174" t="s">
        <v>692</v>
      </c>
      <c r="Q36" s="174" t="s">
        <v>706</v>
      </c>
      <c r="R36" s="174" t="s">
        <v>459</v>
      </c>
      <c r="S36" s="174" t="e" cm="1">
        <f t="array" ref="S36">INDEX($B$6:$C$43,MATCH(1,(Q36=$B$6:$B$43)*(R36=$C$6:$C$43),0),2)</f>
        <v>#N/A</v>
      </c>
      <c r="T36" s="174" t="e" cm="1">
        <f t="array" ref="T36">INDEX($G$6:$H$28,MATCH(1,(Q36=$G$6:$G$28)*(R36=$H$6:$H$28),0),2)</f>
        <v>#N/A</v>
      </c>
      <c r="U36" s="174" t="str" cm="1">
        <f t="array" ref="U36">INDEX($M$6:$N$19,MATCH(1,(Q36=$M$6:$M$19)*(R36=$N$6:$N$19),0),2)</f>
        <v>INSTRMNT_ID</v>
      </c>
    </row>
    <row r="37" spans="2:22" x14ac:dyDescent="0.25">
      <c r="B37" s="174" t="s">
        <v>697</v>
      </c>
      <c r="C37" s="174" t="s">
        <v>698</v>
      </c>
      <c r="D37" s="174" t="s">
        <v>692</v>
      </c>
      <c r="Q37" s="174" t="s">
        <v>706</v>
      </c>
      <c r="R37" s="174" t="s">
        <v>527</v>
      </c>
      <c r="S37" s="174" t="e" cm="1">
        <f t="array" ref="S37">INDEX($B$6:$C$43,MATCH(1,(Q37=$B$6:$B$43)*(R37=$C$6:$C$43),0),2)</f>
        <v>#N/A</v>
      </c>
      <c r="T37" s="174" t="e" cm="1">
        <f t="array" ref="T37">INDEX($G$6:$H$28,MATCH(1,(Q37=$G$6:$G$28)*(R37=$H$6:$H$28),0),2)</f>
        <v>#N/A</v>
      </c>
      <c r="U37" s="174" t="str" cm="1">
        <f t="array" ref="U37">INDEX($M$6:$N$19,MATCH(1,(Q37=$M$6:$M$19)*(R37=$N$6:$N$19),0),2)</f>
        <v>PRTCTN_ID</v>
      </c>
    </row>
    <row r="38" spans="2:22" x14ac:dyDescent="0.25">
      <c r="B38" s="174" t="s">
        <v>697</v>
      </c>
      <c r="C38" s="174" t="s">
        <v>699</v>
      </c>
      <c r="D38" s="174" t="s">
        <v>692</v>
      </c>
      <c r="Q38" s="174" t="s">
        <v>706</v>
      </c>
      <c r="R38" s="174" t="s">
        <v>531</v>
      </c>
      <c r="S38" s="174" t="e" cm="1">
        <f t="array" ref="S38">INDEX($B$6:$C$43,MATCH(1,(Q38=$B$6:$B$43)*(R38=$C$6:$C$43),0),2)</f>
        <v>#N/A</v>
      </c>
      <c r="T38" s="174" t="e" cm="1">
        <f t="array" ref="T38">INDEX($G$6:$H$28,MATCH(1,(Q38=$G$6:$G$28)*(R38=$H$6:$H$28),0),2)</f>
        <v>#N/A</v>
      </c>
      <c r="U38" s="174" t="e" cm="1">
        <f t="array" ref="U38">INDEX($M$6:$N$19,MATCH(1,(Q38=$M$6:$M$19)*(R38=$N$6:$N$19),0),2)</f>
        <v>#N/A</v>
      </c>
    </row>
    <row r="39" spans="2:22" x14ac:dyDescent="0.25">
      <c r="B39" s="174" t="s">
        <v>697</v>
      </c>
      <c r="C39" s="174" t="s">
        <v>700</v>
      </c>
      <c r="D39" s="174" t="s">
        <v>692</v>
      </c>
      <c r="Q39" s="174" t="s">
        <v>359</v>
      </c>
      <c r="R39" s="174" t="s">
        <v>457</v>
      </c>
      <c r="S39" s="174" t="e" cm="1">
        <f t="array" ref="S39">INDEX($B$6:$C$43,MATCH(1,(Q39=$B$6:$B$43)*(R39=$C$6:$C$43),0),2)</f>
        <v>#N/A</v>
      </c>
      <c r="T39" s="174" t="e" cm="1">
        <f t="array" ref="T39">INDEX($G$6:$H$28,MATCH(1,(Q39=$G$6:$G$28)*(R39=$H$6:$H$28),0),2)</f>
        <v>#N/A</v>
      </c>
      <c r="U39" s="174" t="str" cm="1">
        <f t="array" ref="U39">INDEX($M$6:$N$19,MATCH(1,(Q39=$M$6:$M$19)*(R39=$N$6:$N$19),0),2)</f>
        <v>COD_SOC</v>
      </c>
    </row>
    <row r="40" spans="2:22" x14ac:dyDescent="0.25">
      <c r="B40" s="174" t="s">
        <v>697</v>
      </c>
      <c r="C40" s="174" t="s">
        <v>201</v>
      </c>
      <c r="D40" s="174" t="s">
        <v>692</v>
      </c>
      <c r="Q40" s="174" t="s">
        <v>359</v>
      </c>
      <c r="R40" s="174" t="s">
        <v>458</v>
      </c>
      <c r="S40" s="174" t="e" cm="1">
        <f t="array" ref="S40">INDEX($B$6:$C$43,MATCH(1,(Q40=$B$6:$B$43)*(R40=$C$6:$C$43),0),2)</f>
        <v>#N/A</v>
      </c>
      <c r="T40" s="174" t="e" cm="1">
        <f t="array" ref="T40">INDEX($G$6:$H$28,MATCH(1,(Q40=$G$6:$G$28)*(R40=$H$6:$H$28),0),2)</f>
        <v>#N/A</v>
      </c>
      <c r="U40" s="174" t="str" cm="1">
        <f t="array" ref="U40">INDEX($M$6:$N$19,MATCH(1,(Q40=$M$6:$M$19)*(R40=$N$6:$N$19),0),2)</f>
        <v>DT_RFRNC</v>
      </c>
    </row>
    <row r="41" spans="2:22" x14ac:dyDescent="0.25">
      <c r="B41" s="174" t="s">
        <v>697</v>
      </c>
      <c r="C41" s="174" t="s">
        <v>198</v>
      </c>
      <c r="D41" s="174" t="s">
        <v>692</v>
      </c>
      <c r="Q41" s="174" t="s">
        <v>359</v>
      </c>
      <c r="R41" s="174" t="s">
        <v>527</v>
      </c>
      <c r="S41" s="174" t="e" cm="1">
        <f t="array" ref="S41">INDEX($B$6:$C$43,MATCH(1,(Q41=$B$6:$B$43)*(R41=$C$6:$C$43),0),2)</f>
        <v>#N/A</v>
      </c>
      <c r="T41" s="174" t="e" cm="1">
        <f t="array" ref="T41">INDEX($G$6:$H$28,MATCH(1,(Q41=$G$6:$G$28)*(R41=$H$6:$H$28),0),2)</f>
        <v>#N/A</v>
      </c>
      <c r="U41" s="174" t="str" cm="1">
        <f t="array" ref="U41">INDEX($M$6:$N$19,MATCH(1,(Q41=$M$6:$M$19)*(R41=$N$6:$N$19),0),2)</f>
        <v>PRTCTN_ID</v>
      </c>
    </row>
    <row r="42" spans="2:22" x14ac:dyDescent="0.25">
      <c r="B42" s="174" t="s">
        <v>370</v>
      </c>
      <c r="C42" s="174" t="s">
        <v>464</v>
      </c>
      <c r="D42" s="174" t="s">
        <v>444</v>
      </c>
      <c r="E42" s="228" t="s">
        <v>795</v>
      </c>
      <c r="Q42" s="174" t="s">
        <v>359</v>
      </c>
      <c r="R42" s="174" t="s">
        <v>528</v>
      </c>
      <c r="S42" s="174" t="e" cm="1">
        <f t="array" ref="S42">INDEX($B$6:$C$43,MATCH(1,(Q42=$B$6:$B$43)*(R42=$C$6:$C$43),0),2)</f>
        <v>#N/A</v>
      </c>
      <c r="T42" s="174" t="e" cm="1">
        <f t="array" ref="T42">INDEX($G$6:$H$28,MATCH(1,(Q42=$G$6:$G$28)*(R42=$H$6:$H$28),0),2)</f>
        <v>#N/A</v>
      </c>
      <c r="U42" s="174" t="str" cm="1">
        <f t="array" ref="U42">INDEX($M$6:$N$19,MATCH(1,(Q42=$M$6:$M$19)*(R42=$N$6:$N$19),0),2)</f>
        <v>TYP_PRTCTN</v>
      </c>
    </row>
    <row r="43" spans="2:22" x14ac:dyDescent="0.25">
      <c r="B43" s="174" t="s">
        <v>370</v>
      </c>
      <c r="C43" s="174" t="s">
        <v>465</v>
      </c>
      <c r="D43" s="174" t="s">
        <v>444</v>
      </c>
      <c r="E43" s="228" t="s">
        <v>795</v>
      </c>
      <c r="Q43" s="174" t="s">
        <v>359</v>
      </c>
      <c r="R43" s="174" t="s">
        <v>529</v>
      </c>
      <c r="S43" s="174" t="e" cm="1">
        <f t="array" ref="S43">INDEX($B$6:$C$43,MATCH(1,(Q43=$B$6:$B$43)*(R43=$C$6:$C$43),0),2)</f>
        <v>#N/A</v>
      </c>
      <c r="T43" s="174" t="e" cm="1">
        <f t="array" ref="T43">INDEX($G$6:$H$28,MATCH(1,(Q43=$G$6:$G$28)*(R43=$H$6:$H$28),0),2)</f>
        <v>#N/A</v>
      </c>
      <c r="U43" s="174" t="str" cm="1">
        <f t="array" ref="U43">INDEX($M$6:$N$19,MATCH(1,(Q43=$M$6:$M$19)*(R43=$N$6:$N$19),0),2)</f>
        <v>PRTCTN_VL</v>
      </c>
    </row>
    <row r="44" spans="2:22" x14ac:dyDescent="0.25">
      <c r="Q44" s="174" t="s">
        <v>359</v>
      </c>
      <c r="R44" s="174" t="s">
        <v>532</v>
      </c>
      <c r="S44" s="174" t="e" cm="1">
        <f t="array" ref="S44">INDEX($B$6:$C$43,MATCH(1,(Q44=$B$6:$B$43)*(R44=$C$6:$C$43),0),2)</f>
        <v>#N/A</v>
      </c>
      <c r="T44" s="174" t="e" cm="1">
        <f t="array" ref="T44">INDEX($G$6:$H$28,MATCH(1,(Q44=$G$6:$G$28)*(R44=$H$6:$H$28),0),2)</f>
        <v>#N/A</v>
      </c>
      <c r="U44" s="174" t="str" cm="1">
        <f t="array" ref="U44">INDEX($M$6:$N$19,MATCH(1,(Q44=$M$6:$M$19)*(R44=$N$6:$N$19),0),2)</f>
        <v>FLG_ELCTRC_VHCL</v>
      </c>
    </row>
    <row r="45" spans="2:22" x14ac:dyDescent="0.25">
      <c r="Q45" s="174" t="s">
        <v>521</v>
      </c>
      <c r="R45" s="174" t="s">
        <v>457</v>
      </c>
      <c r="S45" s="174" t="e" cm="1">
        <f t="array" ref="S45">INDEX($B$6:$C$43,MATCH(1,(Q45=$B$6:$B$43)*(R45=$C$6:$C$43),0),2)</f>
        <v>#N/A</v>
      </c>
      <c r="T45" s="174" t="e" cm="1">
        <f t="array" ref="T45">INDEX($G$6:$H$28,MATCH(1,(Q45=$G$6:$G$28)*(R45=$H$6:$H$28),0),2)</f>
        <v>#N/A</v>
      </c>
      <c r="U45" s="174" t="e" cm="1">
        <f t="array" ref="U45">INDEX($M$6:$N$19,MATCH(1,(Q45=$M$6:$M$19)*(R45=$N$6:$N$19),0),2)</f>
        <v>#N/A</v>
      </c>
    </row>
    <row r="46" spans="2:22" x14ac:dyDescent="0.25">
      <c r="Q46" s="174" t="s">
        <v>521</v>
      </c>
      <c r="R46" s="174" t="s">
        <v>458</v>
      </c>
      <c r="S46" s="174" t="e" cm="1">
        <f t="array" ref="S46">INDEX($B$6:$C$43,MATCH(1,(Q46=$B$6:$B$43)*(R46=$C$6:$C$43),0),2)</f>
        <v>#N/A</v>
      </c>
      <c r="T46" s="174" t="e" cm="1">
        <f t="array" ref="T46">INDEX($G$6:$H$28,MATCH(1,(Q46=$G$6:$G$28)*(R46=$H$6:$H$28),0),2)</f>
        <v>#N/A</v>
      </c>
      <c r="U46" s="174" t="e" cm="1">
        <f t="array" ref="U46">INDEX($M$6:$N$19,MATCH(1,(Q46=$M$6:$M$19)*(R46=$N$6:$N$19),0),2)</f>
        <v>#N/A</v>
      </c>
    </row>
    <row r="47" spans="2:22" x14ac:dyDescent="0.25">
      <c r="Q47" s="174" t="s">
        <v>521</v>
      </c>
      <c r="R47" s="174" t="s">
        <v>459</v>
      </c>
      <c r="S47" s="174" t="e" cm="1">
        <f t="array" ref="S47">INDEX($B$6:$C$43,MATCH(1,(Q47=$B$6:$B$43)*(R47=$C$6:$C$43),0),2)</f>
        <v>#N/A</v>
      </c>
      <c r="T47" s="174" t="e" cm="1">
        <f t="array" ref="T47">INDEX($G$6:$H$28,MATCH(1,(Q47=$G$6:$G$28)*(R47=$H$6:$H$28),0),2)</f>
        <v>#N/A</v>
      </c>
      <c r="U47" s="174" t="e" cm="1">
        <f t="array" ref="U47">INDEX($M$6:$N$19,MATCH(1,(Q47=$M$6:$M$19)*(R47=$N$6:$N$19),0),2)</f>
        <v>#N/A</v>
      </c>
    </row>
    <row r="48" spans="2:22" x14ac:dyDescent="0.25">
      <c r="Q48" s="174" t="s">
        <v>521</v>
      </c>
      <c r="R48" s="174" t="s">
        <v>465</v>
      </c>
      <c r="S48" s="174" t="e" cm="1">
        <f t="array" ref="S48">INDEX($B$6:$C$43,MATCH(1,(Q48=$B$6:$B$43)*(R48=$C$6:$C$43),0),2)</f>
        <v>#N/A</v>
      </c>
      <c r="T48" s="174" t="e" cm="1">
        <f t="array" ref="T48">INDEX($G$6:$H$28,MATCH(1,(Q48=$G$6:$G$28)*(R48=$H$6:$H$28),0),2)</f>
        <v>#N/A</v>
      </c>
      <c r="U48" s="174" t="e" cm="1">
        <f t="array" ref="U48">INDEX($M$6:$N$19,MATCH(1,(Q48=$M$6:$M$19)*(R48=$N$6:$N$19),0),2)</f>
        <v>#N/A</v>
      </c>
      <c r="V48" s="174" t="s">
        <v>722</v>
      </c>
    </row>
    <row r="49" spans="17:22" x14ac:dyDescent="0.25">
      <c r="Q49" s="174" t="s">
        <v>521</v>
      </c>
      <c r="R49" s="174" t="s">
        <v>530</v>
      </c>
      <c r="S49" s="174" t="e" cm="1">
        <f t="array" ref="S49">INDEX($B$6:$C$43,MATCH(1,(Q49=$B$6:$B$43)*(R49=$C$6:$C$43),0),2)</f>
        <v>#N/A</v>
      </c>
      <c r="T49" s="174" t="e" cm="1">
        <f t="array" ref="T49">INDEX($G$6:$H$28,MATCH(1,(Q49=$G$6:$G$28)*(R49=$H$6:$H$28),0),2)</f>
        <v>#N/A</v>
      </c>
      <c r="U49" s="174" t="str" cm="1">
        <f t="array" ref="U49">INDEX($M$6:$N$19,MATCH(1,(Q49=$M$6:$M$19)*(R49=$N$6:$N$19),0),2)</f>
        <v>PRCNTG_ACTVTY</v>
      </c>
    </row>
    <row r="50" spans="17:22" x14ac:dyDescent="0.25">
      <c r="Q50" s="174" t="s">
        <v>521</v>
      </c>
      <c r="R50" s="174" t="s">
        <v>464</v>
      </c>
      <c r="S50" s="174" t="e" cm="1">
        <f t="array" ref="S50">INDEX($B$6:$C$43,MATCH(1,(Q50=$B$6:$B$43)*(R50=$C$6:$C$43),0),2)</f>
        <v>#N/A</v>
      </c>
      <c r="T50" s="174" t="e" cm="1">
        <f t="array" ref="T50">INDEX($G$6:$H$28,MATCH(1,(Q50=$G$6:$G$28)*(R50=$H$6:$H$28),0),2)</f>
        <v>#N/A</v>
      </c>
      <c r="U50" s="174" t="e" cm="1">
        <f t="array" ref="U50">INDEX($M$6:$N$19,MATCH(1,(Q50=$M$6:$M$19)*(R50=$N$6:$N$19),0),2)</f>
        <v>#N/A</v>
      </c>
      <c r="V50" s="174" t="s">
        <v>722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41"/>
  <sheetViews>
    <sheetView showGridLines="0" zoomScale="80" zoomScaleNormal="80" workbookViewId="0">
      <selection activeCell="C36" sqref="C36"/>
    </sheetView>
  </sheetViews>
  <sheetFormatPr defaultColWidth="0" defaultRowHeight="14.4" x14ac:dyDescent="0.3"/>
  <cols>
    <col min="1" max="1" width="3.59765625" style="55" customWidth="1"/>
    <col min="2" max="2" width="42.59765625" style="55" bestFit="1" customWidth="1"/>
    <col min="3" max="3" width="66.59765625" style="55" bestFit="1" customWidth="1"/>
    <col min="4" max="4" width="12" style="55" bestFit="1" customWidth="1"/>
    <col min="5" max="5" width="3.59765625" style="55" customWidth="1"/>
    <col min="6" max="14" width="0" style="55" hidden="1" customWidth="1"/>
    <col min="15" max="16384" width="9" style="55" hidden="1"/>
  </cols>
  <sheetData>
    <row r="4" spans="1:5" ht="5.0999999999999996" customHeight="1" x14ac:dyDescent="0.3">
      <c r="A4" s="224"/>
      <c r="B4" s="224"/>
      <c r="C4" s="224"/>
      <c r="D4" s="224"/>
      <c r="E4" s="224"/>
    </row>
    <row r="7" spans="1:5" x14ac:dyDescent="0.3">
      <c r="B7" s="172" t="s">
        <v>538</v>
      </c>
      <c r="C7" s="172" t="s">
        <v>511</v>
      </c>
      <c r="D7" s="174"/>
    </row>
    <row r="8" spans="1:5" x14ac:dyDescent="0.3">
      <c r="B8" s="175" t="s">
        <v>26</v>
      </c>
      <c r="C8" s="176" t="s">
        <v>539</v>
      </c>
      <c r="D8" s="174"/>
    </row>
    <row r="9" spans="1:5" x14ac:dyDescent="0.3">
      <c r="B9" s="175" t="s">
        <v>30</v>
      </c>
      <c r="C9" s="176" t="s">
        <v>540</v>
      </c>
      <c r="D9" s="174"/>
    </row>
    <row r="10" spans="1:5" x14ac:dyDescent="0.3">
      <c r="B10" s="174"/>
      <c r="C10" s="174"/>
      <c r="D10" s="174"/>
    </row>
    <row r="11" spans="1:5" x14ac:dyDescent="0.3">
      <c r="B11" s="172" t="s">
        <v>534</v>
      </c>
      <c r="C11" s="172" t="s">
        <v>511</v>
      </c>
      <c r="D11" s="172" t="s">
        <v>542</v>
      </c>
    </row>
    <row r="12" spans="1:5" x14ac:dyDescent="0.3">
      <c r="B12" s="177" t="s">
        <v>533</v>
      </c>
      <c r="C12" s="176" t="s">
        <v>541</v>
      </c>
      <c r="D12" s="176">
        <v>25</v>
      </c>
    </row>
    <row r="13" spans="1:5" x14ac:dyDescent="0.3">
      <c r="B13" s="175" t="s">
        <v>543</v>
      </c>
      <c r="C13" s="176" t="s">
        <v>544</v>
      </c>
      <c r="D13" s="176"/>
    </row>
    <row r="14" spans="1:5" x14ac:dyDescent="0.3">
      <c r="B14" s="175" t="s">
        <v>666</v>
      </c>
      <c r="C14" s="176" t="s">
        <v>546</v>
      </c>
      <c r="D14" s="176"/>
    </row>
    <row r="15" spans="1:5" x14ac:dyDescent="0.3">
      <c r="B15" s="175" t="s">
        <v>545</v>
      </c>
      <c r="C15" s="176" t="s">
        <v>667</v>
      </c>
      <c r="D15" s="176"/>
    </row>
    <row r="16" spans="1:5" x14ac:dyDescent="0.3">
      <c r="B16" s="174"/>
      <c r="C16" s="174"/>
      <c r="D16" s="174"/>
    </row>
    <row r="17" spans="2:4" x14ac:dyDescent="0.3">
      <c r="B17" s="208" t="s">
        <v>688</v>
      </c>
      <c r="C17" s="209"/>
      <c r="D17" s="209"/>
    </row>
    <row r="18" spans="2:4" ht="6.9" customHeight="1" x14ac:dyDescent="0.3">
      <c r="B18" s="174"/>
      <c r="C18" s="174"/>
      <c r="D18" s="174"/>
    </row>
    <row r="19" spans="2:4" x14ac:dyDescent="0.3">
      <c r="B19" s="173" t="s">
        <v>5</v>
      </c>
      <c r="C19" s="172" t="s">
        <v>511</v>
      </c>
      <c r="D19" s="172" t="s">
        <v>455</v>
      </c>
    </row>
    <row r="20" spans="2:4" x14ac:dyDescent="0.3">
      <c r="B20" s="204" t="s">
        <v>444</v>
      </c>
      <c r="C20" s="176" t="s">
        <v>536</v>
      </c>
      <c r="D20" s="176" t="s">
        <v>15</v>
      </c>
    </row>
    <row r="21" spans="2:4" x14ac:dyDescent="0.3">
      <c r="B21" s="223" t="s">
        <v>686</v>
      </c>
      <c r="C21" s="176" t="s">
        <v>687</v>
      </c>
      <c r="D21" s="176" t="s">
        <v>15</v>
      </c>
    </row>
    <row r="22" spans="2:4" x14ac:dyDescent="0.3">
      <c r="B22" s="200" t="s">
        <v>691</v>
      </c>
      <c r="C22" s="176" t="s">
        <v>684</v>
      </c>
      <c r="D22" s="176" t="s">
        <v>15</v>
      </c>
    </row>
    <row r="23" spans="2:4" x14ac:dyDescent="0.3">
      <c r="B23" s="210" t="s">
        <v>692</v>
      </c>
      <c r="C23" s="176" t="s">
        <v>689</v>
      </c>
      <c r="D23" s="176" t="s">
        <v>535</v>
      </c>
    </row>
    <row r="24" spans="2:4" x14ac:dyDescent="0.3">
      <c r="B24" s="181" t="s">
        <v>693</v>
      </c>
      <c r="C24" s="176" t="s">
        <v>665</v>
      </c>
      <c r="D24" s="176" t="s">
        <v>547</v>
      </c>
    </row>
    <row r="25" spans="2:4" x14ac:dyDescent="0.3">
      <c r="B25" s="180" t="s">
        <v>694</v>
      </c>
      <c r="C25" s="176" t="s">
        <v>690</v>
      </c>
      <c r="D25" s="176" t="s">
        <v>535</v>
      </c>
    </row>
    <row r="26" spans="2:4" x14ac:dyDescent="0.3">
      <c r="B26" s="203" t="s">
        <v>695</v>
      </c>
      <c r="C26" s="176" t="s">
        <v>685</v>
      </c>
      <c r="D26" s="176" t="s">
        <v>548</v>
      </c>
    </row>
    <row r="27" spans="2:4" x14ac:dyDescent="0.3">
      <c r="B27" s="179" t="s">
        <v>696</v>
      </c>
      <c r="C27" s="176" t="s">
        <v>660</v>
      </c>
      <c r="D27" s="176" t="s">
        <v>535</v>
      </c>
    </row>
    <row r="28" spans="2:4" x14ac:dyDescent="0.3">
      <c r="B28" s="205" t="s">
        <v>678</v>
      </c>
      <c r="C28" s="176" t="s">
        <v>661</v>
      </c>
      <c r="D28" s="176" t="s">
        <v>535</v>
      </c>
    </row>
    <row r="29" spans="2:4" x14ac:dyDescent="0.3">
      <c r="B29" s="174"/>
      <c r="C29" s="174"/>
      <c r="D29" s="174"/>
    </row>
    <row r="30" spans="2:4" x14ac:dyDescent="0.3">
      <c r="B30" s="208" t="s">
        <v>683</v>
      </c>
      <c r="C30" s="209"/>
      <c r="D30" s="209"/>
    </row>
    <row r="31" spans="2:4" ht="6.9" customHeight="1" x14ac:dyDescent="0.3">
      <c r="B31" s="174"/>
      <c r="C31" s="174"/>
      <c r="D31" s="174"/>
    </row>
    <row r="32" spans="2:4" x14ac:dyDescent="0.3">
      <c r="B32" s="173" t="s">
        <v>5</v>
      </c>
      <c r="C32" s="172" t="s">
        <v>511</v>
      </c>
      <c r="D32" s="172" t="s">
        <v>455</v>
      </c>
    </row>
    <row r="33" spans="2:4" x14ac:dyDescent="0.3">
      <c r="B33" s="204" t="s">
        <v>444</v>
      </c>
      <c r="C33" s="176" t="s">
        <v>536</v>
      </c>
      <c r="D33" s="176" t="s">
        <v>15</v>
      </c>
    </row>
    <row r="34" spans="2:4" x14ac:dyDescent="0.3">
      <c r="B34" s="200" t="s">
        <v>445</v>
      </c>
      <c r="C34" s="176" t="s">
        <v>658</v>
      </c>
      <c r="D34" s="176" t="s">
        <v>15</v>
      </c>
    </row>
    <row r="35" spans="2:4" x14ac:dyDescent="0.3">
      <c r="B35" s="179" t="s">
        <v>170</v>
      </c>
      <c r="C35" s="176" t="s">
        <v>660</v>
      </c>
      <c r="D35" s="176" t="s">
        <v>535</v>
      </c>
    </row>
    <row r="36" spans="2:4" x14ac:dyDescent="0.3">
      <c r="B36" s="180" t="s">
        <v>676</v>
      </c>
      <c r="C36" s="176" t="s">
        <v>659</v>
      </c>
      <c r="D36" s="176" t="s">
        <v>535</v>
      </c>
    </row>
    <row r="37" spans="2:4" x14ac:dyDescent="0.3">
      <c r="B37" s="201" t="s">
        <v>668</v>
      </c>
      <c r="C37" s="176" t="s">
        <v>664</v>
      </c>
      <c r="D37" s="176" t="s">
        <v>670</v>
      </c>
    </row>
    <row r="38" spans="2:4" x14ac:dyDescent="0.3">
      <c r="B38" s="181" t="s">
        <v>669</v>
      </c>
      <c r="C38" s="176" t="s">
        <v>665</v>
      </c>
      <c r="D38" s="176" t="s">
        <v>547</v>
      </c>
    </row>
    <row r="39" spans="2:4" x14ac:dyDescent="0.3">
      <c r="B39" s="202" t="s">
        <v>537</v>
      </c>
      <c r="C39" s="176" t="s">
        <v>663</v>
      </c>
      <c r="D39" s="176" t="s">
        <v>548</v>
      </c>
    </row>
    <row r="40" spans="2:4" x14ac:dyDescent="0.3">
      <c r="B40" s="203" t="s">
        <v>677</v>
      </c>
      <c r="C40" s="176" t="s">
        <v>662</v>
      </c>
      <c r="D40" s="176" t="s">
        <v>548</v>
      </c>
    </row>
    <row r="41" spans="2:4" x14ac:dyDescent="0.3">
      <c r="B41" s="205" t="s">
        <v>678</v>
      </c>
      <c r="C41" s="176" t="s">
        <v>661</v>
      </c>
      <c r="D41" s="176" t="s">
        <v>535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H16"/>
  <sheetViews>
    <sheetView workbookViewId="0">
      <selection activeCell="D14" sqref="D14:D15"/>
    </sheetView>
  </sheetViews>
  <sheetFormatPr defaultColWidth="9" defaultRowHeight="14.4" x14ac:dyDescent="0.3"/>
  <cols>
    <col min="1" max="1" width="3.59765625" style="55" customWidth="1"/>
    <col min="2" max="2" width="22.796875" style="55" bestFit="1" customWidth="1"/>
    <col min="3" max="3" width="17.19921875" style="55" bestFit="1" customWidth="1"/>
    <col min="4" max="4" width="10.296875" style="55" bestFit="1" customWidth="1"/>
    <col min="5" max="5" width="23.19921875" style="55" bestFit="1" customWidth="1"/>
    <col min="6" max="6" width="10.8984375" style="55" bestFit="1" customWidth="1"/>
    <col min="7" max="7" width="9.69921875" style="55" bestFit="1" customWidth="1"/>
    <col min="8" max="8" width="11.3984375" style="55" bestFit="1" customWidth="1"/>
    <col min="9" max="16384" width="9" style="55"/>
  </cols>
  <sheetData>
    <row r="2" spans="2:8" x14ac:dyDescent="0.3">
      <c r="B2" s="332" t="s">
        <v>534</v>
      </c>
      <c r="C2" s="333" t="s">
        <v>533</v>
      </c>
    </row>
    <row r="4" spans="2:8" x14ac:dyDescent="0.3">
      <c r="B4" s="332" t="s">
        <v>453</v>
      </c>
      <c r="C4" s="333" t="s">
        <v>679</v>
      </c>
    </row>
    <row r="5" spans="2:8" x14ac:dyDescent="0.3">
      <c r="B5" s="334" t="s">
        <v>444</v>
      </c>
      <c r="C5" s="335">
        <v>3</v>
      </c>
    </row>
    <row r="6" spans="2:8" x14ac:dyDescent="0.3">
      <c r="B6" s="334" t="s">
        <v>691</v>
      </c>
      <c r="C6" s="335">
        <v>31</v>
      </c>
    </row>
    <row r="7" spans="2:8" x14ac:dyDescent="0.3">
      <c r="B7" s="334" t="s">
        <v>693</v>
      </c>
      <c r="C7" s="335">
        <v>1</v>
      </c>
    </row>
    <row r="8" spans="2:8" x14ac:dyDescent="0.3">
      <c r="B8" s="334" t="s">
        <v>692</v>
      </c>
      <c r="C8" s="335">
        <v>3</v>
      </c>
    </row>
    <row r="9" spans="2:8" x14ac:dyDescent="0.3">
      <c r="B9" s="334" t="s">
        <v>451</v>
      </c>
      <c r="C9" s="335">
        <v>38</v>
      </c>
    </row>
    <row r="10" spans="2:8" x14ac:dyDescent="0.3">
      <c r="B10"/>
      <c r="C10"/>
    </row>
    <row r="12" spans="2:8" x14ac:dyDescent="0.3">
      <c r="B12" s="332" t="s">
        <v>679</v>
      </c>
      <c r="C12" s="332" t="s">
        <v>452</v>
      </c>
      <c r="D12" s="333"/>
      <c r="E12" s="333"/>
      <c r="F12" s="333"/>
      <c r="G12" s="333"/>
      <c r="H12"/>
    </row>
    <row r="13" spans="2:8" x14ac:dyDescent="0.3">
      <c r="B13" s="332" t="s">
        <v>453</v>
      </c>
      <c r="C13" s="333" t="s">
        <v>444</v>
      </c>
      <c r="D13" s="333" t="s">
        <v>691</v>
      </c>
      <c r="E13" s="333" t="s">
        <v>693</v>
      </c>
      <c r="F13" s="333" t="s">
        <v>692</v>
      </c>
      <c r="G13" s="333" t="s">
        <v>451</v>
      </c>
      <c r="H13"/>
    </row>
    <row r="14" spans="2:8" x14ac:dyDescent="0.3">
      <c r="B14" s="334" t="s">
        <v>370</v>
      </c>
      <c r="C14" s="335">
        <v>3</v>
      </c>
      <c r="D14" s="335">
        <v>25</v>
      </c>
      <c r="E14" s="335">
        <v>1</v>
      </c>
      <c r="F14" s="335">
        <v>3</v>
      </c>
      <c r="G14" s="335">
        <v>32</v>
      </c>
      <c r="H14"/>
    </row>
    <row r="15" spans="2:8" x14ac:dyDescent="0.3">
      <c r="B15" s="334" t="s">
        <v>697</v>
      </c>
      <c r="C15" s="335"/>
      <c r="D15" s="335">
        <v>6</v>
      </c>
      <c r="E15" s="335"/>
      <c r="F15" s="335"/>
      <c r="G15" s="335">
        <v>6</v>
      </c>
      <c r="H15"/>
    </row>
    <row r="16" spans="2:8" x14ac:dyDescent="0.3">
      <c r="B16" s="334" t="s">
        <v>451</v>
      </c>
      <c r="C16" s="335">
        <v>3</v>
      </c>
      <c r="D16" s="335">
        <v>31</v>
      </c>
      <c r="E16" s="335">
        <v>1</v>
      </c>
      <c r="F16" s="335">
        <v>3</v>
      </c>
      <c r="G16" s="335">
        <v>38</v>
      </c>
      <c r="H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240F220-F44C-4C67-A1A0-CBC7FF057737}"/>
</file>

<file path=customXml/itemProps2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Status Resumo</vt:lpstr>
      <vt:lpstr>FC</vt:lpstr>
      <vt:lpstr>Sheet2</vt:lpstr>
      <vt:lpstr>2. Status Detalhe Campos</vt:lpstr>
      <vt:lpstr>Plano_Detalhado</vt:lpstr>
      <vt:lpstr>Macro_Plano_2025_v1</vt:lpstr>
      <vt:lpstr>Sheet1</vt:lpstr>
      <vt:lpstr>Auxiliar_GD</vt:lpstr>
      <vt:lpstr>Pivots_GD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2025-01-16T10:14:17Z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